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drawings/drawing6.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date1904="1" codeName="DieseArbeitsmappe"/>
  <mc:AlternateContent xmlns:mc="http://schemas.openxmlformats.org/markup-compatibility/2006">
    <mc:Choice Requires="x15">
      <x15ac:absPath xmlns:x15ac="http://schemas.microsoft.com/office/spreadsheetml/2010/11/ac" url="D:\_pdata\GLAZ\andi\"/>
    </mc:Choice>
  </mc:AlternateContent>
  <xr:revisionPtr revIDLastSave="0" documentId="13_ncr:1_{6320A9C2-F4EC-44F3-B80E-DECE053CBB9A}" xr6:coauthVersionLast="45" xr6:coauthVersionMax="45" xr10:uidLastSave="{00000000-0000-0000-0000-000000000000}"/>
  <bookViews>
    <workbookView xWindow="1065" yWindow="-120" windowWidth="27855" windowHeight="18240" tabRatio="662" activeTab="4"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Cockpit" sheetId="24" r:id="rId8"/>
    <sheet name="Einstellungen" sheetId="20" r:id="rId9"/>
    <sheet name="Feiertage" sheetId="25" r:id="rId10"/>
    <sheet name="Übersicht" sheetId="47" r:id="rId11"/>
  </sheets>
  <functionGroups builtInGroupCount="19"/>
  <definedNames>
    <definedName name="_xlnm._FilterDatabase" localSheetId="4" hidden="1">Arbeitszeit!$B$4:$AX$373</definedName>
    <definedName name="_xlnm._FilterDatabase" localSheetId="3" hidden="1">Aufgaben!$A$3:$AY$372</definedName>
    <definedName name="_xlnm._FilterDatabase" localSheetId="6" hidden="1">AufgabenM!$A$3:$S$25</definedName>
    <definedName name="_xlnm._FilterDatabase" localSheetId="0" hidden="1">Classic!$A$4:$W$35</definedName>
    <definedName name="_xlnm._FilterDatabase" localSheetId="10" hidden="1">Übersicht!$A$4:$O$17</definedName>
    <definedName name="A_Aufgaben">Aufgaben!$G$5:'Aufgaben'!$AW$371</definedName>
    <definedName name="A_Aufgabendatum">Transport!$C$5</definedName>
    <definedName name="A_Aufgabenende">Transport!$C$32</definedName>
    <definedName name="A_Endedatum">Transport!$C$34</definedName>
    <definedName name="A_Monatsende">Transport!$C$4</definedName>
    <definedName name="Arbeitszeit">Einstellungen!$L$3:$L$9</definedName>
    <definedName name="B_Department" localSheetId="6">Einstellungen!$D$4</definedName>
    <definedName name="B_Department">Einstellungen!$D$4</definedName>
    <definedName name="B_MarkIstueberlauf">Einstellungen!$D$14</definedName>
    <definedName name="B_OverTime">Einstellungen!$D$13</definedName>
    <definedName name="B_Pause1Dauer">Einstellungen!$D$9</definedName>
    <definedName name="B_Pause1Nach">Einstellungen!$D$8</definedName>
    <definedName name="B_Pause2Dauer">Einstellungen!$D$11</definedName>
    <definedName name="B_Pause2Nach">Einstellungen!$D$10</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Einstellungen!$D$12</definedName>
    <definedName name="B_WorkTime">Einstellungen!$D$6</definedName>
    <definedName name="B_WorkTimeMax">Einstellungen!$D$7</definedName>
    <definedName name="B_Year">Einstellungen!$D$16</definedName>
    <definedName name="db_Aufgaben">Aufgaben!$G$3:$AY$372</definedName>
    <definedName name="db_Aufgaben_Zeit">Aufgaben!$A$5:$A$372</definedName>
    <definedName name="db_AufgabenGes">Aufgaben!$A$3:$AY$373</definedName>
    <definedName name="db_Feiertag">Feiertage!$B$3:$C$17</definedName>
    <definedName name="db_Ferien">Feiertage!$B$21:$D$32</definedName>
    <definedName name="db_JAbwesend">Arbeitszeit!$S$5:$S$373</definedName>
    <definedName name="db_JAbzug">Arbeitszeit!$X$5:$X$373</definedName>
    <definedName name="db_JAbzugAuto">Arbeitszeit!$T$5:$T$373</definedName>
    <definedName name="db_JAbzugBer">Arbeitszeit!$U$5:$U$373</definedName>
    <definedName name="db_Jahr">Arbeitszeit!$A$4:$AT$373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Arbeitszeit!$AF$5:$AF$373</definedName>
    <definedName name="db_jOverMax">Arbeitszeit!$AD$6:$AD$373</definedName>
    <definedName name="db_JOverVorgabe">Arbeitszeit!$AC$5:$AC$373</definedName>
    <definedName name="db_jSaldoGes">Arbeitszeit!$AE$6:$AE$373</definedName>
    <definedName name="db_jSumOverMax">Arbeitszeit!$AL$6:$AL$373</definedName>
    <definedName name="db_jUrlRest">Arbeitszeit!$AQ$6:$AQ$373</definedName>
    <definedName name="db_jZeit">Arbeitszeit!$A$6:$A$373</definedName>
    <definedName name="db_jZeitMonat">Arbeitszeit!$D$6:$D$373</definedName>
    <definedName name="db_ZeitTTMMM">Cockpit!$A$28:$A$400</definedName>
    <definedName name="_xlnm.Print_Area" localSheetId="5">Diagramm!$B$1:$L$35</definedName>
    <definedName name="_xlnm.Print_Titles" localSheetId="6">AufgabenM!$A:$D,AufgabenM!$1:$3</definedName>
    <definedName name="_xlnm.Print_Titles" localSheetId="0">Classic!$A:$B,Classic!$1:$4</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Einstellungen!$J$17:$S$38</definedName>
    <definedName name="g_NameAufgaben">Einstellungen!$J$17:$J$38</definedName>
    <definedName name="Gleittag">"G"</definedName>
    <definedName name="gSP_Abzug">COLUMN(Arbeitszeit!$X$4)-COLUMN(db_Jahr)+1</definedName>
    <definedName name="gSP_G_Kennung">COLUMN(Arbeitszeit!$F$4)-COLUMN(db_Jahr)+1</definedName>
    <definedName name="gSP_Geh1">COLUMN(db_JGeh1)-COLUMN(db_Jahr)+1</definedName>
    <definedName name="gSP_Geh2">COLUMN(db_JGeh2)-COLUMN(db_Jahr)+1</definedName>
    <definedName name="gSP_Ist">COLUMN(Arbeitszeit!$V$4)-COLUMN(db_Jahr)+1</definedName>
    <definedName name="gSP_KalTyp">COLUMN(Arbeitszeit!$AT$4)-COLUMN(db_Jahr)+1</definedName>
    <definedName name="gSP_KalZeit">COLUMN(Arbeitszeit!$AS$4)-COLUMN(db_Jahr)+1</definedName>
    <definedName name="gSP_Kom1">COLUMN(db_JKomm1)-COLUMN(db_Jahr)+1</definedName>
    <definedName name="gSP_Kom2">COLUMN(db_JKomm2)-COLUMN(db_Jahr)+1</definedName>
    <definedName name="gSP_Korr">COLUMN(Arbeitszeit!$AF$4)-COLUMN(db_Jahr)+1</definedName>
    <definedName name="gSP_MaxOvertime">COLUMN(Arbeitszeit!$AD$4)-COLUMN(db_Jahr)+1</definedName>
    <definedName name="gSP_SaldoGes">COLUMN(db_jSaldoGes)-COLUMN(db_Jahr)+1</definedName>
    <definedName name="gSP_Soll">COLUMN(Arbeitszeit!$Y$4)-COLUMN(db_Jahr)+1</definedName>
    <definedName name="gSP_UrlR">COLUMN(Arbeitszeit!$AQ$4)-COLUMN(db_Jahr)+1</definedName>
    <definedName name="gSP_V_Overtime">COLUMN(Arbeitszeit!$AC$4)-COLUMN(db_Jahr)+1</definedName>
    <definedName name="gSP_V_Soll">COLUMN(Arbeitszeit!$Z$4)-COLUMN(db_Jahr)+1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R_ArbDiff">Arbeitszeit!$AA$6:$AA$373</definedName>
    <definedName name="R_ArbMax">Arbeitszeit!$AD$6:$AD$373</definedName>
    <definedName name="R_Ist">Arbeitszeit!$V$6:$V$373</definedName>
    <definedName name="R_Kalender">Kalender!$B$3:$Y$33</definedName>
    <definedName name="R_Korrekt">Arbeitszeit!$AF$6:$AF$373</definedName>
    <definedName name="R_Krank">Arbeitszeit!$AO$6:$AO$373</definedName>
    <definedName name="R_Monat">Arbeitszeit!$D$6:$D$373</definedName>
    <definedName name="R_Soll">Arbeitszeit!$Y$6:$Y$373</definedName>
    <definedName name="R_Urlaub">Arbeitszeit!$AP$6:$AP$373</definedName>
    <definedName name="Urlaub">"U"</definedName>
    <definedName name="xArbeitstag">Aufgaben!$AZ$5:$AZ$372</definedName>
    <definedName name="xcboAllg" localSheetId="7">Cockpit!$G$25</definedName>
    <definedName name="xcboKrk" localSheetId="7">Cockpit!$G$25</definedName>
    <definedName name="xcboUrl" localSheetId="7">Cockpit!$G$24</definedName>
    <definedName name="xcboValues">Cockpit!$G$24:$AA$24</definedName>
    <definedName name="XcurveBasis" localSheetId="4">Arbeitszeit!$AH$6:$AH$373</definedName>
    <definedName name="XcurveBasis" localSheetId="0">Classic!$S$5:$S$35</definedName>
    <definedName name="XcurveBasis" localSheetId="10">Übersicht!$G$6:$G$17</definedName>
    <definedName name="XcurveDiffMinus" localSheetId="4">Arbeitszeit!$AJ$6:$AJ$373</definedName>
    <definedName name="XcurveDiffMinus" localSheetId="0">Classic!$U$5:$U$35</definedName>
    <definedName name="XcurveDiffMinus" localSheetId="10">Übersicht!$I$6:$I$17</definedName>
    <definedName name="XcurveDiffOver" localSheetId="4">Arbeitszeit!$AD$6:$AD$373</definedName>
    <definedName name="XcurveDiffOver" localSheetId="0">Classic!$R$5:$R$35</definedName>
    <definedName name="XcurveDiffOver" localSheetId="10">Übersicht!$J$6:$J$17</definedName>
    <definedName name="XcurveDiffPlus" localSheetId="4">Arbeitszeit!$AI$6:$AI$373</definedName>
    <definedName name="XcurveDiffPlus" localSheetId="0">Classic!$T$5:$T$35</definedName>
    <definedName name="XcurveDiffPlus" localSheetId="10">Übersicht!$H$6:$H$17</definedName>
    <definedName name="xCurveHeader" localSheetId="7">Cockpit!$G$400:$AA$400</definedName>
    <definedName name="xCurveItem" localSheetId="7">Cockpit!$F$400</definedName>
    <definedName name="xCurveValue" localSheetId="7">Cockpit!$G$401:$AA$401</definedName>
    <definedName name="xDay" localSheetId="4">Arbeitszeit!$AK$6:$AK$36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8">Einstellungen!$B$2</definedName>
    <definedName name="xFilename" localSheetId="10">Übersicht!$A$2</definedName>
    <definedName name="xGlazPosAkt" localSheetId="7">Cockpit!$H$10</definedName>
    <definedName name="xGlazPosNew" localSheetId="7">Cockpit!$H$11</definedName>
    <definedName name="xJahr" localSheetId="4">Arbeitszeit!$A$3</definedName>
    <definedName name="xJahr" localSheetId="10">Übersicht!$A$3</definedName>
    <definedName name="xJahrEnd" localSheetId="4">Arbeitszeit!$C$3</definedName>
    <definedName name="xNoWorkTime" localSheetId="4">Arbeitszeit!$X$3</definedName>
    <definedName name="xOverTime" localSheetId="4">Arbeitszeit!$AC$3</definedName>
    <definedName name="xOverTime" localSheetId="0">Classic!$O$3</definedName>
    <definedName name="XPauseNach">Arbeitszeit!$T$3</definedName>
    <definedName name="xResturlaub" localSheetId="4">Arbeitszeit!$V$382</definedName>
    <definedName name="xResturlaub" localSheetId="0">Classic!$J$43</definedName>
    <definedName name="xResturlaub" localSheetId="8">Einstellungen!$H$5</definedName>
    <definedName name="xSaldo" localSheetId="4">Arbeitszeit!$V$380</definedName>
    <definedName name="xSaldo" localSheetId="0">Classic!$J$41</definedName>
    <definedName name="xSaldo" localSheetId="8">Einstellungen!$H$8</definedName>
    <definedName name="xStart" localSheetId="0">Classic!$A$3</definedName>
    <definedName name="xUrlaubVJRest" localSheetId="4">Arbeitszeit!$A$378</definedName>
    <definedName name="xVorjahrSaldo" localSheetId="4">Arbeitszeit!$A$377</definedName>
    <definedName name="XWorkTimeMax" localSheetId="4">Arbeitszeit!$AD$3</definedName>
    <definedName name="XWorkTimeMax" localSheetId="0">Classic!$R$3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2" i="38" l="1"/>
  <c r="I13" i="38"/>
  <c r="I14" i="38"/>
  <c r="I8" i="38"/>
  <c r="G6" i="38" l="1"/>
  <c r="I6" i="38"/>
  <c r="J6" i="38" s="1"/>
  <c r="L6" i="38"/>
  <c r="M6" i="38" s="1"/>
  <c r="O6" i="38"/>
  <c r="Q6" i="38" s="1"/>
  <c r="G7" i="38"/>
  <c r="L7" i="38"/>
  <c r="M7" i="38" s="1"/>
  <c r="O7" i="38"/>
  <c r="Q7" i="38" s="1"/>
  <c r="G8" i="38"/>
  <c r="L8" i="38"/>
  <c r="M8" i="38" s="1"/>
  <c r="O8" i="38"/>
  <c r="Q8" i="38" s="1"/>
  <c r="G9" i="38"/>
  <c r="I9" i="38"/>
  <c r="J9" i="38" s="1"/>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I15" i="38"/>
  <c r="J15" i="38" s="1"/>
  <c r="L15" i="38"/>
  <c r="M15" i="38" s="1"/>
  <c r="O15" i="38"/>
  <c r="Q15" i="38" s="1"/>
  <c r="G16" i="38"/>
  <c r="I16" i="38"/>
  <c r="J16" i="38" s="1"/>
  <c r="L16" i="38"/>
  <c r="M16" i="38" s="1"/>
  <c r="O16" i="38"/>
  <c r="Q16" i="38" s="1"/>
  <c r="G17" i="38"/>
  <c r="I17" i="38"/>
  <c r="J17" i="38" s="1"/>
  <c r="L17" i="38"/>
  <c r="M17" i="38" s="1"/>
  <c r="O17" i="38"/>
  <c r="Q17" i="38" s="1"/>
  <c r="G18" i="38"/>
  <c r="I18" i="38"/>
  <c r="J18" i="38" s="1"/>
  <c r="L18" i="38"/>
  <c r="M18" i="38" s="1"/>
  <c r="O18" i="38"/>
  <c r="Q18" i="38" s="1"/>
  <c r="G19" i="38"/>
  <c r="I19" i="38"/>
  <c r="J19" i="38" s="1"/>
  <c r="L19" i="38"/>
  <c r="M19" i="38" s="1"/>
  <c r="O19" i="38"/>
  <c r="Q19" i="38" s="1"/>
  <c r="G20" i="38"/>
  <c r="I20" i="38"/>
  <c r="J20" i="38" s="1"/>
  <c r="L20" i="38"/>
  <c r="M20" i="38" s="1"/>
  <c r="O20" i="38"/>
  <c r="Q20" i="38" s="1"/>
  <c r="G21" i="38"/>
  <c r="I21" i="38"/>
  <c r="J21" i="38" s="1"/>
  <c r="L21" i="38"/>
  <c r="M21" i="38" s="1"/>
  <c r="O21" i="38"/>
  <c r="Q21" i="38" s="1"/>
  <c r="G22" i="38"/>
  <c r="I22" i="38"/>
  <c r="J22" i="38" s="1"/>
  <c r="L22" i="38"/>
  <c r="M22" i="38" s="1"/>
  <c r="O22" i="38"/>
  <c r="Q22" i="38" s="1"/>
  <c r="G23" i="38"/>
  <c r="I23" i="38"/>
  <c r="J23" i="38" s="1"/>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I27" i="38"/>
  <c r="J27" i="38" s="1"/>
  <c r="L27" i="38"/>
  <c r="M27" i="38" s="1"/>
  <c r="O27" i="38"/>
  <c r="Q27" i="38" s="1"/>
  <c r="G28" i="38"/>
  <c r="I28" i="38"/>
  <c r="J28" i="38" s="1"/>
  <c r="L28" i="38"/>
  <c r="M28" i="38" s="1"/>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R10" i="38" l="1"/>
  <c r="R79" i="38"/>
  <c r="T79" i="38" s="1"/>
  <c r="R330" i="38"/>
  <c r="T330" i="38" s="1"/>
  <c r="U330" i="38" s="1"/>
  <c r="R286" i="38"/>
  <c r="T286" i="38" s="1"/>
  <c r="U286" i="38" s="1"/>
  <c r="R68" i="38"/>
  <c r="T68" i="38" s="1"/>
  <c r="R343" i="38"/>
  <c r="T343" i="38" s="1"/>
  <c r="U343" i="38" s="1"/>
  <c r="R339" i="38"/>
  <c r="T339" i="38" s="1"/>
  <c r="U339" i="38" s="1"/>
  <c r="R338" i="38"/>
  <c r="T338" i="38" s="1"/>
  <c r="U338" i="38" s="1"/>
  <c r="R254" i="38"/>
  <c r="R235" i="38"/>
  <c r="R56" i="38"/>
  <c r="T56" i="38" s="1"/>
  <c r="U56" i="38" s="1"/>
  <c r="R49" i="38"/>
  <c r="T49" i="38" s="1"/>
  <c r="U49" i="38" s="1"/>
  <c r="R21" i="38"/>
  <c r="T21" i="38" s="1"/>
  <c r="U21" i="38" s="1"/>
  <c r="R47" i="38"/>
  <c r="T47" i="38" s="1"/>
  <c r="U47" i="38" s="1"/>
  <c r="R334" i="38"/>
  <c r="T334" i="38" s="1"/>
  <c r="U334" i="38" s="1"/>
  <c r="R90" i="38"/>
  <c r="T90" i="38" s="1"/>
  <c r="U90" i="38" s="1"/>
  <c r="R17" i="38"/>
  <c r="T17" i="38" s="1"/>
  <c r="U17" i="38" s="1"/>
  <c r="R104" i="38"/>
  <c r="T104" i="38" s="1"/>
  <c r="U104" i="38" s="1"/>
  <c r="R96" i="38"/>
  <c r="T96" i="38" s="1"/>
  <c r="U96" i="38" s="1"/>
  <c r="R74" i="38"/>
  <c r="T74" i="38" s="1"/>
  <c r="U74" i="38" s="1"/>
  <c r="R298" i="38"/>
  <c r="T298" i="38" s="1"/>
  <c r="U298" i="38" s="1"/>
  <c r="R266" i="38"/>
  <c r="T266" i="38" s="1"/>
  <c r="U266" i="38" s="1"/>
  <c r="R217" i="38"/>
  <c r="T217" i="38" s="1"/>
  <c r="U217" i="38" s="1"/>
  <c r="R184" i="38"/>
  <c r="T184" i="38" s="1"/>
  <c r="U184" i="38" s="1"/>
  <c r="R114" i="38"/>
  <c r="T114" i="38" s="1"/>
  <c r="U114" i="38" s="1"/>
  <c r="R99" i="38"/>
  <c r="T99" i="38" s="1"/>
  <c r="U99" i="38" s="1"/>
  <c r="R78" i="38"/>
  <c r="R51" i="38"/>
  <c r="T51" i="38" s="1"/>
  <c r="U51" i="38" s="1"/>
  <c r="R29" i="38"/>
  <c r="T29" i="38" s="1"/>
  <c r="U29" i="38" s="1"/>
  <c r="R225" i="38"/>
  <c r="T225" i="38" s="1"/>
  <c r="U225" i="38" s="1"/>
  <c r="R220" i="38"/>
  <c r="T220" i="38" s="1"/>
  <c r="U220" i="38" s="1"/>
  <c r="R348" i="38"/>
  <c r="T348" i="38" s="1"/>
  <c r="U348" i="38" s="1"/>
  <c r="R335" i="38"/>
  <c r="T335" i="38" s="1"/>
  <c r="U335" i="38" s="1"/>
  <c r="R328" i="38"/>
  <c r="T328" i="38" s="1"/>
  <c r="U328" i="38" s="1"/>
  <c r="R242" i="38"/>
  <c r="T242" i="38" s="1"/>
  <c r="U242" i="38" s="1"/>
  <c r="R92" i="38"/>
  <c r="T92" i="38" s="1"/>
  <c r="U92" i="38" s="1"/>
  <c r="R73" i="38"/>
  <c r="T73" i="38" s="1"/>
  <c r="U73" i="38" s="1"/>
  <c r="R61" i="38"/>
  <c r="T61" i="38" s="1"/>
  <c r="U61" i="38" s="1"/>
  <c r="R32" i="38"/>
  <c r="T32" i="38" s="1"/>
  <c r="U32" i="38" s="1"/>
  <c r="R30" i="38"/>
  <c r="T30" i="38" s="1"/>
  <c r="U30" i="38" s="1"/>
  <c r="R27" i="38"/>
  <c r="T27" i="38" s="1"/>
  <c r="U27" i="38" s="1"/>
  <c r="R64" i="38"/>
  <c r="T64" i="38" s="1"/>
  <c r="U64" i="38" s="1"/>
  <c r="R33" i="38"/>
  <c r="T33" i="38" s="1"/>
  <c r="U33" i="38" s="1"/>
  <c r="R11" i="38"/>
  <c r="R282" i="38"/>
  <c r="T282" i="38" s="1"/>
  <c r="U282" i="38" s="1"/>
  <c r="R250" i="38"/>
  <c r="T250" i="38" s="1"/>
  <c r="U250" i="38" s="1"/>
  <c r="R226" i="38"/>
  <c r="T226" i="38" s="1"/>
  <c r="U226" i="38" s="1"/>
  <c r="R176" i="38"/>
  <c r="T176" i="38" s="1"/>
  <c r="U176" i="38" s="1"/>
  <c r="R322" i="38"/>
  <c r="T322" i="38" s="1"/>
  <c r="U322" i="38" s="1"/>
  <c r="R302" i="38"/>
  <c r="T302" i="38" s="1"/>
  <c r="U302" i="38" s="1"/>
  <c r="R270" i="38"/>
  <c r="T270" i="38" s="1"/>
  <c r="U270" i="38" s="1"/>
  <c r="R98" i="38"/>
  <c r="T98" i="38" s="1"/>
  <c r="U98" i="38" s="1"/>
  <c r="R57" i="38"/>
  <c r="T57" i="38" s="1"/>
  <c r="U57" i="38" s="1"/>
  <c r="R45" i="38"/>
  <c r="T45" i="38" s="1"/>
  <c r="U45" i="38" s="1"/>
  <c r="R37" i="38"/>
  <c r="T37" i="38" s="1"/>
  <c r="U37" i="38" s="1"/>
  <c r="R35" i="38"/>
  <c r="T35" i="38" s="1"/>
  <c r="U35" i="38" s="1"/>
  <c r="R9" i="38"/>
  <c r="R342" i="38"/>
  <c r="T342" i="38" s="1"/>
  <c r="U342" i="38" s="1"/>
  <c r="R318" i="38"/>
  <c r="T318" i="38" s="1"/>
  <c r="U318" i="38" s="1"/>
  <c r="R214" i="38"/>
  <c r="T214" i="38" s="1"/>
  <c r="U214" i="38" s="1"/>
  <c r="R122" i="38"/>
  <c r="T122" i="38" s="1"/>
  <c r="U122" i="38" s="1"/>
  <c r="R210" i="38"/>
  <c r="T210" i="38" s="1"/>
  <c r="U210" i="38" s="1"/>
  <c r="R91" i="38"/>
  <c r="T91" i="38" s="1"/>
  <c r="U91" i="38" s="1"/>
  <c r="R86" i="38"/>
  <c r="T86" i="38" s="1"/>
  <c r="U86" i="38" s="1"/>
  <c r="R83" i="38"/>
  <c r="T83" i="38" s="1"/>
  <c r="U83" i="38" s="1"/>
  <c r="R69" i="38"/>
  <c r="T69" i="38" s="1"/>
  <c r="U69" i="38" s="1"/>
  <c r="R40" i="38"/>
  <c r="T40" i="38" s="1"/>
  <c r="U40" i="38" s="1"/>
  <c r="R26" i="38"/>
  <c r="T26" i="38" s="1"/>
  <c r="U26" i="38" s="1"/>
  <c r="R24" i="38"/>
  <c r="T24" i="38" s="1"/>
  <c r="U24" i="38" s="1"/>
  <c r="R18" i="38"/>
  <c r="T18" i="38" s="1"/>
  <c r="U18" i="38" s="1"/>
  <c r="R332" i="38"/>
  <c r="T254" i="38"/>
  <c r="U254" i="38" s="1"/>
  <c r="R346" i="38"/>
  <c r="R306" i="38"/>
  <c r="R274" i="38"/>
  <c r="R230" i="38"/>
  <c r="R326" i="38"/>
  <c r="R294" i="38"/>
  <c r="R262" i="38"/>
  <c r="T235" i="38"/>
  <c r="U235" i="38" s="1"/>
  <c r="R228" i="38"/>
  <c r="R168" i="38"/>
  <c r="R160" i="38"/>
  <c r="R152" i="38"/>
  <c r="U79" i="38"/>
  <c r="R324" i="38"/>
  <c r="U68" i="38"/>
  <c r="R290" i="38"/>
  <c r="R258" i="38"/>
  <c r="R212" i="38"/>
  <c r="R314" i="38"/>
  <c r="R312" i="38"/>
  <c r="R310" i="38"/>
  <c r="R278" i="38"/>
  <c r="R246" i="38"/>
  <c r="R236" i="38"/>
  <c r="R340" i="38"/>
  <c r="R239" i="38"/>
  <c r="R221" i="38"/>
  <c r="R138" i="38"/>
  <c r="R130" i="38"/>
  <c r="R100" i="38"/>
  <c r="R89" i="38"/>
  <c r="T78" i="38"/>
  <c r="U78" i="38" s="1"/>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2"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15" i="38"/>
  <c r="R6" i="38"/>
  <c r="R94" i="38"/>
  <c r="R84" i="38"/>
  <c r="R76" i="38"/>
  <c r="R66" i="38"/>
  <c r="R28" i="38"/>
  <c r="R105" i="38"/>
  <c r="R55" i="38"/>
  <c r="R38" i="38"/>
  <c r="R19" i="38"/>
  <c r="R118" i="38"/>
  <c r="R62" i="38"/>
  <c r="R50" i="38"/>
  <c r="R16" i="38"/>
  <c r="R39" i="38"/>
  <c r="R23" i="38"/>
  <c r="R107" i="38"/>
  <c r="R106" i="38"/>
  <c r="R102" i="38"/>
  <c r="R97" i="38"/>
  <c r="R88" i="38"/>
  <c r="R80" i="38"/>
  <c r="R72" i="38"/>
  <c r="R63" i="38"/>
  <c r="R46" i="38"/>
  <c r="R34" i="38"/>
  <c r="R20"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T136" i="38" l="1"/>
  <c r="U136" i="38" s="1"/>
  <c r="T193" i="38"/>
  <c r="U193" i="38" s="1"/>
  <c r="T297" i="38"/>
  <c r="U297" i="38" s="1"/>
  <c r="T109" i="38"/>
  <c r="U109" i="38" s="1"/>
  <c r="T112" i="38"/>
  <c r="U112" i="38" s="1"/>
  <c r="T119" i="38"/>
  <c r="U119" i="38" s="1"/>
  <c r="T126" i="38"/>
  <c r="U126" i="38" s="1"/>
  <c r="T190" i="38"/>
  <c r="U190" i="38" s="1"/>
  <c r="T192" i="38"/>
  <c r="U192" i="38" s="1"/>
  <c r="T113" i="38"/>
  <c r="U113" i="38" s="1"/>
  <c r="T145" i="38"/>
  <c r="U145" i="38" s="1"/>
  <c r="T116" i="38"/>
  <c r="U116" i="38" s="1"/>
  <c r="T148" i="38"/>
  <c r="U148" i="38" s="1"/>
  <c r="T123" i="38"/>
  <c r="U123" i="38" s="1"/>
  <c r="T153" i="38"/>
  <c r="U153" i="38" s="1"/>
  <c r="T142" i="38"/>
  <c r="U142" i="38" s="1"/>
  <c r="T194" i="38"/>
  <c r="U194" i="38" s="1"/>
  <c r="T205" i="38"/>
  <c r="U205" i="38" s="1"/>
  <c r="T196" i="38"/>
  <c r="U196" i="38" s="1"/>
  <c r="T277" i="38"/>
  <c r="U277" i="38" s="1"/>
  <c r="T309" i="38"/>
  <c r="U309" i="38" s="1"/>
  <c r="T341" i="38"/>
  <c r="U341" i="38" s="1"/>
  <c r="T252" i="38"/>
  <c r="U252" i="38" s="1"/>
  <c r="T284" i="38"/>
  <c r="U284" i="38" s="1"/>
  <c r="T251" i="38"/>
  <c r="U251" i="38" s="1"/>
  <c r="T283" i="38"/>
  <c r="U283" i="38" s="1"/>
  <c r="T227" i="38"/>
  <c r="U227" i="38" s="1"/>
  <c r="T46" i="38"/>
  <c r="U46" i="38" s="1"/>
  <c r="T107" i="38"/>
  <c r="U107" i="38" s="1"/>
  <c r="T19" i="38"/>
  <c r="U19" i="38" s="1"/>
  <c r="T84" i="38"/>
  <c r="U84" i="38" s="1"/>
  <c r="T215" i="38"/>
  <c r="U215" i="38" s="1"/>
  <c r="T146" i="38"/>
  <c r="U146" i="38" s="1"/>
  <c r="T249" i="38"/>
  <c r="U249" i="38" s="1"/>
  <c r="T52" i="38"/>
  <c r="U52" i="38" s="1"/>
  <c r="T173" i="38"/>
  <c r="U173" i="38" s="1"/>
  <c r="T344" i="38"/>
  <c r="U344" i="38" s="1"/>
  <c r="T320" i="38"/>
  <c r="U320" i="38" s="1"/>
  <c r="T138" i="38"/>
  <c r="U138" i="38" s="1"/>
  <c r="T310" i="38"/>
  <c r="U310" i="38" s="1"/>
  <c r="T290" i="38"/>
  <c r="U290" i="38" s="1"/>
  <c r="T324" i="38"/>
  <c r="U324" i="38" s="1"/>
  <c r="T168" i="38"/>
  <c r="U168" i="38" s="1"/>
  <c r="T274" i="38"/>
  <c r="U274" i="38" s="1"/>
  <c r="T127" i="38"/>
  <c r="U127" i="38" s="1"/>
  <c r="T198" i="38"/>
  <c r="U198" i="38" s="1"/>
  <c r="T281" i="38"/>
  <c r="U281" i="38" s="1"/>
  <c r="T256" i="38"/>
  <c r="U256" i="38" s="1"/>
  <c r="T255" i="38"/>
  <c r="U255" i="38" s="1"/>
  <c r="T287" i="38"/>
  <c r="U287" i="38" s="1"/>
  <c r="T347" i="38"/>
  <c r="U347" i="38" s="1"/>
  <c r="T38" i="38"/>
  <c r="U38" i="38" s="1"/>
  <c r="T94" i="38"/>
  <c r="U94" i="38" s="1"/>
  <c r="T25" i="38"/>
  <c r="U25" i="38" s="1"/>
  <c r="T336" i="38"/>
  <c r="U336" i="38" s="1"/>
  <c r="T181" i="38"/>
  <c r="U181" i="38" s="1"/>
  <c r="T253" i="38"/>
  <c r="U253" i="38" s="1"/>
  <c r="T187" i="38"/>
  <c r="U187" i="38" s="1"/>
  <c r="T48" i="38"/>
  <c r="U48" i="38" s="1"/>
  <c r="T53" i="38"/>
  <c r="U53" i="38" s="1"/>
  <c r="T221" i="38"/>
  <c r="U221" i="38" s="1"/>
  <c r="T312" i="38"/>
  <c r="U312" i="38" s="1"/>
  <c r="T228" i="38"/>
  <c r="U228" i="38" s="1"/>
  <c r="T306" i="38"/>
  <c r="U306" i="38" s="1"/>
  <c r="T332" i="38"/>
  <c r="U332" i="38" s="1"/>
  <c r="T111" i="38"/>
  <c r="U111" i="38" s="1"/>
  <c r="T150" i="38"/>
  <c r="U150" i="38" s="1"/>
  <c r="T161" i="38"/>
  <c r="U161" i="38" s="1"/>
  <c r="T156" i="38"/>
  <c r="U156" i="38" s="1"/>
  <c r="T209" i="38"/>
  <c r="U209" i="38" s="1"/>
  <c r="T200" i="38"/>
  <c r="U200" i="38" s="1"/>
  <c r="T313" i="38"/>
  <c r="U313" i="38" s="1"/>
  <c r="T345" i="38"/>
  <c r="U345" i="38" s="1"/>
  <c r="T288" i="38"/>
  <c r="U288" i="38" s="1"/>
  <c r="T63" i="38"/>
  <c r="U63" i="38" s="1"/>
  <c r="T121" i="38"/>
  <c r="U121" i="38" s="1"/>
  <c r="T158" i="38"/>
  <c r="U158" i="38" s="1"/>
  <c r="T124" i="38"/>
  <c r="U124" i="38" s="1"/>
  <c r="T163" i="38"/>
  <c r="U163" i="38" s="1"/>
  <c r="T131" i="38"/>
  <c r="U131" i="38" s="1"/>
  <c r="T169" i="38"/>
  <c r="U169" i="38" s="1"/>
  <c r="T164" i="38"/>
  <c r="U164" i="38" s="1"/>
  <c r="T202" i="38"/>
  <c r="U202" i="38" s="1"/>
  <c r="T154" i="38"/>
  <c r="U154" i="38" s="1"/>
  <c r="T204" i="38"/>
  <c r="U204" i="38" s="1"/>
  <c r="T285" i="38"/>
  <c r="U285" i="38" s="1"/>
  <c r="T317" i="38"/>
  <c r="U317" i="38" s="1"/>
  <c r="T349" i="38"/>
  <c r="U349" i="38" s="1"/>
  <c r="T260" i="38"/>
  <c r="U260" i="38" s="1"/>
  <c r="T292" i="38"/>
  <c r="U292" i="38" s="1"/>
  <c r="T259" i="38"/>
  <c r="U259" i="38" s="1"/>
  <c r="T291" i="38"/>
  <c r="U291" i="38" s="1"/>
  <c r="T323" i="38"/>
  <c r="U323" i="38" s="1"/>
  <c r="T72" i="38"/>
  <c r="U72" i="38" s="1"/>
  <c r="T23" i="38"/>
  <c r="U23" i="38" s="1"/>
  <c r="T55" i="38"/>
  <c r="U55" i="38" s="1"/>
  <c r="T6" i="38"/>
  <c r="U6" i="38" s="1"/>
  <c r="T151" i="38"/>
  <c r="U151" i="38" s="1"/>
  <c r="T44" i="38"/>
  <c r="U44" i="38" s="1"/>
  <c r="T207" i="38"/>
  <c r="U207" i="38" s="1"/>
  <c r="T257" i="38"/>
  <c r="U257" i="38" s="1"/>
  <c r="T67" i="38"/>
  <c r="U67" i="38" s="1"/>
  <c r="T191" i="38"/>
  <c r="U191" i="38" s="1"/>
  <c r="T103" i="38"/>
  <c r="U103" i="38" s="1"/>
  <c r="T75" i="38"/>
  <c r="U75" i="38" s="1"/>
  <c r="T239" i="38"/>
  <c r="U239" i="38" s="1"/>
  <c r="T314" i="38"/>
  <c r="U314" i="38" s="1"/>
  <c r="T101" i="38"/>
  <c r="U101" i="38" s="1"/>
  <c r="T155" i="38"/>
  <c r="U155" i="38" s="1"/>
  <c r="T166" i="38"/>
  <c r="U166" i="38" s="1"/>
  <c r="T135" i="38"/>
  <c r="U135" i="38" s="1"/>
  <c r="T172" i="38"/>
  <c r="U172" i="38" s="1"/>
  <c r="T162" i="38"/>
  <c r="U162" i="38" s="1"/>
  <c r="T208" i="38"/>
  <c r="U208" i="38" s="1"/>
  <c r="T321" i="38"/>
  <c r="U321" i="38" s="1"/>
  <c r="T211" i="38"/>
  <c r="U211" i="38" s="1"/>
  <c r="T264" i="38"/>
  <c r="U264" i="38" s="1"/>
  <c r="T296" i="38"/>
  <c r="U296" i="38" s="1"/>
  <c r="T263" i="38"/>
  <c r="U263" i="38" s="1"/>
  <c r="T295" i="38"/>
  <c r="U295" i="38" s="1"/>
  <c r="T319" i="38"/>
  <c r="U319" i="38" s="1"/>
  <c r="T80" i="38"/>
  <c r="U80" i="38" s="1"/>
  <c r="T39" i="38"/>
  <c r="U39" i="38" s="1"/>
  <c r="T105" i="38"/>
  <c r="U105" i="38" s="1"/>
  <c r="T15" i="38"/>
  <c r="U15" i="38" s="1"/>
  <c r="T159" i="38"/>
  <c r="U159" i="38" s="1"/>
  <c r="T77" i="38"/>
  <c r="U77" i="38" s="1"/>
  <c r="T59" i="38"/>
  <c r="U59" i="38" s="1"/>
  <c r="T219" i="38"/>
  <c r="U219" i="38" s="1"/>
  <c r="T82" i="38"/>
  <c r="U82" i="38" s="1"/>
  <c r="T195" i="38"/>
  <c r="U195" i="38" s="1"/>
  <c r="T218" i="38"/>
  <c r="U218" i="38" s="1"/>
  <c r="T60" i="38"/>
  <c r="U60" i="38" s="1"/>
  <c r="T340" i="38"/>
  <c r="U340" i="38" s="1"/>
  <c r="T182" i="38"/>
  <c r="U182" i="38" s="1"/>
  <c r="T117" i="38"/>
  <c r="U117" i="38" s="1"/>
  <c r="T120" i="38"/>
  <c r="U120" i="38" s="1"/>
  <c r="T125" i="38"/>
  <c r="U125" i="38" s="1"/>
  <c r="T128" i="38"/>
  <c r="U128" i="38" s="1"/>
  <c r="T171" i="38"/>
  <c r="U171" i="38" s="1"/>
  <c r="T177" i="38"/>
  <c r="U177" i="38" s="1"/>
  <c r="T206" i="38"/>
  <c r="U206" i="38" s="1"/>
  <c r="T289" i="38"/>
  <c r="U289" i="38" s="1"/>
  <c r="T129" i="38"/>
  <c r="U129" i="38" s="1"/>
  <c r="T174" i="38"/>
  <c r="U174" i="38" s="1"/>
  <c r="T132" i="38"/>
  <c r="U132" i="38" s="1"/>
  <c r="T179" i="38"/>
  <c r="U179" i="38" s="1"/>
  <c r="T139" i="38"/>
  <c r="U139" i="38" s="1"/>
  <c r="T185" i="38"/>
  <c r="U185" i="38" s="1"/>
  <c r="T180" i="38"/>
  <c r="U180" i="38" s="1"/>
  <c r="T189" i="38"/>
  <c r="U189" i="38" s="1"/>
  <c r="T170" i="38"/>
  <c r="U170" i="38" s="1"/>
  <c r="T261" i="38"/>
  <c r="U261" i="38" s="1"/>
  <c r="T293" i="38"/>
  <c r="U293" i="38" s="1"/>
  <c r="T325" i="38"/>
  <c r="U325" i="38" s="1"/>
  <c r="T268" i="38"/>
  <c r="U268" i="38" s="1"/>
  <c r="T300" i="38"/>
  <c r="U300" i="38" s="1"/>
  <c r="T267" i="38"/>
  <c r="U267" i="38" s="1"/>
  <c r="T299" i="38"/>
  <c r="U299" i="38" s="1"/>
  <c r="T58" i="38"/>
  <c r="U58" i="38" s="1"/>
  <c r="T88" i="38"/>
  <c r="U88" i="38" s="1"/>
  <c r="T16" i="38"/>
  <c r="U16" i="38" s="1"/>
  <c r="T31" i="38"/>
  <c r="U31" i="38" s="1"/>
  <c r="T167" i="38"/>
  <c r="U167" i="38" s="1"/>
  <c r="T223" i="38"/>
  <c r="U223" i="38" s="1"/>
  <c r="T65" i="38"/>
  <c r="U65" i="38" s="1"/>
  <c r="T234" i="38"/>
  <c r="U234" i="38" s="1"/>
  <c r="T87" i="38"/>
  <c r="U87" i="38" s="1"/>
  <c r="T199" i="38"/>
  <c r="U199" i="38" s="1"/>
  <c r="T222" i="38"/>
  <c r="U222" i="38" s="1"/>
  <c r="T81" i="38"/>
  <c r="U81" i="38" s="1"/>
  <c r="T262" i="38"/>
  <c r="U262" i="38" s="1"/>
  <c r="T346" i="38"/>
  <c r="U346" i="38" s="1"/>
  <c r="T143" i="38"/>
  <c r="U143" i="38" s="1"/>
  <c r="T178" i="38"/>
  <c r="U178" i="38" s="1"/>
  <c r="T329" i="38"/>
  <c r="U329" i="38" s="1"/>
  <c r="T240" i="38"/>
  <c r="U240" i="38" s="1"/>
  <c r="T272" i="38"/>
  <c r="U272" i="38" s="1"/>
  <c r="T304" i="38"/>
  <c r="U304" i="38" s="1"/>
  <c r="T224" i="38"/>
  <c r="U224" i="38" s="1"/>
  <c r="T271" i="38"/>
  <c r="U271" i="38" s="1"/>
  <c r="T303" i="38"/>
  <c r="U303" i="38" s="1"/>
  <c r="T70" i="38"/>
  <c r="U70" i="38" s="1"/>
  <c r="T97" i="38"/>
  <c r="U97" i="38" s="1"/>
  <c r="T50" i="38"/>
  <c r="U50" i="38" s="1"/>
  <c r="T28" i="38"/>
  <c r="U28" i="38" s="1"/>
  <c r="T42" i="38"/>
  <c r="U42" i="38" s="1"/>
  <c r="T175" i="38"/>
  <c r="U175" i="38" s="1"/>
  <c r="T316" i="38"/>
  <c r="U316" i="38" s="1"/>
  <c r="T85" i="38"/>
  <c r="U85" i="38" s="1"/>
  <c r="T95" i="38"/>
  <c r="U95" i="38" s="1"/>
  <c r="T238" i="38"/>
  <c r="U238" i="38" s="1"/>
  <c r="T149" i="38"/>
  <c r="U149" i="38" s="1"/>
  <c r="T203" i="38"/>
  <c r="U203" i="38" s="1"/>
  <c r="T43" i="38"/>
  <c r="U43" i="38" s="1"/>
  <c r="T233" i="38"/>
  <c r="U233" i="38" s="1"/>
  <c r="T229" i="38"/>
  <c r="U229" i="38" s="1"/>
  <c r="T89" i="38"/>
  <c r="U89" i="38" s="1"/>
  <c r="T236" i="38"/>
  <c r="U236" i="38" s="1"/>
  <c r="T212" i="38"/>
  <c r="U212" i="38" s="1"/>
  <c r="T294" i="38"/>
  <c r="U294" i="38" s="1"/>
  <c r="T230" i="38"/>
  <c r="U230" i="38" s="1"/>
  <c r="T137" i="38"/>
  <c r="U137" i="38" s="1"/>
  <c r="T93" i="38"/>
  <c r="U93" i="38" s="1"/>
  <c r="T140" i="38"/>
  <c r="U140" i="38" s="1"/>
  <c r="T115" i="38"/>
  <c r="U115" i="38" s="1"/>
  <c r="T147" i="38"/>
  <c r="U147" i="38" s="1"/>
  <c r="T110" i="38"/>
  <c r="U110" i="38" s="1"/>
  <c r="T186" i="38"/>
  <c r="U186" i="38" s="1"/>
  <c r="T197" i="38"/>
  <c r="U197" i="38" s="1"/>
  <c r="T188" i="38"/>
  <c r="U188" i="38" s="1"/>
  <c r="T269" i="38"/>
  <c r="U269" i="38" s="1"/>
  <c r="T301" i="38"/>
  <c r="U301" i="38" s="1"/>
  <c r="T333" i="38"/>
  <c r="U333" i="38" s="1"/>
  <c r="T244" i="38"/>
  <c r="U244" i="38" s="1"/>
  <c r="T276" i="38"/>
  <c r="U276" i="38" s="1"/>
  <c r="T308" i="38"/>
  <c r="U308" i="38" s="1"/>
  <c r="T243" i="38"/>
  <c r="U243" i="38" s="1"/>
  <c r="T275" i="38"/>
  <c r="U275" i="38" s="1"/>
  <c r="T307" i="38"/>
  <c r="U307" i="38" s="1"/>
  <c r="T20" i="38"/>
  <c r="U20" i="38" s="1"/>
  <c r="T102" i="38"/>
  <c r="U102" i="38" s="1"/>
  <c r="T62" i="38"/>
  <c r="U62" i="38" s="1"/>
  <c r="T66" i="38"/>
  <c r="U66" i="38" s="1"/>
  <c r="T54" i="38"/>
  <c r="U54" i="38" s="1"/>
  <c r="T213" i="38"/>
  <c r="U213" i="38" s="1"/>
  <c r="T331" i="38"/>
  <c r="U331" i="38" s="1"/>
  <c r="T241" i="38"/>
  <c r="U241" i="38" s="1"/>
  <c r="T36" i="38"/>
  <c r="U36" i="38" s="1"/>
  <c r="T157" i="38"/>
  <c r="U157" i="38" s="1"/>
  <c r="T315" i="38"/>
  <c r="U315" i="38" s="1"/>
  <c r="T237" i="38"/>
  <c r="U237" i="38" s="1"/>
  <c r="T232" i="38"/>
  <c r="U232" i="38" s="1"/>
  <c r="T100" i="38"/>
  <c r="U100" i="38" s="1"/>
  <c r="T246" i="38"/>
  <c r="U246" i="38" s="1"/>
  <c r="T152" i="38"/>
  <c r="U152" i="38" s="1"/>
  <c r="T326" i="38"/>
  <c r="U326" i="38" s="1"/>
  <c r="T133" i="38"/>
  <c r="U133" i="38" s="1"/>
  <c r="T183" i="38"/>
  <c r="U183" i="38" s="1"/>
  <c r="T265" i="38"/>
  <c r="U265" i="38" s="1"/>
  <c r="T141" i="38"/>
  <c r="U141" i="38" s="1"/>
  <c r="T144" i="38"/>
  <c r="U144" i="38" s="1"/>
  <c r="T108" i="38"/>
  <c r="U108" i="38" s="1"/>
  <c r="T201" i="38"/>
  <c r="U201" i="38" s="1"/>
  <c r="T273" i="38"/>
  <c r="U273" i="38" s="1"/>
  <c r="T305" i="38"/>
  <c r="U305" i="38" s="1"/>
  <c r="T337" i="38"/>
  <c r="U337" i="38" s="1"/>
  <c r="T248" i="38"/>
  <c r="U248" i="38" s="1"/>
  <c r="T280" i="38"/>
  <c r="U280" i="38" s="1"/>
  <c r="T247" i="38"/>
  <c r="U247" i="38" s="1"/>
  <c r="T279" i="38"/>
  <c r="U279" i="38" s="1"/>
  <c r="T216" i="38"/>
  <c r="U216" i="38" s="1"/>
  <c r="T34" i="38"/>
  <c r="U34" i="38" s="1"/>
  <c r="T106" i="38"/>
  <c r="U106" i="38" s="1"/>
  <c r="T118" i="38"/>
  <c r="U118" i="38" s="1"/>
  <c r="T76" i="38"/>
  <c r="U76" i="38" s="1"/>
  <c r="T71" i="38"/>
  <c r="U71" i="38" s="1"/>
  <c r="T231" i="38"/>
  <c r="U231" i="38" s="1"/>
  <c r="T134" i="38"/>
  <c r="U134" i="38" s="1"/>
  <c r="T245" i="38"/>
  <c r="U245" i="38" s="1"/>
  <c r="T41" i="38"/>
  <c r="U41" i="38" s="1"/>
  <c r="T165" i="38"/>
  <c r="U165" i="38" s="1"/>
  <c r="T327" i="38"/>
  <c r="U327" i="38" s="1"/>
  <c r="T311" i="38"/>
  <c r="U311" i="38" s="1"/>
  <c r="T130" i="38"/>
  <c r="U130" i="38" s="1"/>
  <c r="T278" i="38"/>
  <c r="U278" i="38" s="1"/>
  <c r="T258" i="38"/>
  <c r="U258" i="38" s="1"/>
  <c r="T160" i="38"/>
  <c r="U160" i="38" s="1"/>
  <c r="C3" i="48"/>
  <c r="I369" i="38" l="1"/>
  <c r="O373" i="38" l="1"/>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I350" i="38"/>
  <c r="J350" i="38" s="1"/>
  <c r="J5" i="38"/>
  <c r="A9" i="50" l="1"/>
  <c r="A38" i="50" s="1"/>
  <c r="A10" i="50"/>
  <c r="A39" i="50" s="1"/>
  <c r="A11" i="50"/>
  <c r="A40" i="50" s="1"/>
  <c r="A12" i="50"/>
  <c r="A41" i="50" s="1"/>
  <c r="A13" i="50"/>
  <c r="A42" i="50" s="1"/>
  <c r="A14" i="50"/>
  <c r="A43" i="50" s="1"/>
  <c r="A15" i="50"/>
  <c r="A44" i="50" s="1"/>
  <c r="A16" i="50"/>
  <c r="A45" i="50" s="1"/>
  <c r="A17" i="50"/>
  <c r="A46" i="50" s="1"/>
  <c r="A18" i="50"/>
  <c r="A47" i="50" s="1"/>
  <c r="A19" i="50"/>
  <c r="A48" i="50" s="1"/>
  <c r="A20" i="50"/>
  <c r="A49" i="50" s="1"/>
  <c r="A21" i="50"/>
  <c r="A50" i="50" s="1"/>
  <c r="A22" i="50"/>
  <c r="A51" i="50" s="1"/>
  <c r="A23" i="50"/>
  <c r="A52" i="50" s="1"/>
  <c r="A24" i="50"/>
  <c r="A53" i="50" s="1"/>
  <c r="A25" i="50"/>
  <c r="A54" i="50" s="1"/>
  <c r="A26" i="50"/>
  <c r="A55" i="50" s="1"/>
  <c r="A27" i="50"/>
  <c r="A56" i="50" s="1"/>
  <c r="A6" i="50"/>
  <c r="A35" i="50" s="1"/>
  <c r="A7" i="50"/>
  <c r="A36" i="50" s="1"/>
  <c r="A8" i="50"/>
  <c r="A37" i="50" s="1"/>
  <c r="C32" i="50"/>
  <c r="C5" i="50"/>
  <c r="C4" i="50" s="1"/>
  <c r="AD3" i="38"/>
  <c r="AC3" i="38"/>
  <c r="AC348" i="38" s="1"/>
  <c r="X57" i="38"/>
  <c r="V1" i="38"/>
  <c r="AN6" i="38"/>
  <c r="AN7" i="38"/>
  <c r="AN8" i="38"/>
  <c r="AN9" i="38"/>
  <c r="AN10" i="38"/>
  <c r="AN11" i="38"/>
  <c r="AN12" i="38"/>
  <c r="AN13" i="38"/>
  <c r="AN14" i="38"/>
  <c r="AN15" i="38"/>
  <c r="AN16" i="38"/>
  <c r="AN17" i="38"/>
  <c r="AN18" i="38"/>
  <c r="AN19" i="38"/>
  <c r="AN20" i="38"/>
  <c r="AN21" i="38"/>
  <c r="AN22" i="38"/>
  <c r="AN23" i="38"/>
  <c r="AN24" i="38"/>
  <c r="AN25" i="38"/>
  <c r="AN26" i="38"/>
  <c r="AN27" i="38"/>
  <c r="AN28" i="38"/>
  <c r="AN29" i="38"/>
  <c r="AN30" i="38"/>
  <c r="AN31" i="38"/>
  <c r="AN32" i="38"/>
  <c r="AN33" i="38"/>
  <c r="AN34" i="38"/>
  <c r="AN35" i="38"/>
  <c r="AN36" i="38"/>
  <c r="AN37" i="38"/>
  <c r="AN38" i="38"/>
  <c r="AN39" i="38"/>
  <c r="AN40" i="38"/>
  <c r="AN41" i="38"/>
  <c r="AN42" i="38"/>
  <c r="AN43" i="38"/>
  <c r="AN44" i="38"/>
  <c r="AN45" i="38"/>
  <c r="AN47" i="38"/>
  <c r="AN48" i="38"/>
  <c r="AN49" i="38"/>
  <c r="AN50" i="38"/>
  <c r="AN51" i="38"/>
  <c r="AN52" i="38"/>
  <c r="AN53" i="38"/>
  <c r="AN55" i="38"/>
  <c r="AN57" i="38"/>
  <c r="AN59" i="38"/>
  <c r="AN60" i="38"/>
  <c r="AN61" i="38"/>
  <c r="AN63" i="38"/>
  <c r="AN64" i="38"/>
  <c r="AN65" i="38"/>
  <c r="AN66" i="38"/>
  <c r="AN67" i="38"/>
  <c r="AN68" i="38"/>
  <c r="AN69" i="38"/>
  <c r="AN71" i="38"/>
  <c r="AN72" i="38"/>
  <c r="AN73" i="38"/>
  <c r="AN74" i="38"/>
  <c r="AN75" i="38"/>
  <c r="AN76" i="38"/>
  <c r="AN77" i="38"/>
  <c r="AN79" i="38"/>
  <c r="AN80" i="38"/>
  <c r="AN82" i="38"/>
  <c r="AN83" i="38"/>
  <c r="AN84" i="38"/>
  <c r="AN85" i="38"/>
  <c r="AN86" i="38"/>
  <c r="AN87" i="38"/>
  <c r="AN88" i="38"/>
  <c r="AN89" i="38"/>
  <c r="AN90" i="38"/>
  <c r="AN91" i="38"/>
  <c r="AN92" i="38"/>
  <c r="AN93" i="38"/>
  <c r="AN95" i="38"/>
  <c r="AN96" i="38"/>
  <c r="AN98" i="38"/>
  <c r="AN99" i="38"/>
  <c r="AN101" i="38"/>
  <c r="AN102" i="38"/>
  <c r="AN103" i="38"/>
  <c r="AN104" i="38"/>
  <c r="AN105" i="38"/>
  <c r="AN107" i="38"/>
  <c r="AN108" i="38"/>
  <c r="AN109" i="38"/>
  <c r="AN111" i="38"/>
  <c r="AN112" i="38"/>
  <c r="AN114" i="38"/>
  <c r="AN115" i="38"/>
  <c r="AN116" i="38"/>
  <c r="AN117" i="38"/>
  <c r="AN118" i="38"/>
  <c r="AN119" i="38"/>
  <c r="AN120" i="38"/>
  <c r="AN121" i="38"/>
  <c r="AN122" i="38"/>
  <c r="AN123" i="38"/>
  <c r="AN124" i="38"/>
  <c r="AN127" i="38"/>
  <c r="AN128" i="38"/>
  <c r="AN130" i="38"/>
  <c r="AN131" i="38"/>
  <c r="AN132" i="38"/>
  <c r="AN133" i="38"/>
  <c r="AN134" i="38"/>
  <c r="AN136" i="38"/>
  <c r="AN137" i="38"/>
  <c r="AN138" i="38"/>
  <c r="AN140" i="38"/>
  <c r="AN143" i="38"/>
  <c r="AN144" i="38"/>
  <c r="AN146" i="38"/>
  <c r="AN147" i="38"/>
  <c r="AN148" i="38"/>
  <c r="AN149" i="38"/>
  <c r="AN150" i="38"/>
  <c r="AN151" i="38"/>
  <c r="AN152" i="38"/>
  <c r="AN153" i="38"/>
  <c r="AN154" i="38"/>
  <c r="AN155" i="38"/>
  <c r="AN159" i="38"/>
  <c r="AN160" i="38"/>
  <c r="AN162" i="38"/>
  <c r="AN163" i="38"/>
  <c r="AN165" i="38"/>
  <c r="AN166" i="38"/>
  <c r="AN167" i="38"/>
  <c r="AN168" i="38"/>
  <c r="AN169" i="38"/>
  <c r="AN170" i="38"/>
  <c r="AN172" i="38"/>
  <c r="AN175" i="38"/>
  <c r="AN176" i="38"/>
  <c r="AN178" i="38"/>
  <c r="AN179" i="38"/>
  <c r="AN180" i="38"/>
  <c r="AN181" i="38"/>
  <c r="AN182" i="38"/>
  <c r="AN183" i="38"/>
  <c r="AN184" i="38"/>
  <c r="AN185" i="38"/>
  <c r="AN186" i="38"/>
  <c r="AN187" i="38"/>
  <c r="AN188" i="38"/>
  <c r="AN190" i="38"/>
  <c r="AN191" i="38"/>
  <c r="AN192" i="38"/>
  <c r="AN194" i="38"/>
  <c r="AN196" i="38"/>
  <c r="AN199" i="38"/>
  <c r="AN200" i="38"/>
  <c r="AN201" i="38"/>
  <c r="AN202" i="38"/>
  <c r="AN204" i="38"/>
  <c r="AN206" i="38"/>
  <c r="AN207" i="38"/>
  <c r="AN209" i="38"/>
  <c r="AN210" i="38"/>
  <c r="AN212" i="38"/>
  <c r="AN215" i="38"/>
  <c r="AN216" i="38"/>
  <c r="AN217" i="38"/>
  <c r="AN218" i="38"/>
  <c r="AN220" i="38"/>
  <c r="AN222" i="38"/>
  <c r="AN223" i="38"/>
  <c r="AN224" i="38"/>
  <c r="AN225" i="38"/>
  <c r="AN226" i="38"/>
  <c r="AN228" i="38"/>
  <c r="AN231" i="38"/>
  <c r="AN232" i="38"/>
  <c r="AN233" i="38"/>
  <c r="AN234" i="38"/>
  <c r="AN235" i="38"/>
  <c r="AN236" i="38"/>
  <c r="AN239" i="38"/>
  <c r="AN241" i="38"/>
  <c r="AN242" i="38"/>
  <c r="AN244" i="38"/>
  <c r="AN247" i="38"/>
  <c r="AN248" i="38"/>
  <c r="AN249" i="38"/>
  <c r="AN250" i="38"/>
  <c r="AN252" i="38"/>
  <c r="AN254" i="38"/>
  <c r="AN256" i="38"/>
  <c r="AN257" i="38"/>
  <c r="AN258" i="38"/>
  <c r="AN259" i="38"/>
  <c r="AN260" i="38"/>
  <c r="AN262" i="38"/>
  <c r="AN264" i="38"/>
  <c r="AN265" i="38"/>
  <c r="AN267" i="38"/>
  <c r="AN268" i="38"/>
  <c r="AN270" i="38"/>
  <c r="AN272" i="38"/>
  <c r="AN273" i="38"/>
  <c r="AN274" i="38"/>
  <c r="AN275" i="38"/>
  <c r="AN276" i="38"/>
  <c r="AN278" i="38"/>
  <c r="AN280" i="38"/>
  <c r="AN282" i="38"/>
  <c r="AN283" i="38"/>
  <c r="AN284" i="38"/>
  <c r="AN286" i="38"/>
  <c r="AN287" i="38"/>
  <c r="AN288" i="38"/>
  <c r="AN289" i="38"/>
  <c r="AN290" i="38"/>
  <c r="AN291" i="38"/>
  <c r="AN293" i="38"/>
  <c r="AN294" i="38"/>
  <c r="AN295" i="38"/>
  <c r="AN296" i="38"/>
  <c r="AN298" i="38"/>
  <c r="AN299" i="38"/>
  <c r="AN300" i="38"/>
  <c r="AN301" i="38"/>
  <c r="AN302" i="38"/>
  <c r="AN303" i="38"/>
  <c r="AN305" i="38"/>
  <c r="AN307" i="38"/>
  <c r="AN308" i="38"/>
  <c r="AN309" i="38"/>
  <c r="AN310" i="38"/>
  <c r="AN311" i="38"/>
  <c r="AN313" i="38"/>
  <c r="AN314" i="38"/>
  <c r="AN315" i="38"/>
  <c r="AN316" i="38"/>
  <c r="AN318" i="38"/>
  <c r="AN319" i="38"/>
  <c r="AN320" i="38"/>
  <c r="AN321" i="38"/>
  <c r="AN322" i="38"/>
  <c r="AN323" i="38"/>
  <c r="AN324" i="38"/>
  <c r="AN326" i="38"/>
  <c r="AN328" i="38"/>
  <c r="AN329" i="38"/>
  <c r="AN330" i="38"/>
  <c r="AN332" i="38"/>
  <c r="AN334" i="38"/>
  <c r="AN336" i="38"/>
  <c r="AN337" i="38"/>
  <c r="AN338" i="38"/>
  <c r="AN339" i="38"/>
  <c r="AN340" i="38"/>
  <c r="AN341" i="38"/>
  <c r="AN342" i="38"/>
  <c r="AN343" i="38"/>
  <c r="AN344" i="38"/>
  <c r="AN345" i="38"/>
  <c r="AN346" i="38"/>
  <c r="AN347" i="38"/>
  <c r="AN348" i="38"/>
  <c r="AN349" i="38"/>
  <c r="G350" i="38"/>
  <c r="G351" i="38"/>
  <c r="AN351" i="38" s="1"/>
  <c r="G352" i="38"/>
  <c r="AN352" i="38" s="1"/>
  <c r="G353" i="38"/>
  <c r="G354" i="38"/>
  <c r="AN354" i="38" s="1"/>
  <c r="G355" i="38"/>
  <c r="AN355" i="38" s="1"/>
  <c r="G356" i="38"/>
  <c r="G357" i="38"/>
  <c r="G358" i="38"/>
  <c r="AN358" i="38" s="1"/>
  <c r="G359" i="38"/>
  <c r="G360" i="38"/>
  <c r="G361" i="38"/>
  <c r="AN361" i="38" s="1"/>
  <c r="G362" i="38"/>
  <c r="AN362" i="38" s="1"/>
  <c r="G363" i="38"/>
  <c r="G364" i="38"/>
  <c r="G365" i="38"/>
  <c r="AN365" i="38" s="1"/>
  <c r="G366" i="38"/>
  <c r="AN366" i="38" s="1"/>
  <c r="G367" i="38"/>
  <c r="G368" i="38"/>
  <c r="AN368" i="38" s="1"/>
  <c r="G369" i="38"/>
  <c r="AN369" i="38" s="1"/>
  <c r="G370" i="38"/>
  <c r="AN370" i="38" s="1"/>
  <c r="G371" i="38"/>
  <c r="AN371" i="38" s="1"/>
  <c r="G372" i="38"/>
  <c r="AN372" i="38" s="1"/>
  <c r="G373" i="38"/>
  <c r="AN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57" i="24" s="1"/>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H55" i="24" s="1"/>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39" i="50" s="1"/>
  <c r="Q3" i="7"/>
  <c r="R3" i="7" s="1"/>
  <c r="S3" i="7"/>
  <c r="B12" i="50" s="1"/>
  <c r="B41" i="50" s="1"/>
  <c r="U3" i="7"/>
  <c r="V3" i="7" s="1"/>
  <c r="W3" i="7"/>
  <c r="B14" i="50" s="1"/>
  <c r="B43" i="50" s="1"/>
  <c r="Y3" i="7"/>
  <c r="Z3" i="7" s="1"/>
  <c r="AA3" i="7"/>
  <c r="AB3" i="7" s="1"/>
  <c r="AC3" i="7"/>
  <c r="AD3" i="7" s="1"/>
  <c r="AE3" i="7"/>
  <c r="AF3" i="7" s="1"/>
  <c r="AG3" i="7"/>
  <c r="AH3" i="7" s="1"/>
  <c r="AI3" i="7"/>
  <c r="AJ3" i="7" s="1"/>
  <c r="AK3" i="7"/>
  <c r="B21" i="50" s="1"/>
  <c r="B50" i="50" s="1"/>
  <c r="AM3" i="7"/>
  <c r="B22" i="50" s="1"/>
  <c r="B51" i="50" s="1"/>
  <c r="AO3" i="7"/>
  <c r="AP3" i="7" s="1"/>
  <c r="AQ3" i="7"/>
  <c r="B24" i="50" s="1"/>
  <c r="B53" i="50" s="1"/>
  <c r="AS3" i="7"/>
  <c r="AT3" i="7" s="1"/>
  <c r="AU3" i="7"/>
  <c r="B26" i="50" s="1"/>
  <c r="B55" i="50" s="1"/>
  <c r="AW3" i="7"/>
  <c r="AX3" i="7" s="1"/>
  <c r="K374" i="7"/>
  <c r="V383" i="38"/>
  <c r="AO7" i="38"/>
  <c r="AP7" i="38"/>
  <c r="A378" i="38"/>
  <c r="AO8" i="38"/>
  <c r="AP8" i="38"/>
  <c r="AO9" i="38"/>
  <c r="AP9" i="38"/>
  <c r="AO10" i="38"/>
  <c r="AP10" i="38"/>
  <c r="AO11" i="38"/>
  <c r="AP11" i="38"/>
  <c r="AO12" i="38"/>
  <c r="AP12" i="38"/>
  <c r="AO13" i="38"/>
  <c r="AP13" i="38"/>
  <c r="AO14" i="38"/>
  <c r="AP14" i="38"/>
  <c r="AO15" i="38"/>
  <c r="AP15" i="38"/>
  <c r="AO16" i="38"/>
  <c r="AP16" i="38"/>
  <c r="AO17" i="38"/>
  <c r="AP17" i="38"/>
  <c r="AO18" i="38"/>
  <c r="AP18" i="38"/>
  <c r="AO19" i="38"/>
  <c r="AP19" i="38"/>
  <c r="AO20" i="38"/>
  <c r="AP20" i="38"/>
  <c r="AO21" i="38"/>
  <c r="AP21" i="38"/>
  <c r="AO22" i="38"/>
  <c r="AP22" i="38"/>
  <c r="AO23" i="38"/>
  <c r="AP23" i="38"/>
  <c r="AO24" i="38"/>
  <c r="AP24" i="38"/>
  <c r="AO25" i="38"/>
  <c r="AP25" i="38"/>
  <c r="AO26" i="38"/>
  <c r="AP26" i="38"/>
  <c r="B1" i="47"/>
  <c r="G1" i="47"/>
  <c r="A2" i="47"/>
  <c r="A3" i="47"/>
  <c r="A6" i="47" s="1"/>
  <c r="A7" i="47" s="1"/>
  <c r="A8" i="47" s="1"/>
  <c r="A9" i="47" s="1"/>
  <c r="A10" i="47" s="1"/>
  <c r="A11" i="47" s="1"/>
  <c r="A12" i="47" s="1"/>
  <c r="A13" i="47" s="1"/>
  <c r="A14" i="47" s="1"/>
  <c r="A15" i="47" s="1"/>
  <c r="A16" i="47" s="1"/>
  <c r="A17" i="47" s="1"/>
  <c r="AD4" i="38"/>
  <c r="AO27" i="38"/>
  <c r="AO28" i="38"/>
  <c r="AO29" i="38"/>
  <c r="AO30" i="38"/>
  <c r="AO31" i="38"/>
  <c r="AO32" i="38"/>
  <c r="AO33" i="38"/>
  <c r="AO34" i="38"/>
  <c r="AO35" i="38"/>
  <c r="AO36" i="38"/>
  <c r="AO6" i="38"/>
  <c r="AP27" i="38"/>
  <c r="AP28" i="38"/>
  <c r="AP29" i="38"/>
  <c r="AP30" i="38"/>
  <c r="AP31" i="38"/>
  <c r="AP32" i="38"/>
  <c r="AP33" i="38"/>
  <c r="AP34" i="38"/>
  <c r="AP35" i="38"/>
  <c r="AP36" i="38"/>
  <c r="AP6" i="38"/>
  <c r="AO37" i="38"/>
  <c r="AO38" i="38"/>
  <c r="AO39" i="38"/>
  <c r="AO40" i="38"/>
  <c r="AO41" i="38"/>
  <c r="AO42" i="38"/>
  <c r="AO43" i="38"/>
  <c r="AO44" i="38"/>
  <c r="AO45" i="38"/>
  <c r="AO46" i="38"/>
  <c r="AO47" i="38"/>
  <c r="AO48" i="38"/>
  <c r="AO49" i="38"/>
  <c r="AO50" i="38"/>
  <c r="AO51" i="38"/>
  <c r="AO52" i="38"/>
  <c r="AO53" i="38"/>
  <c r="AO54" i="38"/>
  <c r="AO55" i="38"/>
  <c r="AO56" i="38"/>
  <c r="AO57" i="38"/>
  <c r="AO58" i="38"/>
  <c r="AO59" i="38"/>
  <c r="AO60" i="38"/>
  <c r="AO61" i="38"/>
  <c r="AO62" i="38"/>
  <c r="AO63" i="38"/>
  <c r="AO64" i="38"/>
  <c r="AP37" i="38"/>
  <c r="AP38" i="38"/>
  <c r="AP39" i="38"/>
  <c r="AP40" i="38"/>
  <c r="AP41" i="38"/>
  <c r="AP42" i="38"/>
  <c r="AP43" i="38"/>
  <c r="AP44" i="38"/>
  <c r="AP45" i="38"/>
  <c r="AP46" i="38"/>
  <c r="AP47" i="38"/>
  <c r="AP48" i="38"/>
  <c r="AP49" i="38"/>
  <c r="AP50" i="38"/>
  <c r="AP51" i="38"/>
  <c r="AP52" i="38"/>
  <c r="AP53" i="38"/>
  <c r="AP54" i="38"/>
  <c r="AP55" i="38"/>
  <c r="AP56" i="38"/>
  <c r="AP57" i="38"/>
  <c r="AP58" i="38"/>
  <c r="AP59" i="38"/>
  <c r="AP60" i="38"/>
  <c r="AP61" i="38"/>
  <c r="AP62" i="38"/>
  <c r="AP63" i="38"/>
  <c r="AP64" i="38"/>
  <c r="AO65" i="38"/>
  <c r="AO66" i="38"/>
  <c r="AO67" i="38"/>
  <c r="AO68" i="38"/>
  <c r="AO69" i="38"/>
  <c r="AO70" i="38"/>
  <c r="AO71" i="38"/>
  <c r="AO72" i="38"/>
  <c r="AO73" i="38"/>
  <c r="AO74" i="38"/>
  <c r="AO75" i="38"/>
  <c r="AO76" i="38"/>
  <c r="AO77" i="38"/>
  <c r="AO78" i="38"/>
  <c r="AO79" i="38"/>
  <c r="AO80" i="38"/>
  <c r="AO81" i="38"/>
  <c r="AO82" i="38"/>
  <c r="AO83" i="38"/>
  <c r="AO84" i="38"/>
  <c r="AO85" i="38"/>
  <c r="AO86" i="38"/>
  <c r="AO87" i="38"/>
  <c r="AO88" i="38"/>
  <c r="AO89" i="38"/>
  <c r="AO90" i="38"/>
  <c r="AO91" i="38"/>
  <c r="AO92" i="38"/>
  <c r="AO93" i="38"/>
  <c r="AO94" i="38"/>
  <c r="AO95" i="38"/>
  <c r="AP65" i="38"/>
  <c r="AP66" i="38"/>
  <c r="AP67" i="38"/>
  <c r="AP68" i="38"/>
  <c r="AP69" i="38"/>
  <c r="AP70" i="38"/>
  <c r="AP71" i="38"/>
  <c r="AP72" i="38"/>
  <c r="AP73" i="38"/>
  <c r="AP74" i="38"/>
  <c r="AP75" i="38"/>
  <c r="AP76" i="38"/>
  <c r="AP77" i="38"/>
  <c r="AP78" i="38"/>
  <c r="AP79" i="38"/>
  <c r="AP80" i="38"/>
  <c r="AP81" i="38"/>
  <c r="AP82" i="38"/>
  <c r="AP83" i="38"/>
  <c r="AP84" i="38"/>
  <c r="AP85" i="38"/>
  <c r="AP86" i="38"/>
  <c r="AP87" i="38"/>
  <c r="AP88" i="38"/>
  <c r="AP89" i="38"/>
  <c r="AP90" i="38"/>
  <c r="AP91" i="38"/>
  <c r="AP92" i="38"/>
  <c r="AP93" i="38"/>
  <c r="AP94" i="38"/>
  <c r="AP95" i="38"/>
  <c r="AO96" i="38"/>
  <c r="AO97" i="38"/>
  <c r="AO98" i="38"/>
  <c r="AO99" i="38"/>
  <c r="AO100" i="38"/>
  <c r="AO101" i="38"/>
  <c r="AO102" i="38"/>
  <c r="AO103" i="38"/>
  <c r="AO104" i="38"/>
  <c r="AO105" i="38"/>
  <c r="AO106" i="38"/>
  <c r="AO107" i="38"/>
  <c r="AO108" i="38"/>
  <c r="AO109" i="38"/>
  <c r="AO110" i="38"/>
  <c r="AO111" i="38"/>
  <c r="AO112" i="38"/>
  <c r="AO113" i="38"/>
  <c r="AO114" i="38"/>
  <c r="AO115" i="38"/>
  <c r="AO116" i="38"/>
  <c r="AO117" i="38"/>
  <c r="AO118" i="38"/>
  <c r="AO119" i="38"/>
  <c r="AO120" i="38"/>
  <c r="AO121" i="38"/>
  <c r="AO122" i="38"/>
  <c r="AO123" i="38"/>
  <c r="AO124" i="38"/>
  <c r="AO125" i="38"/>
  <c r="AP96" i="38"/>
  <c r="AP97" i="38"/>
  <c r="AP98" i="38"/>
  <c r="AP99" i="38"/>
  <c r="AP100" i="38"/>
  <c r="AP101" i="38"/>
  <c r="AP102" i="38"/>
  <c r="AP103" i="38"/>
  <c r="AP104" i="38"/>
  <c r="AP105" i="38"/>
  <c r="AP106" i="38"/>
  <c r="AP107" i="38"/>
  <c r="AP108" i="38"/>
  <c r="AP109" i="38"/>
  <c r="AP110" i="38"/>
  <c r="AP111" i="38"/>
  <c r="AP112" i="38"/>
  <c r="AP113" i="38"/>
  <c r="AP114" i="38"/>
  <c r="AP115" i="38"/>
  <c r="AP116" i="38"/>
  <c r="AP117" i="38"/>
  <c r="AP118" i="38"/>
  <c r="AP119" i="38"/>
  <c r="AP120" i="38"/>
  <c r="AP121" i="38"/>
  <c r="AP122" i="38"/>
  <c r="AP123" i="38"/>
  <c r="AP124" i="38"/>
  <c r="AP125" i="38"/>
  <c r="AO126" i="38"/>
  <c r="AO127" i="38"/>
  <c r="AO128" i="38"/>
  <c r="AO129" i="38"/>
  <c r="AO130" i="38"/>
  <c r="AO131" i="38"/>
  <c r="AO132" i="38"/>
  <c r="AO133" i="38"/>
  <c r="AO134" i="38"/>
  <c r="AO135" i="38"/>
  <c r="AO136" i="38"/>
  <c r="AO137" i="38"/>
  <c r="AO138" i="38"/>
  <c r="AO139" i="38"/>
  <c r="AO140" i="38"/>
  <c r="AO141" i="38"/>
  <c r="AO142" i="38"/>
  <c r="AO143" i="38"/>
  <c r="AO144" i="38"/>
  <c r="AO145" i="38"/>
  <c r="AO146" i="38"/>
  <c r="AO147" i="38"/>
  <c r="AO148" i="38"/>
  <c r="AO149" i="38"/>
  <c r="AO150" i="38"/>
  <c r="AO151" i="38"/>
  <c r="AO152" i="38"/>
  <c r="AO153" i="38"/>
  <c r="AO154" i="38"/>
  <c r="AO155" i="38"/>
  <c r="AO156" i="38"/>
  <c r="AP126" i="38"/>
  <c r="AP127" i="38"/>
  <c r="AP128" i="38"/>
  <c r="AP129" i="38"/>
  <c r="AP130" i="38"/>
  <c r="AP131" i="38"/>
  <c r="AP132" i="38"/>
  <c r="AP133" i="38"/>
  <c r="AP134" i="38"/>
  <c r="AP135" i="38"/>
  <c r="AP136" i="38"/>
  <c r="AP137" i="38"/>
  <c r="AP138" i="38"/>
  <c r="AP139" i="38"/>
  <c r="AP140" i="38"/>
  <c r="AP141" i="38"/>
  <c r="AP142" i="38"/>
  <c r="AP143" i="38"/>
  <c r="AP144" i="38"/>
  <c r="AP145" i="38"/>
  <c r="AP146" i="38"/>
  <c r="AP147" i="38"/>
  <c r="AP148" i="38"/>
  <c r="AP149" i="38"/>
  <c r="AP150" i="38"/>
  <c r="AP151" i="38"/>
  <c r="AP152" i="38"/>
  <c r="AP153" i="38"/>
  <c r="AP154" i="38"/>
  <c r="AP155" i="38"/>
  <c r="AP156" i="38"/>
  <c r="AO157" i="38"/>
  <c r="AO158" i="38"/>
  <c r="AO159" i="38"/>
  <c r="AO160" i="38"/>
  <c r="AO161" i="38"/>
  <c r="AO162" i="38"/>
  <c r="AO163" i="38"/>
  <c r="AO164" i="38"/>
  <c r="AO165" i="38"/>
  <c r="AO166" i="38"/>
  <c r="AO167" i="38"/>
  <c r="AO168" i="38"/>
  <c r="AO169" i="38"/>
  <c r="AO170" i="38"/>
  <c r="AO171" i="38"/>
  <c r="AO172" i="38"/>
  <c r="AO173" i="38"/>
  <c r="AO174" i="38"/>
  <c r="AO175" i="38"/>
  <c r="AO176" i="38"/>
  <c r="AO177" i="38"/>
  <c r="AO178" i="38"/>
  <c r="AO179" i="38"/>
  <c r="AO180" i="38"/>
  <c r="AO181" i="38"/>
  <c r="AO182" i="38"/>
  <c r="AO183" i="38"/>
  <c r="AO184" i="38"/>
  <c r="AO185" i="38"/>
  <c r="AO186" i="38"/>
  <c r="AP157" i="38"/>
  <c r="AP158" i="38"/>
  <c r="AP159" i="38"/>
  <c r="AP160" i="38"/>
  <c r="AP161" i="38"/>
  <c r="AP162" i="38"/>
  <c r="AP163" i="38"/>
  <c r="AP164" i="38"/>
  <c r="AP165" i="38"/>
  <c r="AP166" i="38"/>
  <c r="AP167" i="38"/>
  <c r="AP168" i="38"/>
  <c r="AP169" i="38"/>
  <c r="AP170" i="38"/>
  <c r="AP171" i="38"/>
  <c r="AP172" i="38"/>
  <c r="AP173" i="38"/>
  <c r="AP174" i="38"/>
  <c r="AP175" i="38"/>
  <c r="AP176" i="38"/>
  <c r="AP177" i="38"/>
  <c r="AP178" i="38"/>
  <c r="AP179" i="38"/>
  <c r="AP180" i="38"/>
  <c r="AP181" i="38"/>
  <c r="AP182" i="38"/>
  <c r="AP183" i="38"/>
  <c r="AP184" i="38"/>
  <c r="AP185" i="38"/>
  <c r="AP186" i="38"/>
  <c r="AO187" i="38"/>
  <c r="AO188" i="38"/>
  <c r="AO189" i="38"/>
  <c r="AO190" i="38"/>
  <c r="AO191" i="38"/>
  <c r="AO192" i="38"/>
  <c r="AO193" i="38"/>
  <c r="AO194" i="38"/>
  <c r="AO195" i="38"/>
  <c r="AO196" i="38"/>
  <c r="AO197" i="38"/>
  <c r="AO198" i="38"/>
  <c r="AO199" i="38"/>
  <c r="AO200" i="38"/>
  <c r="AO201" i="38"/>
  <c r="AO202" i="38"/>
  <c r="AO203" i="38"/>
  <c r="AO204" i="38"/>
  <c r="AO205" i="38"/>
  <c r="AO206" i="38"/>
  <c r="AO207" i="38"/>
  <c r="AO208" i="38"/>
  <c r="AO209" i="38"/>
  <c r="AO210" i="38"/>
  <c r="AO211" i="38"/>
  <c r="AO212" i="38"/>
  <c r="AO213" i="38"/>
  <c r="AO214" i="38"/>
  <c r="AO215" i="38"/>
  <c r="AO216" i="38"/>
  <c r="AO217" i="38"/>
  <c r="AP187" i="38"/>
  <c r="AP188" i="38"/>
  <c r="AP189" i="38"/>
  <c r="AP190" i="38"/>
  <c r="AP191" i="38"/>
  <c r="AP192" i="38"/>
  <c r="AP193" i="38"/>
  <c r="AP194" i="38"/>
  <c r="AP195" i="38"/>
  <c r="AP196" i="38"/>
  <c r="AP197" i="38"/>
  <c r="AP198" i="38"/>
  <c r="AP199" i="38"/>
  <c r="AP200" i="38"/>
  <c r="AP201" i="38"/>
  <c r="AP202" i="38"/>
  <c r="AP203" i="38"/>
  <c r="AP204" i="38"/>
  <c r="AP205" i="38"/>
  <c r="AP206" i="38"/>
  <c r="AP207" i="38"/>
  <c r="AP208" i="38"/>
  <c r="AP209" i="38"/>
  <c r="AP210" i="38"/>
  <c r="AP211" i="38"/>
  <c r="AP212" i="38"/>
  <c r="AP213" i="38"/>
  <c r="AP214" i="38"/>
  <c r="AP215" i="38"/>
  <c r="AP216" i="38"/>
  <c r="AP217" i="38"/>
  <c r="AO218" i="38"/>
  <c r="AO219" i="38"/>
  <c r="AO220" i="38"/>
  <c r="AO221" i="38"/>
  <c r="AO222" i="38"/>
  <c r="AO223" i="38"/>
  <c r="AO224" i="38"/>
  <c r="AO225" i="38"/>
  <c r="AO226" i="38"/>
  <c r="AO227" i="38"/>
  <c r="AO228" i="38"/>
  <c r="AO229" i="38"/>
  <c r="AO230" i="38"/>
  <c r="AO231" i="38"/>
  <c r="AO232" i="38"/>
  <c r="AO233" i="38"/>
  <c r="AO234" i="38"/>
  <c r="AO235" i="38"/>
  <c r="AO236" i="38"/>
  <c r="AO237" i="38"/>
  <c r="AO238" i="38"/>
  <c r="AO239" i="38"/>
  <c r="AO240" i="38"/>
  <c r="AO241" i="38"/>
  <c r="AO242" i="38"/>
  <c r="AO243" i="38"/>
  <c r="AO244" i="38"/>
  <c r="AO245" i="38"/>
  <c r="AO246" i="38"/>
  <c r="AO247" i="38"/>
  <c r="AO248" i="38"/>
  <c r="AP218" i="38"/>
  <c r="AP219" i="38"/>
  <c r="AP220" i="38"/>
  <c r="AP221" i="38"/>
  <c r="AP222" i="38"/>
  <c r="AP223" i="38"/>
  <c r="AP224" i="38"/>
  <c r="AP225" i="38"/>
  <c r="AP226" i="38"/>
  <c r="AP227" i="38"/>
  <c r="AP228" i="38"/>
  <c r="AP229" i="38"/>
  <c r="AP230" i="38"/>
  <c r="AP231" i="38"/>
  <c r="AP232" i="38"/>
  <c r="AP233" i="38"/>
  <c r="AP234" i="38"/>
  <c r="AP235" i="38"/>
  <c r="AP236" i="38"/>
  <c r="AP237" i="38"/>
  <c r="AP238" i="38"/>
  <c r="AP239" i="38"/>
  <c r="AP240" i="38"/>
  <c r="AP241" i="38"/>
  <c r="AP242" i="38"/>
  <c r="AP243" i="38"/>
  <c r="AP244" i="38"/>
  <c r="AP245" i="38"/>
  <c r="AP246" i="38"/>
  <c r="AP247" i="38"/>
  <c r="AP248" i="38"/>
  <c r="AO249" i="38"/>
  <c r="AO250" i="38"/>
  <c r="AO251" i="38"/>
  <c r="AO252" i="38"/>
  <c r="AO253" i="38"/>
  <c r="AO254" i="38"/>
  <c r="AO255" i="38"/>
  <c r="AO256" i="38"/>
  <c r="AO257" i="38"/>
  <c r="AO258" i="38"/>
  <c r="AO259" i="38"/>
  <c r="AO260" i="38"/>
  <c r="AO261" i="38"/>
  <c r="AO262" i="38"/>
  <c r="AO263" i="38"/>
  <c r="AO264" i="38"/>
  <c r="AO265" i="38"/>
  <c r="AO266" i="38"/>
  <c r="AO267" i="38"/>
  <c r="AO268" i="38"/>
  <c r="AO269" i="38"/>
  <c r="AO270" i="38"/>
  <c r="AO271" i="38"/>
  <c r="AO272" i="38"/>
  <c r="AO273" i="38"/>
  <c r="AO274" i="38"/>
  <c r="AO275" i="38"/>
  <c r="AO276" i="38"/>
  <c r="AO277" i="38"/>
  <c r="AO278" i="38"/>
  <c r="AP249" i="38"/>
  <c r="AP250" i="38"/>
  <c r="AP251" i="38"/>
  <c r="AP252" i="38"/>
  <c r="AP253" i="38"/>
  <c r="AP254" i="38"/>
  <c r="AP255" i="38"/>
  <c r="AP256" i="38"/>
  <c r="AP257" i="38"/>
  <c r="AP258" i="38"/>
  <c r="AP259" i="38"/>
  <c r="AP260" i="38"/>
  <c r="AP261" i="38"/>
  <c r="AP262" i="38"/>
  <c r="AP263" i="38"/>
  <c r="AP264" i="38"/>
  <c r="AP265" i="38"/>
  <c r="AP266" i="38"/>
  <c r="AP267" i="38"/>
  <c r="AP268" i="38"/>
  <c r="AP269" i="38"/>
  <c r="AP270" i="38"/>
  <c r="AP271" i="38"/>
  <c r="AP272" i="38"/>
  <c r="AP273" i="38"/>
  <c r="AP274" i="38"/>
  <c r="AP275" i="38"/>
  <c r="AP276" i="38"/>
  <c r="AP277" i="38"/>
  <c r="AP278" i="38"/>
  <c r="AO279" i="38"/>
  <c r="AO280" i="38"/>
  <c r="AO281" i="38"/>
  <c r="AO282" i="38"/>
  <c r="AO283" i="38"/>
  <c r="AO284" i="38"/>
  <c r="AO285" i="38"/>
  <c r="AO286" i="38"/>
  <c r="AO287" i="38"/>
  <c r="AO288" i="38"/>
  <c r="AO289" i="38"/>
  <c r="AO290" i="38"/>
  <c r="AO291" i="38"/>
  <c r="AO292" i="38"/>
  <c r="AO293" i="38"/>
  <c r="AO294" i="38"/>
  <c r="AO295" i="38"/>
  <c r="AO296" i="38"/>
  <c r="AO297" i="38"/>
  <c r="AO298" i="38"/>
  <c r="AO299" i="38"/>
  <c r="AO300" i="38"/>
  <c r="AO301" i="38"/>
  <c r="AO302" i="38"/>
  <c r="AO303" i="38"/>
  <c r="AO304" i="38"/>
  <c r="AO305" i="38"/>
  <c r="AO306" i="38"/>
  <c r="AO307" i="38"/>
  <c r="AO308" i="38"/>
  <c r="AO309" i="38"/>
  <c r="AP279" i="38"/>
  <c r="AP280" i="38"/>
  <c r="AP281" i="38"/>
  <c r="AP282" i="38"/>
  <c r="AP283" i="38"/>
  <c r="AP284" i="38"/>
  <c r="AP285" i="38"/>
  <c r="AP286" i="38"/>
  <c r="AP287" i="38"/>
  <c r="AP288" i="38"/>
  <c r="AP289" i="38"/>
  <c r="AP290" i="38"/>
  <c r="AP291" i="38"/>
  <c r="AP292" i="38"/>
  <c r="AP293" i="38"/>
  <c r="AP294" i="38"/>
  <c r="AP295" i="38"/>
  <c r="AP296" i="38"/>
  <c r="AP297" i="38"/>
  <c r="AP298" i="38"/>
  <c r="AP299" i="38"/>
  <c r="AP300" i="38"/>
  <c r="AP301" i="38"/>
  <c r="AP302" i="38"/>
  <c r="AP303" i="38"/>
  <c r="AP304" i="38"/>
  <c r="AP305" i="38"/>
  <c r="AP306" i="38"/>
  <c r="AP307" i="38"/>
  <c r="AP308" i="38"/>
  <c r="AP309" i="38"/>
  <c r="AO310" i="38"/>
  <c r="AO311" i="38"/>
  <c r="AO312" i="38"/>
  <c r="AO313" i="38"/>
  <c r="AO314" i="38"/>
  <c r="AO315" i="38"/>
  <c r="AO316" i="38"/>
  <c r="AO317" i="38"/>
  <c r="AO318" i="38"/>
  <c r="AO319" i="38"/>
  <c r="AO320" i="38"/>
  <c r="AO321" i="38"/>
  <c r="AO322" i="38"/>
  <c r="AO323" i="38"/>
  <c r="AO324" i="38"/>
  <c r="AO325" i="38"/>
  <c r="AO326" i="38"/>
  <c r="AO327" i="38"/>
  <c r="AO328" i="38"/>
  <c r="AO329" i="38"/>
  <c r="AO330" i="38"/>
  <c r="AO331" i="38"/>
  <c r="AO332" i="38"/>
  <c r="AO333" i="38"/>
  <c r="AO334" i="38"/>
  <c r="AO335" i="38"/>
  <c r="AO336" i="38"/>
  <c r="AO337" i="38"/>
  <c r="AO338" i="38"/>
  <c r="AO339" i="38"/>
  <c r="AP310" i="38"/>
  <c r="AP311" i="38"/>
  <c r="AP312" i="38"/>
  <c r="AP313" i="38"/>
  <c r="AP314" i="38"/>
  <c r="AP315" i="38"/>
  <c r="AP316" i="38"/>
  <c r="AP317" i="38"/>
  <c r="AP318" i="38"/>
  <c r="AP319" i="38"/>
  <c r="AP320" i="38"/>
  <c r="AP321" i="38"/>
  <c r="AP322" i="38"/>
  <c r="AP323" i="38"/>
  <c r="AP324" i="38"/>
  <c r="AP325" i="38"/>
  <c r="AP326" i="38"/>
  <c r="AP327" i="38"/>
  <c r="AP328" i="38"/>
  <c r="AP329" i="38"/>
  <c r="AP330" i="38"/>
  <c r="AP331" i="38"/>
  <c r="AP332" i="38"/>
  <c r="AP333" i="38"/>
  <c r="AP334" i="38"/>
  <c r="AP335" i="38"/>
  <c r="AP336" i="38"/>
  <c r="AP337" i="38"/>
  <c r="AP338" i="38"/>
  <c r="AP339" i="38"/>
  <c r="AO347" i="38"/>
  <c r="AO340" i="38"/>
  <c r="AO341" i="38"/>
  <c r="AO342" i="38"/>
  <c r="AO343" i="38"/>
  <c r="AO344" i="38"/>
  <c r="AO345" i="38"/>
  <c r="AO346" i="38"/>
  <c r="AO348" i="38"/>
  <c r="AO349" i="38"/>
  <c r="AO350" i="38"/>
  <c r="AO351" i="38"/>
  <c r="AO352" i="38"/>
  <c r="AO353" i="38"/>
  <c r="AO354" i="38"/>
  <c r="AO355" i="38"/>
  <c r="AO356" i="38"/>
  <c r="AO357" i="38"/>
  <c r="AO358" i="38"/>
  <c r="AO359" i="38"/>
  <c r="AO360" i="38"/>
  <c r="AO361" i="38"/>
  <c r="AO362" i="38"/>
  <c r="AO363" i="38"/>
  <c r="AO364" i="38"/>
  <c r="AO365" i="38"/>
  <c r="AO366" i="38"/>
  <c r="AO367" i="38"/>
  <c r="AO368" i="38"/>
  <c r="AO369" i="38"/>
  <c r="AO370" i="38"/>
  <c r="AP347" i="38"/>
  <c r="AP340" i="38"/>
  <c r="AP341" i="38"/>
  <c r="AP342" i="38"/>
  <c r="AP343" i="38"/>
  <c r="AP344" i="38"/>
  <c r="AP345" i="38"/>
  <c r="AP346" i="38"/>
  <c r="AP348" i="38"/>
  <c r="AP349" i="38"/>
  <c r="AP350" i="38"/>
  <c r="AP351" i="38"/>
  <c r="AP352" i="38"/>
  <c r="AP353" i="38"/>
  <c r="AP354" i="38"/>
  <c r="AP355" i="38"/>
  <c r="AP356" i="38"/>
  <c r="AP357" i="38"/>
  <c r="AP358" i="38"/>
  <c r="AP359" i="38"/>
  <c r="AP360" i="38"/>
  <c r="AP361" i="38"/>
  <c r="AP362" i="38"/>
  <c r="AP363" i="38"/>
  <c r="AP364" i="38"/>
  <c r="AP365" i="38"/>
  <c r="AP366" i="38"/>
  <c r="AP367" i="38"/>
  <c r="AP368" i="38"/>
  <c r="AP369" i="38"/>
  <c r="AP370" i="38"/>
  <c r="H21" i="47"/>
  <c r="A22" i="47"/>
  <c r="H22" i="47"/>
  <c r="A24" i="47"/>
  <c r="H24" i="47"/>
  <c r="H25" i="47"/>
  <c r="H26" i="47"/>
  <c r="B2" i="20"/>
  <c r="M3" i="20"/>
  <c r="M4" i="20"/>
  <c r="H5" i="20"/>
  <c r="M5" i="20"/>
  <c r="M6" i="20"/>
  <c r="M7" i="20"/>
  <c r="M8" i="20"/>
  <c r="H9" i="20"/>
  <c r="M9" i="20"/>
  <c r="L10" i="20"/>
  <c r="E12" i="20"/>
  <c r="Q12" i="20"/>
  <c r="J11" i="24"/>
  <c r="J6" i="24" s="1"/>
  <c r="V379" i="38"/>
  <c r="J10" i="24"/>
  <c r="J17" i="24"/>
  <c r="V381" i="38"/>
  <c r="E16" i="24"/>
  <c r="G23" i="24"/>
  <c r="G26" i="24"/>
  <c r="H26" i="24"/>
  <c r="I26" i="24"/>
  <c r="J26" i="24"/>
  <c r="K26" i="24"/>
  <c r="L26" i="24"/>
  <c r="M26" i="24"/>
  <c r="N26" i="24"/>
  <c r="O26" i="24"/>
  <c r="P26" i="24"/>
  <c r="Q26" i="24"/>
  <c r="R26" i="24"/>
  <c r="S26" i="24"/>
  <c r="T26" i="24"/>
  <c r="U26" i="24"/>
  <c r="V26" i="24"/>
  <c r="W26" i="24"/>
  <c r="X26" i="24"/>
  <c r="Y26" i="24"/>
  <c r="Z26" i="24"/>
  <c r="AA26" i="24"/>
  <c r="A27" i="24"/>
  <c r="I29" i="24"/>
  <c r="J29" i="24"/>
  <c r="K29" i="24"/>
  <c r="L29" i="24"/>
  <c r="M29" i="24"/>
  <c r="N29" i="24"/>
  <c r="O29" i="24"/>
  <c r="P29" i="24"/>
  <c r="Q29" i="24"/>
  <c r="R29" i="24"/>
  <c r="S29" i="24"/>
  <c r="T29" i="24"/>
  <c r="U29" i="24"/>
  <c r="V29" i="24"/>
  <c r="W29" i="24"/>
  <c r="X29" i="24"/>
  <c r="Y29" i="24"/>
  <c r="Z29" i="24"/>
  <c r="AA29" i="24"/>
  <c r="I31" i="24"/>
  <c r="J31" i="24"/>
  <c r="K31" i="24"/>
  <c r="L31" i="24"/>
  <c r="M31" i="24"/>
  <c r="N31" i="24"/>
  <c r="O31" i="24"/>
  <c r="P31" i="24"/>
  <c r="Q31" i="24"/>
  <c r="R31" i="24"/>
  <c r="S31" i="24"/>
  <c r="T31" i="24"/>
  <c r="U31" i="24"/>
  <c r="V31" i="24"/>
  <c r="W31" i="24"/>
  <c r="X31" i="24"/>
  <c r="Y31" i="24"/>
  <c r="Z31" i="24"/>
  <c r="AA31" i="24"/>
  <c r="I33" i="24"/>
  <c r="J33" i="24"/>
  <c r="K33" i="24"/>
  <c r="L33" i="24"/>
  <c r="M33" i="24"/>
  <c r="N33" i="24"/>
  <c r="O33" i="24"/>
  <c r="P33" i="24"/>
  <c r="Q33" i="24"/>
  <c r="R33" i="24"/>
  <c r="S33" i="24"/>
  <c r="T33" i="24"/>
  <c r="U33" i="24"/>
  <c r="V33" i="24"/>
  <c r="W33" i="24"/>
  <c r="X33" i="24"/>
  <c r="Y33" i="24"/>
  <c r="Z33" i="24"/>
  <c r="AA33" i="24"/>
  <c r="I35" i="24"/>
  <c r="J35" i="24"/>
  <c r="K35" i="24"/>
  <c r="L35" i="24"/>
  <c r="M35" i="24"/>
  <c r="N35" i="24"/>
  <c r="O35" i="24"/>
  <c r="P35" i="24"/>
  <c r="Q35" i="24"/>
  <c r="R35" i="24"/>
  <c r="S35" i="24"/>
  <c r="T35" i="24"/>
  <c r="U35" i="24"/>
  <c r="V35" i="24"/>
  <c r="W35" i="24"/>
  <c r="X35" i="24"/>
  <c r="Y35" i="24"/>
  <c r="Z35" i="24"/>
  <c r="AA35" i="24"/>
  <c r="I37" i="24"/>
  <c r="J37" i="24"/>
  <c r="K37" i="24"/>
  <c r="L37" i="24"/>
  <c r="M37" i="24"/>
  <c r="N37" i="24"/>
  <c r="O37" i="24"/>
  <c r="P37" i="24"/>
  <c r="Q37" i="24"/>
  <c r="R37" i="24"/>
  <c r="S37" i="24"/>
  <c r="T37" i="24"/>
  <c r="U37" i="24"/>
  <c r="V37" i="24"/>
  <c r="W37" i="24"/>
  <c r="X37" i="24"/>
  <c r="Y37" i="24"/>
  <c r="Z37" i="24"/>
  <c r="AA37" i="24"/>
  <c r="I39" i="24"/>
  <c r="J39" i="24"/>
  <c r="K39" i="24"/>
  <c r="L39" i="24"/>
  <c r="M39" i="24"/>
  <c r="N39" i="24"/>
  <c r="O39" i="24"/>
  <c r="P39" i="24"/>
  <c r="Q39" i="24"/>
  <c r="R39" i="24"/>
  <c r="S39" i="24"/>
  <c r="T39" i="24"/>
  <c r="U39" i="24"/>
  <c r="V39" i="24"/>
  <c r="W39" i="24"/>
  <c r="X39" i="24"/>
  <c r="Y39" i="24"/>
  <c r="Z39" i="24"/>
  <c r="AA39" i="24"/>
  <c r="I41" i="24"/>
  <c r="J41" i="24"/>
  <c r="K41" i="24"/>
  <c r="L41" i="24"/>
  <c r="M41" i="24"/>
  <c r="N41" i="24"/>
  <c r="O41" i="24"/>
  <c r="P41" i="24"/>
  <c r="Q41" i="24"/>
  <c r="R41" i="24"/>
  <c r="S41" i="24"/>
  <c r="T41" i="24"/>
  <c r="U41" i="24"/>
  <c r="V41" i="24"/>
  <c r="W41" i="24"/>
  <c r="X41" i="24"/>
  <c r="Y41" i="24"/>
  <c r="Z41" i="24"/>
  <c r="AA41" i="24"/>
  <c r="I43" i="24"/>
  <c r="J43" i="24"/>
  <c r="K43" i="24"/>
  <c r="L43" i="24"/>
  <c r="M43" i="24"/>
  <c r="N43" i="24"/>
  <c r="O43" i="24"/>
  <c r="P43" i="24"/>
  <c r="Q43" i="24"/>
  <c r="R43" i="24"/>
  <c r="S43" i="24"/>
  <c r="T43" i="24"/>
  <c r="U43" i="24"/>
  <c r="V43" i="24"/>
  <c r="W43" i="24"/>
  <c r="X43" i="24"/>
  <c r="Y43" i="24"/>
  <c r="Z43" i="24"/>
  <c r="AA43" i="24"/>
  <c r="I45" i="24"/>
  <c r="J45" i="24"/>
  <c r="K45" i="24"/>
  <c r="L45" i="24"/>
  <c r="M45" i="24"/>
  <c r="N45" i="24"/>
  <c r="O45" i="24"/>
  <c r="P45" i="24"/>
  <c r="Q45" i="24"/>
  <c r="R45" i="24"/>
  <c r="S45" i="24"/>
  <c r="T45" i="24"/>
  <c r="U45" i="24"/>
  <c r="V45" i="24"/>
  <c r="W45" i="24"/>
  <c r="X45" i="24"/>
  <c r="Y45" i="24"/>
  <c r="Z45" i="24"/>
  <c r="AA45" i="24"/>
  <c r="I47" i="24"/>
  <c r="J47" i="24"/>
  <c r="K47" i="24"/>
  <c r="L47" i="24"/>
  <c r="M47" i="24"/>
  <c r="N47" i="24"/>
  <c r="O47" i="24"/>
  <c r="P47" i="24"/>
  <c r="Q47" i="24"/>
  <c r="R47" i="24"/>
  <c r="S47" i="24"/>
  <c r="T47" i="24"/>
  <c r="U47" i="24"/>
  <c r="V47" i="24"/>
  <c r="W47" i="24"/>
  <c r="X47" i="24"/>
  <c r="Y47" i="24"/>
  <c r="Z47" i="24"/>
  <c r="AA47" i="24"/>
  <c r="I49" i="24"/>
  <c r="J49" i="24"/>
  <c r="K49" i="24"/>
  <c r="L49" i="24"/>
  <c r="M49" i="24"/>
  <c r="N49" i="24"/>
  <c r="O49" i="24"/>
  <c r="P49" i="24"/>
  <c r="Q49" i="24"/>
  <c r="R49" i="24"/>
  <c r="S49" i="24"/>
  <c r="T49" i="24"/>
  <c r="U49" i="24"/>
  <c r="V49" i="24"/>
  <c r="W49" i="24"/>
  <c r="X49" i="24"/>
  <c r="Y49" i="24"/>
  <c r="Z49" i="24"/>
  <c r="AA49" i="24"/>
  <c r="I51" i="24"/>
  <c r="J51" i="24"/>
  <c r="K51" i="24"/>
  <c r="L51" i="24"/>
  <c r="M51" i="24"/>
  <c r="N51" i="24"/>
  <c r="O51" i="24"/>
  <c r="P51" i="24"/>
  <c r="Q51" i="24"/>
  <c r="R51" i="24"/>
  <c r="S51" i="24"/>
  <c r="T51" i="24"/>
  <c r="U51" i="24"/>
  <c r="V51" i="24"/>
  <c r="W51" i="24"/>
  <c r="X51" i="24"/>
  <c r="Y51" i="24"/>
  <c r="Z51" i="24"/>
  <c r="AA51" i="24"/>
  <c r="I53" i="24"/>
  <c r="J53" i="24"/>
  <c r="K53" i="24"/>
  <c r="L53" i="24"/>
  <c r="M53" i="24"/>
  <c r="N53" i="24"/>
  <c r="O53" i="24"/>
  <c r="P53" i="24"/>
  <c r="Q53" i="24"/>
  <c r="R53" i="24"/>
  <c r="S53" i="24"/>
  <c r="T53" i="24"/>
  <c r="U53" i="24"/>
  <c r="V53" i="24"/>
  <c r="W53" i="24"/>
  <c r="X53" i="24"/>
  <c r="Y53" i="24"/>
  <c r="Z53" i="24"/>
  <c r="AA53" i="24"/>
  <c r="I55" i="24"/>
  <c r="J55" i="24"/>
  <c r="K55" i="24"/>
  <c r="L55" i="24"/>
  <c r="M55" i="24"/>
  <c r="N55" i="24"/>
  <c r="O55" i="24"/>
  <c r="P55" i="24"/>
  <c r="Q55" i="24"/>
  <c r="R55" i="24"/>
  <c r="S55" i="24"/>
  <c r="T55" i="24"/>
  <c r="U55" i="24"/>
  <c r="V55" i="24"/>
  <c r="W55" i="24"/>
  <c r="X55" i="24"/>
  <c r="Y55" i="24"/>
  <c r="Z55" i="24"/>
  <c r="AA55" i="24"/>
  <c r="I57" i="24"/>
  <c r="J57" i="24"/>
  <c r="K57" i="24"/>
  <c r="L57" i="24"/>
  <c r="M57" i="24"/>
  <c r="N57" i="24"/>
  <c r="O57" i="24"/>
  <c r="P57" i="24"/>
  <c r="Q57" i="24"/>
  <c r="R57" i="24"/>
  <c r="S57" i="24"/>
  <c r="T57" i="24"/>
  <c r="U57" i="24"/>
  <c r="V57" i="24"/>
  <c r="W57" i="24"/>
  <c r="X57" i="24"/>
  <c r="Y57" i="24"/>
  <c r="Z57" i="24"/>
  <c r="AA57" i="24"/>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A25" i="49"/>
  <c r="D25" i="49"/>
  <c r="S25" i="49"/>
  <c r="Q28" i="49"/>
  <c r="B1" i="6"/>
  <c r="C1" i="6"/>
  <c r="F1" i="6"/>
  <c r="G1" i="6"/>
  <c r="B4" i="6"/>
  <c r="E1" i="38"/>
  <c r="I1" i="38"/>
  <c r="A2" i="38"/>
  <c r="G5" i="38"/>
  <c r="AN5" i="38" s="1"/>
  <c r="AO371" i="38"/>
  <c r="AP371" i="38"/>
  <c r="AO372" i="38"/>
  <c r="AP372" i="38"/>
  <c r="AO373" i="38"/>
  <c r="AP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5" i="48"/>
  <c r="B11" i="25"/>
  <c r="B7" i="25"/>
  <c r="B12" i="25"/>
  <c r="B13" i="25"/>
  <c r="B10" i="25"/>
  <c r="B8" i="25"/>
  <c r="B6" i="25"/>
  <c r="R3" i="48" l="1"/>
  <c r="AR5" i="38"/>
  <c r="AQ5" i="38"/>
  <c r="AC119" i="38"/>
  <c r="X262" i="38"/>
  <c r="X232" i="38"/>
  <c r="X174" i="38"/>
  <c r="AC241" i="38"/>
  <c r="X220" i="38"/>
  <c r="X217" i="38"/>
  <c r="X177" i="38"/>
  <c r="X19" i="38"/>
  <c r="AN3" i="7"/>
  <c r="AC250" i="38"/>
  <c r="B20" i="50"/>
  <c r="B49" i="50" s="1"/>
  <c r="AC243" i="38"/>
  <c r="AC85" i="38"/>
  <c r="J9" i="24"/>
  <c r="J13" i="24" s="1"/>
  <c r="B18" i="50"/>
  <c r="B47" i="50" s="1"/>
  <c r="AC103" i="38"/>
  <c r="AC343" i="38"/>
  <c r="AC233" i="38"/>
  <c r="AC65" i="38"/>
  <c r="B13" i="50"/>
  <c r="B42" i="50" s="1"/>
  <c r="A377" i="38"/>
  <c r="AM5" i="38" s="1"/>
  <c r="AC314" i="38"/>
  <c r="AC132" i="38"/>
  <c r="AC338" i="38"/>
  <c r="AC245" i="38"/>
  <c r="AC84" i="38"/>
  <c r="B9" i="50"/>
  <c r="B38" i="50" s="1"/>
  <c r="AC114" i="38"/>
  <c r="AC68" i="38"/>
  <c r="AC353" i="38"/>
  <c r="X12" i="38"/>
  <c r="X186" i="38"/>
  <c r="X123" i="38"/>
  <c r="A5" i="47"/>
  <c r="AV3" i="7"/>
  <c r="V382" i="38"/>
  <c r="D5" i="50"/>
  <c r="E5" i="50" s="1"/>
  <c r="F5" i="50" s="1"/>
  <c r="G5" i="50" s="1"/>
  <c r="H5" i="50" s="1"/>
  <c r="I5" i="50" s="1"/>
  <c r="J5" i="50" s="1"/>
  <c r="X243" i="38"/>
  <c r="X315" i="38"/>
  <c r="X222" i="38"/>
  <c r="X296" i="38"/>
  <c r="B23" i="50"/>
  <c r="B52" i="50" s="1"/>
  <c r="B16" i="50"/>
  <c r="B45" i="50" s="1"/>
  <c r="B17" i="50"/>
  <c r="B46" i="50" s="1"/>
  <c r="B25" i="50"/>
  <c r="B54" i="50" s="1"/>
  <c r="X340" i="38"/>
  <c r="X64" i="38"/>
  <c r="X254" i="38"/>
  <c r="X105" i="38"/>
  <c r="X35" i="38"/>
  <c r="X280" i="38"/>
  <c r="X237" i="38"/>
  <c r="B6" i="50"/>
  <c r="B35" i="50" s="1"/>
  <c r="P3" i="7"/>
  <c r="X183" i="38"/>
  <c r="X190" i="38"/>
  <c r="X299" i="38"/>
  <c r="X365" i="38"/>
  <c r="X317" i="38"/>
  <c r="X286" i="38"/>
  <c r="X79" i="38"/>
  <c r="G55" i="24"/>
  <c r="AC55" i="24" s="1"/>
  <c r="B11" i="50"/>
  <c r="B40" i="50" s="1"/>
  <c r="AU11" i="38"/>
  <c r="AR3" i="7"/>
  <c r="B27" i="50"/>
  <c r="B56" i="50" s="1"/>
  <c r="AL3" i="7"/>
  <c r="AU370" i="38"/>
  <c r="AE370" i="38" s="1"/>
  <c r="T3" i="7"/>
  <c r="B15" i="50"/>
  <c r="B44" i="50" s="1"/>
  <c r="C34" i="50"/>
  <c r="C51" i="50" s="1"/>
  <c r="B19" i="50"/>
  <c r="B48" i="50" s="1"/>
  <c r="AU366" i="38"/>
  <c r="AN306" i="38"/>
  <c r="AU306" i="38"/>
  <c r="AU222" i="38"/>
  <c r="AU159" i="38"/>
  <c r="A40" i="48"/>
  <c r="A6" i="48"/>
  <c r="V5" i="48"/>
  <c r="AU369" i="38"/>
  <c r="AN238" i="38"/>
  <c r="AU238" i="38"/>
  <c r="AN266" i="38"/>
  <c r="AU265" i="38"/>
  <c r="AU121" i="38"/>
  <c r="AU339" i="38"/>
  <c r="AU8" i="38"/>
  <c r="AU241" i="38"/>
  <c r="AN325" i="38"/>
  <c r="AU325" i="38"/>
  <c r="AU295" i="38"/>
  <c r="AU282" i="38"/>
  <c r="AN193" i="38"/>
  <c r="AU192" i="38"/>
  <c r="AN156" i="38"/>
  <c r="AU153" i="38"/>
  <c r="AN58" i="38"/>
  <c r="AU57" i="38"/>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U85" i="38"/>
  <c r="AU115" i="38"/>
  <c r="AU343" i="38"/>
  <c r="AU9" i="38"/>
  <c r="C2" i="23"/>
  <c r="X3" i="7"/>
  <c r="AU148" i="38"/>
  <c r="AU17" i="38"/>
  <c r="B7" i="50"/>
  <c r="B36" i="50" s="1"/>
  <c r="AU358" i="38"/>
  <c r="AU270" i="38"/>
  <c r="AU247" i="38"/>
  <c r="AU133" i="38"/>
  <c r="AU34" i="38"/>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N364" i="38"/>
  <c r="AU364" i="38"/>
  <c r="AU356" i="38"/>
  <c r="AU354" i="38"/>
  <c r="AN356" i="38"/>
  <c r="AU351" i="38"/>
  <c r="AU347" i="38"/>
  <c r="AU340" i="38"/>
  <c r="AN246" i="38"/>
  <c r="AU246" i="38"/>
  <c r="AU87" i="38"/>
  <c r="AU102" i="38"/>
  <c r="AU117" i="38"/>
  <c r="AU151" i="38"/>
  <c r="AU186" i="38"/>
  <c r="AU294" i="38"/>
  <c r="AU314" i="38"/>
  <c r="AU71" i="38"/>
  <c r="AU21" i="38"/>
  <c r="AU45" i="38"/>
  <c r="AU98" i="38"/>
  <c r="AU127" i="38"/>
  <c r="AU140" i="38"/>
  <c r="AU203" i="38"/>
  <c r="AU188" i="38"/>
  <c r="AU322" i="38"/>
  <c r="AU334" i="38"/>
  <c r="AU277" i="38"/>
  <c r="AN277" i="38"/>
  <c r="AU272" i="38"/>
  <c r="AU263" i="38"/>
  <c r="AN263" i="38"/>
  <c r="AN227" i="38"/>
  <c r="AU227" i="38"/>
  <c r="AU225" i="38"/>
  <c r="AU226" i="38"/>
  <c r="AU224" i="38"/>
  <c r="AN221" i="38"/>
  <c r="AU221" i="38"/>
  <c r="AU220" i="38"/>
  <c r="AU218" i="38"/>
  <c r="AN214" i="38"/>
  <c r="AU213" i="38"/>
  <c r="AU214" i="38"/>
  <c r="AU162" i="38"/>
  <c r="AU164" i="38"/>
  <c r="AN164" i="38"/>
  <c r="AU160" i="38"/>
  <c r="AU149" i="38"/>
  <c r="AU365" i="38"/>
  <c r="AN367" i="38"/>
  <c r="AU367" i="38"/>
  <c r="AN360" i="38"/>
  <c r="AU360" i="38"/>
  <c r="AN292" i="38"/>
  <c r="AU292" i="38"/>
  <c r="AU286" i="38"/>
  <c r="AU290" i="38"/>
  <c r="AU287" i="38"/>
  <c r="AU291" i="38"/>
  <c r="AU285" i="38"/>
  <c r="AU284" i="38"/>
  <c r="AU283" i="38"/>
  <c r="AN285" i="38"/>
  <c r="AU271" i="38"/>
  <c r="AN271" i="38"/>
  <c r="AN253" i="38"/>
  <c r="AU248" i="38"/>
  <c r="AU253" i="38"/>
  <c r="AU207" i="38"/>
  <c r="AU206" i="38"/>
  <c r="AU208" i="38"/>
  <c r="AN208" i="38"/>
  <c r="AN62" i="38"/>
  <c r="AU58" i="38"/>
  <c r="AU60" i="38"/>
  <c r="AU59" i="38"/>
  <c r="AU119" i="38"/>
  <c r="AU135" i="38"/>
  <c r="AU163" i="38"/>
  <c r="AU181" i="38"/>
  <c r="AU185" i="38"/>
  <c r="AU310" i="38"/>
  <c r="AU311" i="38"/>
  <c r="AU337" i="38"/>
  <c r="AU348" i="38"/>
  <c r="AU69" i="38"/>
  <c r="AU52" i="38"/>
  <c r="AU73" i="38"/>
  <c r="AU62" i="38"/>
  <c r="AU39" i="38"/>
  <c r="AU82" i="38"/>
  <c r="AU235" i="38"/>
  <c r="AU217" i="38"/>
  <c r="AU281" i="38"/>
  <c r="AU252" i="38"/>
  <c r="AU194" i="38"/>
  <c r="AU297" i="38"/>
  <c r="AU346" i="38"/>
  <c r="AN333" i="38"/>
  <c r="AU333" i="38"/>
  <c r="AU332" i="38"/>
  <c r="AU329" i="38"/>
  <c r="AU328" i="38"/>
  <c r="AU296" i="38"/>
  <c r="AU320" i="38"/>
  <c r="AU304" i="38"/>
  <c r="AU305" i="38"/>
  <c r="AU268" i="38"/>
  <c r="AU269" i="38"/>
  <c r="AN269" i="38"/>
  <c r="AU264" i="38"/>
  <c r="AU254" i="38"/>
  <c r="AU255" i="38"/>
  <c r="AN255" i="38"/>
  <c r="AN195" i="38"/>
  <c r="AU193" i="38"/>
  <c r="AU195" i="38"/>
  <c r="AN189" i="38"/>
  <c r="AU189" i="38"/>
  <c r="AU177" i="38"/>
  <c r="AU184" i="38"/>
  <c r="AU179" i="38"/>
  <c r="AU187" i="38"/>
  <c r="AU176" i="38"/>
  <c r="AU183" i="38"/>
  <c r="AU180" i="38"/>
  <c r="AN174" i="38"/>
  <c r="AU172" i="38"/>
  <c r="AU169" i="38"/>
  <c r="AU168" i="38"/>
  <c r="AU170" i="38"/>
  <c r="AU100" i="38"/>
  <c r="AN100" i="38"/>
  <c r="AU64" i="38"/>
  <c r="AU99" i="38"/>
  <c r="AU84" i="38"/>
  <c r="AU88" i="38"/>
  <c r="AU104" i="38"/>
  <c r="AU154" i="38"/>
  <c r="AU165" i="38"/>
  <c r="AU182" i="38"/>
  <c r="AU299" i="38"/>
  <c r="AU307" i="38"/>
  <c r="AU342" i="38"/>
  <c r="AU355" i="38"/>
  <c r="AU37" i="38"/>
  <c r="AU49" i="38"/>
  <c r="AU7" i="38"/>
  <c r="AU22" i="38"/>
  <c r="AU61" i="38"/>
  <c r="AU130" i="38"/>
  <c r="AU174" i="38"/>
  <c r="AU273" i="38"/>
  <c r="AU262" i="38"/>
  <c r="AU230" i="38"/>
  <c r="AU190" i="38"/>
  <c r="AU276" i="38"/>
  <c r="AU278" i="38"/>
  <c r="AU279" i="38"/>
  <c r="AN279" i="38"/>
  <c r="AU260" i="38"/>
  <c r="AN261" i="38"/>
  <c r="AU259" i="38"/>
  <c r="AU257" i="38"/>
  <c r="AU261" i="38"/>
  <c r="AU256" i="38"/>
  <c r="AU239" i="38"/>
  <c r="AU240" i="38"/>
  <c r="AN240" i="38"/>
  <c r="AU234" i="38"/>
  <c r="AU231" i="38"/>
  <c r="AN139" i="38"/>
  <c r="AU139" i="38"/>
  <c r="AU134" i="38"/>
  <c r="AN135" i="38"/>
  <c r="AN129" i="38"/>
  <c r="AU129" i="38"/>
  <c r="AU128" i="38"/>
  <c r="AN125" i="38"/>
  <c r="AU125" i="38"/>
  <c r="AU123" i="38"/>
  <c r="AU112" i="38"/>
  <c r="AU120" i="38"/>
  <c r="AU116" i="38"/>
  <c r="AU124" i="38"/>
  <c r="AU113" i="38"/>
  <c r="AU122" i="38"/>
  <c r="AU118" i="38"/>
  <c r="AN110" i="38"/>
  <c r="AU108" i="38"/>
  <c r="AU107" i="38"/>
  <c r="AU110" i="38"/>
  <c r="AU109" i="38"/>
  <c r="AN106" i="38"/>
  <c r="AU103" i="38"/>
  <c r="AU105" i="38"/>
  <c r="AU101" i="38"/>
  <c r="AU106" i="38"/>
  <c r="AU56" i="38"/>
  <c r="AU55" i="38"/>
  <c r="AU47" i="38"/>
  <c r="AU53" i="38"/>
  <c r="AU50" i="38"/>
  <c r="AN56" i="38"/>
  <c r="AU38" i="38"/>
  <c r="AU54" i="38"/>
  <c r="AU36" i="38"/>
  <c r="AU16" i="38"/>
  <c r="AU48" i="38"/>
  <c r="AU353" i="38"/>
  <c r="AN353" i="38"/>
  <c r="AU350" i="38"/>
  <c r="AU352" i="38"/>
  <c r="AU345" i="38"/>
  <c r="AU338" i="38"/>
  <c r="AU336" i="38"/>
  <c r="AU344" i="38"/>
  <c r="AN335" i="38"/>
  <c r="AU335" i="38"/>
  <c r="AN327" i="38"/>
  <c r="AU323" i="38"/>
  <c r="AU327" i="38"/>
  <c r="AU321" i="38"/>
  <c r="AU324" i="38"/>
  <c r="AU318" i="38"/>
  <c r="AU319" i="38"/>
  <c r="AN317" i="38"/>
  <c r="AU317" i="38"/>
  <c r="AU315" i="38"/>
  <c r="AU316" i="38"/>
  <c r="AU313" i="38"/>
  <c r="AN304" i="38"/>
  <c r="AU302" i="38"/>
  <c r="AU298" i="38"/>
  <c r="AU301" i="38"/>
  <c r="AU303" i="38"/>
  <c r="AN297" i="38"/>
  <c r="AU293" i="38"/>
  <c r="AN243" i="38"/>
  <c r="AU243" i="38"/>
  <c r="AU242" i="38"/>
  <c r="AN237" i="38"/>
  <c r="AU237" i="38"/>
  <c r="AU233" i="38"/>
  <c r="AU236" i="38"/>
  <c r="AN230" i="38"/>
  <c r="AU229" i="38"/>
  <c r="AU223" i="38"/>
  <c r="AN171" i="38"/>
  <c r="AU171" i="38"/>
  <c r="AU167" i="38"/>
  <c r="AU166" i="38"/>
  <c r="AN161" i="38"/>
  <c r="AU161" i="38"/>
  <c r="AN157" i="38"/>
  <c r="AU157" i="38"/>
  <c r="AU156" i="38"/>
  <c r="AU144" i="38"/>
  <c r="AU143" i="38"/>
  <c r="AU152" i="38"/>
  <c r="AU147" i="38"/>
  <c r="AU155" i="38"/>
  <c r="AU146" i="38"/>
  <c r="AU150" i="38"/>
  <c r="AN142" i="38"/>
  <c r="AU142" i="38"/>
  <c r="AU136" i="38"/>
  <c r="AU138" i="38"/>
  <c r="AU137" i="38"/>
  <c r="AU131" i="38"/>
  <c r="AU132" i="38"/>
  <c r="AN46" i="38"/>
  <c r="AU26" i="38"/>
  <c r="AU41" i="38"/>
  <c r="AU32" i="38"/>
  <c r="AU27" i="38"/>
  <c r="AU31" i="38"/>
  <c r="AU19" i="38"/>
  <c r="AU10" i="38"/>
  <c r="AU40" i="38"/>
  <c r="AU29" i="38"/>
  <c r="AU46" i="38"/>
  <c r="AU42" i="38"/>
  <c r="AU23" i="38"/>
  <c r="AU30" i="38"/>
  <c r="AU13" i="38"/>
  <c r="AU18" i="38"/>
  <c r="AU25" i="38"/>
  <c r="AU33" i="38"/>
  <c r="AU28" i="38"/>
  <c r="AU24" i="38"/>
  <c r="AU14" i="38"/>
  <c r="AU43" i="38"/>
  <c r="AU44" i="38"/>
  <c r="AU6" i="38"/>
  <c r="AU35" i="38"/>
  <c r="AU15" i="38"/>
  <c r="AU20" i="38"/>
  <c r="AU12" i="38"/>
  <c r="AU373" i="38"/>
  <c r="AE373" i="38" s="1"/>
  <c r="AU372" i="38"/>
  <c r="AE372" i="38" s="1"/>
  <c r="AU371" i="38"/>
  <c r="AE371" i="38" s="1"/>
  <c r="AU368" i="38"/>
  <c r="AN363" i="38"/>
  <c r="AU362" i="38"/>
  <c r="AU363" i="38"/>
  <c r="AU361" i="38"/>
  <c r="AN359" i="38"/>
  <c r="AU359" i="38"/>
  <c r="AN312" i="38"/>
  <c r="AU309" i="38"/>
  <c r="AU308" i="38"/>
  <c r="AU312" i="38"/>
  <c r="AN211" i="38"/>
  <c r="AU209" i="38"/>
  <c r="AU210" i="38"/>
  <c r="AU211" i="38"/>
  <c r="AN205" i="38"/>
  <c r="AU204" i="38"/>
  <c r="AU205" i="38"/>
  <c r="AU200" i="38"/>
  <c r="AN198" i="38"/>
  <c r="AU198" i="38"/>
  <c r="AU196" i="38"/>
  <c r="AU191" i="38"/>
  <c r="AN97" i="38"/>
  <c r="AU95" i="38"/>
  <c r="AU96" i="38"/>
  <c r="AU97" i="38"/>
  <c r="AU94" i="38"/>
  <c r="AU89" i="38"/>
  <c r="AU86" i="38"/>
  <c r="AU93" i="38"/>
  <c r="AU79" i="38"/>
  <c r="AU90" i="38"/>
  <c r="AU83" i="38"/>
  <c r="AN78" i="38"/>
  <c r="AU78" i="38"/>
  <c r="AU77" i="38"/>
  <c r="AU74" i="38"/>
  <c r="AU76" i="38"/>
  <c r="AU75" i="38"/>
  <c r="AU72" i="38"/>
  <c r="AU67" i="38"/>
  <c r="AU68" i="38"/>
  <c r="AU63" i="38"/>
  <c r="AU66" i="38"/>
  <c r="AU326" i="38"/>
  <c r="AU289" i="38"/>
  <c r="AU288" i="38"/>
  <c r="AN281" i="38"/>
  <c r="AU280" i="38"/>
  <c r="AN251" i="38"/>
  <c r="AU251" i="38"/>
  <c r="AU250" i="38"/>
  <c r="AU249" i="38"/>
  <c r="AN245" i="38"/>
  <c r="AU245" i="38"/>
  <c r="AU244" i="38"/>
  <c r="AN229" i="38"/>
  <c r="AU228" i="38"/>
  <c r="AN219" i="38"/>
  <c r="AU219" i="38"/>
  <c r="AN213" i="38"/>
  <c r="AU212" i="38"/>
  <c r="AN203" i="38"/>
  <c r="AU201" i="38"/>
  <c r="AU202" i="38"/>
  <c r="AN197" i="38"/>
  <c r="AU197" i="38"/>
  <c r="AN177" i="38"/>
  <c r="AU175" i="38"/>
  <c r="AN173" i="38"/>
  <c r="AU173" i="38"/>
  <c r="AN145" i="38"/>
  <c r="AU145" i="38"/>
  <c r="AN141" i="38"/>
  <c r="AU141" i="38"/>
  <c r="AN113" i="38"/>
  <c r="AU111" i="38"/>
  <c r="AN81" i="38"/>
  <c r="AU80" i="38"/>
  <c r="AU81" i="38"/>
  <c r="AN357" i="38"/>
  <c r="AU357" i="38"/>
  <c r="AU349" i="38"/>
  <c r="AN350" i="38"/>
  <c r="AN331" i="38"/>
  <c r="AU330" i="38"/>
  <c r="AU331" i="38"/>
  <c r="AU300" i="38"/>
  <c r="AU275" i="38"/>
  <c r="AU274" i="38"/>
  <c r="AU266" i="38"/>
  <c r="AU267" i="38"/>
  <c r="AU258" i="38"/>
  <c r="AU232" i="38"/>
  <c r="AU215" i="38"/>
  <c r="AU216" i="38"/>
  <c r="AU199" i="38"/>
  <c r="AU178" i="38"/>
  <c r="AN158" i="38"/>
  <c r="AU158" i="38"/>
  <c r="AN126" i="38"/>
  <c r="AU126" i="38"/>
  <c r="AU114" i="38"/>
  <c r="AN94" i="38"/>
  <c r="AU92" i="38"/>
  <c r="AU91" i="38"/>
  <c r="AN70" i="38"/>
  <c r="AU70" i="38"/>
  <c r="AU65" i="38"/>
  <c r="AN54" i="38"/>
  <c r="AU51" i="38"/>
  <c r="R372" i="38"/>
  <c r="T372" i="38" s="1"/>
  <c r="U372" i="38" s="1"/>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L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T370" i="38" s="1"/>
  <c r="U370" i="38" s="1"/>
  <c r="R366" i="38"/>
  <c r="R362" i="38"/>
  <c r="A381" i="38"/>
  <c r="G17" i="24" s="1"/>
  <c r="H53" i="24"/>
  <c r="H45" i="24"/>
  <c r="H41" i="24"/>
  <c r="H35" i="24"/>
  <c r="H31" i="24"/>
  <c r="G39" i="24"/>
  <c r="R368" i="38"/>
  <c r="T368" i="38" s="1"/>
  <c r="U368" i="38" s="1"/>
  <c r="R359" i="38"/>
  <c r="R355" i="38"/>
  <c r="R351" i="38"/>
  <c r="H49" i="24"/>
  <c r="H51" i="24"/>
  <c r="H47" i="24"/>
  <c r="H43" i="24"/>
  <c r="H39" i="24"/>
  <c r="H33" i="24"/>
  <c r="H57" i="24"/>
  <c r="AC57" i="24" s="1"/>
  <c r="G37" i="24"/>
  <c r="A3" i="49"/>
  <c r="A6" i="38"/>
  <c r="G47" i="24"/>
  <c r="E3" i="49"/>
  <c r="R361" i="38"/>
  <c r="F2" i="23"/>
  <c r="E2" i="23"/>
  <c r="AO374" i="38"/>
  <c r="AP374" i="38"/>
  <c r="B8" i="50"/>
  <c r="B37" i="50" s="1"/>
  <c r="L3" i="7"/>
  <c r="G53" i="24"/>
  <c r="AU341" i="38"/>
  <c r="R371" i="38"/>
  <c r="T371" i="38" s="1"/>
  <c r="U371" i="38" s="1"/>
  <c r="R367" i="38"/>
  <c r="T367" i="38" s="1"/>
  <c r="U367" i="38" s="1"/>
  <c r="R363" i="38"/>
  <c r="R360" i="38"/>
  <c r="R352" i="38"/>
  <c r="H23" i="24"/>
  <c r="G400" i="24"/>
  <c r="R373" i="38"/>
  <c r="T373" i="38" s="1"/>
  <c r="U373" i="38" s="1"/>
  <c r="R365" i="38"/>
  <c r="R358" i="38"/>
  <c r="R354" i="38"/>
  <c r="R350" i="38"/>
  <c r="T11" i="38"/>
  <c r="U11" i="38" s="1"/>
  <c r="R356" i="38"/>
  <c r="J12" i="24"/>
  <c r="B6" i="48"/>
  <c r="C6" i="38"/>
  <c r="T356" i="38" l="1"/>
  <c r="U356" i="38" s="1"/>
  <c r="T350" i="38"/>
  <c r="U350" i="38" s="1"/>
  <c r="AD350" i="38" s="1"/>
  <c r="T352" i="38"/>
  <c r="U352" i="38" s="1"/>
  <c r="T353" i="38"/>
  <c r="U353" i="38" s="1"/>
  <c r="AD353" i="38" s="1"/>
  <c r="T357" i="38"/>
  <c r="U357" i="38" s="1"/>
  <c r="T360" i="38"/>
  <c r="U360" i="38" s="1"/>
  <c r="T358" i="38"/>
  <c r="U358" i="38" s="1"/>
  <c r="V358" i="38" s="1"/>
  <c r="T363" i="38"/>
  <c r="U363" i="38" s="1"/>
  <c r="V363" i="38" s="1"/>
  <c r="AG363" i="38" s="1"/>
  <c r="T351" i="38"/>
  <c r="U351" i="38" s="1"/>
  <c r="T365" i="38"/>
  <c r="U365" i="38" s="1"/>
  <c r="V365" i="38" s="1"/>
  <c r="T355" i="38"/>
  <c r="U355" i="38" s="1"/>
  <c r="V355" i="38" s="1"/>
  <c r="AG355" i="38" s="1"/>
  <c r="T364" i="38"/>
  <c r="U364" i="38" s="1"/>
  <c r="V364" i="38" s="1"/>
  <c r="T359" i="38"/>
  <c r="U359" i="38" s="1"/>
  <c r="T361" i="38"/>
  <c r="U361" i="38" s="1"/>
  <c r="V361" i="38" s="1"/>
  <c r="AG361" i="38" s="1"/>
  <c r="T362" i="38"/>
  <c r="U362" i="38" s="1"/>
  <c r="T354" i="38"/>
  <c r="U354" i="38" s="1"/>
  <c r="V354" i="38" s="1"/>
  <c r="T366" i="38"/>
  <c r="U366" i="38" s="1"/>
  <c r="G323" i="7"/>
  <c r="G336" i="7"/>
  <c r="G51" i="24" s="1"/>
  <c r="AC51" i="24" s="1"/>
  <c r="G322" i="7"/>
  <c r="V158" i="38"/>
  <c r="G85" i="7"/>
  <c r="G35" i="24" s="1"/>
  <c r="AC35" i="24" s="1"/>
  <c r="G183" i="7"/>
  <c r="G176" i="7"/>
  <c r="G41" i="24" s="1"/>
  <c r="AC41" i="24" s="1"/>
  <c r="G186" i="7"/>
  <c r="G179" i="7"/>
  <c r="G187" i="7"/>
  <c r="G211" i="7"/>
  <c r="G45" i="24" s="1"/>
  <c r="AC45" i="24" s="1"/>
  <c r="G180" i="7"/>
  <c r="G188" i="7"/>
  <c r="I92" i="7"/>
  <c r="G181" i="7"/>
  <c r="G189" i="7"/>
  <c r="G182" i="7"/>
  <c r="G190" i="7"/>
  <c r="V39" i="38"/>
  <c r="V115" i="38"/>
  <c r="AG115" i="38" s="1"/>
  <c r="G25" i="7"/>
  <c r="G33" i="7"/>
  <c r="G26" i="7"/>
  <c r="G34" i="7"/>
  <c r="G27" i="7"/>
  <c r="G35" i="7"/>
  <c r="G28" i="7"/>
  <c r="G29" i="7"/>
  <c r="G32" i="7"/>
  <c r="V305" i="38"/>
  <c r="AG305" i="38" s="1"/>
  <c r="AD86" i="38"/>
  <c r="V41" i="38"/>
  <c r="E40" i="7" s="1"/>
  <c r="F40" i="7" s="1"/>
  <c r="AD290" i="38"/>
  <c r="AD180" i="38"/>
  <c r="AD371" i="38"/>
  <c r="AD143" i="38"/>
  <c r="V87" i="38"/>
  <c r="E86" i="7" s="1"/>
  <c r="F86" i="7" s="1"/>
  <c r="V235" i="38"/>
  <c r="E234" i="7" s="1"/>
  <c r="F234" i="7" s="1"/>
  <c r="V172" i="38"/>
  <c r="E171" i="7" s="1"/>
  <c r="F171" i="7" s="1"/>
  <c r="V131" i="38"/>
  <c r="E130" i="7" s="1"/>
  <c r="F130" i="7" s="1"/>
  <c r="V339" i="38"/>
  <c r="E338" i="7" s="1"/>
  <c r="F338" i="7" s="1"/>
  <c r="V270" i="38"/>
  <c r="AD325" i="38"/>
  <c r="AD151" i="38"/>
  <c r="AD123" i="38"/>
  <c r="V6" i="48"/>
  <c r="V26" i="38"/>
  <c r="AD32" i="38"/>
  <c r="AD284" i="38"/>
  <c r="V66" i="38"/>
  <c r="V130" i="38"/>
  <c r="AD178" i="38"/>
  <c r="AD242" i="38"/>
  <c r="AD136" i="38"/>
  <c r="AD173" i="38"/>
  <c r="AD283" i="38"/>
  <c r="V347" i="38"/>
  <c r="E346" i="7" s="1"/>
  <c r="F346" i="7" s="1"/>
  <c r="AD28" i="38"/>
  <c r="AD45" i="38"/>
  <c r="V93" i="38"/>
  <c r="AD221" i="38"/>
  <c r="V207" i="38"/>
  <c r="E206" i="7" s="1"/>
  <c r="F206" i="7" s="1"/>
  <c r="AD291" i="38"/>
  <c r="AD67" i="38"/>
  <c r="AD116" i="38"/>
  <c r="AD42" i="38"/>
  <c r="V74" i="38"/>
  <c r="AD186" i="38"/>
  <c r="V234" i="38"/>
  <c r="AD282" i="38"/>
  <c r="AD312" i="38"/>
  <c r="AD348" i="38"/>
  <c r="V46" i="38"/>
  <c r="V304" i="38"/>
  <c r="AG304" i="38" s="1"/>
  <c r="AD183" i="38"/>
  <c r="AD94" i="38"/>
  <c r="AD188" i="38"/>
  <c r="AD344" i="38"/>
  <c r="AD324" i="38"/>
  <c r="AD122" i="38"/>
  <c r="AD53" i="38"/>
  <c r="V88" i="38"/>
  <c r="AD346" i="38"/>
  <c r="AD311" i="38"/>
  <c r="AD362" i="38"/>
  <c r="V125" i="38"/>
  <c r="AG125" i="38" s="1"/>
  <c r="V372" i="38"/>
  <c r="E371" i="7" s="1"/>
  <c r="F371" i="7" s="1"/>
  <c r="V181" i="38"/>
  <c r="AG181" i="38" s="1"/>
  <c r="V241" i="38"/>
  <c r="E240" i="7" s="1"/>
  <c r="F240" i="7" s="1"/>
  <c r="AD220" i="38"/>
  <c r="AD367" i="38"/>
  <c r="AD333" i="38"/>
  <c r="V179" i="38"/>
  <c r="AG179" i="38" s="1"/>
  <c r="AD359" i="38"/>
  <c r="V44" i="38"/>
  <c r="AD248" i="38"/>
  <c r="AD356" i="38"/>
  <c r="AD11" i="38"/>
  <c r="AD35" i="38"/>
  <c r="V114" i="38"/>
  <c r="AD60" i="38"/>
  <c r="V80" i="38"/>
  <c r="E79" i="7" s="1"/>
  <c r="F79" i="7" s="1"/>
  <c r="V108" i="38"/>
  <c r="AG108" i="38" s="1"/>
  <c r="V164" i="38"/>
  <c r="V352" i="38"/>
  <c r="AG352" i="38" s="1"/>
  <c r="AD345" i="38"/>
  <c r="AD33" i="38"/>
  <c r="V109" i="38"/>
  <c r="E108" i="7" s="1"/>
  <c r="F108" i="7" s="1"/>
  <c r="V187" i="38"/>
  <c r="AG187" i="38" s="1"/>
  <c r="AD43" i="38"/>
  <c r="AD155" i="38"/>
  <c r="V368" i="38"/>
  <c r="AG368" i="38" s="1"/>
  <c r="V370" i="38"/>
  <c r="AD349" i="38"/>
  <c r="AD261" i="38"/>
  <c r="V193" i="38"/>
  <c r="E192" i="7" s="1"/>
  <c r="F192" i="7" s="1"/>
  <c r="AD233" i="38"/>
  <c r="AD332" i="38"/>
  <c r="AD310" i="38"/>
  <c r="AD360" i="38"/>
  <c r="AD277" i="38"/>
  <c r="V213" i="38"/>
  <c r="AD171" i="38"/>
  <c r="AD319" i="38"/>
  <c r="AD102" i="38"/>
  <c r="AD214" i="38"/>
  <c r="V298" i="38"/>
  <c r="AD200" i="38"/>
  <c r="V165" i="38"/>
  <c r="V227" i="38"/>
  <c r="AG227" i="38" s="1"/>
  <c r="V323" i="38"/>
  <c r="AG323" i="38" s="1"/>
  <c r="AD281" i="38"/>
  <c r="V36" i="38"/>
  <c r="V184" i="38"/>
  <c r="AD34" i="38"/>
  <c r="AD126" i="38"/>
  <c r="AD174" i="38"/>
  <c r="AD190" i="38"/>
  <c r="AD206" i="38"/>
  <c r="AD318" i="38"/>
  <c r="V373" i="38"/>
  <c r="V52" i="38"/>
  <c r="E51" i="7" s="1"/>
  <c r="F51" i="7" s="1"/>
  <c r="V156" i="38"/>
  <c r="E155" i="7" s="1"/>
  <c r="F155" i="7" s="1"/>
  <c r="AD176" i="38"/>
  <c r="V276" i="38"/>
  <c r="E275" i="7" s="1"/>
  <c r="F275" i="7" s="1"/>
  <c r="AD340" i="38"/>
  <c r="V25" i="38"/>
  <c r="E24" i="7" s="1"/>
  <c r="F24" i="7" s="1"/>
  <c r="V101" i="38"/>
  <c r="AG101" i="38" s="1"/>
  <c r="AD255" i="38"/>
  <c r="V263" i="38"/>
  <c r="AG263" i="38" s="1"/>
  <c r="AD343" i="38"/>
  <c r="AD366" i="38"/>
  <c r="V81" i="38"/>
  <c r="AD129" i="38"/>
  <c r="AD117" i="38"/>
  <c r="V29" i="38"/>
  <c r="E28" i="7" s="1"/>
  <c r="F28" i="7" s="1"/>
  <c r="V73" i="38"/>
  <c r="V137" i="38"/>
  <c r="V185" i="38"/>
  <c r="V249" i="38"/>
  <c r="E248" i="7" s="1"/>
  <c r="F248" i="7" s="1"/>
  <c r="AD59" i="38"/>
  <c r="AD337" i="38"/>
  <c r="AD27" i="38"/>
  <c r="V38" i="38"/>
  <c r="AD150" i="38"/>
  <c r="AD182" i="38"/>
  <c r="AD262" i="38"/>
  <c r="V326" i="38"/>
  <c r="V342" i="38"/>
  <c r="AD144" i="38"/>
  <c r="AD192" i="38"/>
  <c r="V212" i="38"/>
  <c r="E211" i="7" s="1"/>
  <c r="F211" i="7" s="1"/>
  <c r="V189" i="38"/>
  <c r="AD191" i="38"/>
  <c r="AD95" i="38"/>
  <c r="V199" i="38"/>
  <c r="AG199" i="38" s="1"/>
  <c r="AD157" i="38"/>
  <c r="AD351" i="38"/>
  <c r="AD177" i="38"/>
  <c r="AD357" i="38"/>
  <c r="C35" i="50"/>
  <c r="C42" i="50"/>
  <c r="C50" i="50"/>
  <c r="I16" i="50"/>
  <c r="C39" i="50"/>
  <c r="G21" i="50"/>
  <c r="C52" i="50"/>
  <c r="C45" i="50"/>
  <c r="C43" i="50"/>
  <c r="C55" i="50"/>
  <c r="C38" i="50"/>
  <c r="C37" i="50"/>
  <c r="C40" i="50"/>
  <c r="C44" i="50"/>
  <c r="C54" i="50"/>
  <c r="C49" i="50"/>
  <c r="C53" i="50"/>
  <c r="C46" i="50"/>
  <c r="C36" i="50"/>
  <c r="C47" i="50"/>
  <c r="D34" i="50"/>
  <c r="D50" i="50" s="1"/>
  <c r="C48" i="50"/>
  <c r="C41" i="50"/>
  <c r="C56" i="50"/>
  <c r="AN374" i="38"/>
  <c r="A7" i="48"/>
  <c r="H9" i="50"/>
  <c r="H25" i="50"/>
  <c r="I14" i="50"/>
  <c r="V215" i="38"/>
  <c r="I11" i="50"/>
  <c r="F8" i="50"/>
  <c r="AD166" i="38"/>
  <c r="AC53" i="24"/>
  <c r="AC47" i="24"/>
  <c r="AC39" i="24"/>
  <c r="H24" i="50"/>
  <c r="I8" i="50"/>
  <c r="I21" i="50"/>
  <c r="I24" i="50"/>
  <c r="I25" i="50"/>
  <c r="I20" i="50"/>
  <c r="H12" i="50"/>
  <c r="H21" i="50"/>
  <c r="H13" i="50"/>
  <c r="F26" i="50"/>
  <c r="F22" i="50"/>
  <c r="G20" i="50"/>
  <c r="G17" i="50"/>
  <c r="G15" i="50"/>
  <c r="I26" i="50"/>
  <c r="I6" i="50"/>
  <c r="I18" i="50"/>
  <c r="H23" i="50"/>
  <c r="H16" i="50"/>
  <c r="F27" i="50"/>
  <c r="E6" i="50"/>
  <c r="I23" i="50"/>
  <c r="I9" i="50"/>
  <c r="I22" i="50"/>
  <c r="I7" i="50"/>
  <c r="I17" i="50"/>
  <c r="I27" i="50"/>
  <c r="H6" i="50"/>
  <c r="H11" i="50"/>
  <c r="H19" i="50"/>
  <c r="H26" i="50"/>
  <c r="F21" i="50"/>
  <c r="F7" i="50"/>
  <c r="F20" i="50"/>
  <c r="G16" i="50"/>
  <c r="G7" i="50"/>
  <c r="I12" i="50"/>
  <c r="I13" i="50"/>
  <c r="I15" i="50"/>
  <c r="H14" i="50"/>
  <c r="H7" i="50"/>
  <c r="H22" i="50"/>
  <c r="F25" i="50"/>
  <c r="G8" i="50"/>
  <c r="G25" i="50"/>
  <c r="G19" i="50"/>
  <c r="G18" i="50"/>
  <c r="G12" i="50"/>
  <c r="F17" i="50"/>
  <c r="H27" i="50"/>
  <c r="I19" i="50"/>
  <c r="I10" i="50"/>
  <c r="F3" i="49"/>
  <c r="G3" i="49" s="1"/>
  <c r="H3" i="49" s="1"/>
  <c r="D16" i="50"/>
  <c r="E8" i="50"/>
  <c r="D17" i="50"/>
  <c r="C14" i="50"/>
  <c r="D11" i="50"/>
  <c r="D14" i="50"/>
  <c r="D9" i="50"/>
  <c r="D23" i="50"/>
  <c r="C12" i="50"/>
  <c r="C15" i="50"/>
  <c r="C24" i="50"/>
  <c r="C27" i="50"/>
  <c r="E12" i="50"/>
  <c r="E9" i="50"/>
  <c r="E17" i="50"/>
  <c r="E11" i="50"/>
  <c r="E26" i="50"/>
  <c r="F14" i="50"/>
  <c r="F16" i="50"/>
  <c r="F19" i="50"/>
  <c r="G27" i="50"/>
  <c r="G23" i="50"/>
  <c r="G9" i="50"/>
  <c r="H15" i="50"/>
  <c r="H10" i="50"/>
  <c r="AK6" i="38"/>
  <c r="D22" i="50"/>
  <c r="A7" i="38"/>
  <c r="D10" i="50"/>
  <c r="C11" i="50"/>
  <c r="D12" i="50"/>
  <c r="D19" i="50"/>
  <c r="D26" i="50"/>
  <c r="D24" i="50"/>
  <c r="D20" i="50"/>
  <c r="C7" i="50"/>
  <c r="D21" i="50"/>
  <c r="A5" i="7"/>
  <c r="C13" i="50"/>
  <c r="C22" i="50"/>
  <c r="C20" i="50"/>
  <c r="AQ6" i="38"/>
  <c r="E18" i="50"/>
  <c r="E22" i="50"/>
  <c r="E7" i="50"/>
  <c r="E21" i="50"/>
  <c r="F13" i="50"/>
  <c r="F11" i="50"/>
  <c r="F18" i="50"/>
  <c r="F6" i="50"/>
  <c r="G14" i="50"/>
  <c r="G11" i="50"/>
  <c r="G22" i="50"/>
  <c r="H8" i="50"/>
  <c r="H18" i="50"/>
  <c r="D7" i="50"/>
  <c r="C18" i="50"/>
  <c r="D6" i="50"/>
  <c r="C8" i="50"/>
  <c r="D8" i="50"/>
  <c r="C25" i="50"/>
  <c r="D15" i="50"/>
  <c r="D6" i="38"/>
  <c r="D13" i="50"/>
  <c r="C9" i="50"/>
  <c r="C6" i="50"/>
  <c r="C21" i="50"/>
  <c r="C26" i="50"/>
  <c r="C10" i="50"/>
  <c r="E19" i="50"/>
  <c r="E24" i="50"/>
  <c r="E16" i="50"/>
  <c r="E13" i="50"/>
  <c r="E23" i="50"/>
  <c r="F12" i="50"/>
  <c r="F9" i="50"/>
  <c r="F10" i="50"/>
  <c r="G26" i="50"/>
  <c r="G10" i="50"/>
  <c r="D18" i="50"/>
  <c r="A5" i="38"/>
  <c r="AK5" i="38" s="1"/>
  <c r="E10" i="50"/>
  <c r="H20" i="50"/>
  <c r="D27" i="50"/>
  <c r="E20" i="50"/>
  <c r="F23" i="50"/>
  <c r="G13" i="50"/>
  <c r="C23" i="50"/>
  <c r="C19" i="50"/>
  <c r="C17" i="50"/>
  <c r="E25" i="50"/>
  <c r="G24" i="50"/>
  <c r="B6" i="38"/>
  <c r="F24" i="50"/>
  <c r="H17" i="50"/>
  <c r="D25" i="50"/>
  <c r="C16" i="50"/>
  <c r="E14" i="50"/>
  <c r="E27" i="50"/>
  <c r="E15" i="50"/>
  <c r="F15" i="50"/>
  <c r="G6" i="50"/>
  <c r="AD297" i="38"/>
  <c r="E33" i="23"/>
  <c r="D33" i="23" s="1"/>
  <c r="E32" i="23"/>
  <c r="D32" i="23" s="1"/>
  <c r="J23" i="50"/>
  <c r="J9" i="50"/>
  <c r="J7" i="50"/>
  <c r="J25" i="50"/>
  <c r="J14" i="50"/>
  <c r="J6" i="50"/>
  <c r="J19" i="50"/>
  <c r="J27" i="50"/>
  <c r="J17" i="50"/>
  <c r="J11" i="50"/>
  <c r="J13" i="50"/>
  <c r="K5" i="50"/>
  <c r="J22" i="50"/>
  <c r="J20" i="50"/>
  <c r="J8" i="50"/>
  <c r="J16" i="50"/>
  <c r="J18" i="50"/>
  <c r="J21" i="50"/>
  <c r="J26" i="50"/>
  <c r="J15" i="50"/>
  <c r="J12" i="50"/>
  <c r="J10" i="50"/>
  <c r="J24" i="50"/>
  <c r="G2" i="23"/>
  <c r="H2" i="23"/>
  <c r="I23" i="24"/>
  <c r="H400" i="24"/>
  <c r="C7" i="38"/>
  <c r="C5" i="7"/>
  <c r="B7" i="48"/>
  <c r="AV5" i="38"/>
  <c r="AV6" i="38"/>
  <c r="AZ5" i="7"/>
  <c r="G49" i="24" l="1"/>
  <c r="AC49" i="24" s="1"/>
  <c r="G43" i="24"/>
  <c r="AC43" i="24" s="1"/>
  <c r="H37" i="24"/>
  <c r="AC37" i="24" s="1"/>
  <c r="I374" i="7"/>
  <c r="I2" i="7"/>
  <c r="H29" i="24"/>
  <c r="H401" i="24" s="1"/>
  <c r="G33" i="24"/>
  <c r="AC33" i="24" s="1"/>
  <c r="G2" i="7"/>
  <c r="G29" i="24"/>
  <c r="G374" i="7"/>
  <c r="G31" i="24"/>
  <c r="AC31" i="24" s="1"/>
  <c r="V59" i="38"/>
  <c r="E58" i="7" s="1"/>
  <c r="F58" i="7" s="1"/>
  <c r="AD73" i="38"/>
  <c r="AS73" i="38" s="1"/>
  <c r="AD364" i="38"/>
  <c r="AS364" i="38" s="1"/>
  <c r="V177" i="38"/>
  <c r="AS177" i="38" s="1"/>
  <c r="V192" i="38"/>
  <c r="AS192" i="38" s="1"/>
  <c r="V262" i="38"/>
  <c r="AS262" i="38" s="1"/>
  <c r="V129" i="38"/>
  <c r="E128" i="7" s="1"/>
  <c r="F128" i="7" s="1"/>
  <c r="V122" i="38"/>
  <c r="E121" i="7" s="1"/>
  <c r="F121" i="7" s="1"/>
  <c r="V220" i="38"/>
  <c r="AS220" i="38" s="1"/>
  <c r="V183" i="38"/>
  <c r="AG183" i="38" s="1"/>
  <c r="AG52" i="38"/>
  <c r="V178" i="38"/>
  <c r="E177" i="7" s="1"/>
  <c r="F177" i="7" s="1"/>
  <c r="V174" i="38"/>
  <c r="E173" i="7" s="1"/>
  <c r="F173" i="7" s="1"/>
  <c r="E107" i="7"/>
  <c r="F107" i="7" s="1"/>
  <c r="AG249" i="38"/>
  <c r="E34" i="50"/>
  <c r="E42" i="50" s="1"/>
  <c r="D55" i="50"/>
  <c r="V186" i="38"/>
  <c r="AG186" i="38" s="1"/>
  <c r="AD181" i="38"/>
  <c r="AS181" i="38" s="1"/>
  <c r="V346" i="38"/>
  <c r="AS346" i="38" s="1"/>
  <c r="AD298" i="38"/>
  <c r="AS298" i="38" s="1"/>
  <c r="AG156" i="38"/>
  <c r="V123" i="38"/>
  <c r="AS123" i="38" s="1"/>
  <c r="AD156" i="38"/>
  <c r="AS156" i="38" s="1"/>
  <c r="V190" i="38"/>
  <c r="E189" i="7" s="1"/>
  <c r="F189" i="7" s="1"/>
  <c r="AD81" i="38"/>
  <c r="AS81" i="38" s="1"/>
  <c r="AD80" i="38"/>
  <c r="AS80" i="38" s="1"/>
  <c r="AD373" i="38"/>
  <c r="AS373" i="38" s="1"/>
  <c r="E367" i="7"/>
  <c r="F367" i="7" s="1"/>
  <c r="V43" i="38"/>
  <c r="E42" i="7" s="1"/>
  <c r="F42" i="7" s="1"/>
  <c r="AG80" i="38"/>
  <c r="E100" i="7"/>
  <c r="F100" i="7" s="1"/>
  <c r="E226" i="7"/>
  <c r="F226" i="7" s="1"/>
  <c r="V102" i="38"/>
  <c r="E101" i="7" s="1"/>
  <c r="F101" i="7" s="1"/>
  <c r="AD227" i="38"/>
  <c r="AS227" i="38" s="1"/>
  <c r="V144" i="38"/>
  <c r="AS144" i="38" s="1"/>
  <c r="AD101" i="38"/>
  <c r="AS101" i="38" s="1"/>
  <c r="AD241" i="38"/>
  <c r="AS241" i="38" s="1"/>
  <c r="E198" i="7"/>
  <c r="F198" i="7" s="1"/>
  <c r="AD52" i="38"/>
  <c r="AS52" i="38" s="1"/>
  <c r="V290" i="38"/>
  <c r="E289" i="7" s="1"/>
  <c r="F289" i="7" s="1"/>
  <c r="E180" i="7"/>
  <c r="F180" i="7" s="1"/>
  <c r="V255" i="38"/>
  <c r="AG255" i="38" s="1"/>
  <c r="E178" i="7"/>
  <c r="F178" i="7" s="1"/>
  <c r="V155" i="38"/>
  <c r="AG155" i="38" s="1"/>
  <c r="AD249" i="38"/>
  <c r="AS249" i="38" s="1"/>
  <c r="AD354" i="38"/>
  <c r="AS354" i="38" s="1"/>
  <c r="V42" i="38"/>
  <c r="E41" i="7" s="1"/>
  <c r="F41" i="7" s="1"/>
  <c r="AD74" i="38"/>
  <c r="AS74" i="38" s="1"/>
  <c r="V242" i="38"/>
  <c r="E241" i="7" s="1"/>
  <c r="F241" i="7" s="1"/>
  <c r="AD276" i="38"/>
  <c r="AS276" i="38" s="1"/>
  <c r="V350" i="38"/>
  <c r="E349" i="7" s="1"/>
  <c r="F349" i="7" s="1"/>
  <c r="V310" i="38"/>
  <c r="AS310" i="38" s="1"/>
  <c r="V281" i="38"/>
  <c r="AS281" i="38" s="1"/>
  <c r="D51" i="50"/>
  <c r="D52" i="50"/>
  <c r="E351" i="7"/>
  <c r="F351" i="7" s="1"/>
  <c r="AD199" i="38"/>
  <c r="AS199" i="38" s="1"/>
  <c r="AD352" i="38"/>
  <c r="AS352" i="38" s="1"/>
  <c r="V340" i="38"/>
  <c r="E339" i="7" s="1"/>
  <c r="F339" i="7" s="1"/>
  <c r="V325" i="38"/>
  <c r="E324" i="7" s="1"/>
  <c r="F324" i="7" s="1"/>
  <c r="D38" i="50"/>
  <c r="V60" i="38"/>
  <c r="AG60" i="38" s="1"/>
  <c r="AG25" i="38"/>
  <c r="AD25" i="38"/>
  <c r="AS25" i="38" s="1"/>
  <c r="V357" i="38"/>
  <c r="E356" i="7" s="1"/>
  <c r="F356" i="7" s="1"/>
  <c r="AD108" i="38"/>
  <c r="AS108" i="38" s="1"/>
  <c r="AD39" i="38"/>
  <c r="AS39" i="38" s="1"/>
  <c r="V117" i="38"/>
  <c r="AG117" i="38" s="1"/>
  <c r="AD355" i="38"/>
  <c r="AS355" i="38" s="1"/>
  <c r="V366" i="38"/>
  <c r="E365" i="7" s="1"/>
  <c r="F365" i="7" s="1"/>
  <c r="E262" i="7"/>
  <c r="F262" i="7" s="1"/>
  <c r="AD304" i="38"/>
  <c r="AS304" i="38" s="1"/>
  <c r="V180" i="38"/>
  <c r="AS180" i="38" s="1"/>
  <c r="AD131" i="38"/>
  <c r="AS131" i="38" s="1"/>
  <c r="E354" i="7"/>
  <c r="F354" i="7" s="1"/>
  <c r="AD368" i="38"/>
  <c r="AS368" i="38" s="1"/>
  <c r="AD263" i="38"/>
  <c r="AS263" i="38" s="1"/>
  <c r="AD342" i="38"/>
  <c r="AS342" i="38" s="1"/>
  <c r="AG29" i="38"/>
  <c r="AD193" i="38"/>
  <c r="AS193" i="38" s="1"/>
  <c r="AD38" i="38"/>
  <c r="AS38" i="38" s="1"/>
  <c r="E303" i="7"/>
  <c r="F303" i="7" s="1"/>
  <c r="AD270" i="38"/>
  <c r="AS270" i="38" s="1"/>
  <c r="E186" i="7"/>
  <c r="F186" i="7" s="1"/>
  <c r="AD365" i="38"/>
  <c r="AS365" i="38" s="1"/>
  <c r="AD358" i="38"/>
  <c r="AS358" i="38" s="1"/>
  <c r="AG87" i="38"/>
  <c r="V337" i="38"/>
  <c r="E336" i="7" s="1"/>
  <c r="F336" i="7" s="1"/>
  <c r="D40" i="50"/>
  <c r="D43" i="50"/>
  <c r="AD109" i="38"/>
  <c r="AS109" i="38" s="1"/>
  <c r="V353" i="38"/>
  <c r="AS353" i="38" s="1"/>
  <c r="D56" i="50"/>
  <c r="D37" i="50"/>
  <c r="C58" i="50"/>
  <c r="C59" i="50" s="1"/>
  <c r="AD41" i="38"/>
  <c r="AS41" i="38" s="1"/>
  <c r="AD87" i="38"/>
  <c r="AS87" i="38" s="1"/>
  <c r="AG41" i="38"/>
  <c r="V33" i="38"/>
  <c r="AG33" i="38" s="1"/>
  <c r="AD29" i="38"/>
  <c r="AS29" i="38" s="1"/>
  <c r="D53" i="50"/>
  <c r="D35" i="50"/>
  <c r="D47" i="50"/>
  <c r="V345" i="38"/>
  <c r="E344" i="7" s="1"/>
  <c r="F344" i="7" s="1"/>
  <c r="V176" i="38"/>
  <c r="AS176" i="38" s="1"/>
  <c r="V86" i="38"/>
  <c r="AS86" i="38" s="1"/>
  <c r="AG193" i="38"/>
  <c r="D41" i="50"/>
  <c r="D49" i="50"/>
  <c r="D42" i="50"/>
  <c r="D45" i="50"/>
  <c r="D46" i="50"/>
  <c r="D48" i="50"/>
  <c r="D36" i="50"/>
  <c r="D39" i="50"/>
  <c r="D44" i="50"/>
  <c r="D54" i="50"/>
  <c r="E362" i="7"/>
  <c r="F362" i="7" s="1"/>
  <c r="AD158" i="38"/>
  <c r="AS158" i="38" s="1"/>
  <c r="AD326" i="38"/>
  <c r="AS326" i="38" s="1"/>
  <c r="E124" i="7"/>
  <c r="F124" i="7" s="1"/>
  <c r="AD363" i="38"/>
  <c r="AS363" i="38" s="1"/>
  <c r="AD125" i="38"/>
  <c r="AS125" i="38" s="1"/>
  <c r="V283" i="38"/>
  <c r="AG283" i="38" s="1"/>
  <c r="AG207" i="38"/>
  <c r="AD370" i="38"/>
  <c r="AS370" i="38" s="1"/>
  <c r="V151" i="38"/>
  <c r="AG151" i="38" s="1"/>
  <c r="AD179" i="38"/>
  <c r="AS179" i="38" s="1"/>
  <c r="V319" i="38"/>
  <c r="AS319" i="38" s="1"/>
  <c r="AD187" i="38"/>
  <c r="AS187" i="38" s="1"/>
  <c r="V95" i="38"/>
  <c r="E94" i="7" s="1"/>
  <c r="F94" i="7" s="1"/>
  <c r="AD185" i="38"/>
  <c r="AS185" i="38" s="1"/>
  <c r="A8" i="48"/>
  <c r="V7" i="48"/>
  <c r="V367" i="38"/>
  <c r="E366" i="7" s="1"/>
  <c r="F366" i="7" s="1"/>
  <c r="V277" i="38"/>
  <c r="AG277" i="38" s="1"/>
  <c r="V311" i="38"/>
  <c r="AG311" i="38" s="1"/>
  <c r="AG276" i="38"/>
  <c r="AD372" i="38"/>
  <c r="AS372" i="38" s="1"/>
  <c r="AG372" i="38"/>
  <c r="V200" i="38"/>
  <c r="AS200" i="38" s="1"/>
  <c r="AD189" i="38"/>
  <c r="AS189" i="38" s="1"/>
  <c r="V171" i="38"/>
  <c r="AS171" i="38" s="1"/>
  <c r="V191" i="38"/>
  <c r="AS191" i="38" s="1"/>
  <c r="AD137" i="38"/>
  <c r="AS137" i="38" s="1"/>
  <c r="V362" i="38"/>
  <c r="AS362" i="38" s="1"/>
  <c r="AD207" i="38"/>
  <c r="AS207" i="38" s="1"/>
  <c r="V349" i="38"/>
  <c r="E348" i="7" s="1"/>
  <c r="F348" i="7" s="1"/>
  <c r="V261" i="38"/>
  <c r="AG261" i="38" s="1"/>
  <c r="E304" i="7"/>
  <c r="F304" i="7" s="1"/>
  <c r="AD235" i="38"/>
  <c r="AS235" i="38" s="1"/>
  <c r="AG339" i="38"/>
  <c r="AD339" i="38"/>
  <c r="AS339" i="38" s="1"/>
  <c r="V182" i="38"/>
  <c r="E181" i="7" s="1"/>
  <c r="F181" i="7" s="1"/>
  <c r="AD66" i="38"/>
  <c r="AS66" i="38" s="1"/>
  <c r="V34" i="38"/>
  <c r="AG34" i="38" s="1"/>
  <c r="AG235" i="38"/>
  <c r="V343" i="38"/>
  <c r="E342" i="7" s="1"/>
  <c r="F342" i="7" s="1"/>
  <c r="AD234" i="38"/>
  <c r="AS234" i="38" s="1"/>
  <c r="V136" i="38"/>
  <c r="E135" i="7" s="1"/>
  <c r="F135" i="7" s="1"/>
  <c r="E360" i="7"/>
  <c r="F360" i="7" s="1"/>
  <c r="AD213" i="38"/>
  <c r="AS213" i="38" s="1"/>
  <c r="V157" i="38"/>
  <c r="E156" i="7" s="1"/>
  <c r="F156" i="7" s="1"/>
  <c r="V53" i="38"/>
  <c r="AG53" i="38" s="1"/>
  <c r="V143" i="38"/>
  <c r="AS143" i="38" s="1"/>
  <c r="AD361" i="38"/>
  <c r="AS361" i="38" s="1"/>
  <c r="V359" i="38"/>
  <c r="AG359" i="38" s="1"/>
  <c r="V214" i="38"/>
  <c r="AG214" i="38" s="1"/>
  <c r="E114" i="7"/>
  <c r="F114" i="7" s="1"/>
  <c r="AD347" i="38"/>
  <c r="AS347" i="38" s="1"/>
  <c r="V291" i="38"/>
  <c r="E290" i="7" s="1"/>
  <c r="F290" i="7" s="1"/>
  <c r="V166" i="38"/>
  <c r="E165" i="7" s="1"/>
  <c r="F165" i="7" s="1"/>
  <c r="V126" i="38"/>
  <c r="AS126" i="38" s="1"/>
  <c r="AG347" i="38"/>
  <c r="V360" i="38"/>
  <c r="AS360" i="38" s="1"/>
  <c r="AD115" i="38"/>
  <c r="AS115" i="38" s="1"/>
  <c r="V32" i="38"/>
  <c r="AG32" i="38" s="1"/>
  <c r="V333" i="38"/>
  <c r="E332" i="7" s="1"/>
  <c r="F332" i="7" s="1"/>
  <c r="AD164" i="38"/>
  <c r="AS164" i="38" s="1"/>
  <c r="AD114" i="38"/>
  <c r="AS114" i="38" s="1"/>
  <c r="AG131" i="38"/>
  <c r="E322" i="7"/>
  <c r="F322" i="7" s="1"/>
  <c r="V351" i="38"/>
  <c r="AS351" i="38" s="1"/>
  <c r="V67" i="38"/>
  <c r="E8" i="49"/>
  <c r="AD305" i="38"/>
  <c r="AS305" i="38" s="1"/>
  <c r="AD215" i="38"/>
  <c r="AS215" i="38" s="1"/>
  <c r="AD323" i="38"/>
  <c r="AS323" i="38" s="1"/>
  <c r="E5" i="49"/>
  <c r="V173" i="38"/>
  <c r="AG173" i="38" s="1"/>
  <c r="AG241" i="38"/>
  <c r="V11" i="38"/>
  <c r="AG11" i="38" s="1"/>
  <c r="AG172" i="38"/>
  <c r="E24" i="49"/>
  <c r="V45" i="38"/>
  <c r="E44" i="7" s="1"/>
  <c r="F44" i="7" s="1"/>
  <c r="AD172" i="38"/>
  <c r="AS172" i="38" s="1"/>
  <c r="I29" i="50"/>
  <c r="I30" i="50" s="1"/>
  <c r="E184" i="7"/>
  <c r="F184" i="7" s="1"/>
  <c r="AG185" i="38"/>
  <c r="V371" i="38"/>
  <c r="E370" i="7" s="1"/>
  <c r="F370" i="7" s="1"/>
  <c r="AD269" i="38"/>
  <c r="V269" i="38"/>
  <c r="AD184" i="38"/>
  <c r="AS184" i="38" s="1"/>
  <c r="AD93" i="38"/>
  <c r="AS93" i="38" s="1"/>
  <c r="AG364" i="38"/>
  <c r="V221" i="38"/>
  <c r="AS221" i="38" s="1"/>
  <c r="E92" i="7"/>
  <c r="F92" i="7" s="1"/>
  <c r="AG93" i="38"/>
  <c r="AG165" i="38"/>
  <c r="E164" i="7"/>
  <c r="F164" i="7" s="1"/>
  <c r="AG189" i="38"/>
  <c r="E188" i="7"/>
  <c r="F188" i="7" s="1"/>
  <c r="AD212" i="38"/>
  <c r="AS212" i="38" s="1"/>
  <c r="E212" i="7"/>
  <c r="F212" i="7" s="1"/>
  <c r="AG213" i="38"/>
  <c r="AG212" i="38"/>
  <c r="G29" i="50"/>
  <c r="G30" i="50" s="1"/>
  <c r="E29" i="50"/>
  <c r="E30" i="50" s="1"/>
  <c r="H29" i="50"/>
  <c r="H30" i="50" s="1"/>
  <c r="AD165" i="38"/>
  <c r="AS165" i="38" s="1"/>
  <c r="AG109" i="38"/>
  <c r="F29" i="50"/>
  <c r="F30" i="50" s="1"/>
  <c r="E11" i="49"/>
  <c r="H6" i="48"/>
  <c r="A39" i="48"/>
  <c r="I5" i="48"/>
  <c r="X6" i="48"/>
  <c r="D5" i="38"/>
  <c r="AR6" i="38" s="1"/>
  <c r="Q5" i="48"/>
  <c r="H5" i="48"/>
  <c r="D5" i="48"/>
  <c r="F5" i="48"/>
  <c r="L6" i="48"/>
  <c r="X5" i="48"/>
  <c r="Q6" i="48"/>
  <c r="F6" i="48"/>
  <c r="D6" i="48"/>
  <c r="L5" i="48"/>
  <c r="V312" i="38"/>
  <c r="E311" i="7" s="1"/>
  <c r="F311" i="7" s="1"/>
  <c r="E363" i="7"/>
  <c r="F363" i="7" s="1"/>
  <c r="C29" i="50"/>
  <c r="C30" i="50" s="1"/>
  <c r="D29" i="50"/>
  <c r="D30" i="50" s="1"/>
  <c r="A28" i="24"/>
  <c r="D5" i="7"/>
  <c r="B5" i="7"/>
  <c r="E16" i="49"/>
  <c r="E14" i="49"/>
  <c r="E9" i="49"/>
  <c r="E10" i="49"/>
  <c r="E22" i="49"/>
  <c r="E4" i="49"/>
  <c r="E15" i="49"/>
  <c r="E17" i="49"/>
  <c r="E12" i="49"/>
  <c r="Y6" i="38"/>
  <c r="Z6" i="38"/>
  <c r="E23" i="49"/>
  <c r="E21" i="49"/>
  <c r="E13" i="49"/>
  <c r="AD36" i="38"/>
  <c r="AS36" i="38" s="1"/>
  <c r="V297" i="38"/>
  <c r="B7" i="38"/>
  <c r="A29" i="24"/>
  <c r="A8" i="38"/>
  <c r="H7" i="48" s="1"/>
  <c r="D7" i="38"/>
  <c r="AQ7" i="38"/>
  <c r="AK7" i="38"/>
  <c r="A6" i="7"/>
  <c r="E20" i="49"/>
  <c r="E25" i="49"/>
  <c r="E19" i="49"/>
  <c r="V35" i="38"/>
  <c r="E34" i="7" s="1"/>
  <c r="F34" i="7" s="1"/>
  <c r="V284" i="38"/>
  <c r="E283" i="7" s="1"/>
  <c r="F283" i="7" s="1"/>
  <c r="E6" i="49"/>
  <c r="E18" i="49"/>
  <c r="E7" i="49"/>
  <c r="K20" i="50"/>
  <c r="K15" i="50"/>
  <c r="K14" i="50"/>
  <c r="K6" i="50"/>
  <c r="K23" i="50"/>
  <c r="K13" i="50"/>
  <c r="K10" i="50"/>
  <c r="K25" i="50"/>
  <c r="L5" i="50"/>
  <c r="K12" i="50"/>
  <c r="K11" i="50"/>
  <c r="K8" i="50"/>
  <c r="K18" i="50"/>
  <c r="K27" i="50"/>
  <c r="K19" i="50"/>
  <c r="K22" i="50"/>
  <c r="K21" i="50"/>
  <c r="K7" i="50"/>
  <c r="K17" i="50"/>
  <c r="K9" i="50"/>
  <c r="K24" i="50"/>
  <c r="K26" i="50"/>
  <c r="K16" i="50"/>
  <c r="V228" i="38"/>
  <c r="AD228" i="38"/>
  <c r="V30" i="38"/>
  <c r="AG30" i="38" s="1"/>
  <c r="AD30" i="38"/>
  <c r="AD130" i="38"/>
  <c r="AS130" i="38" s="1"/>
  <c r="V318" i="38"/>
  <c r="E317" i="7" s="1"/>
  <c r="F317" i="7" s="1"/>
  <c r="V256" i="38"/>
  <c r="E255" i="7" s="1"/>
  <c r="F255" i="7" s="1"/>
  <c r="AD256" i="38"/>
  <c r="AG81" i="38"/>
  <c r="E80" i="7"/>
  <c r="F80" i="7" s="1"/>
  <c r="E369" i="7"/>
  <c r="F369" i="7" s="1"/>
  <c r="AG370" i="38"/>
  <c r="V282" i="38"/>
  <c r="AG282" i="38" s="1"/>
  <c r="AD88" i="38"/>
  <c r="AS88" i="38" s="1"/>
  <c r="I3" i="49"/>
  <c r="J29" i="50"/>
  <c r="J30" i="50" s="1"/>
  <c r="E136" i="7"/>
  <c r="F136" i="7" s="1"/>
  <c r="AG137" i="38"/>
  <c r="I2" i="23"/>
  <c r="I33" i="23" s="1"/>
  <c r="H33" i="23" s="1"/>
  <c r="J2" i="23"/>
  <c r="E45" i="7"/>
  <c r="F45" i="7" s="1"/>
  <c r="AG46" i="38"/>
  <c r="E129" i="7"/>
  <c r="F129" i="7" s="1"/>
  <c r="AG130" i="38"/>
  <c r="E43" i="7"/>
  <c r="F43" i="7" s="1"/>
  <c r="AG44" i="38"/>
  <c r="AG26" i="38"/>
  <c r="E25" i="7"/>
  <c r="F25" i="7" s="1"/>
  <c r="E183" i="7"/>
  <c r="F183" i="7" s="1"/>
  <c r="AG184" i="38"/>
  <c r="AG88" i="38"/>
  <c r="E87" i="7"/>
  <c r="F87" i="7" s="1"/>
  <c r="E364" i="7"/>
  <c r="F364" i="7" s="1"/>
  <c r="AG365" i="38"/>
  <c r="E37" i="7"/>
  <c r="F37" i="7" s="1"/>
  <c r="AG38" i="38"/>
  <c r="E357" i="7"/>
  <c r="F357" i="7" s="1"/>
  <c r="AG358" i="38"/>
  <c r="AG326" i="38"/>
  <c r="E325" i="7"/>
  <c r="F325" i="7" s="1"/>
  <c r="AG234" i="38"/>
  <c r="E233" i="7"/>
  <c r="F233" i="7" s="1"/>
  <c r="E113" i="7"/>
  <c r="F113" i="7" s="1"/>
  <c r="AG114" i="38"/>
  <c r="E163" i="7"/>
  <c r="F163" i="7" s="1"/>
  <c r="AG164" i="38"/>
  <c r="V94" i="38"/>
  <c r="E73" i="7"/>
  <c r="F73" i="7" s="1"/>
  <c r="AG74" i="38"/>
  <c r="V27" i="38"/>
  <c r="V206" i="38"/>
  <c r="V188" i="38"/>
  <c r="AG73" i="38"/>
  <c r="E72" i="7"/>
  <c r="F72" i="7" s="1"/>
  <c r="V324" i="38"/>
  <c r="V356" i="38"/>
  <c r="AD44" i="38"/>
  <c r="V348" i="38"/>
  <c r="V248" i="38"/>
  <c r="E269" i="7"/>
  <c r="F269" i="7" s="1"/>
  <c r="AG270" i="38"/>
  <c r="AG215" i="38"/>
  <c r="E214" i="7"/>
  <c r="F214" i="7" s="1"/>
  <c r="V150" i="38"/>
  <c r="E372" i="7"/>
  <c r="F372" i="7" s="1"/>
  <c r="AG373" i="38"/>
  <c r="E297" i="7"/>
  <c r="F297" i="7" s="1"/>
  <c r="AG298" i="38"/>
  <c r="AG158" i="38"/>
  <c r="E157" i="7"/>
  <c r="F157" i="7" s="1"/>
  <c r="J23" i="24"/>
  <c r="I400" i="24"/>
  <c r="I401" i="24"/>
  <c r="AD46" i="38"/>
  <c r="E353" i="7"/>
  <c r="F353" i="7" s="1"/>
  <c r="AG354" i="38"/>
  <c r="AG36" i="38"/>
  <c r="E35" i="7"/>
  <c r="F35" i="7" s="1"/>
  <c r="V116" i="38"/>
  <c r="V344" i="38"/>
  <c r="V28" i="38"/>
  <c r="V332" i="38"/>
  <c r="AD26" i="38"/>
  <c r="AG66" i="38"/>
  <c r="E65" i="7"/>
  <c r="F65" i="7" s="1"/>
  <c r="AG39" i="38"/>
  <c r="E38" i="7"/>
  <c r="F38" i="7" s="1"/>
  <c r="E341" i="7"/>
  <c r="F341" i="7" s="1"/>
  <c r="AG342" i="38"/>
  <c r="C6" i="7"/>
  <c r="B8" i="48"/>
  <c r="AV7" i="38"/>
  <c r="AZ6" i="7"/>
  <c r="G401" i="24" l="1"/>
  <c r="AC29" i="24"/>
  <c r="N5" i="48"/>
  <c r="AG59" i="38"/>
  <c r="AS59" i="38"/>
  <c r="E176" i="7"/>
  <c r="F176" i="7" s="1"/>
  <c r="AG177" i="38"/>
  <c r="AG192" i="38"/>
  <c r="AG129" i="38"/>
  <c r="E191" i="7"/>
  <c r="F191" i="7" s="1"/>
  <c r="E261" i="7"/>
  <c r="F261" i="7" s="1"/>
  <c r="AG262" i="38"/>
  <c r="AG122" i="38"/>
  <c r="AG220" i="38"/>
  <c r="AS178" i="38"/>
  <c r="AS122" i="38"/>
  <c r="AS129" i="38"/>
  <c r="AG178" i="38"/>
  <c r="E219" i="7"/>
  <c r="F219" i="7" s="1"/>
  <c r="E182" i="7"/>
  <c r="F182" i="7" s="1"/>
  <c r="AG174" i="38"/>
  <c r="AS183" i="38"/>
  <c r="E185" i="7"/>
  <c r="F185" i="7" s="1"/>
  <c r="AS102" i="38"/>
  <c r="AS174" i="38"/>
  <c r="E35" i="50"/>
  <c r="E43" i="50"/>
  <c r="E52" i="50"/>
  <c r="E45" i="50"/>
  <c r="E46" i="50"/>
  <c r="E41" i="50"/>
  <c r="E47" i="50"/>
  <c r="E37" i="50"/>
  <c r="E36" i="50"/>
  <c r="E51" i="50"/>
  <c r="E116" i="7"/>
  <c r="F116" i="7" s="1"/>
  <c r="E55" i="50"/>
  <c r="E48" i="50"/>
  <c r="F34" i="50"/>
  <c r="F40" i="50" s="1"/>
  <c r="E53" i="50"/>
  <c r="E50" i="50"/>
  <c r="E44" i="50"/>
  <c r="E39" i="50"/>
  <c r="E40" i="50"/>
  <c r="E49" i="50"/>
  <c r="E54" i="50"/>
  <c r="E56" i="50"/>
  <c r="E38" i="50"/>
  <c r="AS186" i="38"/>
  <c r="E345" i="7"/>
  <c r="F345" i="7" s="1"/>
  <c r="E122" i="7"/>
  <c r="F122" i="7" s="1"/>
  <c r="AS190" i="38"/>
  <c r="AG346" i="38"/>
  <c r="AG190" i="38"/>
  <c r="E352" i="7"/>
  <c r="F352" i="7" s="1"/>
  <c r="AS43" i="38"/>
  <c r="E143" i="7"/>
  <c r="F143" i="7" s="1"/>
  <c r="E309" i="7"/>
  <c r="F309" i="7" s="1"/>
  <c r="AG102" i="38"/>
  <c r="AG123" i="38"/>
  <c r="M5" i="48"/>
  <c r="E175" i="7"/>
  <c r="F175" i="7" s="1"/>
  <c r="AG180" i="38"/>
  <c r="AG42" i="38"/>
  <c r="AG43" i="38"/>
  <c r="AG144" i="38"/>
  <c r="AS242" i="38"/>
  <c r="AS255" i="38"/>
  <c r="AS155" i="38"/>
  <c r="AG290" i="38"/>
  <c r="AS290" i="38"/>
  <c r="AS325" i="38"/>
  <c r="E254" i="7"/>
  <c r="F254" i="7" s="1"/>
  <c r="AG353" i="38"/>
  <c r="E154" i="7"/>
  <c r="F154" i="7" s="1"/>
  <c r="AS42" i="38"/>
  <c r="AG337" i="38"/>
  <c r="AG281" i="38"/>
  <c r="AG242" i="38"/>
  <c r="AG350" i="38"/>
  <c r="E29" i="7"/>
  <c r="F29" i="7" s="1"/>
  <c r="AG325" i="38"/>
  <c r="AS350" i="38"/>
  <c r="E59" i="7"/>
  <c r="F59" i="7" s="1"/>
  <c r="E280" i="7"/>
  <c r="F280" i="7" s="1"/>
  <c r="AG166" i="38"/>
  <c r="AG86" i="38"/>
  <c r="AG310" i="38"/>
  <c r="AS157" i="38"/>
  <c r="AS357" i="38"/>
  <c r="AS337" i="38"/>
  <c r="AS366" i="38"/>
  <c r="AS117" i="38"/>
  <c r="AS340" i="38"/>
  <c r="E179" i="7"/>
  <c r="F179" i="7" s="1"/>
  <c r="AG357" i="38"/>
  <c r="AG340" i="38"/>
  <c r="AG366" i="38"/>
  <c r="AS60" i="38"/>
  <c r="AG157" i="38"/>
  <c r="AG176" i="38"/>
  <c r="E260" i="7"/>
  <c r="F260" i="7" s="1"/>
  <c r="AS33" i="38"/>
  <c r="E85" i="7"/>
  <c r="F85" i="7" s="1"/>
  <c r="AS343" i="38"/>
  <c r="AG143" i="38"/>
  <c r="AS277" i="38"/>
  <c r="E32" i="7"/>
  <c r="F32" i="7" s="1"/>
  <c r="D58" i="50"/>
  <c r="D59" i="50" s="1"/>
  <c r="AG95" i="38"/>
  <c r="AG136" i="38"/>
  <c r="AS11" i="38"/>
  <c r="AS345" i="38"/>
  <c r="AS95" i="38"/>
  <c r="AG345" i="38"/>
  <c r="E282" i="7"/>
  <c r="F282" i="7" s="1"/>
  <c r="AS283" i="38"/>
  <c r="AS359" i="38"/>
  <c r="AG191" i="38"/>
  <c r="E31" i="7"/>
  <c r="F31" i="7" s="1"/>
  <c r="AS182" i="38"/>
  <c r="AS367" i="38"/>
  <c r="AG367" i="38"/>
  <c r="E150" i="7"/>
  <c r="F150" i="7" s="1"/>
  <c r="E33" i="7"/>
  <c r="F33" i="7" s="1"/>
  <c r="AS349" i="38"/>
  <c r="AG182" i="38"/>
  <c r="AS151" i="38"/>
  <c r="AS34" i="38"/>
  <c r="AG349" i="38"/>
  <c r="E318" i="7"/>
  <c r="F318" i="7" s="1"/>
  <c r="AG362" i="38"/>
  <c r="AG319" i="38"/>
  <c r="AG171" i="38"/>
  <c r="E276" i="7"/>
  <c r="F276" i="7" s="1"/>
  <c r="AS53" i="38"/>
  <c r="E170" i="7"/>
  <c r="F170" i="7" s="1"/>
  <c r="E310" i="7"/>
  <c r="F310" i="7" s="1"/>
  <c r="AS311" i="38"/>
  <c r="A9" i="48"/>
  <c r="V8" i="48"/>
  <c r="AS214" i="38"/>
  <c r="AS261" i="38"/>
  <c r="E199" i="7"/>
  <c r="F199" i="7" s="1"/>
  <c r="AG200" i="38"/>
  <c r="E142" i="7"/>
  <c r="F142" i="7" s="1"/>
  <c r="E125" i="7"/>
  <c r="F125" i="7" s="1"/>
  <c r="E361" i="7"/>
  <c r="F361" i="7" s="1"/>
  <c r="E52" i="7"/>
  <c r="F52" i="7" s="1"/>
  <c r="AS136" i="38"/>
  <c r="AS284" i="38"/>
  <c r="AS166" i="38"/>
  <c r="AS291" i="38"/>
  <c r="E358" i="7"/>
  <c r="F358" i="7" s="1"/>
  <c r="E190" i="7"/>
  <c r="F190" i="7" s="1"/>
  <c r="AG333" i="38"/>
  <c r="AS333" i="38"/>
  <c r="AG343" i="38"/>
  <c r="AG291" i="38"/>
  <c r="AS32" i="38"/>
  <c r="AG312" i="38"/>
  <c r="E213" i="7"/>
  <c r="F213" i="7" s="1"/>
  <c r="AG126" i="38"/>
  <c r="AS371" i="38"/>
  <c r="AG360" i="38"/>
  <c r="AG351" i="38"/>
  <c r="E350" i="7"/>
  <c r="F350" i="7" s="1"/>
  <c r="E359" i="7"/>
  <c r="F359" i="7" s="1"/>
  <c r="E10" i="7"/>
  <c r="F10" i="7" s="1"/>
  <c r="AS312" i="38"/>
  <c r="AG67" i="38"/>
  <c r="AS67" i="38"/>
  <c r="E66" i="7"/>
  <c r="F66" i="7" s="1"/>
  <c r="AG371" i="38"/>
  <c r="AS173" i="38"/>
  <c r="E172" i="7"/>
  <c r="F172" i="7" s="1"/>
  <c r="E268" i="7"/>
  <c r="F268" i="7" s="1"/>
  <c r="AG269" i="38"/>
  <c r="AS269" i="38"/>
  <c r="AG45" i="38"/>
  <c r="AS45" i="38"/>
  <c r="AG284" i="38"/>
  <c r="AG221" i="38"/>
  <c r="E220" i="7"/>
  <c r="F220" i="7" s="1"/>
  <c r="AS228" i="38"/>
  <c r="AG35" i="38"/>
  <c r="AR7" i="38"/>
  <c r="E6" i="48"/>
  <c r="AG228" i="38"/>
  <c r="D7" i="48"/>
  <c r="AS35" i="38"/>
  <c r="AS282" i="38"/>
  <c r="E227" i="7"/>
  <c r="F227" i="7" s="1"/>
  <c r="Q7" i="48"/>
  <c r="Z7" i="38"/>
  <c r="E281" i="7"/>
  <c r="F281" i="7" s="1"/>
  <c r="AQ8" i="38"/>
  <c r="L7" i="48"/>
  <c r="X7" i="48"/>
  <c r="E5" i="48"/>
  <c r="E27" i="49"/>
  <c r="E28" i="49"/>
  <c r="AS297" i="38"/>
  <c r="E296" i="7"/>
  <c r="F296" i="7" s="1"/>
  <c r="AG297" i="38"/>
  <c r="F7" i="48"/>
  <c r="I7" i="48"/>
  <c r="B6" i="7"/>
  <c r="D6" i="7"/>
  <c r="D8" i="38"/>
  <c r="A7" i="7"/>
  <c r="A9" i="38"/>
  <c r="B8" i="38"/>
  <c r="A30" i="24"/>
  <c r="AK8" i="38"/>
  <c r="L2" i="23"/>
  <c r="K2" i="23"/>
  <c r="AS318" i="38"/>
  <c r="AG256" i="38"/>
  <c r="AS30" i="38"/>
  <c r="J3" i="49"/>
  <c r="AG318" i="38"/>
  <c r="AS256" i="38"/>
  <c r="K29" i="50"/>
  <c r="K30" i="50" s="1"/>
  <c r="L27" i="50"/>
  <c r="L8" i="50"/>
  <c r="L11" i="50"/>
  <c r="L10" i="50"/>
  <c r="L17" i="50"/>
  <c r="L20" i="50"/>
  <c r="L25" i="50"/>
  <c r="L6" i="50"/>
  <c r="L24" i="50"/>
  <c r="L18" i="50"/>
  <c r="M5" i="50"/>
  <c r="L15" i="50"/>
  <c r="L16" i="50"/>
  <c r="L21" i="50"/>
  <c r="L13" i="50"/>
  <c r="L23" i="50"/>
  <c r="L26" i="50"/>
  <c r="L22" i="50"/>
  <c r="L9" i="50"/>
  <c r="L7" i="50"/>
  <c r="L19" i="50"/>
  <c r="L14" i="50"/>
  <c r="L12" i="50"/>
  <c r="AG248" i="38"/>
  <c r="AS248" i="38"/>
  <c r="E247" i="7"/>
  <c r="F247" i="7" s="1"/>
  <c r="E26" i="7"/>
  <c r="F26" i="7" s="1"/>
  <c r="AS27" i="38"/>
  <c r="AG27" i="38"/>
  <c r="AS26" i="38"/>
  <c r="K23" i="24"/>
  <c r="J400" i="24"/>
  <c r="J401" i="24"/>
  <c r="AS324" i="38"/>
  <c r="E323" i="7"/>
  <c r="F323" i="7" s="1"/>
  <c r="AG324" i="38"/>
  <c r="AG188" i="38"/>
  <c r="AS188" i="38"/>
  <c r="E187" i="7"/>
  <c r="F187" i="7" s="1"/>
  <c r="AG206" i="38"/>
  <c r="AS206" i="38"/>
  <c r="E205" i="7"/>
  <c r="F205" i="7" s="1"/>
  <c r="AG94" i="38"/>
  <c r="E93" i="7"/>
  <c r="F93" i="7" s="1"/>
  <c r="AS94" i="38"/>
  <c r="AS44" i="38"/>
  <c r="AG28" i="38"/>
  <c r="E27" i="7"/>
  <c r="F27" i="7" s="1"/>
  <c r="AS28" i="38"/>
  <c r="AS344" i="38"/>
  <c r="E343" i="7"/>
  <c r="F343" i="7" s="1"/>
  <c r="AG344" i="38"/>
  <c r="AS46" i="38"/>
  <c r="E331" i="7"/>
  <c r="F331" i="7" s="1"/>
  <c r="AS332" i="38"/>
  <c r="AG332" i="38"/>
  <c r="AS116" i="38"/>
  <c r="AG116" i="38"/>
  <c r="E115" i="7"/>
  <c r="F115" i="7" s="1"/>
  <c r="AG150" i="38"/>
  <c r="AS150" i="38"/>
  <c r="E149" i="7"/>
  <c r="F149" i="7" s="1"/>
  <c r="E347" i="7"/>
  <c r="F347" i="7" s="1"/>
  <c r="AS348" i="38"/>
  <c r="AG348" i="38"/>
  <c r="E355" i="7"/>
  <c r="F355" i="7" s="1"/>
  <c r="AG356" i="38"/>
  <c r="AS356" i="38"/>
  <c r="C8" i="38"/>
  <c r="C7" i="7"/>
  <c r="C9" i="38"/>
  <c r="B9" i="48"/>
  <c r="AV8" i="38"/>
  <c r="AZ7" i="7"/>
  <c r="N6" i="48" l="1"/>
  <c r="F46" i="50"/>
  <c r="F54" i="50"/>
  <c r="F56" i="50"/>
  <c r="F39" i="50"/>
  <c r="F37" i="50"/>
  <c r="E58" i="50"/>
  <c r="E59" i="50" s="1"/>
  <c r="F55" i="50"/>
  <c r="F50" i="50"/>
  <c r="F47" i="50"/>
  <c r="F51" i="50"/>
  <c r="F45" i="50"/>
  <c r="F49" i="50"/>
  <c r="F52" i="50"/>
  <c r="F53" i="50"/>
  <c r="G34" i="50"/>
  <c r="G51" i="50" s="1"/>
  <c r="F38" i="50"/>
  <c r="F44" i="50"/>
  <c r="F43" i="50"/>
  <c r="F36" i="50"/>
  <c r="F48" i="50"/>
  <c r="F42" i="50"/>
  <c r="F35" i="50"/>
  <c r="F41" i="50"/>
  <c r="G5" i="48"/>
  <c r="V9" i="48"/>
  <c r="A10" i="48"/>
  <c r="AR8" i="38"/>
  <c r="Y7" i="38"/>
  <c r="I7" i="38" s="1"/>
  <c r="E7" i="48"/>
  <c r="Q8" i="48"/>
  <c r="D9" i="38"/>
  <c r="B9" i="38"/>
  <c r="A31" i="24"/>
  <c r="A10" i="38"/>
  <c r="L9" i="48" s="1"/>
  <c r="A8" i="7"/>
  <c r="AK9" i="38"/>
  <c r="I8" i="48"/>
  <c r="D8" i="48"/>
  <c r="H8" i="48"/>
  <c r="L8" i="48"/>
  <c r="F8" i="48"/>
  <c r="X8" i="48"/>
  <c r="Z8" i="38"/>
  <c r="Y8" i="38" s="1"/>
  <c r="B7" i="7"/>
  <c r="D7" i="7"/>
  <c r="AQ9" i="38"/>
  <c r="M2" i="23"/>
  <c r="N2" i="23"/>
  <c r="L29" i="50"/>
  <c r="L30" i="50" s="1"/>
  <c r="K3" i="49"/>
  <c r="M19" i="50"/>
  <c r="M18" i="50"/>
  <c r="M6" i="50"/>
  <c r="M15" i="50"/>
  <c r="M10" i="50"/>
  <c r="M11" i="50"/>
  <c r="M8" i="50"/>
  <c r="M26" i="50"/>
  <c r="M24" i="50"/>
  <c r="M16" i="50"/>
  <c r="M25" i="50"/>
  <c r="M22" i="50"/>
  <c r="M14" i="50"/>
  <c r="M27" i="50"/>
  <c r="M12" i="50"/>
  <c r="M23" i="50"/>
  <c r="M7" i="50"/>
  <c r="M17" i="50"/>
  <c r="M20" i="50"/>
  <c r="N5" i="50"/>
  <c r="M9" i="50"/>
  <c r="M21" i="50"/>
  <c r="M13" i="50"/>
  <c r="L23" i="24"/>
  <c r="K400" i="24"/>
  <c r="K401" i="24"/>
  <c r="C8" i="7"/>
  <c r="B10" i="48"/>
  <c r="AZ8" i="7"/>
  <c r="AV9" i="38"/>
  <c r="J8" i="38" l="1"/>
  <c r="J7" i="38"/>
  <c r="AW6" i="38"/>
  <c r="V6" i="38"/>
  <c r="Q9" i="48"/>
  <c r="N7" i="48"/>
  <c r="I6" i="48"/>
  <c r="G46" i="50"/>
  <c r="G42" i="50"/>
  <c r="G36" i="50"/>
  <c r="M6" i="48"/>
  <c r="G56" i="50"/>
  <c r="G52" i="50"/>
  <c r="H34" i="50"/>
  <c r="H44" i="50" s="1"/>
  <c r="G40" i="50"/>
  <c r="G37" i="50"/>
  <c r="G44" i="50"/>
  <c r="G55" i="50"/>
  <c r="G47" i="50"/>
  <c r="G50" i="50"/>
  <c r="G38" i="50"/>
  <c r="G35" i="50"/>
  <c r="G49" i="50"/>
  <c r="G45" i="50"/>
  <c r="G48" i="50"/>
  <c r="F58" i="50"/>
  <c r="F59" i="50" s="1"/>
  <c r="G43" i="50"/>
  <c r="G41" i="50"/>
  <c r="G39" i="50"/>
  <c r="G54" i="50"/>
  <c r="G53" i="50"/>
  <c r="AE5" i="38"/>
  <c r="V10" i="48"/>
  <c r="A11" i="48"/>
  <c r="AR9" i="38"/>
  <c r="I9" i="48"/>
  <c r="D9" i="48"/>
  <c r="H9" i="48"/>
  <c r="M7" i="48"/>
  <c r="Z9" i="38"/>
  <c r="N8" i="48" s="1"/>
  <c r="E8" i="48"/>
  <c r="B8" i="7"/>
  <c r="D8" i="7"/>
  <c r="AK10" i="38"/>
  <c r="D10" i="38"/>
  <c r="AQ10" i="38"/>
  <c r="A32" i="24"/>
  <c r="A9" i="7"/>
  <c r="A11" i="38"/>
  <c r="B10" i="38"/>
  <c r="F9" i="48"/>
  <c r="X9" i="48"/>
  <c r="N16" i="50"/>
  <c r="N10" i="50"/>
  <c r="N6" i="50"/>
  <c r="N18" i="50"/>
  <c r="N20" i="50"/>
  <c r="N24" i="50"/>
  <c r="N21" i="50"/>
  <c r="N8" i="50"/>
  <c r="N14" i="50"/>
  <c r="N13" i="50"/>
  <c r="N15" i="50"/>
  <c r="N27" i="50"/>
  <c r="N11" i="50"/>
  <c r="N23" i="50"/>
  <c r="N19" i="50"/>
  <c r="N26" i="50"/>
  <c r="N7" i="50"/>
  <c r="O5" i="50"/>
  <c r="N12" i="50"/>
  <c r="N25" i="50"/>
  <c r="N9" i="50"/>
  <c r="N22" i="50"/>
  <c r="N17" i="50"/>
  <c r="L3" i="49"/>
  <c r="O2" i="23"/>
  <c r="P2" i="23"/>
  <c r="M29" i="50"/>
  <c r="M30" i="50" s="1"/>
  <c r="M33" i="23"/>
  <c r="L33" i="23" s="1"/>
  <c r="L400" i="24"/>
  <c r="M23" i="24"/>
  <c r="L401" i="24"/>
  <c r="B11" i="48"/>
  <c r="C11" i="38"/>
  <c r="C9" i="7"/>
  <c r="C10" i="38"/>
  <c r="AZ9" i="7"/>
  <c r="AV10" i="38"/>
  <c r="R8" i="38" l="1"/>
  <c r="T8" i="38" s="1"/>
  <c r="U8" i="38" s="1"/>
  <c r="G7" i="48"/>
  <c r="R7" i="38"/>
  <c r="T7" i="38" s="1"/>
  <c r="U7" i="38" s="1"/>
  <c r="G6" i="48"/>
  <c r="AD6" i="38"/>
  <c r="AL6" i="38" s="1"/>
  <c r="D6" i="6" s="1"/>
  <c r="Y9" i="38"/>
  <c r="M8" i="48" s="1"/>
  <c r="A38" i="48"/>
  <c r="AX6" i="38"/>
  <c r="H48" i="50"/>
  <c r="H36" i="50"/>
  <c r="H49" i="50"/>
  <c r="I34" i="50"/>
  <c r="I46" i="50" s="1"/>
  <c r="H45" i="50"/>
  <c r="H37" i="50"/>
  <c r="H53" i="50"/>
  <c r="H42" i="50"/>
  <c r="H55" i="50"/>
  <c r="H54" i="50"/>
  <c r="H35" i="50"/>
  <c r="H52" i="50"/>
  <c r="H50" i="50"/>
  <c r="H38" i="50"/>
  <c r="H39" i="50"/>
  <c r="H51" i="50"/>
  <c r="H56" i="50"/>
  <c r="H46" i="50"/>
  <c r="H40" i="50"/>
  <c r="H47" i="50"/>
  <c r="H41" i="50"/>
  <c r="H43" i="50"/>
  <c r="G58" i="50"/>
  <c r="G59" i="50" s="1"/>
  <c r="AM6" i="38"/>
  <c r="AM7" i="38" s="1"/>
  <c r="AM8" i="38" s="1"/>
  <c r="AM9" i="38" s="1"/>
  <c r="AM10" i="38" s="1"/>
  <c r="B5" i="6"/>
  <c r="E9" i="48"/>
  <c r="A12" i="48"/>
  <c r="V11" i="48"/>
  <c r="AR10" i="38"/>
  <c r="D11" i="38"/>
  <c r="AK11" i="38"/>
  <c r="B11" i="38"/>
  <c r="AQ11" i="38"/>
  <c r="A10" i="7"/>
  <c r="A33" i="24"/>
  <c r="A12" i="38"/>
  <c r="L10" i="48"/>
  <c r="G10" i="48"/>
  <c r="Q10" i="48"/>
  <c r="H10" i="48"/>
  <c r="I10" i="48"/>
  <c r="X10" i="48"/>
  <c r="R10" i="48"/>
  <c r="F10" i="48"/>
  <c r="D10" i="48"/>
  <c r="J10" i="48"/>
  <c r="B9" i="7"/>
  <c r="D9" i="7"/>
  <c r="Z10" i="38"/>
  <c r="Y10" i="38"/>
  <c r="R2" i="23"/>
  <c r="Q2" i="23"/>
  <c r="N29" i="50"/>
  <c r="N30" i="50" s="1"/>
  <c r="M3" i="49"/>
  <c r="O12" i="50"/>
  <c r="O27" i="50"/>
  <c r="O7" i="50"/>
  <c r="O17" i="50"/>
  <c r="O22" i="50"/>
  <c r="P5" i="50"/>
  <c r="O21" i="50"/>
  <c r="O15" i="50"/>
  <c r="O11" i="50"/>
  <c r="O23" i="50"/>
  <c r="O14" i="50"/>
  <c r="O9" i="50"/>
  <c r="O8" i="50"/>
  <c r="O18" i="50"/>
  <c r="O24" i="50"/>
  <c r="O16" i="50"/>
  <c r="O20" i="50"/>
  <c r="O6" i="50"/>
  <c r="O13" i="50"/>
  <c r="O25" i="50"/>
  <c r="O19" i="50"/>
  <c r="O10" i="50"/>
  <c r="O26" i="50"/>
  <c r="M401" i="24"/>
  <c r="M400" i="24"/>
  <c r="N23" i="24"/>
  <c r="C12" i="38"/>
  <c r="C10" i="7"/>
  <c r="B12" i="48"/>
  <c r="AV11" i="38"/>
  <c r="AZ10" i="7"/>
  <c r="R5" i="48" l="1"/>
  <c r="V8" i="38"/>
  <c r="AD8" i="38"/>
  <c r="R7" i="48" s="1"/>
  <c r="V7" i="38"/>
  <c r="AJ7" i="38" s="1"/>
  <c r="N9" i="48"/>
  <c r="AI6" i="38"/>
  <c r="I41" i="50"/>
  <c r="I56" i="50"/>
  <c r="AB6" i="38"/>
  <c r="AA6" i="38"/>
  <c r="AT6" i="38" s="1"/>
  <c r="AG6" i="38"/>
  <c r="AS6" i="38"/>
  <c r="J5" i="48"/>
  <c r="AJ6" i="38"/>
  <c r="E5" i="7"/>
  <c r="F5" i="7" s="1"/>
  <c r="AH6" i="38"/>
  <c r="I35" i="50"/>
  <c r="I36" i="50"/>
  <c r="I44" i="50"/>
  <c r="I40" i="50"/>
  <c r="J34" i="50"/>
  <c r="J41" i="50" s="1"/>
  <c r="I47" i="50"/>
  <c r="I38" i="50"/>
  <c r="I49" i="50"/>
  <c r="I48" i="50"/>
  <c r="I55" i="50"/>
  <c r="I54" i="50"/>
  <c r="I53" i="50"/>
  <c r="I37" i="50"/>
  <c r="I45" i="50"/>
  <c r="I39" i="50"/>
  <c r="I50" i="50"/>
  <c r="I42" i="50"/>
  <c r="I51" i="50"/>
  <c r="I43" i="50"/>
  <c r="I52" i="50"/>
  <c r="H58" i="50"/>
  <c r="H59" i="50" s="1"/>
  <c r="G9" i="48"/>
  <c r="AM11" i="38"/>
  <c r="T9" i="38"/>
  <c r="U9" i="38" s="1"/>
  <c r="G8" i="48"/>
  <c r="V12" i="48"/>
  <c r="A13" i="48"/>
  <c r="AR11" i="38"/>
  <c r="E10" i="48"/>
  <c r="A13" i="38"/>
  <c r="AQ12" i="38"/>
  <c r="A11" i="7"/>
  <c r="B12" i="38"/>
  <c r="A34" i="24"/>
  <c r="D12" i="38"/>
  <c r="AK12" i="38"/>
  <c r="H11" i="48"/>
  <c r="I11" i="48"/>
  <c r="F11" i="48"/>
  <c r="L11" i="48"/>
  <c r="D11" i="48"/>
  <c r="X11" i="48"/>
  <c r="Q11" i="48"/>
  <c r="B10" i="7"/>
  <c r="D10" i="7"/>
  <c r="M9" i="48"/>
  <c r="Z11" i="38"/>
  <c r="AW11" i="38" s="1"/>
  <c r="Y11" i="38"/>
  <c r="N3" i="49"/>
  <c r="T2" i="23"/>
  <c r="S2" i="23"/>
  <c r="O29" i="50"/>
  <c r="O30" i="50" s="1"/>
  <c r="P11" i="50"/>
  <c r="P19" i="50"/>
  <c r="P14" i="50"/>
  <c r="P6" i="50"/>
  <c r="P21" i="50"/>
  <c r="P22" i="50"/>
  <c r="P7" i="50"/>
  <c r="P9" i="50"/>
  <c r="P24" i="50"/>
  <c r="P20" i="50"/>
  <c r="P15" i="50"/>
  <c r="P26" i="50"/>
  <c r="P25" i="50"/>
  <c r="Q5" i="50"/>
  <c r="P13" i="50"/>
  <c r="P17" i="50"/>
  <c r="P18" i="50"/>
  <c r="P8" i="50"/>
  <c r="P10" i="50"/>
  <c r="P23" i="50"/>
  <c r="P27" i="50"/>
  <c r="P16" i="50"/>
  <c r="P12" i="50"/>
  <c r="N401" i="24"/>
  <c r="N400" i="24"/>
  <c r="O23" i="24"/>
  <c r="C11" i="7"/>
  <c r="C13" i="38"/>
  <c r="B13" i="48"/>
  <c r="AZ11" i="7"/>
  <c r="AV12" i="38"/>
  <c r="E6" i="38" l="1"/>
  <c r="C5" i="48" s="1"/>
  <c r="AW10" i="38"/>
  <c r="T10" i="38"/>
  <c r="AS8" i="38"/>
  <c r="AG8" i="38"/>
  <c r="E7" i="7"/>
  <c r="F7" i="7" s="1"/>
  <c r="J7" i="48"/>
  <c r="AA8" i="38"/>
  <c r="AW8" i="38" s="1"/>
  <c r="AJ8" i="38"/>
  <c r="AH8" i="38"/>
  <c r="AI8" i="38"/>
  <c r="AB8" i="38"/>
  <c r="AD7" i="38"/>
  <c r="AL7" i="38" s="1"/>
  <c r="D7" i="6" s="1"/>
  <c r="V9" i="38"/>
  <c r="N10" i="48"/>
  <c r="T5" i="48"/>
  <c r="O5" i="48"/>
  <c r="W5" i="48" s="1"/>
  <c r="P5" i="48"/>
  <c r="AI7" i="38"/>
  <c r="C3" i="23"/>
  <c r="B3" i="23" s="1"/>
  <c r="AH7" i="38"/>
  <c r="AG7" i="38"/>
  <c r="AA7" i="38"/>
  <c r="AW7" i="38" s="1"/>
  <c r="E6" i="7"/>
  <c r="F6" i="7" s="1"/>
  <c r="AE6" i="38"/>
  <c r="J6" i="48"/>
  <c r="T6" i="48" s="1"/>
  <c r="AB7" i="38"/>
  <c r="B6" i="6"/>
  <c r="J56" i="50"/>
  <c r="J46" i="50"/>
  <c r="S5" i="48"/>
  <c r="U5" i="48"/>
  <c r="K34" i="50"/>
  <c r="K42" i="50" s="1"/>
  <c r="J36" i="50"/>
  <c r="J50" i="50"/>
  <c r="J54" i="50"/>
  <c r="J35" i="50"/>
  <c r="J48" i="50"/>
  <c r="J47" i="50"/>
  <c r="J38" i="50"/>
  <c r="J37" i="50"/>
  <c r="J53" i="50"/>
  <c r="J52" i="50"/>
  <c r="J51" i="50"/>
  <c r="J55" i="50"/>
  <c r="J44" i="50"/>
  <c r="J39" i="50"/>
  <c r="J43" i="50"/>
  <c r="J40" i="50"/>
  <c r="J42" i="50"/>
  <c r="J49" i="50"/>
  <c r="J45" i="50"/>
  <c r="I58" i="50"/>
  <c r="I59" i="50" s="1"/>
  <c r="AM12" i="38"/>
  <c r="A14" i="48"/>
  <c r="V13" i="48"/>
  <c r="AR12" i="38"/>
  <c r="E11" i="48"/>
  <c r="Z12" i="38"/>
  <c r="B11" i="7"/>
  <c r="D11" i="7"/>
  <c r="AQ13" i="38"/>
  <c r="A12" i="7"/>
  <c r="B13" i="38"/>
  <c r="AK13" i="38"/>
  <c r="D13" i="38"/>
  <c r="A14" i="38"/>
  <c r="A35" i="24"/>
  <c r="I12" i="48"/>
  <c r="D12" i="48"/>
  <c r="F12" i="48"/>
  <c r="X12" i="48"/>
  <c r="H12" i="48"/>
  <c r="L12" i="48"/>
  <c r="Q12" i="48"/>
  <c r="AH11" i="38"/>
  <c r="AB11" i="38"/>
  <c r="AI11" i="38"/>
  <c r="AJ11" i="38"/>
  <c r="AA11" i="38"/>
  <c r="M10" i="48"/>
  <c r="Q16" i="50"/>
  <c r="Q9" i="50"/>
  <c r="Q7" i="50"/>
  <c r="Q18" i="50"/>
  <c r="Q19" i="50"/>
  <c r="Q12" i="50"/>
  <c r="Q13" i="50"/>
  <c r="Q8" i="50"/>
  <c r="Q11" i="50"/>
  <c r="Q10" i="50"/>
  <c r="Q25" i="50"/>
  <c r="Q22" i="50"/>
  <c r="Q17" i="50"/>
  <c r="Q27" i="50"/>
  <c r="Q21" i="50"/>
  <c r="R5" i="50"/>
  <c r="Q20" i="50"/>
  <c r="Q26" i="50"/>
  <c r="Q23" i="50"/>
  <c r="Q15" i="50"/>
  <c r="Q14" i="50"/>
  <c r="Q24" i="50"/>
  <c r="Q6" i="50"/>
  <c r="S33" i="23"/>
  <c r="R33" i="23" s="1"/>
  <c r="O3" i="49"/>
  <c r="P29" i="50"/>
  <c r="P30" i="50" s="1"/>
  <c r="U2" i="23"/>
  <c r="V2" i="23"/>
  <c r="O401" i="24"/>
  <c r="O400" i="24"/>
  <c r="P23" i="24"/>
  <c r="C14" i="38"/>
  <c r="B14" i="48"/>
  <c r="C12" i="7"/>
  <c r="AZ12" i="7"/>
  <c r="AV13" i="38"/>
  <c r="U10" i="38" l="1"/>
  <c r="P7" i="48"/>
  <c r="O7" i="48"/>
  <c r="U7" i="48"/>
  <c r="T7" i="48"/>
  <c r="S7" i="48"/>
  <c r="AT8" i="38"/>
  <c r="E8" i="38" s="1"/>
  <c r="AD9" i="38"/>
  <c r="AS7" i="38"/>
  <c r="R6" i="48"/>
  <c r="AL8" i="38"/>
  <c r="D5" i="6" s="1"/>
  <c r="AX8" i="38"/>
  <c r="AX7" i="38"/>
  <c r="E8" i="7"/>
  <c r="F8" i="7" s="1"/>
  <c r="AT11" i="38"/>
  <c r="AT7" i="38"/>
  <c r="N11" i="48"/>
  <c r="Y12" i="38"/>
  <c r="O10" i="48"/>
  <c r="P10" i="48"/>
  <c r="O6" i="48"/>
  <c r="W6" i="48" s="1"/>
  <c r="K54" i="50"/>
  <c r="K35" i="50"/>
  <c r="K44" i="50"/>
  <c r="K38" i="50"/>
  <c r="K48" i="50"/>
  <c r="K53" i="50"/>
  <c r="AE7" i="38"/>
  <c r="AE8" i="38" s="1"/>
  <c r="K50" i="50"/>
  <c r="K55" i="50"/>
  <c r="K43" i="50"/>
  <c r="K56" i="50"/>
  <c r="K45" i="50"/>
  <c r="L34" i="50"/>
  <c r="L37" i="50" s="1"/>
  <c r="B7" i="6"/>
  <c r="B8" i="6" s="1"/>
  <c r="P6" i="48"/>
  <c r="S6" i="48"/>
  <c r="U6" i="48"/>
  <c r="K36" i="50"/>
  <c r="K49" i="50"/>
  <c r="K46" i="50"/>
  <c r="K39" i="50"/>
  <c r="K52" i="50"/>
  <c r="K40" i="50"/>
  <c r="K37" i="50"/>
  <c r="K41" i="50"/>
  <c r="K47" i="50"/>
  <c r="K51" i="50"/>
  <c r="J58" i="50"/>
  <c r="J59" i="50" s="1"/>
  <c r="AM13" i="38"/>
  <c r="AJ9" i="38"/>
  <c r="AG9" i="38"/>
  <c r="AB9" i="38"/>
  <c r="AA9" i="38"/>
  <c r="AW9" i="38" s="1"/>
  <c r="J8" i="48"/>
  <c r="S8" i="48" s="1"/>
  <c r="AI9" i="38"/>
  <c r="AH9" i="38"/>
  <c r="A15" i="48"/>
  <c r="V14" i="48"/>
  <c r="E12" i="48"/>
  <c r="A13" i="7"/>
  <c r="D14" i="38"/>
  <c r="B14" i="38"/>
  <c r="A15" i="38"/>
  <c r="A36" i="24"/>
  <c r="AK14" i="38"/>
  <c r="AQ14" i="38"/>
  <c r="D13" i="48"/>
  <c r="H13" i="48"/>
  <c r="I13" i="48"/>
  <c r="Q13" i="48"/>
  <c r="X13" i="48"/>
  <c r="F13" i="48"/>
  <c r="L13" i="48"/>
  <c r="B12" i="7"/>
  <c r="D12" i="7"/>
  <c r="AR13" i="38"/>
  <c r="Z13" i="38"/>
  <c r="N12" i="48" s="1"/>
  <c r="T10" i="48"/>
  <c r="S10" i="48"/>
  <c r="U10" i="48"/>
  <c r="P3" i="49"/>
  <c r="R11" i="50"/>
  <c r="R12" i="50"/>
  <c r="R22" i="50"/>
  <c r="R19" i="50"/>
  <c r="R15" i="50"/>
  <c r="R18" i="50"/>
  <c r="R25" i="50"/>
  <c r="S5" i="50"/>
  <c r="R26" i="50"/>
  <c r="R9" i="50"/>
  <c r="R14" i="50"/>
  <c r="R20" i="50"/>
  <c r="R16" i="50"/>
  <c r="R6" i="50"/>
  <c r="R21" i="50"/>
  <c r="R27" i="50"/>
  <c r="R10" i="50"/>
  <c r="R24" i="50"/>
  <c r="R8" i="50"/>
  <c r="R7" i="50"/>
  <c r="R13" i="50"/>
  <c r="R23" i="50"/>
  <c r="R17" i="50"/>
  <c r="W2" i="23"/>
  <c r="X2" i="23"/>
  <c r="Y2" i="23" s="1"/>
  <c r="Q29" i="50"/>
  <c r="Q30" i="50" s="1"/>
  <c r="P401" i="24"/>
  <c r="Q23" i="24"/>
  <c r="P400" i="24"/>
  <c r="B15" i="48"/>
  <c r="C13" i="7"/>
  <c r="C15" i="38"/>
  <c r="AV14" i="38"/>
  <c r="AZ13" i="7"/>
  <c r="AX11" i="38" l="1"/>
  <c r="J12" i="38"/>
  <c r="C4" i="23"/>
  <c r="B4" i="23" s="1"/>
  <c r="E7" i="38"/>
  <c r="C6" i="48" s="1"/>
  <c r="E11" i="38"/>
  <c r="C10" i="48" s="1"/>
  <c r="AD10" i="38"/>
  <c r="R9" i="48" s="1"/>
  <c r="V10" i="38"/>
  <c r="AH10" i="38" s="1"/>
  <c r="W7" i="48"/>
  <c r="C7" i="48"/>
  <c r="C5" i="23"/>
  <c r="B5" i="23" s="1"/>
  <c r="AL9" i="38"/>
  <c r="D9" i="6" s="1"/>
  <c r="AS9" i="38"/>
  <c r="R8" i="48"/>
  <c r="AX9" i="38"/>
  <c r="D8" i="6"/>
  <c r="AX10" i="38"/>
  <c r="C8" i="23"/>
  <c r="B8" i="23" s="1"/>
  <c r="Y13" i="38"/>
  <c r="M11" i="48"/>
  <c r="AT9" i="38"/>
  <c r="L38" i="50"/>
  <c r="L40" i="50"/>
  <c r="L48" i="50"/>
  <c r="L35" i="50"/>
  <c r="L43" i="50"/>
  <c r="L44" i="50"/>
  <c r="L47" i="50"/>
  <c r="L56" i="50"/>
  <c r="L54" i="50"/>
  <c r="L36" i="50"/>
  <c r="L50" i="50"/>
  <c r="L39" i="50"/>
  <c r="L53" i="50"/>
  <c r="L45" i="50"/>
  <c r="L42" i="50"/>
  <c r="L52" i="50"/>
  <c r="L46" i="50"/>
  <c r="L49" i="50"/>
  <c r="L55" i="50"/>
  <c r="M34" i="50"/>
  <c r="M56" i="50" s="1"/>
  <c r="L41" i="50"/>
  <c r="L51" i="50"/>
  <c r="AE9" i="38"/>
  <c r="B9" i="6"/>
  <c r="K58" i="50"/>
  <c r="K59" i="50" s="1"/>
  <c r="AM14" i="38"/>
  <c r="O8" i="48"/>
  <c r="P8" i="48"/>
  <c r="T8" i="48"/>
  <c r="U8" i="48"/>
  <c r="A16" i="48"/>
  <c r="V15" i="48"/>
  <c r="AR14" i="38"/>
  <c r="Z14" i="38"/>
  <c r="N13" i="48" s="1"/>
  <c r="B13" i="7"/>
  <c r="D13" i="7"/>
  <c r="AQ15" i="38"/>
  <c r="AK15" i="38"/>
  <c r="A37" i="24"/>
  <c r="D15" i="38"/>
  <c r="A16" i="38"/>
  <c r="A14" i="7"/>
  <c r="B15" i="38"/>
  <c r="F14" i="48"/>
  <c r="L14" i="48"/>
  <c r="D14" i="48"/>
  <c r="X14" i="48"/>
  <c r="H14" i="48"/>
  <c r="I14" i="48"/>
  <c r="Q14" i="48"/>
  <c r="R29" i="50"/>
  <c r="R30" i="50" s="1"/>
  <c r="E13" i="48"/>
  <c r="Q3" i="49"/>
  <c r="W33" i="23"/>
  <c r="V33" i="23" s="1"/>
  <c r="S22" i="50"/>
  <c r="S10" i="50"/>
  <c r="S25" i="50"/>
  <c r="S21" i="50"/>
  <c r="S13" i="50"/>
  <c r="S12" i="50"/>
  <c r="T5" i="50"/>
  <c r="S8" i="50"/>
  <c r="S14" i="50"/>
  <c r="S17" i="50"/>
  <c r="S11" i="50"/>
  <c r="S19" i="50"/>
  <c r="S27" i="50"/>
  <c r="S6" i="50"/>
  <c r="S18" i="50"/>
  <c r="S20" i="50"/>
  <c r="S7" i="50"/>
  <c r="S24" i="50"/>
  <c r="S15" i="50"/>
  <c r="S23" i="50"/>
  <c r="S16" i="50"/>
  <c r="S26" i="50"/>
  <c r="S9" i="50"/>
  <c r="Q400" i="24"/>
  <c r="R23" i="24"/>
  <c r="Q401" i="24"/>
  <c r="C14" i="7"/>
  <c r="B16" i="48"/>
  <c r="C16" i="38"/>
  <c r="AV15" i="38"/>
  <c r="AZ14" i="7"/>
  <c r="W8" i="48" l="1"/>
  <c r="AI10" i="38"/>
  <c r="M12" i="48"/>
  <c r="J13" i="38"/>
  <c r="R13" i="38" s="1"/>
  <c r="T13" i="38" s="1"/>
  <c r="U13" i="38" s="1"/>
  <c r="R12" i="38"/>
  <c r="G11" i="48"/>
  <c r="AL10" i="38"/>
  <c r="D10" i="6" s="1"/>
  <c r="AL11" i="38"/>
  <c r="D11" i="6" s="1"/>
  <c r="AS10" i="38"/>
  <c r="AB10" i="38"/>
  <c r="E9" i="38"/>
  <c r="C8" i="48" s="1"/>
  <c r="E9" i="7"/>
  <c r="F9" i="7" s="1"/>
  <c r="AJ10" i="38"/>
  <c r="AA10" i="38"/>
  <c r="AT10" i="38" s="1"/>
  <c r="C7" i="23" s="1"/>
  <c r="B7" i="23" s="1"/>
  <c r="AG10" i="38"/>
  <c r="J9" i="48"/>
  <c r="S9" i="48" s="1"/>
  <c r="C6" i="23"/>
  <c r="B6" i="23" s="1"/>
  <c r="Y14" i="38"/>
  <c r="J14" i="38" s="1"/>
  <c r="R14" i="38" s="1"/>
  <c r="T14" i="38" s="1"/>
  <c r="U14" i="38" s="1"/>
  <c r="M36" i="50"/>
  <c r="M45" i="50"/>
  <c r="M53" i="50"/>
  <c r="M54" i="50"/>
  <c r="M50" i="50"/>
  <c r="M46" i="50"/>
  <c r="M42" i="50"/>
  <c r="M40" i="50"/>
  <c r="M35" i="50"/>
  <c r="M44" i="50"/>
  <c r="M52" i="50"/>
  <c r="M38" i="50"/>
  <c r="M43" i="50"/>
  <c r="M41" i="50"/>
  <c r="M55" i="50"/>
  <c r="M48" i="50"/>
  <c r="M47" i="50"/>
  <c r="L58" i="50"/>
  <c r="L59" i="50" s="1"/>
  <c r="M37" i="50"/>
  <c r="M49" i="50"/>
  <c r="M51" i="50"/>
  <c r="N34" i="50"/>
  <c r="N39" i="50" s="1"/>
  <c r="M39" i="50"/>
  <c r="AM15" i="38"/>
  <c r="V16" i="48"/>
  <c r="A17" i="48"/>
  <c r="E14" i="48"/>
  <c r="Z15" i="38"/>
  <c r="N14" i="48" s="1"/>
  <c r="D14" i="7"/>
  <c r="B14" i="7"/>
  <c r="AQ16" i="38"/>
  <c r="A38" i="24"/>
  <c r="B16" i="38"/>
  <c r="A15" i="7"/>
  <c r="D16" i="38"/>
  <c r="A17" i="38"/>
  <c r="AK16" i="38"/>
  <c r="F15" i="48"/>
  <c r="L15" i="48"/>
  <c r="H15" i="48"/>
  <c r="Q15" i="48"/>
  <c r="X15" i="48"/>
  <c r="I15" i="48"/>
  <c r="D15" i="48"/>
  <c r="AR15" i="38"/>
  <c r="T13" i="50"/>
  <c r="T27" i="50"/>
  <c r="T19" i="50"/>
  <c r="T15" i="50"/>
  <c r="T7" i="50"/>
  <c r="T10" i="50"/>
  <c r="U5" i="50"/>
  <c r="T14" i="50"/>
  <c r="T25" i="50"/>
  <c r="T23" i="50"/>
  <c r="T6" i="50"/>
  <c r="T9" i="50"/>
  <c r="T12" i="50"/>
  <c r="T8" i="50"/>
  <c r="T21" i="50"/>
  <c r="T16" i="50"/>
  <c r="T20" i="50"/>
  <c r="T17" i="50"/>
  <c r="T24" i="50"/>
  <c r="T26" i="50"/>
  <c r="T22" i="50"/>
  <c r="T18" i="50"/>
  <c r="T11" i="50"/>
  <c r="S29" i="50"/>
  <c r="S30" i="50" s="1"/>
  <c r="R401" i="24"/>
  <c r="S23" i="24"/>
  <c r="R400" i="24"/>
  <c r="C15" i="7"/>
  <c r="B17" i="48"/>
  <c r="C17" i="38"/>
  <c r="AZ15" i="7"/>
  <c r="AV16" i="38"/>
  <c r="AE10" i="38" l="1"/>
  <c r="AE11" i="38" s="1"/>
  <c r="T12" i="38"/>
  <c r="U12" i="38" s="1"/>
  <c r="AD12" i="38" s="1"/>
  <c r="B10" i="6"/>
  <c r="B11" i="6" s="1"/>
  <c r="E10" i="38"/>
  <c r="C9" i="48" s="1"/>
  <c r="U9" i="48"/>
  <c r="T9" i="48"/>
  <c r="O9" i="48"/>
  <c r="W9" i="48" s="1"/>
  <c r="W10" i="48" s="1"/>
  <c r="P9" i="48"/>
  <c r="Y15" i="38"/>
  <c r="G12" i="48"/>
  <c r="M13" i="48"/>
  <c r="N37" i="50"/>
  <c r="N49" i="50"/>
  <c r="N40" i="50"/>
  <c r="N46" i="50"/>
  <c r="N35" i="50"/>
  <c r="N36" i="50"/>
  <c r="N48" i="50"/>
  <c r="N42" i="50"/>
  <c r="N47" i="50"/>
  <c r="N45" i="50"/>
  <c r="N56" i="50"/>
  <c r="N44" i="50"/>
  <c r="N50" i="50"/>
  <c r="N43" i="50"/>
  <c r="N54" i="50"/>
  <c r="O34" i="50"/>
  <c r="O54" i="50" s="1"/>
  <c r="N38" i="50"/>
  <c r="M58" i="50"/>
  <c r="M59" i="50" s="1"/>
  <c r="N53" i="50"/>
  <c r="N41" i="50"/>
  <c r="N55" i="50"/>
  <c r="N52" i="50"/>
  <c r="N51" i="50"/>
  <c r="AM16" i="38"/>
  <c r="E15" i="48"/>
  <c r="G14" i="48"/>
  <c r="A18" i="48"/>
  <c r="V17" i="48"/>
  <c r="AR16" i="38"/>
  <c r="Z16" i="38"/>
  <c r="Y16" i="38" s="1"/>
  <c r="B15" i="7"/>
  <c r="D15" i="7"/>
  <c r="A16" i="7"/>
  <c r="A18" i="38"/>
  <c r="B17" i="38"/>
  <c r="A39" i="24"/>
  <c r="AK17" i="38"/>
  <c r="AQ17" i="38"/>
  <c r="D17" i="38"/>
  <c r="H16" i="48"/>
  <c r="Q16" i="48"/>
  <c r="D16" i="48"/>
  <c r="I16" i="48"/>
  <c r="X16" i="48"/>
  <c r="L16" i="48"/>
  <c r="F16" i="48"/>
  <c r="T29" i="50"/>
  <c r="T30" i="50" s="1"/>
  <c r="U15" i="50"/>
  <c r="U27" i="50"/>
  <c r="U12" i="50"/>
  <c r="U11" i="50"/>
  <c r="U18" i="50"/>
  <c r="U8" i="50"/>
  <c r="U20" i="50"/>
  <c r="U14" i="50"/>
  <c r="U21" i="50"/>
  <c r="U22" i="50"/>
  <c r="U19" i="50"/>
  <c r="U7" i="50"/>
  <c r="U16" i="50"/>
  <c r="U13" i="50"/>
  <c r="U23" i="50"/>
  <c r="U25" i="50"/>
  <c r="U6" i="50"/>
  <c r="U9" i="50"/>
  <c r="U17" i="50"/>
  <c r="U10" i="50"/>
  <c r="U26" i="50"/>
  <c r="V5" i="50"/>
  <c r="U24" i="50"/>
  <c r="T23" i="24"/>
  <c r="S400" i="24"/>
  <c r="S401" i="24"/>
  <c r="C16" i="7"/>
  <c r="B18" i="48"/>
  <c r="C18" i="38"/>
  <c r="AV17" i="38"/>
  <c r="AZ16" i="7"/>
  <c r="V12" i="38" l="1"/>
  <c r="AS12" i="38" s="1"/>
  <c r="R11" i="48"/>
  <c r="AL12" i="38"/>
  <c r="D12" i="6" s="1"/>
  <c r="J11" i="48"/>
  <c r="AB12" i="38"/>
  <c r="AA12" i="38"/>
  <c r="AT12" i="38" s="1"/>
  <c r="C9" i="23" s="1"/>
  <c r="AH12" i="38"/>
  <c r="AJ12" i="38"/>
  <c r="AI12" i="38"/>
  <c r="B12" i="6"/>
  <c r="M14" i="48"/>
  <c r="G15" i="48"/>
  <c r="G13" i="48"/>
  <c r="AD14" i="38"/>
  <c r="R13" i="48" s="1"/>
  <c r="V13" i="38"/>
  <c r="O46" i="50"/>
  <c r="N15" i="48"/>
  <c r="O43" i="50"/>
  <c r="O53" i="50"/>
  <c r="O41" i="50"/>
  <c r="O50" i="50"/>
  <c r="O39" i="50"/>
  <c r="O42" i="50"/>
  <c r="O40" i="50"/>
  <c r="P34" i="50"/>
  <c r="P44" i="50" s="1"/>
  <c r="O35" i="50"/>
  <c r="O44" i="50"/>
  <c r="O48" i="50"/>
  <c r="O45" i="50"/>
  <c r="O55" i="50"/>
  <c r="O52" i="50"/>
  <c r="O51" i="50"/>
  <c r="O38" i="50"/>
  <c r="O47" i="50"/>
  <c r="O36" i="50"/>
  <c r="O49" i="50"/>
  <c r="O56" i="50"/>
  <c r="O37" i="50"/>
  <c r="N58" i="50"/>
  <c r="N59" i="50" s="1"/>
  <c r="AD15" i="38"/>
  <c r="AM17" i="38"/>
  <c r="V18" i="48"/>
  <c r="A19" i="48"/>
  <c r="I17" i="48"/>
  <c r="AR17" i="38"/>
  <c r="D16" i="7"/>
  <c r="B16" i="7"/>
  <c r="Z17" i="38"/>
  <c r="N16" i="48" s="1"/>
  <c r="A17" i="7"/>
  <c r="AQ18" i="38"/>
  <c r="AK18" i="38"/>
  <c r="D18" i="38"/>
  <c r="A40" i="24"/>
  <c r="B18" i="38"/>
  <c r="A19" i="38"/>
  <c r="X17" i="48"/>
  <c r="D17" i="48"/>
  <c r="L17" i="48"/>
  <c r="H17" i="48"/>
  <c r="F17" i="48"/>
  <c r="M15" i="48"/>
  <c r="E16" i="48"/>
  <c r="Q17" i="48"/>
  <c r="V7" i="50"/>
  <c r="V19" i="50"/>
  <c r="V20" i="50"/>
  <c r="V21" i="50"/>
  <c r="V8" i="50"/>
  <c r="V12" i="50"/>
  <c r="V14" i="50"/>
  <c r="V22" i="50"/>
  <c r="V15" i="50"/>
  <c r="V9" i="50"/>
  <c r="V10" i="50"/>
  <c r="V27" i="50"/>
  <c r="V13" i="50"/>
  <c r="V17" i="50"/>
  <c r="V18" i="50"/>
  <c r="V24" i="50"/>
  <c r="W5" i="50"/>
  <c r="V6" i="50"/>
  <c r="V23" i="50"/>
  <c r="V26" i="50"/>
  <c r="V11" i="50"/>
  <c r="V16" i="50"/>
  <c r="V25" i="50"/>
  <c r="U29" i="50"/>
  <c r="U30" i="50" s="1"/>
  <c r="T401" i="24"/>
  <c r="U23" i="24"/>
  <c r="T400" i="24"/>
  <c r="B19" i="48"/>
  <c r="C17" i="7"/>
  <c r="C19" i="38"/>
  <c r="AZ17" i="7"/>
  <c r="AV18" i="38"/>
  <c r="AG12" i="38" l="1"/>
  <c r="E11" i="7"/>
  <c r="F11" i="7" s="1"/>
  <c r="O11" i="48"/>
  <c r="W11" i="48" s="1"/>
  <c r="S11" i="48"/>
  <c r="U11" i="48"/>
  <c r="P11" i="48"/>
  <c r="T11" i="48"/>
  <c r="B9" i="23"/>
  <c r="E12" i="38"/>
  <c r="C11" i="48" s="1"/>
  <c r="AW12" i="38"/>
  <c r="AE12" i="38"/>
  <c r="V16" i="38"/>
  <c r="AA16" i="38" s="1"/>
  <c r="AW16" i="38" s="1"/>
  <c r="AD16" i="38"/>
  <c r="V14" i="38"/>
  <c r="AG14" i="38" s="1"/>
  <c r="AD13" i="38"/>
  <c r="AL14" i="38" s="1"/>
  <c r="D14" i="6" s="1"/>
  <c r="AJ13" i="38"/>
  <c r="E12" i="7"/>
  <c r="F12" i="7" s="1"/>
  <c r="J12" i="48"/>
  <c r="AH13" i="38"/>
  <c r="AI13" i="38"/>
  <c r="AB13" i="38"/>
  <c r="AA13" i="38"/>
  <c r="AG13" i="38"/>
  <c r="P51" i="50"/>
  <c r="P35" i="50"/>
  <c r="P39" i="50"/>
  <c r="P36" i="50"/>
  <c r="Q34" i="50"/>
  <c r="R34" i="50" s="1"/>
  <c r="P56" i="50"/>
  <c r="O58" i="50"/>
  <c r="O59" i="50" s="1"/>
  <c r="P46" i="50"/>
  <c r="P53" i="50"/>
  <c r="P37" i="50"/>
  <c r="P47" i="50"/>
  <c r="P52" i="50"/>
  <c r="P41" i="50"/>
  <c r="P54" i="50"/>
  <c r="P40" i="50"/>
  <c r="P55" i="50"/>
  <c r="P49" i="50"/>
  <c r="P38" i="50"/>
  <c r="P43" i="50"/>
  <c r="P45" i="50"/>
  <c r="P48" i="50"/>
  <c r="P42" i="50"/>
  <c r="P50" i="50"/>
  <c r="V15" i="38"/>
  <c r="R14" i="48"/>
  <c r="AM18" i="38"/>
  <c r="Y17" i="38"/>
  <c r="A20" i="48"/>
  <c r="V19" i="48"/>
  <c r="AR18" i="38"/>
  <c r="E17" i="48"/>
  <c r="A41" i="24"/>
  <c r="D19" i="38"/>
  <c r="A18" i="7"/>
  <c r="B19" i="38"/>
  <c r="A20" i="38"/>
  <c r="F19" i="48" s="1"/>
  <c r="AQ19" i="38"/>
  <c r="AK19" i="38"/>
  <c r="H18" i="48"/>
  <c r="Q18" i="48"/>
  <c r="I18" i="48"/>
  <c r="L18" i="48"/>
  <c r="D18" i="48"/>
  <c r="F18" i="48"/>
  <c r="X18" i="48"/>
  <c r="Z18" i="38"/>
  <c r="N17" i="48" s="1"/>
  <c r="D17" i="7"/>
  <c r="B17" i="7"/>
  <c r="W19" i="50"/>
  <c r="W7" i="50"/>
  <c r="W25" i="50"/>
  <c r="W24" i="50"/>
  <c r="W10" i="50"/>
  <c r="W20" i="50"/>
  <c r="W16" i="50"/>
  <c r="W27" i="50"/>
  <c r="W9" i="50"/>
  <c r="W8" i="50"/>
  <c r="W17" i="50"/>
  <c r="W18" i="50"/>
  <c r="W21" i="50"/>
  <c r="W15" i="50"/>
  <c r="X5" i="50"/>
  <c r="W12" i="50"/>
  <c r="W14" i="50"/>
  <c r="W6" i="50"/>
  <c r="W11" i="50"/>
  <c r="W23" i="50"/>
  <c r="W22" i="50"/>
  <c r="W26" i="50"/>
  <c r="W13" i="50"/>
  <c r="V29" i="50"/>
  <c r="V30" i="50" s="1"/>
  <c r="U400" i="24"/>
  <c r="V23" i="24"/>
  <c r="U401" i="24"/>
  <c r="C18" i="7"/>
  <c r="B20" i="48"/>
  <c r="AZ18" i="7"/>
  <c r="AV19" i="38"/>
  <c r="AX12" i="38" l="1"/>
  <c r="AH16" i="38"/>
  <c r="AI16" i="38"/>
  <c r="J15" i="48"/>
  <c r="O15" i="48" s="1"/>
  <c r="AL16" i="38"/>
  <c r="D16" i="6" s="1"/>
  <c r="AG16" i="38"/>
  <c r="AJ16" i="38"/>
  <c r="AB16" i="38"/>
  <c r="E13" i="7"/>
  <c r="F13" i="7" s="1"/>
  <c r="E15" i="7"/>
  <c r="F15" i="7" s="1"/>
  <c r="AS16" i="38"/>
  <c r="R15" i="48"/>
  <c r="AT16" i="38"/>
  <c r="E16" i="38" s="1"/>
  <c r="AI14" i="38"/>
  <c r="AJ14" i="38"/>
  <c r="AA14" i="38"/>
  <c r="AW14" i="38" s="1"/>
  <c r="AH14" i="38"/>
  <c r="AB14" i="38"/>
  <c r="J13" i="48"/>
  <c r="T13" i="48" s="1"/>
  <c r="AS14" i="38"/>
  <c r="AL13" i="38"/>
  <c r="D13" i="6" s="1"/>
  <c r="AL15" i="38"/>
  <c r="D15" i="6" s="1"/>
  <c r="R12" i="48"/>
  <c r="AS13" i="38"/>
  <c r="T12" i="48"/>
  <c r="O12" i="48"/>
  <c r="W12" i="48" s="1"/>
  <c r="U12" i="48"/>
  <c r="S12" i="48"/>
  <c r="P12" i="48"/>
  <c r="B13" i="6"/>
  <c r="AE13" i="38"/>
  <c r="AW13" i="38"/>
  <c r="AX13" i="38" s="1"/>
  <c r="AT13" i="38"/>
  <c r="E13" i="38" s="1"/>
  <c r="E14" i="7"/>
  <c r="F14" i="7" s="1"/>
  <c r="Q42" i="50"/>
  <c r="Q35" i="50"/>
  <c r="Q40" i="50"/>
  <c r="Q45" i="50"/>
  <c r="Q48" i="50"/>
  <c r="Q39" i="50"/>
  <c r="Q54" i="50"/>
  <c r="Q38" i="50"/>
  <c r="AA15" i="38"/>
  <c r="AW15" i="38" s="1"/>
  <c r="AI15" i="38"/>
  <c r="Q56" i="50"/>
  <c r="Q52" i="50"/>
  <c r="Q44" i="50"/>
  <c r="Q37" i="50"/>
  <c r="Q47" i="50"/>
  <c r="Q43" i="50"/>
  <c r="Q53" i="50"/>
  <c r="Q50" i="50"/>
  <c r="Q36" i="50"/>
  <c r="Q41" i="50"/>
  <c r="Q51" i="50"/>
  <c r="Q49" i="50"/>
  <c r="Q55" i="50"/>
  <c r="Q46" i="50"/>
  <c r="P58" i="50"/>
  <c r="P59" i="50" s="1"/>
  <c r="J14" i="48"/>
  <c r="P14" i="48" s="1"/>
  <c r="AB15" i="38"/>
  <c r="AS15" i="38"/>
  <c r="AH15" i="38"/>
  <c r="AG15" i="38"/>
  <c r="AJ15" i="38"/>
  <c r="Y18" i="38"/>
  <c r="M17" i="48" s="1"/>
  <c r="I19" i="48"/>
  <c r="AM19" i="38"/>
  <c r="M16" i="48"/>
  <c r="S34" i="50"/>
  <c r="R49" i="50"/>
  <c r="R38" i="50"/>
  <c r="R40" i="50"/>
  <c r="R55" i="50"/>
  <c r="R36" i="50"/>
  <c r="R48" i="50"/>
  <c r="R51" i="50"/>
  <c r="R39" i="50"/>
  <c r="R43" i="50"/>
  <c r="R56" i="50"/>
  <c r="R47" i="50"/>
  <c r="R53" i="50"/>
  <c r="R46" i="50"/>
  <c r="R44" i="50"/>
  <c r="R52" i="50"/>
  <c r="R54" i="50"/>
  <c r="R42" i="50"/>
  <c r="R35" i="50"/>
  <c r="R50" i="50"/>
  <c r="R41" i="50"/>
  <c r="R37" i="50"/>
  <c r="R45" i="50"/>
  <c r="A21" i="48"/>
  <c r="V20" i="48"/>
  <c r="H19" i="48"/>
  <c r="AR19" i="38"/>
  <c r="A19" i="7"/>
  <c r="AK20" i="38"/>
  <c r="B20" i="38"/>
  <c r="A21" i="38"/>
  <c r="A42" i="24"/>
  <c r="AQ20" i="38"/>
  <c r="D20" i="38"/>
  <c r="Q19" i="48"/>
  <c r="X19" i="48"/>
  <c r="D19" i="48"/>
  <c r="E19" i="48" s="1"/>
  <c r="L19" i="48"/>
  <c r="E18" i="48"/>
  <c r="Z19" i="38"/>
  <c r="N18" i="48" s="1"/>
  <c r="B18" i="7"/>
  <c r="D18" i="7"/>
  <c r="X24" i="50"/>
  <c r="Y5" i="50"/>
  <c r="X21" i="50"/>
  <c r="X26" i="50"/>
  <c r="X10" i="50"/>
  <c r="X8" i="50"/>
  <c r="X9" i="50"/>
  <c r="X17" i="50"/>
  <c r="X13" i="50"/>
  <c r="X27" i="50"/>
  <c r="X7" i="50"/>
  <c r="X14" i="50"/>
  <c r="X15" i="50"/>
  <c r="X16" i="50"/>
  <c r="X12" i="50"/>
  <c r="X25" i="50"/>
  <c r="X20" i="50"/>
  <c r="X23" i="50"/>
  <c r="X19" i="50"/>
  <c r="X18" i="50"/>
  <c r="X22" i="50"/>
  <c r="X6" i="50"/>
  <c r="X11" i="50"/>
  <c r="W29" i="50"/>
  <c r="W30" i="50" s="1"/>
  <c r="W23" i="24"/>
  <c r="V400" i="24"/>
  <c r="V401" i="24"/>
  <c r="C20" i="38"/>
  <c r="C19" i="7"/>
  <c r="C21" i="38"/>
  <c r="B21" i="48"/>
  <c r="AZ19" i="7"/>
  <c r="AV20" i="38"/>
  <c r="S15" i="48" l="1"/>
  <c r="P15" i="48"/>
  <c r="T15" i="48"/>
  <c r="U15" i="48"/>
  <c r="AE14" i="38"/>
  <c r="AE15" i="38" s="1"/>
  <c r="AE16" i="38" s="1"/>
  <c r="B14" i="6"/>
  <c r="B15" i="6" s="1"/>
  <c r="B16" i="6" s="1"/>
  <c r="AT14" i="38"/>
  <c r="E14" i="38" s="1"/>
  <c r="C15" i="48"/>
  <c r="C13" i="23"/>
  <c r="B13" i="23" s="1"/>
  <c r="S13" i="48"/>
  <c r="P13" i="48"/>
  <c r="U13" i="48"/>
  <c r="O13" i="48"/>
  <c r="W13" i="48" s="1"/>
  <c r="C10" i="23"/>
  <c r="B10" i="23" s="1"/>
  <c r="C12" i="48"/>
  <c r="AX14" i="38"/>
  <c r="AX15" i="38"/>
  <c r="AX16" i="38"/>
  <c r="T14" i="48"/>
  <c r="U14" i="48"/>
  <c r="S14" i="48"/>
  <c r="AT15" i="38"/>
  <c r="Q58" i="50"/>
  <c r="Q59" i="50" s="1"/>
  <c r="O14" i="48"/>
  <c r="Y19" i="38"/>
  <c r="G16" i="48"/>
  <c r="G17" i="48"/>
  <c r="AM20" i="38"/>
  <c r="R58" i="50"/>
  <c r="R59" i="50" s="1"/>
  <c r="V21" i="48"/>
  <c r="A22" i="48"/>
  <c r="S47" i="50"/>
  <c r="S45" i="50"/>
  <c r="S36" i="50"/>
  <c r="S48" i="50"/>
  <c r="S39" i="50"/>
  <c r="S55" i="50"/>
  <c r="S46" i="50"/>
  <c r="S53" i="50"/>
  <c r="T34" i="50"/>
  <c r="S50" i="50"/>
  <c r="S40" i="50"/>
  <c r="S44" i="50"/>
  <c r="S49" i="50"/>
  <c r="S37" i="50"/>
  <c r="S54" i="50"/>
  <c r="S42" i="50"/>
  <c r="S52" i="50"/>
  <c r="S41" i="50"/>
  <c r="S51" i="50"/>
  <c r="S56" i="50"/>
  <c r="S43" i="50"/>
  <c r="S38" i="50"/>
  <c r="S35" i="50"/>
  <c r="AR20" i="38"/>
  <c r="D19" i="7"/>
  <c r="B19" i="7"/>
  <c r="D21" i="38"/>
  <c r="A22" i="38"/>
  <c r="AQ21" i="38"/>
  <c r="AK21" i="38"/>
  <c r="A43" i="24"/>
  <c r="A20" i="7"/>
  <c r="B21" i="38"/>
  <c r="F20" i="48"/>
  <c r="I20" i="48"/>
  <c r="H20" i="48"/>
  <c r="Q20" i="48"/>
  <c r="L20" i="48"/>
  <c r="D20" i="48"/>
  <c r="X20" i="48"/>
  <c r="Z20" i="38"/>
  <c r="N19" i="48" s="1"/>
  <c r="X29" i="50"/>
  <c r="X30" i="50" s="1"/>
  <c r="Y14" i="50"/>
  <c r="Y12" i="50"/>
  <c r="Y10" i="50"/>
  <c r="Y23" i="50"/>
  <c r="Y9" i="50"/>
  <c r="Y20" i="50"/>
  <c r="Y24" i="50"/>
  <c r="Y15" i="50"/>
  <c r="Y22" i="50"/>
  <c r="Y6" i="50"/>
  <c r="Y25" i="50"/>
  <c r="Y17" i="50"/>
  <c r="Y16" i="50"/>
  <c r="Y18" i="50"/>
  <c r="Y26" i="50"/>
  <c r="Y13" i="50"/>
  <c r="Y21" i="50"/>
  <c r="Y27" i="50"/>
  <c r="Y19" i="50"/>
  <c r="Y8" i="50"/>
  <c r="Y7" i="50"/>
  <c r="Y11" i="50"/>
  <c r="Z5" i="50"/>
  <c r="W400" i="24"/>
  <c r="W401" i="24"/>
  <c r="X23" i="24"/>
  <c r="B22" i="48"/>
  <c r="C22" i="38"/>
  <c r="C20" i="7"/>
  <c r="AV21" i="38"/>
  <c r="AZ20" i="7"/>
  <c r="C11" i="23" l="1"/>
  <c r="B11" i="23" s="1"/>
  <c r="C13" i="48"/>
  <c r="C12" i="23"/>
  <c r="B12" i="23" s="1"/>
  <c r="E15" i="38"/>
  <c r="C14" i="48" s="1"/>
  <c r="AW18" i="38"/>
  <c r="AD18" i="38"/>
  <c r="R17" i="48" s="1"/>
  <c r="AW17" i="38"/>
  <c r="V17" i="38"/>
  <c r="Y20" i="38"/>
  <c r="W14" i="48"/>
  <c r="W15" i="48" s="1"/>
  <c r="M18" i="48"/>
  <c r="AM21" i="38"/>
  <c r="S58" i="50"/>
  <c r="S59" i="50" s="1"/>
  <c r="T48" i="50"/>
  <c r="T55" i="50"/>
  <c r="T41" i="50"/>
  <c r="T50" i="50"/>
  <c r="T46" i="50"/>
  <c r="T54" i="50"/>
  <c r="T44" i="50"/>
  <c r="T45" i="50"/>
  <c r="T49" i="50"/>
  <c r="U34" i="50"/>
  <c r="T43" i="50"/>
  <c r="T52" i="50"/>
  <c r="T35" i="50"/>
  <c r="T42" i="50"/>
  <c r="T53" i="50"/>
  <c r="T51" i="50"/>
  <c r="T36" i="50"/>
  <c r="T39" i="50"/>
  <c r="T56" i="50"/>
  <c r="T37" i="50"/>
  <c r="T47" i="50"/>
  <c r="T38" i="50"/>
  <c r="T40" i="50"/>
  <c r="A23" i="48"/>
  <c r="V22" i="48"/>
  <c r="AR21" i="38"/>
  <c r="E20" i="48"/>
  <c r="Z21" i="38"/>
  <c r="Y21" i="38" s="1"/>
  <c r="D20" i="7"/>
  <c r="B20" i="7"/>
  <c r="A44" i="24"/>
  <c r="AK22" i="38"/>
  <c r="D22" i="38"/>
  <c r="AQ22" i="38"/>
  <c r="B22" i="38"/>
  <c r="A23" i="38"/>
  <c r="A21" i="7"/>
  <c r="H21" i="48"/>
  <c r="X21" i="48"/>
  <c r="Q21" i="48"/>
  <c r="F21" i="48"/>
  <c r="L21" i="48"/>
  <c r="I21" i="48"/>
  <c r="D21" i="48"/>
  <c r="Y29" i="50"/>
  <c r="Y30" i="50" s="1"/>
  <c r="Z8" i="50"/>
  <c r="AA5" i="50"/>
  <c r="Z16" i="50"/>
  <c r="Z20" i="50"/>
  <c r="Z6" i="50"/>
  <c r="Z7" i="50"/>
  <c r="Z15" i="50"/>
  <c r="Z24" i="50"/>
  <c r="Z26" i="50"/>
  <c r="Z18" i="50"/>
  <c r="Z12" i="50"/>
  <c r="Z14" i="50"/>
  <c r="Z25" i="50"/>
  <c r="Z17" i="50"/>
  <c r="Z21" i="50"/>
  <c r="Z9" i="50"/>
  <c r="Z22" i="50"/>
  <c r="Z10" i="50"/>
  <c r="Z13" i="50"/>
  <c r="Z19" i="50"/>
  <c r="Z11" i="50"/>
  <c r="Z27" i="50"/>
  <c r="Z23" i="50"/>
  <c r="Y23" i="24"/>
  <c r="X401" i="24"/>
  <c r="X400" i="24"/>
  <c r="C23" i="38"/>
  <c r="B23" i="48"/>
  <c r="C21" i="7"/>
  <c r="AV22" i="38"/>
  <c r="AZ21" i="7"/>
  <c r="AX17" i="38" l="1"/>
  <c r="AX18" i="38"/>
  <c r="M19" i="48"/>
  <c r="G19" i="48"/>
  <c r="G20" i="48"/>
  <c r="G18" i="48"/>
  <c r="AD17" i="38"/>
  <c r="AL17" i="38" s="1"/>
  <c r="D17" i="6" s="1"/>
  <c r="AA17" i="38"/>
  <c r="AE17" i="38" s="1"/>
  <c r="N20" i="48"/>
  <c r="J16" i="48"/>
  <c r="U16" i="48" s="1"/>
  <c r="AG17" i="38"/>
  <c r="AJ17" i="38"/>
  <c r="V18" i="38"/>
  <c r="E17" i="7" s="1"/>
  <c r="F17" i="7" s="1"/>
  <c r="AB17" i="38"/>
  <c r="AI17" i="38"/>
  <c r="AH17" i="38"/>
  <c r="E16" i="7"/>
  <c r="F16" i="7" s="1"/>
  <c r="AM22" i="38"/>
  <c r="E21" i="48"/>
  <c r="A24" i="48"/>
  <c r="V23" i="48"/>
  <c r="U41" i="50"/>
  <c r="U47" i="50"/>
  <c r="U48" i="50"/>
  <c r="U56" i="50"/>
  <c r="U35" i="50"/>
  <c r="U36" i="50"/>
  <c r="U44" i="50"/>
  <c r="U55" i="50"/>
  <c r="U37" i="50"/>
  <c r="U50" i="50"/>
  <c r="U40" i="50"/>
  <c r="U49" i="50"/>
  <c r="U46" i="50"/>
  <c r="U38" i="50"/>
  <c r="U54" i="50"/>
  <c r="U51" i="50"/>
  <c r="U43" i="50"/>
  <c r="U42" i="50"/>
  <c r="U52" i="50"/>
  <c r="U45" i="50"/>
  <c r="U39" i="50"/>
  <c r="U53" i="50"/>
  <c r="V34" i="50"/>
  <c r="T58" i="50"/>
  <c r="T59" i="50" s="1"/>
  <c r="D21" i="7"/>
  <c r="B21" i="7"/>
  <c r="AR22" i="38"/>
  <c r="M20" i="48"/>
  <c r="B23" i="38"/>
  <c r="AQ23" i="38"/>
  <c r="A45" i="24"/>
  <c r="AK23" i="38"/>
  <c r="D23" i="38"/>
  <c r="A24" i="38"/>
  <c r="A22" i="7"/>
  <c r="L22" i="48"/>
  <c r="Q22" i="48"/>
  <c r="F22" i="48"/>
  <c r="I22" i="48"/>
  <c r="H22" i="48"/>
  <c r="X22" i="48"/>
  <c r="D22" i="48"/>
  <c r="Z22" i="38"/>
  <c r="N21" i="48" s="1"/>
  <c r="AA7" i="50"/>
  <c r="AA26" i="50"/>
  <c r="AA13" i="50"/>
  <c r="AA16" i="50"/>
  <c r="AA18" i="50"/>
  <c r="AA9" i="50"/>
  <c r="AA12" i="50"/>
  <c r="AA15" i="50"/>
  <c r="AA20" i="50"/>
  <c r="AA11" i="50"/>
  <c r="AA17" i="50"/>
  <c r="AA21" i="50"/>
  <c r="AA14" i="50"/>
  <c r="AA19" i="50"/>
  <c r="AA24" i="50"/>
  <c r="AA6" i="50"/>
  <c r="AB5" i="50"/>
  <c r="AA27" i="50"/>
  <c r="AA25" i="50"/>
  <c r="AA23" i="50"/>
  <c r="AA10" i="50"/>
  <c r="AA22" i="50"/>
  <c r="AA8" i="50"/>
  <c r="Z29" i="50"/>
  <c r="Z30" i="50" s="1"/>
  <c r="Z23" i="24"/>
  <c r="Y400" i="24"/>
  <c r="Y401" i="24"/>
  <c r="C22" i="7"/>
  <c r="B24" i="48"/>
  <c r="C24" i="38"/>
  <c r="AV23" i="38"/>
  <c r="AZ22" i="7"/>
  <c r="AD20" i="38" l="1"/>
  <c r="R19" i="48" s="1"/>
  <c r="AL18" i="38"/>
  <c r="D18" i="6" s="1"/>
  <c r="AD21" i="38"/>
  <c r="R20" i="48" s="1"/>
  <c r="Y22" i="38"/>
  <c r="T22" i="38" s="1"/>
  <c r="U22" i="38" s="1"/>
  <c r="V21" i="38"/>
  <c r="AH21" i="38" s="1"/>
  <c r="AD19" i="38"/>
  <c r="R18" i="48" s="1"/>
  <c r="R16" i="48"/>
  <c r="AS17" i="38"/>
  <c r="AT17" i="38"/>
  <c r="B17" i="6"/>
  <c r="V19" i="38"/>
  <c r="AH19" i="38" s="1"/>
  <c r="P16" i="48"/>
  <c r="T16" i="48"/>
  <c r="S16" i="48"/>
  <c r="O16" i="48"/>
  <c r="W16" i="48" s="1"/>
  <c r="AI18" i="38"/>
  <c r="AJ18" i="38"/>
  <c r="AB18" i="38"/>
  <c r="AA18" i="38"/>
  <c r="J17" i="48"/>
  <c r="T17" i="48" s="1"/>
  <c r="AH18" i="38"/>
  <c r="AS18" i="38"/>
  <c r="AG18" i="38"/>
  <c r="AM23" i="38"/>
  <c r="U58" i="50"/>
  <c r="U59" i="50" s="1"/>
  <c r="V56" i="50"/>
  <c r="V43" i="50"/>
  <c r="V47" i="50"/>
  <c r="V41" i="50"/>
  <c r="V55" i="50"/>
  <c r="V39" i="50"/>
  <c r="V50" i="50"/>
  <c r="V52" i="50"/>
  <c r="V36" i="50"/>
  <c r="V38" i="50"/>
  <c r="V35" i="50"/>
  <c r="V46" i="50"/>
  <c r="V37" i="50"/>
  <c r="V40" i="50"/>
  <c r="V42" i="50"/>
  <c r="V51" i="50"/>
  <c r="V44" i="50"/>
  <c r="V49" i="50"/>
  <c r="W34" i="50"/>
  <c r="V54" i="50"/>
  <c r="V45" i="50"/>
  <c r="V48" i="50"/>
  <c r="V53" i="50"/>
  <c r="V24" i="48"/>
  <c r="A25" i="48"/>
  <c r="B22" i="7"/>
  <c r="D22" i="7"/>
  <c r="A25" i="38"/>
  <c r="A23" i="7"/>
  <c r="D24" i="38"/>
  <c r="AK24" i="38"/>
  <c r="B24" i="38"/>
  <c r="AQ24" i="38"/>
  <c r="A46" i="24"/>
  <c r="H23" i="48"/>
  <c r="F23" i="48"/>
  <c r="I23" i="48"/>
  <c r="L23" i="48"/>
  <c r="Q23" i="48"/>
  <c r="D23" i="48"/>
  <c r="X23" i="48"/>
  <c r="E22" i="48"/>
  <c r="AR23" i="38"/>
  <c r="Z23" i="38"/>
  <c r="N22" i="48" s="1"/>
  <c r="AA29" i="50"/>
  <c r="AA30" i="50" s="1"/>
  <c r="AB8" i="50"/>
  <c r="AB16" i="50"/>
  <c r="AB22" i="50"/>
  <c r="AB15" i="50"/>
  <c r="AB9" i="50"/>
  <c r="AB12" i="50"/>
  <c r="AB6" i="50"/>
  <c r="AB13" i="50"/>
  <c r="AB19" i="50"/>
  <c r="AB25" i="50"/>
  <c r="AB10" i="50"/>
  <c r="AB7" i="50"/>
  <c r="AB18" i="50"/>
  <c r="AB23" i="50"/>
  <c r="AB26" i="50"/>
  <c r="AB27" i="50"/>
  <c r="AB17" i="50"/>
  <c r="AB11" i="50"/>
  <c r="AC5" i="50"/>
  <c r="AB14" i="50"/>
  <c r="AB21" i="50"/>
  <c r="AB24" i="50"/>
  <c r="AB20" i="50"/>
  <c r="Z400" i="24"/>
  <c r="AA23" i="24"/>
  <c r="Z401" i="24"/>
  <c r="C25" i="38"/>
  <c r="B25" i="48"/>
  <c r="C23" i="7"/>
  <c r="AV24" i="38"/>
  <c r="AZ23" i="7"/>
  <c r="E17" i="38" l="1"/>
  <c r="C16" i="48" s="1"/>
  <c r="V20" i="38"/>
  <c r="AJ20" i="38" s="1"/>
  <c r="AA21" i="38"/>
  <c r="AW21" i="38" s="1"/>
  <c r="M21" i="48"/>
  <c r="Y23" i="38"/>
  <c r="AI21" i="38"/>
  <c r="AJ21" i="38"/>
  <c r="AL20" i="38"/>
  <c r="D20" i="6" s="1"/>
  <c r="AL19" i="38"/>
  <c r="D19" i="6" s="1"/>
  <c r="AL21" i="38"/>
  <c r="D21" i="6" s="1"/>
  <c r="E20" i="7"/>
  <c r="F20" i="7" s="1"/>
  <c r="AG21" i="38"/>
  <c r="AB21" i="38"/>
  <c r="G21" i="48"/>
  <c r="V22" i="38"/>
  <c r="J20" i="48"/>
  <c r="P20" i="48" s="1"/>
  <c r="AS21" i="38"/>
  <c r="AB19" i="38"/>
  <c r="J18" i="48"/>
  <c r="T18" i="48" s="1"/>
  <c r="AS19" i="38"/>
  <c r="C14" i="23"/>
  <c r="B14" i="23" s="1"/>
  <c r="AT18" i="38"/>
  <c r="AG19" i="38"/>
  <c r="AJ19" i="38"/>
  <c r="AA19" i="38"/>
  <c r="AW19" i="38" s="1"/>
  <c r="AI19" i="38"/>
  <c r="E18" i="7"/>
  <c r="F18" i="7" s="1"/>
  <c r="O17" i="48"/>
  <c r="W17" i="48" s="1"/>
  <c r="B18" i="6"/>
  <c r="AE18" i="38"/>
  <c r="S17" i="48"/>
  <c r="P17" i="48"/>
  <c r="U17" i="48"/>
  <c r="AM24" i="38"/>
  <c r="W55" i="50"/>
  <c r="W49" i="50"/>
  <c r="W37" i="50"/>
  <c r="W41" i="50"/>
  <c r="W45" i="50"/>
  <c r="X34" i="50"/>
  <c r="W56" i="50"/>
  <c r="W52" i="50"/>
  <c r="W50" i="50"/>
  <c r="W53" i="50"/>
  <c r="W43" i="50"/>
  <c r="W40" i="50"/>
  <c r="W54" i="50"/>
  <c r="W51" i="50"/>
  <c r="W46" i="50"/>
  <c r="W48" i="50"/>
  <c r="W44" i="50"/>
  <c r="W39" i="50"/>
  <c r="W36" i="50"/>
  <c r="W38" i="50"/>
  <c r="W47" i="50"/>
  <c r="W42" i="50"/>
  <c r="W35" i="50"/>
  <c r="V58" i="50"/>
  <c r="V59" i="50" s="1"/>
  <c r="A26" i="48"/>
  <c r="V25" i="48"/>
  <c r="E23" i="48"/>
  <c r="Y24" i="38"/>
  <c r="Z24" i="38"/>
  <c r="N23" i="48" s="1"/>
  <c r="B23" i="7"/>
  <c r="D23" i="7"/>
  <c r="AR24" i="38"/>
  <c r="A26" i="38"/>
  <c r="B25" i="38"/>
  <c r="AK25" i="38"/>
  <c r="D25" i="38"/>
  <c r="A47" i="24"/>
  <c r="AQ25" i="38"/>
  <c r="A24" i="7"/>
  <c r="I24" i="48"/>
  <c r="G24" i="48"/>
  <c r="H24" i="48"/>
  <c r="Q24" i="48"/>
  <c r="R24" i="48"/>
  <c r="D24" i="48"/>
  <c r="L24" i="48"/>
  <c r="X24" i="48"/>
  <c r="F24" i="48"/>
  <c r="J24" i="48"/>
  <c r="AC21" i="50"/>
  <c r="AC26" i="50"/>
  <c r="AC19" i="50"/>
  <c r="AC12" i="50"/>
  <c r="AC7" i="50"/>
  <c r="AC24" i="50"/>
  <c r="AD5" i="50"/>
  <c r="AC13" i="50"/>
  <c r="AC10" i="50"/>
  <c r="AC22" i="50"/>
  <c r="AC6" i="50"/>
  <c r="AC17" i="50"/>
  <c r="AC20" i="50"/>
  <c r="AC9" i="50"/>
  <c r="AC11" i="50"/>
  <c r="AC16" i="50"/>
  <c r="AC14" i="50"/>
  <c r="AC15" i="50"/>
  <c r="AC25" i="50"/>
  <c r="AC23" i="50"/>
  <c r="AC8" i="50"/>
  <c r="AC27" i="50"/>
  <c r="AC18" i="50"/>
  <c r="AB29" i="50"/>
  <c r="AB30" i="50" s="1"/>
  <c r="AA401" i="24"/>
  <c r="AA400" i="24"/>
  <c r="F400" i="24"/>
  <c r="B26" i="48"/>
  <c r="C24" i="7"/>
  <c r="C26" i="38"/>
  <c r="AV25" i="38"/>
  <c r="AZ24" i="7"/>
  <c r="J19" i="48" l="1"/>
  <c r="S19" i="48" s="1"/>
  <c r="C15" i="23"/>
  <c r="B15" i="23" s="1"/>
  <c r="E18" i="38"/>
  <c r="C17" i="48" s="1"/>
  <c r="AA20" i="38"/>
  <c r="AW20" i="38" s="1"/>
  <c r="AX83" i="38" s="1"/>
  <c r="AI20" i="38"/>
  <c r="AG20" i="38"/>
  <c r="E19" i="7"/>
  <c r="F19" i="7" s="1"/>
  <c r="AS20" i="38"/>
  <c r="AH20" i="38"/>
  <c r="AB20" i="38"/>
  <c r="G22" i="48"/>
  <c r="AT21" i="38"/>
  <c r="M22" i="48"/>
  <c r="B19" i="6"/>
  <c r="S20" i="48"/>
  <c r="O20" i="48"/>
  <c r="E21" i="7"/>
  <c r="F21" i="7" s="1"/>
  <c r="AG22" i="38"/>
  <c r="J21" i="48"/>
  <c r="AH22" i="38"/>
  <c r="AJ22" i="38"/>
  <c r="AI22" i="38"/>
  <c r="AB22" i="38"/>
  <c r="AA22" i="38"/>
  <c r="T20" i="48"/>
  <c r="AD22" i="38"/>
  <c r="U20" i="48"/>
  <c r="O18" i="48"/>
  <c r="W18" i="48" s="1"/>
  <c r="U18" i="48"/>
  <c r="S18" i="48"/>
  <c r="P18" i="48"/>
  <c r="AX19" i="38"/>
  <c r="AE19" i="38"/>
  <c r="AT19" i="38"/>
  <c r="E19" i="38" s="1"/>
  <c r="G23" i="48"/>
  <c r="AM25" i="38"/>
  <c r="W58" i="50"/>
  <c r="W59" i="50" s="1"/>
  <c r="X40" i="50"/>
  <c r="X35" i="50"/>
  <c r="X53" i="50"/>
  <c r="X38" i="50"/>
  <c r="X51" i="50"/>
  <c r="X54" i="50"/>
  <c r="X46" i="50"/>
  <c r="X52" i="50"/>
  <c r="X49" i="50"/>
  <c r="X45" i="50"/>
  <c r="X37" i="50"/>
  <c r="X44" i="50"/>
  <c r="X36" i="50"/>
  <c r="X55" i="50"/>
  <c r="X47" i="50"/>
  <c r="X41" i="50"/>
  <c r="X43" i="50"/>
  <c r="X42" i="50"/>
  <c r="X50" i="50"/>
  <c r="X39" i="50"/>
  <c r="X56" i="50"/>
  <c r="Y34" i="50"/>
  <c r="X48" i="50"/>
  <c r="A27" i="48"/>
  <c r="V26" i="48"/>
  <c r="AR25" i="38"/>
  <c r="E24" i="48"/>
  <c r="A25" i="7"/>
  <c r="B26" i="38"/>
  <c r="AK26" i="38"/>
  <c r="D26" i="38"/>
  <c r="A27" i="38"/>
  <c r="Q26" i="48" s="1"/>
  <c r="AQ26" i="38"/>
  <c r="A48" i="24"/>
  <c r="D25" i="48"/>
  <c r="R25" i="48"/>
  <c r="J25" i="48"/>
  <c r="I25" i="48"/>
  <c r="L25" i="48"/>
  <c r="F25" i="48"/>
  <c r="H25" i="48"/>
  <c r="G25" i="48"/>
  <c r="X25" i="48"/>
  <c r="M23" i="48"/>
  <c r="D24" i="7"/>
  <c r="B24" i="7"/>
  <c r="Z25" i="38"/>
  <c r="N24" i="48" s="1"/>
  <c r="Y25" i="38"/>
  <c r="Q25" i="48"/>
  <c r="AC29" i="50"/>
  <c r="AC30" i="50" s="1"/>
  <c r="AD9" i="50"/>
  <c r="AD12" i="50"/>
  <c r="AD18" i="50"/>
  <c r="AD23" i="50"/>
  <c r="AD20" i="50"/>
  <c r="AD14" i="50"/>
  <c r="AD13" i="50"/>
  <c r="AD24" i="50"/>
  <c r="AD25" i="50"/>
  <c r="AD7" i="50"/>
  <c r="AD21" i="50"/>
  <c r="AD26" i="50"/>
  <c r="AD6" i="50"/>
  <c r="AD8" i="50"/>
  <c r="AD11" i="50"/>
  <c r="AD10" i="50"/>
  <c r="AD27" i="50"/>
  <c r="AE5" i="50"/>
  <c r="AD15" i="50"/>
  <c r="AD17" i="50"/>
  <c r="AD16" i="50"/>
  <c r="AD22" i="50"/>
  <c r="AD19" i="50"/>
  <c r="B27" i="48"/>
  <c r="C25" i="7"/>
  <c r="AZ25" i="7"/>
  <c r="AV26" i="38"/>
  <c r="AX252" i="38" l="1"/>
  <c r="AX236" i="38"/>
  <c r="AX290" i="38"/>
  <c r="AX251" i="38"/>
  <c r="AX71" i="38"/>
  <c r="AX298" i="38"/>
  <c r="AX371" i="38"/>
  <c r="AX227" i="38"/>
  <c r="AX192" i="38"/>
  <c r="AX207" i="38"/>
  <c r="AX190" i="38"/>
  <c r="AX28" i="38"/>
  <c r="AX134" i="38"/>
  <c r="AX242" i="38"/>
  <c r="AX193" i="38"/>
  <c r="AX209" i="38"/>
  <c r="AX200" i="38"/>
  <c r="AX228" i="38"/>
  <c r="AX279" i="38"/>
  <c r="AX214" i="38"/>
  <c r="AX65" i="38"/>
  <c r="AX347" i="38"/>
  <c r="AX259" i="38"/>
  <c r="AX331" i="38"/>
  <c r="AX343" i="38"/>
  <c r="AX140" i="38"/>
  <c r="AX283" i="38"/>
  <c r="AX89" i="38"/>
  <c r="AX339" i="38"/>
  <c r="AX62" i="38"/>
  <c r="AX367" i="38"/>
  <c r="AX311" i="38"/>
  <c r="AX208" i="38"/>
  <c r="AX116" i="38"/>
  <c r="AX258" i="38"/>
  <c r="AX20" i="38"/>
  <c r="AX133" i="38"/>
  <c r="AX346" i="38"/>
  <c r="AX348" i="38"/>
  <c r="AX352" i="38"/>
  <c r="AX309" i="38"/>
  <c r="AX328" i="38"/>
  <c r="AX154" i="38"/>
  <c r="AX246" i="38"/>
  <c r="AX219" i="38"/>
  <c r="AX293" i="38"/>
  <c r="AX373" i="38"/>
  <c r="AX218" i="38"/>
  <c r="AX294" i="38"/>
  <c r="AX77" i="38"/>
  <c r="AX122" i="38"/>
  <c r="AX41" i="38"/>
  <c r="AX178" i="38"/>
  <c r="AX44" i="38"/>
  <c r="AX138" i="38"/>
  <c r="AX243" i="38"/>
  <c r="AX297" i="38"/>
  <c r="AX260" i="38"/>
  <c r="AX174" i="38"/>
  <c r="AX136" i="38"/>
  <c r="AX111" i="38"/>
  <c r="AX30" i="38"/>
  <c r="AX319" i="38"/>
  <c r="AX340" i="38"/>
  <c r="AX59" i="38"/>
  <c r="AX353" i="38"/>
  <c r="AX93" i="38"/>
  <c r="AX131" i="38"/>
  <c r="AX88" i="38"/>
  <c r="AX325" i="38"/>
  <c r="AX368" i="38"/>
  <c r="AX52" i="38"/>
  <c r="AX195" i="38"/>
  <c r="AX224" i="38"/>
  <c r="AX54" i="38"/>
  <c r="AX163" i="38"/>
  <c r="AX345" i="38"/>
  <c r="AX97" i="38"/>
  <c r="AX155" i="38"/>
  <c r="AX38" i="38"/>
  <c r="AX141" i="38"/>
  <c r="AX262" i="38"/>
  <c r="AX123" i="38"/>
  <c r="AX244" i="38"/>
  <c r="AX40" i="38"/>
  <c r="AX172" i="38"/>
  <c r="AX233" i="38"/>
  <c r="AX320" i="38"/>
  <c r="AX110" i="38"/>
  <c r="AX300" i="38"/>
  <c r="AX330" i="38"/>
  <c r="AX115" i="38"/>
  <c r="AX70" i="38"/>
  <c r="AX271" i="38"/>
  <c r="AX204" i="38"/>
  <c r="AX201" i="38"/>
  <c r="AX335" i="38"/>
  <c r="AX265" i="38"/>
  <c r="AX76" i="38"/>
  <c r="AX126" i="38"/>
  <c r="AX229" i="38"/>
  <c r="AX206" i="38"/>
  <c r="AX49" i="38"/>
  <c r="AX164" i="38"/>
  <c r="AX270" i="38"/>
  <c r="AX86" i="38"/>
  <c r="AX179" i="38"/>
  <c r="AX355" i="38"/>
  <c r="AX32" i="38"/>
  <c r="AX84" i="38"/>
  <c r="AX354" i="38"/>
  <c r="AX173" i="38"/>
  <c r="AX261" i="38"/>
  <c r="AX46" i="38"/>
  <c r="AX289" i="38"/>
  <c r="AX22" i="38"/>
  <c r="AX358" i="38"/>
  <c r="AX277" i="38"/>
  <c r="AX96" i="38"/>
  <c r="AX230" i="38"/>
  <c r="AX253" i="38"/>
  <c r="AX57" i="38"/>
  <c r="AX313" i="38"/>
  <c r="AX128" i="38"/>
  <c r="AX34" i="38"/>
  <c r="AX106" i="38"/>
  <c r="AX113" i="38"/>
  <c r="AX241" i="38"/>
  <c r="AX165" i="38"/>
  <c r="AX359" i="38"/>
  <c r="AX288" i="38"/>
  <c r="AX315" i="38"/>
  <c r="AX217" i="38"/>
  <c r="AX257" i="38"/>
  <c r="AX145" i="38"/>
  <c r="AX323" i="38"/>
  <c r="AX344" i="38"/>
  <c r="AX361" i="38"/>
  <c r="AX287" i="38"/>
  <c r="AX66" i="38"/>
  <c r="AX29" i="38"/>
  <c r="AX248" i="38"/>
  <c r="AX112" i="38"/>
  <c r="AX42" i="38"/>
  <c r="AX292" i="38"/>
  <c r="AX285" i="38"/>
  <c r="AX74" i="38"/>
  <c r="AX58" i="38"/>
  <c r="AX231" i="38"/>
  <c r="AX351" i="38"/>
  <c r="AX137" i="38"/>
  <c r="AX256" i="38"/>
  <c r="AX103" i="38"/>
  <c r="AX372" i="38"/>
  <c r="AX329" i="38"/>
  <c r="AX27" i="38"/>
  <c r="AX119" i="38"/>
  <c r="AX321" i="38"/>
  <c r="AX67" i="38"/>
  <c r="AX223" i="38"/>
  <c r="AX318" i="38"/>
  <c r="AX183" i="38"/>
  <c r="AX237" i="38"/>
  <c r="AX365" i="38"/>
  <c r="AX272" i="38"/>
  <c r="AX250" i="38"/>
  <c r="AX94" i="38"/>
  <c r="AX176" i="38"/>
  <c r="AX80" i="38"/>
  <c r="AX114" i="38"/>
  <c r="AX167" i="38"/>
  <c r="AX24" i="38"/>
  <c r="AX301" i="38"/>
  <c r="AX245" i="38"/>
  <c r="AX264" i="38"/>
  <c r="AX199" i="38"/>
  <c r="AX56" i="38"/>
  <c r="AX95" i="38"/>
  <c r="AX73" i="38"/>
  <c r="AX146" i="38"/>
  <c r="AX197" i="38"/>
  <c r="AX314" i="38"/>
  <c r="AX312" i="38"/>
  <c r="AX282" i="38"/>
  <c r="AX69" i="38"/>
  <c r="AX109" i="38"/>
  <c r="AX47" i="38"/>
  <c r="AX53" i="38"/>
  <c r="AX124" i="38"/>
  <c r="AX125" i="38"/>
  <c r="AX369" i="38"/>
  <c r="AX194" i="38"/>
  <c r="AX39" i="38"/>
  <c r="AX118" i="38"/>
  <c r="AX334" i="38"/>
  <c r="AX181" i="38"/>
  <c r="AX357" i="38"/>
  <c r="AX61" i="38"/>
  <c r="AX198" i="38"/>
  <c r="AX307" i="38"/>
  <c r="AX75" i="38"/>
  <c r="AX322" i="38"/>
  <c r="AX273" i="38"/>
  <c r="AX187" i="38"/>
  <c r="AX144" i="38"/>
  <c r="AX308" i="38"/>
  <c r="AX85" i="38"/>
  <c r="AX266" i="38"/>
  <c r="AX184" i="38"/>
  <c r="AX232" i="38"/>
  <c r="AX68" i="38"/>
  <c r="AX79" i="38"/>
  <c r="AX188" i="38"/>
  <c r="AX121" i="38"/>
  <c r="AX205" i="38"/>
  <c r="AX303" i="38"/>
  <c r="AX149" i="38"/>
  <c r="AX304" i="38"/>
  <c r="AX356" i="38"/>
  <c r="AX25" i="38"/>
  <c r="AX51" i="38"/>
  <c r="AX360" i="38"/>
  <c r="AX81" i="38"/>
  <c r="AX212" i="38"/>
  <c r="AX143" i="38"/>
  <c r="AX362" i="38"/>
  <c r="AX238" i="38"/>
  <c r="AX296" i="38"/>
  <c r="AX213" i="38"/>
  <c r="AX338" i="38"/>
  <c r="AX168" i="38"/>
  <c r="AX216" i="38"/>
  <c r="AX160" i="38"/>
  <c r="AX210" i="38"/>
  <c r="AX151" i="38"/>
  <c r="AX156" i="38"/>
  <c r="AX90" i="38"/>
  <c r="AX45" i="38"/>
  <c r="AX337" i="38"/>
  <c r="AX182" i="38"/>
  <c r="AX305" i="38"/>
  <c r="AX60" i="38"/>
  <c r="AX63" i="38"/>
  <c r="AX159" i="38"/>
  <c r="AX274" i="38"/>
  <c r="AX324" i="38"/>
  <c r="AX186" i="38"/>
  <c r="AX191" i="38"/>
  <c r="AX142" i="38"/>
  <c r="AX117" i="38"/>
  <c r="AX280" i="38"/>
  <c r="AX222" i="38"/>
  <c r="AX169" i="38"/>
  <c r="AX108" i="38"/>
  <c r="AX132" i="38"/>
  <c r="AX284" i="38"/>
  <c r="AX120" i="38"/>
  <c r="AX33" i="38"/>
  <c r="AX254" i="38"/>
  <c r="AX364" i="38"/>
  <c r="AX31" i="38"/>
  <c r="AX310" i="38"/>
  <c r="AX349" i="38"/>
  <c r="AX23" i="38"/>
  <c r="AX295" i="38"/>
  <c r="AX177" i="38"/>
  <c r="AX35" i="38"/>
  <c r="AX37" i="38"/>
  <c r="AX302" i="38"/>
  <c r="AX215" i="38"/>
  <c r="AX234" i="38"/>
  <c r="AX92" i="38"/>
  <c r="AX152" i="38"/>
  <c r="AX226" i="38"/>
  <c r="AX350" i="38"/>
  <c r="AX148" i="38"/>
  <c r="AX91" i="38"/>
  <c r="AX255" i="38"/>
  <c r="AX50" i="38"/>
  <c r="AX64" i="38"/>
  <c r="AX48" i="38"/>
  <c r="AX220" i="38"/>
  <c r="AX26" i="38"/>
  <c r="AX162" i="38"/>
  <c r="AX105" i="38"/>
  <c r="AX341" i="38"/>
  <c r="AX102" i="38"/>
  <c r="AX158" i="38"/>
  <c r="AX100" i="38"/>
  <c r="AX196" i="38"/>
  <c r="AX130" i="38"/>
  <c r="AX185" i="38"/>
  <c r="AX203" i="38"/>
  <c r="AX275" i="38"/>
  <c r="AX107" i="38"/>
  <c r="AX221" i="38"/>
  <c r="AX157" i="38"/>
  <c r="AX180" i="38"/>
  <c r="AX101" i="38"/>
  <c r="AX276" i="38"/>
  <c r="AX263" i="38"/>
  <c r="AX150" i="38"/>
  <c r="AX327" i="38"/>
  <c r="AX281" i="38"/>
  <c r="AX72" i="38"/>
  <c r="AX278" i="38"/>
  <c r="AX99" i="38"/>
  <c r="AX268" i="38"/>
  <c r="AX342" i="38"/>
  <c r="AX82" i="38"/>
  <c r="AX235" i="38"/>
  <c r="AX104" i="38"/>
  <c r="AX299" i="38"/>
  <c r="AX139" i="38"/>
  <c r="AX269" i="38"/>
  <c r="AX286" i="38"/>
  <c r="AX21" i="38"/>
  <c r="AX161" i="38"/>
  <c r="AX202" i="38"/>
  <c r="AX247" i="38"/>
  <c r="AX129" i="38"/>
  <c r="AX239" i="38"/>
  <c r="AX171" i="38"/>
  <c r="AX306" i="38"/>
  <c r="AX153" i="38"/>
  <c r="AX332" i="38"/>
  <c r="AX316" i="38"/>
  <c r="AX175" i="38"/>
  <c r="AX127" i="38"/>
  <c r="AX249" i="38"/>
  <c r="AX135" i="38"/>
  <c r="AX366" i="38"/>
  <c r="AX333" i="38"/>
  <c r="AX36" i="38"/>
  <c r="AX55" i="38"/>
  <c r="AX240" i="38"/>
  <c r="AX211" i="38"/>
  <c r="AX87" i="38"/>
  <c r="AX147" i="38"/>
  <c r="AX78" i="38"/>
  <c r="AX370" i="38"/>
  <c r="AX170" i="38"/>
  <c r="AX43" i="38"/>
  <c r="AX98" i="38"/>
  <c r="AX291" i="38"/>
  <c r="AX326" i="38"/>
  <c r="AX317" i="38"/>
  <c r="AX363" i="38"/>
  <c r="AX225" i="38"/>
  <c r="AX189" i="38"/>
  <c r="AX166" i="38"/>
  <c r="AX267" i="38"/>
  <c r="AX336" i="38"/>
  <c r="AE20" i="38"/>
  <c r="AE21" i="38" s="1"/>
  <c r="O19" i="48"/>
  <c r="W19" i="48" s="1"/>
  <c r="W20" i="48" s="1"/>
  <c r="T19" i="48"/>
  <c r="U19" i="48"/>
  <c r="P19" i="48"/>
  <c r="AT20" i="38"/>
  <c r="E20" i="38" s="1"/>
  <c r="C19" i="48" s="1"/>
  <c r="E21" i="38"/>
  <c r="C20" i="48" s="1"/>
  <c r="B20" i="6"/>
  <c r="B21" i="6" s="1"/>
  <c r="B22" i="6" s="1"/>
  <c r="V23" i="38"/>
  <c r="AD23" i="38"/>
  <c r="R22" i="48" s="1"/>
  <c r="AT22" i="38"/>
  <c r="AE22" i="38"/>
  <c r="AS22" i="38"/>
  <c r="R21" i="48"/>
  <c r="AL22" i="38"/>
  <c r="D22" i="6" s="1"/>
  <c r="P21" i="48"/>
  <c r="S21" i="48"/>
  <c r="U21" i="48"/>
  <c r="O21" i="48"/>
  <c r="T21" i="48"/>
  <c r="F26" i="48"/>
  <c r="C18" i="48"/>
  <c r="C16" i="23"/>
  <c r="B16" i="23" s="1"/>
  <c r="AM26" i="38"/>
  <c r="Y37" i="50"/>
  <c r="Y56" i="50"/>
  <c r="Y52" i="50"/>
  <c r="Y44" i="50"/>
  <c r="Y38" i="50"/>
  <c r="Y48" i="50"/>
  <c r="Y40" i="50"/>
  <c r="Y39" i="50"/>
  <c r="Y49" i="50"/>
  <c r="Y54" i="50"/>
  <c r="Y43" i="50"/>
  <c r="Y50" i="50"/>
  <c r="Y42" i="50"/>
  <c r="Y45" i="50"/>
  <c r="Y35" i="50"/>
  <c r="Y41" i="50"/>
  <c r="Y51" i="50"/>
  <c r="Y47" i="50"/>
  <c r="Y53" i="50"/>
  <c r="Z34" i="50"/>
  <c r="Y46" i="50"/>
  <c r="Y55" i="50"/>
  <c r="Y36" i="50"/>
  <c r="X58" i="50"/>
  <c r="X59" i="50" s="1"/>
  <c r="A28" i="48"/>
  <c r="V27" i="48"/>
  <c r="J26" i="48"/>
  <c r="D26" i="48"/>
  <c r="I26" i="48"/>
  <c r="R26" i="48"/>
  <c r="H26" i="48"/>
  <c r="E25" i="48"/>
  <c r="AD29" i="50"/>
  <c r="AD30" i="50" s="1"/>
  <c r="AJ25" i="38"/>
  <c r="AB25" i="38"/>
  <c r="AI25" i="38"/>
  <c r="AA25" i="38"/>
  <c r="AT25" i="38" s="1"/>
  <c r="AH25" i="38"/>
  <c r="M24" i="48"/>
  <c r="Z26" i="38"/>
  <c r="N25" i="48" s="1"/>
  <c r="Y26" i="38"/>
  <c r="AR26" i="38"/>
  <c r="A49" i="24"/>
  <c r="B27" i="38"/>
  <c r="AQ27" i="38"/>
  <c r="A26" i="7"/>
  <c r="A28" i="38"/>
  <c r="D27" i="38"/>
  <c r="AK27" i="38"/>
  <c r="X26" i="48"/>
  <c r="G26" i="48"/>
  <c r="L26" i="48"/>
  <c r="B25" i="7"/>
  <c r="D25" i="7"/>
  <c r="AE8" i="50"/>
  <c r="AE18" i="50"/>
  <c r="AE10" i="50"/>
  <c r="AE6" i="50"/>
  <c r="AF5" i="50"/>
  <c r="AE19" i="50"/>
  <c r="AE20" i="50"/>
  <c r="AE13" i="50"/>
  <c r="AE16" i="50"/>
  <c r="AE15" i="50"/>
  <c r="AE22" i="50"/>
  <c r="AE11" i="50"/>
  <c r="AE9" i="50"/>
  <c r="AE26" i="50"/>
  <c r="AE24" i="50"/>
  <c r="AE25" i="50"/>
  <c r="AE17" i="50"/>
  <c r="AE27" i="50"/>
  <c r="AE12" i="50"/>
  <c r="AE21" i="50"/>
  <c r="AE7" i="50"/>
  <c r="AE23" i="50"/>
  <c r="AE14" i="50"/>
  <c r="C26" i="7"/>
  <c r="C27" i="38"/>
  <c r="C28" i="38"/>
  <c r="B28" i="48"/>
  <c r="AZ26" i="7"/>
  <c r="AV27" i="38"/>
  <c r="E25" i="38" l="1"/>
  <c r="C24" i="48" s="1"/>
  <c r="E22" i="38"/>
  <c r="C21" i="48" s="1"/>
  <c r="AS23" i="38"/>
  <c r="AD24" i="38"/>
  <c r="AL26" i="38" s="1"/>
  <c r="D26" i="6" s="1"/>
  <c r="V24" i="38"/>
  <c r="AG24" i="38" s="1"/>
  <c r="AL23" i="38"/>
  <c r="D23" i="6" s="1"/>
  <c r="AG23" i="38"/>
  <c r="E22" i="7"/>
  <c r="F22" i="7" s="1"/>
  <c r="J22" i="48"/>
  <c r="AB23" i="38"/>
  <c r="AH23" i="38"/>
  <c r="AJ23" i="38"/>
  <c r="AA23" i="38"/>
  <c r="B23" i="6" s="1"/>
  <c r="AI23" i="38"/>
  <c r="W21" i="48"/>
  <c r="E26" i="48"/>
  <c r="J23" i="48"/>
  <c r="AM27" i="38"/>
  <c r="Z50" i="50"/>
  <c r="Z36" i="50"/>
  <c r="Z51" i="50"/>
  <c r="Z40" i="50"/>
  <c r="Z53" i="50"/>
  <c r="Z47" i="50"/>
  <c r="Z48" i="50"/>
  <c r="Z44" i="50"/>
  <c r="Z49" i="50"/>
  <c r="Z52" i="50"/>
  <c r="Z38" i="50"/>
  <c r="Z39" i="50"/>
  <c r="Z41" i="50"/>
  <c r="Z37" i="50"/>
  <c r="Z45" i="50"/>
  <c r="Z42" i="50"/>
  <c r="Z43" i="50"/>
  <c r="Z54" i="50"/>
  <c r="Z56" i="50"/>
  <c r="Z46" i="50"/>
  <c r="Z35" i="50"/>
  <c r="Z55" i="50"/>
  <c r="AA34" i="50"/>
  <c r="Y58" i="50"/>
  <c r="Y59" i="50" s="1"/>
  <c r="A29" i="48"/>
  <c r="V28" i="48"/>
  <c r="AR27" i="38"/>
  <c r="AB26" i="38"/>
  <c r="AA26" i="38"/>
  <c r="AT26" i="38" s="1"/>
  <c r="AJ26" i="38"/>
  <c r="AI26" i="38"/>
  <c r="AH26" i="38"/>
  <c r="M25" i="48"/>
  <c r="A27" i="7"/>
  <c r="A50" i="24"/>
  <c r="A29" i="38"/>
  <c r="H28" i="48" s="1"/>
  <c r="AK28" i="38"/>
  <c r="B28" i="38"/>
  <c r="D28" i="38"/>
  <c r="AQ28" i="38"/>
  <c r="Q27" i="48"/>
  <c r="I27" i="48"/>
  <c r="F27" i="48"/>
  <c r="J27" i="48"/>
  <c r="X27" i="48"/>
  <c r="R27" i="48"/>
  <c r="H27" i="48"/>
  <c r="D27" i="48"/>
  <c r="L27" i="48"/>
  <c r="G27" i="48"/>
  <c r="Z27" i="38"/>
  <c r="N26" i="48" s="1"/>
  <c r="Y27" i="38"/>
  <c r="D26" i="7"/>
  <c r="B26" i="7"/>
  <c r="O24" i="48"/>
  <c r="U24" i="48"/>
  <c r="S24" i="48"/>
  <c r="T24" i="48"/>
  <c r="P24" i="48"/>
  <c r="AF27" i="50"/>
  <c r="AF23" i="50"/>
  <c r="AF16" i="50"/>
  <c r="AF19" i="50"/>
  <c r="AF26" i="50"/>
  <c r="AF14" i="50"/>
  <c r="AF18" i="50"/>
  <c r="AF7" i="50"/>
  <c r="AF12" i="50"/>
  <c r="AF10" i="50"/>
  <c r="AF17" i="50"/>
  <c r="AF15" i="50"/>
  <c r="AF13" i="50"/>
  <c r="AF22" i="50"/>
  <c r="AF6" i="50"/>
  <c r="AF8" i="50"/>
  <c r="AF25" i="50"/>
  <c r="AF20" i="50"/>
  <c r="AF11" i="50"/>
  <c r="AF21" i="50"/>
  <c r="AF9" i="50"/>
  <c r="AF24" i="50"/>
  <c r="AG5" i="50"/>
  <c r="AE29" i="50"/>
  <c r="AE30" i="50" s="1"/>
  <c r="B29" i="48"/>
  <c r="C27" i="7"/>
  <c r="AV28" i="38"/>
  <c r="AZ27" i="7"/>
  <c r="X28" i="48" l="1"/>
  <c r="AJ24" i="38"/>
  <c r="AA24" i="38"/>
  <c r="B24" i="6" s="1"/>
  <c r="B25" i="6" s="1"/>
  <c r="B26" i="6" s="1"/>
  <c r="AI24" i="38"/>
  <c r="AL28" i="38"/>
  <c r="D28" i="6" s="1"/>
  <c r="R23" i="48"/>
  <c r="E26" i="38"/>
  <c r="C25" i="48" s="1"/>
  <c r="AH24" i="38"/>
  <c r="AB24" i="38"/>
  <c r="E23" i="7"/>
  <c r="F23" i="7" s="1"/>
  <c r="AL25" i="38"/>
  <c r="D25" i="6" s="1"/>
  <c r="AL24" i="38"/>
  <c r="D24" i="6" s="1"/>
  <c r="AL27" i="38"/>
  <c r="D27" i="6" s="1"/>
  <c r="AS24" i="38"/>
  <c r="AL30" i="38"/>
  <c r="D30" i="6" s="1"/>
  <c r="AL29" i="38"/>
  <c r="D29" i="6" s="1"/>
  <c r="AE23" i="38"/>
  <c r="AE24" i="38" s="1"/>
  <c r="AT23" i="38"/>
  <c r="T22" i="48"/>
  <c r="O22" i="48"/>
  <c r="W22" i="48" s="1"/>
  <c r="U22" i="48"/>
  <c r="P22" i="48"/>
  <c r="S22" i="48"/>
  <c r="G28" i="48"/>
  <c r="O23" i="48"/>
  <c r="T23" i="48"/>
  <c r="U23" i="48"/>
  <c r="S23" i="48"/>
  <c r="P23" i="48"/>
  <c r="AA55" i="50"/>
  <c r="AA35" i="50"/>
  <c r="AA47" i="50"/>
  <c r="AA53" i="50"/>
  <c r="AA38" i="50"/>
  <c r="AA40" i="50"/>
  <c r="AA36" i="50"/>
  <c r="AA41" i="50"/>
  <c r="AA46" i="50"/>
  <c r="AA50" i="50"/>
  <c r="AA45" i="50"/>
  <c r="AA51" i="50"/>
  <c r="AA44" i="50"/>
  <c r="AB34" i="50"/>
  <c r="AA37" i="50"/>
  <c r="AA39" i="50"/>
  <c r="AA43" i="50"/>
  <c r="AA54" i="50"/>
  <c r="AA48" i="50"/>
  <c r="AA52" i="50"/>
  <c r="AA42" i="50"/>
  <c r="AA49" i="50"/>
  <c r="AA56" i="50"/>
  <c r="I28" i="48"/>
  <c r="A30" i="48"/>
  <c r="V29" i="48"/>
  <c r="Z58" i="50"/>
  <c r="Z59" i="50" s="1"/>
  <c r="J28" i="48"/>
  <c r="D28" i="48"/>
  <c r="E27" i="48"/>
  <c r="B27" i="7"/>
  <c r="D27" i="7"/>
  <c r="AH27" i="38"/>
  <c r="AI27" i="38"/>
  <c r="AB27" i="38"/>
  <c r="AJ27" i="38"/>
  <c r="AA27" i="38"/>
  <c r="AT27" i="38" s="1"/>
  <c r="M26" i="48"/>
  <c r="Y28" i="38"/>
  <c r="Z28" i="38"/>
  <c r="N27" i="48" s="1"/>
  <c r="P25" i="48"/>
  <c r="U25" i="48"/>
  <c r="T25" i="48"/>
  <c r="O25" i="48"/>
  <c r="S25" i="48"/>
  <c r="A30" i="38"/>
  <c r="A51" i="24"/>
  <c r="B29" i="38"/>
  <c r="D29" i="38"/>
  <c r="A28" i="7"/>
  <c r="AK29" i="38"/>
  <c r="AQ29" i="38"/>
  <c r="Q28" i="48"/>
  <c r="R28" i="48"/>
  <c r="L28" i="48"/>
  <c r="F28" i="48"/>
  <c r="AR28" i="38"/>
  <c r="AM28" i="38"/>
  <c r="AG20" i="50"/>
  <c r="AG14" i="50"/>
  <c r="AG12" i="50"/>
  <c r="AG21" i="50"/>
  <c r="AG16" i="50"/>
  <c r="AH16" i="50" s="1"/>
  <c r="AG24" i="50"/>
  <c r="AH24" i="50" s="1"/>
  <c r="AG13" i="50"/>
  <c r="AG25" i="50"/>
  <c r="AG11" i="50"/>
  <c r="AI11" i="50" s="1"/>
  <c r="AG15" i="50"/>
  <c r="AH15" i="50" s="1"/>
  <c r="AG17" i="50"/>
  <c r="AG27" i="50"/>
  <c r="AG6" i="50"/>
  <c r="AG23" i="50"/>
  <c r="AG8" i="50"/>
  <c r="AG18" i="50"/>
  <c r="AI18" i="50" s="1"/>
  <c r="AG26" i="50"/>
  <c r="AG22" i="50"/>
  <c r="AH22" i="50" s="1"/>
  <c r="AG19" i="50"/>
  <c r="AG9" i="50"/>
  <c r="AG10" i="50"/>
  <c r="AG7" i="50"/>
  <c r="AF29" i="50"/>
  <c r="AF30" i="50" s="1"/>
  <c r="C30" i="38"/>
  <c r="B30" i="48"/>
  <c r="C28" i="7"/>
  <c r="C29" i="38"/>
  <c r="AV29" i="38"/>
  <c r="AZ28" i="7"/>
  <c r="AT24" i="38" l="1"/>
  <c r="E24" i="38" s="1"/>
  <c r="C23" i="48" s="1"/>
  <c r="E27" i="38"/>
  <c r="C26" i="48" s="1"/>
  <c r="E23" i="38"/>
  <c r="C22" i="48" s="1"/>
  <c r="W23" i="48"/>
  <c r="W24" i="48" s="1"/>
  <c r="W25" i="48" s="1"/>
  <c r="AE25" i="38"/>
  <c r="AE26" i="38" s="1"/>
  <c r="AE27" i="38" s="1"/>
  <c r="AI15" i="50"/>
  <c r="AB37" i="50"/>
  <c r="AB38" i="50"/>
  <c r="AB40" i="50"/>
  <c r="AB55" i="50"/>
  <c r="AB51" i="50"/>
  <c r="AB46" i="50"/>
  <c r="AB52" i="50"/>
  <c r="AB39" i="50"/>
  <c r="AB45" i="50"/>
  <c r="AB47" i="50"/>
  <c r="AB56" i="50"/>
  <c r="AB41" i="50"/>
  <c r="AC34" i="50"/>
  <c r="AB35" i="50"/>
  <c r="AB36" i="50"/>
  <c r="AB48" i="50"/>
  <c r="AB54" i="50"/>
  <c r="AB50" i="50"/>
  <c r="AB43" i="50"/>
  <c r="AB44" i="50"/>
  <c r="AB53" i="50"/>
  <c r="AB49" i="50"/>
  <c r="AB42" i="50"/>
  <c r="AA58" i="50"/>
  <c r="AA59" i="50" s="1"/>
  <c r="V30" i="48"/>
  <c r="A31" i="48"/>
  <c r="E28" i="48"/>
  <c r="AI22" i="50"/>
  <c r="AI16" i="50"/>
  <c r="AH18" i="50"/>
  <c r="B27" i="6"/>
  <c r="O26" i="48"/>
  <c r="T26" i="48"/>
  <c r="S26" i="48"/>
  <c r="U26" i="48"/>
  <c r="P26" i="48"/>
  <c r="AH11" i="50"/>
  <c r="Z29" i="38"/>
  <c r="N28" i="48" s="1"/>
  <c r="Y29" i="38"/>
  <c r="AA28" i="38"/>
  <c r="AT28" i="38" s="1"/>
  <c r="AJ28" i="38"/>
  <c r="AH28" i="38"/>
  <c r="AI28" i="38"/>
  <c r="AB28" i="38"/>
  <c r="M27" i="48"/>
  <c r="B28" i="7"/>
  <c r="D28" i="7"/>
  <c r="A31" i="38"/>
  <c r="AK30" i="38"/>
  <c r="A29" i="7"/>
  <c r="AQ30" i="38"/>
  <c r="A52" i="24"/>
  <c r="B30" i="38"/>
  <c r="D30" i="38"/>
  <c r="X29" i="48"/>
  <c r="I29" i="48"/>
  <c r="J29" i="48"/>
  <c r="L29" i="48"/>
  <c r="G29" i="48"/>
  <c r="F29" i="48"/>
  <c r="R29" i="48"/>
  <c r="D29" i="48"/>
  <c r="Q29" i="48"/>
  <c r="H29" i="48"/>
  <c r="AR29" i="38"/>
  <c r="AM29" i="38"/>
  <c r="AI27" i="50"/>
  <c r="AH27" i="50"/>
  <c r="AH25" i="50"/>
  <c r="AI25" i="50"/>
  <c r="AI21" i="50"/>
  <c r="AH21" i="50"/>
  <c r="AI10" i="50"/>
  <c r="AH10" i="50"/>
  <c r="AH26" i="50"/>
  <c r="AI26" i="50"/>
  <c r="AG29" i="50"/>
  <c r="AG30" i="50" s="1"/>
  <c r="AH30"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C29" i="7"/>
  <c r="C31" i="38"/>
  <c r="AZ29" i="7"/>
  <c r="AV30" i="38"/>
  <c r="E28" i="38" l="1"/>
  <c r="C27" i="48" s="1"/>
  <c r="AE28" i="38"/>
  <c r="W26" i="48"/>
  <c r="A32" i="48"/>
  <c r="V31" i="48"/>
  <c r="AB58" i="50"/>
  <c r="AB59" i="50" s="1"/>
  <c r="AC44" i="50"/>
  <c r="AC38" i="50"/>
  <c r="AC51" i="50"/>
  <c r="AC54" i="50"/>
  <c r="AD34" i="50"/>
  <c r="AC53" i="50"/>
  <c r="AC49" i="50"/>
  <c r="AC45" i="50"/>
  <c r="AC43" i="50"/>
  <c r="AC55" i="50"/>
  <c r="AC46" i="50"/>
  <c r="AC52" i="50"/>
  <c r="AC56" i="50"/>
  <c r="AC40" i="50"/>
  <c r="AC35" i="50"/>
  <c r="AC37" i="50"/>
  <c r="AC42" i="50"/>
  <c r="AC48" i="50"/>
  <c r="AC41" i="50"/>
  <c r="AC50" i="50"/>
  <c r="AC39" i="50"/>
  <c r="AC36" i="50"/>
  <c r="AC47" i="50"/>
  <c r="B28" i="6"/>
  <c r="E29" i="48"/>
  <c r="AR30" i="38"/>
  <c r="AM30" i="38"/>
  <c r="B29" i="7"/>
  <c r="D29" i="7"/>
  <c r="AH29" i="38"/>
  <c r="AA29" i="38"/>
  <c r="AT29" i="38" s="1"/>
  <c r="AI29" i="38"/>
  <c r="AB29" i="38"/>
  <c r="AJ29" i="38"/>
  <c r="M28" i="48"/>
  <c r="Z30" i="38"/>
  <c r="N29" i="48" s="1"/>
  <c r="Y30" i="38"/>
  <c r="D31" i="38"/>
  <c r="A30" i="7"/>
  <c r="AK31" i="38"/>
  <c r="B31" i="38"/>
  <c r="A32" i="38"/>
  <c r="AQ31" i="38"/>
  <c r="A53" i="24"/>
  <c r="Q30" i="48"/>
  <c r="X30" i="48"/>
  <c r="L30" i="48"/>
  <c r="D30" i="48"/>
  <c r="H30" i="48"/>
  <c r="F30" i="48"/>
  <c r="I30" i="48"/>
  <c r="U27" i="48"/>
  <c r="S27" i="48"/>
  <c r="P27" i="48"/>
  <c r="O27" i="48"/>
  <c r="T27" i="48"/>
  <c r="AH29" i="50"/>
  <c r="C32" i="38"/>
  <c r="B32" i="48"/>
  <c r="C30" i="7"/>
  <c r="AV31" i="38"/>
  <c r="AZ30" i="7"/>
  <c r="E29" i="38" l="1"/>
  <c r="C28" i="48" s="1"/>
  <c r="AE29" i="38"/>
  <c r="W27" i="48"/>
  <c r="AC58" i="50"/>
  <c r="AC59" i="50" s="1"/>
  <c r="AD47" i="50"/>
  <c r="AD55" i="50"/>
  <c r="AD35" i="50"/>
  <c r="AD43" i="50"/>
  <c r="AD51" i="50"/>
  <c r="AD40" i="50"/>
  <c r="AD50" i="50"/>
  <c r="AD46" i="50"/>
  <c r="AD56" i="50"/>
  <c r="AE34" i="50"/>
  <c r="AD48" i="50"/>
  <c r="AD53" i="50"/>
  <c r="AD41" i="50"/>
  <c r="AD45" i="50"/>
  <c r="AD37" i="50"/>
  <c r="AD39" i="50"/>
  <c r="AD49" i="50"/>
  <c r="AD36" i="50"/>
  <c r="AD38" i="50"/>
  <c r="AD54" i="50"/>
  <c r="AD52" i="50"/>
  <c r="AD44" i="50"/>
  <c r="AD42" i="50"/>
  <c r="V32" i="48"/>
  <c r="A33" i="48"/>
  <c r="B29" i="6"/>
  <c r="E30" i="48"/>
  <c r="B30" i="7"/>
  <c r="D30" i="7"/>
  <c r="AR31" i="38"/>
  <c r="AM31" i="38"/>
  <c r="S28" i="48"/>
  <c r="P28" i="48"/>
  <c r="U28" i="48"/>
  <c r="O28" i="48"/>
  <c r="T28" i="48"/>
  <c r="D32" i="38"/>
  <c r="AK32" i="38"/>
  <c r="A54" i="24"/>
  <c r="A33" i="38"/>
  <c r="AQ32" i="38"/>
  <c r="A31" i="7"/>
  <c r="B32" i="38"/>
  <c r="D31" i="48"/>
  <c r="L31" i="48"/>
  <c r="I31" i="48"/>
  <c r="J31" i="48"/>
  <c r="H31" i="48"/>
  <c r="Q31" i="48"/>
  <c r="R31" i="48"/>
  <c r="G31" i="48"/>
  <c r="F31" i="48"/>
  <c r="X31" i="48"/>
  <c r="Y31" i="38"/>
  <c r="Z31" i="38"/>
  <c r="N30" i="48" s="1"/>
  <c r="AI30" i="38"/>
  <c r="AH30" i="38"/>
  <c r="AJ30" i="38"/>
  <c r="AB30" i="38"/>
  <c r="AA30" i="38"/>
  <c r="AT30" i="38" s="1"/>
  <c r="M29" i="48"/>
  <c r="C33" i="38"/>
  <c r="B33" i="48"/>
  <c r="C31" i="7"/>
  <c r="AV32" i="38"/>
  <c r="AZ31" i="7"/>
  <c r="E30" i="38" l="1"/>
  <c r="C29" i="48" s="1"/>
  <c r="AE30" i="38"/>
  <c r="W28" i="48"/>
  <c r="G30" i="48"/>
  <c r="AD58" i="50"/>
  <c r="AD59" i="50" s="1"/>
  <c r="A34" i="48"/>
  <c r="V33" i="48"/>
  <c r="AE47" i="50"/>
  <c r="AE53" i="50"/>
  <c r="AE54" i="50"/>
  <c r="AE44" i="50"/>
  <c r="AE48" i="50"/>
  <c r="AE55" i="50"/>
  <c r="AE42" i="50"/>
  <c r="AE38" i="50"/>
  <c r="AE46" i="50"/>
  <c r="AE51" i="50"/>
  <c r="AE45" i="50"/>
  <c r="AE39" i="50"/>
  <c r="AE52" i="50"/>
  <c r="AE50" i="50"/>
  <c r="AE43" i="50"/>
  <c r="AE40" i="50"/>
  <c r="AF34" i="50"/>
  <c r="AE35" i="50"/>
  <c r="AE36" i="50"/>
  <c r="AE37" i="50"/>
  <c r="AE56" i="50"/>
  <c r="AE49" i="50"/>
  <c r="AE41" i="50"/>
  <c r="E31" i="48"/>
  <c r="D33" i="38"/>
  <c r="A32" i="7"/>
  <c r="AQ33" i="38"/>
  <c r="A55" i="24"/>
  <c r="B33" i="38"/>
  <c r="A34" i="38"/>
  <c r="X33" i="48" s="1"/>
  <c r="AK33" i="38"/>
  <c r="X32" i="48"/>
  <c r="I32" i="48"/>
  <c r="D32" i="48"/>
  <c r="R32" i="48"/>
  <c r="M30" i="48"/>
  <c r="B30" i="6"/>
  <c r="T29" i="48"/>
  <c r="S29" i="48"/>
  <c r="P29" i="48"/>
  <c r="U29" i="48"/>
  <c r="O29" i="48"/>
  <c r="G32" i="48"/>
  <c r="B31" i="7"/>
  <c r="D31" i="7"/>
  <c r="Y32" i="38"/>
  <c r="Z32" i="38"/>
  <c r="N31" i="48" s="1"/>
  <c r="J32" i="48"/>
  <c r="L32" i="48"/>
  <c r="AR32" i="38"/>
  <c r="AM32" i="38"/>
  <c r="F32" i="48"/>
  <c r="H32" i="48"/>
  <c r="Q32" i="48"/>
  <c r="B34" i="48"/>
  <c r="C32" i="7"/>
  <c r="AV33" i="38"/>
  <c r="AZ32" i="7"/>
  <c r="W29" i="48" l="1"/>
  <c r="V31" i="38"/>
  <c r="F33" i="48"/>
  <c r="J33" i="48"/>
  <c r="G33" i="48"/>
  <c r="L33" i="48"/>
  <c r="R33" i="48"/>
  <c r="AF36" i="50"/>
  <c r="AF54" i="50"/>
  <c r="AF56" i="50"/>
  <c r="AF51" i="50"/>
  <c r="AF37" i="50"/>
  <c r="AF53" i="50"/>
  <c r="AF38" i="50"/>
  <c r="AF39" i="50"/>
  <c r="AF52" i="50"/>
  <c r="AF49" i="50"/>
  <c r="AF50" i="50"/>
  <c r="AF46" i="50"/>
  <c r="AF43" i="50"/>
  <c r="AF55" i="50"/>
  <c r="AF42" i="50"/>
  <c r="AF45" i="50"/>
  <c r="AF48" i="50"/>
  <c r="AG34" i="50"/>
  <c r="AF40" i="50"/>
  <c r="AF41" i="50"/>
  <c r="AF35" i="50"/>
  <c r="AF47" i="50"/>
  <c r="AF44" i="50"/>
  <c r="A35" i="48"/>
  <c r="V34" i="48"/>
  <c r="AE58" i="50"/>
  <c r="AE59" i="50" s="1"/>
  <c r="AM33" i="38"/>
  <c r="E32" i="48"/>
  <c r="Z33" i="38"/>
  <c r="N32" i="48" s="1"/>
  <c r="Y33" i="38"/>
  <c r="A33" i="7"/>
  <c r="D34" i="38"/>
  <c r="AQ34" i="38"/>
  <c r="B34" i="38"/>
  <c r="A56" i="24"/>
  <c r="A35" i="38"/>
  <c r="AK34" i="38"/>
  <c r="Q33" i="48"/>
  <c r="I33" i="48"/>
  <c r="H33" i="48"/>
  <c r="D33" i="48"/>
  <c r="D32" i="7"/>
  <c r="B32" i="7"/>
  <c r="AJ32" i="38"/>
  <c r="AI32" i="38"/>
  <c r="AH32" i="38"/>
  <c r="AB32" i="38"/>
  <c r="AA32" i="38"/>
  <c r="AT32" i="38" s="1"/>
  <c r="M31" i="48"/>
  <c r="AR33" i="38"/>
  <c r="C34" i="38"/>
  <c r="C33" i="7"/>
  <c r="C35" i="38"/>
  <c r="B35" i="48"/>
  <c r="AZ33" i="7"/>
  <c r="AV34" i="38"/>
  <c r="E32" i="38" l="1"/>
  <c r="C31" i="48" s="1"/>
  <c r="AD31" i="38"/>
  <c r="E33" i="48"/>
  <c r="AB31" i="38"/>
  <c r="AH31" i="38"/>
  <c r="AG31" i="38"/>
  <c r="AI31" i="38"/>
  <c r="AA31" i="38"/>
  <c r="AJ31" i="38"/>
  <c r="J30" i="48"/>
  <c r="S30" i="48" s="1"/>
  <c r="E30" i="7"/>
  <c r="F30" i="7" s="1"/>
  <c r="AG48" i="50"/>
  <c r="AG40" i="50"/>
  <c r="AG37" i="50"/>
  <c r="AG46" i="50"/>
  <c r="AI46" i="50" s="1"/>
  <c r="AG54" i="50"/>
  <c r="AG38" i="50"/>
  <c r="AG53" i="50"/>
  <c r="AG50" i="50"/>
  <c r="AH50" i="50" s="1"/>
  <c r="AJ50" i="50" s="1"/>
  <c r="AG55" i="50"/>
  <c r="AG35" i="50"/>
  <c r="AG41" i="50"/>
  <c r="AH41" i="50" s="1"/>
  <c r="AJ41" i="50" s="1"/>
  <c r="AG43" i="50"/>
  <c r="AG51" i="50"/>
  <c r="AH51" i="50" s="1"/>
  <c r="AJ51" i="50" s="1"/>
  <c r="AG44" i="50"/>
  <c r="AH44" i="50" s="1"/>
  <c r="AJ44" i="50" s="1"/>
  <c r="AG39" i="50"/>
  <c r="AH39" i="50" s="1"/>
  <c r="AJ39" i="50" s="1"/>
  <c r="AG49" i="50"/>
  <c r="AG52" i="50"/>
  <c r="AG42" i="50"/>
  <c r="AG56" i="50"/>
  <c r="AI56" i="50" s="1"/>
  <c r="AG45" i="50"/>
  <c r="AI45" i="50" s="1"/>
  <c r="AG36" i="50"/>
  <c r="AG47" i="50"/>
  <c r="V35" i="48"/>
  <c r="AF58" i="50"/>
  <c r="AF59" i="50" s="1"/>
  <c r="P31" i="48"/>
  <c r="O31" i="48"/>
  <c r="S31" i="48"/>
  <c r="U31" i="48"/>
  <c r="T31" i="48"/>
  <c r="B33" i="7"/>
  <c r="D33" i="7"/>
  <c r="AR34" i="38"/>
  <c r="AM34" i="38"/>
  <c r="G34" i="48"/>
  <c r="D35" i="38"/>
  <c r="B35" i="38"/>
  <c r="AQ35" i="38"/>
  <c r="A36" i="38"/>
  <c r="X35" i="48" s="1"/>
  <c r="A34" i="7"/>
  <c r="A57" i="24"/>
  <c r="AK35" i="38"/>
  <c r="H34" i="48"/>
  <c r="R34" i="48"/>
  <c r="Q34" i="48"/>
  <c r="L34" i="48"/>
  <c r="D34" i="48"/>
  <c r="F34" i="48"/>
  <c r="X34" i="48"/>
  <c r="I34" i="48"/>
  <c r="J34" i="48"/>
  <c r="Z34" i="38"/>
  <c r="N33" i="48" s="1"/>
  <c r="Y34" i="38"/>
  <c r="AH33" i="38"/>
  <c r="AA33" i="38"/>
  <c r="AT33" i="38" s="1"/>
  <c r="AB33" i="38"/>
  <c r="AI33" i="38"/>
  <c r="AJ33" i="38"/>
  <c r="M32" i="48"/>
  <c r="C34" i="7"/>
  <c r="AV35" i="38"/>
  <c r="AZ34" i="7"/>
  <c r="E33" i="38" l="1"/>
  <c r="C32" i="48" s="1"/>
  <c r="B31" i="6"/>
  <c r="B32" i="6" s="1"/>
  <c r="B33" i="6" s="1"/>
  <c r="AE31" i="38"/>
  <c r="AE32" i="38" s="1"/>
  <c r="AE33" i="38" s="1"/>
  <c r="AI41" i="50"/>
  <c r="AT31" i="38"/>
  <c r="AL33" i="38"/>
  <c r="D33" i="6" s="1"/>
  <c r="AL36" i="38"/>
  <c r="D36" i="6" s="1"/>
  <c r="AL35" i="38"/>
  <c r="D35" i="6" s="1"/>
  <c r="R30" i="48"/>
  <c r="AL31" i="38"/>
  <c r="D31" i="6" s="1"/>
  <c r="AL34" i="38"/>
  <c r="D34" i="6" s="1"/>
  <c r="AS31" i="38"/>
  <c r="AL32" i="38"/>
  <c r="D32" i="6" s="1"/>
  <c r="U30" i="48"/>
  <c r="O30" i="48"/>
  <c r="W30" i="48" s="1"/>
  <c r="W31" i="48" s="1"/>
  <c r="T30" i="48"/>
  <c r="P30" i="48"/>
  <c r="AI50" i="50"/>
  <c r="AI51" i="50"/>
  <c r="AI44" i="50"/>
  <c r="AH53" i="50"/>
  <c r="AJ53" i="50" s="1"/>
  <c r="AI53" i="50"/>
  <c r="AI37" i="50"/>
  <c r="AH37" i="50"/>
  <c r="AJ37" i="50" s="1"/>
  <c r="AH38" i="50"/>
  <c r="AJ38" i="50" s="1"/>
  <c r="AI38" i="50"/>
  <c r="AI39" i="50"/>
  <c r="AI36" i="50"/>
  <c r="AH36" i="50"/>
  <c r="AJ36" i="50" s="1"/>
  <c r="AH52" i="50"/>
  <c r="AJ52" i="50" s="1"/>
  <c r="AI52" i="50"/>
  <c r="AH55" i="50"/>
  <c r="AJ55" i="50" s="1"/>
  <c r="AI55" i="50"/>
  <c r="AH54" i="50"/>
  <c r="AJ54" i="50" s="1"/>
  <c r="AI54" i="50"/>
  <c r="AI48" i="50"/>
  <c r="AH48" i="50"/>
  <c r="AJ48" i="50" s="1"/>
  <c r="AH45" i="50"/>
  <c r="AJ45" i="50" s="1"/>
  <c r="AH46" i="50"/>
  <c r="AJ46" i="50" s="1"/>
  <c r="AI47" i="50"/>
  <c r="AH47" i="50"/>
  <c r="AJ47" i="50" s="1"/>
  <c r="AI42" i="50"/>
  <c r="AH42" i="50"/>
  <c r="AJ42" i="50" s="1"/>
  <c r="AH35" i="50"/>
  <c r="AG58" i="50"/>
  <c r="AG59" i="50" s="1"/>
  <c r="AH59" i="50" s="1"/>
  <c r="AJ59" i="50" s="1"/>
  <c r="AI35" i="50"/>
  <c r="AH40" i="50"/>
  <c r="AJ40" i="50" s="1"/>
  <c r="AI40" i="50"/>
  <c r="AH56" i="50"/>
  <c r="AJ56" i="50" s="1"/>
  <c r="AI49" i="50"/>
  <c r="AH49" i="50"/>
  <c r="AJ49" i="50" s="1"/>
  <c r="AH43" i="50"/>
  <c r="AJ43" i="50" s="1"/>
  <c r="AI43" i="50"/>
  <c r="T32" i="48"/>
  <c r="O32" i="48"/>
  <c r="P32" i="48"/>
  <c r="U32" i="48"/>
  <c r="S32" i="48"/>
  <c r="A35" i="7"/>
  <c r="A58" i="24"/>
  <c r="D36" i="38"/>
  <c r="AK36" i="38"/>
  <c r="B36" i="38"/>
  <c r="AQ36" i="38"/>
  <c r="A37" i="38"/>
  <c r="J35" i="48"/>
  <c r="J38" i="48" s="1"/>
  <c r="R35" i="48"/>
  <c r="I35" i="48"/>
  <c r="Q35" i="48"/>
  <c r="Z35" i="38"/>
  <c r="N34" i="48" s="1"/>
  <c r="Y35" i="38"/>
  <c r="D35" i="48"/>
  <c r="L35" i="48"/>
  <c r="AB34" i="38"/>
  <c r="AJ34" i="38"/>
  <c r="AH34" i="38"/>
  <c r="AI34" i="38"/>
  <c r="AA34" i="38"/>
  <c r="AT34" i="38" s="1"/>
  <c r="M33" i="48"/>
  <c r="E34" i="48"/>
  <c r="F35" i="48"/>
  <c r="B34" i="7"/>
  <c r="D34" i="7"/>
  <c r="AR35" i="38"/>
  <c r="AM35" i="38"/>
  <c r="G35" i="48"/>
  <c r="H35" i="48"/>
  <c r="C35" i="7"/>
  <c r="C36" i="38"/>
  <c r="C37" i="38"/>
  <c r="AZ35" i="7"/>
  <c r="AV36" i="38"/>
  <c r="E31" i="38" l="1"/>
  <c r="C30" i="48" s="1"/>
  <c r="E34" i="38"/>
  <c r="C33" i="48" s="1"/>
  <c r="AE34" i="38"/>
  <c r="W32" i="48"/>
  <c r="AJ35" i="50"/>
  <c r="AJ58" i="50" s="1"/>
  <c r="AH58" i="50"/>
  <c r="R38" i="48"/>
  <c r="B37" i="38"/>
  <c r="AQ37" i="38"/>
  <c r="A36" i="7"/>
  <c r="A59" i="24"/>
  <c r="A38" i="38"/>
  <c r="D37" i="38"/>
  <c r="AK37" i="38"/>
  <c r="E35" i="48"/>
  <c r="A42" i="48" s="1"/>
  <c r="A43" i="48" s="1"/>
  <c r="AR36" i="38"/>
  <c r="AM36" i="38"/>
  <c r="T33" i="48"/>
  <c r="S33" i="48"/>
  <c r="U33" i="48"/>
  <c r="P33" i="48"/>
  <c r="O33" i="48"/>
  <c r="AB35" i="38"/>
  <c r="AH35" i="38"/>
  <c r="AJ35" i="38"/>
  <c r="AA35" i="38"/>
  <c r="AT35" i="38" s="1"/>
  <c r="AI35" i="38"/>
  <c r="M34" i="48"/>
  <c r="B35" i="7"/>
  <c r="D35" i="7"/>
  <c r="B34" i="6"/>
  <c r="Y36" i="38"/>
  <c r="Z36" i="38"/>
  <c r="N35" i="48" s="1"/>
  <c r="C36" i="7"/>
  <c r="C38" i="38"/>
  <c r="AV37" i="38"/>
  <c r="AZ36" i="7"/>
  <c r="E35" i="38" l="1"/>
  <c r="C34" i="48" s="1"/>
  <c r="AE35" i="38"/>
  <c r="W33" i="48"/>
  <c r="AR37" i="38"/>
  <c r="U34" i="48"/>
  <c r="O34" i="48"/>
  <c r="T34" i="48"/>
  <c r="P34" i="48"/>
  <c r="S34" i="48"/>
  <c r="Z37" i="38"/>
  <c r="Y37" i="38" s="1"/>
  <c r="D36" i="7"/>
  <c r="B36" i="7"/>
  <c r="AA36" i="38"/>
  <c r="AT36" i="38" s="1"/>
  <c r="AI36" i="38"/>
  <c r="AJ36" i="38"/>
  <c r="AH36" i="38"/>
  <c r="AB36" i="38"/>
  <c r="M35" i="48"/>
  <c r="B35" i="6"/>
  <c r="AQ38" i="38"/>
  <c r="B38" i="38"/>
  <c r="AK38" i="38"/>
  <c r="D38" i="38"/>
  <c r="A37" i="7"/>
  <c r="A39" i="38"/>
  <c r="A60" i="24"/>
  <c r="C37" i="7"/>
  <c r="C39" i="38"/>
  <c r="AZ37" i="7"/>
  <c r="AV38" i="38"/>
  <c r="E36" i="38" l="1"/>
  <c r="C35" i="48" s="1"/>
  <c r="AE36" i="38"/>
  <c r="W34" i="48"/>
  <c r="B36" i="6"/>
  <c r="AR38" i="38"/>
  <c r="Z38" i="38"/>
  <c r="Y38" i="38"/>
  <c r="J39" i="48"/>
  <c r="S35" i="48"/>
  <c r="U35" i="48"/>
  <c r="O35" i="48"/>
  <c r="O38" i="48" s="1"/>
  <c r="P38" i="48" s="1"/>
  <c r="P35" i="48"/>
  <c r="T35" i="48"/>
  <c r="D39" i="38"/>
  <c r="B39" i="38"/>
  <c r="A38" i="7"/>
  <c r="A40" i="38"/>
  <c r="AQ39" i="38"/>
  <c r="AK39" i="38"/>
  <c r="A61" i="24"/>
  <c r="B37" i="7"/>
  <c r="D37" i="7"/>
  <c r="C40" i="38"/>
  <c r="C38" i="7"/>
  <c r="AV39" i="38"/>
  <c r="AZ38" i="7"/>
  <c r="AD37" i="38" l="1"/>
  <c r="AL39" i="38" s="1"/>
  <c r="D39" i="6" s="1"/>
  <c r="AM37" i="38"/>
  <c r="AM38" i="38" s="1"/>
  <c r="AM39" i="38" s="1"/>
  <c r="Y39" i="38"/>
  <c r="Z39" i="38"/>
  <c r="AR39" i="38"/>
  <c r="W35" i="48"/>
  <c r="B40" i="38"/>
  <c r="AK40" i="38"/>
  <c r="A39" i="7"/>
  <c r="D40" i="38"/>
  <c r="A62" i="24"/>
  <c r="A41" i="38"/>
  <c r="AQ40" i="38"/>
  <c r="AB38" i="38"/>
  <c r="AH38" i="38"/>
  <c r="AI38" i="38"/>
  <c r="AA38" i="38"/>
  <c r="AT38" i="38" s="1"/>
  <c r="E38" i="38" s="1"/>
  <c r="AJ38" i="38"/>
  <c r="B38" i="7"/>
  <c r="D38" i="7"/>
  <c r="C41" i="38"/>
  <c r="C39" i="7"/>
  <c r="AZ39" i="7"/>
  <c r="AV40" i="38"/>
  <c r="V37" i="38" l="1"/>
  <c r="AJ37" i="38" s="1"/>
  <c r="AL37" i="38"/>
  <c r="D37" i="6" s="1"/>
  <c r="AL38" i="38"/>
  <c r="D38" i="6" s="1"/>
  <c r="AR40" i="38"/>
  <c r="Z40" i="38"/>
  <c r="Y40" i="38" s="1"/>
  <c r="AM40" i="38"/>
  <c r="D41" i="38"/>
  <c r="A42" i="38"/>
  <c r="B41" i="38"/>
  <c r="AQ41" i="38"/>
  <c r="A40" i="7"/>
  <c r="A63" i="24"/>
  <c r="AK41" i="38"/>
  <c r="D39" i="7"/>
  <c r="B39" i="7"/>
  <c r="AB39" i="38"/>
  <c r="AI39" i="38"/>
  <c r="AJ39" i="38"/>
  <c r="AH39" i="38"/>
  <c r="AA39" i="38"/>
  <c r="AT39" i="38" s="1"/>
  <c r="E39" i="38" s="1"/>
  <c r="C40" i="7"/>
  <c r="C42" i="38"/>
  <c r="AZ40" i="7"/>
  <c r="AV41" i="38"/>
  <c r="AA37" i="38" l="1"/>
  <c r="AT37" i="38" s="1"/>
  <c r="E37" i="38" s="1"/>
  <c r="AI37" i="38"/>
  <c r="E36" i="7"/>
  <c r="F36" i="7" s="1"/>
  <c r="AG37" i="38"/>
  <c r="AS37" i="38"/>
  <c r="AB37" i="38"/>
  <c r="AH37" i="38"/>
  <c r="AR41" i="38"/>
  <c r="Z41" i="38"/>
  <c r="Y41" i="38" s="1"/>
  <c r="AQ42" i="38"/>
  <c r="D42" i="38"/>
  <c r="A64" i="24"/>
  <c r="AK42" i="38"/>
  <c r="B42" i="38"/>
  <c r="A43" i="38"/>
  <c r="A41" i="7"/>
  <c r="D40" i="7"/>
  <c r="B40" i="7"/>
  <c r="AM41" i="38"/>
  <c r="C41" i="7"/>
  <c r="C43" i="38"/>
  <c r="AV42" i="38"/>
  <c r="AZ41" i="7"/>
  <c r="B37" i="6" l="1"/>
  <c r="B38" i="6" s="1"/>
  <c r="B39" i="6" s="1"/>
  <c r="AE37" i="38"/>
  <c r="AE38" i="38" s="1"/>
  <c r="AE39" i="38" s="1"/>
  <c r="V40" i="38"/>
  <c r="AJ40" i="38" s="1"/>
  <c r="AD40" i="38"/>
  <c r="AR42" i="38"/>
  <c r="D41" i="7"/>
  <c r="B41" i="7"/>
  <c r="Z42" i="38"/>
  <c r="Y42" i="38" s="1"/>
  <c r="B43" i="38"/>
  <c r="AK43" i="38"/>
  <c r="A65" i="24"/>
  <c r="A44" i="38"/>
  <c r="A42" i="7"/>
  <c r="AQ43" i="38"/>
  <c r="D43" i="38"/>
  <c r="AM42" i="38"/>
  <c r="AB41" i="38"/>
  <c r="AJ41" i="38"/>
  <c r="AH41" i="38"/>
  <c r="AA41" i="38"/>
  <c r="AT41" i="38" s="1"/>
  <c r="E41" i="38" s="1"/>
  <c r="AI41" i="38"/>
  <c r="C44" i="38"/>
  <c r="C42" i="7"/>
  <c r="AV43" i="38"/>
  <c r="AZ42" i="7"/>
  <c r="AH40" i="38" l="1"/>
  <c r="AA40" i="38"/>
  <c r="AT40" i="38" s="1"/>
  <c r="E40" i="38" s="1"/>
  <c r="E39" i="7"/>
  <c r="F39" i="7" s="1"/>
  <c r="AG40" i="38"/>
  <c r="AB40" i="38"/>
  <c r="AI40" i="38"/>
  <c r="AS40" i="38"/>
  <c r="AL43" i="38"/>
  <c r="D43" i="6" s="1"/>
  <c r="AL40" i="38"/>
  <c r="D40" i="6" s="1"/>
  <c r="AL41" i="38"/>
  <c r="D41" i="6" s="1"/>
  <c r="AL46" i="38"/>
  <c r="D46" i="6" s="1"/>
  <c r="AL45" i="38"/>
  <c r="D45" i="6" s="1"/>
  <c r="AL42" i="38"/>
  <c r="D42" i="6" s="1"/>
  <c r="AL44" i="38"/>
  <c r="D44" i="6" s="1"/>
  <c r="AR43" i="38"/>
  <c r="AM43" i="38"/>
  <c r="AQ44" i="38"/>
  <c r="AK44" i="38"/>
  <c r="A45" i="38"/>
  <c r="D44" i="38"/>
  <c r="B44" i="38"/>
  <c r="A66" i="24"/>
  <c r="A43" i="7"/>
  <c r="AJ42" i="38"/>
  <c r="AH42" i="38"/>
  <c r="AA42" i="38"/>
  <c r="AT42" i="38" s="1"/>
  <c r="E42" i="38" s="1"/>
  <c r="AB42" i="38"/>
  <c r="AI42" i="38"/>
  <c r="Z43" i="38"/>
  <c r="Y43" i="38" s="1"/>
  <c r="B42" i="7"/>
  <c r="D42" i="7"/>
  <c r="C43" i="7"/>
  <c r="C45" i="38"/>
  <c r="AV44" i="38"/>
  <c r="AZ43" i="7"/>
  <c r="B40" i="6" l="1"/>
  <c r="B41" i="6" s="1"/>
  <c r="B42" i="6" s="1"/>
  <c r="AE40" i="38"/>
  <c r="AE41" i="38" s="1"/>
  <c r="AE42" i="38" s="1"/>
  <c r="AM44" i="38"/>
  <c r="D43" i="7"/>
  <c r="B43" i="7"/>
  <c r="Z44" i="38"/>
  <c r="Y44" i="38" s="1"/>
  <c r="AQ45" i="38"/>
  <c r="B45" i="38"/>
  <c r="A67" i="24"/>
  <c r="AK45" i="38"/>
  <c r="A46" i="38"/>
  <c r="A44" i="7"/>
  <c r="D45" i="38"/>
  <c r="AH43" i="38"/>
  <c r="AB43" i="38"/>
  <c r="AI43" i="38"/>
  <c r="AJ43" i="38"/>
  <c r="AA43" i="38"/>
  <c r="AT43" i="38" s="1"/>
  <c r="E43" i="38" s="1"/>
  <c r="AR44" i="38"/>
  <c r="C46" i="38"/>
  <c r="C44" i="7"/>
  <c r="AV45" i="38"/>
  <c r="AZ44" i="7"/>
  <c r="AE43" i="38" l="1"/>
  <c r="AM45" i="38"/>
  <c r="AR45" i="38"/>
  <c r="B43" i="6"/>
  <c r="AB44" i="38"/>
  <c r="AA44" i="38"/>
  <c r="AT44" i="38" s="1"/>
  <c r="E44" i="38" s="1"/>
  <c r="AJ44" i="38"/>
  <c r="AI44" i="38"/>
  <c r="AH44" i="38"/>
  <c r="D44" i="7"/>
  <c r="B44" i="7"/>
  <c r="B46" i="38"/>
  <c r="D46" i="38"/>
  <c r="A47" i="38"/>
  <c r="A68" i="24"/>
  <c r="AQ46" i="38"/>
  <c r="A45" i="7"/>
  <c r="AK46" i="38"/>
  <c r="Y45" i="38"/>
  <c r="Z45" i="38"/>
  <c r="C47" i="38"/>
  <c r="C45" i="7"/>
  <c r="AZ45" i="7"/>
  <c r="AV46" i="38"/>
  <c r="AE44" i="38" l="1"/>
  <c r="AM46" i="38"/>
  <c r="AR46" i="38"/>
  <c r="B44" i="6"/>
  <c r="Z46" i="38"/>
  <c r="Y46" i="38"/>
  <c r="D47" i="38"/>
  <c r="AQ47" i="38"/>
  <c r="A46" i="7"/>
  <c r="A48" i="38"/>
  <c r="B47" i="38"/>
  <c r="AK47" i="38"/>
  <c r="A69" i="24"/>
  <c r="E10" i="23"/>
  <c r="D10" i="23" s="1"/>
  <c r="D45" i="7"/>
  <c r="B45" i="7"/>
  <c r="AH45" i="38"/>
  <c r="AA45" i="38"/>
  <c r="AT45" i="38" s="1"/>
  <c r="E45" i="38" s="1"/>
  <c r="AB45" i="38"/>
  <c r="AJ45" i="38"/>
  <c r="AI45" i="38"/>
  <c r="C46" i="7"/>
  <c r="C48" i="38"/>
  <c r="AZ46" i="7"/>
  <c r="AV47" i="38"/>
  <c r="AE45" i="38" l="1"/>
  <c r="AM47" i="38"/>
  <c r="AQ48" i="38"/>
  <c r="B48" i="38"/>
  <c r="AK48" i="38"/>
  <c r="A47" i="7"/>
  <c r="D48" i="38"/>
  <c r="A49" i="38"/>
  <c r="A70" i="24"/>
  <c r="AH46" i="38"/>
  <c r="AJ46" i="38"/>
  <c r="AB46" i="38"/>
  <c r="AI46" i="38"/>
  <c r="AA46" i="38"/>
  <c r="AT46" i="38" s="1"/>
  <c r="E46" i="38" s="1"/>
  <c r="D46" i="7"/>
  <c r="B46" i="7"/>
  <c r="B45" i="6"/>
  <c r="Z47" i="38"/>
  <c r="Y47" i="38" s="1"/>
  <c r="AR47" i="38"/>
  <c r="C47" i="7"/>
  <c r="C49" i="38"/>
  <c r="AV48" i="38"/>
  <c r="AZ47" i="7"/>
  <c r="AE46" i="38" l="1"/>
  <c r="AM48" i="38"/>
  <c r="AR48" i="38"/>
  <c r="E12" i="23"/>
  <c r="D12" i="23" s="1"/>
  <c r="B47" i="7"/>
  <c r="D47" i="7"/>
  <c r="B46" i="6"/>
  <c r="Z48" i="38"/>
  <c r="Y48" i="38" s="1"/>
  <c r="A48" i="7"/>
  <c r="A50" i="38"/>
  <c r="A71" i="24"/>
  <c r="AQ49" i="38"/>
  <c r="D49" i="38"/>
  <c r="AK49" i="38"/>
  <c r="B49" i="38"/>
  <c r="C48" i="7"/>
  <c r="C50" i="38"/>
  <c r="AZ48" i="7"/>
  <c r="AV49" i="38"/>
  <c r="V47" i="38" l="1"/>
  <c r="AI47" i="38" s="1"/>
  <c r="AD47" i="38"/>
  <c r="AM49" i="38"/>
  <c r="AR49" i="38"/>
  <c r="Z49" i="38"/>
  <c r="Y49" i="38" s="1"/>
  <c r="A49" i="7"/>
  <c r="A72" i="24"/>
  <c r="B50" i="38"/>
  <c r="AK50" i="38"/>
  <c r="AQ50" i="38"/>
  <c r="A51" i="38"/>
  <c r="D50" i="38"/>
  <c r="D48" i="7"/>
  <c r="B48" i="7"/>
  <c r="C49" i="7"/>
  <c r="C51" i="38"/>
  <c r="AV50" i="38"/>
  <c r="AZ49" i="7"/>
  <c r="AH47" i="38" l="1"/>
  <c r="AJ47" i="38"/>
  <c r="V48" i="38"/>
  <c r="AG48" i="38" s="1"/>
  <c r="AB47" i="38"/>
  <c r="E46" i="7"/>
  <c r="F46" i="7" s="1"/>
  <c r="AG47" i="38"/>
  <c r="AD48" i="38"/>
  <c r="AA47" i="38"/>
  <c r="B47" i="6" s="1"/>
  <c r="AS47" i="38"/>
  <c r="AL47" i="38"/>
  <c r="D47" i="6" s="1"/>
  <c r="AM50" i="38"/>
  <c r="AR50" i="38"/>
  <c r="B49" i="7"/>
  <c r="D49" i="7"/>
  <c r="Z50" i="38"/>
  <c r="Y50" i="38" s="1"/>
  <c r="B51" i="38"/>
  <c r="D51" i="38"/>
  <c r="A73" i="24"/>
  <c r="A52" i="38"/>
  <c r="AK51" i="38"/>
  <c r="AQ51" i="38"/>
  <c r="A50" i="7"/>
  <c r="C50" i="7"/>
  <c r="C52" i="38"/>
  <c r="AV51" i="38"/>
  <c r="AZ50" i="7"/>
  <c r="AS48" i="38" l="1"/>
  <c r="AB48" i="38"/>
  <c r="V49" i="38"/>
  <c r="AI49" i="38" s="1"/>
  <c r="AA48" i="38"/>
  <c r="B48" i="6" s="1"/>
  <c r="AH48" i="38"/>
  <c r="AI48" i="38"/>
  <c r="E47" i="7"/>
  <c r="F47" i="7" s="1"/>
  <c r="AJ48" i="38"/>
  <c r="AT47" i="38"/>
  <c r="E47" i="38" s="1"/>
  <c r="AE47" i="38"/>
  <c r="AL48" i="38"/>
  <c r="D48" i="6" s="1"/>
  <c r="AD49" i="38"/>
  <c r="AM51" i="38"/>
  <c r="Z51" i="38"/>
  <c r="Y51" i="38" s="1"/>
  <c r="AR51" i="38"/>
  <c r="A53" i="38"/>
  <c r="A74" i="24"/>
  <c r="A51" i="7"/>
  <c r="B52" i="38"/>
  <c r="D52" i="38"/>
  <c r="AQ52" i="38"/>
  <c r="AK52" i="38"/>
  <c r="B50" i="7"/>
  <c r="D50" i="7"/>
  <c r="C53" i="38"/>
  <c r="C51" i="7"/>
  <c r="AZ51" i="7"/>
  <c r="AV52" i="38"/>
  <c r="AE48" i="38" l="1"/>
  <c r="AG49" i="38"/>
  <c r="AT48" i="38"/>
  <c r="E48" i="38" s="1"/>
  <c r="AJ49" i="38"/>
  <c r="AH49" i="38"/>
  <c r="AA49" i="38"/>
  <c r="AT49" i="38" s="1"/>
  <c r="E49" i="38" s="1"/>
  <c r="E48" i="7"/>
  <c r="F48" i="7" s="1"/>
  <c r="AB49" i="38"/>
  <c r="AD50" i="38"/>
  <c r="AL50" i="38" s="1"/>
  <c r="D50" i="6" s="1"/>
  <c r="V50" i="38"/>
  <c r="AS49" i="38"/>
  <c r="AL49" i="38"/>
  <c r="D49" i="6" s="1"/>
  <c r="AM52" i="38"/>
  <c r="B53" i="38"/>
  <c r="A52" i="7"/>
  <c r="D53" i="38"/>
  <c r="AK53" i="38"/>
  <c r="A75" i="24"/>
  <c r="AQ53" i="38"/>
  <c r="A54" i="38"/>
  <c r="AR52" i="38"/>
  <c r="Z52" i="38"/>
  <c r="Y52" i="38"/>
  <c r="D51" i="7"/>
  <c r="B51" i="7"/>
  <c r="C52" i="7"/>
  <c r="C54" i="38"/>
  <c r="AZ52" i="7"/>
  <c r="AV53" i="38"/>
  <c r="B49" i="6" l="1"/>
  <c r="AE49" i="38"/>
  <c r="V51" i="38"/>
  <c r="E50" i="7" s="1"/>
  <c r="F50" i="7" s="1"/>
  <c r="AD51" i="38"/>
  <c r="AS50" i="38"/>
  <c r="AG50" i="38"/>
  <c r="E49" i="7"/>
  <c r="F49" i="7" s="1"/>
  <c r="AH50" i="38"/>
  <c r="AB50" i="38"/>
  <c r="AI50" i="38"/>
  <c r="AJ50" i="38"/>
  <c r="AA50" i="38"/>
  <c r="AR53" i="38"/>
  <c r="AM53" i="38"/>
  <c r="D52" i="7"/>
  <c r="B52" i="7"/>
  <c r="Z53" i="38"/>
  <c r="Y53" i="38"/>
  <c r="AB52" i="38"/>
  <c r="AH52" i="38"/>
  <c r="AA52" i="38"/>
  <c r="AT52" i="38" s="1"/>
  <c r="E52" i="38" s="1"/>
  <c r="AJ52" i="38"/>
  <c r="AI52" i="38"/>
  <c r="A55" i="38"/>
  <c r="AQ54" i="38"/>
  <c r="D54" i="38"/>
  <c r="A53" i="7"/>
  <c r="B54" i="38"/>
  <c r="A76" i="24"/>
  <c r="AK54" i="38"/>
  <c r="C53" i="7"/>
  <c r="C55" i="38"/>
  <c r="AV54" i="38"/>
  <c r="AZ53" i="7"/>
  <c r="AS51" i="38" l="1"/>
  <c r="AG51" i="38"/>
  <c r="AA51" i="38"/>
  <c r="AT51" i="38" s="1"/>
  <c r="E51" i="38" s="1"/>
  <c r="AJ51" i="38"/>
  <c r="AB51" i="38"/>
  <c r="AI51" i="38"/>
  <c r="AH51" i="38"/>
  <c r="AL52" i="38"/>
  <c r="D52" i="6" s="1"/>
  <c r="AL53" i="38"/>
  <c r="D53" i="6" s="1"/>
  <c r="AL51" i="38"/>
  <c r="D51" i="6" s="1"/>
  <c r="AT50" i="38"/>
  <c r="E50" i="38" s="1"/>
  <c r="AE50" i="38"/>
  <c r="B50" i="6"/>
  <c r="AM54" i="38"/>
  <c r="D53" i="7"/>
  <c r="B53" i="7"/>
  <c r="Z54" i="38"/>
  <c r="Y54" i="38" s="1"/>
  <c r="AA53" i="38"/>
  <c r="AT53" i="38" s="1"/>
  <c r="E53" i="38" s="1"/>
  <c r="AH53" i="38"/>
  <c r="AB53" i="38"/>
  <c r="AI53" i="38"/>
  <c r="AJ53" i="38"/>
  <c r="AR54" i="38"/>
  <c r="A77" i="24"/>
  <c r="AQ55" i="38"/>
  <c r="B55" i="38"/>
  <c r="D55" i="38"/>
  <c r="A56" i="38"/>
  <c r="A54" i="7"/>
  <c r="AK55" i="38"/>
  <c r="C54" i="7"/>
  <c r="C56" i="38"/>
  <c r="AZ54" i="7"/>
  <c r="AV55" i="38"/>
  <c r="AE51" i="38" l="1"/>
  <c r="AE52" i="38" s="1"/>
  <c r="AE53" i="38" s="1"/>
  <c r="B51" i="6"/>
  <c r="B52" i="6" s="1"/>
  <c r="B53" i="6" s="1"/>
  <c r="AM55" i="38"/>
  <c r="B56" i="38"/>
  <c r="A55" i="7"/>
  <c r="AQ56" i="38"/>
  <c r="D56" i="38"/>
  <c r="AK56" i="38"/>
  <c r="A57" i="38"/>
  <c r="A78" i="24"/>
  <c r="AR55" i="38"/>
  <c r="Z55" i="38"/>
  <c r="Y55" i="38" s="1"/>
  <c r="B54" i="7"/>
  <c r="D54" i="7"/>
  <c r="C57" i="38"/>
  <c r="C55" i="7"/>
  <c r="AZ55" i="7"/>
  <c r="AV56" i="38"/>
  <c r="V54" i="38" l="1"/>
  <c r="AH54" i="38" s="1"/>
  <c r="AD55" i="38"/>
  <c r="AD54" i="38"/>
  <c r="AM56" i="38"/>
  <c r="AR56" i="38"/>
  <c r="D57" i="38"/>
  <c r="A58" i="38"/>
  <c r="A56" i="7"/>
  <c r="AQ57" i="38"/>
  <c r="A79" i="24"/>
  <c r="AK57" i="38"/>
  <c r="B57" i="38"/>
  <c r="B55" i="7"/>
  <c r="D55" i="7"/>
  <c r="Z56" i="38"/>
  <c r="Y56" i="38" s="1"/>
  <c r="C56" i="7"/>
  <c r="C58" i="38"/>
  <c r="AZ56" i="7"/>
  <c r="AV57" i="38"/>
  <c r="AJ54" i="38" l="1"/>
  <c r="AG54" i="38"/>
  <c r="E53" i="7"/>
  <c r="F53" i="7" s="1"/>
  <c r="AB54" i="38"/>
  <c r="AA54" i="38"/>
  <c r="B54" i="6" s="1"/>
  <c r="AI54" i="38"/>
  <c r="V55" i="38"/>
  <c r="AB55" i="38" s="1"/>
  <c r="AS54" i="38"/>
  <c r="AL54" i="38"/>
  <c r="D54" i="6" s="1"/>
  <c r="AL55" i="38"/>
  <c r="D55" i="6" s="1"/>
  <c r="AM57" i="38"/>
  <c r="D56" i="7"/>
  <c r="B56" i="7"/>
  <c r="Z57" i="38"/>
  <c r="Y57" i="38" s="1"/>
  <c r="D58" i="38"/>
  <c r="B58" i="38"/>
  <c r="A57" i="7"/>
  <c r="A59" i="38"/>
  <c r="AQ58" i="38"/>
  <c r="A80" i="24"/>
  <c r="AK58" i="38"/>
  <c r="AR57" i="38"/>
  <c r="C59" i="38"/>
  <c r="C57" i="7"/>
  <c r="AZ57" i="7"/>
  <c r="AV58" i="38"/>
  <c r="AT54" i="38" l="1"/>
  <c r="E54" i="38" s="1"/>
  <c r="AE54" i="38"/>
  <c r="AA55" i="38"/>
  <c r="AT55" i="38" s="1"/>
  <c r="E55" i="38" s="1"/>
  <c r="AI55" i="38"/>
  <c r="AS55" i="38"/>
  <c r="V56" i="38"/>
  <c r="AB56" i="38" s="1"/>
  <c r="E54" i="7"/>
  <c r="F54" i="7" s="1"/>
  <c r="AG55" i="38"/>
  <c r="AD57" i="38"/>
  <c r="AD56" i="38"/>
  <c r="AJ55" i="38"/>
  <c r="AH55" i="38"/>
  <c r="AR58" i="38"/>
  <c r="AM58" i="38"/>
  <c r="AQ59" i="38"/>
  <c r="D59" i="38"/>
  <c r="A60" i="38"/>
  <c r="A58" i="7"/>
  <c r="A81" i="24"/>
  <c r="B59" i="38"/>
  <c r="AK59" i="38"/>
  <c r="Z58" i="38"/>
  <c r="Y58" i="38" s="1"/>
  <c r="B57" i="7"/>
  <c r="D57" i="7"/>
  <c r="C58" i="7"/>
  <c r="C60" i="38"/>
  <c r="AZ58" i="7"/>
  <c r="AV59" i="38"/>
  <c r="E55" i="7" l="1"/>
  <c r="F55" i="7" s="1"/>
  <c r="B55" i="6"/>
  <c r="AE55" i="38"/>
  <c r="AG56" i="38"/>
  <c r="AJ56" i="38"/>
  <c r="AA56" i="38"/>
  <c r="AT56" i="38" s="1"/>
  <c r="E56" i="38" s="1"/>
  <c r="AH56" i="38"/>
  <c r="AI56" i="38"/>
  <c r="V57" i="38"/>
  <c r="AG57" i="38" s="1"/>
  <c r="AS56" i="38"/>
  <c r="AL57" i="38"/>
  <c r="D57" i="6" s="1"/>
  <c r="AL56" i="38"/>
  <c r="D56" i="6" s="1"/>
  <c r="AM59" i="38"/>
  <c r="AQ60" i="38"/>
  <c r="A61" i="38"/>
  <c r="A82" i="24"/>
  <c r="AK60" i="38"/>
  <c r="B60" i="38"/>
  <c r="A59" i="7"/>
  <c r="D60" i="38"/>
  <c r="Y59" i="38"/>
  <c r="Z59" i="38"/>
  <c r="D58" i="7"/>
  <c r="B58" i="7"/>
  <c r="AR59" i="38"/>
  <c r="C61" i="38"/>
  <c r="C59" i="7"/>
  <c r="AV60" i="38"/>
  <c r="AZ59" i="7"/>
  <c r="V58" i="38" l="1"/>
  <c r="AA58" i="38" s="1"/>
  <c r="AE56" i="38"/>
  <c r="B56" i="6"/>
  <c r="E56" i="7"/>
  <c r="F56" i="7" s="1"/>
  <c r="AS57" i="38"/>
  <c r="AB57" i="38"/>
  <c r="AH57" i="38"/>
  <c r="AI57" i="38"/>
  <c r="AA57" i="38"/>
  <c r="AJ57" i="38"/>
  <c r="AD58" i="38"/>
  <c r="E22" i="23"/>
  <c r="D22" i="23" s="1"/>
  <c r="AM60" i="38"/>
  <c r="AR60" i="38"/>
  <c r="Y60" i="38"/>
  <c r="Z60" i="38"/>
  <c r="D59" i="7"/>
  <c r="B59" i="7"/>
  <c r="A60" i="7"/>
  <c r="AQ61" i="38"/>
  <c r="D61" i="38"/>
  <c r="AK61" i="38"/>
  <c r="A83" i="24"/>
  <c r="A62" i="38"/>
  <c r="B61" i="38"/>
  <c r="AB59" i="38"/>
  <c r="AA59" i="38"/>
  <c r="AT59" i="38" s="1"/>
  <c r="E59" i="38" s="1"/>
  <c r="AJ59" i="38"/>
  <c r="AI59" i="38"/>
  <c r="AH59" i="38"/>
  <c r="C62" i="38"/>
  <c r="C60" i="7"/>
  <c r="AZ60" i="7"/>
  <c r="AV61" i="38"/>
  <c r="AG58" i="38" l="1"/>
  <c r="AI58" i="38"/>
  <c r="E57" i="7"/>
  <c r="F57" i="7" s="1"/>
  <c r="AH58" i="38"/>
  <c r="AJ58" i="38"/>
  <c r="AB58" i="38"/>
  <c r="B57" i="6"/>
  <c r="B58" i="6" s="1"/>
  <c r="B59" i="6" s="1"/>
  <c r="AE57" i="38"/>
  <c r="AE58" i="38" s="1"/>
  <c r="AE59" i="38" s="1"/>
  <c r="AT57" i="38"/>
  <c r="E57" i="38" s="1"/>
  <c r="AS58" i="38"/>
  <c r="AL60" i="38"/>
  <c r="D60" i="6" s="1"/>
  <c r="AL58" i="38"/>
  <c r="D58" i="6" s="1"/>
  <c r="AL59" i="38"/>
  <c r="D59" i="6" s="1"/>
  <c r="AT58" i="38"/>
  <c r="E58" i="38" s="1"/>
  <c r="AM61" i="38"/>
  <c r="AR61" i="38"/>
  <c r="B62" i="38"/>
  <c r="A63" i="38"/>
  <c r="AQ62" i="38"/>
  <c r="D62" i="38"/>
  <c r="A61" i="7"/>
  <c r="A84" i="24"/>
  <c r="AK62" i="38"/>
  <c r="B60" i="7"/>
  <c r="D60" i="7"/>
  <c r="AI60" i="38"/>
  <c r="AA60" i="38"/>
  <c r="AT60" i="38" s="1"/>
  <c r="E60" i="38" s="1"/>
  <c r="AH60" i="38"/>
  <c r="AB60" i="38"/>
  <c r="AJ60" i="38"/>
  <c r="Z61" i="38"/>
  <c r="Y61" i="38" s="1"/>
  <c r="C63" i="38"/>
  <c r="C61" i="7"/>
  <c r="AZ61" i="7"/>
  <c r="AV62" i="38"/>
  <c r="AE60" i="38" l="1"/>
  <c r="AM62" i="38"/>
  <c r="B60" i="6"/>
  <c r="AR62" i="38"/>
  <c r="Z62" i="38"/>
  <c r="Y62" i="38" s="1"/>
  <c r="B63" i="38"/>
  <c r="AK63" i="38"/>
  <c r="A85" i="24"/>
  <c r="A64" i="38"/>
  <c r="D63" i="38"/>
  <c r="A62" i="7"/>
  <c r="AQ63" i="38"/>
  <c r="B61" i="7"/>
  <c r="D61" i="7"/>
  <c r="C62" i="7"/>
  <c r="C64" i="38"/>
  <c r="AZ62" i="7"/>
  <c r="AV63" i="38"/>
  <c r="AD61" i="38" l="1"/>
  <c r="AL61" i="38" s="1"/>
  <c r="D61" i="6" s="1"/>
  <c r="V61" i="38"/>
  <c r="AM63" i="38"/>
  <c r="AR63" i="38"/>
  <c r="Z63" i="38"/>
  <c r="Y63" i="38" s="1"/>
  <c r="AQ64" i="38"/>
  <c r="B64" i="38"/>
  <c r="A63" i="7"/>
  <c r="AK64" i="38"/>
  <c r="A65" i="38"/>
  <c r="A86" i="24"/>
  <c r="D64" i="38"/>
  <c r="B62" i="7"/>
  <c r="D62" i="7"/>
  <c r="C65" i="38"/>
  <c r="C63" i="7"/>
  <c r="AZ63" i="7"/>
  <c r="AV64" i="38"/>
  <c r="V62" i="38" l="1"/>
  <c r="AJ62" i="38" s="1"/>
  <c r="AD62" i="38"/>
  <c r="AS61" i="38"/>
  <c r="E60" i="7"/>
  <c r="F60" i="7" s="1"/>
  <c r="AG61" i="38"/>
  <c r="AJ61" i="38"/>
  <c r="AH61" i="38"/>
  <c r="AI61" i="38"/>
  <c r="AB61" i="38"/>
  <c r="AA61" i="38"/>
  <c r="AM64" i="38"/>
  <c r="AR64" i="38"/>
  <c r="D65" i="38"/>
  <c r="A87" i="24"/>
  <c r="A64" i="7"/>
  <c r="A66" i="38"/>
  <c r="AQ65" i="38"/>
  <c r="B65" i="38"/>
  <c r="AK65" i="38"/>
  <c r="Z64" i="38"/>
  <c r="Y64" i="38" s="1"/>
  <c r="D63" i="7"/>
  <c r="B63" i="7"/>
  <c r="C66" i="38"/>
  <c r="C64" i="7"/>
  <c r="AV65" i="38"/>
  <c r="AZ64" i="7"/>
  <c r="E61" i="7" l="1"/>
  <c r="F61" i="7" s="1"/>
  <c r="AA62" i="38"/>
  <c r="AT62" i="38" s="1"/>
  <c r="E62" i="38" s="1"/>
  <c r="AG62" i="38"/>
  <c r="AH62" i="38"/>
  <c r="AI62" i="38"/>
  <c r="AB62" i="38"/>
  <c r="AD63" i="38"/>
  <c r="AL63" i="38" s="1"/>
  <c r="D63" i="6" s="1"/>
  <c r="V64" i="38"/>
  <c r="V63" i="38"/>
  <c r="AL62" i="38"/>
  <c r="D62" i="6" s="1"/>
  <c r="AS62" i="38"/>
  <c r="AT61" i="38"/>
  <c r="E61" i="38" s="1"/>
  <c r="AE61" i="38"/>
  <c r="B61" i="6"/>
  <c r="AR65" i="38"/>
  <c r="Z65" i="38"/>
  <c r="Y65" i="38" s="1"/>
  <c r="D64" i="7"/>
  <c r="B64" i="7"/>
  <c r="B66" i="38"/>
  <c r="AK66" i="38"/>
  <c r="A65" i="7"/>
  <c r="A67" i="38"/>
  <c r="AQ66" i="38"/>
  <c r="D66" i="38"/>
  <c r="A88" i="24"/>
  <c r="C67" i="38"/>
  <c r="C65" i="7"/>
  <c r="AV66" i="38"/>
  <c r="AZ65" i="7"/>
  <c r="B62" i="6" l="1"/>
  <c r="AE62" i="38"/>
  <c r="AD64" i="38"/>
  <c r="AS64" i="38" s="1"/>
  <c r="AG64" i="38"/>
  <c r="E63" i="7"/>
  <c r="F63" i="7" s="1"/>
  <c r="AI64" i="38"/>
  <c r="AJ64" i="38"/>
  <c r="AB64" i="38"/>
  <c r="AA64" i="38"/>
  <c r="AH64" i="38"/>
  <c r="AS63" i="38"/>
  <c r="AG63" i="38"/>
  <c r="E62" i="7"/>
  <c r="F62" i="7" s="1"/>
  <c r="AB63" i="38"/>
  <c r="AA63" i="38"/>
  <c r="AT63" i="38" s="1"/>
  <c r="E63" i="38" s="1"/>
  <c r="AH63" i="38"/>
  <c r="AI63" i="38"/>
  <c r="AJ63" i="38"/>
  <c r="E28" i="23"/>
  <c r="D28" i="23" s="1"/>
  <c r="AR66" i="38"/>
  <c r="Y66" i="38"/>
  <c r="Z66" i="38"/>
  <c r="D67" i="38"/>
  <c r="B67" i="38"/>
  <c r="A68" i="38"/>
  <c r="AK67" i="38"/>
  <c r="A66" i="7"/>
  <c r="AQ67" i="38"/>
  <c r="A89" i="24"/>
  <c r="D65" i="7"/>
  <c r="B65" i="7"/>
  <c r="C68" i="38"/>
  <c r="C66" i="7"/>
  <c r="AV67" i="38"/>
  <c r="AZ66" i="7"/>
  <c r="AD65" i="38" l="1"/>
  <c r="AL66" i="38" s="1"/>
  <c r="D66" i="6" s="1"/>
  <c r="V65" i="38"/>
  <c r="AL64" i="38"/>
  <c r="D64" i="6" s="1"/>
  <c r="AT64" i="38"/>
  <c r="E64" i="38" s="1"/>
  <c r="B63" i="6"/>
  <c r="B64" i="6" s="1"/>
  <c r="AE63" i="38"/>
  <c r="AE64" i="38" s="1"/>
  <c r="AB66" i="38"/>
  <c r="AI66" i="38"/>
  <c r="AA66" i="38"/>
  <c r="AT66" i="38" s="1"/>
  <c r="E66" i="38" s="1"/>
  <c r="AH66" i="38"/>
  <c r="AJ66" i="38"/>
  <c r="Z67" i="38"/>
  <c r="Y67" i="38"/>
  <c r="A69" i="38"/>
  <c r="AK68" i="38"/>
  <c r="A67" i="7"/>
  <c r="D68" i="38"/>
  <c r="AQ68" i="38"/>
  <c r="B68" i="38"/>
  <c r="A90" i="24"/>
  <c r="B66" i="7"/>
  <c r="D66" i="7"/>
  <c r="AR67" i="38"/>
  <c r="C67" i="7"/>
  <c r="C69" i="38"/>
  <c r="AV68" i="38"/>
  <c r="AZ67" i="7"/>
  <c r="AL65" i="38" l="1"/>
  <c r="D65" i="6" s="1"/>
  <c r="AL67" i="38"/>
  <c r="D67" i="6" s="1"/>
  <c r="AS65" i="38"/>
  <c r="E64" i="7"/>
  <c r="F64" i="7" s="1"/>
  <c r="AG65" i="38"/>
  <c r="AB65" i="38"/>
  <c r="AA65" i="38"/>
  <c r="AT65" i="38" s="1"/>
  <c r="E65" i="38" s="1"/>
  <c r="AJ65" i="38"/>
  <c r="AI65" i="38"/>
  <c r="AH65" i="38"/>
  <c r="E30" i="23"/>
  <c r="D30" i="23" s="1"/>
  <c r="AM65" i="38"/>
  <c r="AR68" i="38"/>
  <c r="A70" i="38"/>
  <c r="B69" i="38"/>
  <c r="A91" i="24"/>
  <c r="AQ69" i="38"/>
  <c r="AK69" i="38"/>
  <c r="D69" i="38"/>
  <c r="A68" i="7"/>
  <c r="B67" i="7"/>
  <c r="D67" i="7"/>
  <c r="AI67" i="38"/>
  <c r="AA67" i="38"/>
  <c r="AT67" i="38" s="1"/>
  <c r="E67" i="38" s="1"/>
  <c r="AB67" i="38"/>
  <c r="AH67" i="38"/>
  <c r="AJ67" i="38"/>
  <c r="Z68" i="38"/>
  <c r="Y68" i="38" s="1"/>
  <c r="C68" i="7"/>
  <c r="C70" i="38"/>
  <c r="AV69" i="38"/>
  <c r="AZ68" i="7"/>
  <c r="AE65" i="38" l="1"/>
  <c r="AE66" i="38" s="1"/>
  <c r="AE67" i="38" s="1"/>
  <c r="B65" i="6"/>
  <c r="B66" i="6" s="1"/>
  <c r="B67" i="6" s="1"/>
  <c r="D68" i="7"/>
  <c r="B68" i="7"/>
  <c r="Z69" i="38"/>
  <c r="Y69" i="38" s="1"/>
  <c r="AQ70" i="38"/>
  <c r="AK70" i="38"/>
  <c r="A71" i="38"/>
  <c r="D70" i="38"/>
  <c r="A69" i="7"/>
  <c r="A92" i="24"/>
  <c r="B70" i="38"/>
  <c r="AR69" i="38"/>
  <c r="C69" i="7"/>
  <c r="C71" i="38"/>
  <c r="AV70" i="38"/>
  <c r="AZ69" i="7"/>
  <c r="AM66" i="38" l="1"/>
  <c r="AM67" i="38" s="1"/>
  <c r="AM68" i="38" s="1"/>
  <c r="AM69" i="38" s="1"/>
  <c r="AM70" i="38" s="1"/>
  <c r="AD68" i="38"/>
  <c r="AL68" i="38" s="1"/>
  <c r="D68" i="6" s="1"/>
  <c r="V68" i="38"/>
  <c r="Z70" i="38"/>
  <c r="Y70" i="38" s="1"/>
  <c r="AR70" i="38"/>
  <c r="D69" i="7"/>
  <c r="B69" i="7"/>
  <c r="A93" i="24"/>
  <c r="AQ71" i="38"/>
  <c r="D71" i="38"/>
  <c r="A72" i="38"/>
  <c r="AK71" i="38"/>
  <c r="A70" i="7"/>
  <c r="B71" i="38"/>
  <c r="C72" i="38"/>
  <c r="C70" i="7"/>
  <c r="AV71" i="38"/>
  <c r="AZ70" i="7"/>
  <c r="V69" i="38" l="1"/>
  <c r="AH69" i="38" s="1"/>
  <c r="AD69" i="38"/>
  <c r="AS68" i="38"/>
  <c r="AG68" i="38"/>
  <c r="E67" i="7"/>
  <c r="F67" i="7" s="1"/>
  <c r="AA68" i="38"/>
  <c r="AI68" i="38"/>
  <c r="AJ68" i="38"/>
  <c r="AH68" i="38"/>
  <c r="AB68" i="38"/>
  <c r="AM71" i="38"/>
  <c r="Z71" i="38"/>
  <c r="Y71" i="38" s="1"/>
  <c r="AR71" i="38"/>
  <c r="AQ72" i="38"/>
  <c r="AK72" i="38"/>
  <c r="A71" i="7"/>
  <c r="D72" i="38"/>
  <c r="A73" i="38"/>
  <c r="B72" i="38"/>
  <c r="A94" i="24"/>
  <c r="B70" i="7"/>
  <c r="D70" i="7"/>
  <c r="C71" i="7"/>
  <c r="C73" i="38"/>
  <c r="AZ71" i="7"/>
  <c r="AV72" i="38"/>
  <c r="AD70" i="38" l="1"/>
  <c r="AL70" i="38" s="1"/>
  <c r="D70" i="6" s="1"/>
  <c r="AG69" i="38"/>
  <c r="E68" i="7"/>
  <c r="F68" i="7" s="1"/>
  <c r="AI69" i="38"/>
  <c r="AA69" i="38"/>
  <c r="AT69" i="38" s="1"/>
  <c r="E69" i="38" s="1"/>
  <c r="AB69" i="38"/>
  <c r="AJ69" i="38"/>
  <c r="V70" i="38"/>
  <c r="AS69" i="38"/>
  <c r="AL69" i="38"/>
  <c r="D69" i="6" s="1"/>
  <c r="AT68" i="38"/>
  <c r="E68" i="38" s="1"/>
  <c r="B68" i="6"/>
  <c r="AE68" i="38"/>
  <c r="AM72" i="38"/>
  <c r="Z72" i="38"/>
  <c r="Y72" i="38" s="1"/>
  <c r="A72" i="7"/>
  <c r="AK73" i="38"/>
  <c r="A95" i="24"/>
  <c r="D73" i="38"/>
  <c r="B73" i="38"/>
  <c r="A74" i="38"/>
  <c r="AQ73" i="38"/>
  <c r="AR72" i="38"/>
  <c r="B71" i="7"/>
  <c r="D71" i="7"/>
  <c r="C74" i="38"/>
  <c r="C72" i="7"/>
  <c r="AZ72" i="7"/>
  <c r="AV73" i="38"/>
  <c r="AE69" i="38" l="1"/>
  <c r="B69" i="6"/>
  <c r="V71" i="38"/>
  <c r="AB71" i="38" s="1"/>
  <c r="AD71" i="38"/>
  <c r="AG70" i="38"/>
  <c r="AS70" i="38"/>
  <c r="E69" i="7"/>
  <c r="F69" i="7" s="1"/>
  <c r="AA70" i="38"/>
  <c r="AT70" i="38" s="1"/>
  <c r="E70" i="38" s="1"/>
  <c r="AB70" i="38"/>
  <c r="AJ70" i="38"/>
  <c r="AH70" i="38"/>
  <c r="AI70" i="38"/>
  <c r="AM73" i="38"/>
  <c r="AR73" i="38"/>
  <c r="D72" i="7"/>
  <c r="B72" i="7"/>
  <c r="D74" i="38"/>
  <c r="AK74" i="38"/>
  <c r="A73" i="7"/>
  <c r="AQ74" i="38"/>
  <c r="A75" i="38"/>
  <c r="A96" i="24"/>
  <c r="B74" i="38"/>
  <c r="Y73" i="38"/>
  <c r="Z73" i="38"/>
  <c r="C73" i="7"/>
  <c r="C75" i="38"/>
  <c r="AV74" i="38"/>
  <c r="AZ73" i="7"/>
  <c r="AG71" i="38" l="1"/>
  <c r="E70" i="7"/>
  <c r="F70" i="7" s="1"/>
  <c r="AJ71" i="38"/>
  <c r="AH71" i="38"/>
  <c r="AI71" i="38"/>
  <c r="AA71" i="38"/>
  <c r="AT71" i="38" s="1"/>
  <c r="E71" i="38" s="1"/>
  <c r="AD72" i="38"/>
  <c r="AL74" i="38" s="1"/>
  <c r="D74" i="6" s="1"/>
  <c r="V72" i="38"/>
  <c r="AS71" i="38"/>
  <c r="AL71" i="38"/>
  <c r="D71" i="6" s="1"/>
  <c r="B70" i="6"/>
  <c r="AE70" i="38"/>
  <c r="AM74" i="38"/>
  <c r="AR74" i="38"/>
  <c r="AB73" i="38"/>
  <c r="AI73" i="38"/>
  <c r="AJ73" i="38"/>
  <c r="AH73" i="38"/>
  <c r="AA73" i="38"/>
  <c r="AT73" i="38" s="1"/>
  <c r="E73" i="38" s="1"/>
  <c r="A97" i="24"/>
  <c r="B75" i="38"/>
  <c r="A76" i="38"/>
  <c r="AQ75" i="38"/>
  <c r="AK75" i="38"/>
  <c r="D75" i="38"/>
  <c r="A74" i="7"/>
  <c r="B73" i="7"/>
  <c r="D73" i="7"/>
  <c r="Z74" i="38"/>
  <c r="Y74" i="38"/>
  <c r="C74" i="7"/>
  <c r="C76" i="38"/>
  <c r="AZ74" i="7"/>
  <c r="AV75" i="38"/>
  <c r="B71" i="6" l="1"/>
  <c r="AE71" i="38"/>
  <c r="AL72" i="38"/>
  <c r="D72" i="6" s="1"/>
  <c r="AL73" i="38"/>
  <c r="D73" i="6" s="1"/>
  <c r="AS72" i="38"/>
  <c r="E71" i="7"/>
  <c r="F71" i="7" s="1"/>
  <c r="AG72" i="38"/>
  <c r="AI72" i="38"/>
  <c r="AH72" i="38"/>
  <c r="AB72" i="38"/>
  <c r="AJ72" i="38"/>
  <c r="AA72" i="38"/>
  <c r="AT72" i="38" s="1"/>
  <c r="E72" i="38" s="1"/>
  <c r="AM75" i="38"/>
  <c r="D74" i="7"/>
  <c r="B74" i="7"/>
  <c r="D76" i="38"/>
  <c r="AK76" i="38"/>
  <c r="AQ76" i="38"/>
  <c r="B76" i="38"/>
  <c r="A75" i="7"/>
  <c r="A77" i="38"/>
  <c r="A98" i="24"/>
  <c r="Z75" i="38"/>
  <c r="Y75" i="38" s="1"/>
  <c r="AB74" i="38"/>
  <c r="AI74" i="38"/>
  <c r="AJ74" i="38"/>
  <c r="AH74" i="38"/>
  <c r="AA74" i="38"/>
  <c r="AT74" i="38" s="1"/>
  <c r="E74" i="38" s="1"/>
  <c r="AR75" i="38"/>
  <c r="C77" i="38"/>
  <c r="C75" i="7"/>
  <c r="AZ75" i="7"/>
  <c r="AV76" i="38"/>
  <c r="B72" i="6" l="1"/>
  <c r="B73" i="6" s="1"/>
  <c r="B74" i="6" s="1"/>
  <c r="AE72" i="38"/>
  <c r="AE73" i="38" s="1"/>
  <c r="AE74" i="38" s="1"/>
  <c r="AM76" i="38"/>
  <c r="B77" i="38"/>
  <c r="AK77" i="38"/>
  <c r="A76" i="7"/>
  <c r="D77" i="38"/>
  <c r="A99" i="24"/>
  <c r="AQ77" i="38"/>
  <c r="A78" i="38"/>
  <c r="Z76" i="38"/>
  <c r="Y76" i="38" s="1"/>
  <c r="AR76" i="38"/>
  <c r="D75" i="7"/>
  <c r="B75" i="7"/>
  <c r="C76" i="7"/>
  <c r="C78" i="38"/>
  <c r="AZ76" i="7"/>
  <c r="AV77" i="38"/>
  <c r="V75" i="38" l="1"/>
  <c r="AH75" i="38" s="1"/>
  <c r="AD75" i="38"/>
  <c r="AM77" i="38"/>
  <c r="AR77" i="38"/>
  <c r="B78" i="38"/>
  <c r="A100" i="24"/>
  <c r="A79" i="38"/>
  <c r="AK78" i="38"/>
  <c r="A77" i="7"/>
  <c r="AQ78" i="38"/>
  <c r="D78" i="38"/>
  <c r="D76" i="7"/>
  <c r="B76" i="7"/>
  <c r="Z77" i="38"/>
  <c r="Y77" i="38" s="1"/>
  <c r="C79" i="38"/>
  <c r="C77" i="7"/>
  <c r="AZ77" i="7"/>
  <c r="AV78" i="38"/>
  <c r="AI75" i="38" l="1"/>
  <c r="AA75" i="38"/>
  <c r="AT75" i="38" s="1"/>
  <c r="E75" i="38" s="1"/>
  <c r="AB75" i="38"/>
  <c r="AG75" i="38"/>
  <c r="E74" i="7"/>
  <c r="F74" i="7" s="1"/>
  <c r="AJ75" i="38"/>
  <c r="V76" i="38"/>
  <c r="AB76" i="38" s="1"/>
  <c r="AD76" i="38"/>
  <c r="AL76" i="38" s="1"/>
  <c r="D76" i="6" s="1"/>
  <c r="AS75" i="38"/>
  <c r="AL75" i="38"/>
  <c r="D75" i="6" s="1"/>
  <c r="AM78" i="38"/>
  <c r="AQ79" i="38"/>
  <c r="A101" i="24"/>
  <c r="A80" i="38"/>
  <c r="AK79" i="38"/>
  <c r="A78" i="7"/>
  <c r="B79" i="38"/>
  <c r="D79" i="38"/>
  <c r="D77" i="7"/>
  <c r="B77" i="7"/>
  <c r="Z78" i="38"/>
  <c r="Y78" i="38" s="1"/>
  <c r="AR78" i="38"/>
  <c r="C80" i="38"/>
  <c r="C78" i="7"/>
  <c r="AZ78" i="7"/>
  <c r="AV79" i="38"/>
  <c r="AA76" i="38" l="1"/>
  <c r="AT76" i="38" s="1"/>
  <c r="E76" i="38" s="1"/>
  <c r="B75" i="6"/>
  <c r="AE75" i="38"/>
  <c r="AH76" i="38"/>
  <c r="AI76" i="38"/>
  <c r="AG76" i="38"/>
  <c r="E75" i="7"/>
  <c r="F75" i="7" s="1"/>
  <c r="AJ76" i="38"/>
  <c r="AS76" i="38"/>
  <c r="AD77" i="38"/>
  <c r="AL77" i="38" s="1"/>
  <c r="D77" i="6" s="1"/>
  <c r="AD78" i="38"/>
  <c r="V77" i="38"/>
  <c r="AM79" i="38"/>
  <c r="AR79" i="38"/>
  <c r="D78" i="7"/>
  <c r="B78" i="7"/>
  <c r="A81" i="38"/>
  <c r="D80" i="38"/>
  <c r="AQ80" i="38"/>
  <c r="AK80" i="38"/>
  <c r="A79" i="7"/>
  <c r="A102" i="24"/>
  <c r="B80" i="38"/>
  <c r="Z79" i="38"/>
  <c r="Y79" i="38" s="1"/>
  <c r="C81" i="38"/>
  <c r="C79" i="7"/>
  <c r="AV80" i="38"/>
  <c r="AZ79" i="7"/>
  <c r="AE76" i="38" l="1"/>
  <c r="B76" i="6"/>
  <c r="AL78" i="38"/>
  <c r="D78" i="6" s="1"/>
  <c r="V78" i="38"/>
  <c r="AG77" i="38"/>
  <c r="AS77" i="38"/>
  <c r="E76" i="7"/>
  <c r="F76" i="7" s="1"/>
  <c r="AH77" i="38"/>
  <c r="AA77" i="38"/>
  <c r="AB77" i="38"/>
  <c r="AI77" i="38"/>
  <c r="AJ77" i="38"/>
  <c r="AM80" i="38"/>
  <c r="AR80" i="38"/>
  <c r="Z80" i="38"/>
  <c r="Y80" i="38"/>
  <c r="B79" i="7"/>
  <c r="D79" i="7"/>
  <c r="AQ81" i="38"/>
  <c r="B81" i="38"/>
  <c r="D81" i="38"/>
  <c r="AK81" i="38"/>
  <c r="A82" i="38"/>
  <c r="A80" i="7"/>
  <c r="A103" i="24"/>
  <c r="C82" i="38"/>
  <c r="C80" i="7"/>
  <c r="AZ80" i="7"/>
  <c r="AV81" i="38"/>
  <c r="AD79" i="38" l="1"/>
  <c r="AL80" i="38" s="1"/>
  <c r="D80" i="6" s="1"/>
  <c r="V79" i="38"/>
  <c r="E77" i="7"/>
  <c r="F77" i="7" s="1"/>
  <c r="AS78" i="38"/>
  <c r="AG78" i="38"/>
  <c r="AB78" i="38"/>
  <c r="AJ78" i="38"/>
  <c r="AA78" i="38"/>
  <c r="AT78" i="38" s="1"/>
  <c r="E78" i="38" s="1"/>
  <c r="AI78" i="38"/>
  <c r="AH78" i="38"/>
  <c r="AT77" i="38"/>
  <c r="E77" i="38" s="1"/>
  <c r="B77" i="6"/>
  <c r="AE77" i="38"/>
  <c r="AM81" i="38"/>
  <c r="AR81" i="38"/>
  <c r="Y81" i="38"/>
  <c r="Z81" i="38"/>
  <c r="AH80" i="38"/>
  <c r="AI80" i="38"/>
  <c r="AJ80" i="38"/>
  <c r="AA80" i="38"/>
  <c r="AT80" i="38" s="1"/>
  <c r="E80" i="38" s="1"/>
  <c r="AB80" i="38"/>
  <c r="A104" i="24"/>
  <c r="AK82" i="38"/>
  <c r="D82" i="38"/>
  <c r="AQ82" i="38"/>
  <c r="A81" i="7"/>
  <c r="A83" i="38"/>
  <c r="B82" i="38"/>
  <c r="D80" i="7"/>
  <c r="B80" i="7"/>
  <c r="C81" i="7"/>
  <c r="C83" i="38"/>
  <c r="AZ81" i="7"/>
  <c r="AV82" i="38"/>
  <c r="AL79" i="38" l="1"/>
  <c r="D79" i="6" s="1"/>
  <c r="AL81" i="38"/>
  <c r="D81" i="6" s="1"/>
  <c r="AS79" i="38"/>
  <c r="AG79" i="38"/>
  <c r="E78" i="7"/>
  <c r="F78" i="7" s="1"/>
  <c r="AA79" i="38"/>
  <c r="AT79" i="38" s="1"/>
  <c r="E79" i="38" s="1"/>
  <c r="AJ79" i="38"/>
  <c r="AI79" i="38"/>
  <c r="AB79" i="38"/>
  <c r="AH79" i="38"/>
  <c r="B78" i="6"/>
  <c r="AE78" i="38"/>
  <c r="AM82" i="38"/>
  <c r="AR82" i="38"/>
  <c r="AQ83" i="38"/>
  <c r="A84" i="38"/>
  <c r="A105" i="24"/>
  <c r="AK83" i="38"/>
  <c r="A82" i="7"/>
  <c r="B83" i="38"/>
  <c r="D83" i="38"/>
  <c r="Z82" i="38"/>
  <c r="Y82" i="38" s="1"/>
  <c r="AB81" i="38"/>
  <c r="AJ81" i="38"/>
  <c r="AH81" i="38"/>
  <c r="AA81" i="38"/>
  <c r="AT81" i="38" s="1"/>
  <c r="E81" i="38" s="1"/>
  <c r="AI81" i="38"/>
  <c r="D81" i="7"/>
  <c r="B81" i="7"/>
  <c r="C82" i="7"/>
  <c r="C84" i="38"/>
  <c r="AV83" i="38"/>
  <c r="AZ82" i="7"/>
  <c r="AE79" i="38" l="1"/>
  <c r="AE80" i="38" s="1"/>
  <c r="AE81" i="38" s="1"/>
  <c r="B79" i="6"/>
  <c r="B80" i="6" s="1"/>
  <c r="B81" i="6" s="1"/>
  <c r="AM83" i="38"/>
  <c r="B82" i="7"/>
  <c r="D82" i="7"/>
  <c r="A106" i="24"/>
  <c r="AQ84" i="38"/>
  <c r="A83" i="7"/>
  <c r="A85" i="38"/>
  <c r="B84" i="38"/>
  <c r="D84" i="38"/>
  <c r="AK84" i="38"/>
  <c r="Z83" i="38"/>
  <c r="Y83" i="38" s="1"/>
  <c r="AR83" i="38"/>
  <c r="C83" i="7"/>
  <c r="C85" i="38"/>
  <c r="AV84" i="38"/>
  <c r="AZ83" i="7"/>
  <c r="AD82" i="38" l="1"/>
  <c r="AL82" i="38" s="1"/>
  <c r="D82" i="6" s="1"/>
  <c r="V83" i="38"/>
  <c r="V82" i="38"/>
  <c r="AM84" i="38"/>
  <c r="AR84" i="38"/>
  <c r="AQ85" i="38"/>
  <c r="A84" i="7"/>
  <c r="D85" i="38"/>
  <c r="A107" i="24"/>
  <c r="A86" i="38"/>
  <c r="AK85" i="38"/>
  <c r="B85" i="38"/>
  <c r="Z84" i="38"/>
  <c r="Y84" i="38" s="1"/>
  <c r="B83" i="7"/>
  <c r="D83" i="7"/>
  <c r="C84" i="7"/>
  <c r="C86" i="38"/>
  <c r="AZ84" i="7"/>
  <c r="AV85" i="38"/>
  <c r="AI83" i="38" l="1"/>
  <c r="AH83" i="38"/>
  <c r="AJ83" i="38"/>
  <c r="AB83" i="38"/>
  <c r="AA83" i="38"/>
  <c r="AG83" i="38"/>
  <c r="E82" i="7"/>
  <c r="F82" i="7" s="1"/>
  <c r="AD83" i="38"/>
  <c r="AG82" i="38"/>
  <c r="E81" i="7"/>
  <c r="F81" i="7" s="1"/>
  <c r="AS82" i="38"/>
  <c r="AI82" i="38"/>
  <c r="AA82" i="38"/>
  <c r="AH82" i="38"/>
  <c r="AJ82" i="38"/>
  <c r="AB82" i="38"/>
  <c r="AM85" i="38"/>
  <c r="AR85" i="38"/>
  <c r="Z85" i="38"/>
  <c r="Y85" i="38" s="1"/>
  <c r="D84" i="7"/>
  <c r="B84" i="7"/>
  <c r="B86" i="38"/>
  <c r="A87" i="38"/>
  <c r="A85" i="7"/>
  <c r="AK86" i="38"/>
  <c r="A108" i="24"/>
  <c r="D86" i="38"/>
  <c r="AQ86" i="38"/>
  <c r="C85" i="7"/>
  <c r="C87" i="38"/>
  <c r="AV86" i="38"/>
  <c r="AZ85" i="7"/>
  <c r="AD84" i="38" l="1"/>
  <c r="AL84" i="38" s="1"/>
  <c r="D84" i="6" s="1"/>
  <c r="V84" i="38"/>
  <c r="AS83" i="38"/>
  <c r="AL83" i="38"/>
  <c r="D83" i="6" s="1"/>
  <c r="AT83" i="38"/>
  <c r="E83" i="38" s="1"/>
  <c r="AT82" i="38"/>
  <c r="E82" i="38" s="1"/>
  <c r="AE82" i="38"/>
  <c r="AE83" i="38" s="1"/>
  <c r="B82" i="6"/>
  <c r="B83" i="6" s="1"/>
  <c r="AM86" i="38"/>
  <c r="Z86" i="38"/>
  <c r="Y86" i="38"/>
  <c r="B85" i="7"/>
  <c r="D85" i="7"/>
  <c r="A88" i="38"/>
  <c r="B87" i="38"/>
  <c r="A86" i="7"/>
  <c r="D87" i="38"/>
  <c r="A109" i="24"/>
  <c r="AK87" i="38"/>
  <c r="AQ87" i="38"/>
  <c r="AR86" i="38"/>
  <c r="C86" i="7"/>
  <c r="C88" i="38"/>
  <c r="AZ86" i="7"/>
  <c r="AV87" i="38"/>
  <c r="AD85" i="38" l="1"/>
  <c r="AL88" i="38" s="1"/>
  <c r="D88" i="6" s="1"/>
  <c r="V85" i="38"/>
  <c r="AS84" i="38"/>
  <c r="AG84" i="38"/>
  <c r="E83" i="7"/>
  <c r="F83" i="7" s="1"/>
  <c r="AH84" i="38"/>
  <c r="AJ84" i="38"/>
  <c r="AI84" i="38"/>
  <c r="AB84" i="38"/>
  <c r="AA84" i="38"/>
  <c r="AT84" i="38" s="1"/>
  <c r="E84" i="38" s="1"/>
  <c r="AM87" i="38"/>
  <c r="AR87" i="38"/>
  <c r="Z87" i="38"/>
  <c r="Y87" i="38"/>
  <c r="AJ86" i="38"/>
  <c r="AB86" i="38"/>
  <c r="AI86" i="38"/>
  <c r="AA86" i="38"/>
  <c r="AT86" i="38" s="1"/>
  <c r="E86" i="38" s="1"/>
  <c r="AH86" i="38"/>
  <c r="D88" i="38"/>
  <c r="B88" i="38"/>
  <c r="AQ88" i="38"/>
  <c r="A87" i="7"/>
  <c r="AK88" i="38"/>
  <c r="A110" i="24"/>
  <c r="A89" i="38"/>
  <c r="D86" i="7"/>
  <c r="B86" i="7"/>
  <c r="C87" i="7"/>
  <c r="C89" i="38"/>
  <c r="AZ87" i="7"/>
  <c r="AV88" i="38"/>
  <c r="AL85" i="38" l="1"/>
  <c r="D85" i="6" s="1"/>
  <c r="AL86" i="38"/>
  <c r="D86" i="6" s="1"/>
  <c r="AL87" i="38"/>
  <c r="D87" i="6" s="1"/>
  <c r="AG85" i="38"/>
  <c r="E84" i="7"/>
  <c r="F84" i="7" s="1"/>
  <c r="AI85" i="38"/>
  <c r="AH85" i="38"/>
  <c r="AB85" i="38"/>
  <c r="AA85" i="38"/>
  <c r="AT85" i="38" s="1"/>
  <c r="E85" i="38" s="1"/>
  <c r="AJ85" i="38"/>
  <c r="AS85" i="38"/>
  <c r="AE84" i="38"/>
  <c r="B84" i="6"/>
  <c r="AM88" i="38"/>
  <c r="B87" i="7"/>
  <c r="D87" i="7"/>
  <c r="A90" i="38"/>
  <c r="B89" i="38"/>
  <c r="AK89" i="38"/>
  <c r="D89" i="38"/>
  <c r="A88" i="7"/>
  <c r="AQ89" i="38"/>
  <c r="A111" i="24"/>
  <c r="AJ87" i="38"/>
  <c r="AB87" i="38"/>
  <c r="AA87" i="38"/>
  <c r="AT87" i="38" s="1"/>
  <c r="E87" i="38" s="1"/>
  <c r="AH87" i="38"/>
  <c r="AI87" i="38"/>
  <c r="Z88" i="38"/>
  <c r="Y88" i="38"/>
  <c r="AR88" i="38"/>
  <c r="C90" i="38"/>
  <c r="C88" i="7"/>
  <c r="AZ88" i="7"/>
  <c r="AV89" i="38"/>
  <c r="B85" i="6" l="1"/>
  <c r="B86" i="6" s="1"/>
  <c r="B87" i="6" s="1"/>
  <c r="AE85" i="38"/>
  <c r="AE86" i="38" s="1"/>
  <c r="AE87" i="38" s="1"/>
  <c r="AM89" i="38"/>
  <c r="B88" i="7"/>
  <c r="D88" i="7"/>
  <c r="AQ90" i="38"/>
  <c r="A112" i="24"/>
  <c r="A89" i="7"/>
  <c r="B90" i="38"/>
  <c r="A91" i="38"/>
  <c r="D90" i="38"/>
  <c r="AK90" i="38"/>
  <c r="AR89" i="38"/>
  <c r="Z89" i="38"/>
  <c r="Y89" i="38" s="1"/>
  <c r="AH88" i="38"/>
  <c r="AI88" i="38"/>
  <c r="AB88" i="38"/>
  <c r="AA88" i="38"/>
  <c r="AT88" i="38" s="1"/>
  <c r="E88" i="38" s="1"/>
  <c r="AJ88" i="38"/>
  <c r="C89" i="7"/>
  <c r="C91" i="38"/>
  <c r="AZ89" i="7"/>
  <c r="AV90" i="38"/>
  <c r="AE88" i="38" l="1"/>
  <c r="AM90" i="38"/>
  <c r="B88" i="6"/>
  <c r="G25" i="23"/>
  <c r="F25" i="23" s="1"/>
  <c r="AR90" i="38"/>
  <c r="A90" i="7"/>
  <c r="AK91" i="38"/>
  <c r="B91" i="38"/>
  <c r="AQ91" i="38"/>
  <c r="A113" i="24"/>
  <c r="D91" i="38"/>
  <c r="A92" i="38"/>
  <c r="Z90" i="38"/>
  <c r="Y90" i="38" s="1"/>
  <c r="B89" i="7"/>
  <c r="D89" i="7"/>
  <c r="C92" i="38"/>
  <c r="C90" i="7"/>
  <c r="AV91" i="38"/>
  <c r="AZ90" i="7"/>
  <c r="AD89" i="38" l="1"/>
  <c r="AL89" i="38" s="1"/>
  <c r="D89" i="6" s="1"/>
  <c r="V89" i="38"/>
  <c r="AM91" i="38"/>
  <c r="A93" i="38"/>
  <c r="A91" i="7"/>
  <c r="A114" i="24"/>
  <c r="D92" i="38"/>
  <c r="AQ92" i="38"/>
  <c r="B92" i="38"/>
  <c r="AK92" i="38"/>
  <c r="D90" i="7"/>
  <c r="B90" i="7"/>
  <c r="Z91" i="38"/>
  <c r="Y91" i="38" s="1"/>
  <c r="AR91" i="38"/>
  <c r="C93" i="38"/>
  <c r="C91" i="7"/>
  <c r="AV92" i="38"/>
  <c r="AZ91" i="7"/>
  <c r="AD90" i="38" l="1"/>
  <c r="AL90" i="38" s="1"/>
  <c r="D90" i="6" s="1"/>
  <c r="V90" i="38"/>
  <c r="AG89" i="38"/>
  <c r="AS89" i="38"/>
  <c r="E88" i="7"/>
  <c r="F88" i="7" s="1"/>
  <c r="AJ89" i="38"/>
  <c r="AI89" i="38"/>
  <c r="AB89" i="38"/>
  <c r="AA89" i="38"/>
  <c r="AH89" i="38"/>
  <c r="AM92" i="38"/>
  <c r="AR92" i="38"/>
  <c r="Z92" i="38"/>
  <c r="Y92" i="38" s="1"/>
  <c r="B91" i="7"/>
  <c r="D91" i="7"/>
  <c r="A115" i="24"/>
  <c r="AK93" i="38"/>
  <c r="B93" i="38"/>
  <c r="D93" i="38"/>
  <c r="A92" i="7"/>
  <c r="A94" i="38"/>
  <c r="AQ93" i="38"/>
  <c r="C94" i="38"/>
  <c r="C92" i="7"/>
  <c r="AV93" i="38"/>
  <c r="AZ92" i="7"/>
  <c r="AD91" i="38" l="1"/>
  <c r="AL91" i="38" s="1"/>
  <c r="D91" i="6" s="1"/>
  <c r="V92" i="38"/>
  <c r="V91" i="38"/>
  <c r="AS90" i="38"/>
  <c r="AG90" i="38"/>
  <c r="E89" i="7"/>
  <c r="F89" i="7" s="1"/>
  <c r="AI90" i="38"/>
  <c r="AJ90" i="38"/>
  <c r="AB90" i="38"/>
  <c r="AA90" i="38"/>
  <c r="AT90" i="38" s="1"/>
  <c r="E90" i="38" s="1"/>
  <c r="AH90" i="38"/>
  <c r="AT89" i="38"/>
  <c r="E89" i="38" s="1"/>
  <c r="AE89" i="38"/>
  <c r="B89" i="6"/>
  <c r="AM93" i="38"/>
  <c r="AR93" i="38"/>
  <c r="AQ94" i="38"/>
  <c r="AK94" i="38"/>
  <c r="D94" i="38"/>
  <c r="A116" i="24"/>
  <c r="A93" i="7"/>
  <c r="A95" i="38"/>
  <c r="B94" i="38"/>
  <c r="Z93" i="38"/>
  <c r="Y93" i="38"/>
  <c r="B92" i="7"/>
  <c r="D92" i="7"/>
  <c r="C93" i="7"/>
  <c r="C95" i="38"/>
  <c r="AV94" i="38"/>
  <c r="AZ93" i="7"/>
  <c r="AD92" i="38" l="1"/>
  <c r="AG92" i="38"/>
  <c r="E91" i="7"/>
  <c r="F91" i="7" s="1"/>
  <c r="AA92" i="38"/>
  <c r="AJ92" i="38"/>
  <c r="AB92" i="38"/>
  <c r="AH92" i="38"/>
  <c r="AI92" i="38"/>
  <c r="AG91" i="38"/>
  <c r="E90" i="7"/>
  <c r="F90" i="7" s="1"/>
  <c r="AS91" i="38"/>
  <c r="AB91" i="38"/>
  <c r="AI91" i="38"/>
  <c r="AH91" i="38"/>
  <c r="AA91" i="38"/>
  <c r="AT91" i="38" s="1"/>
  <c r="E91" i="38" s="1"/>
  <c r="AJ91" i="38"/>
  <c r="B90" i="6"/>
  <c r="AE90" i="38"/>
  <c r="AM94" i="38"/>
  <c r="AR94" i="38"/>
  <c r="AQ95" i="38"/>
  <c r="D95" i="38"/>
  <c r="B95" i="38"/>
  <c r="AK95" i="38"/>
  <c r="A94" i="7"/>
  <c r="A117" i="24"/>
  <c r="A96" i="38"/>
  <c r="Y94" i="38"/>
  <c r="Z94" i="38"/>
  <c r="AH93" i="38"/>
  <c r="AA93" i="38"/>
  <c r="AT93" i="38" s="1"/>
  <c r="E93" i="38" s="1"/>
  <c r="AB93" i="38"/>
  <c r="AI93" i="38"/>
  <c r="AJ93" i="38"/>
  <c r="D93" i="7"/>
  <c r="B93" i="7"/>
  <c r="C94" i="7"/>
  <c r="C96" i="38"/>
  <c r="AV95" i="38"/>
  <c r="AZ94" i="7"/>
  <c r="AS92" i="38" l="1"/>
  <c r="AT92" i="38"/>
  <c r="E92" i="38" s="1"/>
  <c r="AL93" i="38"/>
  <c r="D93" i="6" s="1"/>
  <c r="AL94" i="38"/>
  <c r="D94" i="6" s="1"/>
  <c r="AL95" i="38"/>
  <c r="D95" i="6" s="1"/>
  <c r="AL92" i="38"/>
  <c r="D92" i="6" s="1"/>
  <c r="AE91" i="38"/>
  <c r="AE92" i="38" s="1"/>
  <c r="AE93" i="38" s="1"/>
  <c r="B91" i="6"/>
  <c r="B92" i="6" s="1"/>
  <c r="B93" i="6" s="1"/>
  <c r="AM95" i="38"/>
  <c r="AR95" i="38"/>
  <c r="Y95" i="38"/>
  <c r="Z95" i="38"/>
  <c r="A95" i="7"/>
  <c r="A118" i="24"/>
  <c r="AQ96" i="38"/>
  <c r="A97" i="38"/>
  <c r="AK96" i="38"/>
  <c r="D96" i="38"/>
  <c r="B96" i="38"/>
  <c r="AA94" i="38"/>
  <c r="AT94" i="38" s="1"/>
  <c r="E94" i="38" s="1"/>
  <c r="AB94" i="38"/>
  <c r="AJ94" i="38"/>
  <c r="AI94" i="38"/>
  <c r="AH94" i="38"/>
  <c r="B94" i="7"/>
  <c r="D94" i="7"/>
  <c r="C95" i="7"/>
  <c r="C97" i="38"/>
  <c r="AZ95" i="7"/>
  <c r="AV96" i="38"/>
  <c r="AE94" i="38" l="1"/>
  <c r="AR96" i="38"/>
  <c r="B94" i="6"/>
  <c r="A119" i="24"/>
  <c r="A96" i="7"/>
  <c r="B97" i="38"/>
  <c r="AK97" i="38"/>
  <c r="AQ97" i="38"/>
  <c r="D97" i="38"/>
  <c r="A98" i="38"/>
  <c r="AJ95" i="38"/>
  <c r="AB95" i="38"/>
  <c r="AI95" i="38"/>
  <c r="AH95" i="38"/>
  <c r="AA95" i="38"/>
  <c r="AT95" i="38" s="1"/>
  <c r="E95" i="38" s="1"/>
  <c r="Z96" i="38"/>
  <c r="Y96" i="38" s="1"/>
  <c r="D95" i="7"/>
  <c r="B95" i="7"/>
  <c r="C96" i="7"/>
  <c r="C98" i="38"/>
  <c r="AV97" i="38"/>
  <c r="AZ96" i="7"/>
  <c r="AE95" i="38" l="1"/>
  <c r="AM96" i="38" s="1"/>
  <c r="B96" i="7"/>
  <c r="D96" i="7"/>
  <c r="Z97" i="38"/>
  <c r="Y97" i="38" s="1"/>
  <c r="B95" i="6"/>
  <c r="D98" i="38"/>
  <c r="AK98" i="38"/>
  <c r="A99" i="38"/>
  <c r="AQ98" i="38"/>
  <c r="A97" i="7"/>
  <c r="A120" i="24"/>
  <c r="B98" i="38"/>
  <c r="AR97" i="38"/>
  <c r="C97" i="7"/>
  <c r="C99" i="38"/>
  <c r="AV98" i="38"/>
  <c r="AZ97" i="7"/>
  <c r="AD96" i="38" l="1"/>
  <c r="AL96" i="38" s="1"/>
  <c r="D96" i="6" s="1"/>
  <c r="V96" i="38"/>
  <c r="B97" i="7"/>
  <c r="D97" i="7"/>
  <c r="Z98" i="38"/>
  <c r="Y98" i="38" s="1"/>
  <c r="AR98" i="38"/>
  <c r="AQ99" i="38"/>
  <c r="D99" i="38"/>
  <c r="A100" i="38"/>
  <c r="AK99" i="38"/>
  <c r="A121" i="24"/>
  <c r="A98" i="7"/>
  <c r="B99" i="38"/>
  <c r="C98" i="7"/>
  <c r="C100" i="38"/>
  <c r="AV99" i="38"/>
  <c r="AZ98" i="7"/>
  <c r="AD98" i="38" l="1"/>
  <c r="AD97" i="38"/>
  <c r="V97" i="38"/>
  <c r="AG96" i="38"/>
  <c r="E95" i="7"/>
  <c r="F95" i="7" s="1"/>
  <c r="AS96" i="38"/>
  <c r="AI96" i="38"/>
  <c r="AB96" i="38"/>
  <c r="AJ96" i="38"/>
  <c r="AH96" i="38"/>
  <c r="AA96" i="38"/>
  <c r="AR99" i="38"/>
  <c r="Z99" i="38"/>
  <c r="Y99" i="38" s="1"/>
  <c r="D98" i="7"/>
  <c r="B98" i="7"/>
  <c r="A99" i="7"/>
  <c r="A101" i="38"/>
  <c r="D100" i="38"/>
  <c r="B100" i="38"/>
  <c r="AK100" i="38"/>
  <c r="A122" i="24"/>
  <c r="AQ100" i="38"/>
  <c r="C101" i="38"/>
  <c r="C99" i="7"/>
  <c r="AZ99" i="7"/>
  <c r="AV100" i="38"/>
  <c r="AS97" i="38" l="1"/>
  <c r="V98" i="38"/>
  <c r="AG98" i="38" s="1"/>
  <c r="AL97" i="38"/>
  <c r="D97" i="6" s="1"/>
  <c r="AL98" i="38"/>
  <c r="D98" i="6" s="1"/>
  <c r="E96" i="7"/>
  <c r="F96" i="7" s="1"/>
  <c r="AG97" i="38"/>
  <c r="AA97" i="38"/>
  <c r="AT97" i="38" s="1"/>
  <c r="E97" i="38" s="1"/>
  <c r="AI97" i="38"/>
  <c r="AB97" i="38"/>
  <c r="AH97" i="38"/>
  <c r="AJ97" i="38"/>
  <c r="AT96" i="38"/>
  <c r="E96" i="38" s="1"/>
  <c r="AE96" i="38"/>
  <c r="AM97" i="38" s="1"/>
  <c r="AM98" i="38" s="1"/>
  <c r="AM99" i="38" s="1"/>
  <c r="AM100" i="38" s="1"/>
  <c r="B96" i="6"/>
  <c r="AR100" i="38"/>
  <c r="AQ101" i="38"/>
  <c r="AK101" i="38"/>
  <c r="B101" i="38"/>
  <c r="A100" i="7"/>
  <c r="A123" i="24"/>
  <c r="D101" i="38"/>
  <c r="A102" i="38"/>
  <c r="Z100" i="38"/>
  <c r="Y100" i="38" s="1"/>
  <c r="D99" i="7"/>
  <c r="B99" i="7"/>
  <c r="C102" i="38"/>
  <c r="C100" i="7"/>
  <c r="AV101" i="38"/>
  <c r="AZ100" i="7"/>
  <c r="V99" i="38" l="1"/>
  <c r="AA99" i="38" s="1"/>
  <c r="AM101" i="38"/>
  <c r="E97" i="7"/>
  <c r="F97" i="7" s="1"/>
  <c r="AS98" i="38"/>
  <c r="AD99" i="38"/>
  <c r="AJ98" i="38"/>
  <c r="AH98" i="38"/>
  <c r="AA98" i="38"/>
  <c r="AT98" i="38" s="1"/>
  <c r="E98" i="38" s="1"/>
  <c r="AI98" i="38"/>
  <c r="AB98" i="38"/>
  <c r="B97" i="6"/>
  <c r="AE97" i="38"/>
  <c r="AR101" i="38"/>
  <c r="B100" i="7"/>
  <c r="D100" i="7"/>
  <c r="AQ102" i="38"/>
  <c r="A101" i="7"/>
  <c r="A124" i="24"/>
  <c r="AK102" i="38"/>
  <c r="B102" i="38"/>
  <c r="A103" i="38"/>
  <c r="D102" i="38"/>
  <c r="Z101" i="38"/>
  <c r="Y101" i="38"/>
  <c r="C103" i="38"/>
  <c r="C101" i="7"/>
  <c r="AV102" i="38"/>
  <c r="AZ101" i="7"/>
  <c r="AB99" i="38" l="1"/>
  <c r="AH99" i="38"/>
  <c r="AJ99" i="38"/>
  <c r="AD100" i="38"/>
  <c r="AL101" i="38" s="1"/>
  <c r="D101" i="6" s="1"/>
  <c r="AI99" i="38"/>
  <c r="E98" i="7"/>
  <c r="F98" i="7" s="1"/>
  <c r="AG99" i="38"/>
  <c r="AM102" i="38"/>
  <c r="AE98" i="38"/>
  <c r="AE99" i="38" s="1"/>
  <c r="B98" i="6"/>
  <c r="B99" i="6" s="1"/>
  <c r="V100" i="38"/>
  <c r="AS99" i="38"/>
  <c r="AL99" i="38"/>
  <c r="D99" i="6" s="1"/>
  <c r="AT99" i="38"/>
  <c r="E99" i="38" s="1"/>
  <c r="AR102" i="38"/>
  <c r="Y102" i="38"/>
  <c r="Z102" i="38"/>
  <c r="AJ101" i="38"/>
  <c r="AB101" i="38"/>
  <c r="AA101" i="38"/>
  <c r="AT101" i="38" s="1"/>
  <c r="E101" i="38" s="1"/>
  <c r="AI101" i="38"/>
  <c r="AH101" i="38"/>
  <c r="A125" i="24"/>
  <c r="D103" i="38"/>
  <c r="AQ103" i="38"/>
  <c r="AK103" i="38"/>
  <c r="A104" i="38"/>
  <c r="A102" i="7"/>
  <c r="B103" i="38"/>
  <c r="B101" i="7"/>
  <c r="D101" i="7"/>
  <c r="C102" i="7"/>
  <c r="C104" i="38"/>
  <c r="AV103" i="38"/>
  <c r="AZ102" i="7"/>
  <c r="AL102" i="38" l="1"/>
  <c r="D102" i="6" s="1"/>
  <c r="AL100" i="38"/>
  <c r="D100" i="6" s="1"/>
  <c r="AM103" i="38"/>
  <c r="AS100" i="38"/>
  <c r="E99" i="7"/>
  <c r="F99" i="7" s="1"/>
  <c r="AG100" i="38"/>
  <c r="AI100" i="38"/>
  <c r="AJ100" i="38"/>
  <c r="AH100" i="38"/>
  <c r="AA100" i="38"/>
  <c r="AB100" i="38"/>
  <c r="AR103" i="38"/>
  <c r="Z103" i="38"/>
  <c r="Y103" i="38" s="1"/>
  <c r="B102" i="7"/>
  <c r="D102" i="7"/>
  <c r="A126" i="24"/>
  <c r="AK104" i="38"/>
  <c r="B104" i="38"/>
  <c r="A103" i="7"/>
  <c r="AQ104" i="38"/>
  <c r="D104" i="38"/>
  <c r="A105" i="38"/>
  <c r="AA102" i="38"/>
  <c r="AT102" i="38" s="1"/>
  <c r="E102" i="38" s="1"/>
  <c r="AI102" i="38"/>
  <c r="AJ102" i="38"/>
  <c r="AH102" i="38"/>
  <c r="AB102" i="38"/>
  <c r="C103" i="7"/>
  <c r="C105" i="38"/>
  <c r="AV104" i="38"/>
  <c r="AZ103" i="7"/>
  <c r="AM104" i="38" l="1"/>
  <c r="AT100" i="38"/>
  <c r="E100" i="38" s="1"/>
  <c r="AE100" i="38"/>
  <c r="AE101" i="38" s="1"/>
  <c r="AE102" i="38" s="1"/>
  <c r="B100" i="6"/>
  <c r="B101" i="6" s="1"/>
  <c r="B102" i="6" s="1"/>
  <c r="Z104" i="38"/>
  <c r="Y104" i="38" s="1"/>
  <c r="AR104" i="38"/>
  <c r="B103" i="7"/>
  <c r="D103" i="7"/>
  <c r="AQ105" i="38"/>
  <c r="A104" i="7"/>
  <c r="AK105" i="38"/>
  <c r="A127" i="24"/>
  <c r="B105" i="38"/>
  <c r="D105" i="38"/>
  <c r="A106" i="38"/>
  <c r="C104" i="7"/>
  <c r="C106" i="38"/>
  <c r="AZ104" i="7"/>
  <c r="AV105" i="38"/>
  <c r="AM105" i="38" l="1"/>
  <c r="AD103" i="38"/>
  <c r="AL103" i="38" s="1"/>
  <c r="D103" i="6" s="1"/>
  <c r="AD104" i="38"/>
  <c r="V103" i="38"/>
  <c r="AR105" i="38"/>
  <c r="D106" i="38"/>
  <c r="A107" i="38"/>
  <c r="AK106" i="38"/>
  <c r="B106" i="38"/>
  <c r="A128" i="24"/>
  <c r="AQ106" i="38"/>
  <c r="A105" i="7"/>
  <c r="Z105" i="38"/>
  <c r="Y105" i="38" s="1"/>
  <c r="B104" i="7"/>
  <c r="D104" i="7"/>
  <c r="C107" i="38"/>
  <c r="C105" i="7"/>
  <c r="AZ105" i="7"/>
  <c r="AV106" i="38"/>
  <c r="AM106" i="38" l="1"/>
  <c r="V104" i="38"/>
  <c r="E103" i="7" s="1"/>
  <c r="F103" i="7" s="1"/>
  <c r="AL104" i="38"/>
  <c r="D104" i="6" s="1"/>
  <c r="AG103" i="38"/>
  <c r="E102" i="7"/>
  <c r="F102" i="7" s="1"/>
  <c r="AS103" i="38"/>
  <c r="AB103" i="38"/>
  <c r="AH103" i="38"/>
  <c r="AI103" i="38"/>
  <c r="AJ103" i="38"/>
  <c r="AA103" i="38"/>
  <c r="B107" i="38"/>
  <c r="AK107" i="38"/>
  <c r="D107" i="38"/>
  <c r="A129" i="24"/>
  <c r="A108" i="38"/>
  <c r="AQ107" i="38"/>
  <c r="A106" i="7"/>
  <c r="AR106" i="38"/>
  <c r="D105" i="7"/>
  <c r="B105" i="7"/>
  <c r="Z106" i="38"/>
  <c r="Y106" i="38" s="1"/>
  <c r="C106" i="7"/>
  <c r="C108" i="38"/>
  <c r="AZ106" i="7"/>
  <c r="AV107" i="38"/>
  <c r="AG104" i="38" l="1"/>
  <c r="AM107" i="38"/>
  <c r="AS104" i="38"/>
  <c r="AD105" i="38"/>
  <c r="AL105" i="38" s="1"/>
  <c r="D105" i="6" s="1"/>
  <c r="V105" i="38"/>
  <c r="AH104" i="38"/>
  <c r="AJ104" i="38"/>
  <c r="AI104" i="38"/>
  <c r="AA104" i="38"/>
  <c r="AT104" i="38" s="1"/>
  <c r="E104" i="38" s="1"/>
  <c r="AB104" i="38"/>
  <c r="AT103" i="38"/>
  <c r="E103" i="38" s="1"/>
  <c r="AE103" i="38"/>
  <c r="B103" i="6"/>
  <c r="AR107" i="38"/>
  <c r="B106" i="7"/>
  <c r="D106" i="7"/>
  <c r="Z107" i="38"/>
  <c r="Y107" i="38" s="1"/>
  <c r="AQ108" i="38"/>
  <c r="D108" i="38"/>
  <c r="B108" i="38"/>
  <c r="A109" i="38"/>
  <c r="A130" i="24"/>
  <c r="AK108" i="38"/>
  <c r="A107" i="7"/>
  <c r="C109" i="38"/>
  <c r="C107" i="7"/>
  <c r="AZ107" i="7"/>
  <c r="AV108" i="38"/>
  <c r="AM108" i="38" l="1"/>
  <c r="B104" i="6"/>
  <c r="AE104" i="38"/>
  <c r="V106" i="38"/>
  <c r="AH106" i="38" s="1"/>
  <c r="AD107" i="38"/>
  <c r="AD106" i="38"/>
  <c r="E104" i="7"/>
  <c r="F104" i="7" s="1"/>
  <c r="AG105" i="38"/>
  <c r="AS105" i="38"/>
  <c r="AB105" i="38"/>
  <c r="AJ105" i="38"/>
  <c r="AH105" i="38"/>
  <c r="AA105" i="38"/>
  <c r="AT105" i="38" s="1"/>
  <c r="E105" i="38" s="1"/>
  <c r="AI105" i="38"/>
  <c r="Z108" i="38"/>
  <c r="Y108" i="38"/>
  <c r="A110" i="38"/>
  <c r="D109" i="38"/>
  <c r="A108" i="7"/>
  <c r="AK109" i="38"/>
  <c r="A131" i="24"/>
  <c r="B109" i="38"/>
  <c r="AQ109" i="38"/>
  <c r="B107" i="7"/>
  <c r="D107" i="7"/>
  <c r="AR108" i="38"/>
  <c r="C108" i="7"/>
  <c r="C110" i="38"/>
  <c r="AV109" i="38"/>
  <c r="AZ108" i="7"/>
  <c r="AM109" i="38" l="1"/>
  <c r="AA106" i="38"/>
  <c r="AT106" i="38" s="1"/>
  <c r="E106" i="38" s="1"/>
  <c r="E105" i="7"/>
  <c r="F105" i="7" s="1"/>
  <c r="AJ106" i="38"/>
  <c r="AB106" i="38"/>
  <c r="AG106" i="38"/>
  <c r="AI106" i="38"/>
  <c r="V107" i="38"/>
  <c r="AL106" i="38"/>
  <c r="D106" i="6" s="1"/>
  <c r="AL109" i="38"/>
  <c r="D109" i="6" s="1"/>
  <c r="AL107" i="38"/>
  <c r="D107" i="6" s="1"/>
  <c r="AL108" i="38"/>
  <c r="D108" i="6" s="1"/>
  <c r="AS106" i="38"/>
  <c r="AE105" i="38"/>
  <c r="B105" i="6"/>
  <c r="B110" i="38"/>
  <c r="A132" i="24"/>
  <c r="A109" i="7"/>
  <c r="AK110" i="38"/>
  <c r="AQ110" i="38"/>
  <c r="D110" i="38"/>
  <c r="A111" i="38"/>
  <c r="AR109" i="38"/>
  <c r="Y109" i="38"/>
  <c r="Z109" i="38"/>
  <c r="AH108" i="38"/>
  <c r="AI108" i="38"/>
  <c r="AJ108" i="38"/>
  <c r="AB108" i="38"/>
  <c r="AA108" i="38"/>
  <c r="AT108" i="38" s="1"/>
  <c r="E108" i="38" s="1"/>
  <c r="D108" i="7"/>
  <c r="B108" i="7"/>
  <c r="C111" i="38"/>
  <c r="C109" i="7"/>
  <c r="AV110" i="38"/>
  <c r="AZ109" i="7"/>
  <c r="B106" i="6" l="1"/>
  <c r="AE106" i="38"/>
  <c r="AM110" i="38"/>
  <c r="AG107" i="38"/>
  <c r="AS107" i="38"/>
  <c r="E106" i="7"/>
  <c r="F106" i="7" s="1"/>
  <c r="AH107" i="38"/>
  <c r="AI107" i="38"/>
  <c r="AB107" i="38"/>
  <c r="AJ107" i="38"/>
  <c r="AA107" i="38"/>
  <c r="AT107" i="38" s="1"/>
  <c r="E107" i="38" s="1"/>
  <c r="AR110" i="38"/>
  <c r="Z110" i="38"/>
  <c r="Y110" i="38" s="1"/>
  <c r="A110" i="7"/>
  <c r="A133" i="24"/>
  <c r="AQ111" i="38"/>
  <c r="A112" i="38"/>
  <c r="AK111" i="38"/>
  <c r="B111" i="38"/>
  <c r="D111" i="38"/>
  <c r="D109" i="7"/>
  <c r="B109" i="7"/>
  <c r="AJ109" i="38"/>
  <c r="AH109" i="38"/>
  <c r="AI109" i="38"/>
  <c r="AA109" i="38"/>
  <c r="AT109" i="38" s="1"/>
  <c r="E109" i="38" s="1"/>
  <c r="AB109" i="38"/>
  <c r="C112" i="38"/>
  <c r="C110" i="7"/>
  <c r="AV111" i="38"/>
  <c r="AZ110" i="7"/>
  <c r="I13" i="23" l="1"/>
  <c r="H13" i="23" s="1"/>
  <c r="AM111" i="38"/>
  <c r="B107" i="6"/>
  <c r="B108" i="6" s="1"/>
  <c r="B109" i="6" s="1"/>
  <c r="AE107" i="38"/>
  <c r="AE108" i="38" s="1"/>
  <c r="AE109" i="38" s="1"/>
  <c r="AR111" i="38"/>
  <c r="Z111" i="38"/>
  <c r="Y111" i="38" s="1"/>
  <c r="D110" i="7"/>
  <c r="B110" i="7"/>
  <c r="A113" i="38"/>
  <c r="B112" i="38"/>
  <c r="A111" i="7"/>
  <c r="AQ112" i="38"/>
  <c r="D112" i="38"/>
  <c r="A134" i="24"/>
  <c r="AK112" i="38"/>
  <c r="C111" i="7"/>
  <c r="C113" i="38"/>
  <c r="AV112" i="38"/>
  <c r="AZ111" i="7"/>
  <c r="AM112" i="38" l="1"/>
  <c r="V110" i="38"/>
  <c r="AB110" i="38" s="1"/>
  <c r="V111" i="38"/>
  <c r="AJ111" i="38" s="1"/>
  <c r="AD110" i="38"/>
  <c r="AR112" i="38"/>
  <c r="Z112" i="38"/>
  <c r="Y112" i="38" s="1"/>
  <c r="B111" i="7"/>
  <c r="D111" i="7"/>
  <c r="B113" i="38"/>
  <c r="AQ113" i="38"/>
  <c r="A135" i="24"/>
  <c r="AK113" i="38"/>
  <c r="A112" i="7"/>
  <c r="D113" i="38"/>
  <c r="A114" i="38"/>
  <c r="C114" i="38"/>
  <c r="C112" i="7"/>
  <c r="AZ112" i="7"/>
  <c r="AV113" i="38"/>
  <c r="AM113" i="38" l="1"/>
  <c r="AA110" i="38"/>
  <c r="B110" i="6" s="1"/>
  <c r="AJ110" i="38"/>
  <c r="AI110" i="38"/>
  <c r="AH110" i="38"/>
  <c r="AG110" i="38"/>
  <c r="E109" i="7"/>
  <c r="F109" i="7" s="1"/>
  <c r="AB111" i="38"/>
  <c r="AH111" i="38"/>
  <c r="E110" i="7"/>
  <c r="F110" i="7" s="1"/>
  <c r="AG111" i="38"/>
  <c r="AI111" i="38"/>
  <c r="AA111" i="38"/>
  <c r="AD111" i="38"/>
  <c r="AS111" i="38" s="1"/>
  <c r="AS110" i="38"/>
  <c r="AL110" i="38"/>
  <c r="D110" i="6" s="1"/>
  <c r="AR113" i="38"/>
  <c r="B112" i="7"/>
  <c r="D112" i="7"/>
  <c r="Z113" i="38"/>
  <c r="Y113" i="38" s="1"/>
  <c r="A136" i="24"/>
  <c r="B114" i="38"/>
  <c r="AQ114" i="38"/>
  <c r="A113" i="7"/>
  <c r="A115" i="38"/>
  <c r="D114" i="38"/>
  <c r="AK114" i="38"/>
  <c r="C113" i="7"/>
  <c r="C115" i="38"/>
  <c r="AV114" i="38"/>
  <c r="AZ113" i="7"/>
  <c r="B111" i="6" l="1"/>
  <c r="AE110" i="38"/>
  <c r="AE111" i="38" s="1"/>
  <c r="AM114" i="38"/>
  <c r="AT110" i="38"/>
  <c r="E110" i="38" s="1"/>
  <c r="V112" i="38"/>
  <c r="AB112" i="38" s="1"/>
  <c r="AL111" i="38"/>
  <c r="D111" i="6" s="1"/>
  <c r="V113" i="38"/>
  <c r="AI113" i="38" s="1"/>
  <c r="AD112" i="38"/>
  <c r="AT111" i="38"/>
  <c r="E111" i="38" s="1"/>
  <c r="Y114" i="38"/>
  <c r="Z114" i="38"/>
  <c r="AQ115" i="38"/>
  <c r="AK115" i="38"/>
  <c r="B115" i="38"/>
  <c r="A116" i="38"/>
  <c r="A137" i="24"/>
  <c r="A114" i="7"/>
  <c r="D115" i="38"/>
  <c r="AR114" i="38"/>
  <c r="B113" i="7"/>
  <c r="D113" i="7"/>
  <c r="C116" i="38"/>
  <c r="C114" i="7"/>
  <c r="AV115" i="38"/>
  <c r="AZ114" i="7"/>
  <c r="AI112" i="38" l="1"/>
  <c r="AA112" i="38"/>
  <c r="B112" i="6" s="1"/>
  <c r="AG112" i="38"/>
  <c r="AH112" i="38"/>
  <c r="E111" i="7"/>
  <c r="F111" i="7" s="1"/>
  <c r="AJ112" i="38"/>
  <c r="AM115" i="38"/>
  <c r="AH113" i="38"/>
  <c r="AA113" i="38"/>
  <c r="AB113" i="38"/>
  <c r="AJ113" i="38"/>
  <c r="AG113" i="38"/>
  <c r="E112" i="7"/>
  <c r="F112" i="7" s="1"/>
  <c r="AD113" i="38"/>
  <c r="AS112" i="38"/>
  <c r="AL112" i="38"/>
  <c r="D112" i="6" s="1"/>
  <c r="AR115" i="38"/>
  <c r="D116" i="38"/>
  <c r="AK116" i="38"/>
  <c r="AQ116" i="38"/>
  <c r="A115" i="7"/>
  <c r="B116" i="38"/>
  <c r="A117" i="38"/>
  <c r="A138" i="24"/>
  <c r="B114" i="7"/>
  <c r="D114" i="7"/>
  <c r="Y115" i="38"/>
  <c r="Z115" i="38"/>
  <c r="AI114" i="38"/>
  <c r="AA114" i="38"/>
  <c r="AT114" i="38" s="1"/>
  <c r="E114" i="38" s="1"/>
  <c r="AJ114" i="38"/>
  <c r="AH114" i="38"/>
  <c r="AB114" i="38"/>
  <c r="C115" i="7"/>
  <c r="C117" i="38"/>
  <c r="AV116" i="38"/>
  <c r="AZ115" i="7"/>
  <c r="AT112" i="38" l="1"/>
  <c r="E112" i="38" s="1"/>
  <c r="B113" i="6"/>
  <c r="B114" i="6" s="1"/>
  <c r="AE112" i="38"/>
  <c r="AE113" i="38" s="1"/>
  <c r="AE114" i="38" s="1"/>
  <c r="AM116" i="38"/>
  <c r="AL116" i="38"/>
  <c r="D116" i="6" s="1"/>
  <c r="AL117" i="38"/>
  <c r="D117" i="6" s="1"/>
  <c r="AL113" i="38"/>
  <c r="D113" i="6" s="1"/>
  <c r="AL115" i="38"/>
  <c r="D115" i="6" s="1"/>
  <c r="AS113" i="38"/>
  <c r="AL114" i="38"/>
  <c r="D114" i="6" s="1"/>
  <c r="AT113" i="38"/>
  <c r="E113" i="38" s="1"/>
  <c r="AR116" i="38"/>
  <c r="AH115" i="38"/>
  <c r="AB115" i="38"/>
  <c r="AI115" i="38"/>
  <c r="AJ115" i="38"/>
  <c r="AA115" i="38"/>
  <c r="AT115" i="38" s="1"/>
  <c r="E115" i="38" s="1"/>
  <c r="D115" i="7"/>
  <c r="B115" i="7"/>
  <c r="A116" i="7"/>
  <c r="A139" i="24"/>
  <c r="AQ117" i="38"/>
  <c r="AK117" i="38"/>
  <c r="B117" i="38"/>
  <c r="A118" i="38"/>
  <c r="D117" i="38"/>
  <c r="Y116" i="38"/>
  <c r="Z116" i="38"/>
  <c r="C118" i="38"/>
  <c r="C116" i="7"/>
  <c r="AZ116" i="7"/>
  <c r="AV117" i="38"/>
  <c r="AM117" i="38" l="1"/>
  <c r="AE115" i="38"/>
  <c r="B115" i="6"/>
  <c r="AI116" i="38"/>
  <c r="AA116" i="38"/>
  <c r="AT116" i="38" s="1"/>
  <c r="E116" i="38" s="1"/>
  <c r="AH116" i="38"/>
  <c r="AJ116" i="38"/>
  <c r="AB116" i="38"/>
  <c r="AR117" i="38"/>
  <c r="B116" i="7"/>
  <c r="D116" i="7"/>
  <c r="Z117" i="38"/>
  <c r="Y117" i="38"/>
  <c r="A140" i="24"/>
  <c r="AQ118" i="38"/>
  <c r="B118" i="38"/>
  <c r="D118" i="38"/>
  <c r="A117" i="7"/>
  <c r="AK118" i="38"/>
  <c r="A119" i="38"/>
  <c r="C119" i="38"/>
  <c r="C117" i="7"/>
  <c r="AZ117" i="7"/>
  <c r="AV118" i="38"/>
  <c r="AM118" i="38" l="1"/>
  <c r="AE116" i="38"/>
  <c r="AR118" i="38"/>
  <c r="B116" i="6"/>
  <c r="D117" i="7"/>
  <c r="B117" i="7"/>
  <c r="D119" i="38"/>
  <c r="A120" i="38"/>
  <c r="A141" i="24"/>
  <c r="B119" i="38"/>
  <c r="A118" i="7"/>
  <c r="AQ119" i="38"/>
  <c r="AK119" i="38"/>
  <c r="AJ117" i="38"/>
  <c r="AA117" i="38"/>
  <c r="AT117" i="38" s="1"/>
  <c r="E117" i="38" s="1"/>
  <c r="AI117" i="38"/>
  <c r="AB117" i="38"/>
  <c r="AH117" i="38"/>
  <c r="Z118" i="38"/>
  <c r="Y118" i="38" s="1"/>
  <c r="C118" i="7"/>
  <c r="C120" i="38"/>
  <c r="AV119" i="38"/>
  <c r="AZ118" i="7"/>
  <c r="AM119" i="38" l="1"/>
  <c r="AE117" i="38"/>
  <c r="D118" i="7"/>
  <c r="B118" i="7"/>
  <c r="AR119" i="38"/>
  <c r="B117" i="6"/>
  <c r="Z119" i="38"/>
  <c r="Y119" i="38" s="1"/>
  <c r="A142" i="24"/>
  <c r="AQ120" i="38"/>
  <c r="A119" i="7"/>
  <c r="AK120" i="38"/>
  <c r="A121" i="38"/>
  <c r="B120" i="38"/>
  <c r="D120" i="38"/>
  <c r="C119" i="7"/>
  <c r="C121" i="38"/>
  <c r="AZ119" i="7"/>
  <c r="AV120" i="38"/>
  <c r="AM120" i="38" l="1"/>
  <c r="AD118" i="38"/>
  <c r="AL118" i="38" s="1"/>
  <c r="D118" i="6" s="1"/>
  <c r="V118" i="38"/>
  <c r="Z120" i="38"/>
  <c r="Y120" i="38" s="1"/>
  <c r="AR120" i="38"/>
  <c r="D119" i="7"/>
  <c r="B119" i="7"/>
  <c r="A143" i="24"/>
  <c r="D121" i="38"/>
  <c r="AM121" i="38" s="1"/>
  <c r="AK121" i="38"/>
  <c r="A122" i="38"/>
  <c r="A120" i="7"/>
  <c r="AQ121" i="38"/>
  <c r="B121" i="38"/>
  <c r="C120" i="7"/>
  <c r="C122" i="38"/>
  <c r="AV121" i="38"/>
  <c r="AZ120" i="7"/>
  <c r="V119" i="38" l="1"/>
  <c r="AH119" i="38" s="1"/>
  <c r="AD120" i="38"/>
  <c r="AD119" i="38"/>
  <c r="AG118" i="38"/>
  <c r="E117" i="7"/>
  <c r="F117" i="7" s="1"/>
  <c r="AA118" i="38"/>
  <c r="AJ118" i="38"/>
  <c r="AI118" i="38"/>
  <c r="AH118" i="38"/>
  <c r="AB118" i="38"/>
  <c r="AS118" i="38"/>
  <c r="AR121" i="38"/>
  <c r="A144" i="24"/>
  <c r="AK122" i="38"/>
  <c r="AQ122" i="38"/>
  <c r="B122" i="38"/>
  <c r="A121" i="7"/>
  <c r="A123" i="38"/>
  <c r="D122" i="38"/>
  <c r="AM122" i="38" s="1"/>
  <c r="Z121" i="38"/>
  <c r="Y121" i="38" s="1"/>
  <c r="D120" i="7"/>
  <c r="B120" i="7"/>
  <c r="C121" i="7"/>
  <c r="C123" i="38"/>
  <c r="AV122" i="38"/>
  <c r="AZ121" i="7"/>
  <c r="E118" i="7" l="1"/>
  <c r="F118" i="7" s="1"/>
  <c r="AG119" i="38"/>
  <c r="AI119" i="38"/>
  <c r="AA119" i="38"/>
  <c r="AT119" i="38" s="1"/>
  <c r="E119" i="38" s="1"/>
  <c r="AB119" i="38"/>
  <c r="AJ119" i="38"/>
  <c r="V120" i="38"/>
  <c r="AB120" i="38" s="1"/>
  <c r="AS119" i="38"/>
  <c r="AL120" i="38"/>
  <c r="D120" i="6" s="1"/>
  <c r="AL119" i="38"/>
  <c r="D119" i="6" s="1"/>
  <c r="AT118" i="38"/>
  <c r="E118" i="38" s="1"/>
  <c r="AE118" i="38"/>
  <c r="B118" i="6"/>
  <c r="AR122" i="38"/>
  <c r="D123" i="38"/>
  <c r="AM123" i="38" s="1"/>
  <c r="A124" i="38"/>
  <c r="AK123" i="38"/>
  <c r="AQ123" i="38"/>
  <c r="B123" i="38"/>
  <c r="A145" i="24"/>
  <c r="A122" i="7"/>
  <c r="B121" i="7"/>
  <c r="D121" i="7"/>
  <c r="Y122" i="38"/>
  <c r="Z122" i="38"/>
  <c r="C122" i="7"/>
  <c r="C124" i="38"/>
  <c r="AZ122" i="7"/>
  <c r="AV123" i="38"/>
  <c r="B119" i="6" l="1"/>
  <c r="AE119" i="38"/>
  <c r="E119" i="7"/>
  <c r="F119" i="7" s="1"/>
  <c r="AA120" i="38"/>
  <c r="AT120" i="38" s="1"/>
  <c r="E120" i="38" s="1"/>
  <c r="AI120" i="38"/>
  <c r="AH120" i="38"/>
  <c r="AG120" i="38"/>
  <c r="V121" i="38"/>
  <c r="AB121" i="38" s="1"/>
  <c r="AS120" i="38"/>
  <c r="AJ120" i="38"/>
  <c r="AD121" i="38"/>
  <c r="D124" i="38"/>
  <c r="AM124" i="38" s="1"/>
  <c r="AK124" i="38"/>
  <c r="A123" i="7"/>
  <c r="B124" i="38"/>
  <c r="A125" i="38"/>
  <c r="A146" i="24"/>
  <c r="AQ124" i="38"/>
  <c r="AR123" i="38"/>
  <c r="AH122" i="38"/>
  <c r="AA122" i="38"/>
  <c r="AT122" i="38" s="1"/>
  <c r="E122" i="38" s="1"/>
  <c r="AI122" i="38"/>
  <c r="AJ122" i="38"/>
  <c r="AB122" i="38"/>
  <c r="D122" i="7"/>
  <c r="B122" i="7"/>
  <c r="Z123" i="38"/>
  <c r="Y123" i="38"/>
  <c r="C123" i="7"/>
  <c r="C125" i="38"/>
  <c r="AZ123" i="7"/>
  <c r="AV124" i="38"/>
  <c r="B120" i="6" l="1"/>
  <c r="AE120" i="38"/>
  <c r="AG121" i="38"/>
  <c r="E120" i="7"/>
  <c r="F120" i="7" s="1"/>
  <c r="AJ121" i="38"/>
  <c r="AH121" i="38"/>
  <c r="AA121" i="38"/>
  <c r="AI121" i="38"/>
  <c r="AS121" i="38"/>
  <c r="AL121" i="38"/>
  <c r="D121" i="6" s="1"/>
  <c r="AL122" i="38"/>
  <c r="D122" i="6" s="1"/>
  <c r="AL123" i="38"/>
  <c r="D123" i="6" s="1"/>
  <c r="AR124" i="38"/>
  <c r="Z124" i="38"/>
  <c r="Y124" i="38" s="1"/>
  <c r="AH123" i="38"/>
  <c r="AI123" i="38"/>
  <c r="AJ123" i="38"/>
  <c r="AB123" i="38"/>
  <c r="AA123" i="38"/>
  <c r="AT123" i="38" s="1"/>
  <c r="E123" i="38" s="1"/>
  <c r="D123" i="7"/>
  <c r="B123" i="7"/>
  <c r="A124" i="7"/>
  <c r="A147" i="24"/>
  <c r="AQ125" i="38"/>
  <c r="D125" i="38"/>
  <c r="AM125" i="38" s="1"/>
  <c r="B125" i="38"/>
  <c r="AK125" i="38"/>
  <c r="A126" i="38"/>
  <c r="C124" i="7"/>
  <c r="C126" i="38"/>
  <c r="AV125" i="38"/>
  <c r="AZ124" i="7"/>
  <c r="B121" i="6" l="1"/>
  <c r="B122" i="6" s="1"/>
  <c r="B123" i="6" s="1"/>
  <c r="AE121" i="38"/>
  <c r="AE122" i="38" s="1"/>
  <c r="AE123" i="38" s="1"/>
  <c r="AT121" i="38"/>
  <c r="V124" i="38"/>
  <c r="AR125" i="38"/>
  <c r="B124" i="7"/>
  <c r="D124" i="7"/>
  <c r="Z125" i="38"/>
  <c r="Y125" i="38" s="1"/>
  <c r="A125" i="7"/>
  <c r="D126" i="38"/>
  <c r="AQ126" i="38"/>
  <c r="B126" i="38"/>
  <c r="A148" i="24"/>
  <c r="A127" i="38"/>
  <c r="AK126" i="38"/>
  <c r="C127" i="38"/>
  <c r="C125" i="7"/>
  <c r="AZ125" i="7"/>
  <c r="AV126" i="38"/>
  <c r="E121" i="38" l="1"/>
  <c r="I27" i="23"/>
  <c r="H27" i="23" s="1"/>
  <c r="AD124" i="38"/>
  <c r="AL125" i="38" s="1"/>
  <c r="D125" i="6" s="1"/>
  <c r="E123" i="7"/>
  <c r="F123" i="7" s="1"/>
  <c r="AG124" i="38"/>
  <c r="AB124" i="38"/>
  <c r="AJ124" i="38"/>
  <c r="AI124" i="38"/>
  <c r="AH124" i="38"/>
  <c r="AA124" i="38"/>
  <c r="B124" i="6" s="1"/>
  <c r="Y126" i="38"/>
  <c r="Z126" i="38"/>
  <c r="B127" i="38"/>
  <c r="A128" i="38"/>
  <c r="AK127" i="38"/>
  <c r="A149" i="24"/>
  <c r="A126" i="7"/>
  <c r="D127" i="38"/>
  <c r="AQ127" i="38"/>
  <c r="AJ125" i="38"/>
  <c r="AA125" i="38"/>
  <c r="AT125" i="38" s="1"/>
  <c r="E125" i="38" s="1"/>
  <c r="AH125" i="38"/>
  <c r="AI125" i="38"/>
  <c r="AB125" i="38"/>
  <c r="D125" i="7"/>
  <c r="B125" i="7"/>
  <c r="AR126" i="38"/>
  <c r="C128" i="38"/>
  <c r="C126" i="7"/>
  <c r="AV127" i="38"/>
  <c r="AZ126" i="7"/>
  <c r="AS124" i="38" l="1"/>
  <c r="AL124" i="38"/>
  <c r="D124" i="6" s="1"/>
  <c r="AL126" i="38"/>
  <c r="D126" i="6" s="1"/>
  <c r="AT124" i="38"/>
  <c r="E124" i="38" s="1"/>
  <c r="AE124" i="38"/>
  <c r="AE125" i="38" s="1"/>
  <c r="B125" i="6"/>
  <c r="A129" i="38"/>
  <c r="AK128" i="38"/>
  <c r="A150" i="24"/>
  <c r="AQ128" i="38"/>
  <c r="D128" i="38"/>
  <c r="B128" i="38"/>
  <c r="A127" i="7"/>
  <c r="AR127" i="38"/>
  <c r="D126" i="7"/>
  <c r="B126" i="7"/>
  <c r="Z127" i="38"/>
  <c r="Y127" i="38" s="1"/>
  <c r="AH126" i="38"/>
  <c r="AI126" i="38"/>
  <c r="AB126" i="38"/>
  <c r="AJ126" i="38"/>
  <c r="AA126" i="38"/>
  <c r="AT126" i="38" s="1"/>
  <c r="E126" i="38" s="1"/>
  <c r="C127" i="7"/>
  <c r="C129" i="38"/>
  <c r="AZ127" i="7"/>
  <c r="AV128" i="38"/>
  <c r="AE126" i="38" l="1"/>
  <c r="AM126" i="38"/>
  <c r="AR128" i="38"/>
  <c r="B126" i="6"/>
  <c r="Z128" i="38"/>
  <c r="Y128" i="38" s="1"/>
  <c r="B127" i="7"/>
  <c r="D127" i="7"/>
  <c r="B129" i="38"/>
  <c r="AK129" i="38"/>
  <c r="A151" i="24"/>
  <c r="AQ129" i="38"/>
  <c r="A130" i="38"/>
  <c r="D129" i="38"/>
  <c r="A128" i="7"/>
  <c r="C128" i="7"/>
  <c r="C130" i="38"/>
  <c r="AV129" i="38"/>
  <c r="AZ128" i="7"/>
  <c r="AM127" i="38" l="1"/>
  <c r="AM128" i="38" s="1"/>
  <c r="AM129" i="38" s="1"/>
  <c r="AD127" i="38"/>
  <c r="AL127" i="38" s="1"/>
  <c r="D127" i="6" s="1"/>
  <c r="AD128" i="38"/>
  <c r="V127" i="38"/>
  <c r="AQ130" i="38"/>
  <c r="A152" i="24"/>
  <c r="B130" i="38"/>
  <c r="A131" i="38"/>
  <c r="AK130" i="38"/>
  <c r="A129" i="7"/>
  <c r="D130" i="38"/>
  <c r="D128" i="7"/>
  <c r="B128" i="7"/>
  <c r="Z129" i="38"/>
  <c r="Y129" i="38"/>
  <c r="AR129" i="38"/>
  <c r="C129" i="7"/>
  <c r="C131" i="38"/>
  <c r="AZ129" i="7"/>
  <c r="AV130" i="38"/>
  <c r="AL128" i="38" l="1"/>
  <c r="D128" i="6" s="1"/>
  <c r="AL131" i="38"/>
  <c r="D131" i="6" s="1"/>
  <c r="AL130" i="38"/>
  <c r="D130" i="6" s="1"/>
  <c r="AL129" i="38"/>
  <c r="D129" i="6" s="1"/>
  <c r="V128" i="38"/>
  <c r="AS127" i="38"/>
  <c r="AG127" i="38"/>
  <c r="E126" i="7"/>
  <c r="F126" i="7" s="1"/>
  <c r="AB127" i="38"/>
  <c r="AH127" i="38"/>
  <c r="AA127" i="38"/>
  <c r="AJ127" i="38"/>
  <c r="AI127" i="38"/>
  <c r="AM130" i="38"/>
  <c r="AR130" i="38"/>
  <c r="AQ131" i="38"/>
  <c r="A130" i="7"/>
  <c r="D131" i="38"/>
  <c r="A132" i="38"/>
  <c r="A153" i="24"/>
  <c r="B131" i="38"/>
  <c r="AK131" i="38"/>
  <c r="AJ129" i="38"/>
  <c r="AI129" i="38"/>
  <c r="AA129" i="38"/>
  <c r="AT129" i="38" s="1"/>
  <c r="E129" i="38" s="1"/>
  <c r="AB129" i="38"/>
  <c r="AH129" i="38"/>
  <c r="D129" i="7"/>
  <c r="B129" i="7"/>
  <c r="Z130" i="38"/>
  <c r="Y130" i="38"/>
  <c r="C132" i="38"/>
  <c r="C130" i="7"/>
  <c r="AV131" i="38"/>
  <c r="AZ130" i="7"/>
  <c r="AS128" i="38" l="1"/>
  <c r="AG128" i="38"/>
  <c r="E127" i="7"/>
  <c r="F127" i="7" s="1"/>
  <c r="AI128" i="38"/>
  <c r="AA128" i="38"/>
  <c r="AT128" i="38" s="1"/>
  <c r="E128" i="38" s="1"/>
  <c r="AH128" i="38"/>
  <c r="AJ128" i="38"/>
  <c r="AB128" i="38"/>
  <c r="AM131" i="38"/>
  <c r="AT127" i="38"/>
  <c r="E127" i="38" s="1"/>
  <c r="B127" i="6"/>
  <c r="AE127" i="38"/>
  <c r="B130" i="7"/>
  <c r="D130" i="7"/>
  <c r="Z131" i="38"/>
  <c r="Y131" i="38" s="1"/>
  <c r="AA130" i="38"/>
  <c r="AT130" i="38" s="1"/>
  <c r="E130" i="38" s="1"/>
  <c r="AI130" i="38"/>
  <c r="AH130" i="38"/>
  <c r="AJ130" i="38"/>
  <c r="AB130" i="38"/>
  <c r="AQ132" i="38"/>
  <c r="A133" i="38"/>
  <c r="A154" i="24"/>
  <c r="D132" i="38"/>
  <c r="B132" i="38"/>
  <c r="A131" i="7"/>
  <c r="AK132" i="38"/>
  <c r="AR131" i="38"/>
  <c r="C131" i="7"/>
  <c r="C133" i="38"/>
  <c r="AV132" i="38"/>
  <c r="AZ131" i="7"/>
  <c r="B128" i="6" l="1"/>
  <c r="B129" i="6" s="1"/>
  <c r="B130" i="6" s="1"/>
  <c r="AE128" i="38"/>
  <c r="AE129" i="38" s="1"/>
  <c r="AE130" i="38" s="1"/>
  <c r="D131" i="7"/>
  <c r="B131" i="7"/>
  <c r="A134" i="38"/>
  <c r="D133" i="38"/>
  <c r="A132" i="7"/>
  <c r="A155" i="24"/>
  <c r="AQ133" i="38"/>
  <c r="B133" i="38"/>
  <c r="AK133" i="38"/>
  <c r="AA131" i="38"/>
  <c r="AT131" i="38" s="1"/>
  <c r="E131" i="38" s="1"/>
  <c r="AH131" i="38"/>
  <c r="AI131" i="38"/>
  <c r="AJ131" i="38"/>
  <c r="AB131" i="38"/>
  <c r="AR132" i="38"/>
  <c r="AM132" i="38"/>
  <c r="Z132" i="38"/>
  <c r="Y132" i="38" s="1"/>
  <c r="C132" i="7"/>
  <c r="C134" i="38"/>
  <c r="AZ132" i="7"/>
  <c r="AV133" i="38"/>
  <c r="V132" i="38" l="1"/>
  <c r="AA132" i="38" s="1"/>
  <c r="AE131" i="38"/>
  <c r="B131" i="6"/>
  <c r="AR133" i="38"/>
  <c r="AM133" i="38"/>
  <c r="A135" i="38"/>
  <c r="AQ134" i="38"/>
  <c r="D134" i="38"/>
  <c r="B134" i="38"/>
  <c r="A133" i="7"/>
  <c r="AK134" i="38"/>
  <c r="A156" i="24"/>
  <c r="Z133" i="38"/>
  <c r="Y133" i="38" s="1"/>
  <c r="D132" i="7"/>
  <c r="B132" i="7"/>
  <c r="C133" i="7"/>
  <c r="C135" i="38"/>
  <c r="AZ133" i="7"/>
  <c r="AV134" i="38"/>
  <c r="AH132" i="38" l="1"/>
  <c r="AI132" i="38"/>
  <c r="E131" i="7"/>
  <c r="F131" i="7" s="1"/>
  <c r="AG132" i="38"/>
  <c r="AE132" i="38"/>
  <c r="AB132" i="38"/>
  <c r="AJ132" i="38"/>
  <c r="AD132" i="38"/>
  <c r="B132" i="6"/>
  <c r="AQ135" i="38"/>
  <c r="B135" i="38"/>
  <c r="A136" i="38"/>
  <c r="A134" i="7"/>
  <c r="D135" i="38"/>
  <c r="A157" i="24"/>
  <c r="AK135" i="38"/>
  <c r="B133" i="7"/>
  <c r="D133" i="7"/>
  <c r="AR134" i="38"/>
  <c r="AM134" i="38"/>
  <c r="Z134" i="38"/>
  <c r="Y134" i="38" s="1"/>
  <c r="C134" i="7"/>
  <c r="C136" i="38"/>
  <c r="AZ134" i="7"/>
  <c r="AV135" i="38"/>
  <c r="V133" i="38" l="1"/>
  <c r="AD133" i="38"/>
  <c r="AS132" i="38"/>
  <c r="AL132" i="38"/>
  <c r="D132" i="6" s="1"/>
  <c r="AT132" i="38"/>
  <c r="E132" i="38" s="1"/>
  <c r="AM135" i="38"/>
  <c r="Z135" i="38"/>
  <c r="Y135" i="38" s="1"/>
  <c r="A135" i="7"/>
  <c r="AK136" i="38"/>
  <c r="B136" i="38"/>
  <c r="A158" i="24"/>
  <c r="D136" i="38"/>
  <c r="AQ136" i="38"/>
  <c r="A137" i="38"/>
  <c r="B134" i="7"/>
  <c r="D134" i="7"/>
  <c r="AR135" i="38"/>
  <c r="C135" i="7"/>
  <c r="C137" i="38"/>
  <c r="AV136" i="38"/>
  <c r="AZ135" i="7"/>
  <c r="AD134" i="38" l="1"/>
  <c r="AL134" i="38" s="1"/>
  <c r="D134" i="6" s="1"/>
  <c r="V134" i="38"/>
  <c r="AL133" i="38"/>
  <c r="D133" i="6" s="1"/>
  <c r="E132" i="7"/>
  <c r="F132" i="7" s="1"/>
  <c r="AG133" i="38"/>
  <c r="AS133" i="38"/>
  <c r="AI133" i="38"/>
  <c r="AH133" i="38"/>
  <c r="AA133" i="38"/>
  <c r="AJ133" i="38"/>
  <c r="AB133" i="38"/>
  <c r="Z136" i="38"/>
  <c r="Y136" i="38"/>
  <c r="AR136" i="38"/>
  <c r="AM136" i="38"/>
  <c r="D135" i="7"/>
  <c r="B135" i="7"/>
  <c r="B137" i="38"/>
  <c r="A159" i="24"/>
  <c r="A138" i="38"/>
  <c r="A136" i="7"/>
  <c r="AQ137" i="38"/>
  <c r="AK137" i="38"/>
  <c r="D137" i="38"/>
  <c r="C138" i="38"/>
  <c r="C136" i="7"/>
  <c r="AV137" i="38"/>
  <c r="AZ136" i="7"/>
  <c r="AD135" i="38" l="1"/>
  <c r="AL135" i="38" s="1"/>
  <c r="D135" i="6" s="1"/>
  <c r="V135" i="38"/>
  <c r="AG134" i="38"/>
  <c r="AS134" i="38"/>
  <c r="E133" i="7"/>
  <c r="F133" i="7" s="1"/>
  <c r="AH134" i="38"/>
  <c r="AJ134" i="38"/>
  <c r="AA134" i="38"/>
  <c r="AT134" i="38" s="1"/>
  <c r="E134" i="38" s="1"/>
  <c r="AB134" i="38"/>
  <c r="AI134" i="38"/>
  <c r="AT133" i="38"/>
  <c r="E133" i="38" s="1"/>
  <c r="AE133" i="38"/>
  <c r="B133" i="6"/>
  <c r="B138" i="38"/>
  <c r="D138" i="38"/>
  <c r="A137" i="7"/>
  <c r="AQ138" i="38"/>
  <c r="A160" i="24"/>
  <c r="AK138" i="38"/>
  <c r="A139" i="38"/>
  <c r="Y137" i="38"/>
  <c r="Z137" i="38"/>
  <c r="AA136" i="38"/>
  <c r="AT136" i="38" s="1"/>
  <c r="E136" i="38" s="1"/>
  <c r="AI136" i="38"/>
  <c r="AH136" i="38"/>
  <c r="AJ136" i="38"/>
  <c r="AB136" i="38"/>
  <c r="D136" i="7"/>
  <c r="B136" i="7"/>
  <c r="AR137" i="38"/>
  <c r="AM137" i="38"/>
  <c r="C137" i="7"/>
  <c r="C139" i="38"/>
  <c r="AV138" i="38"/>
  <c r="AZ137" i="7"/>
  <c r="AL137" i="38" l="1"/>
  <c r="D137" i="6" s="1"/>
  <c r="AL136" i="38"/>
  <c r="D136" i="6" s="1"/>
  <c r="AG135" i="38"/>
  <c r="AS135" i="38"/>
  <c r="E134" i="7"/>
  <c r="F134" i="7" s="1"/>
  <c r="AI135" i="38"/>
  <c r="AB135" i="38"/>
  <c r="AA135" i="38"/>
  <c r="AT135" i="38" s="1"/>
  <c r="E135" i="38" s="1"/>
  <c r="AJ135" i="38"/>
  <c r="AH135" i="38"/>
  <c r="B134" i="6"/>
  <c r="AE134" i="38"/>
  <c r="Z138" i="38"/>
  <c r="Y138" i="38" s="1"/>
  <c r="AR138" i="38"/>
  <c r="AM138" i="38"/>
  <c r="A138" i="7"/>
  <c r="AQ139" i="38"/>
  <c r="A140" i="38"/>
  <c r="D139" i="38"/>
  <c r="A161" i="24"/>
  <c r="B139" i="38"/>
  <c r="AK139" i="38"/>
  <c r="B137" i="7"/>
  <c r="D137" i="7"/>
  <c r="AB137" i="38"/>
  <c r="AI137" i="38"/>
  <c r="AJ137" i="38"/>
  <c r="AA137" i="38"/>
  <c r="AT137" i="38" s="1"/>
  <c r="E137" i="38" s="1"/>
  <c r="AH137" i="38"/>
  <c r="C140" i="38"/>
  <c r="C138" i="7"/>
  <c r="AZ138" i="7"/>
  <c r="AV139" i="38"/>
  <c r="AE135" i="38" l="1"/>
  <c r="AE136" i="38" s="1"/>
  <c r="AE137" i="38" s="1"/>
  <c r="B135" i="6"/>
  <c r="B136" i="6" s="1"/>
  <c r="B137" i="6" s="1"/>
  <c r="Z139" i="38"/>
  <c r="Y139" i="38" s="1"/>
  <c r="AQ140" i="38"/>
  <c r="B140" i="38"/>
  <c r="A141" i="38"/>
  <c r="D140" i="38"/>
  <c r="AK140" i="38"/>
  <c r="A139" i="7"/>
  <c r="A162" i="24"/>
  <c r="D138" i="7"/>
  <c r="B138" i="7"/>
  <c r="AR139" i="38"/>
  <c r="AM139" i="38"/>
  <c r="C139" i="7"/>
  <c r="C141" i="38"/>
  <c r="AZ139" i="7"/>
  <c r="AV140" i="38"/>
  <c r="V138" i="38" l="1"/>
  <c r="AJ138" i="38" s="1"/>
  <c r="AD138" i="38"/>
  <c r="B139" i="7"/>
  <c r="D139" i="7"/>
  <c r="AR140" i="38"/>
  <c r="AM140" i="38"/>
  <c r="Z140" i="38"/>
  <c r="Y140" i="38" s="1"/>
  <c r="D141" i="38"/>
  <c r="AQ141" i="38"/>
  <c r="AK141" i="38"/>
  <c r="B141" i="38"/>
  <c r="A142" i="38"/>
  <c r="A140" i="7"/>
  <c r="A163" i="24"/>
  <c r="C140" i="7"/>
  <c r="C142" i="38"/>
  <c r="AV141" i="38"/>
  <c r="AZ140" i="7"/>
  <c r="AA138" i="38" l="1"/>
  <c r="AT138" i="38" s="1"/>
  <c r="E138" i="38" s="1"/>
  <c r="AH138" i="38"/>
  <c r="E137" i="7"/>
  <c r="F137" i="7" s="1"/>
  <c r="AG138" i="38"/>
  <c r="AB138" i="38"/>
  <c r="AI138" i="38"/>
  <c r="V139" i="38"/>
  <c r="AH139" i="38" s="1"/>
  <c r="AD139" i="38"/>
  <c r="AS138" i="38"/>
  <c r="AL138" i="38"/>
  <c r="D138" i="6" s="1"/>
  <c r="AM141" i="38"/>
  <c r="AR141" i="38"/>
  <c r="Z141" i="38"/>
  <c r="Y141" i="38" s="1"/>
  <c r="B140" i="7"/>
  <c r="D140" i="7"/>
  <c r="B142" i="38"/>
  <c r="A141" i="7"/>
  <c r="A143" i="38"/>
  <c r="AK142" i="38"/>
  <c r="D142" i="38"/>
  <c r="AQ142" i="38"/>
  <c r="A164" i="24"/>
  <c r="C141" i="7"/>
  <c r="C143" i="38"/>
  <c r="AV142" i="38"/>
  <c r="AZ141" i="7"/>
  <c r="B138" i="6" l="1"/>
  <c r="AE138" i="38"/>
  <c r="AA139" i="38"/>
  <c r="AD140" i="38"/>
  <c r="AL140" i="38" s="1"/>
  <c r="D140" i="6" s="1"/>
  <c r="E138" i="7"/>
  <c r="F138" i="7" s="1"/>
  <c r="AG139" i="38"/>
  <c r="AB139" i="38"/>
  <c r="AS139" i="38"/>
  <c r="AL139" i="38"/>
  <c r="D139" i="6" s="1"/>
  <c r="AI139" i="38"/>
  <c r="AJ139" i="38"/>
  <c r="V140" i="38"/>
  <c r="D141" i="7"/>
  <c r="B141" i="7"/>
  <c r="AR142" i="38"/>
  <c r="AM142" i="38"/>
  <c r="Z142" i="38"/>
  <c r="Y142" i="38" s="1"/>
  <c r="D143" i="38"/>
  <c r="A142" i="7"/>
  <c r="AQ143" i="38"/>
  <c r="AK143" i="38"/>
  <c r="A144" i="38"/>
  <c r="B143" i="38"/>
  <c r="A165" i="24"/>
  <c r="C142" i="7"/>
  <c r="C144" i="38"/>
  <c r="AV143" i="38"/>
  <c r="AZ142" i="7"/>
  <c r="B139" i="6" l="1"/>
  <c r="AE139" i="38"/>
  <c r="AT139" i="38"/>
  <c r="E139" i="38" s="1"/>
  <c r="AD141" i="38"/>
  <c r="AL141" i="38" s="1"/>
  <c r="D141" i="6" s="1"/>
  <c r="V141" i="38"/>
  <c r="AS140" i="38"/>
  <c r="AG140" i="38"/>
  <c r="E139" i="7"/>
  <c r="F139" i="7" s="1"/>
  <c r="AB140" i="38"/>
  <c r="AH140" i="38"/>
  <c r="AA140" i="38"/>
  <c r="AJ140" i="38"/>
  <c r="AI140" i="38"/>
  <c r="B142" i="7"/>
  <c r="D142" i="7"/>
  <c r="Y143" i="38"/>
  <c r="Z143" i="38"/>
  <c r="AK144" i="38"/>
  <c r="A143" i="7"/>
  <c r="AQ144" i="38"/>
  <c r="A145" i="38"/>
  <c r="B144" i="38"/>
  <c r="A166" i="24"/>
  <c r="D144" i="38"/>
  <c r="AR143" i="38"/>
  <c r="AM143" i="38"/>
  <c r="C145" i="38"/>
  <c r="C143" i="7"/>
  <c r="AZ143" i="7"/>
  <c r="AV144" i="38"/>
  <c r="AS141" i="38" l="1"/>
  <c r="AD142" i="38"/>
  <c r="V142" i="38"/>
  <c r="E140" i="7"/>
  <c r="F140" i="7" s="1"/>
  <c r="AG141" i="38"/>
  <c r="AJ141" i="38"/>
  <c r="AB141" i="38"/>
  <c r="AH141" i="38"/>
  <c r="AI141" i="38"/>
  <c r="AA141" i="38"/>
  <c r="AT141" i="38" s="1"/>
  <c r="E141" i="38" s="1"/>
  <c r="AT140" i="38"/>
  <c r="E140" i="38" s="1"/>
  <c r="AE140" i="38"/>
  <c r="B140" i="6"/>
  <c r="AM144" i="38"/>
  <c r="Z144" i="38"/>
  <c r="Y144" i="38"/>
  <c r="B143" i="7"/>
  <c r="D143" i="7"/>
  <c r="A167" i="24"/>
  <c r="A146" i="38"/>
  <c r="D145" i="38"/>
  <c r="B145" i="38"/>
  <c r="A144" i="7"/>
  <c r="AK145" i="38"/>
  <c r="AQ145" i="38"/>
  <c r="AR144" i="38"/>
  <c r="AI143" i="38"/>
  <c r="AA143" i="38"/>
  <c r="AT143" i="38" s="1"/>
  <c r="E143" i="38" s="1"/>
  <c r="AH143" i="38"/>
  <c r="AB143" i="38"/>
  <c r="AJ143" i="38"/>
  <c r="C144" i="7"/>
  <c r="C146" i="38"/>
  <c r="AV145" i="38"/>
  <c r="AZ144" i="7"/>
  <c r="AL143" i="38" l="1"/>
  <c r="D143" i="6" s="1"/>
  <c r="AL144" i="38"/>
  <c r="D144" i="6" s="1"/>
  <c r="AL142" i="38"/>
  <c r="D142" i="6" s="1"/>
  <c r="E141" i="7"/>
  <c r="F141" i="7" s="1"/>
  <c r="AG142" i="38"/>
  <c r="AA142" i="38"/>
  <c r="AT142" i="38" s="1"/>
  <c r="E142" i="38" s="1"/>
  <c r="AH142" i="38"/>
  <c r="AI142" i="38"/>
  <c r="AJ142" i="38"/>
  <c r="AB142" i="38"/>
  <c r="AS142" i="38"/>
  <c r="B141" i="6"/>
  <c r="AE141" i="38"/>
  <c r="B146" i="38"/>
  <c r="AK146" i="38"/>
  <c r="A168" i="24"/>
  <c r="D146" i="38"/>
  <c r="AQ146" i="38"/>
  <c r="A145" i="7"/>
  <c r="A147" i="38"/>
  <c r="AB144" i="38"/>
  <c r="AH144" i="38"/>
  <c r="AJ144" i="38"/>
  <c r="AI144" i="38"/>
  <c r="AA144" i="38"/>
  <c r="AT144" i="38" s="1"/>
  <c r="E144" i="38" s="1"/>
  <c r="AR145" i="38"/>
  <c r="AM145" i="38"/>
  <c r="Z145" i="38"/>
  <c r="Y145" i="38" s="1"/>
  <c r="B144" i="7"/>
  <c r="D144" i="7"/>
  <c r="C147" i="38"/>
  <c r="C145" i="7"/>
  <c r="AZ145" i="7"/>
  <c r="AV146" i="38"/>
  <c r="AE142" i="38" l="1"/>
  <c r="AE143" i="38" s="1"/>
  <c r="AE144" i="38" s="1"/>
  <c r="B142" i="6"/>
  <c r="B143" i="6" s="1"/>
  <c r="B144" i="6" s="1"/>
  <c r="AR146" i="38"/>
  <c r="AM146" i="38"/>
  <c r="D145" i="7"/>
  <c r="B145" i="7"/>
  <c r="Z146" i="38"/>
  <c r="Y146" i="38" s="1"/>
  <c r="D147" i="38"/>
  <c r="AQ147" i="38"/>
  <c r="A148" i="38"/>
  <c r="B147" i="38"/>
  <c r="A169" i="24"/>
  <c r="AK147" i="38"/>
  <c r="A146" i="7"/>
  <c r="C146" i="7"/>
  <c r="C148" i="38"/>
  <c r="AZ146" i="7"/>
  <c r="AV147" i="38"/>
  <c r="AD145" i="38" l="1"/>
  <c r="AL145" i="38" s="1"/>
  <c r="D145" i="6" s="1"/>
  <c r="V145" i="38"/>
  <c r="A147" i="7"/>
  <c r="B148" i="38"/>
  <c r="AK148" i="38"/>
  <c r="A170" i="24"/>
  <c r="A149" i="38"/>
  <c r="AQ148" i="38"/>
  <c r="D148" i="38"/>
  <c r="B146" i="7"/>
  <c r="D146" i="7"/>
  <c r="Z147" i="38"/>
  <c r="Y147" i="38" s="1"/>
  <c r="AR147" i="38"/>
  <c r="AM147" i="38"/>
  <c r="C147" i="7"/>
  <c r="C149" i="38"/>
  <c r="AZ147" i="7"/>
  <c r="AV148" i="38"/>
  <c r="V146" i="38" l="1"/>
  <c r="AI146" i="38" s="1"/>
  <c r="V147" i="38"/>
  <c r="AD146" i="38"/>
  <c r="AG145" i="38"/>
  <c r="E144" i="7"/>
  <c r="F144" i="7" s="1"/>
  <c r="AS145" i="38"/>
  <c r="AA145" i="38"/>
  <c r="AB145" i="38"/>
  <c r="AI145" i="38"/>
  <c r="AJ145" i="38"/>
  <c r="AH145" i="38"/>
  <c r="AR148" i="38"/>
  <c r="AM148" i="38"/>
  <c r="Z148" i="38"/>
  <c r="Y148" i="38" s="1"/>
  <c r="AQ149" i="38"/>
  <c r="AK149" i="38"/>
  <c r="A148" i="7"/>
  <c r="D149" i="38"/>
  <c r="A171" i="24"/>
  <c r="B149" i="38"/>
  <c r="A150" i="38"/>
  <c r="D147" i="7"/>
  <c r="B147" i="7"/>
  <c r="C150" i="38"/>
  <c r="C148" i="7"/>
  <c r="AZ148" i="7"/>
  <c r="AV149" i="38"/>
  <c r="AG146" i="38" l="1"/>
  <c r="E145" i="7"/>
  <c r="F145" i="7" s="1"/>
  <c r="AH146" i="38"/>
  <c r="AA146" i="38"/>
  <c r="AT146" i="38" s="1"/>
  <c r="E146" i="38" s="1"/>
  <c r="AJ146" i="38"/>
  <c r="AB146" i="38"/>
  <c r="V148" i="38"/>
  <c r="AD147" i="38"/>
  <c r="AL147" i="38" s="1"/>
  <c r="D147" i="6" s="1"/>
  <c r="E146" i="7"/>
  <c r="F146" i="7" s="1"/>
  <c r="AG147" i="38"/>
  <c r="AB147" i="38"/>
  <c r="AJ147" i="38"/>
  <c r="AA147" i="38"/>
  <c r="AH147" i="38"/>
  <c r="AI147" i="38"/>
  <c r="AS146" i="38"/>
  <c r="AL146" i="38"/>
  <c r="D146" i="6" s="1"/>
  <c r="AT145" i="38"/>
  <c r="E145" i="38" s="1"/>
  <c r="AE145" i="38"/>
  <c r="B145" i="6"/>
  <c r="B146" i="6" s="1"/>
  <c r="A149" i="7"/>
  <c r="A172" i="24"/>
  <c r="B150" i="38"/>
  <c r="D150" i="38"/>
  <c r="AQ150" i="38"/>
  <c r="A151" i="38"/>
  <c r="AK150" i="38"/>
  <c r="B148" i="7"/>
  <c r="D148" i="7"/>
  <c r="AR149" i="38"/>
  <c r="AM149" i="38"/>
  <c r="Z149" i="38"/>
  <c r="Y149" i="38" s="1"/>
  <c r="C151" i="38"/>
  <c r="C149" i="7"/>
  <c r="AV150" i="38"/>
  <c r="AZ149" i="7"/>
  <c r="AE146" i="38" l="1"/>
  <c r="AE147" i="38" s="1"/>
  <c r="AS147" i="38"/>
  <c r="AT147" i="38"/>
  <c r="E147" i="38" s="1"/>
  <c r="B147" i="6"/>
  <c r="AD149" i="38"/>
  <c r="AH148" i="38"/>
  <c r="AI148" i="38"/>
  <c r="AJ148" i="38"/>
  <c r="AB148" i="38"/>
  <c r="AA148" i="38"/>
  <c r="AD148" i="38"/>
  <c r="AS148" i="38" s="1"/>
  <c r="AG148" i="38"/>
  <c r="E147" i="7"/>
  <c r="F147" i="7" s="1"/>
  <c r="A150" i="7"/>
  <c r="B151" i="38"/>
  <c r="AK151" i="38"/>
  <c r="A152" i="38"/>
  <c r="A173" i="24"/>
  <c r="D151" i="38"/>
  <c r="AQ151" i="38"/>
  <c r="D149" i="7"/>
  <c r="B149" i="7"/>
  <c r="AR150" i="38"/>
  <c r="AM150" i="38"/>
  <c r="Z150" i="38"/>
  <c r="Y150" i="38"/>
  <c r="C152" i="38"/>
  <c r="C150" i="7"/>
  <c r="AV151" i="38"/>
  <c r="AZ150" i="7"/>
  <c r="AE148" i="38" l="1"/>
  <c r="B148" i="6"/>
  <c r="V149" i="38"/>
  <c r="AA149" i="38" s="1"/>
  <c r="AT149" i="38" s="1"/>
  <c r="E149" i="38" s="1"/>
  <c r="AT148" i="38"/>
  <c r="E148" i="38" s="1"/>
  <c r="AL151" i="38"/>
  <c r="D151" i="6" s="1"/>
  <c r="AL148" i="38"/>
  <c r="D148" i="6" s="1"/>
  <c r="AL150" i="38"/>
  <c r="D150" i="6" s="1"/>
  <c r="AL149" i="38"/>
  <c r="D149" i="6" s="1"/>
  <c r="AM151" i="38"/>
  <c r="Z151" i="38"/>
  <c r="Y151" i="38"/>
  <c r="AR151" i="38"/>
  <c r="AQ152" i="38"/>
  <c r="A174" i="24"/>
  <c r="A151" i="7"/>
  <c r="D152" i="38"/>
  <c r="A153" i="38"/>
  <c r="AK152" i="38"/>
  <c r="B152" i="38"/>
  <c r="AA150" i="38"/>
  <c r="AT150" i="38" s="1"/>
  <c r="E150" i="38" s="1"/>
  <c r="AI150" i="38"/>
  <c r="AJ150" i="38"/>
  <c r="AB150" i="38"/>
  <c r="AH150" i="38"/>
  <c r="B150" i="7"/>
  <c r="D150" i="7"/>
  <c r="C151" i="7"/>
  <c r="C153" i="38"/>
  <c r="AZ151" i="7"/>
  <c r="AV152" i="38"/>
  <c r="K25" i="23" l="1"/>
  <c r="J25" i="23" s="1"/>
  <c r="AJ149" i="38"/>
  <c r="AE149" i="38"/>
  <c r="AE150" i="38" s="1"/>
  <c r="AI149" i="38"/>
  <c r="AB149" i="38"/>
  <c r="AS149" i="38"/>
  <c r="B149" i="6"/>
  <c r="B150" i="6" s="1"/>
  <c r="AG149" i="38"/>
  <c r="E148" i="7"/>
  <c r="F148" i="7" s="1"/>
  <c r="AH149" i="38"/>
  <c r="A152" i="7"/>
  <c r="A175" i="24"/>
  <c r="AQ153" i="38"/>
  <c r="AK153" i="38"/>
  <c r="D153" i="38"/>
  <c r="B153" i="38"/>
  <c r="A154" i="38"/>
  <c r="AR152" i="38"/>
  <c r="AM152" i="38"/>
  <c r="B151" i="7"/>
  <c r="D151" i="7"/>
  <c r="AA151" i="38"/>
  <c r="AT151" i="38" s="1"/>
  <c r="E151" i="38" s="1"/>
  <c r="AI151" i="38"/>
  <c r="AJ151" i="38"/>
  <c r="AB151" i="38"/>
  <c r="AH151" i="38"/>
  <c r="Z152" i="38"/>
  <c r="Y152" i="38" s="1"/>
  <c r="C154" i="38"/>
  <c r="C152" i="7"/>
  <c r="AZ152" i="7"/>
  <c r="AV153" i="38"/>
  <c r="AE151" i="38" l="1"/>
  <c r="AM153" i="38"/>
  <c r="A176" i="24"/>
  <c r="A155" i="38"/>
  <c r="A153" i="7"/>
  <c r="AK154" i="38"/>
  <c r="B154" i="38"/>
  <c r="D154" i="38"/>
  <c r="AQ154" i="38"/>
  <c r="AR153" i="38"/>
  <c r="D152" i="7"/>
  <c r="B152" i="7"/>
  <c r="Z153" i="38"/>
  <c r="Y153" i="38" s="1"/>
  <c r="B151" i="6"/>
  <c r="C155" i="38"/>
  <c r="C153" i="7"/>
  <c r="AV154" i="38"/>
  <c r="AZ153" i="7"/>
  <c r="V152" i="38" l="1"/>
  <c r="AI152" i="38" s="1"/>
  <c r="AD152" i="38"/>
  <c r="D153" i="7"/>
  <c r="B153" i="7"/>
  <c r="AR154" i="38"/>
  <c r="AM154" i="38"/>
  <c r="A154" i="7"/>
  <c r="D155" i="38"/>
  <c r="A177" i="24"/>
  <c r="A156" i="38"/>
  <c r="AK155" i="38"/>
  <c r="AQ155" i="38"/>
  <c r="B155" i="38"/>
  <c r="Z154" i="38"/>
  <c r="Y154" i="38" s="1"/>
  <c r="C154" i="7"/>
  <c r="C156" i="38"/>
  <c r="AV155" i="38"/>
  <c r="AZ154" i="7"/>
  <c r="AJ152" i="38" l="1"/>
  <c r="AB152" i="38"/>
  <c r="AG152" i="38"/>
  <c r="E151" i="7"/>
  <c r="F151" i="7" s="1"/>
  <c r="AA152" i="38"/>
  <c r="B152" i="6" s="1"/>
  <c r="AH152" i="38"/>
  <c r="AD153" i="38"/>
  <c r="V153" i="38"/>
  <c r="AS152" i="38"/>
  <c r="AL152" i="38"/>
  <c r="D152" i="6" s="1"/>
  <c r="A178" i="24"/>
  <c r="A157" i="38"/>
  <c r="AQ156" i="38"/>
  <c r="AK156" i="38"/>
  <c r="B156" i="38"/>
  <c r="A155" i="7"/>
  <c r="D156" i="38"/>
  <c r="AR155" i="38"/>
  <c r="AM155" i="38"/>
  <c r="Z155" i="38"/>
  <c r="Y155" i="38"/>
  <c r="D154" i="7"/>
  <c r="B154" i="7"/>
  <c r="C155" i="7"/>
  <c r="C157" i="38"/>
  <c r="AZ155" i="7"/>
  <c r="AV156" i="38"/>
  <c r="AE152" i="38" l="1"/>
  <c r="AT152" i="38"/>
  <c r="E152" i="38" s="1"/>
  <c r="AL153" i="38"/>
  <c r="D153" i="6" s="1"/>
  <c r="AD154" i="38"/>
  <c r="AL156" i="38" s="1"/>
  <c r="D156" i="6" s="1"/>
  <c r="V154" i="38"/>
  <c r="AS153" i="38"/>
  <c r="AG153" i="38"/>
  <c r="E152" i="7"/>
  <c r="F152" i="7" s="1"/>
  <c r="AH153" i="38"/>
  <c r="AB153" i="38"/>
  <c r="AI153" i="38"/>
  <c r="AA153" i="38"/>
  <c r="AJ153" i="38"/>
  <c r="AM156" i="38"/>
  <c r="Z156" i="38"/>
  <c r="Y156" i="38" s="1"/>
  <c r="AR156" i="38"/>
  <c r="B155" i="7"/>
  <c r="D155" i="7"/>
  <c r="AQ157" i="38"/>
  <c r="D157" i="38"/>
  <c r="A158" i="38"/>
  <c r="A156" i="7"/>
  <c r="B157" i="38"/>
  <c r="AK157" i="38"/>
  <c r="A179" i="24"/>
  <c r="AI155" i="38"/>
  <c r="AB155" i="38"/>
  <c r="AJ155" i="38"/>
  <c r="AH155" i="38"/>
  <c r="AA155" i="38"/>
  <c r="AT155" i="38" s="1"/>
  <c r="E155" i="38" s="1"/>
  <c r="C156" i="7"/>
  <c r="C158" i="38"/>
  <c r="AZ156" i="7"/>
  <c r="AV157" i="38"/>
  <c r="AL155" i="38" l="1"/>
  <c r="D155" i="6" s="1"/>
  <c r="AL154" i="38"/>
  <c r="D154" i="6" s="1"/>
  <c r="AL158" i="38"/>
  <c r="D158" i="6" s="1"/>
  <c r="AL157" i="38"/>
  <c r="D157" i="6" s="1"/>
  <c r="AS154" i="38"/>
  <c r="AG154" i="38"/>
  <c r="E153" i="7"/>
  <c r="F153" i="7" s="1"/>
  <c r="AH154" i="38"/>
  <c r="AI154" i="38"/>
  <c r="AB154" i="38"/>
  <c r="AJ154" i="38"/>
  <c r="AA154" i="38"/>
  <c r="AT154" i="38" s="1"/>
  <c r="E154" i="38" s="1"/>
  <c r="AT153" i="38"/>
  <c r="E153" i="38" s="1"/>
  <c r="B153" i="6"/>
  <c r="AE153" i="38"/>
  <c r="Z157" i="38"/>
  <c r="Y157" i="38"/>
  <c r="AQ158" i="38"/>
  <c r="A157" i="7"/>
  <c r="A159" i="38"/>
  <c r="AK158" i="38"/>
  <c r="D158" i="38"/>
  <c r="A180" i="24"/>
  <c r="B158" i="38"/>
  <c r="AR157" i="38"/>
  <c r="D156" i="7"/>
  <c r="B156" i="7"/>
  <c r="AH156" i="38"/>
  <c r="AI156" i="38"/>
  <c r="AB156" i="38"/>
  <c r="AJ156" i="38"/>
  <c r="AA156" i="38"/>
  <c r="AT156" i="38" s="1"/>
  <c r="E156" i="38" s="1"/>
  <c r="C159" i="38"/>
  <c r="C157" i="7"/>
  <c r="AV158" i="38"/>
  <c r="AZ157" i="7"/>
  <c r="AE154" i="38" l="1"/>
  <c r="AE155" i="38" s="1"/>
  <c r="AE156" i="38" s="1"/>
  <c r="B154" i="6"/>
  <c r="B155" i="6" s="1"/>
  <c r="B156" i="6" s="1"/>
  <c r="AR158" i="38"/>
  <c r="Y158" i="38"/>
  <c r="Z158" i="38"/>
  <c r="AB157" i="38"/>
  <c r="AA157" i="38"/>
  <c r="AT157" i="38" s="1"/>
  <c r="E157" i="38" s="1"/>
  <c r="AI157" i="38"/>
  <c r="AH157" i="38"/>
  <c r="AJ157" i="38"/>
  <c r="B157" i="7"/>
  <c r="D157" i="7"/>
  <c r="AQ159" i="38"/>
  <c r="A160" i="38"/>
  <c r="D159" i="38"/>
  <c r="B159" i="38"/>
  <c r="A158" i="7"/>
  <c r="A181" i="24"/>
  <c r="AK159" i="38"/>
  <c r="C158" i="7"/>
  <c r="C160" i="38"/>
  <c r="AZ158" i="7"/>
  <c r="AV159" i="38"/>
  <c r="AE157" i="38" l="1"/>
  <c r="AM157" i="38"/>
  <c r="AR159" i="38"/>
  <c r="AA158" i="38"/>
  <c r="AT158" i="38" s="1"/>
  <c r="E158" i="38" s="1"/>
  <c r="AH158" i="38"/>
  <c r="AJ158" i="38"/>
  <c r="AI158" i="38"/>
  <c r="AB158" i="38"/>
  <c r="D158" i="7"/>
  <c r="B158" i="7"/>
  <c r="Z159" i="38"/>
  <c r="Y159" i="38" s="1"/>
  <c r="A182" i="24"/>
  <c r="D160" i="38"/>
  <c r="B160" i="38"/>
  <c r="AQ160" i="38"/>
  <c r="A159" i="7"/>
  <c r="AK160" i="38"/>
  <c r="A161" i="38"/>
  <c r="B157" i="6"/>
  <c r="C161" i="38"/>
  <c r="C159" i="7"/>
  <c r="AZ159" i="7"/>
  <c r="AV160" i="38"/>
  <c r="AM158" i="38" l="1"/>
  <c r="AM159" i="38" s="1"/>
  <c r="AM160" i="38" s="1"/>
  <c r="B158" i="6"/>
  <c r="AE158" i="38"/>
  <c r="Z160" i="38"/>
  <c r="Y160" i="38" s="1"/>
  <c r="D159" i="7"/>
  <c r="B159" i="7"/>
  <c r="D161" i="38"/>
  <c r="A160" i="7"/>
  <c r="A162" i="38"/>
  <c r="AQ161" i="38"/>
  <c r="B161" i="38"/>
  <c r="A183" i="24"/>
  <c r="AK161" i="38"/>
  <c r="AR160" i="38"/>
  <c r="C162" i="38"/>
  <c r="C160" i="7"/>
  <c r="AV161" i="38"/>
  <c r="AZ160" i="7"/>
  <c r="V159" i="38" l="1"/>
  <c r="AG159" i="38" s="1"/>
  <c r="V160" i="38"/>
  <c r="AI160" i="38" s="1"/>
  <c r="AD159" i="38"/>
  <c r="AM161" i="38"/>
  <c r="AR161" i="38"/>
  <c r="A161" i="7"/>
  <c r="A184" i="24"/>
  <c r="A163" i="38"/>
  <c r="AK162" i="38"/>
  <c r="AQ162" i="38"/>
  <c r="B162" i="38"/>
  <c r="D162" i="38"/>
  <c r="Z161" i="38"/>
  <c r="Y161" i="38" s="1"/>
  <c r="B160" i="7"/>
  <c r="D160" i="7"/>
  <c r="C163" i="38"/>
  <c r="C161" i="7"/>
  <c r="AZ161" i="7"/>
  <c r="AV162" i="38"/>
  <c r="AB159" i="38" l="1"/>
  <c r="AH159" i="38"/>
  <c r="AA159" i="38"/>
  <c r="B159" i="6" s="1"/>
  <c r="AJ159" i="38"/>
  <c r="AI159" i="38"/>
  <c r="E158" i="7"/>
  <c r="F158" i="7" s="1"/>
  <c r="AD160" i="38"/>
  <c r="AS160" i="38" s="1"/>
  <c r="AH160" i="38"/>
  <c r="AG160" i="38"/>
  <c r="E159" i="7"/>
  <c r="F159" i="7" s="1"/>
  <c r="AA160" i="38"/>
  <c r="AJ160" i="38"/>
  <c r="AB160" i="38"/>
  <c r="AS159" i="38"/>
  <c r="AL159" i="38"/>
  <c r="D159" i="6" s="1"/>
  <c r="AR162" i="38"/>
  <c r="AM162" i="38"/>
  <c r="AQ163" i="38"/>
  <c r="A185" i="24"/>
  <c r="B163" i="38"/>
  <c r="A164" i="38"/>
  <c r="A162" i="7"/>
  <c r="AK163" i="38"/>
  <c r="D163" i="38"/>
  <c r="D161" i="7"/>
  <c r="B161" i="7"/>
  <c r="Z162" i="38"/>
  <c r="Y162" i="38" s="1"/>
  <c r="C162" i="7"/>
  <c r="C164" i="38"/>
  <c r="AV163" i="38"/>
  <c r="AZ162" i="7"/>
  <c r="AE159" i="38" l="1"/>
  <c r="AE160" i="38" s="1"/>
  <c r="AT159" i="38"/>
  <c r="E159" i="38" s="1"/>
  <c r="B160" i="6"/>
  <c r="AT160" i="38"/>
  <c r="E160" i="38" s="1"/>
  <c r="AL160" i="38"/>
  <c r="D160" i="6" s="1"/>
  <c r="V161" i="38"/>
  <c r="AB161" i="38" s="1"/>
  <c r="AD161" i="38"/>
  <c r="D164" i="38"/>
  <c r="AK164" i="38"/>
  <c r="A186" i="24"/>
  <c r="B164" i="38"/>
  <c r="A163" i="7"/>
  <c r="AQ164" i="38"/>
  <c r="A165" i="38"/>
  <c r="AR163" i="38"/>
  <c r="AM163" i="38"/>
  <c r="Z163" i="38"/>
  <c r="Y163" i="38" s="1"/>
  <c r="B162" i="7"/>
  <c r="D162" i="7"/>
  <c r="C165" i="38"/>
  <c r="C163" i="7"/>
  <c r="AV164" i="38"/>
  <c r="AZ163" i="7"/>
  <c r="AH161" i="38" l="1"/>
  <c r="AG161" i="38"/>
  <c r="AI161" i="38"/>
  <c r="AA161" i="38"/>
  <c r="B161" i="6" s="1"/>
  <c r="E160" i="7"/>
  <c r="F160" i="7" s="1"/>
  <c r="AJ161" i="38"/>
  <c r="V162" i="38"/>
  <c r="AI162" i="38" s="1"/>
  <c r="AD162" i="38"/>
  <c r="AL162" i="38" s="1"/>
  <c r="D162" i="6" s="1"/>
  <c r="AS161" i="38"/>
  <c r="AL161" i="38"/>
  <c r="D161" i="6" s="1"/>
  <c r="A166" i="38"/>
  <c r="AQ165" i="38"/>
  <c r="A164" i="7"/>
  <c r="B165" i="38"/>
  <c r="A187" i="24"/>
  <c r="D165" i="38"/>
  <c r="AK165" i="38"/>
  <c r="Y164" i="38"/>
  <c r="Z164" i="38"/>
  <c r="B163" i="7"/>
  <c r="D163" i="7"/>
  <c r="AR164" i="38"/>
  <c r="AM164" i="38"/>
  <c r="C166" i="38"/>
  <c r="C164" i="7"/>
  <c r="AV165" i="38"/>
  <c r="AZ164" i="7"/>
  <c r="AT161" i="38" l="1"/>
  <c r="AE161" i="38"/>
  <c r="AA162" i="38"/>
  <c r="AT162" i="38" s="1"/>
  <c r="E162" i="38" s="1"/>
  <c r="AJ162" i="38"/>
  <c r="V163" i="38"/>
  <c r="AA163" i="38" s="1"/>
  <c r="AB162" i="38"/>
  <c r="E161" i="7"/>
  <c r="F161" i="7" s="1"/>
  <c r="AD163" i="38"/>
  <c r="AL165" i="38" s="1"/>
  <c r="D165" i="6" s="1"/>
  <c r="AG162" i="38"/>
  <c r="AS162" i="38"/>
  <c r="AH162" i="38"/>
  <c r="AJ164" i="38"/>
  <c r="AA164" i="38"/>
  <c r="AT164" i="38" s="1"/>
  <c r="E164" i="38" s="1"/>
  <c r="AH164" i="38"/>
  <c r="AB164" i="38"/>
  <c r="AI164" i="38"/>
  <c r="AR165" i="38"/>
  <c r="AM165" i="38"/>
  <c r="Z165" i="38"/>
  <c r="Y165" i="38"/>
  <c r="D164" i="7"/>
  <c r="B164" i="7"/>
  <c r="AQ166" i="38"/>
  <c r="A167" i="38"/>
  <c r="A188" i="24"/>
  <c r="AK166" i="38"/>
  <c r="B166" i="38"/>
  <c r="D166" i="38"/>
  <c r="A165" i="7"/>
  <c r="C167" i="38"/>
  <c r="C165" i="7"/>
  <c r="AZ165" i="7"/>
  <c r="AV166" i="38"/>
  <c r="E161" i="38" l="1"/>
  <c r="M6" i="23"/>
  <c r="L6" i="23" s="1"/>
  <c r="B162" i="6"/>
  <c r="B163" i="6" s="1"/>
  <c r="B164" i="6" s="1"/>
  <c r="E162" i="7"/>
  <c r="F162" i="7" s="1"/>
  <c r="AE162" i="38"/>
  <c r="AE163" i="38" s="1"/>
  <c r="AE164" i="38" s="1"/>
  <c r="AJ163" i="38"/>
  <c r="AH163" i="38"/>
  <c r="AB163" i="38"/>
  <c r="AG163" i="38"/>
  <c r="AI163" i="38"/>
  <c r="AL163" i="38"/>
  <c r="D163" i="6" s="1"/>
  <c r="AS163" i="38"/>
  <c r="AL164" i="38"/>
  <c r="D164" i="6" s="1"/>
  <c r="AT163" i="38"/>
  <c r="E163" i="38" s="1"/>
  <c r="AL166" i="38"/>
  <c r="D166" i="6" s="1"/>
  <c r="AM166" i="38"/>
  <c r="AR166" i="38"/>
  <c r="D165" i="7"/>
  <c r="B165" i="7"/>
  <c r="Y166" i="38"/>
  <c r="Z166" i="38"/>
  <c r="AI165" i="38"/>
  <c r="AH165" i="38"/>
  <c r="AA165" i="38"/>
  <c r="AT165" i="38" s="1"/>
  <c r="E165" i="38" s="1"/>
  <c r="AB165" i="38"/>
  <c r="AJ165" i="38"/>
  <c r="B167" i="38"/>
  <c r="D167" i="38"/>
  <c r="A166" i="7"/>
  <c r="AQ167" i="38"/>
  <c r="A168" i="38"/>
  <c r="A189" i="24"/>
  <c r="AK167" i="38"/>
  <c r="C168" i="38"/>
  <c r="C166" i="7"/>
  <c r="AZ166" i="7"/>
  <c r="AV167" i="38"/>
  <c r="AE165" i="38" l="1"/>
  <c r="AR167" i="38"/>
  <c r="AM167" i="38"/>
  <c r="AQ168" i="38"/>
  <c r="A190" i="24"/>
  <c r="A167" i="7"/>
  <c r="D168" i="38"/>
  <c r="A169" i="38"/>
  <c r="B168" i="38"/>
  <c r="AK168" i="38"/>
  <c r="AB166" i="38"/>
  <c r="AA166" i="38"/>
  <c r="AT166" i="38" s="1"/>
  <c r="E166" i="38" s="1"/>
  <c r="AI166" i="38"/>
  <c r="AH166" i="38"/>
  <c r="AJ166" i="38"/>
  <c r="Z167" i="38"/>
  <c r="Y167" i="38" s="1"/>
  <c r="D166" i="7"/>
  <c r="B166" i="7"/>
  <c r="B165" i="6"/>
  <c r="C167" i="7"/>
  <c r="C169" i="38"/>
  <c r="AZ167" i="7"/>
  <c r="AV168" i="38"/>
  <c r="B166" i="6" l="1"/>
  <c r="AE166" i="38"/>
  <c r="AD167" i="38"/>
  <c r="A168" i="7"/>
  <c r="A191" i="24"/>
  <c r="AQ169" i="38"/>
  <c r="B169" i="38"/>
  <c r="AK169" i="38"/>
  <c r="D169" i="38"/>
  <c r="A170" i="38"/>
  <c r="AR168" i="38"/>
  <c r="AM168" i="38"/>
  <c r="Z168" i="38"/>
  <c r="Y168" i="38" s="1"/>
  <c r="B167" i="7"/>
  <c r="D167" i="7"/>
  <c r="C170" i="38"/>
  <c r="C168" i="7"/>
  <c r="AV169" i="38"/>
  <c r="AZ168" i="7"/>
  <c r="V167" i="38" l="1"/>
  <c r="AG167" i="38" s="1"/>
  <c r="AL167" i="38"/>
  <c r="D167" i="6" s="1"/>
  <c r="B170" i="38"/>
  <c r="AK170" i="38"/>
  <c r="AQ170" i="38"/>
  <c r="A171" i="38"/>
  <c r="A169" i="7"/>
  <c r="D170" i="38"/>
  <c r="A192" i="24"/>
  <c r="AR169" i="38"/>
  <c r="AM169" i="38"/>
  <c r="Z169" i="38"/>
  <c r="Y169" i="38" s="1"/>
  <c r="B168" i="7"/>
  <c r="D168" i="7"/>
  <c r="C171" i="38"/>
  <c r="C169" i="7"/>
  <c r="AZ169" i="7"/>
  <c r="AV170" i="38"/>
  <c r="AI167" i="38" l="1"/>
  <c r="E166" i="7"/>
  <c r="F166" i="7" s="1"/>
  <c r="AS167" i="38"/>
  <c r="AD168" i="38"/>
  <c r="AL168" i="38" s="1"/>
  <c r="D168" i="6" s="1"/>
  <c r="AH167" i="38"/>
  <c r="AA167" i="38"/>
  <c r="AT167" i="38" s="1"/>
  <c r="E167" i="38" s="1"/>
  <c r="AJ167" i="38"/>
  <c r="AB167" i="38"/>
  <c r="V168" i="38"/>
  <c r="AR170" i="38"/>
  <c r="Z170" i="38"/>
  <c r="Y170" i="38" s="1"/>
  <c r="AM170" i="38"/>
  <c r="D169" i="7"/>
  <c r="B169" i="7"/>
  <c r="A172" i="38"/>
  <c r="D171" i="38"/>
  <c r="A193" i="24"/>
  <c r="AQ171" i="38"/>
  <c r="AK171" i="38"/>
  <c r="A170" i="7"/>
  <c r="B171" i="38"/>
  <c r="C170" i="7"/>
  <c r="C172" i="38"/>
  <c r="AZ170" i="7"/>
  <c r="AV171" i="38"/>
  <c r="V169" i="38" l="1"/>
  <c r="AB169" i="38" s="1"/>
  <c r="V170" i="38"/>
  <c r="AD169" i="38"/>
  <c r="B167" i="6"/>
  <c r="AE167" i="38"/>
  <c r="AS168" i="38"/>
  <c r="E167" i="7"/>
  <c r="F167" i="7" s="1"/>
  <c r="AG168" i="38"/>
  <c r="AA168" i="38"/>
  <c r="AJ168" i="38"/>
  <c r="AH168" i="38"/>
  <c r="AI168" i="38"/>
  <c r="AB168" i="38"/>
  <c r="Z171" i="38"/>
  <c r="Y171" i="38"/>
  <c r="A173" i="38"/>
  <c r="A171" i="7"/>
  <c r="A194" i="24"/>
  <c r="AQ172" i="38"/>
  <c r="D172" i="38"/>
  <c r="B172" i="38"/>
  <c r="AK172" i="38"/>
  <c r="D170" i="7"/>
  <c r="B170" i="7"/>
  <c r="AR171" i="38"/>
  <c r="AM171" i="38"/>
  <c r="C173" i="38"/>
  <c r="C171" i="7"/>
  <c r="AZ171" i="7"/>
  <c r="AV172" i="38"/>
  <c r="AG169" i="38" l="1"/>
  <c r="AJ169" i="38"/>
  <c r="E168" i="7"/>
  <c r="F168" i="7" s="1"/>
  <c r="AA169" i="38"/>
  <c r="AT169" i="38" s="1"/>
  <c r="E169" i="38" s="1"/>
  <c r="AI169" i="38"/>
  <c r="AH169" i="38"/>
  <c r="AD170" i="38"/>
  <c r="AL170" i="38" s="1"/>
  <c r="D170" i="6" s="1"/>
  <c r="AG170" i="38"/>
  <c r="E169" i="7"/>
  <c r="F169" i="7" s="1"/>
  <c r="AB170" i="38"/>
  <c r="AJ170" i="38"/>
  <c r="AA170" i="38"/>
  <c r="AH170" i="38"/>
  <c r="AI170" i="38"/>
  <c r="AS169" i="38"/>
  <c r="AL169" i="38"/>
  <c r="D169" i="6" s="1"/>
  <c r="AT168" i="38"/>
  <c r="E168" i="38" s="1"/>
  <c r="AE168" i="38"/>
  <c r="B168" i="6"/>
  <c r="B173" i="38"/>
  <c r="AQ173" i="38"/>
  <c r="A172" i="7"/>
  <c r="D173" i="38"/>
  <c r="A174" i="38"/>
  <c r="A195" i="24"/>
  <c r="AK173" i="38"/>
  <c r="B171" i="7"/>
  <c r="D171" i="7"/>
  <c r="AR172" i="38"/>
  <c r="AM172" i="38"/>
  <c r="AI171" i="38"/>
  <c r="AB171" i="38"/>
  <c r="AJ171" i="38"/>
  <c r="AA171" i="38"/>
  <c r="AT171" i="38" s="1"/>
  <c r="E171" i="38" s="1"/>
  <c r="AH171" i="38"/>
  <c r="Y172" i="38"/>
  <c r="Z172" i="38"/>
  <c r="C172" i="7"/>
  <c r="C174" i="38"/>
  <c r="AV173" i="38"/>
  <c r="AZ172" i="7"/>
  <c r="B169" i="6" l="1"/>
  <c r="B170" i="6" s="1"/>
  <c r="B171" i="6" s="1"/>
  <c r="AE169" i="38"/>
  <c r="AE170" i="38" s="1"/>
  <c r="AE171" i="38" s="1"/>
  <c r="AS170" i="38"/>
  <c r="AL173" i="38"/>
  <c r="D173" i="6" s="1"/>
  <c r="AL172" i="38"/>
  <c r="D172" i="6" s="1"/>
  <c r="AT170" i="38"/>
  <c r="E170" i="38" s="1"/>
  <c r="AL171" i="38"/>
  <c r="D171" i="6" s="1"/>
  <c r="AL174" i="38"/>
  <c r="D174" i="6" s="1"/>
  <c r="AR173" i="38"/>
  <c r="AM173" i="38"/>
  <c r="AB172" i="38"/>
  <c r="AJ172" i="38"/>
  <c r="AA172" i="38"/>
  <c r="AT172" i="38" s="1"/>
  <c r="E172" i="38" s="1"/>
  <c r="AH172" i="38"/>
  <c r="AI172" i="38"/>
  <c r="Z173" i="38"/>
  <c r="Y173" i="38" s="1"/>
  <c r="D172" i="7"/>
  <c r="B172" i="7"/>
  <c r="A196" i="24"/>
  <c r="AK174" i="38"/>
  <c r="B174" i="38"/>
  <c r="AQ174" i="38"/>
  <c r="D174" i="38"/>
  <c r="A175" i="38"/>
  <c r="A173" i="7"/>
  <c r="C173" i="7"/>
  <c r="C175" i="38"/>
  <c r="AZ173" i="7"/>
  <c r="AV174" i="38"/>
  <c r="AE172" i="38" l="1"/>
  <c r="B172" i="6"/>
  <c r="D173" i="7"/>
  <c r="B173" i="7"/>
  <c r="A197" i="24"/>
  <c r="B175" i="38"/>
  <c r="A174" i="7"/>
  <c r="D175" i="38"/>
  <c r="A176" i="38"/>
  <c r="AQ175" i="38"/>
  <c r="AK175" i="38"/>
  <c r="Z174" i="38"/>
  <c r="Y174" i="38" s="1"/>
  <c r="AJ173" i="38"/>
  <c r="AI173" i="38"/>
  <c r="AA173" i="38"/>
  <c r="AH173" i="38"/>
  <c r="AB173" i="38"/>
  <c r="AR174" i="38"/>
  <c r="AM174" i="38"/>
  <c r="C174" i="7"/>
  <c r="C176" i="38"/>
  <c r="AZ174" i="7"/>
  <c r="AV175" i="38"/>
  <c r="AT173" i="38" l="1"/>
  <c r="E173" i="38" s="1"/>
  <c r="AE173" i="38"/>
  <c r="AR175" i="38"/>
  <c r="AB174" i="38"/>
  <c r="AA174" i="38"/>
  <c r="AT174" i="38" s="1"/>
  <c r="E174" i="38" s="1"/>
  <c r="AH174" i="38"/>
  <c r="AI174" i="38"/>
  <c r="AJ174" i="38"/>
  <c r="A177" i="38"/>
  <c r="AQ176" i="38"/>
  <c r="A198" i="24"/>
  <c r="AK176" i="38"/>
  <c r="B176" i="38"/>
  <c r="A175" i="7"/>
  <c r="D176" i="38"/>
  <c r="Z175" i="38"/>
  <c r="Y175" i="38" s="1"/>
  <c r="B174" i="7"/>
  <c r="D174" i="7"/>
  <c r="AM175" i="38"/>
  <c r="B173" i="6"/>
  <c r="C177" i="38"/>
  <c r="C175" i="7"/>
  <c r="AV176" i="38"/>
  <c r="AZ175" i="7"/>
  <c r="B174" i="6" l="1"/>
  <c r="AE174" i="38"/>
  <c r="AR176" i="38"/>
  <c r="AM176" i="38"/>
  <c r="B175" i="7"/>
  <c r="D175" i="7"/>
  <c r="A178" i="38"/>
  <c r="A199" i="24"/>
  <c r="B177" i="38"/>
  <c r="AQ177" i="38"/>
  <c r="D177" i="38"/>
  <c r="AK177" i="38"/>
  <c r="A176" i="7"/>
  <c r="Y176" i="38"/>
  <c r="Z176" i="38"/>
  <c r="C178" i="38"/>
  <c r="C176" i="7"/>
  <c r="AV177" i="38"/>
  <c r="AZ176" i="7"/>
  <c r="V175" i="38" l="1"/>
  <c r="E174" i="7" s="1"/>
  <c r="F174" i="7" s="1"/>
  <c r="AD175" i="38"/>
  <c r="AR177" i="38"/>
  <c r="AQ178" i="38"/>
  <c r="A200" i="24"/>
  <c r="A179" i="38"/>
  <c r="AK178" i="38"/>
  <c r="B178" i="38"/>
  <c r="A177" i="7"/>
  <c r="D178" i="38"/>
  <c r="Z177" i="38"/>
  <c r="Y177" i="38"/>
  <c r="AM177" i="38"/>
  <c r="AJ176" i="38"/>
  <c r="AA176" i="38"/>
  <c r="AT176" i="38" s="1"/>
  <c r="E176" i="38" s="1"/>
  <c r="AH176" i="38"/>
  <c r="AI176" i="38"/>
  <c r="AB176" i="38"/>
  <c r="D176" i="7"/>
  <c r="B176" i="7"/>
  <c r="C177" i="7"/>
  <c r="C179" i="38"/>
  <c r="AZ177" i="7"/>
  <c r="AV178" i="38"/>
  <c r="AI175" i="38" l="1"/>
  <c r="AB175" i="38"/>
  <c r="AJ175" i="38"/>
  <c r="AH175" i="38"/>
  <c r="AA175" i="38"/>
  <c r="AE175" i="38" s="1"/>
  <c r="AE176" i="38" s="1"/>
  <c r="AG175" i="38"/>
  <c r="AS175" i="38"/>
  <c r="AL185" i="38"/>
  <c r="D185" i="6" s="1"/>
  <c r="AL192" i="38"/>
  <c r="D192" i="6" s="1"/>
  <c r="AL183" i="38"/>
  <c r="D183" i="6" s="1"/>
  <c r="AL176" i="38"/>
  <c r="D176" i="6" s="1"/>
  <c r="AL184" i="38"/>
  <c r="D184" i="6" s="1"/>
  <c r="AL180" i="38"/>
  <c r="D180" i="6" s="1"/>
  <c r="AL188" i="38"/>
  <c r="D188" i="6" s="1"/>
  <c r="AL191" i="38"/>
  <c r="D191" i="6" s="1"/>
  <c r="AL190" i="38"/>
  <c r="D190" i="6" s="1"/>
  <c r="AL182" i="38"/>
  <c r="D182" i="6" s="1"/>
  <c r="AL179" i="38"/>
  <c r="D179" i="6" s="1"/>
  <c r="AL186" i="38"/>
  <c r="D186" i="6" s="1"/>
  <c r="AL181" i="38"/>
  <c r="D181" i="6" s="1"/>
  <c r="AL175" i="38"/>
  <c r="D175" i="6" s="1"/>
  <c r="AL178" i="38"/>
  <c r="D178" i="6" s="1"/>
  <c r="AL189" i="38"/>
  <c r="D189" i="6" s="1"/>
  <c r="AL187" i="38"/>
  <c r="D187" i="6" s="1"/>
  <c r="AL177" i="38"/>
  <c r="D177" i="6" s="1"/>
  <c r="AL193" i="38"/>
  <c r="D193" i="6" s="1"/>
  <c r="Y178" i="38"/>
  <c r="Z178" i="38"/>
  <c r="D179" i="38"/>
  <c r="B179" i="38"/>
  <c r="A201" i="24"/>
  <c r="AQ179" i="38"/>
  <c r="A180" i="38"/>
  <c r="A178" i="7"/>
  <c r="AK179" i="38"/>
  <c r="B177" i="7"/>
  <c r="D177" i="7"/>
  <c r="AR178" i="38"/>
  <c r="AM178" i="38"/>
  <c r="AJ177" i="38"/>
  <c r="AH177" i="38"/>
  <c r="AB177" i="38"/>
  <c r="AI177" i="38"/>
  <c r="AA177" i="38"/>
  <c r="AT177" i="38" s="1"/>
  <c r="E177" i="38" s="1"/>
  <c r="C178" i="7"/>
  <c r="C180" i="38"/>
  <c r="AV179" i="38"/>
  <c r="AZ178" i="7"/>
  <c r="AT175" i="38" l="1"/>
  <c r="E175" i="38" s="1"/>
  <c r="B175" i="6"/>
  <c r="B176" i="6" s="1"/>
  <c r="B177" i="6" s="1"/>
  <c r="AE177" i="38"/>
  <c r="B180" i="38"/>
  <c r="D180" i="38"/>
  <c r="AQ180" i="38"/>
  <c r="A181" i="38"/>
  <c r="A202" i="24"/>
  <c r="AK180" i="38"/>
  <c r="A179" i="7"/>
  <c r="AR179" i="38"/>
  <c r="AM179" i="38"/>
  <c r="Z179" i="38"/>
  <c r="Y179" i="38"/>
  <c r="D178" i="7"/>
  <c r="B178" i="7"/>
  <c r="AA178" i="38"/>
  <c r="AT178" i="38" s="1"/>
  <c r="E178" i="38" s="1"/>
  <c r="AH178" i="38"/>
  <c r="AI178" i="38"/>
  <c r="AB178" i="38"/>
  <c r="AJ178" i="38"/>
  <c r="C179" i="7"/>
  <c r="C181" i="38"/>
  <c r="AZ179" i="7"/>
  <c r="AV180" i="38"/>
  <c r="AE178" i="38" l="1"/>
  <c r="B178" i="6"/>
  <c r="AA179" i="38"/>
  <c r="AT179" i="38" s="1"/>
  <c r="E179" i="38" s="1"/>
  <c r="AI179" i="38"/>
  <c r="AH179" i="38"/>
  <c r="AB179" i="38"/>
  <c r="AJ179" i="38"/>
  <c r="B179" i="7"/>
  <c r="D179" i="7"/>
  <c r="B181" i="38"/>
  <c r="A180" i="7"/>
  <c r="A203" i="24"/>
  <c r="AK181" i="38"/>
  <c r="AQ181" i="38"/>
  <c r="D181" i="38"/>
  <c r="A182" i="38"/>
  <c r="Z180" i="38"/>
  <c r="Y180" i="38"/>
  <c r="AR180" i="38"/>
  <c r="AM180" i="38"/>
  <c r="C182" i="38"/>
  <c r="C180" i="7"/>
  <c r="AZ180" i="7"/>
  <c r="AV181" i="38"/>
  <c r="AE179" i="38" l="1"/>
  <c r="A204" i="24"/>
  <c r="D182" i="38"/>
  <c r="B182" i="38"/>
  <c r="A181" i="7"/>
  <c r="AK182" i="38"/>
  <c r="AQ182" i="38"/>
  <c r="A183" i="38"/>
  <c r="Y181" i="38"/>
  <c r="Z181" i="38"/>
  <c r="AR181" i="38"/>
  <c r="AM181" i="38"/>
  <c r="B180" i="7"/>
  <c r="D180" i="7"/>
  <c r="AB180" i="38"/>
  <c r="AI180" i="38"/>
  <c r="AJ180" i="38"/>
  <c r="AA180" i="38"/>
  <c r="AH180" i="38"/>
  <c r="B179" i="6"/>
  <c r="C181" i="7"/>
  <c r="C183" i="38"/>
  <c r="AZ181" i="7"/>
  <c r="AV182" i="38"/>
  <c r="AT180" i="38" l="1"/>
  <c r="E180" i="38" s="1"/>
  <c r="AE180" i="38"/>
  <c r="AJ181" i="38"/>
  <c r="AA181" i="38"/>
  <c r="AT181" i="38" s="1"/>
  <c r="E181" i="38" s="1"/>
  <c r="AB181" i="38"/>
  <c r="AH181" i="38"/>
  <c r="AI181" i="38"/>
  <c r="D181" i="7"/>
  <c r="B181" i="7"/>
  <c r="B180" i="6"/>
  <c r="A205" i="24"/>
  <c r="A184" i="38"/>
  <c r="AQ183" i="38"/>
  <c r="A182" i="7"/>
  <c r="B183" i="38"/>
  <c r="D183" i="38"/>
  <c r="AK183" i="38"/>
  <c r="AR182" i="38"/>
  <c r="AM182" i="38"/>
  <c r="Z182" i="38"/>
  <c r="Y182" i="38"/>
  <c r="C182" i="7"/>
  <c r="C184" i="38"/>
  <c r="AZ182" i="7"/>
  <c r="AV183" i="38"/>
  <c r="AE181" i="38" l="1"/>
  <c r="B181" i="6"/>
  <c r="AR183" i="38"/>
  <c r="Z183" i="38"/>
  <c r="Y183" i="38"/>
  <c r="B182" i="7"/>
  <c r="D182" i="7"/>
  <c r="AB182" i="38"/>
  <c r="AI182" i="38"/>
  <c r="AA182" i="38"/>
  <c r="AT182" i="38" s="1"/>
  <c r="E182" i="38" s="1"/>
  <c r="AJ182" i="38"/>
  <c r="AH182" i="38"/>
  <c r="B184" i="38"/>
  <c r="A206" i="24"/>
  <c r="AQ184" i="38"/>
  <c r="A183" i="7"/>
  <c r="A185" i="38"/>
  <c r="D184" i="38"/>
  <c r="AK184" i="38"/>
  <c r="AM183" i="38"/>
  <c r="C185" i="38"/>
  <c r="C183" i="7"/>
  <c r="AZ183" i="7"/>
  <c r="AV184" i="38"/>
  <c r="AE182" i="38" l="1"/>
  <c r="AR184" i="38"/>
  <c r="AM184" i="38"/>
  <c r="A186" i="38"/>
  <c r="AQ185" i="38"/>
  <c r="D185" i="38"/>
  <c r="A207" i="24"/>
  <c r="B185" i="38"/>
  <c r="AK185" i="38"/>
  <c r="A184" i="7"/>
  <c r="B183" i="7"/>
  <c r="D183" i="7"/>
  <c r="AI183" i="38"/>
  <c r="AA183" i="38"/>
  <c r="AT183" i="38" s="1"/>
  <c r="E183" i="38" s="1"/>
  <c r="AB183" i="38"/>
  <c r="AJ183" i="38"/>
  <c r="AH183" i="38"/>
  <c r="Y184" i="38"/>
  <c r="Z184" i="38"/>
  <c r="B182" i="6"/>
  <c r="C184" i="7"/>
  <c r="C186" i="38"/>
  <c r="AV185" i="38"/>
  <c r="AZ184" i="7"/>
  <c r="AE183" i="38" l="1"/>
  <c r="AR185" i="38"/>
  <c r="B183" i="6"/>
  <c r="Z185" i="38"/>
  <c r="Y185" i="38"/>
  <c r="A185" i="7"/>
  <c r="AQ186" i="38"/>
  <c r="A187" i="38"/>
  <c r="D186" i="38"/>
  <c r="A208" i="24"/>
  <c r="B186" i="38"/>
  <c r="AK186" i="38"/>
  <c r="AM185" i="38"/>
  <c r="AA184" i="38"/>
  <c r="AT184" i="38" s="1"/>
  <c r="E184" i="38" s="1"/>
  <c r="AB184" i="38"/>
  <c r="AI184" i="38"/>
  <c r="AH184" i="38"/>
  <c r="AJ184" i="38"/>
  <c r="D184" i="7"/>
  <c r="B184" i="7"/>
  <c r="C185" i="7"/>
  <c r="C187" i="38"/>
  <c r="AZ185" i="7"/>
  <c r="AV186" i="38"/>
  <c r="AE184" i="38" l="1"/>
  <c r="B184" i="6"/>
  <c r="AR186" i="38"/>
  <c r="AM186" i="38"/>
  <c r="AJ185" i="38"/>
  <c r="AA185" i="38"/>
  <c r="AT185" i="38" s="1"/>
  <c r="E185" i="38" s="1"/>
  <c r="AB185" i="38"/>
  <c r="AI185" i="38"/>
  <c r="AH185" i="38"/>
  <c r="D185" i="7"/>
  <c r="B185" i="7"/>
  <c r="Y186" i="38"/>
  <c r="Z186" i="38"/>
  <c r="D187" i="38"/>
  <c r="B187" i="38"/>
  <c r="A209" i="24"/>
  <c r="A186" i="7"/>
  <c r="A188" i="38"/>
  <c r="AQ187" i="38"/>
  <c r="AK187" i="38"/>
  <c r="C186" i="7"/>
  <c r="C188" i="38"/>
  <c r="AV187" i="38"/>
  <c r="AZ186" i="7"/>
  <c r="AE185" i="38" l="1"/>
  <c r="B185" i="6"/>
  <c r="AR187" i="38"/>
  <c r="B186" i="7"/>
  <c r="D186" i="7"/>
  <c r="Z187" i="38"/>
  <c r="Y187" i="38"/>
  <c r="AB186" i="38"/>
  <c r="AI186" i="38"/>
  <c r="AJ186" i="38"/>
  <c r="AH186" i="38"/>
  <c r="AA186" i="38"/>
  <c r="AT186" i="38" s="1"/>
  <c r="E186" i="38" s="1"/>
  <c r="A187" i="7"/>
  <c r="A210" i="24"/>
  <c r="D188" i="38"/>
  <c r="AK188" i="38"/>
  <c r="B188" i="38"/>
  <c r="AQ188" i="38"/>
  <c r="A189" i="38"/>
  <c r="C189" i="38"/>
  <c r="C187" i="7"/>
  <c r="AZ187" i="7"/>
  <c r="AV188" i="38"/>
  <c r="AE186" i="38" l="1"/>
  <c r="AM187" i="38" s="1"/>
  <c r="B187" i="7"/>
  <c r="D187" i="7"/>
  <c r="B186" i="6"/>
  <c r="AH187" i="38"/>
  <c r="AB187" i="38"/>
  <c r="AA187" i="38"/>
  <c r="AI187" i="38"/>
  <c r="AJ187" i="38"/>
  <c r="Z188" i="38"/>
  <c r="Y188" i="38"/>
  <c r="A211" i="24"/>
  <c r="B189" i="38"/>
  <c r="A188" i="7"/>
  <c r="A190" i="38"/>
  <c r="AQ189" i="38"/>
  <c r="AK189" i="38"/>
  <c r="D189" i="38"/>
  <c r="AR188" i="38"/>
  <c r="C188" i="7"/>
  <c r="C190" i="38"/>
  <c r="AV189" i="38"/>
  <c r="AZ188" i="7"/>
  <c r="AT187" i="38" l="1"/>
  <c r="E187" i="38" s="1"/>
  <c r="AE187" i="38"/>
  <c r="AM188" i="38" s="1"/>
  <c r="AM189" i="38" s="1"/>
  <c r="Y189" i="38"/>
  <c r="Z189" i="38"/>
  <c r="B187" i="6"/>
  <c r="AB188" i="38"/>
  <c r="AI188" i="38"/>
  <c r="AJ188" i="38"/>
  <c r="AH188" i="38"/>
  <c r="AA188" i="38"/>
  <c r="AT188" i="38" s="1"/>
  <c r="E188" i="38" s="1"/>
  <c r="AQ190" i="38"/>
  <c r="B190" i="38"/>
  <c r="A189" i="7"/>
  <c r="A191" i="38"/>
  <c r="A212" i="24"/>
  <c r="AK190" i="38"/>
  <c r="D190" i="38"/>
  <c r="AR189" i="38"/>
  <c r="B188" i="7"/>
  <c r="D188" i="7"/>
  <c r="C189" i="7"/>
  <c r="C191" i="38"/>
  <c r="AV190" i="38"/>
  <c r="AZ189" i="7"/>
  <c r="AE188" i="38" l="1"/>
  <c r="AR190" i="38"/>
  <c r="B189" i="7"/>
  <c r="D189" i="7"/>
  <c r="B188" i="6"/>
  <c r="AQ191" i="38"/>
  <c r="D191" i="38"/>
  <c r="A213" i="24"/>
  <c r="A190" i="7"/>
  <c r="A192" i="38"/>
  <c r="AK191" i="38"/>
  <c r="B191" i="38"/>
  <c r="Y190" i="38"/>
  <c r="Z190" i="38"/>
  <c r="AM190" i="38"/>
  <c r="AA189" i="38"/>
  <c r="AT189" i="38" s="1"/>
  <c r="E189" i="38" s="1"/>
  <c r="AJ189" i="38"/>
  <c r="AB189" i="38"/>
  <c r="AI189" i="38"/>
  <c r="AH189" i="38"/>
  <c r="C190" i="7"/>
  <c r="C192" i="38"/>
  <c r="AZ190" i="7"/>
  <c r="AV191" i="38"/>
  <c r="AE189" i="38" l="1"/>
  <c r="B189" i="6"/>
  <c r="AJ190" i="38"/>
  <c r="AI190" i="38"/>
  <c r="AA190" i="38"/>
  <c r="AT190" i="38" s="1"/>
  <c r="E190" i="38" s="1"/>
  <c r="AB190" i="38"/>
  <c r="AH190" i="38"/>
  <c r="B190" i="7"/>
  <c r="D190" i="7"/>
  <c r="Y191" i="38"/>
  <c r="Z191" i="38"/>
  <c r="AR191" i="38"/>
  <c r="AM191" i="38"/>
  <c r="A191" i="7"/>
  <c r="A214" i="24"/>
  <c r="A193" i="38"/>
  <c r="AQ192" i="38"/>
  <c r="D192" i="38"/>
  <c r="B192" i="38"/>
  <c r="AK192" i="38"/>
  <c r="C193" i="38"/>
  <c r="C191" i="7"/>
  <c r="AZ191" i="7"/>
  <c r="AV192" i="38"/>
  <c r="AE190" i="38" l="1"/>
  <c r="B190" i="6"/>
  <c r="B193" i="38"/>
  <c r="AK193" i="38"/>
  <c r="A215" i="24"/>
  <c r="A192" i="7"/>
  <c r="D193" i="38"/>
  <c r="A194" i="38"/>
  <c r="AQ193" i="38"/>
  <c r="Y192" i="38"/>
  <c r="Z192" i="38"/>
  <c r="AR192" i="38"/>
  <c r="AM192" i="38"/>
  <c r="D191" i="7"/>
  <c r="B191" i="7"/>
  <c r="AI191" i="38"/>
  <c r="AJ191" i="38"/>
  <c r="AB191" i="38"/>
  <c r="AH191" i="38"/>
  <c r="AA191" i="38"/>
  <c r="AT191" i="38" s="1"/>
  <c r="E191" i="38" s="1"/>
  <c r="C192" i="7"/>
  <c r="C194" i="38"/>
  <c r="AV193" i="38"/>
  <c r="AZ192" i="7"/>
  <c r="AE191" i="38" l="1"/>
  <c r="AM193" i="38"/>
  <c r="D194" i="38"/>
  <c r="AK194" i="38"/>
  <c r="A195" i="38"/>
  <c r="B194" i="38"/>
  <c r="A216" i="24"/>
  <c r="A193" i="7"/>
  <c r="AQ194" i="38"/>
  <c r="AR193" i="38"/>
  <c r="Y193" i="38"/>
  <c r="Z193" i="38"/>
  <c r="AB192" i="38"/>
  <c r="AH192" i="38"/>
  <c r="AA192" i="38"/>
  <c r="AT192" i="38" s="1"/>
  <c r="E192" i="38" s="1"/>
  <c r="AJ192" i="38"/>
  <c r="AI192" i="38"/>
  <c r="B192" i="7"/>
  <c r="D192" i="7"/>
  <c r="B191" i="6"/>
  <c r="C193" i="7"/>
  <c r="C195" i="38"/>
  <c r="AZ193" i="7"/>
  <c r="AV194" i="38"/>
  <c r="AE192" i="38" l="1"/>
  <c r="AM194" i="38"/>
  <c r="B192" i="6"/>
  <c r="AR194" i="38"/>
  <c r="B195" i="38"/>
  <c r="A196" i="38"/>
  <c r="A217" i="24"/>
  <c r="AK195" i="38"/>
  <c r="AQ195" i="38"/>
  <c r="D195" i="38"/>
  <c r="A194" i="7"/>
  <c r="AB193" i="38"/>
  <c r="AH193" i="38"/>
  <c r="AA193" i="38"/>
  <c r="AT193" i="38" s="1"/>
  <c r="E193" i="38" s="1"/>
  <c r="AI193" i="38"/>
  <c r="AJ193" i="38"/>
  <c r="B193" i="7"/>
  <c r="D193" i="7"/>
  <c r="Z194" i="38"/>
  <c r="Y194" i="38" s="1"/>
  <c r="C194" i="7"/>
  <c r="C196" i="38"/>
  <c r="AZ194" i="7"/>
  <c r="AV195" i="38"/>
  <c r="AE193" i="38" l="1"/>
  <c r="V194" i="38"/>
  <c r="AH194" i="38" s="1"/>
  <c r="AM195" i="38"/>
  <c r="B194" i="7"/>
  <c r="D194" i="7"/>
  <c r="AQ196" i="38"/>
  <c r="AK196" i="38"/>
  <c r="B196" i="38"/>
  <c r="A197" i="38"/>
  <c r="D196" i="38"/>
  <c r="A218" i="24"/>
  <c r="A195" i="7"/>
  <c r="AR195" i="38"/>
  <c r="Z195" i="38"/>
  <c r="Y195" i="38" s="1"/>
  <c r="B193" i="6"/>
  <c r="C197" i="38"/>
  <c r="C195" i="7"/>
  <c r="AV196" i="38"/>
  <c r="AZ195" i="7"/>
  <c r="E193" i="7" l="1"/>
  <c r="F193" i="7" s="1"/>
  <c r="AG194" i="38"/>
  <c r="AJ194" i="38"/>
  <c r="AA194" i="38"/>
  <c r="AI194" i="38"/>
  <c r="AB194" i="38"/>
  <c r="AD194" i="38"/>
  <c r="AR196" i="38"/>
  <c r="AM196" i="38"/>
  <c r="Z196" i="38"/>
  <c r="Y196" i="38" s="1"/>
  <c r="D197" i="38"/>
  <c r="AK197" i="38"/>
  <c r="A198" i="38"/>
  <c r="A196" i="7"/>
  <c r="AQ197" i="38"/>
  <c r="B197" i="38"/>
  <c r="A219" i="24"/>
  <c r="D195" i="7"/>
  <c r="B195" i="7"/>
  <c r="C198" i="38"/>
  <c r="C196" i="7"/>
  <c r="AV197" i="38"/>
  <c r="AZ196" i="7"/>
  <c r="AD195" i="38" l="1"/>
  <c r="AL195" i="38" s="1"/>
  <c r="D195" i="6" s="1"/>
  <c r="V195" i="38"/>
  <c r="AT194" i="38"/>
  <c r="E194" i="38" s="1"/>
  <c r="AE194" i="38"/>
  <c r="AS194" i="38"/>
  <c r="AL194" i="38"/>
  <c r="D194" i="6" s="1"/>
  <c r="B194" i="6"/>
  <c r="AM197" i="38"/>
  <c r="Z197" i="38"/>
  <c r="Y197" i="38" s="1"/>
  <c r="D196" i="7"/>
  <c r="B196" i="7"/>
  <c r="A199" i="38"/>
  <c r="AK198" i="38"/>
  <c r="D198" i="38"/>
  <c r="AQ198" i="38"/>
  <c r="A220" i="24"/>
  <c r="A197" i="7"/>
  <c r="B198" i="38"/>
  <c r="AR197" i="38"/>
  <c r="C197" i="7"/>
  <c r="C199" i="38"/>
  <c r="AV198" i="38"/>
  <c r="AZ197" i="7"/>
  <c r="V196" i="38" l="1"/>
  <c r="AI196" i="38" s="1"/>
  <c r="AD196" i="38"/>
  <c r="AS195" i="38"/>
  <c r="AG195" i="38"/>
  <c r="E194" i="7"/>
  <c r="F194" i="7" s="1"/>
  <c r="AA195" i="38"/>
  <c r="AI195" i="38"/>
  <c r="AB195" i="38"/>
  <c r="AJ195" i="38"/>
  <c r="AH195" i="38"/>
  <c r="AM198" i="38"/>
  <c r="Z198" i="38"/>
  <c r="Y198" i="38" s="1"/>
  <c r="AQ199" i="38"/>
  <c r="D199" i="38"/>
  <c r="A198" i="7"/>
  <c r="AK199" i="38"/>
  <c r="A221" i="24"/>
  <c r="A200" i="38"/>
  <c r="B199" i="38"/>
  <c r="D197" i="7"/>
  <c r="B197" i="7"/>
  <c r="AR198" i="38"/>
  <c r="C198" i="7"/>
  <c r="C200" i="38"/>
  <c r="AV199" i="38"/>
  <c r="AZ198" i="7"/>
  <c r="E195" i="7" l="1"/>
  <c r="F195" i="7" s="1"/>
  <c r="AH196" i="38"/>
  <c r="AJ196" i="38"/>
  <c r="AA196" i="38"/>
  <c r="AT196" i="38" s="1"/>
  <c r="E196" i="38" s="1"/>
  <c r="AG196" i="38"/>
  <c r="AB196" i="38"/>
  <c r="AD197" i="38"/>
  <c r="AL197" i="38" s="1"/>
  <c r="D197" i="6" s="1"/>
  <c r="V197" i="38"/>
  <c r="AS196" i="38"/>
  <c r="AL196" i="38"/>
  <c r="D196" i="6" s="1"/>
  <c r="AT195" i="38"/>
  <c r="E195" i="38" s="1"/>
  <c r="B195" i="6"/>
  <c r="AE195" i="38"/>
  <c r="AM199" i="38"/>
  <c r="AR199" i="38"/>
  <c r="AQ200" i="38"/>
  <c r="A222" i="24"/>
  <c r="A199" i="7"/>
  <c r="A201" i="38"/>
  <c r="B200" i="38"/>
  <c r="AK200" i="38"/>
  <c r="D200" i="38"/>
  <c r="Z199" i="38"/>
  <c r="Y199" i="38"/>
  <c r="B198" i="7"/>
  <c r="D198" i="7"/>
  <c r="C199" i="7"/>
  <c r="C201" i="38"/>
  <c r="AV200" i="38"/>
  <c r="AZ199" i="7"/>
  <c r="AE196" i="38" l="1"/>
  <c r="B196" i="6"/>
  <c r="V198" i="38"/>
  <c r="AH198" i="38" s="1"/>
  <c r="AD198" i="38"/>
  <c r="E196" i="7"/>
  <c r="F196" i="7" s="1"/>
  <c r="AS197" i="38"/>
  <c r="AG197" i="38"/>
  <c r="AA197" i="38"/>
  <c r="AT197" i="38" s="1"/>
  <c r="E197" i="38" s="1"/>
  <c r="AJ197" i="38"/>
  <c r="AI197" i="38"/>
  <c r="AH197" i="38"/>
  <c r="AB197" i="38"/>
  <c r="AM200" i="38"/>
  <c r="AR200" i="38"/>
  <c r="A223" i="24"/>
  <c r="AK201" i="38"/>
  <c r="B201" i="38"/>
  <c r="A202" i="38"/>
  <c r="A200" i="7"/>
  <c r="D201" i="38"/>
  <c r="AQ201" i="38"/>
  <c r="AB199" i="38"/>
  <c r="AJ199" i="38"/>
  <c r="AH199" i="38"/>
  <c r="AA199" i="38"/>
  <c r="AT199" i="38" s="1"/>
  <c r="E199" i="38" s="1"/>
  <c r="AI199" i="38"/>
  <c r="Y200" i="38"/>
  <c r="Z200" i="38"/>
  <c r="B199" i="7"/>
  <c r="D199" i="7"/>
  <c r="C200" i="7"/>
  <c r="C202" i="38"/>
  <c r="AV201" i="38"/>
  <c r="AZ200" i="7"/>
  <c r="AG198" i="38" l="1"/>
  <c r="E197" i="7"/>
  <c r="F197" i="7" s="1"/>
  <c r="AA198" i="38"/>
  <c r="AI198" i="38"/>
  <c r="AB198" i="38"/>
  <c r="AJ198" i="38"/>
  <c r="AS198" i="38"/>
  <c r="AL198" i="38"/>
  <c r="D198" i="6" s="1"/>
  <c r="AL199" i="38"/>
  <c r="D199" i="6" s="1"/>
  <c r="AL200" i="38"/>
  <c r="D200" i="6" s="1"/>
  <c r="AT198" i="38"/>
  <c r="E198" i="38" s="1"/>
  <c r="B197" i="6"/>
  <c r="AE197" i="38"/>
  <c r="AM201" i="38"/>
  <c r="AB200" i="38"/>
  <c r="AA200" i="38"/>
  <c r="AT200" i="38" s="1"/>
  <c r="E200" i="38" s="1"/>
  <c r="AJ200" i="38"/>
  <c r="AI200" i="38"/>
  <c r="AH200" i="38"/>
  <c r="B200" i="7"/>
  <c r="D200" i="7"/>
  <c r="Z201" i="38"/>
  <c r="Y201" i="38" s="1"/>
  <c r="AR201" i="38"/>
  <c r="A224" i="24"/>
  <c r="A203" i="38"/>
  <c r="AQ202" i="38"/>
  <c r="A201" i="7"/>
  <c r="D202" i="38"/>
  <c r="B202" i="38"/>
  <c r="AK202" i="38"/>
  <c r="C203" i="38"/>
  <c r="C201" i="7"/>
  <c r="AZ201" i="7"/>
  <c r="AV202" i="38"/>
  <c r="AE198" i="38" l="1"/>
  <c r="AE199" i="38" s="1"/>
  <c r="AE200" i="38" s="1"/>
  <c r="B198" i="6"/>
  <c r="B199" i="6" s="1"/>
  <c r="B200" i="6" s="1"/>
  <c r="AM202" i="38"/>
  <c r="AR202" i="38"/>
  <c r="D201" i="7"/>
  <c r="B201" i="7"/>
  <c r="Z202" i="38"/>
  <c r="Y202" i="38" s="1"/>
  <c r="A225" i="24"/>
  <c r="D203" i="38"/>
  <c r="A202" i="7"/>
  <c r="A204" i="38"/>
  <c r="B203" i="38"/>
  <c r="AK203" i="38"/>
  <c r="AQ203" i="38"/>
  <c r="C204" i="38"/>
  <c r="C202" i="7"/>
  <c r="AZ202" i="7"/>
  <c r="AV203" i="38"/>
  <c r="V201" i="38" l="1"/>
  <c r="AH201" i="38" s="1"/>
  <c r="AD201" i="38"/>
  <c r="AM203" i="38"/>
  <c r="D204" i="38"/>
  <c r="A205" i="38"/>
  <c r="A203" i="7"/>
  <c r="B204" i="38"/>
  <c r="A226" i="24"/>
  <c r="AK204" i="38"/>
  <c r="AQ204" i="38"/>
  <c r="Z203" i="38"/>
  <c r="Y203" i="38" s="1"/>
  <c r="B202" i="7"/>
  <c r="D202" i="7"/>
  <c r="AR203" i="38"/>
  <c r="C203" i="7"/>
  <c r="C205" i="38"/>
  <c r="AV204" i="38"/>
  <c r="AZ203" i="7"/>
  <c r="AG201" i="38" l="1"/>
  <c r="AA201" i="38"/>
  <c r="B201" i="6" s="1"/>
  <c r="AI201" i="38"/>
  <c r="AJ201" i="38"/>
  <c r="E200" i="7"/>
  <c r="F200" i="7" s="1"/>
  <c r="AB201" i="38"/>
  <c r="AD202" i="38"/>
  <c r="AL202" i="38" s="1"/>
  <c r="D202" i="6" s="1"/>
  <c r="V202" i="38"/>
  <c r="AS201" i="38"/>
  <c r="AL201" i="38"/>
  <c r="D201" i="6" s="1"/>
  <c r="AR204" i="38"/>
  <c r="AM204" i="38"/>
  <c r="Z204" i="38"/>
  <c r="Y204" i="38" s="1"/>
  <c r="B205" i="38"/>
  <c r="AK205" i="38"/>
  <c r="A206" i="38"/>
  <c r="AQ205" i="38"/>
  <c r="A204" i="7"/>
  <c r="D205" i="38"/>
  <c r="A227" i="24"/>
  <c r="D203" i="7"/>
  <c r="B203" i="7"/>
  <c r="C204" i="7"/>
  <c r="C206" i="38"/>
  <c r="AZ204" i="7"/>
  <c r="AV205" i="38"/>
  <c r="AT201" i="38" l="1"/>
  <c r="E201" i="38" s="1"/>
  <c r="AE201" i="38"/>
  <c r="AD203" i="38"/>
  <c r="AL203" i="38" s="1"/>
  <c r="D203" i="6" s="1"/>
  <c r="V204" i="38"/>
  <c r="AA204" i="38" s="1"/>
  <c r="V203" i="38"/>
  <c r="E201" i="7"/>
  <c r="F201" i="7" s="1"/>
  <c r="AS202" i="38"/>
  <c r="AG202" i="38"/>
  <c r="AH202" i="38"/>
  <c r="AJ202" i="38"/>
  <c r="AA202" i="38"/>
  <c r="AB202" i="38"/>
  <c r="AI202" i="38"/>
  <c r="AM205" i="38"/>
  <c r="D204" i="7"/>
  <c r="B204" i="7"/>
  <c r="AR205" i="38"/>
  <c r="A207" i="38"/>
  <c r="A228" i="24"/>
  <c r="AQ206" i="38"/>
  <c r="AK206" i="38"/>
  <c r="B206" i="38"/>
  <c r="D206" i="38"/>
  <c r="A205" i="7"/>
  <c r="Z205" i="38"/>
  <c r="Y205" i="38" s="1"/>
  <c r="C207" i="38"/>
  <c r="C205" i="7"/>
  <c r="AZ205" i="7"/>
  <c r="AV206" i="38"/>
  <c r="AH204" i="38" l="1"/>
  <c r="AI204" i="38"/>
  <c r="E203" i="7"/>
  <c r="F203" i="7" s="1"/>
  <c r="AG204" i="38"/>
  <c r="AB204" i="38"/>
  <c r="AJ204" i="38"/>
  <c r="AD204" i="38"/>
  <c r="AG203" i="38"/>
  <c r="AS203" i="38"/>
  <c r="E202" i="7"/>
  <c r="F202" i="7" s="1"/>
  <c r="AI203" i="38"/>
  <c r="AA203" i="38"/>
  <c r="AT203" i="38" s="1"/>
  <c r="E203" i="38" s="1"/>
  <c r="AJ203" i="38"/>
  <c r="AH203" i="38"/>
  <c r="AB203" i="38"/>
  <c r="AT202" i="38"/>
  <c r="E202" i="38" s="1"/>
  <c r="B202" i="6"/>
  <c r="AE202" i="38"/>
  <c r="AM206" i="38"/>
  <c r="AR206" i="38"/>
  <c r="Z206" i="38"/>
  <c r="Y206" i="38"/>
  <c r="B205" i="7"/>
  <c r="D205" i="7"/>
  <c r="D207" i="38"/>
  <c r="AK207" i="38"/>
  <c r="B207" i="38"/>
  <c r="A206" i="7"/>
  <c r="A208" i="38"/>
  <c r="A229" i="24"/>
  <c r="AQ207" i="38"/>
  <c r="C206" i="7"/>
  <c r="C208" i="38"/>
  <c r="AZ206" i="7"/>
  <c r="AV207" i="38"/>
  <c r="V205" i="38" l="1"/>
  <c r="AA205" i="38" s="1"/>
  <c r="AD205" i="38"/>
  <c r="AS204" i="38"/>
  <c r="AL204" i="38"/>
  <c r="D204" i="6" s="1"/>
  <c r="AT204" i="38"/>
  <c r="E204" i="38" s="1"/>
  <c r="AE203" i="38"/>
  <c r="AE204" i="38" s="1"/>
  <c r="B203" i="6"/>
  <c r="B204" i="6" s="1"/>
  <c r="AM207" i="38"/>
  <c r="D206" i="7"/>
  <c r="B206" i="7"/>
  <c r="AH206" i="38"/>
  <c r="AA206" i="38"/>
  <c r="AT206" i="38" s="1"/>
  <c r="E206" i="38" s="1"/>
  <c r="AJ206" i="38"/>
  <c r="AB206" i="38"/>
  <c r="AI206" i="38"/>
  <c r="D208" i="38"/>
  <c r="A209" i="38"/>
  <c r="AK208" i="38"/>
  <c r="B208" i="38"/>
  <c r="A207" i="7"/>
  <c r="AQ208" i="38"/>
  <c r="A230" i="24"/>
  <c r="Y207" i="38"/>
  <c r="Z207" i="38"/>
  <c r="AR207" i="38"/>
  <c r="C207" i="7"/>
  <c r="C209" i="38"/>
  <c r="AV208" i="38"/>
  <c r="AZ207" i="7"/>
  <c r="AJ205" i="38" l="1"/>
  <c r="AT205" i="38"/>
  <c r="E205" i="38" s="1"/>
  <c r="AH205" i="38"/>
  <c r="B205" i="6"/>
  <c r="B206" i="6" s="1"/>
  <c r="AI205" i="38"/>
  <c r="AE205" i="38"/>
  <c r="AE206" i="38" s="1"/>
  <c r="AG205" i="38"/>
  <c r="E204" i="7"/>
  <c r="F204" i="7" s="1"/>
  <c r="AB205" i="38"/>
  <c r="AL207" i="38"/>
  <c r="D207" i="6" s="1"/>
  <c r="AL206" i="38"/>
  <c r="D206" i="6" s="1"/>
  <c r="AL205" i="38"/>
  <c r="D205" i="6" s="1"/>
  <c r="AS205" i="38"/>
  <c r="AM208" i="38"/>
  <c r="AB207" i="38"/>
  <c r="AH207" i="38"/>
  <c r="AI207" i="38"/>
  <c r="AA207" i="38"/>
  <c r="AT207" i="38" s="1"/>
  <c r="E207" i="38" s="1"/>
  <c r="AJ207" i="38"/>
  <c r="AR208" i="38"/>
  <c r="Z208" i="38"/>
  <c r="Y208" i="38" s="1"/>
  <c r="A231" i="24"/>
  <c r="D209" i="38"/>
  <c r="B209" i="38"/>
  <c r="A208" i="7"/>
  <c r="AK209" i="38"/>
  <c r="A210" i="38"/>
  <c r="AQ209" i="38"/>
  <c r="D207" i="7"/>
  <c r="B207" i="7"/>
  <c r="C210" i="38"/>
  <c r="C208" i="7"/>
  <c r="AZ208" i="7"/>
  <c r="AV209" i="38"/>
  <c r="AE207" i="38" l="1"/>
  <c r="AM209" i="38"/>
  <c r="B207" i="6"/>
  <c r="A211" i="38"/>
  <c r="AK210" i="38"/>
  <c r="B210" i="38"/>
  <c r="A209" i="7"/>
  <c r="A232" i="24"/>
  <c r="D210" i="38"/>
  <c r="AQ210" i="38"/>
  <c r="AR209" i="38"/>
  <c r="D208" i="7"/>
  <c r="B208" i="7"/>
  <c r="Z209" i="38"/>
  <c r="Y209" i="38" s="1"/>
  <c r="C209" i="7"/>
  <c r="C211" i="38"/>
  <c r="AV210" i="38"/>
  <c r="AZ209" i="7"/>
  <c r="V208" i="38" l="1"/>
  <c r="AA208" i="38" s="1"/>
  <c r="AE208" i="38" s="1"/>
  <c r="AD208" i="38"/>
  <c r="AM210" i="38"/>
  <c r="Z210" i="38"/>
  <c r="Y210" i="38" s="1"/>
  <c r="A210" i="7"/>
  <c r="B211" i="38"/>
  <c r="A212" i="38"/>
  <c r="A233" i="24"/>
  <c r="AQ211" i="38"/>
  <c r="D211" i="38"/>
  <c r="AK211" i="38"/>
  <c r="AR210" i="38"/>
  <c r="B209" i="7"/>
  <c r="D209" i="7"/>
  <c r="C212" i="38"/>
  <c r="C210" i="7"/>
  <c r="AZ210" i="7"/>
  <c r="AV211" i="38"/>
  <c r="AB208" i="38" l="1"/>
  <c r="E207" i="7"/>
  <c r="F207" i="7" s="1"/>
  <c r="AG208" i="38"/>
  <c r="AH208" i="38"/>
  <c r="AJ208" i="38"/>
  <c r="B208" i="6"/>
  <c r="AI208" i="38"/>
  <c r="AD209" i="38"/>
  <c r="AL209" i="38" s="1"/>
  <c r="D209" i="6" s="1"/>
  <c r="V209" i="38"/>
  <c r="AS208" i="38"/>
  <c r="AL208" i="38"/>
  <c r="D208" i="6" s="1"/>
  <c r="AT208" i="38"/>
  <c r="E208" i="38" s="1"/>
  <c r="AM211" i="38"/>
  <c r="AR211" i="38"/>
  <c r="D212" i="38"/>
  <c r="AK212" i="38"/>
  <c r="A211" i="7"/>
  <c r="AQ212" i="38"/>
  <c r="B212" i="38"/>
  <c r="A234" i="24"/>
  <c r="A213" i="38"/>
  <c r="Z211" i="38"/>
  <c r="Y211" i="38" s="1"/>
  <c r="B210" i="7"/>
  <c r="D210" i="7"/>
  <c r="C211" i="7"/>
  <c r="C213" i="38"/>
  <c r="AV212" i="38"/>
  <c r="AZ211" i="7"/>
  <c r="V211" i="38" l="1"/>
  <c r="AH211" i="38" s="1"/>
  <c r="V210" i="38"/>
  <c r="AD210" i="38"/>
  <c r="AS209" i="38"/>
  <c r="AG209" i="38"/>
  <c r="E208" i="7"/>
  <c r="F208" i="7" s="1"/>
  <c r="AB209" i="38"/>
  <c r="AH209" i="38"/>
  <c r="AI209" i="38"/>
  <c r="AJ209" i="38"/>
  <c r="AA209" i="38"/>
  <c r="AM212" i="38"/>
  <c r="AR212" i="38"/>
  <c r="A214" i="38"/>
  <c r="B213" i="38"/>
  <c r="AK213" i="38"/>
  <c r="A212" i="7"/>
  <c r="D213" i="38"/>
  <c r="AQ213" i="38"/>
  <c r="A235" i="24"/>
  <c r="Y212" i="38"/>
  <c r="Z212" i="38"/>
  <c r="B211" i="7"/>
  <c r="D211" i="7"/>
  <c r="C214" i="38"/>
  <c r="C212" i="7"/>
  <c r="AZ212" i="7"/>
  <c r="AV213" i="38"/>
  <c r="E210" i="7" l="1"/>
  <c r="F210" i="7" s="1"/>
  <c r="AG211" i="38"/>
  <c r="AI211" i="38"/>
  <c r="AJ211" i="38"/>
  <c r="AA211" i="38"/>
  <c r="AB211" i="38"/>
  <c r="AD211" i="38"/>
  <c r="AS211" i="38" s="1"/>
  <c r="AL210" i="38"/>
  <c r="D210" i="6" s="1"/>
  <c r="E209" i="7"/>
  <c r="F209" i="7" s="1"/>
  <c r="AS210" i="38"/>
  <c r="AG210" i="38"/>
  <c r="AJ210" i="38"/>
  <c r="AA210" i="38"/>
  <c r="AT210" i="38" s="1"/>
  <c r="E210" i="38" s="1"/>
  <c r="AB210" i="38"/>
  <c r="AI210" i="38"/>
  <c r="AH210" i="38"/>
  <c r="AT209" i="38"/>
  <c r="E209" i="38" s="1"/>
  <c r="AE209" i="38"/>
  <c r="B209" i="6"/>
  <c r="AM213" i="38"/>
  <c r="Z213" i="38"/>
  <c r="Y213" i="38"/>
  <c r="AH212" i="38"/>
  <c r="AB212" i="38"/>
  <c r="AI212" i="38"/>
  <c r="AJ212" i="38"/>
  <c r="AA212" i="38"/>
  <c r="AT212" i="38" s="1"/>
  <c r="E212" i="38" s="1"/>
  <c r="B214" i="38"/>
  <c r="AK214" i="38"/>
  <c r="D214" i="38"/>
  <c r="A215" i="38"/>
  <c r="A213" i="7"/>
  <c r="AQ214" i="38"/>
  <c r="A236" i="24"/>
  <c r="AR213" i="38"/>
  <c r="B212" i="7"/>
  <c r="D212" i="7"/>
  <c r="C213" i="7"/>
  <c r="C215" i="38"/>
  <c r="AZ213" i="7"/>
  <c r="AV214" i="38"/>
  <c r="AL212" i="38" l="1"/>
  <c r="D212" i="6" s="1"/>
  <c r="AL211" i="38"/>
  <c r="D211" i="6" s="1"/>
  <c r="AL215" i="38"/>
  <c r="D215" i="6" s="1"/>
  <c r="AL213" i="38"/>
  <c r="D213" i="6" s="1"/>
  <c r="AT211" i="38"/>
  <c r="E211" i="38" s="1"/>
  <c r="AL214" i="38"/>
  <c r="D214" i="6" s="1"/>
  <c r="B210" i="6"/>
  <c r="B211" i="6" s="1"/>
  <c r="B212" i="6" s="1"/>
  <c r="AE210" i="38"/>
  <c r="AE211" i="38" s="1"/>
  <c r="AE212" i="38" s="1"/>
  <c r="AM214" i="38"/>
  <c r="AR214" i="38"/>
  <c r="A237" i="24"/>
  <c r="A214" i="7"/>
  <c r="AQ215" i="38"/>
  <c r="A216" i="38"/>
  <c r="D215" i="38"/>
  <c r="AK215" i="38"/>
  <c r="B215" i="38"/>
  <c r="D213" i="7"/>
  <c r="B213" i="7"/>
  <c r="AH213" i="38"/>
  <c r="AA213" i="38"/>
  <c r="AT213" i="38" s="1"/>
  <c r="E213" i="38" s="1"/>
  <c r="AB213" i="38"/>
  <c r="AJ213" i="38"/>
  <c r="AI213" i="38"/>
  <c r="Z214" i="38"/>
  <c r="Y214" i="38"/>
  <c r="C214" i="7"/>
  <c r="C216" i="38"/>
  <c r="AZ214" i="7"/>
  <c r="AV215" i="38"/>
  <c r="AE213" i="38" l="1"/>
  <c r="AM215" i="38"/>
  <c r="B213" i="6"/>
  <c r="Z215" i="38"/>
  <c r="Y215" i="38" s="1"/>
  <c r="B214" i="7"/>
  <c r="D214" i="7"/>
  <c r="AJ214" i="38"/>
  <c r="AA214" i="38"/>
  <c r="AT214" i="38" s="1"/>
  <c r="E214" i="38" s="1"/>
  <c r="AH214" i="38"/>
  <c r="AI214" i="38"/>
  <c r="AB214" i="38"/>
  <c r="A217" i="38"/>
  <c r="AK216" i="38"/>
  <c r="D216" i="38"/>
  <c r="A238" i="24"/>
  <c r="B216" i="38"/>
  <c r="AQ216" i="38"/>
  <c r="A215" i="7"/>
  <c r="AR215" i="38"/>
  <c r="C215" i="7"/>
  <c r="C217" i="38"/>
  <c r="AV216" i="38"/>
  <c r="AZ215" i="7"/>
  <c r="AE214" i="38" l="1"/>
  <c r="AM216" i="38"/>
  <c r="AR216" i="38"/>
  <c r="Z216" i="38"/>
  <c r="Y216" i="38" s="1"/>
  <c r="AJ215" i="38"/>
  <c r="AB215" i="38"/>
  <c r="AA215" i="38"/>
  <c r="AH215" i="38"/>
  <c r="AI215" i="38"/>
  <c r="B217" i="38"/>
  <c r="A216" i="7"/>
  <c r="A218" i="38"/>
  <c r="D217" i="38"/>
  <c r="AQ217" i="38"/>
  <c r="A239" i="24"/>
  <c r="AK217" i="38"/>
  <c r="B215" i="7"/>
  <c r="D215" i="7"/>
  <c r="B214" i="6"/>
  <c r="C218" i="38"/>
  <c r="C216" i="7"/>
  <c r="AV217" i="38"/>
  <c r="AZ216" i="7"/>
  <c r="AT215" i="38" l="1"/>
  <c r="E215" i="38" s="1"/>
  <c r="AE215" i="38"/>
  <c r="AM217" i="38"/>
  <c r="AR217" i="38"/>
  <c r="B215" i="6"/>
  <c r="Z217" i="38"/>
  <c r="Y217" i="38" s="1"/>
  <c r="B218" i="38"/>
  <c r="A217" i="7"/>
  <c r="A219" i="38"/>
  <c r="D218" i="38"/>
  <c r="AQ218" i="38"/>
  <c r="A240" i="24"/>
  <c r="AK218" i="38"/>
  <c r="B216" i="7"/>
  <c r="D216" i="7"/>
  <c r="C217" i="7"/>
  <c r="C219" i="38"/>
  <c r="AZ217" i="7"/>
  <c r="AV218" i="38"/>
  <c r="V216" i="38" l="1"/>
  <c r="AI216" i="38" s="1"/>
  <c r="AD216" i="38"/>
  <c r="AQ219" i="38"/>
  <c r="A220" i="38"/>
  <c r="D219" i="38"/>
  <c r="AK219" i="38"/>
  <c r="B219" i="38"/>
  <c r="A218" i="7"/>
  <c r="A241" i="24"/>
  <c r="AR218" i="38"/>
  <c r="Z218" i="38"/>
  <c r="Y218" i="38" s="1"/>
  <c r="B217" i="7"/>
  <c r="D217" i="7"/>
  <c r="C218" i="7"/>
  <c r="C220" i="38"/>
  <c r="AZ218" i="7"/>
  <c r="AV219" i="38"/>
  <c r="V217" i="38" l="1"/>
  <c r="AI217" i="38" s="1"/>
  <c r="AA216" i="38"/>
  <c r="AE216" i="38" s="1"/>
  <c r="AB216" i="38"/>
  <c r="AH216" i="38"/>
  <c r="AG216" i="38"/>
  <c r="E215" i="7"/>
  <c r="F215" i="7" s="1"/>
  <c r="AJ216" i="38"/>
  <c r="AD217" i="38"/>
  <c r="AS216" i="38"/>
  <c r="AL216" i="38"/>
  <c r="D216" i="6" s="1"/>
  <c r="Z219" i="38"/>
  <c r="Y219" i="38" s="1"/>
  <c r="B218" i="7"/>
  <c r="D218" i="7"/>
  <c r="A219" i="7"/>
  <c r="AK220" i="38"/>
  <c r="B220" i="38"/>
  <c r="AQ220" i="38"/>
  <c r="D220" i="38"/>
  <c r="A221" i="38"/>
  <c r="A242" i="24"/>
  <c r="AR219" i="38"/>
  <c r="C219" i="7"/>
  <c r="C221" i="38"/>
  <c r="AV220" i="38"/>
  <c r="AZ219" i="7"/>
  <c r="AT216" i="38" l="1"/>
  <c r="E216" i="38" s="1"/>
  <c r="AB217" i="38"/>
  <c r="AS217" i="38"/>
  <c r="AA217" i="38"/>
  <c r="AT217" i="38" s="1"/>
  <c r="E217" i="38" s="1"/>
  <c r="AJ217" i="38"/>
  <c r="AH217" i="38"/>
  <c r="AG217" i="38"/>
  <c r="E216" i="7"/>
  <c r="F216" i="7" s="1"/>
  <c r="B216" i="6"/>
  <c r="AL217" i="38"/>
  <c r="D217" i="6" s="1"/>
  <c r="V218" i="38"/>
  <c r="AG218" i="38" s="1"/>
  <c r="AD218" i="38"/>
  <c r="A243" i="24"/>
  <c r="AK221" i="38"/>
  <c r="A220" i="7"/>
  <c r="D221" i="38"/>
  <c r="A222" i="38"/>
  <c r="B221" i="38"/>
  <c r="AQ221" i="38"/>
  <c r="Z220" i="38"/>
  <c r="Y220" i="38"/>
  <c r="AR220" i="38"/>
  <c r="B219" i="7"/>
  <c r="D219" i="7"/>
  <c r="C222" i="38"/>
  <c r="C220" i="7"/>
  <c r="AZ220" i="7"/>
  <c r="AV221" i="38"/>
  <c r="AE217" i="38" l="1"/>
  <c r="AM218" i="38" s="1"/>
  <c r="B217" i="6"/>
  <c r="E217" i="7"/>
  <c r="F217" i="7" s="1"/>
  <c r="AD219" i="38"/>
  <c r="AL219" i="38" s="1"/>
  <c r="D219" i="6" s="1"/>
  <c r="V219" i="38"/>
  <c r="AA218" i="38"/>
  <c r="AB218" i="38"/>
  <c r="AI218" i="38"/>
  <c r="AH218" i="38"/>
  <c r="AJ218" i="38"/>
  <c r="AS218" i="38"/>
  <c r="AL221" i="38"/>
  <c r="D221" i="6" s="1"/>
  <c r="AL218" i="38"/>
  <c r="D218" i="6" s="1"/>
  <c r="B220" i="7"/>
  <c r="D220" i="7"/>
  <c r="AR221" i="38"/>
  <c r="Y221" i="38"/>
  <c r="Z221" i="38"/>
  <c r="AI220" i="38"/>
  <c r="AA220" i="38"/>
  <c r="AT220" i="38" s="1"/>
  <c r="E220" i="38" s="1"/>
  <c r="AH220" i="38"/>
  <c r="AB220" i="38"/>
  <c r="AJ220" i="38"/>
  <c r="A221" i="7"/>
  <c r="AK222" i="38"/>
  <c r="A223" i="38"/>
  <c r="D222" i="38"/>
  <c r="AQ222" i="38"/>
  <c r="A244" i="24"/>
  <c r="B222" i="38"/>
  <c r="C223" i="38"/>
  <c r="C221" i="7"/>
  <c r="AZ221" i="7"/>
  <c r="AV222" i="38"/>
  <c r="B218" i="6" l="1"/>
  <c r="AT218" i="38"/>
  <c r="E218" i="38" s="1"/>
  <c r="AE218" i="38"/>
  <c r="AM219" i="38" s="1"/>
  <c r="AM220" i="38" s="1"/>
  <c r="AM221" i="38" s="1"/>
  <c r="AM222" i="38" s="1"/>
  <c r="AL220" i="38"/>
  <c r="D220" i="6" s="1"/>
  <c r="E218" i="7"/>
  <c r="F218" i="7" s="1"/>
  <c r="AS219" i="38"/>
  <c r="AG219" i="38"/>
  <c r="AI219" i="38"/>
  <c r="AA219" i="38"/>
  <c r="AH219" i="38"/>
  <c r="AB219" i="38"/>
  <c r="AJ219" i="38"/>
  <c r="A224" i="38"/>
  <c r="B223" i="38"/>
  <c r="D223" i="38"/>
  <c r="A222" i="7"/>
  <c r="A245" i="24"/>
  <c r="AK223" i="38"/>
  <c r="AQ223" i="38"/>
  <c r="Z222" i="38"/>
  <c r="Y222" i="38" s="1"/>
  <c r="AA221" i="38"/>
  <c r="AT221" i="38" s="1"/>
  <c r="E221" i="38" s="1"/>
  <c r="AJ221" i="38"/>
  <c r="AH221" i="38"/>
  <c r="AB221" i="38"/>
  <c r="AI221" i="38"/>
  <c r="AR222" i="38"/>
  <c r="B221" i="7"/>
  <c r="D221" i="7"/>
  <c r="C224" i="38"/>
  <c r="C222" i="7"/>
  <c r="AZ222" i="7"/>
  <c r="AV223" i="38"/>
  <c r="AT219" i="38" l="1"/>
  <c r="E219" i="38" s="1"/>
  <c r="B219" i="6"/>
  <c r="B220" i="6" s="1"/>
  <c r="B221" i="6" s="1"/>
  <c r="AE219" i="38"/>
  <c r="AE220" i="38" s="1"/>
  <c r="AE221" i="38" s="1"/>
  <c r="D222" i="7"/>
  <c r="B222" i="7"/>
  <c r="AR223" i="38"/>
  <c r="AM223" i="38"/>
  <c r="Z223" i="38"/>
  <c r="Y223" i="38" s="1"/>
  <c r="A223" i="7"/>
  <c r="D224" i="38"/>
  <c r="AQ224" i="38"/>
  <c r="B224" i="38"/>
  <c r="A225" i="38"/>
  <c r="AK224" i="38"/>
  <c r="A246" i="24"/>
  <c r="C223" i="7"/>
  <c r="C225" i="38"/>
  <c r="AV224" i="38"/>
  <c r="AZ223" i="7"/>
  <c r="V222" i="38" l="1"/>
  <c r="AH222" i="38" s="1"/>
  <c r="AD222" i="38"/>
  <c r="Z224" i="38"/>
  <c r="Y224" i="38" s="1"/>
  <c r="AR224" i="38"/>
  <c r="D225" i="38"/>
  <c r="A224" i="7"/>
  <c r="A247" i="24"/>
  <c r="A226" i="38"/>
  <c r="B225" i="38"/>
  <c r="AK225" i="38"/>
  <c r="AQ225" i="38"/>
  <c r="B223" i="7"/>
  <c r="D223" i="7"/>
  <c r="AM224" i="38"/>
  <c r="C226" i="38"/>
  <c r="C224" i="7"/>
  <c r="AV225" i="38"/>
  <c r="AZ224" i="7"/>
  <c r="AI222" i="38" l="1"/>
  <c r="AA222" i="38"/>
  <c r="AE222" i="38" s="1"/>
  <c r="AB222" i="38"/>
  <c r="E221" i="7"/>
  <c r="F221" i="7" s="1"/>
  <c r="AG222" i="38"/>
  <c r="AJ222" i="38"/>
  <c r="AD224" i="38"/>
  <c r="V223" i="38"/>
  <c r="E222" i="7" s="1"/>
  <c r="F222" i="7" s="1"/>
  <c r="AD223" i="38"/>
  <c r="AS222" i="38"/>
  <c r="AL222" i="38"/>
  <c r="D222" i="6" s="1"/>
  <c r="Z225" i="38"/>
  <c r="Y225" i="38" s="1"/>
  <c r="D224" i="7"/>
  <c r="B224" i="7"/>
  <c r="AR225" i="38"/>
  <c r="AM225" i="38"/>
  <c r="A225" i="7"/>
  <c r="AK226" i="38"/>
  <c r="D226" i="38"/>
  <c r="B226" i="38"/>
  <c r="A227" i="38"/>
  <c r="A248" i="24"/>
  <c r="AQ226" i="38"/>
  <c r="C227" i="38"/>
  <c r="C225" i="7"/>
  <c r="AV226" i="38"/>
  <c r="AZ225" i="7"/>
  <c r="AT222" i="38" l="1"/>
  <c r="E222" i="38" s="1"/>
  <c r="B222" i="6"/>
  <c r="AS223" i="38"/>
  <c r="AI223" i="38"/>
  <c r="AH223" i="38"/>
  <c r="AA223" i="38"/>
  <c r="AE223" i="38" s="1"/>
  <c r="AB223" i="38"/>
  <c r="V225" i="38"/>
  <c r="V224" i="38"/>
  <c r="E223" i="7" s="1"/>
  <c r="F223" i="7" s="1"/>
  <c r="AJ223" i="38"/>
  <c r="AG223" i="38"/>
  <c r="AL224" i="38"/>
  <c r="D224" i="6" s="1"/>
  <c r="AL223" i="38"/>
  <c r="D223" i="6" s="1"/>
  <c r="AR226" i="38"/>
  <c r="AM226" i="38"/>
  <c r="A249" i="24"/>
  <c r="AK227" i="38"/>
  <c r="AQ227" i="38"/>
  <c r="A226" i="7"/>
  <c r="A228" i="38"/>
  <c r="B227" i="38"/>
  <c r="D227" i="38"/>
  <c r="B225" i="7"/>
  <c r="D225" i="7"/>
  <c r="Z226" i="38"/>
  <c r="Y226" i="38" s="1"/>
  <c r="C226" i="7"/>
  <c r="C228" i="38"/>
  <c r="AV227" i="38"/>
  <c r="AZ226" i="7"/>
  <c r="B223" i="6" l="1"/>
  <c r="AT223" i="38"/>
  <c r="E223" i="38" s="1"/>
  <c r="AB224" i="38"/>
  <c r="AI224" i="38"/>
  <c r="AJ224" i="38"/>
  <c r="AS224" i="38"/>
  <c r="AG224" i="38"/>
  <c r="AD225" i="38"/>
  <c r="AG225" i="38"/>
  <c r="E224" i="7"/>
  <c r="F224" i="7" s="1"/>
  <c r="AA225" i="38"/>
  <c r="AI225" i="38"/>
  <c r="AB225" i="38"/>
  <c r="AJ225" i="38"/>
  <c r="AH225" i="38"/>
  <c r="AA224" i="38"/>
  <c r="AE224" i="38" s="1"/>
  <c r="AH224" i="38"/>
  <c r="Y227" i="38"/>
  <c r="Z227" i="38"/>
  <c r="D226" i="7"/>
  <c r="B226" i="7"/>
  <c r="AR227" i="38"/>
  <c r="AM227" i="38"/>
  <c r="D228" i="38"/>
  <c r="AK228" i="38"/>
  <c r="A250" i="24"/>
  <c r="B228" i="38"/>
  <c r="AQ228" i="38"/>
  <c r="A227" i="7"/>
  <c r="A229" i="38"/>
  <c r="C227" i="7"/>
  <c r="C229" i="38"/>
  <c r="AZ227" i="7"/>
  <c r="AV228" i="38"/>
  <c r="AD226" i="38" l="1"/>
  <c r="AL227" i="38" s="1"/>
  <c r="D227" i="6" s="1"/>
  <c r="AT225" i="38"/>
  <c r="E225" i="38" s="1"/>
  <c r="AS225" i="38"/>
  <c r="V226" i="38"/>
  <c r="AE225" i="38"/>
  <c r="AL225" i="38"/>
  <c r="D225" i="6" s="1"/>
  <c r="AT224" i="38"/>
  <c r="E224" i="38" s="1"/>
  <c r="B224" i="6"/>
  <c r="B225" i="6" s="1"/>
  <c r="B229" i="38"/>
  <c r="D229" i="38"/>
  <c r="AK229" i="38"/>
  <c r="A230" i="38"/>
  <c r="AQ229" i="38"/>
  <c r="A228" i="7"/>
  <c r="A251" i="24"/>
  <c r="AI227" i="38"/>
  <c r="AJ227" i="38"/>
  <c r="AB227" i="38"/>
  <c r="AH227" i="38"/>
  <c r="AA227" i="38"/>
  <c r="AT227" i="38" s="1"/>
  <c r="E227" i="38" s="1"/>
  <c r="AR228" i="38"/>
  <c r="AM228" i="38"/>
  <c r="B227" i="7"/>
  <c r="D227" i="7"/>
  <c r="Z228" i="38"/>
  <c r="Y228" i="38"/>
  <c r="C228" i="7"/>
  <c r="C230" i="38"/>
  <c r="AZ228" i="7"/>
  <c r="AV229" i="38"/>
  <c r="AL228" i="38" l="1"/>
  <c r="D228" i="6" s="1"/>
  <c r="AL226" i="38"/>
  <c r="D226" i="6" s="1"/>
  <c r="AG226" i="38"/>
  <c r="AS226" i="38"/>
  <c r="E225" i="7"/>
  <c r="F225" i="7" s="1"/>
  <c r="AI226" i="38"/>
  <c r="AA226" i="38"/>
  <c r="AT226" i="38" s="1"/>
  <c r="E226" i="38" s="1"/>
  <c r="AH226" i="38"/>
  <c r="AB226" i="38"/>
  <c r="AJ226" i="38"/>
  <c r="AM229" i="38"/>
  <c r="AR229" i="38"/>
  <c r="B230" i="38"/>
  <c r="D230" i="38"/>
  <c r="A229" i="7"/>
  <c r="AQ230" i="38"/>
  <c r="A231" i="38"/>
  <c r="A252" i="24"/>
  <c r="AK230" i="38"/>
  <c r="Z229" i="38"/>
  <c r="Y229" i="38" s="1"/>
  <c r="B228" i="7"/>
  <c r="D228" i="7"/>
  <c r="AH228" i="38"/>
  <c r="AJ228" i="38"/>
  <c r="AB228" i="38"/>
  <c r="AA228" i="38"/>
  <c r="AT228" i="38" s="1"/>
  <c r="E228" i="38" s="1"/>
  <c r="AI228" i="38"/>
  <c r="C231" i="38"/>
  <c r="C229" i="7"/>
  <c r="AZ229" i="7"/>
  <c r="AV230" i="38"/>
  <c r="AE226" i="38" l="1"/>
  <c r="AE227" i="38" s="1"/>
  <c r="AE228" i="38" s="1"/>
  <c r="B226" i="6"/>
  <c r="B227" i="6" s="1"/>
  <c r="B228" i="6" s="1"/>
  <c r="Z230" i="38"/>
  <c r="Y230" i="38" s="1"/>
  <c r="D229" i="7"/>
  <c r="B229" i="7"/>
  <c r="AR230" i="38"/>
  <c r="AM230" i="38"/>
  <c r="B231" i="38"/>
  <c r="AQ231" i="38"/>
  <c r="A232" i="38"/>
  <c r="D231" i="38"/>
  <c r="A253" i="24"/>
  <c r="AK231" i="38"/>
  <c r="A230" i="7"/>
  <c r="C230" i="7"/>
  <c r="C232" i="38"/>
  <c r="AZ230" i="7"/>
  <c r="AV231" i="38"/>
  <c r="AD229" i="38" l="1"/>
  <c r="AL229" i="38" s="1"/>
  <c r="D229" i="6" s="1"/>
  <c r="V229" i="38"/>
  <c r="Z231" i="38"/>
  <c r="Y231" i="38" s="1"/>
  <c r="AR231" i="38"/>
  <c r="AM231" i="38"/>
  <c r="B230" i="7"/>
  <c r="D230" i="7"/>
  <c r="A233" i="38"/>
  <c r="D232" i="38"/>
  <c r="AQ232" i="38"/>
  <c r="B232" i="38"/>
  <c r="AK232" i="38"/>
  <c r="A231" i="7"/>
  <c r="A254" i="24"/>
  <c r="C233" i="38"/>
  <c r="C231" i="7"/>
  <c r="AZ231" i="7"/>
  <c r="AV232" i="38"/>
  <c r="AD230" i="38" l="1"/>
  <c r="AL230" i="38" s="1"/>
  <c r="D230" i="6" s="1"/>
  <c r="V230" i="38"/>
  <c r="E228" i="7"/>
  <c r="F228" i="7" s="1"/>
  <c r="AS229" i="38"/>
  <c r="AG229" i="38"/>
  <c r="AA229" i="38"/>
  <c r="AB229" i="38"/>
  <c r="AH229" i="38"/>
  <c r="AJ229" i="38"/>
  <c r="AI229" i="38"/>
  <c r="D233" i="38"/>
  <c r="AK233" i="38"/>
  <c r="A234" i="38"/>
  <c r="B233" i="38"/>
  <c r="A255" i="24"/>
  <c r="A232" i="7"/>
  <c r="AQ233" i="38"/>
  <c r="Z232" i="38"/>
  <c r="Y232" i="38" s="1"/>
  <c r="B231" i="7"/>
  <c r="D231" i="7"/>
  <c r="AR232" i="38"/>
  <c r="AM232" i="38"/>
  <c r="C232" i="7"/>
  <c r="C234" i="38"/>
  <c r="AZ232" i="7"/>
  <c r="AV233" i="38"/>
  <c r="AD231" i="38" l="1"/>
  <c r="AL231" i="38" s="1"/>
  <c r="D231" i="6" s="1"/>
  <c r="V231" i="38"/>
  <c r="E229" i="7"/>
  <c r="F229" i="7" s="1"/>
  <c r="AG230" i="38"/>
  <c r="AS230" i="38"/>
  <c r="AA230" i="38"/>
  <c r="AT230" i="38" s="1"/>
  <c r="E230" i="38" s="1"/>
  <c r="AH230" i="38"/>
  <c r="AI230" i="38"/>
  <c r="AJ230" i="38"/>
  <c r="AB230" i="38"/>
  <c r="AT229" i="38"/>
  <c r="AE229" i="38"/>
  <c r="B229" i="6"/>
  <c r="AQ234" i="38"/>
  <c r="A233" i="7"/>
  <c r="A256" i="24"/>
  <c r="AK234" i="38"/>
  <c r="A235" i="38"/>
  <c r="B234" i="38"/>
  <c r="D234" i="38"/>
  <c r="Z233" i="38"/>
  <c r="V233" i="38" s="1"/>
  <c r="AR233" i="38"/>
  <c r="AM233" i="38"/>
  <c r="B232" i="7"/>
  <c r="D232" i="7"/>
  <c r="C233" i="7"/>
  <c r="C235" i="38"/>
  <c r="AV234" i="38"/>
  <c r="AZ233" i="7"/>
  <c r="E229" i="38" l="1"/>
  <c r="Q13" i="23"/>
  <c r="P13" i="23" s="1"/>
  <c r="Y233" i="38"/>
  <c r="AH233" i="38" s="1"/>
  <c r="V232" i="38"/>
  <c r="AJ232" i="38" s="1"/>
  <c r="AG233" i="38"/>
  <c r="AS233" i="38"/>
  <c r="E232" i="7"/>
  <c r="F232" i="7" s="1"/>
  <c r="AD232" i="38"/>
  <c r="E230" i="7"/>
  <c r="F230" i="7" s="1"/>
  <c r="AS231" i="38"/>
  <c r="AG231" i="38"/>
  <c r="AI231" i="38"/>
  <c r="AJ231" i="38"/>
  <c r="AB231" i="38"/>
  <c r="AH231" i="38"/>
  <c r="AA231" i="38"/>
  <c r="AT231" i="38" s="1"/>
  <c r="E231" i="38" s="1"/>
  <c r="AE230" i="38"/>
  <c r="B230" i="6"/>
  <c r="AM234" i="38"/>
  <c r="AR234" i="38"/>
  <c r="D233" i="7"/>
  <c r="B233" i="7"/>
  <c r="B235" i="38"/>
  <c r="A257" i="24"/>
  <c r="D235" i="38"/>
  <c r="AK235" i="38"/>
  <c r="AQ235" i="38"/>
  <c r="A236" i="38"/>
  <c r="A234" i="7"/>
  <c r="Z234" i="38"/>
  <c r="Y234" i="38"/>
  <c r="C236" i="38"/>
  <c r="C234" i="7"/>
  <c r="AZ234" i="7"/>
  <c r="AV235" i="38"/>
  <c r="AI233" i="38" l="1"/>
  <c r="AB233" i="38"/>
  <c r="AJ233" i="38"/>
  <c r="AA233" i="38"/>
  <c r="AT233" i="38" s="1"/>
  <c r="E233" i="38" s="1"/>
  <c r="E231" i="7"/>
  <c r="F231" i="7" s="1"/>
  <c r="AI232" i="38"/>
  <c r="AB232" i="38"/>
  <c r="AA232" i="38"/>
  <c r="AT232" i="38" s="1"/>
  <c r="E232" i="38" s="1"/>
  <c r="AH232" i="38"/>
  <c r="AG232" i="38"/>
  <c r="AL234" i="38"/>
  <c r="D234" i="6" s="1"/>
  <c r="AL235" i="38"/>
  <c r="D235" i="6" s="1"/>
  <c r="AL232" i="38"/>
  <c r="D232" i="6" s="1"/>
  <c r="AL233" i="38"/>
  <c r="D233" i="6" s="1"/>
  <c r="AS232" i="38"/>
  <c r="B231" i="6"/>
  <c r="AE231" i="38"/>
  <c r="B234" i="7"/>
  <c r="D234" i="7"/>
  <c r="Y235" i="38"/>
  <c r="Z235" i="38"/>
  <c r="A258" i="24"/>
  <c r="B236" i="38"/>
  <c r="AK236" i="38"/>
  <c r="AQ236" i="38"/>
  <c r="A235" i="7"/>
  <c r="D236" i="38"/>
  <c r="A237" i="38"/>
  <c r="AR235" i="38"/>
  <c r="AM235" i="38"/>
  <c r="AH234" i="38"/>
  <c r="AA234" i="38"/>
  <c r="AT234" i="38" s="1"/>
  <c r="E234" i="38" s="1"/>
  <c r="AI234" i="38"/>
  <c r="AB234" i="38"/>
  <c r="AJ234" i="38"/>
  <c r="C235" i="7"/>
  <c r="C237" i="38"/>
  <c r="AZ235" i="7"/>
  <c r="AV236" i="38"/>
  <c r="AE232" i="38" l="1"/>
  <c r="AE233" i="38" s="1"/>
  <c r="AE234" i="38" s="1"/>
  <c r="B232" i="6"/>
  <c r="B233" i="6" s="1"/>
  <c r="B234" i="6" s="1"/>
  <c r="AR236" i="38"/>
  <c r="AM236" i="38"/>
  <c r="D235" i="7"/>
  <c r="B235" i="7"/>
  <c r="D237" i="38"/>
  <c r="A259" i="24"/>
  <c r="AK237" i="38"/>
  <c r="AQ237" i="38"/>
  <c r="A236" i="7"/>
  <c r="A238" i="38"/>
  <c r="B237" i="38"/>
  <c r="Z236" i="38"/>
  <c r="Y236" i="38" s="1"/>
  <c r="AI235" i="38"/>
  <c r="AJ235" i="38"/>
  <c r="AH235" i="38"/>
  <c r="AB235" i="38"/>
  <c r="AA235" i="38"/>
  <c r="AT235" i="38" s="1"/>
  <c r="E235" i="38" s="1"/>
  <c r="C238" i="38"/>
  <c r="C236" i="7"/>
  <c r="AZ236" i="7"/>
  <c r="AV237" i="38"/>
  <c r="AE235" i="38" l="1"/>
  <c r="Z237" i="38"/>
  <c r="Y237" i="38" s="1"/>
  <c r="A239" i="38"/>
  <c r="AK238" i="38"/>
  <c r="D238" i="38"/>
  <c r="B238" i="38"/>
  <c r="A260" i="24"/>
  <c r="AQ238" i="38"/>
  <c r="A237" i="7"/>
  <c r="B236" i="7"/>
  <c r="D236" i="7"/>
  <c r="AR237" i="38"/>
  <c r="AM237" i="38"/>
  <c r="B235" i="6"/>
  <c r="C239" i="38"/>
  <c r="C237" i="7"/>
  <c r="AZ237" i="7"/>
  <c r="AV238" i="38"/>
  <c r="V236" i="38" l="1"/>
  <c r="AD236" i="38"/>
  <c r="AR238" i="38"/>
  <c r="AM238" i="38"/>
  <c r="Z238" i="38"/>
  <c r="Y238" i="38" s="1"/>
  <c r="B237" i="7"/>
  <c r="D237" i="7"/>
  <c r="AQ239" i="38"/>
  <c r="D239" i="38"/>
  <c r="B239" i="38"/>
  <c r="A261" i="24"/>
  <c r="A238" i="7"/>
  <c r="A240" i="38"/>
  <c r="AK239" i="38"/>
  <c r="C238" i="7"/>
  <c r="C240" i="38"/>
  <c r="AV239" i="38"/>
  <c r="AZ238" i="7"/>
  <c r="AD237" i="38" l="1"/>
  <c r="AL237" i="38" s="1"/>
  <c r="D237" i="6" s="1"/>
  <c r="AD238" i="38"/>
  <c r="V237" i="38"/>
  <c r="E235" i="7"/>
  <c r="F235" i="7" s="1"/>
  <c r="AG236" i="38"/>
  <c r="AI236" i="38"/>
  <c r="AJ236" i="38"/>
  <c r="AB236" i="38"/>
  <c r="AH236" i="38"/>
  <c r="AA236" i="38"/>
  <c r="AS236" i="38"/>
  <c r="AL236" i="38"/>
  <c r="D236" i="6" s="1"/>
  <c r="B238" i="7"/>
  <c r="D238" i="7"/>
  <c r="Z239" i="38"/>
  <c r="Y239" i="38" s="1"/>
  <c r="D240" i="38"/>
  <c r="A241" i="38"/>
  <c r="A262" i="24"/>
  <c r="A239" i="7"/>
  <c r="AQ240" i="38"/>
  <c r="B240" i="38"/>
  <c r="AK240" i="38"/>
  <c r="AR239" i="38"/>
  <c r="AM239" i="38"/>
  <c r="C241" i="38"/>
  <c r="C239" i="7"/>
  <c r="AZ239" i="7"/>
  <c r="AV240" i="38"/>
  <c r="AL238" i="38" l="1"/>
  <c r="D238" i="6" s="1"/>
  <c r="V238" i="38"/>
  <c r="E236" i="7"/>
  <c r="F236" i="7" s="1"/>
  <c r="AG237" i="38"/>
  <c r="AS237" i="38"/>
  <c r="AA237" i="38"/>
  <c r="AT237" i="38" s="1"/>
  <c r="E237" i="38" s="1"/>
  <c r="AI237" i="38"/>
  <c r="AJ237" i="38"/>
  <c r="AB237" i="38"/>
  <c r="AH237" i="38"/>
  <c r="AT236" i="38"/>
  <c r="AE236" i="38"/>
  <c r="B236" i="6"/>
  <c r="AM240" i="38"/>
  <c r="AR240" i="38"/>
  <c r="AQ241" i="38"/>
  <c r="A242" i="38"/>
  <c r="A263" i="24"/>
  <c r="A240" i="7"/>
  <c r="B241" i="38"/>
  <c r="D241" i="38"/>
  <c r="AK241" i="38"/>
  <c r="B239" i="7"/>
  <c r="D239" i="7"/>
  <c r="Z240" i="38"/>
  <c r="Y240" i="38" s="1"/>
  <c r="C240" i="7"/>
  <c r="C242" i="38"/>
  <c r="AZ240" i="7"/>
  <c r="AV241" i="38"/>
  <c r="E236" i="38" l="1"/>
  <c r="Q20" i="23"/>
  <c r="P20" i="23" s="1"/>
  <c r="V240" i="38"/>
  <c r="V239" i="38"/>
  <c r="AD239" i="38"/>
  <c r="AG238" i="38"/>
  <c r="E237" i="7"/>
  <c r="F237" i="7" s="1"/>
  <c r="AS238" i="38"/>
  <c r="AA238" i="38"/>
  <c r="AT238" i="38" s="1"/>
  <c r="E238" i="38" s="1"/>
  <c r="AJ238" i="38"/>
  <c r="AH238" i="38"/>
  <c r="AI238" i="38"/>
  <c r="AB238" i="38"/>
  <c r="B237" i="6"/>
  <c r="AE237" i="38"/>
  <c r="AR241" i="38"/>
  <c r="AM241" i="38"/>
  <c r="A264" i="24"/>
  <c r="A243" i="38"/>
  <c r="A241" i="7"/>
  <c r="B242" i="38"/>
  <c r="AK242" i="38"/>
  <c r="D242" i="38"/>
  <c r="AQ242" i="38"/>
  <c r="B240" i="7"/>
  <c r="D240" i="7"/>
  <c r="Z241" i="38"/>
  <c r="Y241" i="38"/>
  <c r="C241" i="7"/>
  <c r="C243" i="38"/>
  <c r="AZ241" i="7"/>
  <c r="AV242" i="38"/>
  <c r="AB240" i="38" l="1"/>
  <c r="AA240" i="38"/>
  <c r="AG240" i="38"/>
  <c r="E239" i="7"/>
  <c r="F239" i="7" s="1"/>
  <c r="AH240" i="38"/>
  <c r="AI240" i="38"/>
  <c r="AJ240" i="38"/>
  <c r="AD240" i="38"/>
  <c r="AS240" i="38" s="1"/>
  <c r="AS239" i="38"/>
  <c r="AL239" i="38"/>
  <c r="D239" i="6" s="1"/>
  <c r="AG239" i="38"/>
  <c r="E238" i="7"/>
  <c r="F238" i="7" s="1"/>
  <c r="AI239" i="38"/>
  <c r="AH239" i="38"/>
  <c r="AB239" i="38"/>
  <c r="AJ239" i="38"/>
  <c r="AA239" i="38"/>
  <c r="AT239" i="38" s="1"/>
  <c r="E239" i="38" s="1"/>
  <c r="AE238" i="38"/>
  <c r="B238" i="6"/>
  <c r="AJ241" i="38"/>
  <c r="AB241" i="38"/>
  <c r="AI241" i="38"/>
  <c r="AA241" i="38"/>
  <c r="AT241" i="38" s="1"/>
  <c r="E241" i="38" s="1"/>
  <c r="AH241" i="38"/>
  <c r="Z242" i="38"/>
  <c r="Y242" i="38"/>
  <c r="D241" i="7"/>
  <c r="B241" i="7"/>
  <c r="AR242" i="38"/>
  <c r="AM242" i="38"/>
  <c r="AQ243" i="38"/>
  <c r="AK243" i="38"/>
  <c r="A265" i="24"/>
  <c r="A244" i="38"/>
  <c r="A242" i="7"/>
  <c r="D243" i="38"/>
  <c r="B243" i="38"/>
  <c r="C242" i="7"/>
  <c r="C244" i="38"/>
  <c r="AZ242" i="7"/>
  <c r="AV243" i="38"/>
  <c r="AL240" i="38" l="1"/>
  <c r="D240" i="6" s="1"/>
  <c r="AL241" i="38"/>
  <c r="D241" i="6" s="1"/>
  <c r="AL242" i="38"/>
  <c r="D242" i="6" s="1"/>
  <c r="AT240" i="38"/>
  <c r="E240" i="38" s="1"/>
  <c r="B239" i="6"/>
  <c r="B240" i="6" s="1"/>
  <c r="B241" i="6" s="1"/>
  <c r="AE239" i="38"/>
  <c r="AE240" i="38" s="1"/>
  <c r="AE241" i="38" s="1"/>
  <c r="B242" i="7"/>
  <c r="D242" i="7"/>
  <c r="AR243" i="38"/>
  <c r="AM243" i="38"/>
  <c r="Z243" i="38"/>
  <c r="Y243" i="38" s="1"/>
  <c r="AA242" i="38"/>
  <c r="AT242" i="38" s="1"/>
  <c r="E242" i="38" s="1"/>
  <c r="AB242" i="38"/>
  <c r="AI242" i="38"/>
  <c r="AJ242" i="38"/>
  <c r="AH242" i="38"/>
  <c r="AQ244" i="38"/>
  <c r="AK244" i="38"/>
  <c r="D244" i="38"/>
  <c r="A245" i="38"/>
  <c r="B244" i="38"/>
  <c r="A266" i="24"/>
  <c r="A243" i="7"/>
  <c r="C243" i="7"/>
  <c r="C245" i="38"/>
  <c r="AV244" i="38"/>
  <c r="AZ243" i="7"/>
  <c r="AE242" i="38" l="1"/>
  <c r="Q25" i="23"/>
  <c r="P25" i="23" s="1"/>
  <c r="AM244" i="38"/>
  <c r="AR244" i="38"/>
  <c r="A267" i="24"/>
  <c r="A246" i="38"/>
  <c r="AQ245" i="38"/>
  <c r="AK245" i="38"/>
  <c r="A244" i="7"/>
  <c r="D245" i="38"/>
  <c r="B245" i="38"/>
  <c r="B243" i="7"/>
  <c r="D243" i="7"/>
  <c r="B242" i="6"/>
  <c r="Z244" i="38"/>
  <c r="Y244" i="38" s="1"/>
  <c r="C246" i="38"/>
  <c r="C244" i="7"/>
  <c r="AZ244" i="7"/>
  <c r="AV245" i="38"/>
  <c r="AD243" i="38" l="1"/>
  <c r="AL243" i="38" s="1"/>
  <c r="D243" i="6" s="1"/>
  <c r="V243" i="38"/>
  <c r="AR245" i="38"/>
  <c r="AM245" i="38"/>
  <c r="D244" i="7"/>
  <c r="B244" i="7"/>
  <c r="Z245" i="38"/>
  <c r="Y245" i="38" s="1"/>
  <c r="B246" i="38"/>
  <c r="AQ246" i="38"/>
  <c r="A245" i="7"/>
  <c r="AK246" i="38"/>
  <c r="A268" i="24"/>
  <c r="D246" i="38"/>
  <c r="A247" i="38"/>
  <c r="C247" i="38"/>
  <c r="C245" i="7"/>
  <c r="AZ245" i="7"/>
  <c r="AV246" i="38"/>
  <c r="V244" i="38" l="1"/>
  <c r="AJ244" i="38" s="1"/>
  <c r="AD244" i="38"/>
  <c r="AG243" i="38"/>
  <c r="E242" i="7"/>
  <c r="F242" i="7" s="1"/>
  <c r="AS243" i="38"/>
  <c r="AB243" i="38"/>
  <c r="AI243" i="38"/>
  <c r="AJ243" i="38"/>
  <c r="AA243" i="38"/>
  <c r="AH243" i="38"/>
  <c r="Z246" i="38"/>
  <c r="Y246" i="38" s="1"/>
  <c r="A269" i="24"/>
  <c r="AK247" i="38"/>
  <c r="A248" i="38"/>
  <c r="D247" i="38"/>
  <c r="B247" i="38"/>
  <c r="A246" i="7"/>
  <c r="AQ247" i="38"/>
  <c r="B245" i="7"/>
  <c r="D245" i="7"/>
  <c r="AR246" i="38"/>
  <c r="AM246" i="38"/>
  <c r="C246" i="7"/>
  <c r="C248" i="38"/>
  <c r="AV247" i="38"/>
  <c r="AZ246" i="7"/>
  <c r="AG244" i="38" l="1"/>
  <c r="E243" i="7"/>
  <c r="F243" i="7" s="1"/>
  <c r="AH244" i="38"/>
  <c r="AB244" i="38"/>
  <c r="AI244" i="38"/>
  <c r="AA244" i="38"/>
  <c r="AT244" i="38" s="1"/>
  <c r="E244" i="38" s="1"/>
  <c r="AD245" i="38"/>
  <c r="AL245" i="38" s="1"/>
  <c r="D245" i="6" s="1"/>
  <c r="V245" i="38"/>
  <c r="AS244" i="38"/>
  <c r="AL244" i="38"/>
  <c r="D244" i="6" s="1"/>
  <c r="AT243" i="38"/>
  <c r="E243" i="38" s="1"/>
  <c r="AE243" i="38"/>
  <c r="B243" i="6"/>
  <c r="AM247" i="38"/>
  <c r="A247" i="7"/>
  <c r="B248" i="38"/>
  <c r="A249" i="38"/>
  <c r="AK248" i="38"/>
  <c r="A270" i="24"/>
  <c r="D248" i="38"/>
  <c r="AQ248" i="38"/>
  <c r="D246" i="7"/>
  <c r="B246" i="7"/>
  <c r="AR247" i="38"/>
  <c r="Z247" i="38"/>
  <c r="Y247" i="38" s="1"/>
  <c r="C247" i="7"/>
  <c r="C249" i="38"/>
  <c r="AV248" i="38"/>
  <c r="AZ247" i="7"/>
  <c r="B244" i="6" l="1"/>
  <c r="AE244" i="38"/>
  <c r="AD246" i="38"/>
  <c r="AL246" i="38" s="1"/>
  <c r="D246" i="6" s="1"/>
  <c r="V246" i="38"/>
  <c r="AS245" i="38"/>
  <c r="AG245" i="38"/>
  <c r="E244" i="7"/>
  <c r="F244" i="7" s="1"/>
  <c r="AH245" i="38"/>
  <c r="AI245" i="38"/>
  <c r="AJ245" i="38"/>
  <c r="AB245" i="38"/>
  <c r="AA245" i="38"/>
  <c r="AT245" i="38" s="1"/>
  <c r="E245" i="38" s="1"/>
  <c r="Z248" i="38"/>
  <c r="Y248" i="38"/>
  <c r="AR248" i="38"/>
  <c r="AM248" i="38"/>
  <c r="A250" i="38"/>
  <c r="A248" i="7"/>
  <c r="D249" i="38"/>
  <c r="A271" i="24"/>
  <c r="AQ249" i="38"/>
  <c r="AK249" i="38"/>
  <c r="B249" i="38"/>
  <c r="B247" i="7"/>
  <c r="D247" i="7"/>
  <c r="C250" i="38"/>
  <c r="C248" i="7"/>
  <c r="AV249" i="38"/>
  <c r="AZ248" i="7"/>
  <c r="V247" i="38" l="1"/>
  <c r="E246" i="7" s="1"/>
  <c r="F246" i="7" s="1"/>
  <c r="AD247" i="38"/>
  <c r="AS246" i="38"/>
  <c r="E245" i="7"/>
  <c r="F245" i="7" s="1"/>
  <c r="AG246" i="38"/>
  <c r="AI246" i="38"/>
  <c r="AB246" i="38"/>
  <c r="AA246" i="38"/>
  <c r="AT246" i="38" s="1"/>
  <c r="E246" i="38" s="1"/>
  <c r="AJ246" i="38"/>
  <c r="AH246" i="38"/>
  <c r="AE245" i="38"/>
  <c r="B245" i="6"/>
  <c r="AR249" i="38"/>
  <c r="Y249" i="38"/>
  <c r="Z249" i="38"/>
  <c r="B248" i="7"/>
  <c r="D248" i="7"/>
  <c r="A272" i="24"/>
  <c r="A251" i="38"/>
  <c r="D250" i="38"/>
  <c r="A249" i="7"/>
  <c r="AQ250" i="38"/>
  <c r="AK250" i="38"/>
  <c r="B250" i="38"/>
  <c r="AJ248" i="38"/>
  <c r="AH248" i="38"/>
  <c r="AA248" i="38"/>
  <c r="AT248" i="38" s="1"/>
  <c r="E248" i="38" s="1"/>
  <c r="AB248" i="38"/>
  <c r="AI248" i="38"/>
  <c r="C249" i="7"/>
  <c r="C251" i="38"/>
  <c r="AV250" i="38"/>
  <c r="AZ249" i="7"/>
  <c r="AB247" i="38" l="1"/>
  <c r="AA247" i="38"/>
  <c r="AT247" i="38" s="1"/>
  <c r="E247" i="38" s="1"/>
  <c r="AH247" i="38"/>
  <c r="AI247" i="38"/>
  <c r="AJ247" i="38"/>
  <c r="AG247" i="38"/>
  <c r="AS247" i="38"/>
  <c r="AL247" i="38"/>
  <c r="D247" i="6" s="1"/>
  <c r="AL248" i="38"/>
  <c r="D248" i="6" s="1"/>
  <c r="AL249" i="38"/>
  <c r="D249" i="6" s="1"/>
  <c r="B246" i="6"/>
  <c r="AE246" i="38"/>
  <c r="AE247" i="38" s="1"/>
  <c r="AE248" i="38" s="1"/>
  <c r="AR250" i="38"/>
  <c r="D249" i="7"/>
  <c r="B249" i="7"/>
  <c r="AB249" i="38"/>
  <c r="AA249" i="38"/>
  <c r="AT249" i="38" s="1"/>
  <c r="E249" i="38" s="1"/>
  <c r="AJ249" i="38"/>
  <c r="AI249" i="38"/>
  <c r="AH249" i="38"/>
  <c r="Z250" i="38"/>
  <c r="Y250" i="38" s="1"/>
  <c r="A273" i="24"/>
  <c r="AQ251" i="38"/>
  <c r="A250" i="7"/>
  <c r="A252" i="38"/>
  <c r="D251" i="38"/>
  <c r="B251" i="38"/>
  <c r="AK251" i="38"/>
  <c r="C250" i="7"/>
  <c r="C252" i="38"/>
  <c r="AV251" i="38"/>
  <c r="AZ250" i="7"/>
  <c r="B247" i="6" l="1"/>
  <c r="B248" i="6" s="1"/>
  <c r="B249" i="6" s="1"/>
  <c r="AE249" i="38"/>
  <c r="AM249" i="38"/>
  <c r="AR251" i="38"/>
  <c r="B252" i="38"/>
  <c r="A251" i="7"/>
  <c r="D252" i="38"/>
  <c r="AQ252" i="38"/>
  <c r="A274" i="24"/>
  <c r="A253" i="38"/>
  <c r="AK252" i="38"/>
  <c r="Z251" i="38"/>
  <c r="Y251" i="38" s="1"/>
  <c r="D250" i="7"/>
  <c r="B250" i="7"/>
  <c r="C251" i="7"/>
  <c r="C253" i="38"/>
  <c r="AZ251" i="7"/>
  <c r="AV252" i="38"/>
  <c r="AM250" i="38" l="1"/>
  <c r="AM251" i="38" s="1"/>
  <c r="AM252" i="38" s="1"/>
  <c r="AD250" i="38"/>
  <c r="AL250" i="38" s="1"/>
  <c r="D250" i="6" s="1"/>
  <c r="V250" i="38"/>
  <c r="Z252" i="38"/>
  <c r="Y252" i="38" s="1"/>
  <c r="D253" i="38"/>
  <c r="A252" i="7"/>
  <c r="AK253" i="38"/>
  <c r="A254" i="38"/>
  <c r="A275" i="24"/>
  <c r="B253" i="38"/>
  <c r="AQ253" i="38"/>
  <c r="B251" i="7"/>
  <c r="D251" i="7"/>
  <c r="AR252" i="38"/>
  <c r="C254" i="38"/>
  <c r="C252" i="7"/>
  <c r="AV253" i="38"/>
  <c r="AZ252" i="7"/>
  <c r="V251" i="38" l="1"/>
  <c r="AH251" i="38" s="1"/>
  <c r="AD251" i="38"/>
  <c r="AS250" i="38"/>
  <c r="E249" i="7"/>
  <c r="F249" i="7" s="1"/>
  <c r="AG250" i="38"/>
  <c r="AH250" i="38"/>
  <c r="AI250" i="38"/>
  <c r="AJ250" i="38"/>
  <c r="AB250" i="38"/>
  <c r="AA250" i="38"/>
  <c r="AM253" i="38"/>
  <c r="AR253" i="38"/>
  <c r="B252" i="7"/>
  <c r="D252" i="7"/>
  <c r="D254" i="38"/>
  <c r="A255" i="38"/>
  <c r="A276" i="24"/>
  <c r="AK254" i="38"/>
  <c r="A253" i="7"/>
  <c r="B254" i="38"/>
  <c r="AQ254" i="38"/>
  <c r="Z253" i="38"/>
  <c r="Y253" i="38" s="1"/>
  <c r="C255" i="38"/>
  <c r="C253" i="7"/>
  <c r="AZ253" i="7"/>
  <c r="AV254" i="38"/>
  <c r="E250" i="7" l="1"/>
  <c r="F250" i="7" s="1"/>
  <c r="AG251" i="38"/>
  <c r="AA251" i="38"/>
  <c r="AT251" i="38" s="1"/>
  <c r="E251" i="38" s="1"/>
  <c r="AI251" i="38"/>
  <c r="AB251" i="38"/>
  <c r="AJ251" i="38"/>
  <c r="AD252" i="38"/>
  <c r="AL252" i="38" s="1"/>
  <c r="D252" i="6" s="1"/>
  <c r="V252" i="38"/>
  <c r="AS251" i="38"/>
  <c r="AL251" i="38"/>
  <c r="D251" i="6" s="1"/>
  <c r="AT250" i="38"/>
  <c r="E250" i="38" s="1"/>
  <c r="AE250" i="38"/>
  <c r="B250" i="6"/>
  <c r="AM254" i="38"/>
  <c r="AR254" i="38"/>
  <c r="Z254" i="38"/>
  <c r="Y254" i="38" s="1"/>
  <c r="A254" i="7"/>
  <c r="A277" i="24"/>
  <c r="D255" i="38"/>
  <c r="A256" i="38"/>
  <c r="AQ255" i="38"/>
  <c r="B255" i="38"/>
  <c r="AK255" i="38"/>
  <c r="D253" i="7"/>
  <c r="B253" i="7"/>
  <c r="C254" i="7"/>
  <c r="C256" i="38"/>
  <c r="AZ254" i="7"/>
  <c r="AV255" i="38"/>
  <c r="B251" i="6" l="1"/>
  <c r="AE251" i="38"/>
  <c r="V253" i="38"/>
  <c r="AI253" i="38" s="1"/>
  <c r="AD253" i="38"/>
  <c r="AG252" i="38"/>
  <c r="E251" i="7"/>
  <c r="F251" i="7" s="1"/>
  <c r="AS252" i="38"/>
  <c r="AH252" i="38"/>
  <c r="AJ252" i="38"/>
  <c r="AI252" i="38"/>
  <c r="AB252" i="38"/>
  <c r="AA252" i="38"/>
  <c r="AM255" i="38"/>
  <c r="AR255" i="38"/>
  <c r="A255" i="7"/>
  <c r="D256" i="38"/>
  <c r="A278" i="24"/>
  <c r="A257" i="38"/>
  <c r="AK256" i="38"/>
  <c r="AQ256" i="38"/>
  <c r="B256" i="38"/>
  <c r="B254" i="7"/>
  <c r="D254" i="7"/>
  <c r="Y255" i="38"/>
  <c r="Z255" i="38"/>
  <c r="C257" i="38"/>
  <c r="C255" i="7"/>
  <c r="AV256" i="38"/>
  <c r="AZ255" i="7"/>
  <c r="E252" i="7" l="1"/>
  <c r="F252" i="7" s="1"/>
  <c r="AG253" i="38"/>
  <c r="AH253" i="38"/>
  <c r="AA253" i="38"/>
  <c r="AT253" i="38" s="1"/>
  <c r="E253" i="38" s="1"/>
  <c r="AB253" i="38"/>
  <c r="AJ253" i="38"/>
  <c r="AD254" i="38"/>
  <c r="AL256" i="38" s="1"/>
  <c r="D256" i="6" s="1"/>
  <c r="V254" i="38"/>
  <c r="AS253" i="38"/>
  <c r="AL253" i="38"/>
  <c r="D253" i="6" s="1"/>
  <c r="AT252" i="38"/>
  <c r="E252" i="38" s="1"/>
  <c r="B252" i="6"/>
  <c r="B253" i="6" s="1"/>
  <c r="AE252" i="38"/>
  <c r="AM256" i="38"/>
  <c r="AR256" i="38"/>
  <c r="AB255" i="38"/>
  <c r="AH255" i="38"/>
  <c r="AJ255" i="38"/>
  <c r="AA255" i="38"/>
  <c r="AT255" i="38" s="1"/>
  <c r="E255" i="38" s="1"/>
  <c r="AI255" i="38"/>
  <c r="Y256" i="38"/>
  <c r="Z256" i="38"/>
  <c r="D255" i="7"/>
  <c r="B255" i="7"/>
  <c r="A256" i="7"/>
  <c r="AK257" i="38"/>
  <c r="AQ257" i="38"/>
  <c r="D257" i="38"/>
  <c r="B257" i="38"/>
  <c r="A258" i="38"/>
  <c r="A279" i="24"/>
  <c r="C258" i="38"/>
  <c r="C256" i="7"/>
  <c r="AZ256" i="7"/>
  <c r="AV257" i="38"/>
  <c r="AE253" i="38" l="1"/>
  <c r="AL254" i="38"/>
  <c r="D254" i="6" s="1"/>
  <c r="AL255" i="38"/>
  <c r="D255" i="6" s="1"/>
  <c r="AG254" i="38"/>
  <c r="AS254" i="38"/>
  <c r="E253" i="7"/>
  <c r="F253" i="7" s="1"/>
  <c r="AI254" i="38"/>
  <c r="AB254" i="38"/>
  <c r="AA254" i="38"/>
  <c r="AT254" i="38" s="1"/>
  <c r="E254" i="38" s="1"/>
  <c r="AJ254" i="38"/>
  <c r="AH254" i="38"/>
  <c r="AM257" i="38"/>
  <c r="AR257" i="38"/>
  <c r="Z257" i="38"/>
  <c r="Y257" i="38" s="1"/>
  <c r="A259" i="38"/>
  <c r="A280" i="24"/>
  <c r="AQ258" i="38"/>
  <c r="B258" i="38"/>
  <c r="AK258" i="38"/>
  <c r="A257" i="7"/>
  <c r="D258" i="38"/>
  <c r="B256" i="7"/>
  <c r="D256" i="7"/>
  <c r="AI256" i="38"/>
  <c r="AJ256" i="38"/>
  <c r="AB256" i="38"/>
  <c r="AA256" i="38"/>
  <c r="AT256" i="38" s="1"/>
  <c r="E256" i="38" s="1"/>
  <c r="AH256" i="38"/>
  <c r="C257" i="7"/>
  <c r="C259" i="38"/>
  <c r="AZ257" i="7"/>
  <c r="AV258" i="38"/>
  <c r="B254" i="6" l="1"/>
  <c r="B255" i="6" s="1"/>
  <c r="B256" i="6" s="1"/>
  <c r="AE254" i="38"/>
  <c r="AE255" i="38" s="1"/>
  <c r="AE256" i="38" s="1"/>
  <c r="AM258" i="38"/>
  <c r="Z258" i="38"/>
  <c r="Y258" i="38" s="1"/>
  <c r="D257" i="7"/>
  <c r="B257" i="7"/>
  <c r="A258" i="7"/>
  <c r="AQ259" i="38"/>
  <c r="D259" i="38"/>
  <c r="A260" i="38"/>
  <c r="A281" i="24"/>
  <c r="B259" i="38"/>
  <c r="AK259" i="38"/>
  <c r="AR258" i="38"/>
  <c r="C258" i="7"/>
  <c r="C260" i="38"/>
  <c r="AV259" i="38"/>
  <c r="AZ258" i="7"/>
  <c r="AD257" i="38" l="1"/>
  <c r="AL257" i="38" s="1"/>
  <c r="D257" i="6" s="1"/>
  <c r="V257" i="38"/>
  <c r="AM259" i="38"/>
  <c r="AR259" i="38"/>
  <c r="AQ260" i="38"/>
  <c r="AK260" i="38"/>
  <c r="A259" i="7"/>
  <c r="D260" i="38"/>
  <c r="A261" i="38"/>
  <c r="A282" i="24"/>
  <c r="B260" i="38"/>
  <c r="Z259" i="38"/>
  <c r="Y259" i="38" s="1"/>
  <c r="D258" i="7"/>
  <c r="B258" i="7"/>
  <c r="C261" i="38"/>
  <c r="C259" i="7"/>
  <c r="AZ259" i="7"/>
  <c r="AV260" i="38"/>
  <c r="AD258" i="38" l="1"/>
  <c r="AL258" i="38" s="1"/>
  <c r="D258" i="6" s="1"/>
  <c r="V258" i="38"/>
  <c r="AS257" i="38"/>
  <c r="AG257" i="38"/>
  <c r="E256" i="7"/>
  <c r="F256" i="7" s="1"/>
  <c r="AB257" i="38"/>
  <c r="AJ257" i="38"/>
  <c r="AH257" i="38"/>
  <c r="AA257" i="38"/>
  <c r="AI257" i="38"/>
  <c r="AM260" i="38"/>
  <c r="A283" i="24"/>
  <c r="AK261" i="38"/>
  <c r="A260" i="7"/>
  <c r="A262" i="38"/>
  <c r="AQ261" i="38"/>
  <c r="B261" i="38"/>
  <c r="D261" i="38"/>
  <c r="Z260" i="38"/>
  <c r="Y260" i="38" s="1"/>
  <c r="AR260" i="38"/>
  <c r="B259" i="7"/>
  <c r="D259" i="7"/>
  <c r="C262" i="38"/>
  <c r="C260" i="7"/>
  <c r="AZ260" i="7"/>
  <c r="AV261" i="38"/>
  <c r="AD259" i="38" l="1"/>
  <c r="V259" i="38"/>
  <c r="AS258" i="38"/>
  <c r="E257" i="7"/>
  <c r="F257" i="7" s="1"/>
  <c r="AG258" i="38"/>
  <c r="AJ258" i="38"/>
  <c r="AI258" i="38"/>
  <c r="AB258" i="38"/>
  <c r="AA258" i="38"/>
  <c r="AT258" i="38" s="1"/>
  <c r="E258" i="38" s="1"/>
  <c r="AH258" i="38"/>
  <c r="AT257" i="38"/>
  <c r="E257" i="38" s="1"/>
  <c r="AE257" i="38"/>
  <c r="B257" i="6"/>
  <c r="AM261" i="38"/>
  <c r="AR261" i="38"/>
  <c r="A261" i="7"/>
  <c r="A284" i="24"/>
  <c r="D262" i="38"/>
  <c r="AK262" i="38"/>
  <c r="AQ262" i="38"/>
  <c r="A263" i="38"/>
  <c r="B262" i="38"/>
  <c r="Z261" i="38"/>
  <c r="Y261" i="38" s="1"/>
  <c r="B260" i="7"/>
  <c r="D260" i="7"/>
  <c r="C263" i="38"/>
  <c r="C261" i="7"/>
  <c r="AZ261" i="7"/>
  <c r="AV262" i="38"/>
  <c r="AD260" i="38" l="1"/>
  <c r="AL263" i="38" s="1"/>
  <c r="D263" i="6" s="1"/>
  <c r="V260" i="38"/>
  <c r="E258" i="7"/>
  <c r="F258" i="7" s="1"/>
  <c r="AS259" i="38"/>
  <c r="AG259" i="38"/>
  <c r="AB259" i="38"/>
  <c r="AJ259" i="38"/>
  <c r="AH259" i="38"/>
  <c r="AI259" i="38"/>
  <c r="AA259" i="38"/>
  <c r="AT259" i="38" s="1"/>
  <c r="E259" i="38" s="1"/>
  <c r="AL259" i="38"/>
  <c r="D259" i="6" s="1"/>
  <c r="B258" i="6"/>
  <c r="AE258" i="38"/>
  <c r="AM262" i="38"/>
  <c r="AR262" i="38"/>
  <c r="AJ261" i="38"/>
  <c r="AI261" i="38"/>
  <c r="AA261" i="38"/>
  <c r="AT261" i="38" s="1"/>
  <c r="E261" i="38" s="1"/>
  <c r="AH261" i="38"/>
  <c r="AB261" i="38"/>
  <c r="AQ263" i="38"/>
  <c r="D263" i="38"/>
  <c r="A262" i="7"/>
  <c r="AK263" i="38"/>
  <c r="B263" i="38"/>
  <c r="A264" i="38"/>
  <c r="A285" i="24"/>
  <c r="D261" i="7"/>
  <c r="B261" i="7"/>
  <c r="Y262" i="38"/>
  <c r="Z262" i="38"/>
  <c r="C262" i="7"/>
  <c r="C264" i="38"/>
  <c r="AV263" i="38"/>
  <c r="AZ262" i="7"/>
  <c r="B259" i="6" l="1"/>
  <c r="AL262" i="38"/>
  <c r="D262" i="6" s="1"/>
  <c r="AL261" i="38"/>
  <c r="D261" i="6" s="1"/>
  <c r="AL260" i="38"/>
  <c r="D260" i="6" s="1"/>
  <c r="AE259" i="38"/>
  <c r="E259" i="7"/>
  <c r="F259" i="7" s="1"/>
  <c r="AS260" i="38"/>
  <c r="AG260" i="38"/>
  <c r="AA260" i="38"/>
  <c r="AT260" i="38" s="1"/>
  <c r="E260" i="38" s="1"/>
  <c r="AH260" i="38"/>
  <c r="AJ260" i="38"/>
  <c r="AB260" i="38"/>
  <c r="AI260" i="38"/>
  <c r="AM263" i="38"/>
  <c r="AR263" i="38"/>
  <c r="AQ264" i="38"/>
  <c r="A286" i="24"/>
  <c r="A265" i="38"/>
  <c r="AK264" i="38"/>
  <c r="B264" i="38"/>
  <c r="A263" i="7"/>
  <c r="D264" i="38"/>
  <c r="B262" i="7"/>
  <c r="D262" i="7"/>
  <c r="AA262" i="38"/>
  <c r="AT262" i="38" s="1"/>
  <c r="E262" i="38" s="1"/>
  <c r="AB262" i="38"/>
  <c r="AJ262" i="38"/>
  <c r="AI262" i="38"/>
  <c r="AH262" i="38"/>
  <c r="Y263" i="38"/>
  <c r="Z263" i="38"/>
  <c r="C265" i="38"/>
  <c r="C263" i="7"/>
  <c r="AV264" i="38"/>
  <c r="AZ263" i="7"/>
  <c r="AE260" i="38" l="1"/>
  <c r="AE261" i="38" s="1"/>
  <c r="AE262" i="38" s="1"/>
  <c r="B260" i="6"/>
  <c r="B261" i="6" s="1"/>
  <c r="B262" i="6" s="1"/>
  <c r="AM264" i="38"/>
  <c r="B263" i="7"/>
  <c r="D263" i="7"/>
  <c r="AR264" i="38"/>
  <c r="D265" i="38"/>
  <c r="A264" i="7"/>
  <c r="A287" i="24"/>
  <c r="AQ265" i="38"/>
  <c r="A266" i="38"/>
  <c r="B265" i="38"/>
  <c r="AK265" i="38"/>
  <c r="AB263" i="38"/>
  <c r="AJ263" i="38"/>
  <c r="AH263" i="38"/>
  <c r="AI263" i="38"/>
  <c r="AA263" i="38"/>
  <c r="AT263" i="38" s="1"/>
  <c r="E263" i="38" s="1"/>
  <c r="Z264" i="38"/>
  <c r="Y264" i="38" s="1"/>
  <c r="C264" i="7"/>
  <c r="C266" i="38"/>
  <c r="AZ264" i="7"/>
  <c r="AV265" i="38"/>
  <c r="AE263" i="38" l="1"/>
  <c r="AM265" i="38"/>
  <c r="AR265" i="38"/>
  <c r="B264" i="7"/>
  <c r="D264" i="7"/>
  <c r="Z265" i="38"/>
  <c r="Y265" i="38" s="1"/>
  <c r="AK266" i="38"/>
  <c r="D266" i="38"/>
  <c r="B266" i="38"/>
  <c r="AQ266" i="38"/>
  <c r="A265" i="7"/>
  <c r="A267" i="38"/>
  <c r="A288" i="24"/>
  <c r="B263" i="6"/>
  <c r="C265" i="7"/>
  <c r="C267" i="38"/>
  <c r="AV266" i="38"/>
  <c r="AZ265" i="7"/>
  <c r="AD264" i="38" l="1"/>
  <c r="AL264" i="38" s="1"/>
  <c r="D264" i="6" s="1"/>
  <c r="AD265" i="38"/>
  <c r="V264" i="38"/>
  <c r="AM266" i="38"/>
  <c r="D265" i="7"/>
  <c r="B265" i="7"/>
  <c r="Z266" i="38"/>
  <c r="Y266" i="38" s="1"/>
  <c r="AQ267" i="38"/>
  <c r="B267" i="38"/>
  <c r="A289" i="24"/>
  <c r="A268" i="38"/>
  <c r="D267" i="38"/>
  <c r="A266" i="7"/>
  <c r="AK267" i="38"/>
  <c r="AR266" i="38"/>
  <c r="C266" i="7"/>
  <c r="C268" i="38"/>
  <c r="AZ266" i="7"/>
  <c r="AV267" i="38"/>
  <c r="AL265" i="38" l="1"/>
  <c r="D265" i="6" s="1"/>
  <c r="V265" i="38"/>
  <c r="AG264" i="38"/>
  <c r="AS264" i="38"/>
  <c r="E263" i="7"/>
  <c r="F263" i="7" s="1"/>
  <c r="AJ264" i="38"/>
  <c r="AA264" i="38"/>
  <c r="AH264" i="38"/>
  <c r="AB264" i="38"/>
  <c r="AI264" i="38"/>
  <c r="AM267" i="38"/>
  <c r="D266" i="7"/>
  <c r="B266" i="7"/>
  <c r="A290" i="24"/>
  <c r="A267" i="7"/>
  <c r="B268" i="38"/>
  <c r="A269" i="38"/>
  <c r="AK268" i="38"/>
  <c r="AQ268" i="38"/>
  <c r="D268" i="38"/>
  <c r="AR267" i="38"/>
  <c r="Z267" i="38"/>
  <c r="Y267" i="38" s="1"/>
  <c r="C267" i="7"/>
  <c r="C269" i="38"/>
  <c r="AZ267" i="7"/>
  <c r="AV268" i="38"/>
  <c r="V266" i="38" l="1"/>
  <c r="AH266" i="38" s="1"/>
  <c r="AD266" i="38"/>
  <c r="E264" i="7"/>
  <c r="F264" i="7" s="1"/>
  <c r="AS265" i="38"/>
  <c r="AG265" i="38"/>
  <c r="AI265" i="38"/>
  <c r="AB265" i="38"/>
  <c r="AA265" i="38"/>
  <c r="AT265" i="38" s="1"/>
  <c r="E265" i="38" s="1"/>
  <c r="AJ265" i="38"/>
  <c r="AH265" i="38"/>
  <c r="AT264" i="38"/>
  <c r="E264" i="38" s="1"/>
  <c r="AE264" i="38"/>
  <c r="B264" i="6"/>
  <c r="AM268" i="38"/>
  <c r="AR268" i="38"/>
  <c r="B269" i="38"/>
  <c r="A268" i="7"/>
  <c r="AQ269" i="38"/>
  <c r="A270" i="38"/>
  <c r="AK269" i="38"/>
  <c r="D269" i="38"/>
  <c r="A291" i="24"/>
  <c r="Z268" i="38"/>
  <c r="Y268" i="38" s="1"/>
  <c r="D267" i="7"/>
  <c r="B267" i="7"/>
  <c r="C268" i="7"/>
  <c r="C270" i="38"/>
  <c r="AZ268" i="7"/>
  <c r="AV269" i="38"/>
  <c r="V267" i="38" l="1"/>
  <c r="E266" i="7" s="1"/>
  <c r="F266" i="7" s="1"/>
  <c r="AS266" i="38"/>
  <c r="AB266" i="38"/>
  <c r="AI266" i="38"/>
  <c r="AJ266" i="38"/>
  <c r="AG266" i="38"/>
  <c r="E265" i="7"/>
  <c r="F265" i="7" s="1"/>
  <c r="AA266" i="38"/>
  <c r="AT266" i="38" s="1"/>
  <c r="E266" i="38" s="1"/>
  <c r="AD267" i="38"/>
  <c r="AL266" i="38"/>
  <c r="D266" i="6" s="1"/>
  <c r="B265" i="6"/>
  <c r="AE265" i="38"/>
  <c r="AM269" i="38"/>
  <c r="Y269" i="38"/>
  <c r="Z269" i="38"/>
  <c r="A269" i="7"/>
  <c r="AK270" i="38"/>
  <c r="D270" i="38"/>
  <c r="AQ270" i="38"/>
  <c r="A292" i="24"/>
  <c r="B270" i="38"/>
  <c r="A271" i="38"/>
  <c r="D268" i="7"/>
  <c r="B268" i="7"/>
  <c r="AR269" i="38"/>
  <c r="C269" i="7"/>
  <c r="C271" i="38"/>
  <c r="AZ269" i="7"/>
  <c r="AV270" i="38"/>
  <c r="AA267" i="38" l="1"/>
  <c r="AT267" i="38" s="1"/>
  <c r="E267" i="38" s="1"/>
  <c r="AB267" i="38"/>
  <c r="AH267" i="38"/>
  <c r="AJ267" i="38"/>
  <c r="AI267" i="38"/>
  <c r="AG267" i="38"/>
  <c r="AS267" i="38"/>
  <c r="AD268" i="38"/>
  <c r="AL268" i="38" s="1"/>
  <c r="D268" i="6" s="1"/>
  <c r="AE266" i="38"/>
  <c r="AE267" i="38" s="1"/>
  <c r="B266" i="6"/>
  <c r="V268" i="38"/>
  <c r="AL267" i="38"/>
  <c r="D267" i="6" s="1"/>
  <c r="AM270" i="38"/>
  <c r="D269" i="7"/>
  <c r="B269" i="7"/>
  <c r="B271" i="38"/>
  <c r="AK271" i="38"/>
  <c r="AQ271" i="38"/>
  <c r="A293" i="24"/>
  <c r="A270" i="7"/>
  <c r="D271" i="38"/>
  <c r="A272" i="38"/>
  <c r="AR270" i="38"/>
  <c r="Z270" i="38"/>
  <c r="Y270" i="38"/>
  <c r="AB269" i="38"/>
  <c r="AH269" i="38"/>
  <c r="AA269" i="38"/>
  <c r="AT269" i="38" s="1"/>
  <c r="E269" i="38" s="1"/>
  <c r="AJ269" i="38"/>
  <c r="AI269" i="38"/>
  <c r="C272" i="38"/>
  <c r="C270" i="7"/>
  <c r="AV271" i="38"/>
  <c r="AZ270" i="7"/>
  <c r="B267" i="6" l="1"/>
  <c r="AL270" i="38"/>
  <c r="D270" i="6" s="1"/>
  <c r="AL269" i="38"/>
  <c r="D269" i="6" s="1"/>
  <c r="AS268" i="38"/>
  <c r="E267" i="7"/>
  <c r="F267" i="7" s="1"/>
  <c r="AG268" i="38"/>
  <c r="AH268" i="38"/>
  <c r="AI268" i="38"/>
  <c r="AA268" i="38"/>
  <c r="AJ268" i="38"/>
  <c r="AB268" i="38"/>
  <c r="AM271" i="38"/>
  <c r="AR271" i="38"/>
  <c r="D270" i="7"/>
  <c r="B270" i="7"/>
  <c r="AJ270" i="38"/>
  <c r="AA270" i="38"/>
  <c r="AT270" i="38" s="1"/>
  <c r="E270" i="38" s="1"/>
  <c r="AH270" i="38"/>
  <c r="AI270" i="38"/>
  <c r="AB270" i="38"/>
  <c r="B272" i="38"/>
  <c r="A271" i="7"/>
  <c r="AQ272" i="38"/>
  <c r="A273" i="38"/>
  <c r="D272" i="38"/>
  <c r="A294" i="24"/>
  <c r="AK272" i="38"/>
  <c r="Z271" i="38"/>
  <c r="Y271" i="38" s="1"/>
  <c r="C271" i="7"/>
  <c r="C273" i="38"/>
  <c r="AV272" i="38"/>
  <c r="AZ271" i="7"/>
  <c r="AT268" i="38" l="1"/>
  <c r="E268" i="38" s="1"/>
  <c r="AE268" i="38"/>
  <c r="AE269" i="38" s="1"/>
  <c r="AE270" i="38" s="1"/>
  <c r="B268" i="6"/>
  <c r="B269" i="6" s="1"/>
  <c r="B270" i="6" s="1"/>
  <c r="AM272" i="38"/>
  <c r="AR272" i="38"/>
  <c r="B273" i="38"/>
  <c r="AQ273" i="38"/>
  <c r="A295" i="24"/>
  <c r="A272" i="7"/>
  <c r="AK273" i="38"/>
  <c r="A274" i="38"/>
  <c r="D273" i="38"/>
  <c r="Z272" i="38"/>
  <c r="Y272" i="38" s="1"/>
  <c r="B271" i="7"/>
  <c r="D271" i="7"/>
  <c r="C274" i="38"/>
  <c r="C272" i="7"/>
  <c r="AZ272" i="7"/>
  <c r="AV273" i="38"/>
  <c r="V271" i="38" l="1"/>
  <c r="AB271" i="38" s="1"/>
  <c r="AD271" i="38"/>
  <c r="AM273" i="38"/>
  <c r="AQ274" i="38"/>
  <c r="AK274" i="38"/>
  <c r="D274" i="38"/>
  <c r="B274" i="38"/>
  <c r="A275" i="38"/>
  <c r="A296" i="24"/>
  <c r="A273" i="7"/>
  <c r="Z273" i="38"/>
  <c r="Y273" i="38" s="1"/>
  <c r="AR273" i="38"/>
  <c r="B272" i="7"/>
  <c r="D272" i="7"/>
  <c r="C275" i="38"/>
  <c r="C273" i="7"/>
  <c r="AZ273" i="7"/>
  <c r="AV274" i="38"/>
  <c r="AD272" i="38" l="1"/>
  <c r="AL272" i="38" s="1"/>
  <c r="D272" i="6" s="1"/>
  <c r="AI271" i="38"/>
  <c r="AA271" i="38"/>
  <c r="B271" i="6" s="1"/>
  <c r="AH271" i="38"/>
  <c r="E270" i="7"/>
  <c r="F270" i="7" s="1"/>
  <c r="AJ271" i="38"/>
  <c r="AG271" i="38"/>
  <c r="V272" i="38"/>
  <c r="AS271" i="38"/>
  <c r="AL271" i="38"/>
  <c r="D271" i="6" s="1"/>
  <c r="AM274" i="38"/>
  <c r="AR274" i="38"/>
  <c r="D273" i="7"/>
  <c r="B273" i="7"/>
  <c r="Z274" i="38"/>
  <c r="Y274" i="38" s="1"/>
  <c r="AK275" i="38"/>
  <c r="B275" i="38"/>
  <c r="A276" i="38"/>
  <c r="A297" i="24"/>
  <c r="AQ275" i="38"/>
  <c r="A274" i="7"/>
  <c r="D275" i="38"/>
  <c r="C274" i="7"/>
  <c r="C276" i="38"/>
  <c r="AV275" i="38"/>
  <c r="AZ274" i="7"/>
  <c r="AE271" i="38" l="1"/>
  <c r="AT271" i="38"/>
  <c r="E271" i="38" s="1"/>
  <c r="AD273" i="38"/>
  <c r="AL273" i="38" s="1"/>
  <c r="D273" i="6" s="1"/>
  <c r="V273" i="38"/>
  <c r="AS272" i="38"/>
  <c r="E271" i="7"/>
  <c r="F271" i="7" s="1"/>
  <c r="AG272" i="38"/>
  <c r="AA272" i="38"/>
  <c r="AJ272" i="38"/>
  <c r="AH272" i="38"/>
  <c r="AI272" i="38"/>
  <c r="AB272" i="38"/>
  <c r="AM275" i="38"/>
  <c r="D274" i="7"/>
  <c r="B274" i="7"/>
  <c r="Z275" i="38"/>
  <c r="Y275" i="38" s="1"/>
  <c r="AR275" i="38"/>
  <c r="A275" i="7"/>
  <c r="A277" i="38"/>
  <c r="A298" i="24"/>
  <c r="B276" i="38"/>
  <c r="D276" i="38"/>
  <c r="AQ276" i="38"/>
  <c r="AK276" i="38"/>
  <c r="C275" i="7"/>
  <c r="C277" i="38"/>
  <c r="AZ275" i="7"/>
  <c r="AV276" i="38"/>
  <c r="AD274" i="38" l="1"/>
  <c r="AL274" i="38" s="1"/>
  <c r="D274" i="6" s="1"/>
  <c r="V274" i="38"/>
  <c r="E272" i="7"/>
  <c r="F272" i="7" s="1"/>
  <c r="AG273" i="38"/>
  <c r="AS273" i="38"/>
  <c r="AB273" i="38"/>
  <c r="AJ273" i="38"/>
  <c r="AH273" i="38"/>
  <c r="AA273" i="38"/>
  <c r="AT273" i="38" s="1"/>
  <c r="E273" i="38" s="1"/>
  <c r="AI273" i="38"/>
  <c r="AT272" i="38"/>
  <c r="E272" i="38" s="1"/>
  <c r="B272" i="6"/>
  <c r="AE272" i="38"/>
  <c r="AM276" i="38"/>
  <c r="A278" i="38"/>
  <c r="B277" i="38"/>
  <c r="D277" i="38"/>
  <c r="A276" i="7"/>
  <c r="A299" i="24"/>
  <c r="AK277" i="38"/>
  <c r="AQ277" i="38"/>
  <c r="D275" i="7"/>
  <c r="B275" i="7"/>
  <c r="AR276" i="38"/>
  <c r="Y276" i="38"/>
  <c r="Z276" i="38"/>
  <c r="C276" i="7"/>
  <c r="C278" i="38"/>
  <c r="AV277" i="38"/>
  <c r="AZ276" i="7"/>
  <c r="AD275" i="38" l="1"/>
  <c r="AL277" i="38" s="1"/>
  <c r="D277" i="6" s="1"/>
  <c r="V275" i="38"/>
  <c r="E273" i="7"/>
  <c r="F273" i="7" s="1"/>
  <c r="AG274" i="38"/>
  <c r="AS274" i="38"/>
  <c r="AI274" i="38"/>
  <c r="AJ274" i="38"/>
  <c r="AA274" i="38"/>
  <c r="AT274" i="38" s="1"/>
  <c r="E274" i="38" s="1"/>
  <c r="AH274" i="38"/>
  <c r="AB274" i="38"/>
  <c r="B273" i="6"/>
  <c r="AE273" i="38"/>
  <c r="AM277" i="38"/>
  <c r="AR277" i="38"/>
  <c r="B276" i="7"/>
  <c r="D276" i="7"/>
  <c r="Y277" i="38"/>
  <c r="Z277" i="38"/>
  <c r="AB276" i="38"/>
  <c r="AH276" i="38"/>
  <c r="AI276" i="38"/>
  <c r="AA276" i="38"/>
  <c r="AT276" i="38" s="1"/>
  <c r="E276" i="38" s="1"/>
  <c r="AJ276" i="38"/>
  <c r="A277" i="7"/>
  <c r="A279" i="38"/>
  <c r="B278" i="38"/>
  <c r="D278" i="38"/>
  <c r="AQ278" i="38"/>
  <c r="A300" i="24"/>
  <c r="AK278" i="38"/>
  <c r="C279" i="38"/>
  <c r="C277" i="7"/>
  <c r="AV278" i="38"/>
  <c r="AZ277" i="7"/>
  <c r="AL275" i="38" l="1"/>
  <c r="D275" i="6" s="1"/>
  <c r="AL276" i="38"/>
  <c r="D276" i="6" s="1"/>
  <c r="E274" i="7"/>
  <c r="F274" i="7" s="1"/>
  <c r="AG275" i="38"/>
  <c r="AS275" i="38"/>
  <c r="AH275" i="38"/>
  <c r="AA275" i="38"/>
  <c r="AT275" i="38" s="1"/>
  <c r="E275" i="38" s="1"/>
  <c r="AI275" i="38"/>
  <c r="AJ275" i="38"/>
  <c r="AB275" i="38"/>
  <c r="AE274" i="38"/>
  <c r="B274" i="6"/>
  <c r="AM278" i="38"/>
  <c r="AR278" i="38"/>
  <c r="AA277" i="38"/>
  <c r="AT277" i="38" s="1"/>
  <c r="E277" i="38" s="1"/>
  <c r="AH277" i="38"/>
  <c r="AI277" i="38"/>
  <c r="AB277" i="38"/>
  <c r="AJ277" i="38"/>
  <c r="Z278" i="38"/>
  <c r="Y278" i="38" s="1"/>
  <c r="D277" i="7"/>
  <c r="B277" i="7"/>
  <c r="A278" i="7"/>
  <c r="A301" i="24"/>
  <c r="B279" i="38"/>
  <c r="AK279" i="38"/>
  <c r="D279" i="38"/>
  <c r="A280" i="38"/>
  <c r="AQ279" i="38"/>
  <c r="C278" i="7"/>
  <c r="C280" i="38"/>
  <c r="AZ278" i="7"/>
  <c r="AV279" i="38"/>
  <c r="B275" i="6" l="1"/>
  <c r="B276" i="6" s="1"/>
  <c r="B277" i="6" s="1"/>
  <c r="AE275" i="38"/>
  <c r="AE276" i="38" s="1"/>
  <c r="AE277" i="38" s="1"/>
  <c r="AR279" i="38"/>
  <c r="D280" i="38"/>
  <c r="AQ280" i="38"/>
  <c r="A279" i="7"/>
  <c r="A281" i="38"/>
  <c r="A302" i="24"/>
  <c r="B280" i="38"/>
  <c r="AK280" i="38"/>
  <c r="B278" i="7"/>
  <c r="D278" i="7"/>
  <c r="Z279" i="38"/>
  <c r="Y279" i="38" s="1"/>
  <c r="C279" i="7"/>
  <c r="C281" i="38"/>
  <c r="AV280" i="38"/>
  <c r="AZ279" i="7"/>
  <c r="AD278" i="38" l="1"/>
  <c r="AL278" i="38" s="1"/>
  <c r="D278" i="6" s="1"/>
  <c r="V278" i="38"/>
  <c r="AR280" i="38"/>
  <c r="AQ281" i="38"/>
  <c r="A282" i="38"/>
  <c r="A303" i="24"/>
  <c r="AK281" i="38"/>
  <c r="A280" i="7"/>
  <c r="D281" i="38"/>
  <c r="B281" i="38"/>
  <c r="Z280" i="38"/>
  <c r="Y280" i="38" s="1"/>
  <c r="D279" i="7"/>
  <c r="B279" i="7"/>
  <c r="C282" i="38"/>
  <c r="C280" i="7"/>
  <c r="AZ280" i="7"/>
  <c r="AV281" i="38"/>
  <c r="V279" i="38" l="1"/>
  <c r="AJ279" i="38" s="1"/>
  <c r="AD279" i="38"/>
  <c r="AG278" i="38"/>
  <c r="E277" i="7"/>
  <c r="F277" i="7" s="1"/>
  <c r="AS278" i="38"/>
  <c r="AH278" i="38"/>
  <c r="AI278" i="38"/>
  <c r="AB278" i="38"/>
  <c r="AJ278" i="38"/>
  <c r="AA278" i="38"/>
  <c r="AR281" i="38"/>
  <c r="D282" i="38"/>
  <c r="A281" i="7"/>
  <c r="A283" i="38"/>
  <c r="A304" i="24"/>
  <c r="B282" i="38"/>
  <c r="AQ282" i="38"/>
  <c r="AK282" i="38"/>
  <c r="D280" i="7"/>
  <c r="B280" i="7"/>
  <c r="Z281" i="38"/>
  <c r="Y281" i="38"/>
  <c r="C283" i="38"/>
  <c r="C281" i="7"/>
  <c r="AZ281" i="7"/>
  <c r="AV282" i="38"/>
  <c r="AG279" i="38" l="1"/>
  <c r="E278" i="7"/>
  <c r="F278" i="7" s="1"/>
  <c r="AB279" i="38"/>
  <c r="AI279" i="38"/>
  <c r="AA279" i="38"/>
  <c r="AT279" i="38" s="1"/>
  <c r="E279" i="38" s="1"/>
  <c r="AH279" i="38"/>
  <c r="V280" i="38"/>
  <c r="AI280" i="38" s="1"/>
  <c r="AD280" i="38"/>
  <c r="AS279" i="38"/>
  <c r="AL279" i="38"/>
  <c r="D279" i="6" s="1"/>
  <c r="AT278" i="38"/>
  <c r="E278" i="38" s="1"/>
  <c r="AE278" i="38"/>
  <c r="B278" i="6"/>
  <c r="B279" i="6" s="1"/>
  <c r="AR282" i="38"/>
  <c r="D281" i="7"/>
  <c r="B281" i="7"/>
  <c r="AJ281" i="38"/>
  <c r="AB281" i="38"/>
  <c r="AH281" i="38"/>
  <c r="AI281" i="38"/>
  <c r="AA281" i="38"/>
  <c r="AT281" i="38" s="1"/>
  <c r="E281" i="38" s="1"/>
  <c r="Z282" i="38"/>
  <c r="Y282" i="38" s="1"/>
  <c r="A305" i="24"/>
  <c r="AQ283" i="38"/>
  <c r="D283" i="38"/>
  <c r="A282" i="7"/>
  <c r="A284" i="38"/>
  <c r="B283" i="38"/>
  <c r="AK283" i="38"/>
  <c r="C284" i="38"/>
  <c r="C282" i="7"/>
  <c r="AZ282" i="7"/>
  <c r="AV283" i="38"/>
  <c r="AH280" i="38" l="1"/>
  <c r="AB280" i="38"/>
  <c r="AG280" i="38"/>
  <c r="E279" i="7"/>
  <c r="F279" i="7" s="1"/>
  <c r="AS280" i="38"/>
  <c r="AJ280" i="38"/>
  <c r="AA280" i="38"/>
  <c r="AT280" i="38" s="1"/>
  <c r="E280" i="38" s="1"/>
  <c r="AL281" i="38"/>
  <c r="D281" i="6" s="1"/>
  <c r="AL282" i="38"/>
  <c r="D282" i="6" s="1"/>
  <c r="AL280" i="38"/>
  <c r="D280" i="6" s="1"/>
  <c r="AL284" i="38"/>
  <c r="D284" i="6" s="1"/>
  <c r="AL283" i="38"/>
  <c r="D283" i="6" s="1"/>
  <c r="AE279" i="38"/>
  <c r="AM279" i="38"/>
  <c r="AM280" i="38" s="1"/>
  <c r="AM281" i="38" s="1"/>
  <c r="AM282" i="38" s="1"/>
  <c r="AM283" i="38" s="1"/>
  <c r="D284" i="38"/>
  <c r="B284" i="38"/>
  <c r="A285" i="38"/>
  <c r="A306" i="24"/>
  <c r="A283" i="7"/>
  <c r="AQ284" i="38"/>
  <c r="AK284" i="38"/>
  <c r="AR283" i="38"/>
  <c r="AB282" i="38"/>
  <c r="AA282" i="38"/>
  <c r="AT282" i="38" s="1"/>
  <c r="E282" i="38" s="1"/>
  <c r="AH282" i="38"/>
  <c r="AJ282" i="38"/>
  <c r="AI282" i="38"/>
  <c r="D282" i="7"/>
  <c r="B282" i="7"/>
  <c r="Z283" i="38"/>
  <c r="Y283" i="38"/>
  <c r="C283" i="7"/>
  <c r="C285" i="38"/>
  <c r="AV284" i="38"/>
  <c r="AZ283" i="7"/>
  <c r="B280" i="6" l="1"/>
  <c r="B281" i="6" s="1"/>
  <c r="B282" i="6" s="1"/>
  <c r="AE280" i="38"/>
  <c r="AE281" i="38" s="1"/>
  <c r="AE282" i="38" s="1"/>
  <c r="Y284" i="38"/>
  <c r="Z284" i="38"/>
  <c r="D285" i="38"/>
  <c r="A307" i="24"/>
  <c r="AK285" i="38"/>
  <c r="A284" i="7"/>
  <c r="AQ285" i="38"/>
  <c r="A286" i="38"/>
  <c r="B285" i="38"/>
  <c r="AJ283" i="38"/>
  <c r="AB283" i="38"/>
  <c r="AH283" i="38"/>
  <c r="AI283" i="38"/>
  <c r="AA283" i="38"/>
  <c r="AT283" i="38" s="1"/>
  <c r="E283" i="38" s="1"/>
  <c r="D283" i="7"/>
  <c r="B283" i="7"/>
  <c r="AR284" i="38"/>
  <c r="AM284" i="38"/>
  <c r="C284" i="7"/>
  <c r="C286" i="38"/>
  <c r="AZ284" i="7"/>
  <c r="AV285" i="38"/>
  <c r="AE283" i="38" l="1"/>
  <c r="B283" i="6"/>
  <c r="A287" i="38"/>
  <c r="B286" i="38"/>
  <c r="A308" i="24"/>
  <c r="AQ286" i="38"/>
  <c r="AK286" i="38"/>
  <c r="A285" i="7"/>
  <c r="D286" i="38"/>
  <c r="D284" i="7"/>
  <c r="B284" i="7"/>
  <c r="AR285" i="38"/>
  <c r="AM285" i="38"/>
  <c r="Z285" i="38"/>
  <c r="Y285" i="38" s="1"/>
  <c r="AI284" i="38"/>
  <c r="AA284" i="38"/>
  <c r="AT284" i="38" s="1"/>
  <c r="E284" i="38" s="1"/>
  <c r="AB284" i="38"/>
  <c r="AH284" i="38"/>
  <c r="AJ284" i="38"/>
  <c r="C287" i="38"/>
  <c r="C285" i="7"/>
  <c r="AZ285" i="7"/>
  <c r="AV286" i="38"/>
  <c r="AE284" i="38" l="1"/>
  <c r="AM286" i="38"/>
  <c r="B284" i="6"/>
  <c r="B285" i="7"/>
  <c r="D285" i="7"/>
  <c r="AR286" i="38"/>
  <c r="Z286" i="38"/>
  <c r="Y286" i="38" s="1"/>
  <c r="A286" i="7"/>
  <c r="AK287" i="38"/>
  <c r="A288" i="38"/>
  <c r="D287" i="38"/>
  <c r="AQ287" i="38"/>
  <c r="B287" i="38"/>
  <c r="A309" i="24"/>
  <c r="C288" i="38"/>
  <c r="C286" i="7"/>
  <c r="AV287" i="38"/>
  <c r="AZ286" i="7"/>
  <c r="AD285" i="38" l="1"/>
  <c r="AL285" i="38" s="1"/>
  <c r="D285" i="6" s="1"/>
  <c r="V285" i="38"/>
  <c r="AR287" i="38"/>
  <c r="AM287" i="38"/>
  <c r="A289" i="38"/>
  <c r="A287" i="7"/>
  <c r="AK288" i="38"/>
  <c r="D288" i="38"/>
  <c r="AQ288" i="38"/>
  <c r="B288" i="38"/>
  <c r="A310" i="24"/>
  <c r="Z287" i="38"/>
  <c r="Y287" i="38" s="1"/>
  <c r="D286" i="7"/>
  <c r="B286" i="7"/>
  <c r="C289" i="38"/>
  <c r="C287" i="7"/>
  <c r="AZ287" i="7"/>
  <c r="AV288" i="38"/>
  <c r="V286" i="38" l="1"/>
  <c r="AJ286" i="38" s="1"/>
  <c r="AD286" i="38"/>
  <c r="E284" i="7"/>
  <c r="F284" i="7" s="1"/>
  <c r="AG285" i="38"/>
  <c r="AB285" i="38"/>
  <c r="AJ285" i="38"/>
  <c r="AI285" i="38"/>
  <c r="AH285" i="38"/>
  <c r="AA285" i="38"/>
  <c r="AS285" i="38"/>
  <c r="AR288" i="38"/>
  <c r="Z288" i="38"/>
  <c r="Y288" i="38" s="1"/>
  <c r="B287" i="7"/>
  <c r="D287" i="7"/>
  <c r="AM288" i="38"/>
  <c r="A290" i="38"/>
  <c r="D289" i="38"/>
  <c r="AK289" i="38"/>
  <c r="A311" i="24"/>
  <c r="B289" i="38"/>
  <c r="A288" i="7"/>
  <c r="AQ289" i="38"/>
  <c r="C290" i="38"/>
  <c r="C288" i="7"/>
  <c r="AZ288" i="7"/>
  <c r="AV289" i="38"/>
  <c r="AG286" i="38" l="1"/>
  <c r="E285" i="7"/>
  <c r="F285" i="7" s="1"/>
  <c r="AA286" i="38"/>
  <c r="AT286" i="38" s="1"/>
  <c r="E286" i="38" s="1"/>
  <c r="AH286" i="38"/>
  <c r="AI286" i="38"/>
  <c r="AB286" i="38"/>
  <c r="AD287" i="38"/>
  <c r="AL287" i="38" s="1"/>
  <c r="D287" i="6" s="1"/>
  <c r="V287" i="38"/>
  <c r="AS286" i="38"/>
  <c r="AL286" i="38"/>
  <c r="D286" i="6" s="1"/>
  <c r="AT285" i="38"/>
  <c r="E285" i="38" s="1"/>
  <c r="AE285" i="38"/>
  <c r="B285" i="6"/>
  <c r="D290" i="38"/>
  <c r="AK290" i="38"/>
  <c r="A289" i="7"/>
  <c r="B290" i="38"/>
  <c r="A312" i="24"/>
  <c r="AQ290" i="38"/>
  <c r="A291" i="38"/>
  <c r="Z289" i="38"/>
  <c r="Y289" i="38" s="1"/>
  <c r="B288" i="7"/>
  <c r="D288" i="7"/>
  <c r="AR289" i="38"/>
  <c r="AM289" i="38"/>
  <c r="C291" i="38"/>
  <c r="C289" i="7"/>
  <c r="AZ289" i="7"/>
  <c r="AV290" i="38"/>
  <c r="B286" i="6" l="1"/>
  <c r="AE286" i="38"/>
  <c r="V288" i="38"/>
  <c r="AI288" i="38" s="1"/>
  <c r="AD288" i="38"/>
  <c r="E286" i="7"/>
  <c r="F286" i="7" s="1"/>
  <c r="AS287" i="38"/>
  <c r="AG287" i="38"/>
  <c r="AB287" i="38"/>
  <c r="AJ287" i="38"/>
  <c r="AA287" i="38"/>
  <c r="AT287" i="38" s="1"/>
  <c r="E287" i="38" s="1"/>
  <c r="AI287" i="38"/>
  <c r="AH287" i="38"/>
  <c r="Y290" i="38"/>
  <c r="Z290" i="38"/>
  <c r="A292" i="38"/>
  <c r="A290" i="7"/>
  <c r="B291" i="38"/>
  <c r="A313" i="24"/>
  <c r="AK291" i="38"/>
  <c r="D291" i="38"/>
  <c r="AQ291" i="38"/>
  <c r="D289" i="7"/>
  <c r="B289" i="7"/>
  <c r="AR290" i="38"/>
  <c r="AM290" i="38"/>
  <c r="C292" i="38"/>
  <c r="C290" i="7"/>
  <c r="AZ290" i="7"/>
  <c r="AV291" i="38"/>
  <c r="E287" i="7" l="1"/>
  <c r="F287" i="7" s="1"/>
  <c r="AG288" i="38"/>
  <c r="AH288" i="38"/>
  <c r="AJ288" i="38"/>
  <c r="AA288" i="38"/>
  <c r="AT288" i="38" s="1"/>
  <c r="E288" i="38" s="1"/>
  <c r="AB288" i="38"/>
  <c r="AD289" i="38"/>
  <c r="AL289" i="38" s="1"/>
  <c r="D289" i="6" s="1"/>
  <c r="V289" i="38"/>
  <c r="AS288" i="38"/>
  <c r="AL288" i="38"/>
  <c r="D288" i="6" s="1"/>
  <c r="B287" i="6"/>
  <c r="AE287" i="38"/>
  <c r="AR291" i="38"/>
  <c r="AM291" i="38"/>
  <c r="D290" i="7"/>
  <c r="B290" i="7"/>
  <c r="Y291" i="38"/>
  <c r="Z291" i="38"/>
  <c r="A314" i="24"/>
  <c r="A293" i="38"/>
  <c r="B292" i="38"/>
  <c r="AK292" i="38"/>
  <c r="D292" i="38"/>
  <c r="AQ292" i="38"/>
  <c r="A291" i="7"/>
  <c r="AA290" i="38"/>
  <c r="AT290" i="38" s="1"/>
  <c r="E290" i="38" s="1"/>
  <c r="AI290" i="38"/>
  <c r="AJ290" i="38"/>
  <c r="AH290" i="38"/>
  <c r="AB290" i="38"/>
  <c r="C293" i="38"/>
  <c r="C291" i="7"/>
  <c r="AZ291" i="7"/>
  <c r="AV292" i="38"/>
  <c r="AE288" i="38" l="1"/>
  <c r="B288" i="6"/>
  <c r="AL291" i="38"/>
  <c r="D291" i="6" s="1"/>
  <c r="AL290" i="38"/>
  <c r="D290" i="6" s="1"/>
  <c r="E288" i="7"/>
  <c r="F288" i="7" s="1"/>
  <c r="AG289" i="38"/>
  <c r="AS289" i="38"/>
  <c r="AA289" i="38"/>
  <c r="AH289" i="38"/>
  <c r="AB289" i="38"/>
  <c r="AI289" i="38"/>
  <c r="AJ289" i="38"/>
  <c r="AR292" i="38"/>
  <c r="D291" i="7"/>
  <c r="B291" i="7"/>
  <c r="AM292" i="38"/>
  <c r="Z292" i="38"/>
  <c r="Y292" i="38" s="1"/>
  <c r="A315" i="24"/>
  <c r="A292" i="7"/>
  <c r="AK293" i="38"/>
  <c r="D293" i="38"/>
  <c r="B293" i="38"/>
  <c r="A294" i="38"/>
  <c r="AQ293" i="38"/>
  <c r="AH291" i="38"/>
  <c r="AB291" i="38"/>
  <c r="AI291" i="38"/>
  <c r="AA291" i="38"/>
  <c r="AT291" i="38" s="1"/>
  <c r="E291" i="38" s="1"/>
  <c r="AJ291" i="38"/>
  <c r="C292" i="7"/>
  <c r="C294" i="38"/>
  <c r="AZ292" i="7"/>
  <c r="AV293" i="38"/>
  <c r="AD292" i="38" l="1"/>
  <c r="AT289" i="38"/>
  <c r="E289" i="38" s="1"/>
  <c r="B289" i="6"/>
  <c r="B290" i="6" s="1"/>
  <c r="B291" i="6" s="1"/>
  <c r="AE289" i="38"/>
  <c r="AE290" i="38" s="1"/>
  <c r="AE291" i="38" s="1"/>
  <c r="AQ294" i="38"/>
  <c r="A316" i="24"/>
  <c r="D294" i="38"/>
  <c r="A295" i="38"/>
  <c r="AK294" i="38"/>
  <c r="B294" i="38"/>
  <c r="A293" i="7"/>
  <c r="B292" i="7"/>
  <c r="D292" i="7"/>
  <c r="AR293" i="38"/>
  <c r="AM293" i="38"/>
  <c r="Z293" i="38"/>
  <c r="Y293" i="38" s="1"/>
  <c r="C293" i="7"/>
  <c r="C295" i="38"/>
  <c r="AZ293" i="7"/>
  <c r="AV294" i="38"/>
  <c r="AL292" i="38" l="1"/>
  <c r="D292" i="6" s="1"/>
  <c r="V292" i="38"/>
  <c r="AM294" i="38"/>
  <c r="B295" i="38"/>
  <c r="D295" i="38"/>
  <c r="AQ295" i="38"/>
  <c r="AK295" i="38"/>
  <c r="A317" i="24"/>
  <c r="A294" i="7"/>
  <c r="A296" i="38"/>
  <c r="B293" i="7"/>
  <c r="D293" i="7"/>
  <c r="AR294" i="38"/>
  <c r="Z294" i="38"/>
  <c r="Y294" i="38" s="1"/>
  <c r="C296" i="38"/>
  <c r="C294" i="7"/>
  <c r="AV295" i="38"/>
  <c r="AZ294" i="7"/>
  <c r="V293" i="38" l="1"/>
  <c r="AH293" i="38" s="1"/>
  <c r="AD293" i="38"/>
  <c r="AG292" i="38"/>
  <c r="AS292" i="38"/>
  <c r="E291" i="7"/>
  <c r="F291" i="7" s="1"/>
  <c r="AJ292" i="38"/>
  <c r="AB292" i="38"/>
  <c r="AA292" i="38"/>
  <c r="AI292" i="38"/>
  <c r="AH292" i="38"/>
  <c r="B296" i="38"/>
  <c r="AK296" i="38"/>
  <c r="AQ296" i="38"/>
  <c r="A295" i="7"/>
  <c r="A297" i="38"/>
  <c r="D296" i="38"/>
  <c r="A318" i="24"/>
  <c r="B294" i="7"/>
  <c r="D294" i="7"/>
  <c r="AR295" i="38"/>
  <c r="AM295" i="38"/>
  <c r="Z295" i="38"/>
  <c r="Y295" i="38" s="1"/>
  <c r="C297" i="38"/>
  <c r="C295" i="7"/>
  <c r="AV296" i="38"/>
  <c r="AZ295" i="7"/>
  <c r="E292" i="7" l="1"/>
  <c r="F292" i="7" s="1"/>
  <c r="AA293" i="38"/>
  <c r="AT293" i="38" s="1"/>
  <c r="E293" i="38" s="1"/>
  <c r="AG293" i="38"/>
  <c r="AJ293" i="38"/>
  <c r="AB293" i="38"/>
  <c r="AI293" i="38"/>
  <c r="AD294" i="38"/>
  <c r="AL294" i="38" s="1"/>
  <c r="D294" i="6" s="1"/>
  <c r="V294" i="38"/>
  <c r="AS293" i="38"/>
  <c r="AL293" i="38"/>
  <c r="D293" i="6" s="1"/>
  <c r="AT292" i="38"/>
  <c r="E292" i="38" s="1"/>
  <c r="AE292" i="38"/>
  <c r="AE293" i="38" s="1"/>
  <c r="B292" i="6"/>
  <c r="D295" i="7"/>
  <c r="B295" i="7"/>
  <c r="AR296" i="38"/>
  <c r="AM296" i="38"/>
  <c r="Z296" i="38"/>
  <c r="Y296" i="38" s="1"/>
  <c r="A296" i="7"/>
  <c r="AQ297" i="38"/>
  <c r="B297" i="38"/>
  <c r="AK297" i="38"/>
  <c r="A298" i="38"/>
  <c r="D297" i="38"/>
  <c r="A319" i="24"/>
  <c r="C296" i="7"/>
  <c r="C298" i="38"/>
  <c r="AZ296" i="7"/>
  <c r="AV297" i="38"/>
  <c r="B293" i="6" l="1"/>
  <c r="V295" i="38"/>
  <c r="AJ295" i="38" s="1"/>
  <c r="AD296" i="38"/>
  <c r="AD295" i="38"/>
  <c r="E293" i="7"/>
  <c r="F293" i="7" s="1"/>
  <c r="AS294" i="38"/>
  <c r="AG294" i="38"/>
  <c r="AI294" i="38"/>
  <c r="AB294" i="38"/>
  <c r="AH294" i="38"/>
  <c r="AJ294" i="38"/>
  <c r="AA294" i="38"/>
  <c r="Y297" i="38"/>
  <c r="Z297" i="38"/>
  <c r="AR297" i="38"/>
  <c r="AM297" i="38"/>
  <c r="B298" i="38"/>
  <c r="A297" i="7"/>
  <c r="D298" i="38"/>
  <c r="AQ298" i="38"/>
  <c r="AK298" i="38"/>
  <c r="A299" i="38"/>
  <c r="A320" i="24"/>
  <c r="B296" i="7"/>
  <c r="D296" i="7"/>
  <c r="C299" i="38"/>
  <c r="C297" i="7"/>
  <c r="AV298" i="38"/>
  <c r="AZ297" i="7"/>
  <c r="AH295" i="38" l="1"/>
  <c r="AG295" i="38"/>
  <c r="E294" i="7"/>
  <c r="F294" i="7" s="1"/>
  <c r="AI295" i="38"/>
  <c r="AA295" i="38"/>
  <c r="AB295" i="38"/>
  <c r="V296" i="38"/>
  <c r="AS295" i="38"/>
  <c r="AL295" i="38"/>
  <c r="D295" i="6" s="1"/>
  <c r="AL298" i="38"/>
  <c r="D298" i="6" s="1"/>
  <c r="AL296" i="38"/>
  <c r="D296" i="6" s="1"/>
  <c r="AL297" i="38"/>
  <c r="D297" i="6" s="1"/>
  <c r="AT295" i="38"/>
  <c r="E295" i="38" s="1"/>
  <c r="AT294" i="38"/>
  <c r="E294" i="38" s="1"/>
  <c r="B294" i="6"/>
  <c r="AE294" i="38"/>
  <c r="AM298" i="38"/>
  <c r="AR298" i="38"/>
  <c r="Y298" i="38"/>
  <c r="Z298" i="38"/>
  <c r="A298" i="7"/>
  <c r="AK299" i="38"/>
  <c r="A321" i="24"/>
  <c r="B299" i="38"/>
  <c r="D299" i="38"/>
  <c r="A300" i="38"/>
  <c r="AQ299" i="38"/>
  <c r="B297" i="7"/>
  <c r="D297" i="7"/>
  <c r="AJ297" i="38"/>
  <c r="AA297" i="38"/>
  <c r="AT297" i="38" s="1"/>
  <c r="E297" i="38" s="1"/>
  <c r="AH297" i="38"/>
  <c r="AI297" i="38"/>
  <c r="AB297" i="38"/>
  <c r="C300" i="38"/>
  <c r="C298" i="7"/>
  <c r="AV299" i="38"/>
  <c r="AZ298" i="7"/>
  <c r="AE295" i="38" l="1"/>
  <c r="B295" i="6"/>
  <c r="E295" i="7"/>
  <c r="F295" i="7" s="1"/>
  <c r="AG296" i="38"/>
  <c r="AS296" i="38"/>
  <c r="AB296" i="38"/>
  <c r="AI296" i="38"/>
  <c r="AA296" i="38"/>
  <c r="AT296" i="38" s="1"/>
  <c r="E296" i="38" s="1"/>
  <c r="AJ296" i="38"/>
  <c r="AH296" i="38"/>
  <c r="A299" i="7"/>
  <c r="AK300" i="38"/>
  <c r="AQ300" i="38"/>
  <c r="D300" i="38"/>
  <c r="A301" i="38"/>
  <c r="A322" i="24"/>
  <c r="B300" i="38"/>
  <c r="Z299" i="38"/>
  <c r="Y299" i="38" s="1"/>
  <c r="AR299" i="38"/>
  <c r="AM299" i="38"/>
  <c r="B298" i="7"/>
  <c r="D298" i="7"/>
  <c r="AB298" i="38"/>
  <c r="AI298" i="38"/>
  <c r="AH298" i="38"/>
  <c r="AA298" i="38"/>
  <c r="AT298" i="38" s="1"/>
  <c r="E298" i="38" s="1"/>
  <c r="AJ298" i="38"/>
  <c r="C299" i="7"/>
  <c r="C301" i="38"/>
  <c r="AZ299" i="7"/>
  <c r="AV300" i="38"/>
  <c r="AE296" i="38" l="1"/>
  <c r="AE297" i="38" s="1"/>
  <c r="AE298" i="38" s="1"/>
  <c r="B296" i="6"/>
  <c r="B297" i="6" s="1"/>
  <c r="B298" i="6" s="1"/>
  <c r="Z300" i="38"/>
  <c r="Y300" i="38" s="1"/>
  <c r="D301" i="38"/>
  <c r="A323" i="24"/>
  <c r="AQ301" i="38"/>
  <c r="AK301" i="38"/>
  <c r="B301" i="38"/>
  <c r="A300" i="7"/>
  <c r="A302" i="38"/>
  <c r="B299" i="7"/>
  <c r="D299" i="7"/>
  <c r="AR300" i="38"/>
  <c r="AM300" i="38"/>
  <c r="C300" i="7"/>
  <c r="C302" i="38"/>
  <c r="AZ300" i="7"/>
  <c r="AV301" i="38"/>
  <c r="V299" i="38" l="1"/>
  <c r="AH299" i="38" s="1"/>
  <c r="AD299" i="38"/>
  <c r="AR301" i="38"/>
  <c r="AM301" i="38"/>
  <c r="B300" i="7"/>
  <c r="D300" i="7"/>
  <c r="Z301" i="38"/>
  <c r="Y301" i="38" s="1"/>
  <c r="A324" i="24"/>
  <c r="AK302" i="38"/>
  <c r="A303" i="38"/>
  <c r="B302" i="38"/>
  <c r="D302" i="38"/>
  <c r="A301" i="7"/>
  <c r="AQ302" i="38"/>
  <c r="C301" i="7"/>
  <c r="C303" i="38"/>
  <c r="AZ301" i="7"/>
  <c r="AV302" i="38"/>
  <c r="AD300" i="38" l="1"/>
  <c r="AL300" i="38" s="1"/>
  <c r="D300" i="6" s="1"/>
  <c r="AA299" i="38"/>
  <c r="AE299" i="38" s="1"/>
  <c r="AB299" i="38"/>
  <c r="AI299" i="38"/>
  <c r="AG299" i="38"/>
  <c r="AJ299" i="38"/>
  <c r="E298" i="7"/>
  <c r="F298" i="7" s="1"/>
  <c r="V300" i="38"/>
  <c r="AL299" i="38"/>
  <c r="D299" i="6" s="1"/>
  <c r="AS299" i="38"/>
  <c r="D301" i="7"/>
  <c r="B301" i="7"/>
  <c r="Z302" i="38"/>
  <c r="Y302" i="38" s="1"/>
  <c r="AR302" i="38"/>
  <c r="AM302" i="38"/>
  <c r="D303" i="38"/>
  <c r="AK303" i="38"/>
  <c r="A325" i="24"/>
  <c r="A302" i="7"/>
  <c r="A304" i="38"/>
  <c r="AQ303" i="38"/>
  <c r="B303" i="38"/>
  <c r="C304" i="38"/>
  <c r="C302" i="7"/>
  <c r="AV303" i="38"/>
  <c r="AZ302" i="7"/>
  <c r="AT299" i="38" l="1"/>
  <c r="E299" i="38" s="1"/>
  <c r="B299" i="6"/>
  <c r="V301" i="38"/>
  <c r="AI301" i="38" s="1"/>
  <c r="AD301" i="38"/>
  <c r="AG300" i="38"/>
  <c r="AS300" i="38"/>
  <c r="E299" i="7"/>
  <c r="F299" i="7" s="1"/>
  <c r="AI300" i="38"/>
  <c r="AA300" i="38"/>
  <c r="AB300" i="38"/>
  <c r="AJ300" i="38"/>
  <c r="AH300" i="38"/>
  <c r="AQ304" i="38"/>
  <c r="A326" i="24"/>
  <c r="D304" i="38"/>
  <c r="AK304" i="38"/>
  <c r="B304" i="38"/>
  <c r="A303" i="7"/>
  <c r="A305" i="38"/>
  <c r="AR303" i="38"/>
  <c r="AM303" i="38"/>
  <c r="D302" i="7"/>
  <c r="B302" i="7"/>
  <c r="Z303" i="38"/>
  <c r="Y303" i="38" s="1"/>
  <c r="C305" i="38"/>
  <c r="C303" i="7"/>
  <c r="AZ303" i="7"/>
  <c r="AV304" i="38"/>
  <c r="E300" i="7" l="1"/>
  <c r="F300" i="7" s="1"/>
  <c r="AH301" i="38"/>
  <c r="AB301" i="38"/>
  <c r="AA301" i="38"/>
  <c r="AT301" i="38" s="1"/>
  <c r="E301" i="38" s="1"/>
  <c r="AJ301" i="38"/>
  <c r="AG301" i="38"/>
  <c r="V302" i="38"/>
  <c r="AB302" i="38" s="1"/>
  <c r="AD302" i="38"/>
  <c r="AS301" i="38"/>
  <c r="AL301" i="38"/>
  <c r="D301" i="6" s="1"/>
  <c r="AT300" i="38"/>
  <c r="E300" i="38" s="1"/>
  <c r="AE300" i="38"/>
  <c r="B300" i="6"/>
  <c r="Z304" i="38"/>
  <c r="Y304" i="38"/>
  <c r="D303" i="7"/>
  <c r="B303" i="7"/>
  <c r="A306" i="38"/>
  <c r="A304" i="7"/>
  <c r="D305" i="38"/>
  <c r="B305" i="38"/>
  <c r="AQ305" i="38"/>
  <c r="A327" i="24"/>
  <c r="AK305" i="38"/>
  <c r="AR304" i="38"/>
  <c r="AM304" i="38"/>
  <c r="C306" i="38"/>
  <c r="C304" i="7"/>
  <c r="AV305" i="38"/>
  <c r="AZ304" i="7"/>
  <c r="B301" i="6" l="1"/>
  <c r="AE301" i="38"/>
  <c r="AD303" i="38"/>
  <c r="AL303" i="38" s="1"/>
  <c r="D303" i="6" s="1"/>
  <c r="E301" i="7"/>
  <c r="F301" i="7" s="1"/>
  <c r="AG302" i="38"/>
  <c r="AH302" i="38"/>
  <c r="AI302" i="38"/>
  <c r="AA302" i="38"/>
  <c r="AE302" i="38" s="1"/>
  <c r="AJ302" i="38"/>
  <c r="AS302" i="38"/>
  <c r="V303" i="38"/>
  <c r="AL302" i="38"/>
  <c r="D302" i="6" s="1"/>
  <c r="Z305" i="38"/>
  <c r="Y305" i="38"/>
  <c r="AR305" i="38"/>
  <c r="AM305" i="38"/>
  <c r="B304" i="7"/>
  <c r="D304" i="7"/>
  <c r="A328" i="24"/>
  <c r="D306" i="38"/>
  <c r="B306" i="38"/>
  <c r="A305" i="7"/>
  <c r="AK306" i="38"/>
  <c r="AQ306" i="38"/>
  <c r="A307" i="38"/>
  <c r="AB304" i="38"/>
  <c r="AJ304" i="38"/>
  <c r="AH304" i="38"/>
  <c r="AI304" i="38"/>
  <c r="AA304" i="38"/>
  <c r="AT304" i="38" s="1"/>
  <c r="E304" i="38" s="1"/>
  <c r="C305" i="7"/>
  <c r="C307" i="38"/>
  <c r="AV306" i="38"/>
  <c r="AZ305" i="7"/>
  <c r="AL305" i="38" l="1"/>
  <c r="D305" i="6" s="1"/>
  <c r="AL304" i="38"/>
  <c r="D304" i="6" s="1"/>
  <c r="AT302" i="38"/>
  <c r="E302" i="38" s="1"/>
  <c r="B302" i="6"/>
  <c r="AG303" i="38"/>
  <c r="AS303" i="38"/>
  <c r="E302" i="7"/>
  <c r="F302" i="7" s="1"/>
  <c r="AB303" i="38"/>
  <c r="AA303" i="38"/>
  <c r="AH303" i="38"/>
  <c r="AJ303" i="38"/>
  <c r="AI303" i="38"/>
  <c r="AR306" i="38"/>
  <c r="AM306" i="38"/>
  <c r="Z306" i="38"/>
  <c r="Y306" i="38" s="1"/>
  <c r="D305" i="7"/>
  <c r="B305" i="7"/>
  <c r="AI305" i="38"/>
  <c r="AJ305" i="38"/>
  <c r="AA305" i="38"/>
  <c r="AT305" i="38" s="1"/>
  <c r="E305" i="38" s="1"/>
  <c r="AH305" i="38"/>
  <c r="AB305" i="38"/>
  <c r="A306" i="7"/>
  <c r="A329" i="24"/>
  <c r="D307" i="38"/>
  <c r="B307" i="38"/>
  <c r="A308" i="38"/>
  <c r="AK307" i="38"/>
  <c r="AQ307" i="38"/>
  <c r="C306" i="7"/>
  <c r="C308" i="38"/>
  <c r="AV307" i="38"/>
  <c r="AZ306" i="7"/>
  <c r="AT303" i="38" l="1"/>
  <c r="E303" i="38" s="1"/>
  <c r="AE303" i="38"/>
  <c r="AE304" i="38" s="1"/>
  <c r="AE305" i="38" s="1"/>
  <c r="B303" i="6"/>
  <c r="B304" i="6" s="1"/>
  <c r="B305" i="6" s="1"/>
  <c r="AQ308" i="38"/>
  <c r="B308" i="38"/>
  <c r="D308" i="38"/>
  <c r="AK308" i="38"/>
  <c r="A307" i="7"/>
  <c r="A330" i="24"/>
  <c r="A309" i="38"/>
  <c r="B306" i="7"/>
  <c r="D306" i="7"/>
  <c r="AR307" i="38"/>
  <c r="AM307" i="38"/>
  <c r="Z307" i="38"/>
  <c r="Y307" i="38" s="1"/>
  <c r="C307" i="7"/>
  <c r="C309" i="38"/>
  <c r="AZ307" i="7"/>
  <c r="AV308" i="38"/>
  <c r="V306" i="38" l="1"/>
  <c r="AD306" i="38"/>
  <c r="Z308" i="38"/>
  <c r="Y308" i="38" s="1"/>
  <c r="D309" i="38"/>
  <c r="A310" i="38"/>
  <c r="A308" i="7"/>
  <c r="A331" i="24"/>
  <c r="B309" i="38"/>
  <c r="AQ309" i="38"/>
  <c r="AK309" i="38"/>
  <c r="AR308" i="38"/>
  <c r="AM308" i="38"/>
  <c r="D307" i="7"/>
  <c r="B307" i="7"/>
  <c r="C310" i="38"/>
  <c r="C308" i="7"/>
  <c r="AZ308" i="7"/>
  <c r="AV309" i="38"/>
  <c r="AD307" i="38" l="1"/>
  <c r="AL307" i="38" s="1"/>
  <c r="D307" i="6" s="1"/>
  <c r="V307" i="38"/>
  <c r="AL306" i="38"/>
  <c r="D306" i="6" s="1"/>
  <c r="AS306" i="38"/>
  <c r="E305" i="7"/>
  <c r="F305" i="7" s="1"/>
  <c r="AG306" i="38"/>
  <c r="AA306" i="38"/>
  <c r="AB306" i="38"/>
  <c r="AJ306" i="38"/>
  <c r="AH306" i="38"/>
  <c r="AI306" i="38"/>
  <c r="AM309" i="38"/>
  <c r="AR309" i="38"/>
  <c r="D308" i="7"/>
  <c r="B308" i="7"/>
  <c r="Z309" i="38"/>
  <c r="Y309" i="38" s="1"/>
  <c r="A332" i="24"/>
  <c r="AK310" i="38"/>
  <c r="AQ310" i="38"/>
  <c r="A309" i="7"/>
  <c r="D310" i="38"/>
  <c r="B310" i="38"/>
  <c r="A311" i="38"/>
  <c r="C309" i="7"/>
  <c r="C311" i="38"/>
  <c r="AZ309" i="7"/>
  <c r="AV310" i="38"/>
  <c r="AD308" i="38" l="1"/>
  <c r="AL308" i="38" s="1"/>
  <c r="D308" i="6" s="1"/>
  <c r="AD309" i="38"/>
  <c r="V308" i="38"/>
  <c r="AS307" i="38"/>
  <c r="E306" i="7"/>
  <c r="F306" i="7" s="1"/>
  <c r="AG307" i="38"/>
  <c r="AI307" i="38"/>
  <c r="AA307" i="38"/>
  <c r="AT307" i="38" s="1"/>
  <c r="E307" i="38" s="1"/>
  <c r="AJ307" i="38"/>
  <c r="AH307" i="38"/>
  <c r="AB307" i="38"/>
  <c r="AT306" i="38"/>
  <c r="E306" i="38" s="1"/>
  <c r="AE306" i="38"/>
  <c r="B306" i="6"/>
  <c r="Y310" i="38"/>
  <c r="Z310" i="38"/>
  <c r="AR310" i="38"/>
  <c r="D309" i="7"/>
  <c r="B309" i="7"/>
  <c r="AQ311" i="38"/>
  <c r="B311" i="38"/>
  <c r="AK311" i="38"/>
  <c r="D311" i="38"/>
  <c r="A333" i="24"/>
  <c r="A312" i="38"/>
  <c r="A310" i="7"/>
  <c r="C310" i="7"/>
  <c r="C312" i="38"/>
  <c r="AV311" i="38"/>
  <c r="AZ310" i="7"/>
  <c r="AL312" i="38" l="1"/>
  <c r="D312" i="6" s="1"/>
  <c r="AL310" i="38"/>
  <c r="D310" i="6" s="1"/>
  <c r="AL309" i="38"/>
  <c r="D309" i="6" s="1"/>
  <c r="AL311" i="38"/>
  <c r="D311" i="6" s="1"/>
  <c r="V309" i="38"/>
  <c r="AG308" i="38"/>
  <c r="E307" i="7"/>
  <c r="F307" i="7" s="1"/>
  <c r="AS308" i="38"/>
  <c r="AH308" i="38"/>
  <c r="AJ308" i="38"/>
  <c r="AB308" i="38"/>
  <c r="AA308" i="38"/>
  <c r="AT308" i="38" s="1"/>
  <c r="E308" i="38" s="1"/>
  <c r="AI308" i="38"/>
  <c r="B307" i="6"/>
  <c r="AE307" i="38"/>
  <c r="A311" i="7"/>
  <c r="AK312" i="38"/>
  <c r="D312" i="38"/>
  <c r="A334" i="24"/>
  <c r="B312" i="38"/>
  <c r="AQ312" i="38"/>
  <c r="A313" i="38"/>
  <c r="AR311" i="38"/>
  <c r="B310" i="7"/>
  <c r="D310" i="7"/>
  <c r="Z311" i="38"/>
  <c r="Y311" i="38"/>
  <c r="AA310" i="38"/>
  <c r="AT310" i="38" s="1"/>
  <c r="E310" i="38" s="1"/>
  <c r="AB310" i="38"/>
  <c r="AH310" i="38"/>
  <c r="AI310" i="38"/>
  <c r="AJ310" i="38"/>
  <c r="C313" i="38"/>
  <c r="C311" i="7"/>
  <c r="AV312" i="38"/>
  <c r="AZ311" i="7"/>
  <c r="AG309" i="38" l="1"/>
  <c r="AS309" i="38"/>
  <c r="E308" i="7"/>
  <c r="F308" i="7" s="1"/>
  <c r="AB309" i="38"/>
  <c r="AJ309" i="38"/>
  <c r="AA309" i="38"/>
  <c r="AT309" i="38" s="1"/>
  <c r="AH309" i="38"/>
  <c r="AI309" i="38"/>
  <c r="AE308" i="38"/>
  <c r="B308" i="6"/>
  <c r="AR312" i="38"/>
  <c r="A335" i="24"/>
  <c r="B313" i="38"/>
  <c r="A314" i="38"/>
  <c r="A312" i="7"/>
  <c r="AQ313" i="38"/>
  <c r="D313" i="38"/>
  <c r="AK313" i="38"/>
  <c r="Y312" i="38"/>
  <c r="Z312" i="38"/>
  <c r="AB311" i="38"/>
  <c r="AJ311" i="38"/>
  <c r="AH311" i="38"/>
  <c r="AI311" i="38"/>
  <c r="AA311" i="38"/>
  <c r="AT311" i="38" s="1"/>
  <c r="E311" i="38" s="1"/>
  <c r="B311" i="7"/>
  <c r="D311" i="7"/>
  <c r="C312" i="7"/>
  <c r="C314" i="38"/>
  <c r="AZ312" i="7"/>
  <c r="AV313" i="38"/>
  <c r="E309" i="38" l="1"/>
  <c r="U32" i="23"/>
  <c r="T32" i="23" s="1"/>
  <c r="B309" i="6"/>
  <c r="B310" i="6" s="1"/>
  <c r="B311" i="6" s="1"/>
  <c r="AE309" i="38"/>
  <c r="AR313" i="38"/>
  <c r="Z313" i="38"/>
  <c r="Y313" i="38" s="1"/>
  <c r="A315" i="38"/>
  <c r="A336" i="24"/>
  <c r="B314" i="38"/>
  <c r="D314" i="38"/>
  <c r="A313" i="7"/>
  <c r="AQ314" i="38"/>
  <c r="AK314" i="38"/>
  <c r="AJ312" i="38"/>
  <c r="AI312" i="38"/>
  <c r="AA312" i="38"/>
  <c r="AT312" i="38" s="1"/>
  <c r="E312" i="38" s="1"/>
  <c r="AB312" i="38"/>
  <c r="AH312" i="38"/>
  <c r="D312" i="7"/>
  <c r="B312" i="7"/>
  <c r="C313" i="7"/>
  <c r="C315" i="38"/>
  <c r="AV314" i="38"/>
  <c r="AZ313" i="7"/>
  <c r="AM310" i="38" l="1"/>
  <c r="AE310" i="38"/>
  <c r="AE311" i="38" s="1"/>
  <c r="AE312" i="38" s="1"/>
  <c r="Z314" i="38"/>
  <c r="Y314" i="38" s="1"/>
  <c r="B312" i="6"/>
  <c r="B313" i="7"/>
  <c r="D313" i="7"/>
  <c r="A337" i="24"/>
  <c r="A314" i="7"/>
  <c r="D315" i="38"/>
  <c r="B315" i="38"/>
  <c r="AQ315" i="38"/>
  <c r="AK315" i="38"/>
  <c r="A316" i="38"/>
  <c r="AR314" i="38"/>
  <c r="C314" i="7"/>
  <c r="C316" i="38"/>
  <c r="AV315" i="38"/>
  <c r="AZ314" i="7"/>
  <c r="AM311" i="38" l="1"/>
  <c r="AM312" i="38" s="1"/>
  <c r="AM313" i="38" s="1"/>
  <c r="AM314" i="38" s="1"/>
  <c r="AM315" i="38" s="1"/>
  <c r="V313" i="38"/>
  <c r="AG313" i="38" s="1"/>
  <c r="AD313" i="38"/>
  <c r="AR315" i="38"/>
  <c r="Z315" i="38"/>
  <c r="Y315" i="38" s="1"/>
  <c r="D314" i="7"/>
  <c r="B314" i="7"/>
  <c r="A317" i="38"/>
  <c r="AQ316" i="38"/>
  <c r="A315" i="7"/>
  <c r="B316" i="38"/>
  <c r="D316" i="38"/>
  <c r="A338" i="24"/>
  <c r="AK316" i="38"/>
  <c r="C315" i="7"/>
  <c r="C317" i="38"/>
  <c r="AV316" i="38"/>
  <c r="AZ315" i="7"/>
  <c r="AD314" i="38" l="1"/>
  <c r="AL314" i="38" s="1"/>
  <c r="D314" i="6" s="1"/>
  <c r="V314" i="38"/>
  <c r="AJ313" i="38"/>
  <c r="AH313" i="38"/>
  <c r="E312" i="7"/>
  <c r="F312" i="7" s="1"/>
  <c r="AI313" i="38"/>
  <c r="AA313" i="38"/>
  <c r="AT313" i="38" s="1"/>
  <c r="E313" i="38" s="1"/>
  <c r="AB313" i="38"/>
  <c r="AS313" i="38"/>
  <c r="AL313" i="38"/>
  <c r="D313" i="6" s="1"/>
  <c r="AM316" i="38"/>
  <c r="A339" i="24"/>
  <c r="AK317" i="38"/>
  <c r="D317" i="38"/>
  <c r="A316" i="7"/>
  <c r="A318" i="38"/>
  <c r="B317" i="38"/>
  <c r="AQ317" i="38"/>
  <c r="Z316" i="38"/>
  <c r="Y316" i="38" s="1"/>
  <c r="D315" i="7"/>
  <c r="B315" i="7"/>
  <c r="AR316" i="38"/>
  <c r="C318" i="38"/>
  <c r="C316" i="7"/>
  <c r="AV317" i="38"/>
  <c r="AZ316" i="7"/>
  <c r="V315" i="38" l="1"/>
  <c r="AI315" i="38" s="1"/>
  <c r="V316" i="38"/>
  <c r="AJ316" i="38" s="1"/>
  <c r="AD315" i="38"/>
  <c r="AG314" i="38"/>
  <c r="E313" i="7"/>
  <c r="F313" i="7" s="1"/>
  <c r="AS314" i="38"/>
  <c r="AA314" i="38"/>
  <c r="AT314" i="38" s="1"/>
  <c r="E314" i="38" s="1"/>
  <c r="AB314" i="38"/>
  <c r="AJ314" i="38"/>
  <c r="AI314" i="38"/>
  <c r="AH314" i="38"/>
  <c r="B313" i="6"/>
  <c r="AE313" i="38"/>
  <c r="AM317" i="38"/>
  <c r="Z317" i="38"/>
  <c r="Y317" i="38" s="1"/>
  <c r="AQ318" i="38"/>
  <c r="A317" i="7"/>
  <c r="B318" i="38"/>
  <c r="AK318" i="38"/>
  <c r="A340" i="24"/>
  <c r="D318" i="38"/>
  <c r="A319" i="38"/>
  <c r="AR317" i="38"/>
  <c r="B316" i="7"/>
  <c r="D316" i="7"/>
  <c r="C317" i="7"/>
  <c r="C319" i="38"/>
  <c r="AZ317" i="7"/>
  <c r="AV318" i="38"/>
  <c r="E314" i="7" l="1"/>
  <c r="F314" i="7" s="1"/>
  <c r="AG315" i="38"/>
  <c r="AJ315" i="38"/>
  <c r="AB315" i="38"/>
  <c r="AA315" i="38"/>
  <c r="AT315" i="38" s="1"/>
  <c r="E315" i="38" s="1"/>
  <c r="AH315" i="38"/>
  <c r="V317" i="38"/>
  <c r="AH316" i="38"/>
  <c r="AI316" i="38"/>
  <c r="AG316" i="38"/>
  <c r="E315" i="7"/>
  <c r="F315" i="7" s="1"/>
  <c r="AB316" i="38"/>
  <c r="AA316" i="38"/>
  <c r="AD316" i="38"/>
  <c r="AS316" i="38" s="1"/>
  <c r="AS315" i="38"/>
  <c r="AL315" i="38"/>
  <c r="D315" i="6" s="1"/>
  <c r="AE314" i="38"/>
  <c r="B314" i="6"/>
  <c r="AM318" i="38"/>
  <c r="AR318" i="38"/>
  <c r="Z318" i="38"/>
  <c r="Y318" i="38"/>
  <c r="A320" i="38"/>
  <c r="AK319" i="38"/>
  <c r="A318" i="7"/>
  <c r="D319" i="38"/>
  <c r="AQ319" i="38"/>
  <c r="A341" i="24"/>
  <c r="B319" i="38"/>
  <c r="D317" i="7"/>
  <c r="B317" i="7"/>
  <c r="C320" i="38"/>
  <c r="C318" i="7"/>
  <c r="AV319" i="38"/>
  <c r="AZ318" i="7"/>
  <c r="B315" i="6" l="1"/>
  <c r="B316" i="6" s="1"/>
  <c r="AE315" i="38"/>
  <c r="AE316" i="38" s="1"/>
  <c r="AD317" i="38"/>
  <c r="AS317" i="38" s="1"/>
  <c r="AB317" i="38"/>
  <c r="AJ317" i="38"/>
  <c r="AI317" i="38"/>
  <c r="AH317" i="38"/>
  <c r="AG317" i="38"/>
  <c r="E316" i="7"/>
  <c r="F316" i="7" s="1"/>
  <c r="AA317" i="38"/>
  <c r="AL316" i="38"/>
  <c r="D316" i="6" s="1"/>
  <c r="AL317" i="38"/>
  <c r="D317" i="6" s="1"/>
  <c r="AT316" i="38"/>
  <c r="E316" i="38" s="1"/>
  <c r="AM319" i="38"/>
  <c r="B318" i="7"/>
  <c r="D318" i="7"/>
  <c r="AJ318" i="38"/>
  <c r="AI318" i="38"/>
  <c r="AH318" i="38"/>
  <c r="AA318" i="38"/>
  <c r="AT318" i="38" s="1"/>
  <c r="E318" i="38" s="1"/>
  <c r="AB318" i="38"/>
  <c r="Z319" i="38"/>
  <c r="Y319" i="38"/>
  <c r="A342" i="24"/>
  <c r="AK320" i="38"/>
  <c r="D320" i="38"/>
  <c r="A321" i="38"/>
  <c r="AQ320" i="38"/>
  <c r="B320" i="38"/>
  <c r="A319" i="7"/>
  <c r="AR319" i="38"/>
  <c r="C321" i="38"/>
  <c r="C319" i="7"/>
  <c r="AV320" i="38"/>
  <c r="AZ319" i="7"/>
  <c r="AL319" i="38" l="1"/>
  <c r="D319" i="6" s="1"/>
  <c r="AL318" i="38"/>
  <c r="D318" i="6" s="1"/>
  <c r="AT317" i="38"/>
  <c r="E317" i="38" s="1"/>
  <c r="B317" i="6"/>
  <c r="B318" i="6" s="1"/>
  <c r="AE317" i="38"/>
  <c r="AE318" i="38" s="1"/>
  <c r="AM320" i="38"/>
  <c r="AR320" i="38"/>
  <c r="Z320" i="38"/>
  <c r="Y320" i="38" s="1"/>
  <c r="A322" i="38"/>
  <c r="A343" i="24"/>
  <c r="D321" i="38"/>
  <c r="AK321" i="38"/>
  <c r="AQ321" i="38"/>
  <c r="A320" i="7"/>
  <c r="B321" i="38"/>
  <c r="AB319" i="38"/>
  <c r="AI319" i="38"/>
  <c r="AH319" i="38"/>
  <c r="AA319" i="38"/>
  <c r="AT319" i="38" s="1"/>
  <c r="E319" i="38" s="1"/>
  <c r="AJ319" i="38"/>
  <c r="B319" i="7"/>
  <c r="D319" i="7"/>
  <c r="C322" i="38"/>
  <c r="C320" i="7"/>
  <c r="AZ320" i="7"/>
  <c r="AV321" i="38"/>
  <c r="AE319" i="38" l="1"/>
  <c r="B319" i="6"/>
  <c r="AR321" i="38"/>
  <c r="AM321" i="38"/>
  <c r="B320" i="7"/>
  <c r="D320" i="7"/>
  <c r="A321" i="7"/>
  <c r="A344" i="24"/>
  <c r="A323" i="38"/>
  <c r="AQ322" i="38"/>
  <c r="B322" i="38"/>
  <c r="D322" i="38"/>
  <c r="AK322" i="38"/>
  <c r="Z321" i="38"/>
  <c r="Y321" i="38" s="1"/>
  <c r="C321" i="7"/>
  <c r="C323" i="38"/>
  <c r="AZ321" i="7"/>
  <c r="AV322" i="38"/>
  <c r="AD320" i="38" l="1"/>
  <c r="V320" i="38"/>
  <c r="AM322" i="38"/>
  <c r="AR322" i="38"/>
  <c r="B321" i="7"/>
  <c r="D321" i="7"/>
  <c r="Z322" i="38"/>
  <c r="Y322" i="38" s="1"/>
  <c r="D323" i="38"/>
  <c r="A345" i="24"/>
  <c r="A322" i="7"/>
  <c r="AK323" i="38"/>
  <c r="AQ323" i="38"/>
  <c r="A324" i="38"/>
  <c r="B323" i="38"/>
  <c r="C322" i="7"/>
  <c r="C324" i="38"/>
  <c r="AZ322" i="7"/>
  <c r="AV323" i="38"/>
  <c r="AD321" i="38" l="1"/>
  <c r="AL321" i="38" s="1"/>
  <c r="D321" i="6" s="1"/>
  <c r="V322" i="38"/>
  <c r="AI322" i="38" s="1"/>
  <c r="V321" i="38"/>
  <c r="AG320" i="38"/>
  <c r="E319" i="7"/>
  <c r="F319" i="7" s="1"/>
  <c r="AS320" i="38"/>
  <c r="AA320" i="38"/>
  <c r="AI320" i="38"/>
  <c r="AB320" i="38"/>
  <c r="AJ320" i="38"/>
  <c r="AH320" i="38"/>
  <c r="AL320" i="38"/>
  <c r="D320" i="6" s="1"/>
  <c r="AM323" i="38"/>
  <c r="A346" i="24"/>
  <c r="AQ324" i="38"/>
  <c r="A325" i="38"/>
  <c r="D324" i="38"/>
  <c r="B324" i="38"/>
  <c r="AK324" i="38"/>
  <c r="A323" i="7"/>
  <c r="AR323" i="38"/>
  <c r="Z323" i="38"/>
  <c r="Y323" i="38"/>
  <c r="B322" i="7"/>
  <c r="D322" i="7"/>
  <c r="C325" i="38"/>
  <c r="C323" i="7"/>
  <c r="AZ323" i="7"/>
  <c r="AV324" i="38"/>
  <c r="AH322" i="38" l="1"/>
  <c r="AJ322" i="38"/>
  <c r="AB322" i="38"/>
  <c r="AA322" i="38"/>
  <c r="E321" i="7"/>
  <c r="F321" i="7" s="1"/>
  <c r="AG322" i="38"/>
  <c r="AD322" i="38"/>
  <c r="AG321" i="38"/>
  <c r="E320" i="7"/>
  <c r="F320" i="7" s="1"/>
  <c r="AS321" i="38"/>
  <c r="AH321" i="38"/>
  <c r="AJ321" i="38"/>
  <c r="AA321" i="38"/>
  <c r="AT321" i="38" s="1"/>
  <c r="E321" i="38" s="1"/>
  <c r="AI321" i="38"/>
  <c r="AB321" i="38"/>
  <c r="AT320" i="38"/>
  <c r="E320" i="38" s="1"/>
  <c r="AE320" i="38"/>
  <c r="B320" i="6"/>
  <c r="AR324" i="38"/>
  <c r="AM324" i="38"/>
  <c r="AB323" i="38"/>
  <c r="AH323" i="38"/>
  <c r="AJ323" i="38"/>
  <c r="AI323" i="38"/>
  <c r="AA323" i="38"/>
  <c r="AT323" i="38" s="1"/>
  <c r="E323" i="38" s="1"/>
  <c r="D323" i="7"/>
  <c r="B323" i="7"/>
  <c r="Z324" i="38"/>
  <c r="Y324" i="38"/>
  <c r="A326" i="38"/>
  <c r="AK325" i="38"/>
  <c r="AQ325" i="38"/>
  <c r="B325" i="38"/>
  <c r="A347" i="24"/>
  <c r="D325" i="38"/>
  <c r="A324" i="7"/>
  <c r="C326" i="38"/>
  <c r="C324" i="7"/>
  <c r="AV325" i="38"/>
  <c r="AZ324" i="7"/>
  <c r="AS322" i="38" l="1"/>
  <c r="AL322" i="38"/>
  <c r="D322" i="6" s="1"/>
  <c r="AL323" i="38"/>
  <c r="D323" i="6" s="1"/>
  <c r="AL326" i="38"/>
  <c r="D326" i="6" s="1"/>
  <c r="AL325" i="38"/>
  <c r="D325" i="6" s="1"/>
  <c r="AL324" i="38"/>
  <c r="D324" i="6" s="1"/>
  <c r="AT322" i="38"/>
  <c r="E322" i="38" s="1"/>
  <c r="B321" i="6"/>
  <c r="B322" i="6" s="1"/>
  <c r="B323" i="6" s="1"/>
  <c r="AE321" i="38"/>
  <c r="AE322" i="38" s="1"/>
  <c r="AE323" i="38" s="1"/>
  <c r="AM325" i="38"/>
  <c r="A348" i="24"/>
  <c r="AK326" i="38"/>
  <c r="A325" i="7"/>
  <c r="AQ326" i="38"/>
  <c r="B326" i="38"/>
  <c r="D326" i="38"/>
  <c r="A327" i="38"/>
  <c r="D324" i="7"/>
  <c r="B324" i="7"/>
  <c r="AH324" i="38"/>
  <c r="AI324" i="38"/>
  <c r="AJ324" i="38"/>
  <c r="AB324" i="38"/>
  <c r="AA324" i="38"/>
  <c r="AT324" i="38" s="1"/>
  <c r="E324" i="38" s="1"/>
  <c r="Z325" i="38"/>
  <c r="Y325" i="38"/>
  <c r="AR325" i="38"/>
  <c r="C325" i="7"/>
  <c r="C327" i="38"/>
  <c r="AV326" i="38"/>
  <c r="AZ325" i="7"/>
  <c r="AE324" i="38" l="1"/>
  <c r="AM326" i="38"/>
  <c r="A326" i="7"/>
  <c r="A328" i="38"/>
  <c r="A349" i="24"/>
  <c r="B327" i="38"/>
  <c r="AK327" i="38"/>
  <c r="D327" i="38"/>
  <c r="AQ327" i="38"/>
  <c r="D325" i="7"/>
  <c r="B325" i="7"/>
  <c r="Y326" i="38"/>
  <c r="Z326" i="38"/>
  <c r="AR326" i="38"/>
  <c r="AI325" i="38"/>
  <c r="AJ325" i="38"/>
  <c r="AH325" i="38"/>
  <c r="AA325" i="38"/>
  <c r="AT325" i="38" s="1"/>
  <c r="E325" i="38" s="1"/>
  <c r="AB325" i="38"/>
  <c r="B324" i="6"/>
  <c r="C328" i="38"/>
  <c r="C326" i="7"/>
  <c r="AZ326" i="7"/>
  <c r="AV327" i="38"/>
  <c r="AE325" i="38" l="1"/>
  <c r="AM327" i="38"/>
  <c r="B325" i="6"/>
  <c r="AH326" i="38"/>
  <c r="AA326" i="38"/>
  <c r="AT326" i="38" s="1"/>
  <c r="E326" i="38" s="1"/>
  <c r="AI326" i="38"/>
  <c r="AB326" i="38"/>
  <c r="AJ326" i="38"/>
  <c r="AR327" i="38"/>
  <c r="AQ328" i="38"/>
  <c r="AK328" i="38"/>
  <c r="D328" i="38"/>
  <c r="B328" i="38"/>
  <c r="A327" i="7"/>
  <c r="A350" i="24"/>
  <c r="A329" i="38"/>
  <c r="Z327" i="38"/>
  <c r="Y327" i="38" s="1"/>
  <c r="D326" i="7"/>
  <c r="B326" i="7"/>
  <c r="C329" i="38"/>
  <c r="C327" i="7"/>
  <c r="AV328" i="38"/>
  <c r="AZ327" i="7"/>
  <c r="AE326" i="38" l="1"/>
  <c r="AD327" i="38"/>
  <c r="AM328" i="38"/>
  <c r="AR328" i="38"/>
  <c r="B326" i="6"/>
  <c r="Z328" i="38"/>
  <c r="Y328" i="38" s="1"/>
  <c r="D327" i="7"/>
  <c r="B327" i="7"/>
  <c r="A328" i="7"/>
  <c r="A351" i="24"/>
  <c r="D329" i="38"/>
  <c r="AK329" i="38"/>
  <c r="A330" i="38"/>
  <c r="AQ329" i="38"/>
  <c r="B329" i="38"/>
  <c r="C328" i="7"/>
  <c r="C330" i="38"/>
  <c r="AZ328" i="7"/>
  <c r="AV329" i="38"/>
  <c r="AL327" i="38" l="1"/>
  <c r="D327" i="6" s="1"/>
  <c r="V327" i="38"/>
  <c r="AM329" i="38"/>
  <c r="A352" i="24"/>
  <c r="AK330" i="38"/>
  <c r="A329" i="7"/>
  <c r="AQ330" i="38"/>
  <c r="D330" i="38"/>
  <c r="A331" i="38"/>
  <c r="B330" i="38"/>
  <c r="B328" i="7"/>
  <c r="D328" i="7"/>
  <c r="Z329" i="38"/>
  <c r="Y329" i="38" s="1"/>
  <c r="AR329" i="38"/>
  <c r="C331" i="38"/>
  <c r="C329" i="7"/>
  <c r="AZ329" i="7"/>
  <c r="AV330" i="38"/>
  <c r="V328" i="38" l="1"/>
  <c r="AD328" i="38"/>
  <c r="E326" i="7"/>
  <c r="F326" i="7" s="1"/>
  <c r="AS327" i="38"/>
  <c r="AG327" i="38"/>
  <c r="AI327" i="38"/>
  <c r="AJ327" i="38"/>
  <c r="AB327" i="38"/>
  <c r="AA327" i="38"/>
  <c r="AH327" i="38"/>
  <c r="AM330" i="38"/>
  <c r="AR330" i="38"/>
  <c r="D329" i="7"/>
  <c r="B329" i="7"/>
  <c r="A330" i="7"/>
  <c r="B331" i="38"/>
  <c r="A332" i="38"/>
  <c r="AK331" i="38"/>
  <c r="AQ331" i="38"/>
  <c r="A353" i="24"/>
  <c r="D331" i="38"/>
  <c r="Z330" i="38"/>
  <c r="Y330" i="38" s="1"/>
  <c r="C330" i="7"/>
  <c r="C332" i="38"/>
  <c r="AZ330" i="7"/>
  <c r="AV331" i="38"/>
  <c r="V329" i="38" l="1"/>
  <c r="AH329" i="38" s="1"/>
  <c r="AD329" i="38"/>
  <c r="AS328" i="38"/>
  <c r="AL328" i="38"/>
  <c r="D328" i="6" s="1"/>
  <c r="AG328" i="38"/>
  <c r="E327" i="7"/>
  <c r="F327" i="7" s="1"/>
  <c r="AA328" i="38"/>
  <c r="AT328" i="38" s="1"/>
  <c r="E328" i="38" s="1"/>
  <c r="AH328" i="38"/>
  <c r="AJ328" i="38"/>
  <c r="AB328" i="38"/>
  <c r="AI328" i="38"/>
  <c r="AT327" i="38"/>
  <c r="E327" i="38" s="1"/>
  <c r="AE327" i="38"/>
  <c r="B327" i="6"/>
  <c r="AR331" i="38"/>
  <c r="AM331" i="38"/>
  <c r="Z331" i="38"/>
  <c r="Y331" i="38" s="1"/>
  <c r="A333" i="38"/>
  <c r="A331" i="7"/>
  <c r="AQ332" i="38"/>
  <c r="AK332" i="38"/>
  <c r="B332" i="38"/>
  <c r="A354" i="24"/>
  <c r="D332" i="38"/>
  <c r="B330" i="7"/>
  <c r="D330" i="7"/>
  <c r="C331" i="7"/>
  <c r="C333" i="38"/>
  <c r="AZ331" i="7"/>
  <c r="AV332" i="38"/>
  <c r="AI329" i="38" l="1"/>
  <c r="AA329" i="38"/>
  <c r="AT329" i="38" s="1"/>
  <c r="E329" i="38" s="1"/>
  <c r="AJ329" i="38"/>
  <c r="AG329" i="38"/>
  <c r="E328" i="7"/>
  <c r="F328" i="7" s="1"/>
  <c r="AS329" i="38"/>
  <c r="B328" i="6"/>
  <c r="AB329" i="38"/>
  <c r="V330" i="38"/>
  <c r="AA330" i="38" s="1"/>
  <c r="AD330" i="38"/>
  <c r="AL330" i="38" s="1"/>
  <c r="D330" i="6" s="1"/>
  <c r="AL329" i="38"/>
  <c r="D329" i="6" s="1"/>
  <c r="AE328" i="38"/>
  <c r="AM332" i="38"/>
  <c r="AQ333" i="38"/>
  <c r="A334" i="38"/>
  <c r="A332" i="7"/>
  <c r="B333" i="38"/>
  <c r="AK333" i="38"/>
  <c r="A355" i="24"/>
  <c r="D333" i="38"/>
  <c r="Y332" i="38"/>
  <c r="Z332" i="38"/>
  <c r="D331" i="7"/>
  <c r="B331" i="7"/>
  <c r="AR332" i="38"/>
  <c r="C334" i="38"/>
  <c r="C332" i="7"/>
  <c r="AZ332" i="7"/>
  <c r="AV333" i="38"/>
  <c r="AE329" i="38" l="1"/>
  <c r="AE330" i="38" s="1"/>
  <c r="B329" i="6"/>
  <c r="B330" i="6" s="1"/>
  <c r="E329" i="7"/>
  <c r="F329" i="7" s="1"/>
  <c r="AG330" i="38"/>
  <c r="AD331" i="38"/>
  <c r="AL331" i="38" s="1"/>
  <c r="D331" i="6" s="1"/>
  <c r="AS330" i="38"/>
  <c r="AI330" i="38"/>
  <c r="AH330" i="38"/>
  <c r="AJ330" i="38"/>
  <c r="AB330" i="38"/>
  <c r="V331" i="38"/>
  <c r="AT330" i="38"/>
  <c r="E330" i="38" s="1"/>
  <c r="AM333" i="38"/>
  <c r="AR333" i="38"/>
  <c r="D332" i="7"/>
  <c r="B332" i="7"/>
  <c r="Y333" i="38"/>
  <c r="Z333" i="38"/>
  <c r="B334" i="38"/>
  <c r="AK334" i="38"/>
  <c r="A335" i="38"/>
  <c r="D334" i="38"/>
  <c r="AQ334" i="38"/>
  <c r="A356" i="24"/>
  <c r="A333" i="7"/>
  <c r="AH332" i="38"/>
  <c r="AJ332" i="38"/>
  <c r="AB332" i="38"/>
  <c r="AA332" i="38"/>
  <c r="AT332" i="38" s="1"/>
  <c r="E332" i="38" s="1"/>
  <c r="AI332" i="38"/>
  <c r="C335" i="38"/>
  <c r="C333" i="7"/>
  <c r="AZ333" i="7"/>
  <c r="AV334" i="38"/>
  <c r="AL332" i="38" l="1"/>
  <c r="D332" i="6" s="1"/>
  <c r="AL333" i="38"/>
  <c r="D333" i="6" s="1"/>
  <c r="AG331" i="38"/>
  <c r="AS331" i="38"/>
  <c r="E330" i="7"/>
  <c r="F330" i="7" s="1"/>
  <c r="AA331" i="38"/>
  <c r="AB331" i="38"/>
  <c r="AI331" i="38"/>
  <c r="AJ331" i="38"/>
  <c r="AH331" i="38"/>
  <c r="AM334" i="38"/>
  <c r="AJ333" i="38"/>
  <c r="AA333" i="38"/>
  <c r="AT333" i="38" s="1"/>
  <c r="E333" i="38" s="1"/>
  <c r="AB333" i="38"/>
  <c r="AI333" i="38"/>
  <c r="AH333" i="38"/>
  <c r="Z334" i="38"/>
  <c r="Y334" i="38" s="1"/>
  <c r="A334" i="7"/>
  <c r="A336" i="38"/>
  <c r="AQ335" i="38"/>
  <c r="B335" i="38"/>
  <c r="A357" i="24"/>
  <c r="AK335" i="38"/>
  <c r="D335" i="38"/>
  <c r="D333" i="7"/>
  <c r="B333" i="7"/>
  <c r="AR334" i="38"/>
  <c r="C334" i="7"/>
  <c r="C336" i="38"/>
  <c r="AZ334" i="7"/>
  <c r="AV335" i="38"/>
  <c r="AT331" i="38" l="1"/>
  <c r="E331" i="38" s="1"/>
  <c r="AE331" i="38"/>
  <c r="AE332" i="38" s="1"/>
  <c r="AE333" i="38" s="1"/>
  <c r="B331" i="6"/>
  <c r="B332" i="6" s="1"/>
  <c r="B333" i="6" s="1"/>
  <c r="AM335" i="38"/>
  <c r="D334" i="7"/>
  <c r="B334" i="7"/>
  <c r="Z335" i="38"/>
  <c r="Y335" i="38" s="1"/>
  <c r="AR335" i="38"/>
  <c r="B336" i="38"/>
  <c r="A335" i="7"/>
  <c r="AQ336" i="38"/>
  <c r="AK336" i="38"/>
  <c r="A337" i="38"/>
  <c r="D336" i="38"/>
  <c r="A358" i="24"/>
  <c r="C337" i="38"/>
  <c r="C335" i="7"/>
  <c r="AV336" i="38"/>
  <c r="AZ335" i="7"/>
  <c r="AD335" i="38" l="1"/>
  <c r="V334" i="38"/>
  <c r="AH334" i="38" s="1"/>
  <c r="AD334" i="38"/>
  <c r="AM336" i="38"/>
  <c r="AR336" i="38"/>
  <c r="D337" i="38"/>
  <c r="AQ337" i="38"/>
  <c r="A336" i="7"/>
  <c r="B337" i="38"/>
  <c r="AK337" i="38"/>
  <c r="A338" i="38"/>
  <c r="A359" i="24"/>
  <c r="Z336" i="38"/>
  <c r="Y336" i="38" s="1"/>
  <c r="D335" i="7"/>
  <c r="B335" i="7"/>
  <c r="C336" i="7"/>
  <c r="C338" i="38"/>
  <c r="AV337" i="38"/>
  <c r="AZ336" i="7"/>
  <c r="AI334" i="38" l="1"/>
  <c r="AG334" i="38"/>
  <c r="E333" i="7"/>
  <c r="F333" i="7" s="1"/>
  <c r="AJ334" i="38"/>
  <c r="AB334" i="38"/>
  <c r="AA334" i="38"/>
  <c r="AT334" i="38" s="1"/>
  <c r="E334" i="38" s="1"/>
  <c r="V335" i="38"/>
  <c r="AS334" i="38"/>
  <c r="AL334" i="38"/>
  <c r="D334" i="6" s="1"/>
  <c r="AL335" i="38"/>
  <c r="D335" i="6" s="1"/>
  <c r="AM337" i="38"/>
  <c r="AR337" i="38"/>
  <c r="D336" i="7"/>
  <c r="B336" i="7"/>
  <c r="A339" i="38"/>
  <c r="AK338" i="38"/>
  <c r="A360" i="24"/>
  <c r="AQ338" i="38"/>
  <c r="B338" i="38"/>
  <c r="A337" i="7"/>
  <c r="D338" i="38"/>
  <c r="Y337" i="38"/>
  <c r="Z337" i="38"/>
  <c r="C337" i="7"/>
  <c r="C339" i="38"/>
  <c r="AV338" i="38"/>
  <c r="AZ337" i="7"/>
  <c r="AE334" i="38" l="1"/>
  <c r="B334" i="6"/>
  <c r="V336" i="38"/>
  <c r="AA336" i="38" s="1"/>
  <c r="AD336" i="38"/>
  <c r="AG335" i="38"/>
  <c r="AS335" i="38"/>
  <c r="E334" i="7"/>
  <c r="F334" i="7" s="1"/>
  <c r="AB335" i="38"/>
  <c r="AJ335" i="38"/>
  <c r="AA335" i="38"/>
  <c r="AT335" i="38" s="1"/>
  <c r="E335" i="38" s="1"/>
  <c r="AI335" i="38"/>
  <c r="AH335" i="38"/>
  <c r="AM338" i="38"/>
  <c r="B337" i="7"/>
  <c r="D337" i="7"/>
  <c r="Z338" i="38"/>
  <c r="Y338" i="38" s="1"/>
  <c r="AR338" i="38"/>
  <c r="AJ337" i="38"/>
  <c r="AH337" i="38"/>
  <c r="AI337" i="38"/>
  <c r="AB337" i="38"/>
  <c r="AA337" i="38"/>
  <c r="AT337" i="38" s="1"/>
  <c r="E337" i="38" s="1"/>
  <c r="A361" i="24"/>
  <c r="B339" i="38"/>
  <c r="AQ339" i="38"/>
  <c r="A340" i="38"/>
  <c r="A338" i="7"/>
  <c r="D339" i="38"/>
  <c r="AK339" i="38"/>
  <c r="C338" i="7"/>
  <c r="C340" i="38"/>
  <c r="AV339" i="38"/>
  <c r="AZ338" i="7"/>
  <c r="AG336" i="38" l="1"/>
  <c r="E335" i="7"/>
  <c r="F335" i="7" s="1"/>
  <c r="AJ336" i="38"/>
  <c r="AH336" i="38"/>
  <c r="AI336" i="38"/>
  <c r="AB336" i="38"/>
  <c r="AS336" i="38"/>
  <c r="AL336" i="38"/>
  <c r="D336" i="6" s="1"/>
  <c r="AL337" i="38"/>
  <c r="D337" i="6" s="1"/>
  <c r="AT336" i="38"/>
  <c r="E336" i="38" s="1"/>
  <c r="B335" i="6"/>
  <c r="B336" i="6" s="1"/>
  <c r="B337" i="6" s="1"/>
  <c r="AE335" i="38"/>
  <c r="AE336" i="38" s="1"/>
  <c r="AE337" i="38" s="1"/>
  <c r="AM339" i="38"/>
  <c r="AR339" i="38"/>
  <c r="B338" i="7"/>
  <c r="D338" i="7"/>
  <c r="A339" i="7"/>
  <c r="A362" i="24"/>
  <c r="B340" i="38"/>
  <c r="A341" i="38"/>
  <c r="AQ340" i="38"/>
  <c r="AK340" i="38"/>
  <c r="D340" i="38"/>
  <c r="Y339" i="38"/>
  <c r="Z339" i="38"/>
  <c r="C339" i="7"/>
  <c r="C341" i="38"/>
  <c r="AV340" i="38"/>
  <c r="AZ339" i="7"/>
  <c r="AD338" i="38" l="1"/>
  <c r="AL338" i="38" s="1"/>
  <c r="D338" i="6" s="1"/>
  <c r="AL340" i="38"/>
  <c r="D340" i="6" s="1"/>
  <c r="V338" i="38"/>
  <c r="AR340" i="38"/>
  <c r="AA339" i="38"/>
  <c r="AT339" i="38" s="1"/>
  <c r="E339" i="38" s="1"/>
  <c r="AH339" i="38"/>
  <c r="AI339" i="38"/>
  <c r="AJ339" i="38"/>
  <c r="AB339" i="38"/>
  <c r="B339" i="7"/>
  <c r="D339" i="7"/>
  <c r="A342" i="38"/>
  <c r="B341" i="38"/>
  <c r="AQ341" i="38"/>
  <c r="AK341" i="38"/>
  <c r="A363" i="24"/>
  <c r="D341" i="38"/>
  <c r="A340" i="7"/>
  <c r="Z340" i="38"/>
  <c r="Y340" i="38"/>
  <c r="C342" i="38"/>
  <c r="C340" i="7"/>
  <c r="AZ340" i="7"/>
  <c r="AV341" i="38"/>
  <c r="AL339" i="38" l="1"/>
  <c r="D339" i="6" s="1"/>
  <c r="E337" i="7"/>
  <c r="F337" i="7" s="1"/>
  <c r="AG338" i="38"/>
  <c r="AS338" i="38"/>
  <c r="AH338" i="38"/>
  <c r="AA338" i="38"/>
  <c r="AI338" i="38"/>
  <c r="AJ338" i="38"/>
  <c r="AB338" i="38"/>
  <c r="AR341" i="38"/>
  <c r="AQ342" i="38"/>
  <c r="B342" i="38"/>
  <c r="D342" i="38"/>
  <c r="A364" i="24"/>
  <c r="A341" i="7"/>
  <c r="AK342" i="38"/>
  <c r="A343" i="38"/>
  <c r="AJ340" i="38"/>
  <c r="AI340" i="38"/>
  <c r="AH340" i="38"/>
  <c r="AA340" i="38"/>
  <c r="AT340" i="38" s="1"/>
  <c r="E340" i="38" s="1"/>
  <c r="AB340" i="38"/>
  <c r="B340" i="7"/>
  <c r="D340" i="7"/>
  <c r="Z341" i="38"/>
  <c r="Y341" i="38" s="1"/>
  <c r="C343" i="38"/>
  <c r="C341" i="7"/>
  <c r="AZ341" i="7"/>
  <c r="AV342" i="38"/>
  <c r="AT338" i="38" l="1"/>
  <c r="E338" i="38" s="1"/>
  <c r="B338" i="6"/>
  <c r="B339" i="6" s="1"/>
  <c r="B340" i="6" s="1"/>
  <c r="AE338" i="38"/>
  <c r="AE339" i="38" s="1"/>
  <c r="Y342" i="38"/>
  <c r="Z342" i="38"/>
  <c r="D341" i="7"/>
  <c r="B341" i="7"/>
  <c r="A342" i="7"/>
  <c r="A344" i="38"/>
  <c r="AK343" i="38"/>
  <c r="B343" i="38"/>
  <c r="AQ343" i="38"/>
  <c r="D343" i="38"/>
  <c r="A365" i="24"/>
  <c r="AR342" i="38"/>
  <c r="C342" i="7"/>
  <c r="C344" i="38"/>
  <c r="AV343" i="38"/>
  <c r="AZ342" i="7"/>
  <c r="AD341" i="38" l="1"/>
  <c r="AL351" i="38" s="1"/>
  <c r="D351" i="6" s="1"/>
  <c r="AL367" i="38"/>
  <c r="D367" i="6" s="1"/>
  <c r="AL359" i="38"/>
  <c r="D359" i="6" s="1"/>
  <c r="AL366" i="38"/>
  <c r="D366" i="6" s="1"/>
  <c r="AL346" i="38"/>
  <c r="D346" i="6" s="1"/>
  <c r="AL344" i="38"/>
  <c r="D344" i="6" s="1"/>
  <c r="AL348" i="38"/>
  <c r="D348" i="6" s="1"/>
  <c r="AL355" i="38"/>
  <c r="D355" i="6" s="1"/>
  <c r="AL360" i="38"/>
  <c r="D360" i="6" s="1"/>
  <c r="AL365" i="38"/>
  <c r="D365" i="6" s="1"/>
  <c r="AL353" i="38"/>
  <c r="D353" i="6" s="1"/>
  <c r="AL341" i="38"/>
  <c r="D341" i="6" s="1"/>
  <c r="AL350" i="38"/>
  <c r="D350" i="6" s="1"/>
  <c r="AL361" i="38"/>
  <c r="D361" i="6" s="1"/>
  <c r="V341" i="38"/>
  <c r="AE340" i="38"/>
  <c r="AM340" i="38"/>
  <c r="D344" i="38"/>
  <c r="AQ344" i="38"/>
  <c r="B344" i="38"/>
  <c r="AK344" i="38"/>
  <c r="A345" i="38"/>
  <c r="A343" i="7"/>
  <c r="A366" i="24"/>
  <c r="B342" i="7"/>
  <c r="D342" i="7"/>
  <c r="AR343" i="38"/>
  <c r="Z343" i="38"/>
  <c r="Y343" i="38"/>
  <c r="AB342" i="38"/>
  <c r="AJ342" i="38"/>
  <c r="AA342" i="38"/>
  <c r="AT342" i="38" s="1"/>
  <c r="E342" i="38" s="1"/>
  <c r="AH342" i="38"/>
  <c r="AI342" i="38"/>
  <c r="C343" i="7"/>
  <c r="C345" i="38"/>
  <c r="AZ343" i="7"/>
  <c r="AV344" i="38"/>
  <c r="AL357" i="38" l="1"/>
  <c r="D357" i="6" s="1"/>
  <c r="AM341" i="38"/>
  <c r="AM342" i="38" s="1"/>
  <c r="AM343" i="38" s="1"/>
  <c r="AM344" i="38" s="1"/>
  <c r="AL343" i="38"/>
  <c r="D343" i="6" s="1"/>
  <c r="AL358" i="38"/>
  <c r="D358" i="6" s="1"/>
  <c r="AL362" i="38"/>
  <c r="D362" i="6" s="1"/>
  <c r="AL352" i="38"/>
  <c r="D352" i="6" s="1"/>
  <c r="AL364" i="38"/>
  <c r="D364" i="6" s="1"/>
  <c r="AL345" i="38"/>
  <c r="D345" i="6" s="1"/>
  <c r="AL354" i="38"/>
  <c r="D354" i="6" s="1"/>
  <c r="AL356" i="38"/>
  <c r="D356" i="6" s="1"/>
  <c r="AL342" i="38"/>
  <c r="D342" i="6" s="1"/>
  <c r="AL368" i="38"/>
  <c r="D368" i="6" s="1"/>
  <c r="AL349" i="38"/>
  <c r="D349" i="6" s="1"/>
  <c r="AL347" i="38"/>
  <c r="D347" i="6" s="1"/>
  <c r="AL363" i="38"/>
  <c r="D363" i="6" s="1"/>
  <c r="E340" i="7"/>
  <c r="F340" i="7" s="1"/>
  <c r="AG341" i="38"/>
  <c r="AS341" i="38"/>
  <c r="AI341" i="38"/>
  <c r="AJ341" i="38"/>
  <c r="AH341" i="38"/>
  <c r="AA341" i="38"/>
  <c r="AB341" i="38"/>
  <c r="AR344" i="38"/>
  <c r="Y344" i="38"/>
  <c r="Z344" i="38"/>
  <c r="B343" i="7"/>
  <c r="D343" i="7"/>
  <c r="AA343" i="38"/>
  <c r="AT343" i="38" s="1"/>
  <c r="E343" i="38" s="1"/>
  <c r="AI343" i="38"/>
  <c r="AH343" i="38"/>
  <c r="AJ343" i="38"/>
  <c r="AB343" i="38"/>
  <c r="A367" i="24"/>
  <c r="D345" i="38"/>
  <c r="AK345" i="38"/>
  <c r="AQ345" i="38"/>
  <c r="A344" i="7"/>
  <c r="A346" i="38"/>
  <c r="B345" i="38"/>
  <c r="C346" i="38"/>
  <c r="C344" i="7"/>
  <c r="AV345" i="38"/>
  <c r="AZ344" i="7"/>
  <c r="AT341" i="38" l="1"/>
  <c r="E341" i="38" s="1"/>
  <c r="B341" i="6"/>
  <c r="B342" i="6" s="1"/>
  <c r="B343" i="6" s="1"/>
  <c r="AE341" i="38"/>
  <c r="AE342" i="38" s="1"/>
  <c r="AE343" i="38" s="1"/>
  <c r="AE344" i="38" s="1"/>
  <c r="AE345" i="38" s="1"/>
  <c r="AE346" i="38" s="1"/>
  <c r="AE347" i="38" s="1"/>
  <c r="AE348" i="38" s="1"/>
  <c r="AE349" i="38" s="1"/>
  <c r="AE350" i="38" s="1"/>
  <c r="AE351" i="38" s="1"/>
  <c r="AE352" i="38" s="1"/>
  <c r="AE353" i="38" s="1"/>
  <c r="AE354" i="38" s="1"/>
  <c r="AE355" i="38" s="1"/>
  <c r="AE356" i="38" s="1"/>
  <c r="AE357" i="38" s="1"/>
  <c r="AE358" i="38" s="1"/>
  <c r="AE359" i="38" s="1"/>
  <c r="AE360" i="38" s="1"/>
  <c r="AE361" i="38" s="1"/>
  <c r="AE362" i="38" s="1"/>
  <c r="AE363" i="38" s="1"/>
  <c r="AE364" i="38" s="1"/>
  <c r="AE365" i="38" s="1"/>
  <c r="AE366" i="38" s="1"/>
  <c r="AE367" i="38" s="1"/>
  <c r="AE368" i="38" s="1"/>
  <c r="AM345" i="38"/>
  <c r="Y345" i="38"/>
  <c r="Z345" i="38"/>
  <c r="B344" i="7"/>
  <c r="D344" i="7"/>
  <c r="AA344" i="38"/>
  <c r="AT344" i="38" s="1"/>
  <c r="E344" i="38" s="1"/>
  <c r="AH344" i="38"/>
  <c r="AI344" i="38"/>
  <c r="AB344" i="38"/>
  <c r="AJ344" i="38"/>
  <c r="A368" i="24"/>
  <c r="AK346" i="38"/>
  <c r="D346" i="38"/>
  <c r="A345" i="7"/>
  <c r="AQ346" i="38"/>
  <c r="B346" i="38"/>
  <c r="A347" i="38"/>
  <c r="AR345" i="38"/>
  <c r="C345" i="7"/>
  <c r="C347" i="38"/>
  <c r="AV346" i="38"/>
  <c r="AZ345" i="7"/>
  <c r="AM346" i="38" l="1"/>
  <c r="AR346" i="38"/>
  <c r="Y346" i="38"/>
  <c r="Z346" i="38"/>
  <c r="D345" i="7"/>
  <c r="B345" i="7"/>
  <c r="A369" i="24"/>
  <c r="AK347" i="38"/>
  <c r="AQ347" i="38"/>
  <c r="A348" i="38"/>
  <c r="B347" i="38"/>
  <c r="A346" i="7"/>
  <c r="D347" i="38"/>
  <c r="B344" i="6"/>
  <c r="AA345" i="38"/>
  <c r="AT345" i="38" s="1"/>
  <c r="E345" i="38" s="1"/>
  <c r="AH345" i="38"/>
  <c r="AB345" i="38"/>
  <c r="AJ345" i="38"/>
  <c r="AI345" i="38"/>
  <c r="C348" i="38"/>
  <c r="C346" i="7"/>
  <c r="AV347" i="38"/>
  <c r="AZ346" i="7"/>
  <c r="AM347" i="38" l="1"/>
  <c r="D346" i="7"/>
  <c r="B346" i="7"/>
  <c r="AA346" i="38"/>
  <c r="AT346" i="38" s="1"/>
  <c r="E346" i="38" s="1"/>
  <c r="AI346" i="38"/>
  <c r="AH346" i="38"/>
  <c r="AB346" i="38"/>
  <c r="AJ346" i="38"/>
  <c r="Z347" i="38"/>
  <c r="Y347" i="38"/>
  <c r="B345" i="6"/>
  <c r="A347" i="7"/>
  <c r="B348" i="38"/>
  <c r="A370" i="24"/>
  <c r="AQ348" i="38"/>
  <c r="AK348" i="38"/>
  <c r="A349" i="38"/>
  <c r="D348" i="38"/>
  <c r="AR347" i="38"/>
  <c r="C349" i="38"/>
  <c r="C347" i="7"/>
  <c r="AV348" i="38"/>
  <c r="AZ347" i="7"/>
  <c r="AM348" i="38" l="1"/>
  <c r="B346" i="6"/>
  <c r="D347" i="7"/>
  <c r="B347" i="7"/>
  <c r="Z348" i="38"/>
  <c r="Y348" i="38"/>
  <c r="AR348" i="38"/>
  <c r="A348" i="7"/>
  <c r="A350" i="38"/>
  <c r="AQ349" i="38"/>
  <c r="D349" i="38"/>
  <c r="A371" i="24"/>
  <c r="AK349" i="38"/>
  <c r="B349" i="38"/>
  <c r="AB347" i="38"/>
  <c r="AH347" i="38"/>
  <c r="AJ347" i="38"/>
  <c r="AI347" i="38"/>
  <c r="AA347" i="38"/>
  <c r="AT347" i="38" s="1"/>
  <c r="E347" i="38" s="1"/>
  <c r="C350" i="38"/>
  <c r="C348" i="7"/>
  <c r="AV349" i="38"/>
  <c r="AZ348" i="7"/>
  <c r="AM349" i="38" l="1"/>
  <c r="AR349" i="38"/>
  <c r="Y349" i="38"/>
  <c r="Z349" i="38"/>
  <c r="A351" i="38"/>
  <c r="AQ350" i="38"/>
  <c r="B350" i="38"/>
  <c r="AK350" i="38"/>
  <c r="A349" i="7"/>
  <c r="D350" i="38"/>
  <c r="A372" i="24"/>
  <c r="AA348" i="38"/>
  <c r="AT348" i="38" s="1"/>
  <c r="E348" i="38" s="1"/>
  <c r="AJ348" i="38"/>
  <c r="AH348" i="38"/>
  <c r="AI348" i="38"/>
  <c r="AB348" i="38"/>
  <c r="B348" i="7"/>
  <c r="D348" i="7"/>
  <c r="B347" i="6"/>
  <c r="C351" i="38"/>
  <c r="C349" i="7"/>
  <c r="AZ349" i="7"/>
  <c r="AV350" i="38"/>
  <c r="AM350" i="38" l="1"/>
  <c r="B348" i="6"/>
  <c r="D349" i="7"/>
  <c r="B349" i="7"/>
  <c r="B351" i="38"/>
  <c r="A373" i="24"/>
  <c r="A350" i="7"/>
  <c r="AK351" i="38"/>
  <c r="AQ351" i="38"/>
  <c r="A352" i="38"/>
  <c r="D351" i="38"/>
  <c r="Z350" i="38"/>
  <c r="Y350" i="38"/>
  <c r="AR350" i="38"/>
  <c r="AH349" i="38"/>
  <c r="AI349" i="38"/>
  <c r="AA349" i="38"/>
  <c r="AT349" i="38" s="1"/>
  <c r="E349" i="38" s="1"/>
  <c r="AB349" i="38"/>
  <c r="AJ349" i="38"/>
  <c r="C352" i="38"/>
  <c r="C350" i="7"/>
  <c r="AV351" i="38"/>
  <c r="AZ350" i="7"/>
  <c r="AM351" i="38" l="1"/>
  <c r="AR351" i="38"/>
  <c r="AA350" i="38"/>
  <c r="AT350" i="38" s="1"/>
  <c r="E350" i="38" s="1"/>
  <c r="AB350" i="38"/>
  <c r="AI350" i="38"/>
  <c r="AH350" i="38"/>
  <c r="AJ350" i="38"/>
  <c r="A353" i="38"/>
  <c r="D352" i="38"/>
  <c r="A374" i="24"/>
  <c r="B352" i="38"/>
  <c r="AK352" i="38"/>
  <c r="A351" i="7"/>
  <c r="AQ352" i="38"/>
  <c r="Y351" i="38"/>
  <c r="Z351" i="38"/>
  <c r="B349" i="6"/>
  <c r="B350" i="7"/>
  <c r="D350" i="7"/>
  <c r="C353" i="38"/>
  <c r="C351" i="7"/>
  <c r="AV352" i="38"/>
  <c r="AZ351" i="7"/>
  <c r="AM352" i="38" l="1"/>
  <c r="B350" i="6"/>
  <c r="Y352" i="38"/>
  <c r="Z352" i="38"/>
  <c r="D351" i="7"/>
  <c r="B351" i="7"/>
  <c r="A352" i="7"/>
  <c r="A354" i="38"/>
  <c r="A375" i="24"/>
  <c r="B353" i="38"/>
  <c r="AQ353" i="38"/>
  <c r="AK353" i="38"/>
  <c r="D353" i="38"/>
  <c r="AH351" i="38"/>
  <c r="AB351" i="38"/>
  <c r="AJ351" i="38"/>
  <c r="AI351" i="38"/>
  <c r="AA351" i="38"/>
  <c r="AT351" i="38" s="1"/>
  <c r="E351" i="38" s="1"/>
  <c r="AR352" i="38"/>
  <c r="C352" i="7"/>
  <c r="C354" i="38"/>
  <c r="AZ352" i="7"/>
  <c r="AV353" i="38"/>
  <c r="AM353" i="38" l="1"/>
  <c r="Y353" i="38"/>
  <c r="Z353" i="38"/>
  <c r="D354" i="38"/>
  <c r="B354" i="38"/>
  <c r="A353" i="7"/>
  <c r="AK354" i="38"/>
  <c r="AQ354" i="38"/>
  <c r="A376" i="24"/>
  <c r="A355" i="38"/>
  <c r="B351" i="6"/>
  <c r="D352" i="7"/>
  <c r="B352" i="7"/>
  <c r="AR353" i="38"/>
  <c r="AA352" i="38"/>
  <c r="AT352" i="38" s="1"/>
  <c r="E352" i="38" s="1"/>
  <c r="AJ352" i="38"/>
  <c r="AB352" i="38"/>
  <c r="AI352" i="38"/>
  <c r="AH352" i="38"/>
  <c r="C355" i="38"/>
  <c r="C353" i="7"/>
  <c r="AV354" i="38"/>
  <c r="AZ353" i="7"/>
  <c r="AM354" i="38" l="1"/>
  <c r="AR354" i="38"/>
  <c r="B352" i="6"/>
  <c r="Y354" i="38"/>
  <c r="Z354" i="38"/>
  <c r="D355" i="38"/>
  <c r="A356" i="38"/>
  <c r="B355" i="38"/>
  <c r="AQ355" i="38"/>
  <c r="A377" i="24"/>
  <c r="A354" i="7"/>
  <c r="AK355" i="38"/>
  <c r="B353" i="7"/>
  <c r="D353" i="7"/>
  <c r="AI353" i="38"/>
  <c r="AH353" i="38"/>
  <c r="AJ353" i="38"/>
  <c r="AA353" i="38"/>
  <c r="AT353" i="38" s="1"/>
  <c r="E353" i="38" s="1"/>
  <c r="AB353" i="38"/>
  <c r="C356" i="38"/>
  <c r="C354" i="7"/>
  <c r="AV355" i="38"/>
  <c r="AZ354" i="7"/>
  <c r="AM355" i="38" l="1"/>
  <c r="AR355" i="38"/>
  <c r="Z355" i="38"/>
  <c r="Y355" i="38"/>
  <c r="AH354" i="38"/>
  <c r="AB354" i="38"/>
  <c r="AJ354" i="38"/>
  <c r="AA354" i="38"/>
  <c r="AT354" i="38" s="1"/>
  <c r="E354" i="38" s="1"/>
  <c r="AI354" i="38"/>
  <c r="D354" i="7"/>
  <c r="B354" i="7"/>
  <c r="B356" i="38"/>
  <c r="D356" i="38"/>
  <c r="A355" i="7"/>
  <c r="AQ356" i="38"/>
  <c r="A378" i="24"/>
  <c r="A357" i="38"/>
  <c r="AK356" i="38"/>
  <c r="B353" i="6"/>
  <c r="C357" i="38"/>
  <c r="C355" i="7"/>
  <c r="AV356" i="38"/>
  <c r="AZ355" i="7"/>
  <c r="AM356" i="38" l="1"/>
  <c r="B354" i="6"/>
  <c r="Y356" i="38"/>
  <c r="Z356" i="38"/>
  <c r="B355" i="7"/>
  <c r="D355" i="7"/>
  <c r="D357" i="38"/>
  <c r="A356" i="7"/>
  <c r="A358" i="38"/>
  <c r="B357" i="38"/>
  <c r="A379" i="24"/>
  <c r="AK357" i="38"/>
  <c r="AQ357" i="38"/>
  <c r="AI355" i="38"/>
  <c r="AJ355" i="38"/>
  <c r="AH355" i="38"/>
  <c r="AB355" i="38"/>
  <c r="AA355" i="38"/>
  <c r="AT355" i="38" s="1"/>
  <c r="E355" i="38" s="1"/>
  <c r="AR356" i="38"/>
  <c r="C358" i="38"/>
  <c r="C356" i="7"/>
  <c r="AV357" i="38"/>
  <c r="AZ356" i="7"/>
  <c r="AM357" i="38" l="1"/>
  <c r="AR357" i="38"/>
  <c r="Y357" i="38"/>
  <c r="Z357" i="38"/>
  <c r="B356" i="7"/>
  <c r="D356" i="7"/>
  <c r="B358" i="38"/>
  <c r="A380" i="24"/>
  <c r="AQ358" i="38"/>
  <c r="A357" i="7"/>
  <c r="D358" i="38"/>
  <c r="A359" i="38"/>
  <c r="AK358" i="38"/>
  <c r="B355" i="6"/>
  <c r="AH356" i="38"/>
  <c r="AA356" i="38"/>
  <c r="AT356" i="38" s="1"/>
  <c r="E356" i="38" s="1"/>
  <c r="AB356" i="38"/>
  <c r="AI356" i="38"/>
  <c r="AJ356" i="38"/>
  <c r="C359" i="38"/>
  <c r="C357" i="7"/>
  <c r="AV358" i="38"/>
  <c r="AZ357" i="7"/>
  <c r="AM358" i="38" l="1"/>
  <c r="AR358" i="38"/>
  <c r="Y358" i="38"/>
  <c r="Z358" i="38"/>
  <c r="D357" i="7"/>
  <c r="B357" i="7"/>
  <c r="A381" i="24"/>
  <c r="AK359" i="38"/>
  <c r="D359" i="38"/>
  <c r="A360" i="38"/>
  <c r="A358" i="7"/>
  <c r="AQ359" i="38"/>
  <c r="B359" i="38"/>
  <c r="B356" i="6"/>
  <c r="AB357" i="38"/>
  <c r="AH357" i="38"/>
  <c r="AI357" i="38"/>
  <c r="AA357" i="38"/>
  <c r="AT357" i="38" s="1"/>
  <c r="E357" i="38" s="1"/>
  <c r="AJ357" i="38"/>
  <c r="C358" i="7"/>
  <c r="C360" i="38"/>
  <c r="AV359" i="38"/>
  <c r="AZ358" i="7"/>
  <c r="AM359" i="38" l="1"/>
  <c r="Z359" i="38"/>
  <c r="Y359" i="38"/>
  <c r="D358" i="7"/>
  <c r="B358" i="7"/>
  <c r="AB358" i="38"/>
  <c r="AA358" i="38"/>
  <c r="AT358" i="38" s="1"/>
  <c r="E358" i="38" s="1"/>
  <c r="AH358" i="38"/>
  <c r="AJ358" i="38"/>
  <c r="AI358" i="38"/>
  <c r="B357" i="6"/>
  <c r="D360" i="38"/>
  <c r="A359" i="7"/>
  <c r="A382" i="24"/>
  <c r="AQ360" i="38"/>
  <c r="B360" i="38"/>
  <c r="A361" i="38"/>
  <c r="AK360" i="38"/>
  <c r="AR359" i="38"/>
  <c r="C359" i="7"/>
  <c r="C361" i="38"/>
  <c r="AZ359" i="7"/>
  <c r="AV360" i="38"/>
  <c r="AM360" i="38" l="1"/>
  <c r="B358" i="6"/>
  <c r="AR360" i="38"/>
  <c r="AQ361" i="38"/>
  <c r="A383" i="24"/>
  <c r="A360" i="7"/>
  <c r="D361" i="38"/>
  <c r="B361" i="38"/>
  <c r="AK361" i="38"/>
  <c r="A362" i="38"/>
  <c r="D359" i="7"/>
  <c r="B359" i="7"/>
  <c r="AI359" i="38"/>
  <c r="AB359" i="38"/>
  <c r="AA359" i="38"/>
  <c r="AT359" i="38" s="1"/>
  <c r="E359" i="38" s="1"/>
  <c r="AH359" i="38"/>
  <c r="AJ359" i="38"/>
  <c r="Y360" i="38"/>
  <c r="Z360" i="38"/>
  <c r="C362" i="38"/>
  <c r="C360" i="7"/>
  <c r="AZ360" i="7"/>
  <c r="AV361" i="38"/>
  <c r="AM361" i="38" l="1"/>
  <c r="AR361" i="38"/>
  <c r="B359" i="6"/>
  <c r="AQ362" i="38"/>
  <c r="A361" i="7"/>
  <c r="A384" i="24"/>
  <c r="B362" i="38"/>
  <c r="A363" i="38"/>
  <c r="D362" i="38"/>
  <c r="AK362" i="38"/>
  <c r="Y361" i="38"/>
  <c r="Z361" i="38"/>
  <c r="B360" i="7"/>
  <c r="D360" i="7"/>
  <c r="AI360" i="38"/>
  <c r="AB360" i="38"/>
  <c r="AJ360" i="38"/>
  <c r="AA360" i="38"/>
  <c r="AT360" i="38" s="1"/>
  <c r="E360" i="38" s="1"/>
  <c r="AH360" i="38"/>
  <c r="C361" i="7"/>
  <c r="C363" i="38"/>
  <c r="AZ361" i="7"/>
  <c r="AV362" i="38"/>
  <c r="AM362" i="38" l="1"/>
  <c r="AR362" i="38"/>
  <c r="AB361" i="38"/>
  <c r="AA361" i="38"/>
  <c r="AT361" i="38" s="1"/>
  <c r="E361" i="38" s="1"/>
  <c r="AJ361" i="38"/>
  <c r="AH361" i="38"/>
  <c r="AI361" i="38"/>
  <c r="D361" i="7"/>
  <c r="B361" i="7"/>
  <c r="Y362" i="38"/>
  <c r="Z362" i="38"/>
  <c r="B360" i="6"/>
  <c r="A385" i="24"/>
  <c r="D363" i="38"/>
  <c r="AQ363" i="38"/>
  <c r="B363" i="38"/>
  <c r="AK363" i="38"/>
  <c r="A362" i="7"/>
  <c r="A364" i="38"/>
  <c r="C362" i="7"/>
  <c r="C364" i="38"/>
  <c r="AV363" i="38"/>
  <c r="AZ362" i="7"/>
  <c r="B361" i="6" l="1"/>
  <c r="AM363" i="38"/>
  <c r="D364" i="38"/>
  <c r="B364" i="38"/>
  <c r="A386" i="24"/>
  <c r="AQ364" i="38"/>
  <c r="AK364" i="38"/>
  <c r="A365" i="38"/>
  <c r="A363" i="7"/>
  <c r="Y363" i="38"/>
  <c r="Z363" i="38"/>
  <c r="D362" i="7"/>
  <c r="B362" i="7"/>
  <c r="AJ362" i="38"/>
  <c r="AH362" i="38"/>
  <c r="AI362" i="38"/>
  <c r="AA362" i="38"/>
  <c r="AT362" i="38" s="1"/>
  <c r="E362" i="38" s="1"/>
  <c r="AB362" i="38"/>
  <c r="AR363" i="38"/>
  <c r="AR364" i="38" s="1"/>
  <c r="C365" i="38"/>
  <c r="C363" i="7"/>
  <c r="AZ363" i="7"/>
  <c r="AV364" i="38"/>
  <c r="AM364" i="38" l="1"/>
  <c r="D365" i="38"/>
  <c r="A364" i="7"/>
  <c r="AQ365" i="38"/>
  <c r="B365" i="38"/>
  <c r="A366" i="38"/>
  <c r="A387" i="24"/>
  <c r="AK365" i="38"/>
  <c r="Y364" i="38"/>
  <c r="Z364" i="38"/>
  <c r="AJ363" i="38"/>
  <c r="AA363" i="38"/>
  <c r="AT363" i="38" s="1"/>
  <c r="E363" i="38" s="1"/>
  <c r="AI363" i="38"/>
  <c r="AH363" i="38"/>
  <c r="AB363" i="38"/>
  <c r="B363" i="7"/>
  <c r="D363" i="7"/>
  <c r="B362" i="6"/>
  <c r="C364" i="7"/>
  <c r="C366" i="38"/>
  <c r="AZ364" i="7"/>
  <c r="AV365" i="38"/>
  <c r="AM365" i="38" l="1"/>
  <c r="AR365" i="38"/>
  <c r="Z365" i="38"/>
  <c r="Y365" i="38"/>
  <c r="B363" i="6"/>
  <c r="D364" i="7"/>
  <c r="B364" i="7"/>
  <c r="AI364" i="38"/>
  <c r="AB364" i="38"/>
  <c r="AJ364" i="38"/>
  <c r="AA364" i="38"/>
  <c r="AT364" i="38" s="1"/>
  <c r="E364" i="38" s="1"/>
  <c r="AH364" i="38"/>
  <c r="AQ366" i="38"/>
  <c r="A388" i="24"/>
  <c r="A367" i="38"/>
  <c r="A365" i="7"/>
  <c r="AK366" i="38"/>
  <c r="D366" i="38"/>
  <c r="B366" i="38"/>
  <c r="C365" i="7"/>
  <c r="C367" i="38"/>
  <c r="AV366" i="38"/>
  <c r="AZ365" i="7"/>
  <c r="AM366" i="38" l="1"/>
  <c r="AR366" i="38"/>
  <c r="Z366" i="38"/>
  <c r="Y366" i="38"/>
  <c r="B364" i="6"/>
  <c r="D365" i="7"/>
  <c r="B365" i="7"/>
  <c r="AA365" i="38"/>
  <c r="AT365" i="38" s="1"/>
  <c r="E365" i="38" s="1"/>
  <c r="AH365" i="38"/>
  <c r="AB365" i="38"/>
  <c r="AI365" i="38"/>
  <c r="AJ365" i="38"/>
  <c r="A368" i="38"/>
  <c r="A389" i="24"/>
  <c r="B367" i="38"/>
  <c r="AK367" i="38"/>
  <c r="A366" i="7"/>
  <c r="D367" i="38"/>
  <c r="AQ367" i="38"/>
  <c r="C366" i="7"/>
  <c r="C368" i="38"/>
  <c r="AV367" i="38"/>
  <c r="AZ366" i="7"/>
  <c r="AM367" i="38" l="1"/>
  <c r="AR367" i="38"/>
  <c r="B365" i="6"/>
  <c r="D366" i="7"/>
  <c r="B366" i="7"/>
  <c r="A369" i="38"/>
  <c r="D368" i="38"/>
  <c r="A367" i="7"/>
  <c r="AK368" i="38"/>
  <c r="A390" i="24"/>
  <c r="AQ368" i="38"/>
  <c r="B368" i="38"/>
  <c r="AH366" i="38"/>
  <c r="AJ366" i="38"/>
  <c r="AA366" i="38"/>
  <c r="AT366" i="38" s="1"/>
  <c r="E366" i="38" s="1"/>
  <c r="AI366" i="38"/>
  <c r="AB366" i="38"/>
  <c r="Y367" i="38"/>
  <c r="Z367" i="38"/>
  <c r="C369" i="38"/>
  <c r="C367" i="7"/>
  <c r="AZ367" i="7"/>
  <c r="AV368" i="38"/>
  <c r="AM368" i="38" l="1"/>
  <c r="AR368" i="38"/>
  <c r="Y368" i="38"/>
  <c r="Z368" i="38"/>
  <c r="A370" i="38"/>
  <c r="B369" i="38"/>
  <c r="AK369" i="38"/>
  <c r="AQ369" i="38"/>
  <c r="D369" i="38"/>
  <c r="A391" i="24"/>
  <c r="A368" i="7"/>
  <c r="D367" i="7"/>
  <c r="B367" i="7"/>
  <c r="AH367" i="38"/>
  <c r="AB367" i="38"/>
  <c r="AA367" i="38"/>
  <c r="AT367" i="38" s="1"/>
  <c r="E367" i="38" s="1"/>
  <c r="AI367" i="38"/>
  <c r="AJ367" i="38"/>
  <c r="B366" i="6"/>
  <c r="C368" i="7"/>
  <c r="C370" i="38"/>
  <c r="AV369" i="38"/>
  <c r="AZ368" i="7"/>
  <c r="AM369" i="38" l="1"/>
  <c r="B370" i="38"/>
  <c r="A369" i="7"/>
  <c r="A392" i="24"/>
  <c r="D370" i="38"/>
  <c r="A371" i="38"/>
  <c r="AQ370" i="38"/>
  <c r="AK370" i="38"/>
  <c r="B367" i="6"/>
  <c r="AR369" i="38"/>
  <c r="D368" i="7"/>
  <c r="B368" i="7"/>
  <c r="Z369" i="38"/>
  <c r="Y369" i="38"/>
  <c r="J369" i="38" s="1"/>
  <c r="AB368" i="38"/>
  <c r="AJ368" i="38"/>
  <c r="AI368" i="38"/>
  <c r="AH368" i="38"/>
  <c r="AA368" i="38"/>
  <c r="AT368" i="38" s="1"/>
  <c r="E368" i="38" s="1"/>
  <c r="G5" i="49"/>
  <c r="F22" i="49"/>
  <c r="F6" i="49"/>
  <c r="F8" i="49"/>
  <c r="G9" i="49"/>
  <c r="G20" i="49"/>
  <c r="G22" i="49"/>
  <c r="H21" i="49"/>
  <c r="I24" i="49"/>
  <c r="F18" i="49"/>
  <c r="G25" i="49"/>
  <c r="G6" i="49"/>
  <c r="G19" i="49"/>
  <c r="F16" i="49"/>
  <c r="G15" i="49"/>
  <c r="G21" i="49"/>
  <c r="I11" i="49"/>
  <c r="H23" i="49"/>
  <c r="G16" i="49"/>
  <c r="F20" i="49"/>
  <c r="G17" i="49"/>
  <c r="F19" i="49"/>
  <c r="H16" i="49"/>
  <c r="I23" i="49"/>
  <c r="H11" i="49"/>
  <c r="H25" i="49"/>
  <c r="H12" i="49"/>
  <c r="F7" i="49"/>
  <c r="G8" i="49"/>
  <c r="H6" i="49"/>
  <c r="F17" i="49"/>
  <c r="H5" i="49"/>
  <c r="G7" i="49"/>
  <c r="F4" i="49"/>
  <c r="G13" i="49"/>
  <c r="H10" i="49"/>
  <c r="H4" i="49"/>
  <c r="F5" i="49"/>
  <c r="G11" i="49"/>
  <c r="G12" i="49"/>
  <c r="G4" i="49"/>
  <c r="H13" i="49"/>
  <c r="G24" i="49"/>
  <c r="G10" i="49"/>
  <c r="F11" i="49"/>
  <c r="F13" i="49"/>
  <c r="H14" i="49"/>
  <c r="H22" i="49"/>
  <c r="G14" i="49"/>
  <c r="F15" i="49"/>
  <c r="H20" i="49"/>
  <c r="H17" i="49"/>
  <c r="H15" i="49"/>
  <c r="H9" i="49"/>
  <c r="F23" i="49"/>
  <c r="H24" i="49"/>
  <c r="H18" i="49"/>
  <c r="G18" i="49"/>
  <c r="F21" i="49"/>
  <c r="G23" i="49"/>
  <c r="J7" i="49"/>
  <c r="F9" i="49"/>
  <c r="F14" i="49"/>
  <c r="H8" i="49"/>
  <c r="I18" i="49"/>
  <c r="I7" i="49"/>
  <c r="I6" i="49"/>
  <c r="K14" i="49"/>
  <c r="F10" i="49"/>
  <c r="F25" i="49"/>
  <c r="F24" i="49"/>
  <c r="F12" i="49"/>
  <c r="I5" i="49"/>
  <c r="J24" i="49"/>
  <c r="I20" i="49"/>
  <c r="I19" i="49"/>
  <c r="I12" i="49"/>
  <c r="I13" i="49"/>
  <c r="J25" i="49"/>
  <c r="J12" i="49"/>
  <c r="K11" i="49"/>
  <c r="I9" i="49"/>
  <c r="H7" i="49"/>
  <c r="J6" i="49"/>
  <c r="H19" i="49"/>
  <c r="I25" i="49"/>
  <c r="I8" i="49"/>
  <c r="J13" i="49"/>
  <c r="J4" i="49"/>
  <c r="K20" i="49"/>
  <c r="I14" i="49"/>
  <c r="L7" i="49"/>
  <c r="I22" i="49"/>
  <c r="I16" i="49"/>
  <c r="J9" i="49"/>
  <c r="I21" i="49"/>
  <c r="I17" i="49"/>
  <c r="K21" i="49"/>
  <c r="I15" i="49"/>
  <c r="I10" i="49"/>
  <c r="J22" i="49"/>
  <c r="K10" i="49"/>
  <c r="I4" i="49"/>
  <c r="K12" i="49"/>
  <c r="K6" i="49"/>
  <c r="K23" i="49"/>
  <c r="K17" i="49"/>
  <c r="L19" i="49"/>
  <c r="K16" i="49"/>
  <c r="K24" i="49"/>
  <c r="L24" i="49"/>
  <c r="L16" i="49"/>
  <c r="J18" i="49"/>
  <c r="J16" i="49"/>
  <c r="K4" i="49"/>
  <c r="J5" i="49"/>
  <c r="M24" i="49"/>
  <c r="J11" i="49"/>
  <c r="K22" i="49"/>
  <c r="J23" i="49"/>
  <c r="K9" i="49"/>
  <c r="L9" i="49"/>
  <c r="J14" i="49"/>
  <c r="J15" i="49"/>
  <c r="L15" i="49"/>
  <c r="L12" i="49"/>
  <c r="K25" i="49"/>
  <c r="K19" i="49"/>
  <c r="J8" i="49"/>
  <c r="J21" i="49"/>
  <c r="L8" i="49"/>
  <c r="J17" i="49"/>
  <c r="K18" i="49"/>
  <c r="J20" i="49"/>
  <c r="K15" i="49"/>
  <c r="J10" i="49"/>
  <c r="K7" i="49"/>
  <c r="J19" i="49"/>
  <c r="K5" i="49"/>
  <c r="K8" i="49"/>
  <c r="P11" i="49"/>
  <c r="L25" i="49"/>
  <c r="L23" i="49"/>
  <c r="M12" i="49"/>
  <c r="M7" i="49"/>
  <c r="L4" i="49"/>
  <c r="M4" i="49"/>
  <c r="K13" i="49"/>
  <c r="L6" i="49"/>
  <c r="L11" i="49"/>
  <c r="M11" i="49"/>
  <c r="L14" i="49"/>
  <c r="M10" i="49"/>
  <c r="M25" i="49"/>
  <c r="M13" i="49"/>
  <c r="M15" i="49"/>
  <c r="M8" i="49"/>
  <c r="M14" i="49"/>
  <c r="M5" i="49"/>
  <c r="M17" i="49"/>
  <c r="P4" i="49"/>
  <c r="L20" i="49"/>
  <c r="M23" i="49"/>
  <c r="M9" i="49"/>
  <c r="L21" i="49"/>
  <c r="L5" i="49"/>
  <c r="L22" i="49"/>
  <c r="L13" i="49"/>
  <c r="M6" i="49"/>
  <c r="L17" i="49"/>
  <c r="M16" i="49"/>
  <c r="L18" i="49"/>
  <c r="L10" i="49"/>
  <c r="O21" i="49"/>
  <c r="N12" i="49"/>
  <c r="M20" i="49"/>
  <c r="M18" i="49"/>
  <c r="N21" i="49"/>
  <c r="P7" i="49"/>
  <c r="N13" i="49"/>
  <c r="O24" i="49"/>
  <c r="O15" i="49"/>
  <c r="P24" i="49"/>
  <c r="N18" i="49"/>
  <c r="N9" i="49"/>
  <c r="N4" i="49"/>
  <c r="M19" i="49"/>
  <c r="M22" i="49"/>
  <c r="N19" i="49"/>
  <c r="N24" i="49"/>
  <c r="N10" i="49"/>
  <c r="N17" i="49"/>
  <c r="N7" i="49"/>
  <c r="N23" i="49"/>
  <c r="N20" i="49"/>
  <c r="N16" i="49"/>
  <c r="N8" i="49"/>
  <c r="M21" i="49"/>
  <c r="N15" i="49"/>
  <c r="N22" i="49"/>
  <c r="N25" i="49"/>
  <c r="N11" i="49"/>
  <c r="N5" i="49"/>
  <c r="O9" i="49"/>
  <c r="O16" i="49"/>
  <c r="N14" i="49"/>
  <c r="N6" i="49"/>
  <c r="O19" i="49"/>
  <c r="P19" i="49"/>
  <c r="P5" i="49"/>
  <c r="O13" i="49"/>
  <c r="P20" i="49"/>
  <c r="P17" i="49"/>
  <c r="O25" i="49"/>
  <c r="P16" i="49"/>
  <c r="P15" i="49"/>
  <c r="O4" i="49"/>
  <c r="O20" i="49"/>
  <c r="O8" i="49"/>
  <c r="O23" i="49"/>
  <c r="O6" i="49"/>
  <c r="O11" i="49"/>
  <c r="P6" i="49"/>
  <c r="P23" i="49"/>
  <c r="O17" i="49"/>
  <c r="O7" i="49"/>
  <c r="O22" i="49"/>
  <c r="O5" i="49"/>
  <c r="P21" i="49"/>
  <c r="P10" i="49"/>
  <c r="O14" i="49"/>
  <c r="O10" i="49"/>
  <c r="P25" i="49"/>
  <c r="P22" i="49"/>
  <c r="O12" i="49"/>
  <c r="P18" i="49"/>
  <c r="P8" i="49"/>
  <c r="P13" i="49"/>
  <c r="P14" i="49"/>
  <c r="P12" i="49"/>
  <c r="O18" i="49"/>
  <c r="P9" i="49"/>
  <c r="C369" i="7"/>
  <c r="AV370" i="38"/>
  <c r="AZ369" i="7"/>
  <c r="AM370" i="38" l="1"/>
  <c r="R369" i="38"/>
  <c r="T369" i="38" s="1"/>
  <c r="U369" i="38" s="1"/>
  <c r="AR370" i="38"/>
  <c r="B368" i="6"/>
  <c r="Z370" i="38"/>
  <c r="Y370" i="38"/>
  <c r="B369" i="7"/>
  <c r="D369" i="7"/>
  <c r="AQ371" i="38"/>
  <c r="A372" i="38"/>
  <c r="A393" i="24"/>
  <c r="A370" i="7"/>
  <c r="AK371" i="38"/>
  <c r="B371" i="38"/>
  <c r="D371" i="38"/>
  <c r="I27" i="49"/>
  <c r="K28" i="49"/>
  <c r="P28" i="49"/>
  <c r="M27" i="49"/>
  <c r="K27" i="49"/>
  <c r="H28" i="49"/>
  <c r="R24" i="49"/>
  <c r="R14" i="49"/>
  <c r="R21" i="49"/>
  <c r="R23" i="49"/>
  <c r="R17" i="49"/>
  <c r="R6" i="49"/>
  <c r="O28" i="49"/>
  <c r="N27" i="49"/>
  <c r="L27" i="49"/>
  <c r="R25" i="49"/>
  <c r="I28" i="49"/>
  <c r="R9" i="49"/>
  <c r="R15" i="49"/>
  <c r="R13" i="49"/>
  <c r="R5" i="49"/>
  <c r="F27" i="49"/>
  <c r="R4" i="49"/>
  <c r="R19" i="49"/>
  <c r="R16" i="49"/>
  <c r="R18" i="49"/>
  <c r="R22" i="49"/>
  <c r="O27" i="49"/>
  <c r="N28" i="49"/>
  <c r="P27" i="49"/>
  <c r="R10" i="49"/>
  <c r="M28" i="49"/>
  <c r="J27" i="49"/>
  <c r="J28" i="49"/>
  <c r="R11" i="49"/>
  <c r="G27" i="49"/>
  <c r="H27" i="49"/>
  <c r="G28" i="49"/>
  <c r="L28" i="49"/>
  <c r="R12" i="49"/>
  <c r="F28" i="49"/>
  <c r="R7" i="49"/>
  <c r="R20" i="49"/>
  <c r="R8" i="49"/>
  <c r="C371" i="38"/>
  <c r="AZ370" i="7"/>
  <c r="AV371" i="38"/>
  <c r="V369" i="38" l="1"/>
  <c r="AD369" i="38"/>
  <c r="AR371" i="38"/>
  <c r="AR372" i="38"/>
  <c r="D372" i="38"/>
  <c r="AQ372" i="38"/>
  <c r="A371" i="7"/>
  <c r="A373" i="38"/>
  <c r="AK372" i="38"/>
  <c r="C372" i="38"/>
  <c r="B372" i="38"/>
  <c r="AI370" i="38"/>
  <c r="AH370" i="38"/>
  <c r="AJ370" i="38"/>
  <c r="AB370" i="38"/>
  <c r="AA370" i="38"/>
  <c r="AT370" i="38" s="1"/>
  <c r="E370" i="38" s="1"/>
  <c r="Y371" i="38"/>
  <c r="Z371" i="38"/>
  <c r="AM371" i="38"/>
  <c r="D370" i="7"/>
  <c r="B370" i="7"/>
  <c r="R28" i="49"/>
  <c r="R27" i="49"/>
  <c r="C370" i="7"/>
  <c r="AZ371" i="7"/>
  <c r="AV372" i="38"/>
  <c r="AD377" i="38" l="1"/>
  <c r="G16" i="24" s="1"/>
  <c r="AL373" i="38"/>
  <c r="D373" i="6" s="1"/>
  <c r="AL370" i="38"/>
  <c r="D370" i="6" s="1"/>
  <c r="AL372" i="38"/>
  <c r="D372" i="6" s="1"/>
  <c r="AL371" i="38"/>
  <c r="D371" i="6" s="1"/>
  <c r="AL369" i="38"/>
  <c r="D369" i="6" s="1"/>
  <c r="AD374" i="38"/>
  <c r="E368" i="7"/>
  <c r="AS369" i="38"/>
  <c r="AG369" i="38"/>
  <c r="AG374" i="38" s="1"/>
  <c r="V374" i="38"/>
  <c r="V377" i="38"/>
  <c r="AH369" i="38"/>
  <c r="AI369" i="38"/>
  <c r="AJ369" i="38"/>
  <c r="AA369" i="38"/>
  <c r="AB369" i="38"/>
  <c r="AA371" i="38"/>
  <c r="AH371" i="38"/>
  <c r="AI371" i="38"/>
  <c r="AJ371" i="38"/>
  <c r="AB371" i="38"/>
  <c r="Y372" i="38"/>
  <c r="Z372" i="38"/>
  <c r="AM372" i="38"/>
  <c r="AK373" i="38"/>
  <c r="B373" i="38"/>
  <c r="A372" i="7"/>
  <c r="D373" i="38"/>
  <c r="C12" i="47" s="1"/>
  <c r="AQ373" i="38"/>
  <c r="AR373" i="38"/>
  <c r="C373" i="38"/>
  <c r="C3" i="38"/>
  <c r="C371" i="7"/>
  <c r="B371" i="7"/>
  <c r="D371" i="7"/>
  <c r="E21" i="23"/>
  <c r="D21" i="23" s="1"/>
  <c r="K32" i="23"/>
  <c r="J32" i="23" s="1"/>
  <c r="M19" i="23"/>
  <c r="L19" i="23" s="1"/>
  <c r="K8" i="23"/>
  <c r="J8" i="23" s="1"/>
  <c r="K26" i="23"/>
  <c r="J26" i="23" s="1"/>
  <c r="K5" i="23"/>
  <c r="J5" i="23" s="1"/>
  <c r="M3" i="23"/>
  <c r="L3" i="23" s="1"/>
  <c r="K15" i="23"/>
  <c r="J15" i="23" s="1"/>
  <c r="M24" i="23"/>
  <c r="L24" i="23" s="1"/>
  <c r="K33" i="23"/>
  <c r="J33" i="23" s="1"/>
  <c r="I22" i="23"/>
  <c r="H22" i="23" s="1"/>
  <c r="M5" i="23"/>
  <c r="L5" i="23" s="1"/>
  <c r="K16" i="23"/>
  <c r="J16" i="23" s="1"/>
  <c r="K6" i="23"/>
  <c r="J6" i="23" s="1"/>
  <c r="E9" i="23"/>
  <c r="D9" i="23" s="1"/>
  <c r="K12" i="23"/>
  <c r="J12" i="23" s="1"/>
  <c r="K3" i="23"/>
  <c r="J3" i="23" s="1"/>
  <c r="K19" i="23"/>
  <c r="J19" i="23" s="1"/>
  <c r="K18" i="23"/>
  <c r="J18" i="23" s="1"/>
  <c r="G26" i="23"/>
  <c r="F26" i="23" s="1"/>
  <c r="I18" i="23"/>
  <c r="H18" i="23" s="1"/>
  <c r="M28" i="23"/>
  <c r="L28" i="23" s="1"/>
  <c r="G22" i="23"/>
  <c r="F22" i="23" s="1"/>
  <c r="O6" i="23"/>
  <c r="N6" i="23" s="1"/>
  <c r="M18" i="23"/>
  <c r="L18" i="23" s="1"/>
  <c r="K4" i="23"/>
  <c r="J4" i="23" s="1"/>
  <c r="E19" i="23"/>
  <c r="D19" i="23" s="1"/>
  <c r="C22" i="23"/>
  <c r="B22" i="23" s="1"/>
  <c r="C19" i="23"/>
  <c r="B19" i="23" s="1"/>
  <c r="G18" i="23"/>
  <c r="F18" i="23" s="1"/>
  <c r="G4" i="23"/>
  <c r="F4" i="23" s="1"/>
  <c r="K31" i="23"/>
  <c r="J31" i="23" s="1"/>
  <c r="E14" i="23"/>
  <c r="D14" i="23" s="1"/>
  <c r="G6" i="23"/>
  <c r="F6" i="23" s="1"/>
  <c r="G13" i="23"/>
  <c r="F13" i="23" s="1"/>
  <c r="M30" i="23"/>
  <c r="L30" i="23" s="1"/>
  <c r="I31" i="23"/>
  <c r="H31" i="23" s="1"/>
  <c r="M15" i="23"/>
  <c r="L15" i="23" s="1"/>
  <c r="I8" i="23"/>
  <c r="H8" i="23" s="1"/>
  <c r="G12" i="23"/>
  <c r="F12" i="23" s="1"/>
  <c r="E8" i="23"/>
  <c r="D8" i="23" s="1"/>
  <c r="O18" i="23"/>
  <c r="N18" i="23" s="1"/>
  <c r="K29" i="23"/>
  <c r="J29" i="23" s="1"/>
  <c r="G21" i="23"/>
  <c r="F21" i="23" s="1"/>
  <c r="O5" i="23"/>
  <c r="N5" i="23" s="1"/>
  <c r="M25" i="23"/>
  <c r="L25" i="23" s="1"/>
  <c r="I5" i="23"/>
  <c r="H5" i="23" s="1"/>
  <c r="M29" i="23"/>
  <c r="L29" i="23" s="1"/>
  <c r="M12" i="23"/>
  <c r="L12" i="23" s="1"/>
  <c r="G20" i="23"/>
  <c r="F20" i="23" s="1"/>
  <c r="I32" i="23"/>
  <c r="H32" i="23" s="1"/>
  <c r="C30" i="23"/>
  <c r="B30" i="23" s="1"/>
  <c r="M7" i="23"/>
  <c r="L7" i="23" s="1"/>
  <c r="K30" i="23"/>
  <c r="J30" i="23" s="1"/>
  <c r="I20" i="23"/>
  <c r="H20" i="23" s="1"/>
  <c r="E16" i="23"/>
  <c r="D16" i="23" s="1"/>
  <c r="C21" i="23"/>
  <c r="B21" i="23" s="1"/>
  <c r="G11" i="23"/>
  <c r="F11" i="23" s="1"/>
  <c r="I16" i="23"/>
  <c r="H16" i="23" s="1"/>
  <c r="E24" i="23"/>
  <c r="D24" i="23" s="1"/>
  <c r="C17" i="23"/>
  <c r="B17" i="23" s="1"/>
  <c r="O4" i="23"/>
  <c r="N4" i="23" s="1"/>
  <c r="O7" i="23"/>
  <c r="N7" i="23" s="1"/>
  <c r="E5" i="23"/>
  <c r="D5" i="23" s="1"/>
  <c r="C18" i="23"/>
  <c r="B18" i="23" s="1"/>
  <c r="G31" i="23"/>
  <c r="F31" i="23" s="1"/>
  <c r="I21" i="23"/>
  <c r="H21" i="23" s="1"/>
  <c r="K9" i="23"/>
  <c r="J9" i="23" s="1"/>
  <c r="M22" i="23"/>
  <c r="L22" i="23" s="1"/>
  <c r="M14" i="23"/>
  <c r="L14" i="23" s="1"/>
  <c r="M23" i="23"/>
  <c r="L23" i="23" s="1"/>
  <c r="K11" i="23"/>
  <c r="J11" i="23" s="1"/>
  <c r="I7" i="23"/>
  <c r="H7" i="23" s="1"/>
  <c r="I11" i="23"/>
  <c r="H11" i="23" s="1"/>
  <c r="K21" i="23"/>
  <c r="J21" i="23" s="1"/>
  <c r="K10" i="23"/>
  <c r="J10" i="23" s="1"/>
  <c r="I10" i="23"/>
  <c r="H10" i="23" s="1"/>
  <c r="E23" i="23"/>
  <c r="D23" i="23" s="1"/>
  <c r="E18" i="23"/>
  <c r="D18" i="23" s="1"/>
  <c r="I29" i="23"/>
  <c r="H29" i="23" s="1"/>
  <c r="K24" i="23"/>
  <c r="J24" i="23" s="1"/>
  <c r="O10" i="23"/>
  <c r="N10" i="23" s="1"/>
  <c r="E6" i="23"/>
  <c r="D6" i="23" s="1"/>
  <c r="E4" i="23"/>
  <c r="D4" i="23" s="1"/>
  <c r="K13" i="23"/>
  <c r="J13" i="23" s="1"/>
  <c r="G9" i="23"/>
  <c r="F9" i="23" s="1"/>
  <c r="M4" i="23"/>
  <c r="L4" i="23" s="1"/>
  <c r="I19" i="23"/>
  <c r="H19" i="23" s="1"/>
  <c r="O23" i="23"/>
  <c r="N23" i="23" s="1"/>
  <c r="G7" i="23"/>
  <c r="F7" i="23" s="1"/>
  <c r="G29" i="23"/>
  <c r="F29" i="23" s="1"/>
  <c r="G19" i="23"/>
  <c r="F19" i="23" s="1"/>
  <c r="K23" i="23"/>
  <c r="J23" i="23" s="1"/>
  <c r="G14" i="23"/>
  <c r="F14" i="23" s="1"/>
  <c r="G3" i="23"/>
  <c r="F3" i="23" s="1"/>
  <c r="O28" i="23"/>
  <c r="N28" i="23" s="1"/>
  <c r="K7" i="23"/>
  <c r="J7" i="23" s="1"/>
  <c r="O15" i="23"/>
  <c r="N15" i="23" s="1"/>
  <c r="K22" i="23"/>
  <c r="J22" i="23" s="1"/>
  <c r="M16" i="23"/>
  <c r="L16" i="23" s="1"/>
  <c r="K20" i="23"/>
  <c r="J20" i="23" s="1"/>
  <c r="O33" i="23"/>
  <c r="N33" i="23" s="1"/>
  <c r="K28" i="23"/>
  <c r="J28" i="23" s="1"/>
  <c r="O32" i="23"/>
  <c r="N32" i="23" s="1"/>
  <c r="C29" i="23"/>
  <c r="B29" i="23" s="1"/>
  <c r="O27" i="23"/>
  <c r="N27" i="23" s="1"/>
  <c r="M8" i="23"/>
  <c r="L8" i="23" s="1"/>
  <c r="M13" i="23"/>
  <c r="L13" i="23" s="1"/>
  <c r="G30" i="23"/>
  <c r="F30" i="23" s="1"/>
  <c r="M10" i="23"/>
  <c r="L10" i="23" s="1"/>
  <c r="U17" i="23"/>
  <c r="T17" i="23" s="1"/>
  <c r="C23" i="23"/>
  <c r="B23" i="23" s="1"/>
  <c r="I17" i="23"/>
  <c r="H17" i="23" s="1"/>
  <c r="I14" i="23"/>
  <c r="H14" i="23" s="1"/>
  <c r="G27" i="23"/>
  <c r="F27" i="23" s="1"/>
  <c r="G16" i="23"/>
  <c r="F16" i="23" s="1"/>
  <c r="O3" i="23"/>
  <c r="N3" i="23" s="1"/>
  <c r="Q3" i="23"/>
  <c r="P3" i="23" s="1"/>
  <c r="C33" i="23"/>
  <c r="B33" i="23" s="1"/>
  <c r="K14" i="23"/>
  <c r="J14" i="23" s="1"/>
  <c r="G15" i="23"/>
  <c r="F15" i="23" s="1"/>
  <c r="M17" i="23"/>
  <c r="L17" i="23" s="1"/>
  <c r="M21" i="23"/>
  <c r="L21" i="23" s="1"/>
  <c r="O14" i="23"/>
  <c r="N14" i="23" s="1"/>
  <c r="G17" i="23"/>
  <c r="F17" i="23" s="1"/>
  <c r="E29" i="23"/>
  <c r="D29" i="23" s="1"/>
  <c r="E11" i="23"/>
  <c r="D11" i="23" s="1"/>
  <c r="E15" i="23"/>
  <c r="D15" i="23" s="1"/>
  <c r="C32" i="23"/>
  <c r="B32" i="23" s="1"/>
  <c r="O16" i="23"/>
  <c r="N16" i="23" s="1"/>
  <c r="M11" i="23"/>
  <c r="L11" i="23" s="1"/>
  <c r="O8" i="23"/>
  <c r="N8" i="23" s="1"/>
  <c r="G10" i="23"/>
  <c r="F10" i="23" s="1"/>
  <c r="I24" i="23"/>
  <c r="H24" i="23" s="1"/>
  <c r="O30" i="23"/>
  <c r="N30" i="23" s="1"/>
  <c r="G5" i="23"/>
  <c r="F5" i="23" s="1"/>
  <c r="Q5" i="23"/>
  <c r="P5" i="23" s="1"/>
  <c r="I9" i="23"/>
  <c r="H9" i="23" s="1"/>
  <c r="E27" i="23"/>
  <c r="D27" i="23" s="1"/>
  <c r="G24" i="23"/>
  <c r="F24" i="23" s="1"/>
  <c r="M32" i="23"/>
  <c r="L32" i="23" s="1"/>
  <c r="I30" i="23"/>
  <c r="H30" i="23" s="1"/>
  <c r="I28" i="23"/>
  <c r="H28" i="23" s="1"/>
  <c r="O26" i="23"/>
  <c r="N26" i="23" s="1"/>
  <c r="Q14" i="23"/>
  <c r="P14" i="23" s="1"/>
  <c r="U8" i="23"/>
  <c r="T8" i="23" s="1"/>
  <c r="Y19" i="23"/>
  <c r="X19" i="23" s="1"/>
  <c r="Q26" i="23"/>
  <c r="P26" i="23" s="1"/>
  <c r="M9" i="23"/>
  <c r="L9" i="23" s="1"/>
  <c r="Q6" i="23"/>
  <c r="P6" i="23" s="1"/>
  <c r="O24" i="23"/>
  <c r="N24" i="23" s="1"/>
  <c r="C25" i="23"/>
  <c r="B25" i="23" s="1"/>
  <c r="O9" i="23"/>
  <c r="N9" i="23" s="1"/>
  <c r="I6" i="23"/>
  <c r="H6" i="23" s="1"/>
  <c r="Q23" i="23"/>
  <c r="P23" i="23" s="1"/>
  <c r="G33" i="23"/>
  <c r="F33" i="23" s="1"/>
  <c r="M31" i="23"/>
  <c r="L31" i="23" s="1"/>
  <c r="Q33" i="23"/>
  <c r="P33" i="23" s="1"/>
  <c r="E13" i="23"/>
  <c r="D13" i="23" s="1"/>
  <c r="C26" i="23"/>
  <c r="B26" i="23" s="1"/>
  <c r="U31" i="23"/>
  <c r="T31" i="23" s="1"/>
  <c r="E7" i="23"/>
  <c r="D7" i="23" s="1"/>
  <c r="Q22" i="23"/>
  <c r="P22" i="23" s="1"/>
  <c r="M20" i="23"/>
  <c r="L20" i="23" s="1"/>
  <c r="Q10" i="23"/>
  <c r="P10" i="23" s="1"/>
  <c r="C24" i="23"/>
  <c r="B24" i="23" s="1"/>
  <c r="Q19" i="23"/>
  <c r="P19" i="23" s="1"/>
  <c r="O25" i="23"/>
  <c r="N25" i="23" s="1"/>
  <c r="K27" i="23"/>
  <c r="J27" i="23" s="1"/>
  <c r="O11" i="23"/>
  <c r="N11" i="23" s="1"/>
  <c r="Q8" i="23"/>
  <c r="P8" i="23" s="1"/>
  <c r="Q4" i="23"/>
  <c r="P4" i="23" s="1"/>
  <c r="G28" i="23"/>
  <c r="F28" i="23" s="1"/>
  <c r="O22" i="23"/>
  <c r="N22" i="23" s="1"/>
  <c r="O20" i="23"/>
  <c r="N20" i="23" s="1"/>
  <c r="O29" i="23"/>
  <c r="N29" i="23" s="1"/>
  <c r="Q29" i="23"/>
  <c r="P29" i="23" s="1"/>
  <c r="C27" i="23"/>
  <c r="B27" i="23" s="1"/>
  <c r="E17" i="23"/>
  <c r="D17" i="23" s="1"/>
  <c r="E26" i="23"/>
  <c r="D26" i="23" s="1"/>
  <c r="I4" i="23"/>
  <c r="H4" i="23" s="1"/>
  <c r="E25" i="23"/>
  <c r="D25" i="23" s="1"/>
  <c r="O19" i="23"/>
  <c r="N19" i="23" s="1"/>
  <c r="E3" i="23"/>
  <c r="D3" i="23" s="1"/>
  <c r="O17" i="23"/>
  <c r="N17" i="23" s="1"/>
  <c r="Q31" i="23"/>
  <c r="P31" i="23" s="1"/>
  <c r="Q32" i="23"/>
  <c r="P32" i="23" s="1"/>
  <c r="O13" i="23"/>
  <c r="N13" i="23" s="1"/>
  <c r="K17" i="23"/>
  <c r="J17" i="23" s="1"/>
  <c r="G23" i="23"/>
  <c r="F23" i="23" s="1"/>
  <c r="G8" i="23"/>
  <c r="F8" i="23" s="1"/>
  <c r="Q30" i="23"/>
  <c r="P30" i="23" s="1"/>
  <c r="M27" i="23"/>
  <c r="L27" i="23" s="1"/>
  <c r="Q12" i="23"/>
  <c r="P12" i="23" s="1"/>
  <c r="O21" i="23"/>
  <c r="N21" i="23" s="1"/>
  <c r="C20" i="23"/>
  <c r="B20" i="23" s="1"/>
  <c r="I25" i="23"/>
  <c r="H25" i="23" s="1"/>
  <c r="I3" i="23"/>
  <c r="H3" i="23" s="1"/>
  <c r="O12" i="23"/>
  <c r="N12" i="23" s="1"/>
  <c r="Q9" i="23"/>
  <c r="P9" i="23" s="1"/>
  <c r="E20" i="23"/>
  <c r="D20" i="23" s="1"/>
  <c r="Q16" i="23"/>
  <c r="P16" i="23" s="1"/>
  <c r="Q27" i="23"/>
  <c r="P27" i="23" s="1"/>
  <c r="M26" i="23"/>
  <c r="L26" i="23" s="1"/>
  <c r="C28" i="23"/>
  <c r="B28" i="23" s="1"/>
  <c r="I26" i="23"/>
  <c r="H26" i="23" s="1"/>
  <c r="Q7" i="23"/>
  <c r="P7" i="23" s="1"/>
  <c r="O31" i="23"/>
  <c r="N31" i="23" s="1"/>
  <c r="I12" i="23"/>
  <c r="H12" i="23" s="1"/>
  <c r="I15" i="23"/>
  <c r="H15" i="23" s="1"/>
  <c r="Q11" i="23"/>
  <c r="P11" i="23" s="1"/>
  <c r="C31" i="23"/>
  <c r="B31" i="23" s="1"/>
  <c r="Q21" i="23"/>
  <c r="P21" i="23" s="1"/>
  <c r="Q28" i="23"/>
  <c r="P28" i="23" s="1"/>
  <c r="U18" i="23"/>
  <c r="T18" i="23" s="1"/>
  <c r="I23" i="23"/>
  <c r="H23" i="23" s="1"/>
  <c r="S25" i="23"/>
  <c r="R25" i="23" s="1"/>
  <c r="U33" i="23"/>
  <c r="T33" i="23" s="1"/>
  <c r="Q17" i="23"/>
  <c r="P17" i="23" s="1"/>
  <c r="U30" i="23"/>
  <c r="T30" i="23" s="1"/>
  <c r="S28" i="23"/>
  <c r="R28" i="23" s="1"/>
  <c r="Q15" i="23"/>
  <c r="P15" i="23" s="1"/>
  <c r="G32" i="23"/>
  <c r="F32" i="23" s="1"/>
  <c r="Q18" i="23"/>
  <c r="P18" i="23" s="1"/>
  <c r="Q24" i="23"/>
  <c r="P24" i="23" s="1"/>
  <c r="S14" i="23"/>
  <c r="R14" i="23" s="1"/>
  <c r="S26" i="23"/>
  <c r="R26" i="23" s="1"/>
  <c r="S8" i="23"/>
  <c r="R8" i="23" s="1"/>
  <c r="U16" i="23"/>
  <c r="T16" i="23" s="1"/>
  <c r="S15" i="23"/>
  <c r="R15" i="23" s="1"/>
  <c r="S12" i="23"/>
  <c r="R12" i="23" s="1"/>
  <c r="W32" i="23"/>
  <c r="V32" i="23" s="1"/>
  <c r="U15" i="23"/>
  <c r="T15" i="23" s="1"/>
  <c r="W26" i="23"/>
  <c r="V26" i="23" s="1"/>
  <c r="S21" i="23"/>
  <c r="R21" i="23" s="1"/>
  <c r="S10" i="23"/>
  <c r="R10" i="23" s="1"/>
  <c r="S7" i="23"/>
  <c r="R7" i="23" s="1"/>
  <c r="S30" i="23"/>
  <c r="R30" i="23" s="1"/>
  <c r="S22" i="23"/>
  <c r="R22" i="23" s="1"/>
  <c r="U6" i="23"/>
  <c r="T6" i="23" s="1"/>
  <c r="S16" i="23"/>
  <c r="R16" i="23" s="1"/>
  <c r="U22" i="23"/>
  <c r="T22" i="23" s="1"/>
  <c r="S5" i="23"/>
  <c r="R5" i="23" s="1"/>
  <c r="S4" i="23"/>
  <c r="R4" i="23" s="1"/>
  <c r="W16" i="23"/>
  <c r="V16" i="23" s="1"/>
  <c r="W8" i="23"/>
  <c r="V8" i="23" s="1"/>
  <c r="U23" i="23"/>
  <c r="T23" i="23" s="1"/>
  <c r="U4" i="23"/>
  <c r="T4" i="23" s="1"/>
  <c r="U24" i="23"/>
  <c r="T24" i="23" s="1"/>
  <c r="S20" i="23"/>
  <c r="R20" i="23" s="1"/>
  <c r="Y3" i="23"/>
  <c r="X3" i="23" s="1"/>
  <c r="S17" i="23"/>
  <c r="R17" i="23" s="1"/>
  <c r="S29" i="23"/>
  <c r="R29" i="23" s="1"/>
  <c r="S32" i="23"/>
  <c r="R32" i="23" s="1"/>
  <c r="U26" i="23"/>
  <c r="T26" i="23" s="1"/>
  <c r="U25" i="23"/>
  <c r="T25" i="23" s="1"/>
  <c r="S3" i="23"/>
  <c r="R3" i="23" s="1"/>
  <c r="W23" i="23"/>
  <c r="V23" i="23" s="1"/>
  <c r="S18" i="23"/>
  <c r="R18" i="23" s="1"/>
  <c r="S13" i="23"/>
  <c r="R13" i="23" s="1"/>
  <c r="U27" i="23"/>
  <c r="T27" i="23" s="1"/>
  <c r="S27" i="23"/>
  <c r="R27" i="23" s="1"/>
  <c r="U21" i="23"/>
  <c r="T21" i="23" s="1"/>
  <c r="S31" i="23"/>
  <c r="R31" i="23" s="1"/>
  <c r="S19" i="23"/>
  <c r="R19" i="23" s="1"/>
  <c r="S24" i="23"/>
  <c r="R24" i="23" s="1"/>
  <c r="S9" i="23"/>
  <c r="R9" i="23" s="1"/>
  <c r="U13" i="23"/>
  <c r="T13" i="23" s="1"/>
  <c r="S11" i="23"/>
  <c r="R11" i="23" s="1"/>
  <c r="S6" i="23"/>
  <c r="R6" i="23" s="1"/>
  <c r="S23" i="23"/>
  <c r="R23" i="23" s="1"/>
  <c r="Y8" i="23"/>
  <c r="X8" i="23" s="1"/>
  <c r="W5" i="23"/>
  <c r="V5" i="23" s="1"/>
  <c r="U19" i="23"/>
  <c r="T19" i="23" s="1"/>
  <c r="Y12" i="23"/>
  <c r="X12" i="23" s="1"/>
  <c r="Y9" i="23"/>
  <c r="X9" i="23" s="1"/>
  <c r="U12" i="23"/>
  <c r="T12" i="23" s="1"/>
  <c r="U3" i="23"/>
  <c r="T3" i="23" s="1"/>
  <c r="U11" i="23"/>
  <c r="T11" i="23" s="1"/>
  <c r="U10" i="23"/>
  <c r="T10" i="23" s="1"/>
  <c r="U29" i="23"/>
  <c r="T29" i="23" s="1"/>
  <c r="Y5" i="23"/>
  <c r="X5" i="23" s="1"/>
  <c r="W12" i="23"/>
  <c r="V12" i="23" s="1"/>
  <c r="U14" i="23"/>
  <c r="T14" i="23" s="1"/>
  <c r="W11" i="23"/>
  <c r="V11" i="23" s="1"/>
  <c r="U28" i="23"/>
  <c r="T28" i="23" s="1"/>
  <c r="W13" i="23"/>
  <c r="V13" i="23" s="1"/>
  <c r="Y24" i="23"/>
  <c r="X24" i="23" s="1"/>
  <c r="Y7" i="23"/>
  <c r="X7" i="23" s="1"/>
  <c r="Y15" i="23"/>
  <c r="X15" i="23" s="1"/>
  <c r="W29" i="23"/>
  <c r="V29" i="23" s="1"/>
  <c r="Y10" i="23"/>
  <c r="X10" i="23" s="1"/>
  <c r="Y25" i="23"/>
  <c r="X25" i="23" s="1"/>
  <c r="Y16" i="23"/>
  <c r="X16" i="23" s="1"/>
  <c r="W20" i="23"/>
  <c r="V20" i="23" s="1"/>
  <c r="W25" i="23"/>
  <c r="V25" i="23" s="1"/>
  <c r="Y18" i="23"/>
  <c r="X18" i="23" s="1"/>
  <c r="Y11" i="23"/>
  <c r="X11" i="23" s="1"/>
  <c r="Y4" i="23"/>
  <c r="X4" i="23" s="1"/>
  <c r="W27" i="23"/>
  <c r="V27" i="23" s="1"/>
  <c r="Y30" i="23"/>
  <c r="X30" i="23" s="1"/>
  <c r="Y26" i="23"/>
  <c r="X26" i="23" s="1"/>
  <c r="W30" i="23"/>
  <c r="V30" i="23" s="1"/>
  <c r="W3" i="23"/>
  <c r="V3" i="23" s="1"/>
  <c r="W31" i="23"/>
  <c r="V31" i="23" s="1"/>
  <c r="Y20" i="23"/>
  <c r="X20" i="23" s="1"/>
  <c r="Y17" i="23"/>
  <c r="X17" i="23" s="1"/>
  <c r="Y13" i="23"/>
  <c r="X13" i="23" s="1"/>
  <c r="W19" i="23"/>
  <c r="V19" i="23" s="1"/>
  <c r="U9" i="23"/>
  <c r="T9" i="23" s="1"/>
  <c r="U20" i="23"/>
  <c r="T20" i="23" s="1"/>
  <c r="W10" i="23"/>
  <c r="V10" i="23" s="1"/>
  <c r="W15" i="23"/>
  <c r="V15" i="23" s="1"/>
  <c r="Y28" i="23"/>
  <c r="X28" i="23" s="1"/>
  <c r="Y23" i="23"/>
  <c r="X23" i="23" s="1"/>
  <c r="W9" i="23"/>
  <c r="V9" i="23" s="1"/>
  <c r="Y6" i="23"/>
  <c r="X6" i="23" s="1"/>
  <c r="W14" i="23"/>
  <c r="V14" i="23" s="1"/>
  <c r="W28" i="23"/>
  <c r="V28" i="23" s="1"/>
  <c r="Y29" i="23"/>
  <c r="X29" i="23" s="1"/>
  <c r="W6" i="23"/>
  <c r="V6" i="23" s="1"/>
  <c r="W24" i="23"/>
  <c r="V24" i="23" s="1"/>
  <c r="U5" i="23"/>
  <c r="T5" i="23" s="1"/>
  <c r="Y27" i="23"/>
  <c r="X27" i="23" s="1"/>
  <c r="Y21" i="23"/>
  <c r="X21" i="23" s="1"/>
  <c r="Y22" i="23"/>
  <c r="X22" i="23" s="1"/>
  <c r="Y14" i="23"/>
  <c r="X14" i="23" s="1"/>
  <c r="W22" i="23"/>
  <c r="V22" i="23" s="1"/>
  <c r="U7" i="23"/>
  <c r="T7" i="23" s="1"/>
  <c r="W18" i="23"/>
  <c r="V18" i="23" s="1"/>
  <c r="W7" i="23"/>
  <c r="V7" i="23" s="1"/>
  <c r="W21" i="23"/>
  <c r="V21" i="23" s="1"/>
  <c r="W17" i="23"/>
  <c r="V17" i="23" s="1"/>
  <c r="W4" i="23"/>
  <c r="V4" i="23" s="1"/>
  <c r="AV373" i="38"/>
  <c r="AZ372" i="7"/>
  <c r="AE369" i="38" l="1"/>
  <c r="AT369" i="38"/>
  <c r="Y32" i="23" s="1"/>
  <c r="X32" i="23" s="1"/>
  <c r="B369" i="6"/>
  <c r="B370" i="6" s="1"/>
  <c r="B371" i="6" s="1"/>
  <c r="A382" i="38"/>
  <c r="G18" i="24" s="1"/>
  <c r="G10" i="24"/>
  <c r="F368" i="7"/>
  <c r="F374" i="7" s="1"/>
  <c r="E374" i="7"/>
  <c r="C6" i="47"/>
  <c r="B6" i="47" s="1"/>
  <c r="Z373" i="38"/>
  <c r="Y373" i="38"/>
  <c r="V378" i="38" s="1"/>
  <c r="A383" i="38"/>
  <c r="A385" i="38"/>
  <c r="A384" i="38"/>
  <c r="B372" i="7"/>
  <c r="D372" i="7"/>
  <c r="C372" i="7"/>
  <c r="AA372" i="38"/>
  <c r="AT372" i="38" s="1"/>
  <c r="E372" i="38" s="1"/>
  <c r="AI372" i="38"/>
  <c r="AJ372" i="38"/>
  <c r="AH372" i="38"/>
  <c r="AB372" i="38"/>
  <c r="B12" i="47"/>
  <c r="G14" i="24"/>
  <c r="D1" i="7"/>
  <c r="C3" i="47"/>
  <c r="AM373" i="38"/>
  <c r="K14" i="47"/>
  <c r="K16" i="47"/>
  <c r="N16" i="47"/>
  <c r="C15" i="47"/>
  <c r="F13" i="47"/>
  <c r="F10" i="47"/>
  <c r="K12" i="47"/>
  <c r="C8" i="47"/>
  <c r="F16" i="47"/>
  <c r="O12" i="47"/>
  <c r="N11" i="47"/>
  <c r="N9" i="47"/>
  <c r="E8" i="47"/>
  <c r="D8" i="47" s="1"/>
  <c r="J9" i="47"/>
  <c r="O14" i="47"/>
  <c r="F15" i="47"/>
  <c r="O10" i="47"/>
  <c r="K17" i="47"/>
  <c r="K8" i="47"/>
  <c r="F7" i="47"/>
  <c r="E17" i="47"/>
  <c r="D17" i="47" s="1"/>
  <c r="K13" i="47"/>
  <c r="O6" i="47"/>
  <c r="E6" i="47"/>
  <c r="O9" i="47"/>
  <c r="O8" i="47"/>
  <c r="N6" i="47"/>
  <c r="C7" i="47"/>
  <c r="E10" i="47"/>
  <c r="D10" i="47" s="1"/>
  <c r="E13" i="47"/>
  <c r="D13" i="47" s="1"/>
  <c r="J8" i="47"/>
  <c r="E12" i="47"/>
  <c r="D12" i="47" s="1"/>
  <c r="J11" i="47"/>
  <c r="O13" i="47"/>
  <c r="E11" i="47"/>
  <c r="D11" i="47" s="1"/>
  <c r="K10" i="47"/>
  <c r="J16" i="47"/>
  <c r="C16" i="47"/>
  <c r="E7" i="47"/>
  <c r="D7" i="47" s="1"/>
  <c r="A41" i="48"/>
  <c r="K6" i="47"/>
  <c r="J7" i="47"/>
  <c r="N17" i="47"/>
  <c r="F9" i="47"/>
  <c r="C11" i="47"/>
  <c r="F6" i="47"/>
  <c r="J15" i="47"/>
  <c r="N8" i="47"/>
  <c r="J17" i="47"/>
  <c r="C17" i="47"/>
  <c r="F17" i="47"/>
  <c r="J42" i="48"/>
  <c r="J43" i="48" s="1"/>
  <c r="K11" i="47"/>
  <c r="C9" i="47"/>
  <c r="J12" i="47"/>
  <c r="F12" i="47"/>
  <c r="K15" i="47"/>
  <c r="J13" i="47"/>
  <c r="C10" i="47"/>
  <c r="N7" i="47"/>
  <c r="N10" i="47"/>
  <c r="J40" i="48"/>
  <c r="J41" i="48" s="1"/>
  <c r="F8" i="47"/>
  <c r="F14" i="47"/>
  <c r="O17" i="47"/>
  <c r="E15" i="47"/>
  <c r="D15" i="47" s="1"/>
  <c r="N15" i="47"/>
  <c r="O7" i="47"/>
  <c r="J6" i="47"/>
  <c r="E16" i="47"/>
  <c r="D16" i="47" s="1"/>
  <c r="E14" i="47"/>
  <c r="D14" i="47" s="1"/>
  <c r="K9" i="47"/>
  <c r="O11" i="47"/>
  <c r="N12" i="47"/>
  <c r="E9" i="47"/>
  <c r="D9" i="47" s="1"/>
  <c r="F11" i="47"/>
  <c r="N13" i="47"/>
  <c r="K7" i="47"/>
  <c r="J14" i="47"/>
  <c r="O15" i="47"/>
  <c r="O16" i="47"/>
  <c r="C14" i="47"/>
  <c r="J10" i="47"/>
  <c r="C13" i="47"/>
  <c r="N14" i="47"/>
  <c r="AT371" i="38"/>
  <c r="E369" i="38" l="1"/>
  <c r="Y31" i="23"/>
  <c r="X31" i="23" s="1"/>
  <c r="E371" i="38"/>
  <c r="Y33" i="23"/>
  <c r="X33" i="23" s="1"/>
  <c r="B372" i="6"/>
  <c r="B13" i="47"/>
  <c r="G13" i="47"/>
  <c r="I11" i="47"/>
  <c r="L11" i="47"/>
  <c r="H11" i="47"/>
  <c r="L14" i="47"/>
  <c r="H14" i="47"/>
  <c r="I14" i="47"/>
  <c r="H9" i="47"/>
  <c r="I9" i="47"/>
  <c r="L9" i="47"/>
  <c r="B7" i="47"/>
  <c r="G7" i="47"/>
  <c r="M21" i="47"/>
  <c r="D6" i="47"/>
  <c r="D18" i="47" s="1"/>
  <c r="E18" i="47"/>
  <c r="H7" i="47"/>
  <c r="I7" i="47"/>
  <c r="L7" i="47"/>
  <c r="H15" i="47"/>
  <c r="L15" i="47"/>
  <c r="I15" i="47"/>
  <c r="B8" i="47"/>
  <c r="G8" i="47"/>
  <c r="B15" i="47"/>
  <c r="G15" i="47"/>
  <c r="G11" i="24"/>
  <c r="V380" i="38"/>
  <c r="M22" i="47"/>
  <c r="I8" i="47"/>
  <c r="H8" i="47"/>
  <c r="L8" i="47"/>
  <c r="G10" i="47"/>
  <c r="B10" i="47"/>
  <c r="L17" i="47"/>
  <c r="I17" i="47"/>
  <c r="H17" i="47"/>
  <c r="M25" i="47"/>
  <c r="N18" i="47"/>
  <c r="M26" i="47"/>
  <c r="M27" i="47" s="1"/>
  <c r="O18" i="47"/>
  <c r="G12" i="47"/>
  <c r="C18" i="47"/>
  <c r="H12" i="47"/>
  <c r="I12" i="47"/>
  <c r="L12" i="47"/>
  <c r="G14" i="47"/>
  <c r="B14" i="47"/>
  <c r="M41" i="48"/>
  <c r="K41" i="48"/>
  <c r="G9" i="47"/>
  <c r="B9" i="47"/>
  <c r="B17" i="47"/>
  <c r="G17" i="47"/>
  <c r="M6" i="47"/>
  <c r="M7" i="47" s="1"/>
  <c r="M8" i="47" s="1"/>
  <c r="M9" i="47" s="1"/>
  <c r="M10" i="47" s="1"/>
  <c r="M11" i="47" s="1"/>
  <c r="M12" i="47" s="1"/>
  <c r="M13" i="47" s="1"/>
  <c r="M14" i="47" s="1"/>
  <c r="M15" i="47" s="1"/>
  <c r="M16" i="47" s="1"/>
  <c r="M17" i="47" s="1"/>
  <c r="I6" i="47"/>
  <c r="H6" i="47"/>
  <c r="F18" i="47"/>
  <c r="L6" i="47"/>
  <c r="G16" i="47"/>
  <c r="B16" i="47"/>
  <c r="I10" i="47"/>
  <c r="L10" i="47"/>
  <c r="H10" i="47"/>
  <c r="G6" i="47"/>
  <c r="AH373" i="38"/>
  <c r="AB373" i="38"/>
  <c r="AA373" i="38"/>
  <c r="AI373" i="38"/>
  <c r="AJ373" i="38"/>
  <c r="Y374" i="38"/>
  <c r="O23" i="47"/>
  <c r="J18" i="47"/>
  <c r="G11" i="47"/>
  <c r="B11" i="47"/>
  <c r="K18" i="47"/>
  <c r="M23" i="47"/>
  <c r="H16" i="47"/>
  <c r="I16" i="47"/>
  <c r="L16" i="47"/>
  <c r="H13" i="47"/>
  <c r="L13" i="47"/>
  <c r="I13" i="47"/>
  <c r="B373" i="6" l="1"/>
  <c r="A26" i="47"/>
  <c r="A27" i="47" s="1"/>
  <c r="B18" i="47"/>
  <c r="M18" i="47"/>
  <c r="H18" i="47"/>
  <c r="G18" i="47"/>
  <c r="AT373" i="38"/>
  <c r="AA377" i="38"/>
  <c r="AA374" i="38"/>
  <c r="I18" i="47"/>
  <c r="M24" i="47"/>
  <c r="O22" i="47"/>
  <c r="L18" i="47"/>
  <c r="G7" i="24"/>
  <c r="Y380" i="38"/>
  <c r="W380" i="38"/>
  <c r="E373" i="38" l="1"/>
  <c r="E31" i="23"/>
  <c r="D31" i="23" s="1"/>
  <c r="H7" i="24"/>
  <c r="H11" i="24"/>
  <c r="N24" i="47"/>
  <c r="O24" i="47"/>
  <c r="V5" i="38"/>
  <c r="AH5" i="38" s="1"/>
  <c r="AD5" i="38"/>
  <c r="AI5" i="38" l="1"/>
  <c r="AB5" i="38"/>
  <c r="AJ5"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Alfred Huber</author>
    <author>Huber Alfred</author>
    <author xml:space="preserve"> </author>
  </authors>
  <commentList>
    <comment ref="R4" authorId="0"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0" shapeId="0" xr:uid="{03C7D4A3-30BB-46D9-A2C4-A7A870B6606D}">
      <text>
        <r>
          <rPr>
            <b/>
            <sz val="9"/>
            <color indexed="81"/>
            <rFont val="Segoe UI"/>
            <family val="2"/>
          </rPr>
          <t>Abwesend:</t>
        </r>
        <r>
          <rPr>
            <sz val="9"/>
            <color indexed="81"/>
            <rFont val="Segoe UI"/>
            <family val="2"/>
          </rPr>
          <t xml:space="preserve">
Summe der Zeiten zwischen Gehen1-Kommen2 und Gehen2-Kommen3</t>
        </r>
      </text>
    </comment>
    <comment ref="T4" authorId="0" shapeId="0" xr:uid="{00000000-0006-0000-0400-000002000000}">
      <text>
        <r>
          <rPr>
            <b/>
            <sz val="8"/>
            <color indexed="81"/>
            <rFont val="Tahoma"/>
            <family val="2"/>
          </rPr>
          <t xml:space="preserve">Abzug auto:: 
</t>
        </r>
        <r>
          <rPr>
            <sz val="8"/>
            <color indexed="81"/>
            <rFont val="Tahoma"/>
            <family val="2"/>
          </rPr>
          <t>Pause 1 &amp; 2 nach Einstellungen.</t>
        </r>
      </text>
    </comment>
    <comment ref="U4" authorId="0" shapeId="0" xr:uid="{00000000-0006-0000-0400-000003000000}">
      <text>
        <r>
          <rPr>
            <b/>
            <sz val="8"/>
            <color indexed="81"/>
            <rFont val="Tahoma"/>
            <family val="2"/>
          </rPr>
          <t>Abzug Ber</t>
        </r>
        <r>
          <rPr>
            <sz val="8"/>
            <color indexed="81"/>
            <rFont val="Tahoma"/>
            <family val="2"/>
          </rPr>
          <t>echnet</t>
        </r>
        <r>
          <rPr>
            <b/>
            <sz val="8"/>
            <color indexed="81"/>
            <rFont val="Tahoma"/>
            <family val="2"/>
          </rPr>
          <t xml:space="preserve">: </t>
        </r>
        <r>
          <rPr>
            <sz val="8"/>
            <color indexed="81"/>
            <rFont val="Tahoma"/>
            <family val="2"/>
          </rPr>
          <t xml:space="preserve">
Kein Abzug wenn die Abwesenheit größer als der Abzug auto.
Ansonsten wird die Pause 1&amp;2 Einstellung angezogen.
Falls anders gewünscht -&gt; einfach manuell korrigieren.
</t>
        </r>
      </text>
    </comment>
    <comment ref="W4" authorId="1"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X4" authorId="0"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2" shapeId="0" xr:uid="{00000000-0006-0000-0400-000006000000}">
      <text>
        <r>
          <rPr>
            <b/>
            <sz val="8"/>
            <color indexed="81"/>
            <rFont val="Tahoma"/>
            <family val="2"/>
          </rPr>
          <t>V_SOLL :</t>
        </r>
        <r>
          <rPr>
            <sz val="8"/>
            <color indexed="81"/>
            <rFont val="Tahoma"/>
            <family val="2"/>
          </rPr>
          <t xml:space="preserve">
SOLL Vorgabe</t>
        </r>
      </text>
    </comment>
    <comment ref="AE4" authorId="2" shapeId="0" xr:uid="{00000000-0006-0000-0400-000007000000}">
      <text>
        <r>
          <rPr>
            <b/>
            <sz val="8"/>
            <color indexed="81"/>
            <rFont val="Tahoma"/>
            <family val="2"/>
          </rPr>
          <t xml:space="preserve"> SaldoGes:
ohne &gt;10Std</t>
        </r>
        <r>
          <rPr>
            <sz val="8"/>
            <color indexed="81"/>
            <rFont val="Tahoma"/>
            <family val="2"/>
          </rPr>
          <t xml:space="preserve">
</t>
        </r>
      </text>
    </comment>
    <comment ref="AF4" authorId="2" shapeId="0" xr:uid="{00000000-0006-0000-0400-000008000000}">
      <text>
        <r>
          <rPr>
            <b/>
            <sz val="8"/>
            <color indexed="81"/>
            <rFont val="Tahoma"/>
            <family val="2"/>
          </rPr>
          <t>Korr :</t>
        </r>
        <r>
          <rPr>
            <sz val="8"/>
            <color indexed="81"/>
            <rFont val="Tahoma"/>
            <family val="2"/>
          </rPr>
          <t xml:space="preserve">
Korr :
Korrektur Zeitsaldo hh:mm
(z.B. Auszahlung,
Zeit abgeschnitten)</t>
        </r>
      </text>
    </comment>
    <comment ref="AG4" authorId="2"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M4" authorId="2" shapeId="0" xr:uid="{00000000-0006-0000-0400-00000A000000}">
      <text>
        <r>
          <rPr>
            <b/>
            <sz val="8"/>
            <color indexed="81"/>
            <rFont val="Tahoma"/>
            <family val="2"/>
          </rPr>
          <t>SAnfang:</t>
        </r>
        <r>
          <rPr>
            <sz val="8"/>
            <color indexed="81"/>
            <rFont val="Tahoma"/>
            <family val="2"/>
          </rPr>
          <t xml:space="preserve">
Zeigt den Saldo des Monatsanfangs</t>
        </r>
      </text>
    </comment>
    <comment ref="AN4" authorId="2"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Q4" authorId="2" shapeId="0" xr:uid="{00000000-0006-0000-0400-00000C000000}">
      <text>
        <r>
          <rPr>
            <b/>
            <sz val="8"/>
            <color indexed="81"/>
            <rFont val="Tahoma"/>
            <family val="2"/>
          </rPr>
          <t>UrlR :</t>
        </r>
        <r>
          <rPr>
            <sz val="8"/>
            <color indexed="81"/>
            <rFont val="Tahoma"/>
            <family val="2"/>
          </rPr>
          <t xml:space="preserve">
Resturlaubssaldo</t>
        </r>
      </text>
    </comment>
    <comment ref="AR4" authorId="2" shapeId="0" xr:uid="{00000000-0006-0000-0400-00000D000000}">
      <text>
        <r>
          <rPr>
            <b/>
            <sz val="8"/>
            <color indexed="81"/>
            <rFont val="Tahoma"/>
            <family val="2"/>
          </rPr>
          <t>UrlRAnf:</t>
        </r>
        <r>
          <rPr>
            <sz val="8"/>
            <color indexed="81"/>
            <rFont val="Tahoma"/>
            <family val="2"/>
          </rPr>
          <t xml:space="preserve">
Zeigt den Resturlaub am Monatsanfang</t>
        </r>
      </text>
    </comment>
    <comment ref="AS4" authorId="2" shapeId="0" xr:uid="{00000000-0006-0000-0400-00000E000000}">
      <text>
        <r>
          <rPr>
            <b/>
            <sz val="8"/>
            <color indexed="81"/>
            <rFont val="Tahoma"/>
            <family val="2"/>
          </rPr>
          <t>KalZeit :</t>
        </r>
        <r>
          <rPr>
            <sz val="8"/>
            <color indexed="81"/>
            <rFont val="Tahoma"/>
            <family val="2"/>
          </rPr>
          <t xml:space="preserve">
Zeit fuer Kalender in Stunden</t>
        </r>
      </text>
    </comment>
    <comment ref="AT4" authorId="2"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X4" authorId="2"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Arbeitszeit nach der automatisch eine Pause
eingerechnet wird.
Normalerweise ist das nach 6h der Fall</t>
        </r>
      </text>
    </comment>
    <comment ref="B9" authorId="0" shapeId="0" xr:uid="{00000000-0006-0000-0800-000001000000}">
      <text>
        <r>
          <rPr>
            <sz val="10"/>
            <color indexed="81"/>
            <rFont val="Tahoma"/>
            <family val="2"/>
          </rPr>
          <t>z.B. Länge der Mittagspause</t>
        </r>
      </text>
    </comment>
    <comment ref="F10" authorId="0" shapeId="0" xr:uid="{A36C23EE-DAB1-4E19-966E-894BD8507AC9}">
      <text>
        <r>
          <rPr>
            <sz val="10"/>
            <color indexed="81"/>
            <rFont val="Tahoma"/>
            <family val="2"/>
          </rPr>
          <t>Übertrag von Stunden
für Aufgaben</t>
        </r>
      </text>
    </comment>
    <comment ref="B14" authorId="1" shapeId="0" xr:uid="{DFF9E24F-4D14-4176-90FE-EAF263750404}">
      <text>
        <r>
          <rPr>
            <sz val="10"/>
            <color indexed="81"/>
            <rFont val="Tahoma"/>
            <family val="2"/>
          </rPr>
          <t>Schwellenwert ab dem die Zelle in der Spalte Ist-Werte farblich markiert wird.
Beispiel: Man sieht sofort wenn man über 9:15 h pro Tag gearbeitet hat.</t>
        </r>
      </text>
    </comment>
    <comment ref="D16"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sharedStrings.xml><?xml version="1.0" encoding="utf-8"?>
<sst xmlns="http://schemas.openxmlformats.org/spreadsheetml/2006/main" count="328" uniqueCount="235">
  <si>
    <t>Arbeit über Max</t>
  </si>
  <si>
    <t>Kein Tag</t>
  </si>
  <si>
    <t>Schulferien</t>
  </si>
  <si>
    <t>Feiertage</t>
  </si>
  <si>
    <t>Ferien</t>
  </si>
  <si>
    <t>Weihnachten</t>
  </si>
  <si>
    <t>Datum Ende</t>
  </si>
  <si>
    <t>Datum Anfang</t>
  </si>
  <si>
    <t>Std.
SOLL</t>
  </si>
  <si>
    <t>Std.
IST</t>
  </si>
  <si>
    <t>Tage
IST</t>
  </si>
  <si>
    <t>Mehr arbeit ges</t>
  </si>
  <si>
    <t>Saldo ges</t>
  </si>
  <si>
    <t>v_soll</t>
  </si>
  <si>
    <t>index</t>
  </si>
  <si>
    <t>auswahl</t>
  </si>
  <si>
    <t>cbo</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</si>
  <si>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</si>
  <si>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</si>
  <si>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</si>
  <si>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</si>
  <si>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</si>
  <si>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</si>
  <si>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</si>
  <si>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</si>
  <si>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</si>
  <si>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</si>
  <si>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</si>
  <si>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</si>
  <si>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</si>
  <si>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</si>
  <si>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</si>
  <si>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</si>
  <si>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</si>
  <si>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</si>
  <si>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</si>
  <si>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</si>
  <si>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</si>
  <si>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</si>
  <si>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</si>
  <si>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</si>
  <si>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</si>
  <si>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</si>
  <si>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r>
      <t>Teilsummen</t>
    </r>
    <r>
      <rPr>
        <sz val="8"/>
        <color indexed="12"/>
        <rFont val="Helv"/>
      </rPr>
      <t xml:space="preserve"> (ausgewähler Bereich)</t>
    </r>
  </si>
  <si>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</si>
  <si>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</si>
  <si>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</si>
  <si>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</si>
  <si>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</si>
  <si>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</si>
  <si>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</si>
  <si>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</si>
  <si>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</si>
  <si>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</si>
  <si>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</si>
  <si>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</si>
  <si>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</si>
  <si>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</si>
  <si>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</si>
  <si>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</si>
  <si>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</si>
  <si>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</si>
  <si>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</si>
  <si>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</si>
  <si>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</si>
  <si>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</si>
  <si>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</si>
  <si>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</si>
  <si>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</si>
  <si>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</si>
  <si>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</si>
  <si>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</si>
  <si>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</si>
  <si>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</si>
  <si>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E-Mail: alfred.huber@siemens.com</t>
  </si>
  <si>
    <t>AG/TG
LstArt</t>
  </si>
  <si>
    <t>AKZ/Kontierung
PSP-Element
Netzpl/Vorgang</t>
  </si>
  <si>
    <t>Total</t>
  </si>
  <si>
    <t>Abzug
Ber</t>
  </si>
  <si>
    <t>IST
Ges</t>
  </si>
  <si>
    <t>Summe (verrechenbare Stunden 7-23)</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</si>
  <si>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</si>
  <si>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</si>
  <si>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</si>
  <si>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</si>
  <si>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</si>
  <si>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</si>
  <si>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</si>
  <si>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</si>
  <si>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</si>
  <si>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</si>
  <si>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</si>
  <si>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</si>
  <si>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</si>
  <si>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</si>
  <si>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</si>
  <si>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</si>
  <si>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</si>
  <si>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</si>
  <si>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</si>
  <si>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</si>
  <si>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</si>
  <si>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</si>
  <si>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</si>
  <si>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</si>
  <si>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</si>
  <si>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</si>
  <si>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</si>
  <si>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</si>
  <si>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</si>
  <si>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</si>
  <si>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</si>
  <si>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</si>
  <si>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</si>
  <si>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</si>
  <si>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</si>
  <si>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</si>
  <si>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</si>
  <si>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Tage gearbeitet:</t>
  </si>
  <si>
    <t>Durchschnitt:</t>
  </si>
  <si>
    <t>Abteilung:</t>
  </si>
  <si>
    <t>Arbeitszeit:</t>
  </si>
  <si>
    <t>max. Arbeitszeit:</t>
  </si>
  <si>
    <t>Mehrarbeit:</t>
  </si>
  <si>
    <t>Wegezeit:</t>
  </si>
  <si>
    <t>Basiseinstellungen</t>
  </si>
  <si>
    <t>Jahr:</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</si>
  <si>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</si>
  <si>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</si>
  <si>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</si>
  <si>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</si>
  <si>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</si>
  <si>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</si>
  <si>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</si>
  <si>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</si>
  <si>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</si>
  <si>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</si>
  <si>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</si>
  <si>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</si>
  <si>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</si>
  <si>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</si>
  <si>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</si>
  <si>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</si>
  <si>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</si>
  <si>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</si>
  <si>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</si>
  <si>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</si>
  <si>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Heute:</t>
  </si>
  <si>
    <t>Resturlaub:</t>
  </si>
  <si>
    <t>Summe IST-Anwesenheit:</t>
  </si>
  <si>
    <t>Summe Soll-Arbeitszeit:</t>
  </si>
  <si>
    <t xml:space="preserve">     Tageszähler</t>
  </si>
  <si>
    <t>Gleitzeit-Saldo:</t>
  </si>
  <si>
    <t>Karfreitag</t>
  </si>
  <si>
    <t>Ostermontag</t>
  </si>
  <si>
    <t>Christi Himmelfahrt</t>
  </si>
  <si>
    <t>Pfingstmontag</t>
  </si>
  <si>
    <t>Tag der Arbeit</t>
  </si>
  <si>
    <t>Tag der Deutschen Einheit</t>
  </si>
  <si>
    <t>Allerheiligen</t>
  </si>
  <si>
    <t>1. Weihnachtsfeiertag</t>
  </si>
  <si>
    <t>2. Weihnachtsfeiertag</t>
  </si>
  <si>
    <t>Neujahr</t>
  </si>
  <si>
    <t>E-Mail: hofer.andreas@siemens.com</t>
  </si>
  <si>
    <t>Aufgabe 17</t>
  </si>
  <si>
    <t>Summen</t>
  </si>
  <si>
    <r>
      <t xml:space="preserve">Summen &gt;&gt;&gt; </t>
    </r>
    <r>
      <rPr>
        <sz val="10"/>
        <rFont val="Arial"/>
        <family val="2"/>
      </rPr>
      <t>scroll rechts</t>
    </r>
  </si>
  <si>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</si>
  <si>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</si>
  <si>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</si>
  <si>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</si>
  <si>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</si>
  <si>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</si>
  <si>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</si>
  <si>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</si>
  <si>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</si>
  <si>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</si>
  <si>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</si>
  <si>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</si>
  <si>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</si>
  <si>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</si>
  <si>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</si>
  <si>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</si>
  <si>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</si>
  <si>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</si>
  <si>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</si>
  <si>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</si>
  <si>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</si>
  <si>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</si>
  <si>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</si>
  <si>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</si>
  <si>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</si>
  <si>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</si>
  <si>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</si>
  <si>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</si>
  <si>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</si>
  <si>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</si>
  <si>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</si>
  <si>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</si>
  <si>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</si>
  <si>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</si>
  <si>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</si>
  <si>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</si>
  <si>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</si>
  <si>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</si>
  <si>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</si>
  <si>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</si>
  <si>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Aufgabe 01</t>
  </si>
  <si>
    <t>Aufgabe 02</t>
  </si>
  <si>
    <t>Aufgabe 03</t>
  </si>
  <si>
    <t>Aufgabe 04</t>
  </si>
  <si>
    <t>Aufgabe 05</t>
  </si>
  <si>
    <t>Aufgabe 06</t>
  </si>
  <si>
    <t>Aufgabe 07</t>
  </si>
  <si>
    <t>Aufgabe 08</t>
  </si>
  <si>
    <t>Aufgabe 09</t>
  </si>
  <si>
    <t>Gehen 1 (berechnet)</t>
  </si>
  <si>
    <t>Gehen 2 (berechnet)</t>
  </si>
  <si>
    <t>Gehen 3 (berechnet)</t>
  </si>
  <si>
    <t>Tages Saldo</t>
  </si>
  <si>
    <t>Jahres-saldo</t>
  </si>
  <si>
    <t>Pause 2 nach:</t>
  </si>
  <si>
    <t>Pausenlänge 2:</t>
  </si>
  <si>
    <t>Pause 1 nach:</t>
  </si>
  <si>
    <t>Pausenlänge 1:</t>
  </si>
  <si>
    <t>Abwesend</t>
  </si>
  <si>
    <t>Abzug auto:</t>
  </si>
  <si>
    <t>Mustermann</t>
  </si>
  <si>
    <t>999999</t>
  </si>
  <si>
    <t>Siemens</t>
  </si>
  <si>
    <t>Please add before this line</t>
  </si>
  <si>
    <r>
      <t>Glaz V6.0  12/2019</t>
    </r>
    <r>
      <rPr>
        <sz val="10"/>
        <rFont val="Arial"/>
        <family val="2"/>
      </rPr>
      <t xml:space="preserve">   </t>
    </r>
    <r>
      <rPr>
        <i/>
        <sz val="10"/>
        <rFont val="Arial"/>
        <family val="2"/>
      </rPr>
      <t>Excel-Sheet zum Verwalten der Arbeitszeit</t>
    </r>
  </si>
  <si>
    <t>Schwellenwert</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</si>
  <si>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xml:space="preserve">.
</t>
    </r>
    <r>
      <rPr>
        <i/>
        <sz val="10"/>
        <rFont val="Arial"/>
        <family val="2"/>
      </rPr>
      <t xml:space="preserve">- Version V6.0
</t>
    </r>
    <r>
      <rPr>
        <sz val="10"/>
        <rFont val="Arial"/>
        <family val="2"/>
      </rPr>
      <t xml:space="preserve">Nachdem sich das Tool immer mehr verbreitet und auch von immer mehreren Betriebsräten empfohlen wird - herzlichen Dank an dieser Stelle dafür - haben wir die Pausenzeiten parametrierbar gemacht. Bei einer Arbeitszeit von sechs bis neun Stunden muss eine Arbeitspause von mindestens 30 Minuten genommen werden. Bei einer Arbeitszeit von mehr als neun Stunden ist eine Pause von 45 Minuten vorgeschrieben. Bei anderen Regelungen z.B. für Kollegen, die im Ausland arbeiten kann, das aber jetzt parametriert werden: Siehe Pause 1 und 2.
Außerdem kann man jetzt einen Schwellenwert definieren, ab dem die Schriftfarbe der Ist-Arbeitszeit wechselt. Damit kann man schnell farblich unterstützt sehen, wenn man über einem definierbaren maximal Wert liegt.
</t>
    </r>
    <r>
      <rPr>
        <i/>
        <sz val="10"/>
        <rFont val="Arial"/>
        <family val="2"/>
      </rPr>
      <t xml:space="preserve">- Version V5.9a
</t>
    </r>
    <r>
      <rPr>
        <sz val="10"/>
        <rFont val="Arial"/>
        <family val="2"/>
      </rPr>
      <t xml:space="preserve">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
</t>
    </r>
    <r>
      <rPr>
        <i/>
        <sz val="10"/>
        <rFont val="Arial"/>
        <family val="2"/>
      </rPr>
      <t xml:space="preserve">- Version V3.0
</t>
    </r>
    <r>
      <rPr>
        <sz val="10"/>
        <rFont val="Arial"/>
        <family val="2"/>
      </rPr>
      <t>Mit der Version 3.0 wurde es grundlegend überarbeitet. Der Übersicht halber wurden die einzelnen Kalenderblätter zu einem einzigen (Arbeitszeit) zusammengefasst.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</si>
  <si>
    <t xml:space="preserve"> U=Urlaub G/B=Gleittag K=Krank S=Sabbatical X=Sonstiges (Dienstreise,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</si>
</sst>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mm"/>
    <numFmt numFmtId="172" formatCode="ddd"/>
    <numFmt numFmtId="173" formatCode="mmm"/>
    <numFmt numFmtId="174" formatCode="mmm\ ddd\ dd"/>
    <numFmt numFmtId="175" formatCode="[hh]:mm"/>
    <numFmt numFmtId="176" formatCode="h:mm;\-General;&quot;&quot;"/>
    <numFmt numFmtId="177" formatCode="d/\ mmm/\ yyyy"/>
    <numFmt numFmtId="178" formatCode="0.0\ &quot;Tage&quot;"/>
    <numFmt numFmtId="179" formatCode="mmm\ yyyy"/>
    <numFmt numFmtId="180" formatCode="[hh]:mm;\-General;&quot;&quot;"/>
    <numFmt numFmtId="181" formatCode="mm\ yy"/>
    <numFmt numFmtId="182" formatCode="\ mmm/\ yyyy"/>
    <numFmt numFmtId="183" formatCode="yyyy\ mmm"/>
    <numFmt numFmtId="184" formatCode="yyyy\-mm\-dd\ \ ddd"/>
    <numFmt numFmtId="185" formatCode="yy\-mmm"/>
    <numFmt numFmtId="186" formatCode="yyyy\-mm\-dd"/>
    <numFmt numFmtId="187" formatCode="yyyy\-mm"/>
    <numFmt numFmtId="188" formatCode="dd/mm;@"/>
    <numFmt numFmtId="189" formatCode="General\ &quot;Tage&quot;"/>
  </numFmts>
  <fonts count="63">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b/>
      <sz val="12"/>
      <name val="Arial"/>
      <family val="2"/>
    </font>
    <font>
      <sz val="12"/>
      <name val="Arial"/>
      <family val="2"/>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10"/>
      <color indexed="13"/>
      <name val="Arial"/>
      <family val="2"/>
    </font>
    <font>
      <b/>
      <sz val="16"/>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sz val="11"/>
      <name val="Arial"/>
      <family val="2"/>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s>
  <fills count="27">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34"/>
        <bgColor indexed="64"/>
      </patternFill>
    </fill>
    <fill>
      <patternFill patternType="solid">
        <fgColor rgb="FF92D050"/>
        <bgColor indexed="64"/>
      </patternFill>
    </fill>
    <fill>
      <patternFill patternType="solid">
        <fgColor rgb="FFFFFF00"/>
        <bgColor indexed="64"/>
      </patternFill>
    </fill>
  </fills>
  <borders count="112">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9"/>
      </left>
      <right style="medium">
        <color indexed="9"/>
      </right>
      <top/>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
      <left style="medium">
        <color indexed="64"/>
      </left>
      <right style="hair">
        <color indexed="64"/>
      </right>
      <top style="hair">
        <color indexed="64"/>
      </top>
      <bottom style="medium">
        <color indexed="64"/>
      </bottom>
      <diagonal/>
    </border>
  </borders>
  <cellStyleXfs count="3">
    <xf numFmtId="0" fontId="0" fillId="0" borderId="0"/>
    <xf numFmtId="0" fontId="1" fillId="0" borderId="0"/>
    <xf numFmtId="0" fontId="1" fillId="0" borderId="0"/>
  </cellStyleXfs>
  <cellXfs count="678">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12" fillId="4" borderId="0" xfId="0" applyFont="1" applyFill="1" applyAlignment="1">
      <alignment horizontal="center"/>
    </xf>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21"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2" fillId="0" borderId="0" xfId="0" applyFont="1" applyAlignment="1">
      <alignment horizontal="right"/>
    </xf>
    <xf numFmtId="2" fontId="0" fillId="0" borderId="0" xfId="0" applyNumberFormat="1" applyProtection="1">
      <protection locked="0"/>
    </xf>
    <xf numFmtId="175"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5" fontId="12" fillId="3" borderId="23" xfId="0" applyNumberFormat="1" applyFont="1" applyFill="1" applyBorder="1" applyAlignment="1" applyProtection="1">
      <alignment horizontal="center"/>
      <protection locked="0"/>
    </xf>
    <xf numFmtId="175"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0" fontId="12" fillId="7" borderId="0" xfId="0" applyFont="1" applyFill="1" applyAlignment="1" applyProtection="1">
      <alignment horizontal="center"/>
      <protection locked="0"/>
    </xf>
    <xf numFmtId="170" fontId="0" fillId="0" borderId="0" xfId="0" applyNumberFormat="1" applyAlignment="1" applyProtection="1">
      <alignment horizontal="center"/>
      <protection locked="0"/>
    </xf>
    <xf numFmtId="0" fontId="23" fillId="0" borderId="0" xfId="0" applyFon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171" fontId="0" fillId="0" borderId="0" xfId="0" applyNumberFormat="1" applyAlignment="1">
      <alignment horizontal="left"/>
    </xf>
    <xf numFmtId="0" fontId="0" fillId="0" borderId="0" xfId="0" applyAlignment="1">
      <alignment horizontal="right"/>
    </xf>
    <xf numFmtId="171" fontId="0" fillId="0" borderId="0" xfId="0" applyNumberFormat="1" applyAlignment="1">
      <alignment horizontal="right"/>
    </xf>
    <xf numFmtId="0" fontId="23" fillId="0" borderId="0" xfId="0" applyFont="1" applyAlignment="1">
      <alignment horizontal="left"/>
    </xf>
    <xf numFmtId="16" fontId="0" fillId="0" borderId="0" xfId="0" applyNumberFormat="1"/>
    <xf numFmtId="0" fontId="0" fillId="0" borderId="0" xfId="0" applyAlignment="1">
      <alignment horizontal="center" vertical="center"/>
    </xf>
    <xf numFmtId="0" fontId="0" fillId="0" borderId="0" xfId="0" applyAlignment="1">
      <alignment vertical="center"/>
    </xf>
    <xf numFmtId="0" fontId="0" fillId="6" borderId="25" xfId="0"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left"/>
    </xf>
    <xf numFmtId="0" fontId="0" fillId="8" borderId="0" xfId="0" applyFill="1"/>
    <xf numFmtId="0" fontId="25" fillId="8" borderId="25" xfId="0" applyFont="1" applyFill="1" applyBorder="1" applyAlignment="1">
      <alignment horizontal="center" vertical="center"/>
    </xf>
    <xf numFmtId="0" fontId="18" fillId="0" borderId="0" xfId="0" applyFont="1" applyAlignment="1">
      <alignment horizontal="center" vertical="center"/>
    </xf>
    <xf numFmtId="0" fontId="18" fillId="0" borderId="0" xfId="0" applyFont="1"/>
    <xf numFmtId="0" fontId="0" fillId="0" borderId="0" xfId="0" applyAlignment="1">
      <alignment horizontal="right" vertical="center"/>
    </xf>
    <xf numFmtId="0" fontId="17" fillId="0" borderId="0" xfId="0" applyFont="1" applyAlignment="1">
      <alignment horizontal="right" vertical="center"/>
    </xf>
    <xf numFmtId="0" fontId="18" fillId="0" borderId="0" xfId="0" applyFont="1" applyAlignment="1">
      <alignment vertical="center"/>
    </xf>
    <xf numFmtId="0" fontId="0" fillId="0" borderId="0" xfId="0" applyAlignment="1">
      <alignment horizontal="left" vertical="center"/>
    </xf>
    <xf numFmtId="167" fontId="13" fillId="0" borderId="0" xfId="0" applyNumberFormat="1" applyFont="1" applyAlignment="1">
      <alignment horizontal="left" vertical="center"/>
    </xf>
    <xf numFmtId="1" fontId="18" fillId="0" borderId="0" xfId="0" applyNumberFormat="1" applyFont="1" applyAlignment="1">
      <alignment horizontal="left" vertical="center"/>
    </xf>
    <xf numFmtId="0" fontId="18" fillId="0" borderId="0" xfId="0" applyFont="1" applyAlignment="1">
      <alignment horizontal="right" vertical="center"/>
    </xf>
    <xf numFmtId="0" fontId="17" fillId="0" borderId="0" xfId="0" applyFont="1" applyAlignment="1">
      <alignment horizontal="left" vertical="center"/>
    </xf>
    <xf numFmtId="0" fontId="18" fillId="0" borderId="0" xfId="0" applyFont="1" applyAlignment="1">
      <alignment horizontal="left" vertical="center"/>
    </xf>
    <xf numFmtId="167" fontId="18" fillId="0" borderId="0" xfId="0" applyNumberFormat="1" applyFont="1" applyAlignment="1">
      <alignment horizontal="left" vertical="center"/>
    </xf>
    <xf numFmtId="0" fontId="13" fillId="0" borderId="0" xfId="0" applyFont="1" applyAlignment="1">
      <alignment horizontal="right" vertical="center"/>
    </xf>
    <xf numFmtId="1" fontId="13" fillId="0" borderId="0" xfId="0" applyNumberFormat="1" applyFont="1" applyAlignment="1">
      <alignment horizontal="left" vertical="center"/>
    </xf>
    <xf numFmtId="169" fontId="18" fillId="0" borderId="0" xfId="0" applyNumberFormat="1" applyFont="1" applyAlignment="1" applyProtection="1">
      <alignment horizontal="center"/>
      <protection locked="0"/>
    </xf>
    <xf numFmtId="14" fontId="13" fillId="0" borderId="0" xfId="0" applyNumberFormat="1" applyFont="1" applyAlignment="1">
      <alignment vertical="center"/>
    </xf>
    <xf numFmtId="0" fontId="13" fillId="0" borderId="0" xfId="0" applyFont="1" applyAlignment="1">
      <alignment vertical="center"/>
    </xf>
    <xf numFmtId="14" fontId="0" fillId="0" borderId="0" xfId="0" applyNumberFormat="1" applyAlignment="1">
      <alignment vertical="center"/>
    </xf>
    <xf numFmtId="2" fontId="20" fillId="0" borderId="0" xfId="0" applyNumberFormat="1" applyFont="1" applyAlignment="1">
      <alignment vertical="center"/>
    </xf>
    <xf numFmtId="170" fontId="0" fillId="0" borderId="0" xfId="0" applyNumberFormat="1"/>
    <xf numFmtId="0" fontId="28" fillId="0" borderId="0" xfId="0" applyFont="1" applyAlignment="1">
      <alignment horizontal="center"/>
    </xf>
    <xf numFmtId="0" fontId="17" fillId="4" borderId="0" xfId="0" applyFont="1" applyFill="1" applyAlignment="1">
      <alignment horizontal="center" vertical="center"/>
    </xf>
    <xf numFmtId="0" fontId="17" fillId="0" borderId="0" xfId="0" applyFont="1" applyAlignment="1">
      <alignment horizontal="center" vertical="center"/>
    </xf>
    <xf numFmtId="175" fontId="0" fillId="3" borderId="26" xfId="0" applyNumberFormat="1" applyFill="1" applyBorder="1" applyAlignment="1" applyProtection="1">
      <alignment horizontal="center"/>
      <protection locked="0"/>
    </xf>
    <xf numFmtId="175" fontId="0" fillId="6" borderId="26" xfId="0" applyNumberFormat="1" applyFill="1" applyBorder="1" applyAlignment="1" applyProtection="1">
      <alignment horizontal="center"/>
      <protection locked="0"/>
    </xf>
    <xf numFmtId="175" fontId="0" fillId="6" borderId="27" xfId="0" applyNumberFormat="1" applyFill="1" applyBorder="1" applyAlignment="1" applyProtection="1">
      <alignment horizontal="center"/>
      <protection locked="0"/>
    </xf>
    <xf numFmtId="175" fontId="0" fillId="3" borderId="12" xfId="0" applyNumberFormat="1" applyFill="1" applyBorder="1" applyAlignment="1">
      <alignment horizontal="left"/>
    </xf>
    <xf numFmtId="175" fontId="0" fillId="3" borderId="21" xfId="0" applyNumberFormat="1" applyFill="1" applyBorder="1" applyAlignment="1" applyProtection="1">
      <alignment horizontal="left"/>
      <protection locked="0"/>
    </xf>
    <xf numFmtId="175" fontId="2" fillId="0" borderId="3" xfId="0" applyNumberFormat="1" applyFont="1" applyBorder="1" applyAlignment="1">
      <alignment horizontal="center"/>
    </xf>
    <xf numFmtId="175" fontId="15" fillId="0" borderId="0" xfId="0" applyNumberFormat="1" applyFont="1" applyAlignment="1">
      <alignment horizontal="center"/>
    </xf>
    <xf numFmtId="175" fontId="2" fillId="0" borderId="18" xfId="0" applyNumberFormat="1" applyFont="1" applyBorder="1" applyAlignment="1">
      <alignment horizontal="right"/>
    </xf>
    <xf numFmtId="176" fontId="2" fillId="0" borderId="3" xfId="0" applyNumberFormat="1" applyFont="1" applyBorder="1" applyAlignment="1">
      <alignment horizontal="center"/>
    </xf>
    <xf numFmtId="175" fontId="15" fillId="0" borderId="3" xfId="0" applyNumberFormat="1" applyFont="1" applyBorder="1" applyAlignment="1">
      <alignment horizontal="right"/>
    </xf>
    <xf numFmtId="175" fontId="30" fillId="0" borderId="0" xfId="0" applyNumberFormat="1" applyFont="1"/>
    <xf numFmtId="175" fontId="12" fillId="3" borderId="13" xfId="0" applyNumberFormat="1" applyFont="1" applyFill="1" applyBorder="1" applyAlignment="1" applyProtection="1">
      <alignment horizontal="center"/>
      <protection locked="0"/>
    </xf>
    <xf numFmtId="168" fontId="31"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8"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5" fontId="15" fillId="0" borderId="3" xfId="0" applyNumberFormat="1" applyFont="1" applyBorder="1" applyAlignment="1">
      <alignment horizontal="center"/>
    </xf>
    <xf numFmtId="2" fontId="2" fillId="0" borderId="0" xfId="0" applyNumberFormat="1" applyFont="1" applyAlignment="1">
      <alignment horizontal="right"/>
    </xf>
    <xf numFmtId="175"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9" xfId="0" applyNumberFormat="1" applyFont="1" applyFill="1" applyBorder="1" applyAlignment="1">
      <alignment horizontal="center"/>
    </xf>
    <xf numFmtId="170" fontId="11" fillId="10" borderId="29" xfId="0" applyNumberFormat="1" applyFont="1" applyFill="1" applyBorder="1" applyAlignment="1">
      <alignment horizontal="center"/>
    </xf>
    <xf numFmtId="170" fontId="11" fillId="11" borderId="29" xfId="0" applyNumberFormat="1" applyFont="1" applyFill="1" applyBorder="1" applyAlignment="1">
      <alignment horizontal="center"/>
    </xf>
    <xf numFmtId="170" fontId="11" fillId="0" borderId="29" xfId="0" applyNumberFormat="1" applyFont="1" applyBorder="1" applyAlignment="1">
      <alignment horizontal="center"/>
    </xf>
    <xf numFmtId="170" fontId="11" fillId="3" borderId="29" xfId="0" applyNumberFormat="1" applyFont="1" applyFill="1" applyBorder="1" applyAlignment="1">
      <alignment horizontal="center"/>
    </xf>
    <xf numFmtId="170" fontId="11" fillId="12" borderId="29" xfId="0" applyNumberFormat="1" applyFont="1" applyFill="1" applyBorder="1" applyAlignment="1">
      <alignment horizontal="center"/>
    </xf>
    <xf numFmtId="170" fontId="11" fillId="13" borderId="29"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9" xfId="0" applyNumberFormat="1" applyFont="1" applyFill="1" applyBorder="1" applyAlignment="1">
      <alignment horizontal="center" vertical="center"/>
    </xf>
    <xf numFmtId="170" fontId="11" fillId="12" borderId="29" xfId="0" applyNumberFormat="1" applyFont="1" applyFill="1" applyBorder="1" applyAlignment="1">
      <alignment horizontal="center" vertical="center"/>
    </xf>
    <xf numFmtId="0" fontId="24" fillId="12" borderId="29" xfId="0" applyFont="1" applyFill="1" applyBorder="1" applyAlignment="1">
      <alignment horizontal="center"/>
    </xf>
    <xf numFmtId="170" fontId="11" fillId="3" borderId="29" xfId="0" applyNumberFormat="1" applyFont="1" applyFill="1" applyBorder="1" applyAlignment="1">
      <alignment horizontal="center" vertical="center"/>
    </xf>
    <xf numFmtId="0" fontId="24" fillId="3" borderId="29" xfId="0" applyFont="1" applyFill="1" applyBorder="1" applyAlignment="1">
      <alignment horizontal="center"/>
    </xf>
    <xf numFmtId="0" fontId="27" fillId="0" borderId="0" xfId="0" applyFont="1" applyProtection="1">
      <protection locked="0"/>
    </xf>
    <xf numFmtId="169" fontId="28"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80" fontId="30" fillId="0" borderId="0" xfId="0" applyNumberFormat="1" applyFont="1"/>
    <xf numFmtId="180" fontId="2" fillId="0" borderId="3" xfId="0" applyNumberFormat="1" applyFont="1" applyBorder="1" applyAlignment="1">
      <alignment horizontal="center"/>
    </xf>
    <xf numFmtId="14" fontId="36" fillId="0" borderId="0" xfId="0" applyNumberFormat="1" applyFont="1" applyAlignment="1">
      <alignment vertical="center"/>
    </xf>
    <xf numFmtId="178" fontId="13" fillId="0" borderId="0" xfId="0" applyNumberFormat="1" applyFont="1" applyAlignment="1">
      <alignment horizontal="left" vertical="center"/>
    </xf>
    <xf numFmtId="175" fontId="18" fillId="0" borderId="0" xfId="0" applyNumberFormat="1" applyFont="1" applyAlignment="1">
      <alignment horizontal="left" vertical="center"/>
    </xf>
    <xf numFmtId="167" fontId="0" fillId="0" borderId="0" xfId="0" applyNumberFormat="1" applyAlignment="1">
      <alignment horizontal="left" vertical="center"/>
    </xf>
    <xf numFmtId="0" fontId="19" fillId="0" borderId="0" xfId="0" applyFont="1"/>
    <xf numFmtId="14" fontId="19" fillId="0" borderId="0" xfId="0" applyNumberFormat="1" applyFont="1" applyAlignment="1">
      <alignment horizontal="center"/>
    </xf>
    <xf numFmtId="0" fontId="0" fillId="5" borderId="29" xfId="0" applyFill="1" applyBorder="1"/>
    <xf numFmtId="0" fontId="0" fillId="0" borderId="30" xfId="0" applyBorder="1"/>
    <xf numFmtId="170" fontId="0" fillId="5" borderId="29" xfId="0" applyNumberFormat="1" applyFill="1" applyBorder="1" applyAlignment="1">
      <alignment horizontal="center"/>
    </xf>
    <xf numFmtId="170" fontId="0" fillId="7" borderId="29" xfId="0" applyNumberFormat="1" applyFill="1" applyBorder="1" applyAlignment="1" applyProtection="1">
      <alignment horizontal="center"/>
      <protection locked="0"/>
    </xf>
    <xf numFmtId="170" fontId="0" fillId="7" borderId="29" xfId="0" applyNumberFormat="1" applyFill="1" applyBorder="1" applyAlignment="1" applyProtection="1">
      <alignment horizontal="left"/>
      <protection locked="0"/>
    </xf>
    <xf numFmtId="170" fontId="0" fillId="0" borderId="29" xfId="0" applyNumberFormat="1" applyBorder="1"/>
    <xf numFmtId="170" fontId="0" fillId="0" borderId="30" xfId="0" applyNumberFormat="1" applyBorder="1"/>
    <xf numFmtId="0" fontId="0" fillId="0" borderId="31" xfId="0" applyBorder="1" applyAlignment="1">
      <alignment horizontal="center"/>
    </xf>
    <xf numFmtId="0" fontId="0" fillId="0" borderId="31" xfId="0" applyBorder="1"/>
    <xf numFmtId="0" fontId="0" fillId="0" borderId="31" xfId="0" applyBorder="1" applyProtection="1">
      <protection locked="0"/>
    </xf>
    <xf numFmtId="170" fontId="0" fillId="0" borderId="31" xfId="0" applyNumberFormat="1" applyBorder="1"/>
    <xf numFmtId="0" fontId="0" fillId="0" borderId="32"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9" xfId="0" applyFont="1" applyFill="1" applyBorder="1" applyAlignment="1">
      <alignment horizontal="center"/>
    </xf>
    <xf numFmtId="182"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3" fontId="11" fillId="6" borderId="0" xfId="0" applyNumberFormat="1" applyFont="1" applyFill="1" applyAlignment="1">
      <alignment horizontal="center"/>
    </xf>
    <xf numFmtId="0" fontId="11" fillId="6" borderId="33" xfId="0" applyFont="1" applyFill="1" applyBorder="1" applyAlignment="1">
      <alignment horizontal="center"/>
    </xf>
    <xf numFmtId="0" fontId="13" fillId="0" borderId="0" xfId="0" applyFont="1"/>
    <xf numFmtId="175" fontId="37"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5"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5"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5"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5"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75" fontId="0" fillId="0" borderId="0" xfId="0" applyNumberFormat="1" applyProtection="1">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5"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 fillId="0" borderId="0" xfId="0" applyFont="1" applyAlignment="1" applyProtection="1">
      <alignment horizontal="center"/>
      <protection hidden="1"/>
    </xf>
    <xf numFmtId="1" fontId="0" fillId="0" borderId="0" xfId="0" applyNumberFormat="1" applyProtection="1">
      <protection hidden="1"/>
    </xf>
    <xf numFmtId="0" fontId="38" fillId="0" borderId="0" xfId="0" applyFont="1" applyProtection="1">
      <protection locked="0"/>
    </xf>
    <xf numFmtId="175" fontId="15" fillId="0" borderId="34" xfId="0" applyNumberFormat="1" applyFont="1" applyBorder="1" applyAlignment="1">
      <alignment horizontal="center"/>
    </xf>
    <xf numFmtId="175" fontId="2" fillId="0" borderId="26" xfId="0" applyNumberFormat="1" applyFont="1" applyBorder="1" applyAlignment="1">
      <alignment horizontal="center"/>
    </xf>
    <xf numFmtId="20" fontId="2" fillId="0" borderId="10" xfId="0" applyNumberFormat="1" applyFont="1" applyBorder="1" applyAlignment="1">
      <alignment horizontal="right"/>
    </xf>
    <xf numFmtId="0" fontId="12" fillId="0" borderId="35" xfId="0" applyFont="1" applyBorder="1" applyAlignment="1">
      <alignment vertical="top"/>
    </xf>
    <xf numFmtId="0" fontId="13" fillId="0" borderId="35" xfId="0" applyFont="1" applyBorder="1" applyAlignment="1">
      <alignment vertical="top"/>
    </xf>
    <xf numFmtId="0" fontId="0" fillId="0" borderId="36" xfId="0" applyBorder="1" applyAlignment="1">
      <alignment vertical="top"/>
    </xf>
    <xf numFmtId="0" fontId="2" fillId="0" borderId="37" xfId="0" applyFont="1" applyBorder="1" applyAlignment="1">
      <alignment horizontal="center" vertical="top"/>
    </xf>
    <xf numFmtId="0" fontId="2" fillId="0" borderId="38" xfId="0" applyFont="1" applyBorder="1" applyAlignment="1">
      <alignment horizontal="left" vertical="top"/>
    </xf>
    <xf numFmtId="0" fontId="0" fillId="0" borderId="36" xfId="0" applyBorder="1" applyAlignment="1">
      <alignment horizontal="left"/>
    </xf>
    <xf numFmtId="20" fontId="2" fillId="0" borderId="35" xfId="0" applyNumberFormat="1" applyFont="1" applyBorder="1" applyAlignment="1">
      <alignment horizontal="center" vertical="top"/>
    </xf>
    <xf numFmtId="0" fontId="2" fillId="0" borderId="35" xfId="0" applyFont="1" applyBorder="1" applyAlignment="1">
      <alignment horizontal="left"/>
    </xf>
    <xf numFmtId="20" fontId="2" fillId="0" borderId="35" xfId="0" applyNumberFormat="1" applyFont="1" applyBorder="1" applyAlignment="1">
      <alignment horizontal="left" vertical="top"/>
    </xf>
    <xf numFmtId="0" fontId="2" fillId="0" borderId="37" xfId="0" applyFont="1" applyBorder="1" applyAlignment="1">
      <alignment horizontal="left" vertical="top"/>
    </xf>
    <xf numFmtId="0" fontId="34" fillId="0" borderId="39" xfId="0" applyFont="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vertical="top"/>
    </xf>
    <xf numFmtId="20" fontId="13" fillId="0" borderId="36" xfId="0" applyNumberFormat="1" applyFont="1" applyBorder="1"/>
    <xf numFmtId="0" fontId="13" fillId="0" borderId="36" xfId="0" applyFont="1" applyBorder="1"/>
    <xf numFmtId="0" fontId="0" fillId="0" borderId="36" xfId="0" applyBorder="1" applyAlignment="1">
      <alignment wrapText="1"/>
    </xf>
    <xf numFmtId="20" fontId="15" fillId="0" borderId="35" xfId="0" applyNumberFormat="1" applyFont="1" applyBorder="1" applyAlignment="1">
      <alignment horizontal="center"/>
    </xf>
    <xf numFmtId="20" fontId="2" fillId="0" borderId="35" xfId="0" applyNumberFormat="1" applyFont="1" applyBorder="1" applyAlignment="1">
      <alignment horizontal="center" vertical="top" wrapText="1"/>
    </xf>
    <xf numFmtId="0" fontId="2" fillId="0" borderId="2" xfId="0" applyFont="1" applyBorder="1" applyAlignment="1">
      <alignment horizontal="center" vertical="top"/>
    </xf>
    <xf numFmtId="0" fontId="38" fillId="0" borderId="0" xfId="0" applyFont="1" applyAlignment="1" applyProtection="1">
      <alignment horizontal="right"/>
      <protection locked="0"/>
    </xf>
    <xf numFmtId="178" fontId="2" fillId="0" borderId="0" xfId="0" applyNumberFormat="1" applyFont="1" applyAlignment="1">
      <alignment horizontal="left"/>
    </xf>
    <xf numFmtId="175" fontId="12" fillId="0" borderId="6" xfId="0" applyNumberFormat="1" applyFont="1" applyBorder="1"/>
    <xf numFmtId="1" fontId="2" fillId="0" borderId="6" xfId="0" applyNumberFormat="1" applyFont="1" applyBorder="1" applyAlignment="1">
      <alignment horizontal="center"/>
    </xf>
    <xf numFmtId="178" fontId="2" fillId="0" borderId="7" xfId="0" applyNumberFormat="1" applyFont="1" applyBorder="1" applyAlignment="1">
      <alignment horizontal="left"/>
    </xf>
    <xf numFmtId="167" fontId="2" fillId="0" borderId="40" xfId="0" applyNumberFormat="1" applyFont="1" applyBorder="1" applyAlignment="1">
      <alignment horizontal="right"/>
    </xf>
    <xf numFmtId="0" fontId="4" fillId="0" borderId="41" xfId="0" applyFont="1" applyBorder="1"/>
    <xf numFmtId="175" fontId="2" fillId="0" borderId="42" xfId="0" applyNumberFormat="1" applyFont="1" applyBorder="1" applyAlignment="1">
      <alignment horizontal="right"/>
    </xf>
    <xf numFmtId="0" fontId="8" fillId="0" borderId="43" xfId="0" applyFont="1" applyBorder="1"/>
    <xf numFmtId="0" fontId="8" fillId="0" borderId="7" xfId="0" applyFont="1" applyBorder="1"/>
    <xf numFmtId="1" fontId="2" fillId="0" borderId="40"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5"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5"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5"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9" fillId="0" borderId="7" xfId="0" applyFont="1" applyBorder="1"/>
    <xf numFmtId="187" fontId="2" fillId="9" borderId="34" xfId="0" applyNumberFormat="1" applyFont="1" applyFill="1" applyBorder="1" applyAlignment="1">
      <alignment horizontal="left"/>
    </xf>
    <xf numFmtId="184" fontId="2" fillId="9" borderId="34" xfId="0" applyNumberFormat="1" applyFont="1" applyFill="1" applyBorder="1" applyAlignment="1">
      <alignment horizontal="left"/>
    </xf>
    <xf numFmtId="0" fontId="2" fillId="9" borderId="34" xfId="0" applyFont="1" applyFill="1" applyBorder="1" applyAlignment="1">
      <alignment horizontal="center"/>
    </xf>
    <xf numFmtId="183" fontId="2" fillId="9" borderId="34" xfId="0" applyNumberFormat="1" applyFont="1" applyFill="1" applyBorder="1" applyAlignment="1">
      <alignment horizontal="center"/>
    </xf>
    <xf numFmtId="186" fontId="2" fillId="6" borderId="3" xfId="0" applyNumberFormat="1" applyFont="1" applyFill="1" applyBorder="1" applyAlignment="1">
      <alignment horizontal="left"/>
    </xf>
    <xf numFmtId="172" fontId="2" fillId="6" borderId="3" xfId="0" applyNumberFormat="1" applyFont="1" applyFill="1" applyBorder="1" applyAlignment="1">
      <alignment horizontal="left"/>
    </xf>
    <xf numFmtId="0" fontId="2" fillId="6" borderId="3" xfId="0" applyFont="1" applyFill="1" applyBorder="1" applyAlignment="1">
      <alignment horizontal="center"/>
    </xf>
    <xf numFmtId="185" fontId="2" fillId="6" borderId="3" xfId="0" applyNumberFormat="1" applyFont="1" applyFill="1" applyBorder="1" applyAlignment="1">
      <alignment horizontal="center"/>
    </xf>
    <xf numFmtId="0" fontId="27" fillId="0" borderId="0" xfId="0" applyFont="1" applyAlignment="1" applyProtection="1">
      <alignment vertical="center"/>
      <protection locked="0"/>
    </xf>
    <xf numFmtId="1" fontId="15" fillId="0" borderId="0" xfId="0" applyNumberFormat="1" applyFont="1" applyAlignment="1">
      <alignment horizontal="left"/>
    </xf>
    <xf numFmtId="164" fontId="3" fillId="3" borderId="44"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40" fillId="8" borderId="0" xfId="0" applyFont="1" applyFill="1" applyAlignment="1">
      <alignment horizontal="center"/>
    </xf>
    <xf numFmtId="2" fontId="40" fillId="8" borderId="0" xfId="0" applyNumberFormat="1" applyFont="1" applyFill="1" applyAlignment="1">
      <alignment horizontal="right"/>
    </xf>
    <xf numFmtId="20" fontId="40" fillId="8" borderId="0" xfId="0" applyNumberFormat="1" applyFont="1" applyFill="1"/>
    <xf numFmtId="20" fontId="2" fillId="0" borderId="3" xfId="0" applyNumberFormat="1" applyFont="1" applyBorder="1" applyAlignment="1">
      <alignment horizontal="left"/>
    </xf>
    <xf numFmtId="0" fontId="41" fillId="3" borderId="0" xfId="0" applyFont="1" applyFill="1" applyAlignment="1">
      <alignment horizontal="left"/>
    </xf>
    <xf numFmtId="0" fontId="41" fillId="3" borderId="0" xfId="0" applyFont="1" applyFill="1" applyAlignment="1">
      <alignment horizontal="center"/>
    </xf>
    <xf numFmtId="175" fontId="41" fillId="3" borderId="0" xfId="0" applyNumberFormat="1" applyFont="1" applyFill="1" applyAlignment="1">
      <alignment horizontal="center"/>
    </xf>
    <xf numFmtId="0" fontId="41" fillId="3" borderId="0" xfId="0" applyFont="1" applyFill="1"/>
    <xf numFmtId="175" fontId="41" fillId="3" borderId="0" xfId="0" applyNumberFormat="1" applyFont="1" applyFill="1" applyAlignment="1">
      <alignment horizontal="right"/>
    </xf>
    <xf numFmtId="175" fontId="20" fillId="0" borderId="0" xfId="0" applyNumberFormat="1" applyFont="1" applyAlignment="1">
      <alignment horizontal="center"/>
    </xf>
    <xf numFmtId="175" fontId="2" fillId="0" borderId="45"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2" fillId="14" borderId="29" xfId="0" applyNumberFormat="1" applyFont="1" applyFill="1" applyBorder="1" applyAlignment="1">
      <alignment horizontal="center"/>
    </xf>
    <xf numFmtId="170" fontId="43" fillId="8" borderId="29" xfId="0" applyNumberFormat="1" applyFont="1" applyFill="1" applyBorder="1" applyAlignment="1">
      <alignment horizontal="center"/>
    </xf>
    <xf numFmtId="0" fontId="11" fillId="0" borderId="0" xfId="0" applyFont="1" applyAlignment="1">
      <alignment horizontal="left"/>
    </xf>
    <xf numFmtId="170" fontId="11" fillId="0" borderId="46" xfId="0" applyNumberFormat="1" applyFont="1" applyBorder="1" applyAlignment="1">
      <alignment horizontal="center"/>
    </xf>
    <xf numFmtId="17" fontId="22"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Alignment="1">
      <alignment horizontal="left" vertical="top"/>
    </xf>
    <xf numFmtId="0" fontId="0" fillId="0" borderId="0" xfId="0" applyAlignment="1">
      <alignment horizontal="center" vertical="top"/>
    </xf>
    <xf numFmtId="0" fontId="13" fillId="0" borderId="0" xfId="0" applyFont="1" applyAlignment="1">
      <alignment horizontal="center" vertical="top"/>
    </xf>
    <xf numFmtId="0" fontId="13" fillId="0" borderId="44" xfId="0" applyFont="1" applyBorder="1" applyAlignment="1">
      <alignment horizontal="center" vertical="top"/>
    </xf>
    <xf numFmtId="174" fontId="11" fillId="18" borderId="0" xfId="0" applyNumberFormat="1" applyFont="1" applyFill="1" applyAlignment="1">
      <alignment horizontal="center"/>
    </xf>
    <xf numFmtId="0" fontId="0" fillId="18" borderId="0" xfId="0" applyFill="1" applyAlignment="1">
      <alignment horizontal="center"/>
    </xf>
    <xf numFmtId="170" fontId="0" fillId="10" borderId="29" xfId="0" applyNumberFormat="1" applyFill="1" applyBorder="1" applyAlignment="1">
      <alignment horizontal="center"/>
    </xf>
    <xf numFmtId="0" fontId="11" fillId="0" borderId="47" xfId="0" applyFont="1" applyBorder="1" applyAlignment="1">
      <alignment horizontal="center" vertical="justify"/>
    </xf>
    <xf numFmtId="0" fontId="11" fillId="10" borderId="48" xfId="0" applyFont="1" applyFill="1" applyBorder="1" applyAlignment="1">
      <alignment horizontal="center" vertical="justify"/>
    </xf>
    <xf numFmtId="0" fontId="23" fillId="5" borderId="48" xfId="0" applyFont="1" applyFill="1" applyBorder="1" applyAlignment="1" applyProtection="1">
      <alignment horizontal="center" vertical="top"/>
      <protection locked="0"/>
    </xf>
    <xf numFmtId="0" fontId="23" fillId="0" borderId="48" xfId="0" applyFont="1" applyBorder="1" applyAlignment="1" applyProtection="1">
      <alignment horizontal="center" vertical="top"/>
      <protection locked="0"/>
    </xf>
    <xf numFmtId="0" fontId="23" fillId="7" borderId="48" xfId="0" applyFont="1" applyFill="1" applyBorder="1" applyAlignment="1" applyProtection="1">
      <alignment horizontal="center" vertical="top"/>
      <protection locked="0"/>
    </xf>
    <xf numFmtId="0" fontId="19" fillId="5" borderId="48" xfId="0" applyFont="1" applyFill="1" applyBorder="1" applyAlignment="1" applyProtection="1">
      <alignment horizontal="center" vertical="top"/>
      <protection locked="0"/>
    </xf>
    <xf numFmtId="0" fontId="0" fillId="0" borderId="31" xfId="0" applyBorder="1" applyAlignment="1" applyProtection="1">
      <alignment horizontal="left"/>
      <protection locked="0"/>
    </xf>
    <xf numFmtId="0" fontId="0" fillId="0" borderId="0" xfId="0" applyAlignment="1" applyProtection="1">
      <alignment horizontal="left"/>
      <protection locked="0"/>
    </xf>
    <xf numFmtId="0" fontId="19" fillId="7" borderId="48" xfId="0" applyFont="1" applyFill="1" applyBorder="1" applyAlignment="1" applyProtection="1">
      <alignment horizontal="center" vertical="top"/>
      <protection locked="0"/>
    </xf>
    <xf numFmtId="0" fontId="19" fillId="0" borderId="48"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9" xfId="0" applyFont="1" applyBorder="1" applyAlignment="1">
      <alignment horizontal="center" wrapText="1"/>
    </xf>
    <xf numFmtId="20" fontId="15" fillId="0" borderId="49"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5" fontId="20" fillId="0" borderId="0" xfId="0" applyNumberFormat="1" applyFont="1"/>
    <xf numFmtId="0" fontId="44" fillId="19" borderId="0" xfId="0" applyFont="1" applyFill="1" applyAlignment="1">
      <alignment horizontal="center"/>
    </xf>
    <xf numFmtId="0" fontId="45" fillId="19" borderId="0" xfId="0" applyFont="1" applyFill="1" applyAlignment="1">
      <alignment horizontal="left"/>
    </xf>
    <xf numFmtId="164" fontId="46"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3" fillId="0" borderId="0" xfId="0" applyFont="1" applyAlignment="1">
      <alignment horizontal="center" vertical="top"/>
    </xf>
    <xf numFmtId="0" fontId="19" fillId="0" borderId="0" xfId="0" applyFont="1" applyProtection="1">
      <protection locked="0"/>
    </xf>
    <xf numFmtId="1" fontId="12" fillId="3" borderId="50" xfId="0" applyNumberFormat="1" applyFont="1" applyFill="1" applyBorder="1" applyAlignment="1">
      <alignment horizontal="left" vertical="center"/>
    </xf>
    <xf numFmtId="0" fontId="0" fillId="0" borderId="51" xfId="0" applyBorder="1" applyAlignment="1">
      <alignment vertical="center"/>
    </xf>
    <xf numFmtId="0" fontId="48" fillId="3" borderId="11" xfId="0" applyFont="1" applyFill="1" applyBorder="1" applyAlignment="1">
      <alignment horizontal="left"/>
    </xf>
    <xf numFmtId="0" fontId="0" fillId="3" borderId="11" xfId="0" applyFill="1" applyBorder="1" applyAlignment="1">
      <alignment horizontal="left"/>
    </xf>
    <xf numFmtId="0" fontId="0" fillId="3" borderId="52" xfId="0" applyFill="1" applyBorder="1" applyAlignment="1">
      <alignment horizontal="center"/>
    </xf>
    <xf numFmtId="170" fontId="0" fillId="3" borderId="52" xfId="0" applyNumberFormat="1" applyFill="1" applyBorder="1" applyAlignment="1">
      <alignment horizontal="center"/>
    </xf>
    <xf numFmtId="0" fontId="0" fillId="3" borderId="53" xfId="0" applyFill="1" applyBorder="1" applyAlignment="1">
      <alignment horizontal="center"/>
    </xf>
    <xf numFmtId="0" fontId="49"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3" borderId="14"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50" fillId="21" borderId="54" xfId="0" applyFont="1" applyFill="1" applyBorder="1" applyAlignment="1" applyProtection="1">
      <alignment horizontal="center" vertical="center"/>
      <protection locked="0"/>
    </xf>
    <xf numFmtId="0" fontId="51" fillId="21" borderId="36"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5" xfId="0" applyFont="1" applyFill="1" applyBorder="1" applyAlignment="1" applyProtection="1">
      <alignment horizontal="left"/>
      <protection locked="0"/>
    </xf>
    <xf numFmtId="0" fontId="0" fillId="5" borderId="56" xfId="0" applyFill="1" applyBorder="1" applyProtection="1">
      <protection locked="0"/>
    </xf>
    <xf numFmtId="0" fontId="13" fillId="21" borderId="57" xfId="0" applyFont="1" applyFill="1" applyBorder="1" applyAlignment="1" applyProtection="1">
      <alignment horizontal="left" vertical="center"/>
      <protection locked="0"/>
    </xf>
    <xf numFmtId="0" fontId="19" fillId="0" borderId="0" xfId="0" applyFont="1" applyAlignment="1">
      <alignment horizontal="center"/>
    </xf>
    <xf numFmtId="0" fontId="19" fillId="0" borderId="58" xfId="0" applyFont="1" applyBorder="1" applyAlignment="1" applyProtection="1">
      <alignment horizontal="center" vertical="top" wrapText="1"/>
      <protection locked="0"/>
    </xf>
    <xf numFmtId="0" fontId="52" fillId="0" borderId="0" xfId="0" applyFont="1" applyAlignment="1" applyProtection="1">
      <alignment horizontal="right"/>
      <protection locked="0"/>
    </xf>
    <xf numFmtId="0" fontId="0" fillId="0" borderId="59" xfId="0" applyBorder="1"/>
    <xf numFmtId="0" fontId="0" fillId="0" borderId="60" xfId="0" applyBorder="1"/>
    <xf numFmtId="0" fontId="0" fillId="0" borderId="61" xfId="0" applyBorder="1"/>
    <xf numFmtId="0" fontId="12" fillId="3" borderId="62" xfId="0" applyFont="1" applyFill="1" applyBorder="1"/>
    <xf numFmtId="0" fontId="12" fillId="3" borderId="63" xfId="0" applyFont="1" applyFill="1" applyBorder="1"/>
    <xf numFmtId="0" fontId="12" fillId="3" borderId="64" xfId="0" applyFont="1" applyFill="1" applyBorder="1"/>
    <xf numFmtId="0" fontId="53" fillId="0" borderId="0" xfId="0" applyFont="1"/>
    <xf numFmtId="20" fontId="2" fillId="1" borderId="34" xfId="0" applyNumberFormat="1" applyFont="1" applyFill="1" applyBorder="1" applyAlignment="1">
      <alignment horizontal="left"/>
    </xf>
    <xf numFmtId="1" fontId="7" fillId="1" borderId="65" xfId="0" applyNumberFormat="1" applyFont="1" applyFill="1" applyBorder="1" applyAlignment="1">
      <alignment horizontal="center"/>
    </xf>
    <xf numFmtId="1" fontId="7" fillId="1" borderId="0" xfId="0" applyNumberFormat="1" applyFont="1" applyFill="1" applyAlignment="1">
      <alignment horizontal="center"/>
    </xf>
    <xf numFmtId="20" fontId="2" fillId="1" borderId="34" xfId="0" applyNumberFormat="1" applyFont="1" applyFill="1" applyBorder="1" applyAlignment="1">
      <alignment horizontal="center"/>
    </xf>
    <xf numFmtId="176" fontId="2" fillId="1" borderId="34" xfId="0" applyNumberFormat="1" applyFont="1" applyFill="1" applyBorder="1" applyAlignment="1">
      <alignment horizontal="center"/>
    </xf>
    <xf numFmtId="180" fontId="2" fillId="1" borderId="34" xfId="0" applyNumberFormat="1" applyFont="1" applyFill="1" applyBorder="1" applyAlignment="1">
      <alignment horizontal="center"/>
    </xf>
    <xf numFmtId="49" fontId="2" fillId="1" borderId="34" xfId="0" applyNumberFormat="1" applyFont="1" applyFill="1" applyBorder="1" applyAlignment="1">
      <alignment horizontal="center"/>
    </xf>
    <xf numFmtId="175" fontId="30" fillId="1" borderId="0" xfId="0" applyNumberFormat="1" applyFont="1" applyFill="1"/>
    <xf numFmtId="175" fontId="2" fillId="1" borderId="34" xfId="0" applyNumberFormat="1" applyFont="1" applyFill="1" applyBorder="1" applyAlignment="1">
      <alignment horizontal="center"/>
    </xf>
    <xf numFmtId="175" fontId="15" fillId="1" borderId="0" xfId="0" applyNumberFormat="1" applyFont="1" applyFill="1" applyAlignment="1">
      <alignment horizontal="center"/>
    </xf>
    <xf numFmtId="175"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5" fontId="37" fillId="1" borderId="0" xfId="0" applyNumberFormat="1" applyFont="1" applyFill="1"/>
    <xf numFmtId="20" fontId="6" fillId="1" borderId="34" xfId="0" applyNumberFormat="1" applyFont="1" applyFill="1" applyBorder="1" applyAlignment="1">
      <alignment horizontal="center"/>
    </xf>
    <xf numFmtId="179" fontId="3" fillId="0" borderId="0" xfId="0" applyNumberFormat="1" applyFont="1" applyProtection="1">
      <protection hidden="1"/>
    </xf>
    <xf numFmtId="179"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3"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7" fillId="0" borderId="0" xfId="0" applyFont="1" applyAlignment="1" applyProtection="1">
      <alignment vertical="center"/>
      <protection hidden="1"/>
    </xf>
    <xf numFmtId="164" fontId="2" fillId="4" borderId="66"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4"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7" fontId="29" fillId="0" borderId="67" xfId="0" applyNumberFormat="1" applyFont="1" applyBorder="1" applyProtection="1">
      <protection locked="0"/>
    </xf>
    <xf numFmtId="0" fontId="29" fillId="20" borderId="67" xfId="0" applyFont="1" applyFill="1" applyBorder="1" applyProtection="1">
      <protection locked="0"/>
    </xf>
    <xf numFmtId="0" fontId="29" fillId="20" borderId="68" xfId="0" applyFont="1" applyFill="1" applyBorder="1" applyProtection="1">
      <protection locked="0"/>
    </xf>
    <xf numFmtId="0" fontId="29" fillId="20" borderId="69" xfId="0" applyFont="1" applyFill="1" applyBorder="1" applyProtection="1">
      <protection locked="0"/>
    </xf>
    <xf numFmtId="0" fontId="29" fillId="20" borderId="70" xfId="0" applyFont="1" applyFill="1" applyBorder="1" applyProtection="1">
      <protection locked="0"/>
    </xf>
    <xf numFmtId="17" fontId="0" fillId="0" borderId="0" xfId="0" applyNumberFormat="1"/>
    <xf numFmtId="169" fontId="28" fillId="0" borderId="71" xfId="0" applyNumberFormat="1" applyFont="1" applyBorder="1" applyAlignment="1">
      <alignment horizontal="center" vertical="center"/>
    </xf>
    <xf numFmtId="169" fontId="28" fillId="0" borderId="36" xfId="0" applyNumberFormat="1" applyFont="1" applyBorder="1" applyAlignment="1">
      <alignment horizontal="center" vertical="center"/>
    </xf>
    <xf numFmtId="0" fontId="0" fillId="0" borderId="72" xfId="0" applyBorder="1"/>
    <xf numFmtId="0" fontId="12" fillId="5" borderId="9" xfId="0" applyFont="1" applyFill="1" applyBorder="1" applyAlignment="1">
      <alignment horizontal="right"/>
    </xf>
    <xf numFmtId="0" fontId="0" fillId="5" borderId="73" xfId="0" applyFill="1" applyBorder="1"/>
    <xf numFmtId="0" fontId="0" fillId="5" borderId="74" xfId="0" applyFill="1" applyBorder="1" applyAlignment="1">
      <alignment wrapText="1"/>
    </xf>
    <xf numFmtId="0" fontId="12" fillId="5" borderId="75" xfId="0" applyFont="1" applyFill="1" applyBorder="1" applyAlignment="1">
      <alignment horizontal="right"/>
    </xf>
    <xf numFmtId="0" fontId="0" fillId="5" borderId="76" xfId="0" applyFill="1" applyBorder="1" applyAlignment="1">
      <alignment wrapText="1"/>
    </xf>
    <xf numFmtId="0" fontId="12" fillId="7" borderId="75" xfId="0" applyFont="1" applyFill="1" applyBorder="1" applyAlignment="1" applyProtection="1">
      <alignment horizontal="right"/>
      <protection locked="0"/>
    </xf>
    <xf numFmtId="0" fontId="0" fillId="7" borderId="29" xfId="0" applyFill="1" applyBorder="1"/>
    <xf numFmtId="0" fontId="0" fillId="7" borderId="76" xfId="0" applyFill="1" applyBorder="1" applyAlignment="1">
      <alignment wrapText="1"/>
    </xf>
    <xf numFmtId="0" fontId="12" fillId="3" borderId="75" xfId="0" applyFont="1" applyFill="1" applyBorder="1" applyAlignment="1" applyProtection="1">
      <alignment horizontal="right"/>
      <protection locked="0"/>
    </xf>
    <xf numFmtId="0" fontId="0" fillId="0" borderId="29" xfId="0" applyBorder="1"/>
    <xf numFmtId="170" fontId="0" fillId="0" borderId="49" xfId="0" applyNumberFormat="1" applyBorder="1"/>
    <xf numFmtId="0" fontId="0" fillId="0" borderId="67" xfId="0" applyBorder="1"/>
    <xf numFmtId="0" fontId="12" fillId="5" borderId="77" xfId="0" applyFont="1" applyFill="1" applyBorder="1"/>
    <xf numFmtId="0" fontId="12" fillId="5" borderId="30" xfId="0" applyFont="1" applyFill="1" applyBorder="1"/>
    <xf numFmtId="0" fontId="12" fillId="7" borderId="30" xfId="0" applyFont="1" applyFill="1" applyBorder="1" applyProtection="1">
      <protection locked="0"/>
    </xf>
    <xf numFmtId="0" fontId="12" fillId="3" borderId="30" xfId="0" applyFont="1" applyFill="1" applyBorder="1" applyProtection="1">
      <protection locked="0"/>
    </xf>
    <xf numFmtId="0" fontId="0" fillId="5" borderId="78" xfId="0" applyFill="1" applyBorder="1"/>
    <xf numFmtId="0" fontId="0" fillId="5" borderId="79" xfId="0" applyFill="1" applyBorder="1"/>
    <xf numFmtId="0" fontId="0" fillId="7" borderId="79" xfId="0" applyFill="1" applyBorder="1"/>
    <xf numFmtId="0" fontId="0" fillId="0" borderId="79" xfId="0" applyBorder="1"/>
    <xf numFmtId="0" fontId="0" fillId="0" borderId="80" xfId="0" applyBorder="1"/>
    <xf numFmtId="0" fontId="12" fillId="16" borderId="0" xfId="0" applyFont="1" applyFill="1" applyAlignment="1" applyProtection="1">
      <alignment horizontal="left"/>
      <protection locked="0"/>
    </xf>
    <xf numFmtId="0" fontId="2" fillId="6" borderId="81"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5" xfId="0" applyFont="1" applyBorder="1" applyAlignment="1">
      <alignment horizontal="left" vertical="top" wrapText="1"/>
    </xf>
    <xf numFmtId="0" fontId="2" fillId="0" borderId="35" xfId="0" applyFont="1" applyBorder="1" applyAlignment="1">
      <alignment horizontal="left" wrapText="1"/>
    </xf>
    <xf numFmtId="175" fontId="6" fillId="3" borderId="0" xfId="0" applyNumberFormat="1" applyFont="1" applyFill="1" applyAlignment="1">
      <alignment horizontal="center"/>
    </xf>
    <xf numFmtId="17" fontId="0" fillId="0" borderId="82" xfId="0" applyNumberFormat="1" applyBorder="1" applyAlignment="1">
      <alignment horizontal="center" vertical="top" textRotation="90"/>
    </xf>
    <xf numFmtId="181" fontId="0" fillId="0" borderId="71" xfId="0" applyNumberFormat="1" applyBorder="1" applyAlignment="1">
      <alignment horizontal="center" vertical="top" textRotation="90"/>
    </xf>
    <xf numFmtId="173" fontId="0" fillId="0" borderId="35" xfId="0" applyNumberFormat="1" applyBorder="1" applyAlignment="1">
      <alignment horizontal="center" vertical="top"/>
    </xf>
    <xf numFmtId="0" fontId="0" fillId="0" borderId="64" xfId="0" applyBorder="1" applyAlignment="1">
      <alignment vertical="top" wrapText="1"/>
    </xf>
    <xf numFmtId="0" fontId="0" fillId="0" borderId="82" xfId="0" applyBorder="1" applyAlignment="1">
      <alignment vertical="top" wrapText="1"/>
    </xf>
    <xf numFmtId="167" fontId="20" fillId="0" borderId="0" xfId="0" applyNumberFormat="1" applyFont="1" applyProtection="1">
      <protection hidden="1"/>
    </xf>
    <xf numFmtId="1" fontId="0" fillId="5" borderId="73" xfId="0" applyNumberFormat="1" applyFill="1" applyBorder="1"/>
    <xf numFmtId="1" fontId="0" fillId="5" borderId="77" xfId="0" applyNumberFormat="1" applyFill="1" applyBorder="1"/>
    <xf numFmtId="1" fontId="0" fillId="5" borderId="83" xfId="0" applyNumberFormat="1" applyFill="1" applyBorder="1"/>
    <xf numFmtId="1" fontId="0" fillId="5" borderId="29" xfId="0" applyNumberFormat="1" applyFill="1" applyBorder="1"/>
    <xf numFmtId="1" fontId="0" fillId="5" borderId="30" xfId="0" applyNumberFormat="1" applyFill="1" applyBorder="1"/>
    <xf numFmtId="1" fontId="0" fillId="5" borderId="84" xfId="0" applyNumberFormat="1" applyFill="1" applyBorder="1"/>
    <xf numFmtId="1" fontId="0" fillId="7" borderId="29" xfId="0" applyNumberFormat="1" applyFill="1" applyBorder="1"/>
    <xf numFmtId="1" fontId="0" fillId="7" borderId="30" xfId="0" applyNumberFormat="1" applyFill="1" applyBorder="1"/>
    <xf numFmtId="1" fontId="0" fillId="7" borderId="84" xfId="0" applyNumberFormat="1" applyFill="1" applyBorder="1"/>
    <xf numFmtId="1" fontId="0" fillId="0" borderId="29" xfId="0" applyNumberFormat="1" applyBorder="1"/>
    <xf numFmtId="1" fontId="0" fillId="0" borderId="30" xfId="0" applyNumberFormat="1" applyBorder="1"/>
    <xf numFmtId="1" fontId="0" fillId="0" borderId="84" xfId="0" applyNumberFormat="1" applyBorder="1"/>
    <xf numFmtId="0" fontId="54" fillId="0" borderId="76" xfId="0" applyFont="1" applyBorder="1" applyAlignment="1">
      <alignment wrapText="1"/>
    </xf>
    <xf numFmtId="21" fontId="0" fillId="0" borderId="0" xfId="0" applyNumberFormat="1"/>
    <xf numFmtId="0" fontId="52" fillId="0" borderId="0" xfId="0" applyFont="1" applyAlignment="1" applyProtection="1">
      <alignment horizontal="center"/>
      <protection locked="0"/>
    </xf>
    <xf numFmtId="170" fontId="0" fillId="0" borderId="0" xfId="0" applyNumberFormat="1" applyAlignment="1">
      <alignment horizontal="center"/>
    </xf>
    <xf numFmtId="1" fontId="0" fillId="16" borderId="62" xfId="0" applyNumberFormat="1" applyFill="1" applyBorder="1"/>
    <xf numFmtId="1" fontId="0" fillId="16" borderId="72" xfId="0" applyNumberFormat="1" applyFill="1" applyBorder="1"/>
    <xf numFmtId="1" fontId="12" fillId="9" borderId="57" xfId="0" applyNumberFormat="1" applyFont="1" applyFill="1" applyBorder="1"/>
    <xf numFmtId="1" fontId="54" fillId="0" borderId="85" xfId="0" applyNumberFormat="1" applyFont="1" applyBorder="1"/>
    <xf numFmtId="1" fontId="54" fillId="0" borderId="86" xfId="0" applyNumberFormat="1" applyFont="1" applyBorder="1"/>
    <xf numFmtId="1" fontId="54" fillId="0" borderId="87" xfId="0" applyNumberFormat="1" applyFont="1" applyBorder="1"/>
    <xf numFmtId="49" fontId="0" fillId="0" borderId="0" xfId="0" applyNumberFormat="1" applyProtection="1">
      <protection locked="0"/>
    </xf>
    <xf numFmtId="1" fontId="12" fillId="3" borderId="50" xfId="0" applyNumberFormat="1" applyFont="1" applyFill="1" applyBorder="1" applyAlignment="1">
      <alignment horizontal="center" vertical="center"/>
    </xf>
    <xf numFmtId="1" fontId="12" fillId="3" borderId="50" xfId="0" applyNumberFormat="1" applyFont="1" applyFill="1" applyBorder="1" applyAlignment="1">
      <alignment vertical="center"/>
    </xf>
    <xf numFmtId="186" fontId="11" fillId="6" borderId="0" xfId="0" applyNumberFormat="1" applyFont="1" applyFill="1" applyAlignment="1">
      <alignment horizontal="left"/>
    </xf>
    <xf numFmtId="172" fontId="11" fillId="6" borderId="0" xfId="0" applyNumberFormat="1" applyFont="1" applyFill="1" applyAlignment="1">
      <alignment horizontal="left"/>
    </xf>
    <xf numFmtId="186" fontId="29" fillId="0" borderId="88" xfId="0" applyNumberFormat="1" applyFont="1" applyBorder="1" applyProtection="1">
      <protection locked="0"/>
    </xf>
    <xf numFmtId="186" fontId="29" fillId="0" borderId="89" xfId="0" applyNumberFormat="1" applyFont="1" applyBorder="1" applyProtection="1">
      <protection locked="0"/>
    </xf>
    <xf numFmtId="186" fontId="29" fillId="0" borderId="90" xfId="0" applyNumberFormat="1" applyFont="1" applyBorder="1" applyProtection="1">
      <protection locked="0"/>
    </xf>
    <xf numFmtId="186" fontId="29" fillId="0" borderId="73" xfId="0" applyNumberFormat="1" applyFont="1" applyBorder="1" applyAlignment="1" applyProtection="1">
      <alignment horizontal="center"/>
      <protection locked="0"/>
    </xf>
    <xf numFmtId="186" fontId="29" fillId="0" borderId="79" xfId="0" applyNumberFormat="1" applyFont="1" applyBorder="1" applyAlignment="1" applyProtection="1">
      <alignment horizontal="center"/>
      <protection locked="0"/>
    </xf>
    <xf numFmtId="186" fontId="29" fillId="0" borderId="29" xfId="0" applyNumberFormat="1" applyFont="1" applyBorder="1" applyAlignment="1" applyProtection="1">
      <alignment horizontal="center"/>
      <protection locked="0"/>
    </xf>
    <xf numFmtId="186" fontId="29" fillId="0" borderId="91" xfId="0" applyNumberFormat="1" applyFont="1" applyBorder="1" applyAlignment="1" applyProtection="1">
      <alignment horizontal="center"/>
      <protection locked="0"/>
    </xf>
    <xf numFmtId="186" fontId="29" fillId="0" borderId="92"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3" fontId="22" fillId="0" borderId="0" xfId="0" applyNumberFormat="1" applyFont="1" applyAlignment="1">
      <alignment horizontal="center" textRotation="90"/>
    </xf>
    <xf numFmtId="0" fontId="24" fillId="3" borderId="30" xfId="0" applyFont="1" applyFill="1" applyBorder="1" applyAlignment="1">
      <alignment horizontal="center"/>
    </xf>
    <xf numFmtId="0" fontId="24" fillId="3" borderId="76" xfId="0" applyFont="1" applyFill="1" applyBorder="1" applyAlignment="1">
      <alignment horizontal="center"/>
    </xf>
    <xf numFmtId="170" fontId="11" fillId="3" borderId="93" xfId="0" applyNumberFormat="1" applyFont="1" applyFill="1" applyBorder="1" applyAlignment="1">
      <alignment horizontal="center" vertical="center"/>
    </xf>
    <xf numFmtId="0" fontId="24" fillId="12" borderId="76" xfId="0" applyFont="1" applyFill="1" applyBorder="1" applyAlignment="1">
      <alignment horizontal="center"/>
    </xf>
    <xf numFmtId="0" fontId="24" fillId="14" borderId="30" xfId="0" applyFont="1" applyFill="1" applyBorder="1" applyAlignment="1">
      <alignment horizontal="center"/>
    </xf>
    <xf numFmtId="0" fontId="1" fillId="16" borderId="0" xfId="0" applyFont="1" applyFill="1" applyProtection="1">
      <protection locked="0"/>
    </xf>
    <xf numFmtId="0" fontId="5" fillId="16" borderId="0" xfId="0" applyFont="1" applyFill="1" applyAlignment="1" applyProtection="1">
      <alignment horizontal="right"/>
      <protection locked="0"/>
    </xf>
    <xf numFmtId="0" fontId="5" fillId="16" borderId="0" xfId="0" applyFont="1" applyFill="1" applyAlignment="1" applyProtection="1">
      <alignment horizontal="left"/>
      <protection locked="0"/>
    </xf>
    <xf numFmtId="0" fontId="1" fillId="16" borderId="0" xfId="0" applyFont="1" applyFill="1" applyAlignment="1" applyProtection="1">
      <alignment horizontal="left"/>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4"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8" fontId="0" fillId="3" borderId="46" xfId="0" applyNumberFormat="1" applyFill="1" applyBorder="1" applyAlignment="1">
      <alignment horizontal="center"/>
    </xf>
    <xf numFmtId="0" fontId="19" fillId="0" borderId="0" xfId="0" applyFont="1" applyAlignment="1">
      <alignment horizontal="right"/>
    </xf>
    <xf numFmtId="188" fontId="0" fillId="0" borderId="0" xfId="0" applyNumberFormat="1" applyAlignment="1">
      <alignment horizontal="center"/>
    </xf>
    <xf numFmtId="0" fontId="19" fillId="0" borderId="95"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9" fontId="0" fillId="0" borderId="0" xfId="0" applyNumberFormat="1" applyAlignment="1">
      <alignment horizontal="center"/>
    </xf>
    <xf numFmtId="0" fontId="2" fillId="0" borderId="8" xfId="0" applyFont="1" applyBorder="1" applyAlignment="1">
      <alignment horizontal="center"/>
    </xf>
    <xf numFmtId="0" fontId="2" fillId="22" borderId="35" xfId="0" applyFont="1" applyFill="1" applyBorder="1" applyAlignment="1">
      <alignment horizontal="left" vertical="top"/>
    </xf>
    <xf numFmtId="170" fontId="11" fillId="12" borderId="96" xfId="0" applyNumberFormat="1" applyFont="1" applyFill="1" applyBorder="1" applyAlignment="1">
      <alignment horizontal="center" vertical="center"/>
    </xf>
    <xf numFmtId="170" fontId="11" fillId="12" borderId="97"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170" fontId="11" fillId="3" borderId="99" xfId="0" applyNumberFormat="1" applyFont="1" applyFill="1" applyBorder="1" applyAlignment="1">
      <alignment horizontal="center" vertical="center"/>
    </xf>
    <xf numFmtId="0" fontId="24" fillId="3" borderId="75" xfId="0" applyFont="1" applyFill="1" applyBorder="1" applyAlignment="1">
      <alignment horizontal="center"/>
    </xf>
    <xf numFmtId="0" fontId="5" fillId="3" borderId="14" xfId="0" applyFont="1" applyFill="1" applyBorder="1" applyAlignment="1" applyProtection="1">
      <alignment horizontal="right"/>
      <protection locked="0"/>
    </xf>
    <xf numFmtId="188" fontId="57" fillId="0" borderId="0" xfId="0" applyNumberFormat="1" applyFont="1" applyAlignment="1">
      <alignment horizontal="center"/>
    </xf>
    <xf numFmtId="188" fontId="56" fillId="0" borderId="1" xfId="0" applyNumberFormat="1" applyFont="1" applyBorder="1" applyAlignment="1">
      <alignment horizontal="center"/>
    </xf>
    <xf numFmtId="188"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20" fillId="0" borderId="0" xfId="0" applyFont="1" applyAlignment="1">
      <alignment horizontal="center"/>
    </xf>
    <xf numFmtId="0" fontId="5" fillId="0" borderId="0" xfId="0" applyFont="1"/>
    <xf numFmtId="188" fontId="5" fillId="25" borderId="1" xfId="0" applyNumberFormat="1" applyFont="1" applyFill="1" applyBorder="1" applyAlignment="1">
      <alignment horizontal="center"/>
    </xf>
    <xf numFmtId="170" fontId="0" fillId="25" borderId="1" xfId="0" applyNumberFormat="1" applyFill="1" applyBorder="1" applyAlignment="1">
      <alignment horizontal="center"/>
    </xf>
    <xf numFmtId="0" fontId="0" fillId="25" borderId="0" xfId="0" applyFill="1"/>
    <xf numFmtId="0" fontId="5" fillId="25" borderId="1" xfId="0" applyFont="1" applyFill="1" applyBorder="1" applyAlignment="1">
      <alignment horizontal="center"/>
    </xf>
    <xf numFmtId="188" fontId="10" fillId="3" borderId="46"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9" xfId="0" applyNumberFormat="1" applyBorder="1" applyAlignment="1" applyProtection="1">
      <alignment horizontal="center"/>
      <protection locked="0"/>
    </xf>
    <xf numFmtId="2" fontId="0" fillId="0" borderId="29" xfId="0" applyNumberFormat="1" applyBorder="1" applyProtection="1">
      <protection locked="0"/>
    </xf>
    <xf numFmtId="2" fontId="0" fillId="0" borderId="29" xfId="0" applyNumberFormat="1" applyBorder="1"/>
    <xf numFmtId="2" fontId="0" fillId="0" borderId="29" xfId="0" applyNumberFormat="1" applyBorder="1" applyAlignment="1">
      <alignment horizontal="center"/>
    </xf>
    <xf numFmtId="2" fontId="55" fillId="0" borderId="29" xfId="0" applyNumberFormat="1" applyFont="1" applyBorder="1" applyProtection="1">
      <protection locked="0"/>
    </xf>
    <xf numFmtId="2" fontId="38" fillId="0" borderId="29" xfId="0" applyNumberFormat="1" applyFont="1" applyBorder="1" applyProtection="1">
      <protection locked="0"/>
    </xf>
    <xf numFmtId="2" fontId="0" fillId="0" borderId="31" xfId="0" applyNumberFormat="1" applyBorder="1" applyAlignment="1" applyProtection="1">
      <alignment horizontal="center"/>
      <protection locked="0"/>
    </xf>
    <xf numFmtId="2" fontId="0" fillId="0" borderId="31" xfId="0" applyNumberFormat="1" applyBorder="1" applyProtection="1">
      <protection locked="0"/>
    </xf>
    <xf numFmtId="2" fontId="0" fillId="0" borderId="31" xfId="0" applyNumberFormat="1" applyBorder="1"/>
    <xf numFmtId="2" fontId="0" fillId="0" borderId="31" xfId="0" applyNumberFormat="1" applyBorder="1" applyAlignment="1">
      <alignment horizontal="center"/>
    </xf>
    <xf numFmtId="2" fontId="0" fillId="3" borderId="52" xfId="0" applyNumberFormat="1" applyFill="1" applyBorder="1" applyAlignment="1">
      <alignment horizontal="center"/>
    </xf>
    <xf numFmtId="2" fontId="0" fillId="0" borderId="79" xfId="0" applyNumberFormat="1" applyBorder="1" applyAlignment="1">
      <alignment horizontal="center"/>
    </xf>
    <xf numFmtId="2" fontId="0" fillId="23" borderId="79" xfId="0" applyNumberFormat="1" applyFill="1" applyBorder="1" applyAlignment="1">
      <alignment horizontal="center"/>
    </xf>
    <xf numFmtId="2" fontId="0" fillId="0" borderId="100" xfId="0" applyNumberFormat="1" applyBorder="1"/>
    <xf numFmtId="2" fontId="0" fillId="3" borderId="101" xfId="0" applyNumberFormat="1" applyFill="1" applyBorder="1" applyAlignment="1">
      <alignment horizontal="center"/>
    </xf>
    <xf numFmtId="2" fontId="0" fillId="0" borderId="0" xfId="0" applyNumberFormat="1"/>
    <xf numFmtId="188" fontId="5" fillId="0" borderId="0" xfId="0" applyNumberFormat="1" applyFont="1" applyAlignment="1">
      <alignment horizontal="center"/>
    </xf>
    <xf numFmtId="0" fontId="5" fillId="0" borderId="0" xfId="0" applyFont="1" applyAlignment="1">
      <alignment horizontal="center"/>
    </xf>
    <xf numFmtId="2" fontId="0" fillId="26" borderId="29" xfId="0" applyNumberFormat="1" applyFill="1" applyBorder="1" applyAlignment="1" applyProtection="1">
      <alignment horizontal="center"/>
      <protection locked="0"/>
    </xf>
    <xf numFmtId="170" fontId="11" fillId="12" borderId="73" xfId="0" applyNumberFormat="1" applyFont="1" applyFill="1" applyBorder="1" applyAlignment="1">
      <alignment horizontal="center" vertical="center"/>
    </xf>
    <xf numFmtId="0" fontId="2" fillId="6" borderId="5" xfId="0" applyFont="1" applyFill="1" applyBorder="1" applyAlignment="1">
      <alignment horizontal="left"/>
    </xf>
    <xf numFmtId="0" fontId="2" fillId="26" borderId="35" xfId="0" applyFont="1" applyFill="1" applyBorder="1" applyAlignment="1">
      <alignment horizontal="left" vertical="top"/>
    </xf>
    <xf numFmtId="0" fontId="5" fillId="3" borderId="17" xfId="0" applyFont="1" applyFill="1" applyBorder="1" applyAlignment="1" applyProtection="1">
      <alignment horizontal="right"/>
      <protection locked="0"/>
    </xf>
    <xf numFmtId="0" fontId="24" fillId="14" borderId="29" xfId="0" applyFont="1" applyFill="1" applyBorder="1" applyAlignment="1">
      <alignment horizontal="center"/>
    </xf>
    <xf numFmtId="175"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0" fontId="24" fillId="0" borderId="76" xfId="0" applyFont="1" applyFill="1" applyBorder="1" applyAlignment="1">
      <alignment horizontal="center"/>
    </xf>
    <xf numFmtId="0" fontId="24" fillId="0" borderId="29" xfId="0" applyFont="1" applyFill="1" applyBorder="1" applyAlignment="1">
      <alignment horizontal="center"/>
    </xf>
    <xf numFmtId="170" fontId="11" fillId="0" borderId="29" xfId="0" applyNumberFormat="1" applyFont="1" applyFill="1" applyBorder="1" applyAlignment="1">
      <alignment horizontal="center" vertical="center"/>
    </xf>
    <xf numFmtId="170" fontId="11" fillId="0" borderId="96"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170" fontId="11" fillId="0" borderId="93" xfId="0" applyNumberFormat="1" applyFont="1" applyFill="1" applyBorder="1" applyAlignment="1">
      <alignment horizontal="center" vertical="center"/>
    </xf>
    <xf numFmtId="0" fontId="0" fillId="0" borderId="0" xfId="0" applyAlignment="1">
      <alignment horizontal="center"/>
    </xf>
    <xf numFmtId="178" fontId="2" fillId="0" borderId="0" xfId="0" applyNumberFormat="1" applyFont="1" applyAlignment="1">
      <alignment horizontal="left"/>
    </xf>
    <xf numFmtId="0" fontId="47" fillId="10" borderId="0" xfId="0" applyFont="1" applyFill="1" applyAlignment="1">
      <alignment horizontal="center" vertical="center"/>
    </xf>
    <xf numFmtId="179" fontId="23" fillId="0" borderId="0" xfId="0" applyNumberFormat="1" applyFont="1" applyAlignment="1">
      <alignment horizontal="center" vertical="top"/>
    </xf>
    <xf numFmtId="0" fontId="0" fillId="3" borderId="103" xfId="0" applyFill="1" applyBorder="1" applyAlignment="1">
      <alignment horizontal="right" vertical="center"/>
    </xf>
    <xf numFmtId="0" fontId="0" fillId="3" borderId="104" xfId="0" applyFill="1" applyBorder="1" applyAlignment="1">
      <alignment horizontal="right" vertical="center"/>
    </xf>
    <xf numFmtId="164" fontId="3" fillId="3" borderId="44" xfId="0" applyNumberFormat="1" applyFont="1" applyFill="1" applyBorder="1" applyAlignment="1">
      <alignment horizontal="center"/>
    </xf>
    <xf numFmtId="164" fontId="3" fillId="3" borderId="105" xfId="0" applyNumberFormat="1" applyFont="1" applyFill="1" applyBorder="1" applyAlignment="1">
      <alignment horizontal="center"/>
    </xf>
    <xf numFmtId="178" fontId="2" fillId="0" borderId="6" xfId="0" applyNumberFormat="1" applyFont="1" applyBorder="1" applyAlignment="1">
      <alignment horizontal="center"/>
    </xf>
    <xf numFmtId="178" fontId="2" fillId="0" borderId="5" xfId="0" applyNumberFormat="1" applyFont="1" applyBorder="1" applyAlignment="1">
      <alignment horizontal="center"/>
    </xf>
    <xf numFmtId="178" fontId="2" fillId="0" borderId="7" xfId="0" applyNumberFormat="1" applyFont="1" applyBorder="1" applyAlignment="1">
      <alignment horizontal="center"/>
    </xf>
    <xf numFmtId="0" fontId="15" fillId="0" borderId="11" xfId="0" applyFont="1" applyBorder="1" applyAlignment="1">
      <alignment horizontal="right"/>
    </xf>
    <xf numFmtId="0" fontId="26" fillId="0" borderId="0" xfId="0" applyFont="1" applyAlignment="1">
      <alignment horizontal="center"/>
    </xf>
    <xf numFmtId="0" fontId="0" fillId="0" borderId="0" xfId="0" applyAlignment="1">
      <alignment horizontal="center"/>
    </xf>
    <xf numFmtId="0" fontId="13" fillId="0" borderId="0" xfId="0" applyFont="1" applyAlignment="1">
      <alignment horizontal="center" vertical="center"/>
    </xf>
    <xf numFmtId="0" fontId="12" fillId="24" borderId="0" xfId="0" applyFont="1" applyFill="1" applyAlignment="1">
      <alignment horizontal="center" vertical="center"/>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49" fontId="0" fillId="3" borderId="14" xfId="0" applyNumberFormat="1" applyFill="1" applyBorder="1" applyAlignment="1" applyProtection="1">
      <alignment horizontal="left"/>
      <protection locked="0"/>
    </xf>
    <xf numFmtId="49" fontId="0" fillId="3" borderId="15" xfId="0" applyNumberFormat="1" applyFill="1" applyBorder="1" applyAlignment="1" applyProtection="1">
      <alignment horizontal="left"/>
      <protection locked="0"/>
    </xf>
    <xf numFmtId="49" fontId="0" fillId="3" borderId="16" xfId="0" applyNumberFormat="1" applyFill="1" applyBorder="1" applyAlignment="1" applyProtection="1">
      <alignment horizontal="left"/>
      <protection locked="0"/>
    </xf>
    <xf numFmtId="0" fontId="1" fillId="5" borderId="17" xfId="0"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50" fillId="21" borderId="54" xfId="0" applyFont="1" applyFill="1" applyBorder="1" applyAlignment="1" applyProtection="1">
      <alignment horizontal="center" vertical="center"/>
      <protection locked="0"/>
    </xf>
    <xf numFmtId="0" fontId="50" fillId="21" borderId="36" xfId="0" applyFont="1" applyFill="1" applyBorder="1" applyAlignment="1" applyProtection="1">
      <alignment horizontal="center" vertical="center"/>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5" borderId="108" xfId="0" applyFill="1" applyBorder="1" applyAlignment="1" applyProtection="1">
      <alignment horizontal="left"/>
      <protection locked="0"/>
    </xf>
    <xf numFmtId="0" fontId="0" fillId="0" borderId="15" xfId="0" applyBorder="1" applyAlignment="1" applyProtection="1">
      <alignment horizontal="center"/>
      <protection locked="0"/>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178" fontId="2" fillId="0" borderId="6" xfId="0" applyNumberFormat="1" applyFont="1" applyBorder="1" applyAlignment="1" applyProtection="1">
      <alignment horizontal="left"/>
      <protection hidden="1"/>
    </xf>
    <xf numFmtId="178" fontId="2" fillId="0" borderId="7" xfId="0" applyNumberFormat="1" applyFont="1" applyBorder="1" applyAlignment="1" applyProtection="1">
      <alignment horizontal="left"/>
      <protection hidden="1"/>
    </xf>
    <xf numFmtId="164" fontId="2" fillId="4" borderId="66" xfId="0" applyNumberFormat="1" applyFont="1" applyFill="1" applyBorder="1" applyAlignment="1" applyProtection="1">
      <alignment horizontal="left" vertical="center"/>
      <protection hidden="1"/>
    </xf>
    <xf numFmtId="164" fontId="2" fillId="4" borderId="109" xfId="0" applyNumberFormat="1" applyFont="1" applyFill="1" applyBorder="1" applyAlignment="1" applyProtection="1">
      <alignment horizontal="left" vertical="center"/>
      <protection hidden="1"/>
    </xf>
    <xf numFmtId="0" fontId="24" fillId="0" borderId="30" xfId="0" applyFont="1" applyFill="1" applyBorder="1" applyAlignment="1">
      <alignment horizontal="center"/>
    </xf>
    <xf numFmtId="170" fontId="11" fillId="0" borderId="31" xfId="0" applyNumberFormat="1" applyFont="1" applyFill="1" applyBorder="1" applyAlignment="1">
      <alignment horizontal="center" vertical="center"/>
    </xf>
    <xf numFmtId="170" fontId="11" fillId="0" borderId="73" xfId="0" applyNumberFormat="1" applyFont="1" applyFill="1" applyBorder="1" applyAlignment="1">
      <alignment horizontal="center" vertical="center"/>
    </xf>
    <xf numFmtId="0" fontId="24" fillId="12" borderId="30" xfId="0" applyFont="1" applyFill="1" applyBorder="1" applyAlignment="1">
      <alignment horizontal="center"/>
    </xf>
    <xf numFmtId="170" fontId="11" fillId="0" borderId="102" xfId="0" applyNumberFormat="1" applyFont="1" applyFill="1" applyBorder="1" applyAlignment="1">
      <alignment horizontal="center" vertical="center"/>
    </xf>
    <xf numFmtId="0" fontId="24" fillId="0" borderId="75" xfId="0" applyFont="1" applyFill="1" applyBorder="1" applyAlignment="1">
      <alignment horizontal="center"/>
    </xf>
    <xf numFmtId="170" fontId="11" fillId="0" borderId="98" xfId="0" applyNumberFormat="1" applyFont="1" applyFill="1" applyBorder="1" applyAlignment="1">
      <alignment horizontal="center" vertical="center"/>
    </xf>
    <xf numFmtId="170" fontId="11" fillId="0" borderId="111" xfId="0" applyNumberFormat="1" applyFont="1" applyFill="1" applyBorder="1" applyAlignment="1">
      <alignment horizontal="center" vertical="center"/>
    </xf>
    <xf numFmtId="170" fontId="11" fillId="3" borderId="102" xfId="0" applyNumberFormat="1" applyFont="1" applyFill="1" applyBorder="1" applyAlignment="1">
      <alignment horizontal="center" vertical="center"/>
    </xf>
    <xf numFmtId="170" fontId="11" fillId="0" borderId="70" xfId="0" applyNumberFormat="1" applyFont="1" applyFill="1" applyBorder="1" applyAlignment="1">
      <alignment horizontal="center" vertical="center"/>
    </xf>
    <xf numFmtId="170" fontId="11" fillId="0" borderId="110" xfId="0" applyNumberFormat="1" applyFont="1" applyFill="1" applyBorder="1" applyAlignment="1">
      <alignment horizontal="center" vertical="center"/>
    </xf>
    <xf numFmtId="170" fontId="11" fillId="0" borderId="99" xfId="0" applyNumberFormat="1" applyFont="1" applyFill="1" applyBorder="1" applyAlignment="1">
      <alignment horizontal="center" vertical="center"/>
    </xf>
    <xf numFmtId="175" fontId="62" fillId="3" borderId="16" xfId="0" applyNumberFormat="1" applyFont="1" applyFill="1" applyBorder="1" applyAlignment="1" applyProtection="1">
      <alignment horizontal="left"/>
      <protection locked="0"/>
    </xf>
  </cellXfs>
  <cellStyles count="3">
    <cellStyle name="Normal 2" xfId="1" xr:uid="{9EF1560B-1553-4A06-AD26-451826D093D2}"/>
    <cellStyle name="Normal 5" xfId="2" xr:uid="{B0F5FC8D-FD0B-4C73-8843-083E99CE7040}"/>
    <cellStyle name="Standard" xfId="0" builtinId="0"/>
  </cellStyles>
  <dxfs count="69">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ont>
        <b/>
        <i val="0"/>
        <color auto="1"/>
      </font>
      <fill>
        <patternFill>
          <bgColor theme="9" tint="0.59996337778862885"/>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ont>
        <b/>
        <i val="0"/>
        <condense val="0"/>
        <extend val="0"/>
        <color indexed="10"/>
      </font>
    </dxf>
    <dxf>
      <font>
        <condense val="0"/>
        <extend val="0"/>
        <color indexed="10"/>
      </font>
    </dxf>
    <dxf>
      <font>
        <b val="0"/>
        <i val="0"/>
        <condense val="0"/>
        <extend val="0"/>
        <color indexed="10"/>
      </font>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42369</c:v>
                </c:pt>
                <c:pt idx="1">
                  <c:v>42370</c:v>
                </c:pt>
                <c:pt idx="2">
                  <c:v>42371</c:v>
                </c:pt>
                <c:pt idx="3">
                  <c:v>42372</c:v>
                </c:pt>
                <c:pt idx="4">
                  <c:v>42373</c:v>
                </c:pt>
                <c:pt idx="5">
                  <c:v>42374</c:v>
                </c:pt>
                <c:pt idx="6">
                  <c:v>42375</c:v>
                </c:pt>
                <c:pt idx="7">
                  <c:v>42376</c:v>
                </c:pt>
                <c:pt idx="8">
                  <c:v>42377</c:v>
                </c:pt>
                <c:pt idx="9">
                  <c:v>42378</c:v>
                </c:pt>
                <c:pt idx="10">
                  <c:v>42379</c:v>
                </c:pt>
                <c:pt idx="11">
                  <c:v>42380</c:v>
                </c:pt>
                <c:pt idx="12">
                  <c:v>42381</c:v>
                </c:pt>
                <c:pt idx="13">
                  <c:v>42382</c:v>
                </c:pt>
                <c:pt idx="14">
                  <c:v>42383</c:v>
                </c:pt>
                <c:pt idx="15">
                  <c:v>42384</c:v>
                </c:pt>
                <c:pt idx="16">
                  <c:v>42385</c:v>
                </c:pt>
                <c:pt idx="17">
                  <c:v>42386</c:v>
                </c:pt>
                <c:pt idx="18">
                  <c:v>42387</c:v>
                </c:pt>
                <c:pt idx="19">
                  <c:v>42388</c:v>
                </c:pt>
                <c:pt idx="20">
                  <c:v>42389</c:v>
                </c:pt>
                <c:pt idx="21">
                  <c:v>42390</c:v>
                </c:pt>
                <c:pt idx="22">
                  <c:v>42391</c:v>
                </c:pt>
                <c:pt idx="23">
                  <c:v>42392</c:v>
                </c:pt>
                <c:pt idx="24">
                  <c:v>42393</c:v>
                </c:pt>
                <c:pt idx="25">
                  <c:v>42394</c:v>
                </c:pt>
                <c:pt idx="26">
                  <c:v>42395</c:v>
                </c:pt>
                <c:pt idx="27">
                  <c:v>42396</c:v>
                </c:pt>
                <c:pt idx="28">
                  <c:v>42397</c:v>
                </c:pt>
                <c:pt idx="29">
                  <c:v>42398</c:v>
                </c:pt>
                <c:pt idx="30">
                  <c:v>42399</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42369</c:v>
                </c:pt>
                <c:pt idx="1">
                  <c:v>42370</c:v>
                </c:pt>
                <c:pt idx="2">
                  <c:v>42371</c:v>
                </c:pt>
                <c:pt idx="3">
                  <c:v>42372</c:v>
                </c:pt>
                <c:pt idx="4">
                  <c:v>42373</c:v>
                </c:pt>
                <c:pt idx="5">
                  <c:v>42374</c:v>
                </c:pt>
                <c:pt idx="6">
                  <c:v>42375</c:v>
                </c:pt>
                <c:pt idx="7">
                  <c:v>42376</c:v>
                </c:pt>
                <c:pt idx="8">
                  <c:v>42377</c:v>
                </c:pt>
                <c:pt idx="9">
                  <c:v>42378</c:v>
                </c:pt>
                <c:pt idx="10">
                  <c:v>42379</c:v>
                </c:pt>
                <c:pt idx="11">
                  <c:v>42380</c:v>
                </c:pt>
                <c:pt idx="12">
                  <c:v>42381</c:v>
                </c:pt>
                <c:pt idx="13">
                  <c:v>42382</c:v>
                </c:pt>
                <c:pt idx="14">
                  <c:v>42383</c:v>
                </c:pt>
                <c:pt idx="15">
                  <c:v>42384</c:v>
                </c:pt>
                <c:pt idx="16">
                  <c:v>42385</c:v>
                </c:pt>
                <c:pt idx="17">
                  <c:v>42386</c:v>
                </c:pt>
                <c:pt idx="18">
                  <c:v>42387</c:v>
                </c:pt>
                <c:pt idx="19">
                  <c:v>42388</c:v>
                </c:pt>
                <c:pt idx="20">
                  <c:v>42389</c:v>
                </c:pt>
                <c:pt idx="21">
                  <c:v>42390</c:v>
                </c:pt>
                <c:pt idx="22">
                  <c:v>42391</c:v>
                </c:pt>
                <c:pt idx="23">
                  <c:v>42392</c:v>
                </c:pt>
                <c:pt idx="24">
                  <c:v>42393</c:v>
                </c:pt>
                <c:pt idx="25">
                  <c:v>42394</c:v>
                </c:pt>
                <c:pt idx="26">
                  <c:v>42395</c:v>
                </c:pt>
                <c:pt idx="27">
                  <c:v>42396</c:v>
                </c:pt>
                <c:pt idx="28">
                  <c:v>42397</c:v>
                </c:pt>
                <c:pt idx="29">
                  <c:v>42398</c:v>
                </c:pt>
                <c:pt idx="30">
                  <c:v>42399</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42369</c:v>
                </c:pt>
                <c:pt idx="1">
                  <c:v>42370</c:v>
                </c:pt>
                <c:pt idx="2">
                  <c:v>42371</c:v>
                </c:pt>
                <c:pt idx="3">
                  <c:v>42372</c:v>
                </c:pt>
                <c:pt idx="4">
                  <c:v>42373</c:v>
                </c:pt>
                <c:pt idx="5">
                  <c:v>42374</c:v>
                </c:pt>
                <c:pt idx="6">
                  <c:v>42375</c:v>
                </c:pt>
                <c:pt idx="7">
                  <c:v>42376</c:v>
                </c:pt>
                <c:pt idx="8">
                  <c:v>42377</c:v>
                </c:pt>
                <c:pt idx="9">
                  <c:v>42378</c:v>
                </c:pt>
                <c:pt idx="10">
                  <c:v>42379</c:v>
                </c:pt>
                <c:pt idx="11">
                  <c:v>42380</c:v>
                </c:pt>
                <c:pt idx="12">
                  <c:v>42381</c:v>
                </c:pt>
                <c:pt idx="13">
                  <c:v>42382</c:v>
                </c:pt>
                <c:pt idx="14">
                  <c:v>42383</c:v>
                </c:pt>
                <c:pt idx="15">
                  <c:v>42384</c:v>
                </c:pt>
                <c:pt idx="16">
                  <c:v>42385</c:v>
                </c:pt>
                <c:pt idx="17">
                  <c:v>42386</c:v>
                </c:pt>
                <c:pt idx="18">
                  <c:v>42387</c:v>
                </c:pt>
                <c:pt idx="19">
                  <c:v>42388</c:v>
                </c:pt>
                <c:pt idx="20">
                  <c:v>42389</c:v>
                </c:pt>
                <c:pt idx="21">
                  <c:v>42390</c:v>
                </c:pt>
                <c:pt idx="22">
                  <c:v>42391</c:v>
                </c:pt>
                <c:pt idx="23">
                  <c:v>42392</c:v>
                </c:pt>
                <c:pt idx="24">
                  <c:v>42393</c:v>
                </c:pt>
                <c:pt idx="25">
                  <c:v>42394</c:v>
                </c:pt>
                <c:pt idx="26">
                  <c:v>42395</c:v>
                </c:pt>
                <c:pt idx="27">
                  <c:v>42396</c:v>
                </c:pt>
                <c:pt idx="28">
                  <c:v>42397</c:v>
                </c:pt>
                <c:pt idx="29">
                  <c:v>42398</c:v>
                </c:pt>
                <c:pt idx="30">
                  <c:v>42399</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42369</c:v>
                </c:pt>
                <c:pt idx="1">
                  <c:v>42370</c:v>
                </c:pt>
                <c:pt idx="2">
                  <c:v>42371</c:v>
                </c:pt>
                <c:pt idx="3">
                  <c:v>42372</c:v>
                </c:pt>
                <c:pt idx="4">
                  <c:v>42373</c:v>
                </c:pt>
                <c:pt idx="5">
                  <c:v>42374</c:v>
                </c:pt>
                <c:pt idx="6">
                  <c:v>42375</c:v>
                </c:pt>
                <c:pt idx="7">
                  <c:v>42376</c:v>
                </c:pt>
                <c:pt idx="8">
                  <c:v>42377</c:v>
                </c:pt>
                <c:pt idx="9">
                  <c:v>42378</c:v>
                </c:pt>
                <c:pt idx="10">
                  <c:v>42379</c:v>
                </c:pt>
                <c:pt idx="11">
                  <c:v>42380</c:v>
                </c:pt>
                <c:pt idx="12">
                  <c:v>42381</c:v>
                </c:pt>
                <c:pt idx="13">
                  <c:v>42382</c:v>
                </c:pt>
                <c:pt idx="14">
                  <c:v>42383</c:v>
                </c:pt>
                <c:pt idx="15">
                  <c:v>42384</c:v>
                </c:pt>
                <c:pt idx="16">
                  <c:v>42385</c:v>
                </c:pt>
                <c:pt idx="17">
                  <c:v>42386</c:v>
                </c:pt>
                <c:pt idx="18">
                  <c:v>42387</c:v>
                </c:pt>
                <c:pt idx="19">
                  <c:v>42388</c:v>
                </c:pt>
                <c:pt idx="20">
                  <c:v>42389</c:v>
                </c:pt>
                <c:pt idx="21">
                  <c:v>42390</c:v>
                </c:pt>
                <c:pt idx="22">
                  <c:v>42391</c:v>
                </c:pt>
                <c:pt idx="23">
                  <c:v>42392</c:v>
                </c:pt>
                <c:pt idx="24">
                  <c:v>42393</c:v>
                </c:pt>
                <c:pt idx="25">
                  <c:v>42394</c:v>
                </c:pt>
                <c:pt idx="26">
                  <c:v>42395</c:v>
                </c:pt>
                <c:pt idx="27">
                  <c:v>42396</c:v>
                </c:pt>
                <c:pt idx="28">
                  <c:v>42397</c:v>
                </c:pt>
                <c:pt idx="29">
                  <c:v>42398</c:v>
                </c:pt>
                <c:pt idx="30">
                  <c:v>42399</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6"/>
                <c:pt idx="0">
                  <c:v>20-Jan</c:v>
                </c:pt>
                <c:pt idx="1">
                  <c:v>20-Jan</c:v>
                </c:pt>
                <c:pt idx="2">
                  <c:v>20-Jan</c:v>
                </c:pt>
                <c:pt idx="3">
                  <c:v>20-Jan</c:v>
                </c:pt>
                <c:pt idx="4">
                  <c:v>20-Jan</c:v>
                </c:pt>
                <c:pt idx="5">
                  <c:v>20-Jan</c:v>
                </c:pt>
                <c:pt idx="6">
                  <c:v>20-Jan</c:v>
                </c:pt>
                <c:pt idx="7">
                  <c:v>20-Jan</c:v>
                </c:pt>
                <c:pt idx="8">
                  <c:v>20-Jan</c:v>
                </c:pt>
                <c:pt idx="9">
                  <c:v>20-Jan</c:v>
                </c:pt>
                <c:pt idx="10">
                  <c:v>20-Jan</c:v>
                </c:pt>
                <c:pt idx="11">
                  <c:v>20-Jan</c:v>
                </c:pt>
                <c:pt idx="12">
                  <c:v>20-Jan</c:v>
                </c:pt>
                <c:pt idx="13">
                  <c:v>20-Jan</c:v>
                </c:pt>
                <c:pt idx="14">
                  <c:v>20-Jan</c:v>
                </c:pt>
                <c:pt idx="15">
                  <c:v>20-Jan</c:v>
                </c:pt>
                <c:pt idx="16">
                  <c:v>20-Jan</c:v>
                </c:pt>
                <c:pt idx="17">
                  <c:v>20-Jan</c:v>
                </c:pt>
                <c:pt idx="18">
                  <c:v>20-Jan</c:v>
                </c:pt>
                <c:pt idx="19">
                  <c:v>20-Jan</c:v>
                </c:pt>
                <c:pt idx="20">
                  <c:v>20-Jan</c:v>
                </c:pt>
                <c:pt idx="21">
                  <c:v>20-Jan</c:v>
                </c:pt>
                <c:pt idx="22">
                  <c:v>20-Jan</c:v>
                </c:pt>
                <c:pt idx="23">
                  <c:v>20-Jan</c:v>
                </c:pt>
                <c:pt idx="24">
                  <c:v>20-Jan</c:v>
                </c:pt>
                <c:pt idx="25">
                  <c:v>20-Jan</c:v>
                </c:pt>
                <c:pt idx="26">
                  <c:v>20-Jan</c:v>
                </c:pt>
                <c:pt idx="27">
                  <c:v>20-Jan</c:v>
                </c:pt>
                <c:pt idx="28">
                  <c:v>20-Jan</c:v>
                </c:pt>
                <c:pt idx="29">
                  <c:v>20-Jan</c:v>
                </c:pt>
                <c:pt idx="30">
                  <c:v>20-Jan</c:v>
                </c:pt>
                <c:pt idx="31">
                  <c:v>20-Feb</c:v>
                </c:pt>
                <c:pt idx="32">
                  <c:v>20-Feb</c:v>
                </c:pt>
                <c:pt idx="33">
                  <c:v>20-Feb</c:v>
                </c:pt>
                <c:pt idx="34">
                  <c:v>20-Feb</c:v>
                </c:pt>
                <c:pt idx="35">
                  <c:v>20-Feb</c:v>
                </c:pt>
                <c:pt idx="36">
                  <c:v>20-Feb</c:v>
                </c:pt>
                <c:pt idx="37">
                  <c:v>20-Feb</c:v>
                </c:pt>
                <c:pt idx="38">
                  <c:v>20-Feb</c:v>
                </c:pt>
                <c:pt idx="39">
                  <c:v>20-Feb</c:v>
                </c:pt>
                <c:pt idx="40">
                  <c:v>20-Feb</c:v>
                </c:pt>
                <c:pt idx="41">
                  <c:v>20-Feb</c:v>
                </c:pt>
                <c:pt idx="42">
                  <c:v>20-Feb</c:v>
                </c:pt>
                <c:pt idx="43">
                  <c:v>20-Feb</c:v>
                </c:pt>
                <c:pt idx="44">
                  <c:v>20-Feb</c:v>
                </c:pt>
                <c:pt idx="45">
                  <c:v>20-Feb</c:v>
                </c:pt>
                <c:pt idx="46">
                  <c:v>20-Feb</c:v>
                </c:pt>
                <c:pt idx="47">
                  <c:v>20-Feb</c:v>
                </c:pt>
                <c:pt idx="48">
                  <c:v>20-Feb</c:v>
                </c:pt>
                <c:pt idx="49">
                  <c:v>20-Feb</c:v>
                </c:pt>
                <c:pt idx="50">
                  <c:v>20-Feb</c:v>
                </c:pt>
                <c:pt idx="51">
                  <c:v>20-Feb</c:v>
                </c:pt>
                <c:pt idx="52">
                  <c:v>20-Feb</c:v>
                </c:pt>
                <c:pt idx="53">
                  <c:v>20-Feb</c:v>
                </c:pt>
                <c:pt idx="54">
                  <c:v>20-Feb</c:v>
                </c:pt>
                <c:pt idx="55">
                  <c:v>20-Feb</c:v>
                </c:pt>
                <c:pt idx="56">
                  <c:v>20-Feb</c:v>
                </c:pt>
                <c:pt idx="57">
                  <c:v>20-Feb</c:v>
                </c:pt>
                <c:pt idx="58">
                  <c:v>20-Feb</c:v>
                </c:pt>
                <c:pt idx="59">
                  <c:v>20-Feb</c:v>
                </c:pt>
                <c:pt idx="60">
                  <c:v>20-Mar</c:v>
                </c:pt>
                <c:pt idx="61">
                  <c:v>20-Mar</c:v>
                </c:pt>
                <c:pt idx="62">
                  <c:v>20-Mar</c:v>
                </c:pt>
                <c:pt idx="63">
                  <c:v>20-Mar</c:v>
                </c:pt>
                <c:pt idx="64">
                  <c:v>20-Mar</c:v>
                </c:pt>
                <c:pt idx="65">
                  <c:v>20-Mar</c:v>
                </c:pt>
                <c:pt idx="66">
                  <c:v>20-Mar</c:v>
                </c:pt>
                <c:pt idx="67">
                  <c:v>20-Mar</c:v>
                </c:pt>
                <c:pt idx="68">
                  <c:v>20-Mar</c:v>
                </c:pt>
                <c:pt idx="69">
                  <c:v>20-Mar</c:v>
                </c:pt>
                <c:pt idx="70">
                  <c:v>20-Mar</c:v>
                </c:pt>
                <c:pt idx="71">
                  <c:v>20-Mar</c:v>
                </c:pt>
                <c:pt idx="72">
                  <c:v>20-Mar</c:v>
                </c:pt>
                <c:pt idx="73">
                  <c:v>20-Mar</c:v>
                </c:pt>
                <c:pt idx="74">
                  <c:v>20-Mar</c:v>
                </c:pt>
                <c:pt idx="75">
                  <c:v>20-Mar</c:v>
                </c:pt>
                <c:pt idx="76">
                  <c:v>20-Mar</c:v>
                </c:pt>
                <c:pt idx="77">
                  <c:v>20-Mar</c:v>
                </c:pt>
                <c:pt idx="78">
                  <c:v>20-Mar</c:v>
                </c:pt>
                <c:pt idx="79">
                  <c:v>20-Mar</c:v>
                </c:pt>
                <c:pt idx="80">
                  <c:v>20-Mar</c:v>
                </c:pt>
                <c:pt idx="81">
                  <c:v>20-Mar</c:v>
                </c:pt>
                <c:pt idx="82">
                  <c:v>20-Mar</c:v>
                </c:pt>
                <c:pt idx="83">
                  <c:v>20-Mar</c:v>
                </c:pt>
                <c:pt idx="84">
                  <c:v>20-Mar</c:v>
                </c:pt>
                <c:pt idx="85">
                  <c:v>20-Mar</c:v>
                </c:pt>
                <c:pt idx="86">
                  <c:v>20-Mar</c:v>
                </c:pt>
                <c:pt idx="87">
                  <c:v>20-Mar</c:v>
                </c:pt>
                <c:pt idx="88">
                  <c:v>20-Mar</c:v>
                </c:pt>
                <c:pt idx="89">
                  <c:v>20-Mar</c:v>
                </c:pt>
                <c:pt idx="90">
                  <c:v>20-Mar</c:v>
                </c:pt>
                <c:pt idx="91">
                  <c:v>20-Apr</c:v>
                </c:pt>
                <c:pt idx="92">
                  <c:v>20-Apr</c:v>
                </c:pt>
                <c:pt idx="93">
                  <c:v>20-Apr</c:v>
                </c:pt>
                <c:pt idx="94">
                  <c:v>20-Apr</c:v>
                </c:pt>
                <c:pt idx="95">
                  <c:v>20-Apr</c:v>
                </c:pt>
                <c:pt idx="96">
                  <c:v>20-Apr</c:v>
                </c:pt>
                <c:pt idx="97">
                  <c:v>20-Apr</c:v>
                </c:pt>
                <c:pt idx="98">
                  <c:v>20-Apr</c:v>
                </c:pt>
                <c:pt idx="99">
                  <c:v>20-Apr</c:v>
                </c:pt>
                <c:pt idx="100">
                  <c:v>20-Apr</c:v>
                </c:pt>
                <c:pt idx="101">
                  <c:v>20-Apr</c:v>
                </c:pt>
                <c:pt idx="102">
                  <c:v>20-Apr</c:v>
                </c:pt>
                <c:pt idx="103">
                  <c:v>20-Apr</c:v>
                </c:pt>
                <c:pt idx="104">
                  <c:v>20-Apr</c:v>
                </c:pt>
                <c:pt idx="105">
                  <c:v>20-Apr</c:v>
                </c:pt>
                <c:pt idx="106">
                  <c:v>20-Apr</c:v>
                </c:pt>
                <c:pt idx="107">
                  <c:v>20-Apr</c:v>
                </c:pt>
                <c:pt idx="108">
                  <c:v>20-Apr</c:v>
                </c:pt>
                <c:pt idx="109">
                  <c:v>20-Apr</c:v>
                </c:pt>
                <c:pt idx="110">
                  <c:v>20-Apr</c:v>
                </c:pt>
                <c:pt idx="111">
                  <c:v>20-Apr</c:v>
                </c:pt>
                <c:pt idx="112">
                  <c:v>20-Apr</c:v>
                </c:pt>
                <c:pt idx="113">
                  <c:v>20-Apr</c:v>
                </c:pt>
                <c:pt idx="114">
                  <c:v>20-Apr</c:v>
                </c:pt>
                <c:pt idx="115">
                  <c:v>20-Apr</c:v>
                </c:pt>
                <c:pt idx="116">
                  <c:v>20-Apr</c:v>
                </c:pt>
                <c:pt idx="117">
                  <c:v>20-Apr</c:v>
                </c:pt>
                <c:pt idx="118">
                  <c:v>20-Apr</c:v>
                </c:pt>
                <c:pt idx="119">
                  <c:v>20-Apr</c:v>
                </c:pt>
                <c:pt idx="120">
                  <c:v>20-Apr</c:v>
                </c:pt>
                <c:pt idx="121">
                  <c:v>20-May</c:v>
                </c:pt>
                <c:pt idx="122">
                  <c:v>20-May</c:v>
                </c:pt>
                <c:pt idx="123">
                  <c:v>20-May</c:v>
                </c:pt>
                <c:pt idx="124">
                  <c:v>20-May</c:v>
                </c:pt>
                <c:pt idx="125">
                  <c:v>20-May</c:v>
                </c:pt>
                <c:pt idx="126">
                  <c:v>20-May</c:v>
                </c:pt>
                <c:pt idx="127">
                  <c:v>20-May</c:v>
                </c:pt>
                <c:pt idx="128">
                  <c:v>20-May</c:v>
                </c:pt>
                <c:pt idx="129">
                  <c:v>20-May</c:v>
                </c:pt>
                <c:pt idx="130">
                  <c:v>20-May</c:v>
                </c:pt>
                <c:pt idx="131">
                  <c:v>20-May</c:v>
                </c:pt>
                <c:pt idx="132">
                  <c:v>20-May</c:v>
                </c:pt>
                <c:pt idx="133">
                  <c:v>20-May</c:v>
                </c:pt>
                <c:pt idx="134">
                  <c:v>20-May</c:v>
                </c:pt>
                <c:pt idx="135">
                  <c:v>20-May</c:v>
                </c:pt>
                <c:pt idx="136">
                  <c:v>20-May</c:v>
                </c:pt>
                <c:pt idx="137">
                  <c:v>20-May</c:v>
                </c:pt>
                <c:pt idx="138">
                  <c:v>20-May</c:v>
                </c:pt>
                <c:pt idx="139">
                  <c:v>20-May</c:v>
                </c:pt>
                <c:pt idx="140">
                  <c:v>20-May</c:v>
                </c:pt>
                <c:pt idx="141">
                  <c:v>20-May</c:v>
                </c:pt>
                <c:pt idx="142">
                  <c:v>20-May</c:v>
                </c:pt>
                <c:pt idx="143">
                  <c:v>20-May</c:v>
                </c:pt>
                <c:pt idx="144">
                  <c:v>20-May</c:v>
                </c:pt>
                <c:pt idx="145">
                  <c:v>20-May</c:v>
                </c:pt>
                <c:pt idx="146">
                  <c:v>20-May</c:v>
                </c:pt>
                <c:pt idx="147">
                  <c:v>20-May</c:v>
                </c:pt>
                <c:pt idx="148">
                  <c:v>20-May</c:v>
                </c:pt>
                <c:pt idx="149">
                  <c:v>20-May</c:v>
                </c:pt>
                <c:pt idx="150">
                  <c:v>20-May</c:v>
                </c:pt>
                <c:pt idx="151">
                  <c:v>20-May</c:v>
                </c:pt>
                <c:pt idx="152">
                  <c:v>20-Jun</c:v>
                </c:pt>
                <c:pt idx="153">
                  <c:v>20-Jun</c:v>
                </c:pt>
                <c:pt idx="154">
                  <c:v>20-Jun</c:v>
                </c:pt>
                <c:pt idx="155">
                  <c:v>20-Jun</c:v>
                </c:pt>
                <c:pt idx="156">
                  <c:v>20-Jun</c:v>
                </c:pt>
                <c:pt idx="157">
                  <c:v>20-Jun</c:v>
                </c:pt>
                <c:pt idx="158">
                  <c:v>20-Jun</c:v>
                </c:pt>
                <c:pt idx="159">
                  <c:v>20-Jun</c:v>
                </c:pt>
                <c:pt idx="160">
                  <c:v>20-Jun</c:v>
                </c:pt>
                <c:pt idx="161">
                  <c:v>20-Jun</c:v>
                </c:pt>
                <c:pt idx="162">
                  <c:v>20-Jun</c:v>
                </c:pt>
                <c:pt idx="163">
                  <c:v>20-Jun</c:v>
                </c:pt>
                <c:pt idx="164">
                  <c:v>20-Jun</c:v>
                </c:pt>
                <c:pt idx="165">
                  <c:v>20-Jun</c:v>
                </c:pt>
                <c:pt idx="166">
                  <c:v>20-Jun</c:v>
                </c:pt>
                <c:pt idx="167">
                  <c:v>20-Jun</c:v>
                </c:pt>
                <c:pt idx="168">
                  <c:v>20-Jun</c:v>
                </c:pt>
                <c:pt idx="169">
                  <c:v>20-Jun</c:v>
                </c:pt>
                <c:pt idx="170">
                  <c:v>20-Jun</c:v>
                </c:pt>
                <c:pt idx="171">
                  <c:v>20-Jun</c:v>
                </c:pt>
                <c:pt idx="172">
                  <c:v>20-Jun</c:v>
                </c:pt>
                <c:pt idx="173">
                  <c:v>20-Jun</c:v>
                </c:pt>
                <c:pt idx="174">
                  <c:v>20-Jun</c:v>
                </c:pt>
                <c:pt idx="175">
                  <c:v>20-Jun</c:v>
                </c:pt>
                <c:pt idx="176">
                  <c:v>20-Jun</c:v>
                </c:pt>
                <c:pt idx="177">
                  <c:v>20-Jun</c:v>
                </c:pt>
                <c:pt idx="178">
                  <c:v>20-Jun</c:v>
                </c:pt>
                <c:pt idx="179">
                  <c:v>20-Jun</c:v>
                </c:pt>
                <c:pt idx="180">
                  <c:v>20-Jun</c:v>
                </c:pt>
                <c:pt idx="181">
                  <c:v>20-Jun</c:v>
                </c:pt>
                <c:pt idx="182">
                  <c:v>20-Jul</c:v>
                </c:pt>
                <c:pt idx="183">
                  <c:v>20-Jul</c:v>
                </c:pt>
                <c:pt idx="184">
                  <c:v>20-Jul</c:v>
                </c:pt>
                <c:pt idx="185">
                  <c:v>20-Jul</c:v>
                </c:pt>
                <c:pt idx="186">
                  <c:v>20-Jul</c:v>
                </c:pt>
                <c:pt idx="187">
                  <c:v>20-Jul</c:v>
                </c:pt>
                <c:pt idx="188">
                  <c:v>20-Jul</c:v>
                </c:pt>
                <c:pt idx="189">
                  <c:v>20-Jul</c:v>
                </c:pt>
                <c:pt idx="190">
                  <c:v>20-Jul</c:v>
                </c:pt>
                <c:pt idx="191">
                  <c:v>20-Jul</c:v>
                </c:pt>
                <c:pt idx="192">
                  <c:v>20-Jul</c:v>
                </c:pt>
                <c:pt idx="193">
                  <c:v>20-Jul</c:v>
                </c:pt>
                <c:pt idx="194">
                  <c:v>20-Jul</c:v>
                </c:pt>
                <c:pt idx="195">
                  <c:v>20-Jul</c:v>
                </c:pt>
                <c:pt idx="196">
                  <c:v>20-Jul</c:v>
                </c:pt>
                <c:pt idx="197">
                  <c:v>20-Jul</c:v>
                </c:pt>
                <c:pt idx="198">
                  <c:v>20-Jul</c:v>
                </c:pt>
                <c:pt idx="199">
                  <c:v>20-Jul</c:v>
                </c:pt>
                <c:pt idx="200">
                  <c:v>20-Jul</c:v>
                </c:pt>
                <c:pt idx="201">
                  <c:v>20-Jul</c:v>
                </c:pt>
                <c:pt idx="202">
                  <c:v>20-Jul</c:v>
                </c:pt>
                <c:pt idx="203">
                  <c:v>20-Jul</c:v>
                </c:pt>
                <c:pt idx="204">
                  <c:v>20-Jul</c:v>
                </c:pt>
                <c:pt idx="205">
                  <c:v>20-Jul</c:v>
                </c:pt>
                <c:pt idx="206">
                  <c:v>20-Jul</c:v>
                </c:pt>
                <c:pt idx="207">
                  <c:v>20-Jul</c:v>
                </c:pt>
                <c:pt idx="208">
                  <c:v>20-Jul</c:v>
                </c:pt>
                <c:pt idx="209">
                  <c:v>20-Jul</c:v>
                </c:pt>
                <c:pt idx="210">
                  <c:v>20-Jul</c:v>
                </c:pt>
                <c:pt idx="211">
                  <c:v>20-Jul</c:v>
                </c:pt>
                <c:pt idx="212">
                  <c:v>20-Jul</c:v>
                </c:pt>
                <c:pt idx="213">
                  <c:v>20-Aug</c:v>
                </c:pt>
                <c:pt idx="214">
                  <c:v>20-Aug</c:v>
                </c:pt>
                <c:pt idx="215">
                  <c:v>20-Aug</c:v>
                </c:pt>
                <c:pt idx="216">
                  <c:v>20-Aug</c:v>
                </c:pt>
                <c:pt idx="217">
                  <c:v>20-Aug</c:v>
                </c:pt>
                <c:pt idx="218">
                  <c:v>20-Aug</c:v>
                </c:pt>
                <c:pt idx="219">
                  <c:v>20-Aug</c:v>
                </c:pt>
                <c:pt idx="220">
                  <c:v>20-Aug</c:v>
                </c:pt>
                <c:pt idx="221">
                  <c:v>20-Aug</c:v>
                </c:pt>
                <c:pt idx="222">
                  <c:v>20-Aug</c:v>
                </c:pt>
                <c:pt idx="223">
                  <c:v>20-Aug</c:v>
                </c:pt>
                <c:pt idx="224">
                  <c:v>20-Aug</c:v>
                </c:pt>
                <c:pt idx="225">
                  <c:v>20-Aug</c:v>
                </c:pt>
                <c:pt idx="226">
                  <c:v>20-Aug</c:v>
                </c:pt>
                <c:pt idx="227">
                  <c:v>20-Aug</c:v>
                </c:pt>
                <c:pt idx="228">
                  <c:v>20-Aug</c:v>
                </c:pt>
                <c:pt idx="229">
                  <c:v>20-Aug</c:v>
                </c:pt>
                <c:pt idx="230">
                  <c:v>20-Aug</c:v>
                </c:pt>
                <c:pt idx="231">
                  <c:v>20-Aug</c:v>
                </c:pt>
                <c:pt idx="232">
                  <c:v>20-Aug</c:v>
                </c:pt>
                <c:pt idx="233">
                  <c:v>20-Aug</c:v>
                </c:pt>
                <c:pt idx="234">
                  <c:v>20-Aug</c:v>
                </c:pt>
                <c:pt idx="235">
                  <c:v>20-Aug</c:v>
                </c:pt>
                <c:pt idx="236">
                  <c:v>20-Aug</c:v>
                </c:pt>
                <c:pt idx="237">
                  <c:v>20-Aug</c:v>
                </c:pt>
                <c:pt idx="238">
                  <c:v>20-Aug</c:v>
                </c:pt>
                <c:pt idx="239">
                  <c:v>20-Aug</c:v>
                </c:pt>
                <c:pt idx="240">
                  <c:v>20-Aug</c:v>
                </c:pt>
                <c:pt idx="241">
                  <c:v>20-Aug</c:v>
                </c:pt>
                <c:pt idx="242">
                  <c:v>20-Aug</c:v>
                </c:pt>
                <c:pt idx="243">
                  <c:v>20-Aug</c:v>
                </c:pt>
                <c:pt idx="244">
                  <c:v>20-Sep</c:v>
                </c:pt>
                <c:pt idx="245">
                  <c:v>20-Sep</c:v>
                </c:pt>
                <c:pt idx="246">
                  <c:v>20-Sep</c:v>
                </c:pt>
                <c:pt idx="247">
                  <c:v>20-Sep</c:v>
                </c:pt>
                <c:pt idx="248">
                  <c:v>20-Sep</c:v>
                </c:pt>
                <c:pt idx="249">
                  <c:v>20-Sep</c:v>
                </c:pt>
                <c:pt idx="250">
                  <c:v>20-Sep</c:v>
                </c:pt>
                <c:pt idx="251">
                  <c:v>20-Sep</c:v>
                </c:pt>
                <c:pt idx="252">
                  <c:v>20-Sep</c:v>
                </c:pt>
                <c:pt idx="253">
                  <c:v>20-Sep</c:v>
                </c:pt>
                <c:pt idx="254">
                  <c:v>20-Sep</c:v>
                </c:pt>
                <c:pt idx="255">
                  <c:v>20-Sep</c:v>
                </c:pt>
                <c:pt idx="256">
                  <c:v>20-Sep</c:v>
                </c:pt>
                <c:pt idx="257">
                  <c:v>20-Sep</c:v>
                </c:pt>
                <c:pt idx="258">
                  <c:v>20-Sep</c:v>
                </c:pt>
                <c:pt idx="259">
                  <c:v>20-Sep</c:v>
                </c:pt>
                <c:pt idx="260">
                  <c:v>20-Sep</c:v>
                </c:pt>
                <c:pt idx="261">
                  <c:v>20-Sep</c:v>
                </c:pt>
                <c:pt idx="262">
                  <c:v>20-Sep</c:v>
                </c:pt>
                <c:pt idx="263">
                  <c:v>20-Sep</c:v>
                </c:pt>
                <c:pt idx="264">
                  <c:v>20-Sep</c:v>
                </c:pt>
                <c:pt idx="265">
                  <c:v>20-Sep</c:v>
                </c:pt>
                <c:pt idx="266">
                  <c:v>20-Sep</c:v>
                </c:pt>
                <c:pt idx="267">
                  <c:v>20-Sep</c:v>
                </c:pt>
                <c:pt idx="268">
                  <c:v>20-Sep</c:v>
                </c:pt>
                <c:pt idx="269">
                  <c:v>20-Sep</c:v>
                </c:pt>
                <c:pt idx="270">
                  <c:v>20-Sep</c:v>
                </c:pt>
                <c:pt idx="271">
                  <c:v>20-Sep</c:v>
                </c:pt>
                <c:pt idx="272">
                  <c:v>20-Sep</c:v>
                </c:pt>
                <c:pt idx="273">
                  <c:v>20-Sep</c:v>
                </c:pt>
                <c:pt idx="274">
                  <c:v>20-Oct</c:v>
                </c:pt>
                <c:pt idx="275">
                  <c:v>20-Oct</c:v>
                </c:pt>
                <c:pt idx="276">
                  <c:v>20-Oct</c:v>
                </c:pt>
                <c:pt idx="277">
                  <c:v>20-Oct</c:v>
                </c:pt>
                <c:pt idx="278">
                  <c:v>20-Oct</c:v>
                </c:pt>
                <c:pt idx="279">
                  <c:v>20-Oct</c:v>
                </c:pt>
                <c:pt idx="280">
                  <c:v>20-Oct</c:v>
                </c:pt>
                <c:pt idx="281">
                  <c:v>20-Oct</c:v>
                </c:pt>
                <c:pt idx="282">
                  <c:v>20-Oct</c:v>
                </c:pt>
                <c:pt idx="283">
                  <c:v>20-Oct</c:v>
                </c:pt>
                <c:pt idx="284">
                  <c:v>20-Oct</c:v>
                </c:pt>
                <c:pt idx="285">
                  <c:v>20-Oct</c:v>
                </c:pt>
                <c:pt idx="286">
                  <c:v>20-Oct</c:v>
                </c:pt>
                <c:pt idx="287">
                  <c:v>20-Oct</c:v>
                </c:pt>
                <c:pt idx="288">
                  <c:v>20-Oct</c:v>
                </c:pt>
                <c:pt idx="289">
                  <c:v>20-Oct</c:v>
                </c:pt>
                <c:pt idx="290">
                  <c:v>20-Oct</c:v>
                </c:pt>
                <c:pt idx="291">
                  <c:v>20-Oct</c:v>
                </c:pt>
                <c:pt idx="292">
                  <c:v>20-Oct</c:v>
                </c:pt>
                <c:pt idx="293">
                  <c:v>20-Oct</c:v>
                </c:pt>
                <c:pt idx="294">
                  <c:v>20-Oct</c:v>
                </c:pt>
                <c:pt idx="295">
                  <c:v>20-Oct</c:v>
                </c:pt>
                <c:pt idx="296">
                  <c:v>20-Oct</c:v>
                </c:pt>
                <c:pt idx="297">
                  <c:v>20-Oct</c:v>
                </c:pt>
                <c:pt idx="298">
                  <c:v>20-Oct</c:v>
                </c:pt>
                <c:pt idx="299">
                  <c:v>20-Oct</c:v>
                </c:pt>
                <c:pt idx="300">
                  <c:v>20-Oct</c:v>
                </c:pt>
                <c:pt idx="301">
                  <c:v>20-Oct</c:v>
                </c:pt>
                <c:pt idx="302">
                  <c:v>20-Oct</c:v>
                </c:pt>
                <c:pt idx="303">
                  <c:v>20-Oct</c:v>
                </c:pt>
                <c:pt idx="304">
                  <c:v>20-Oct</c:v>
                </c:pt>
                <c:pt idx="305">
                  <c:v>20-Nov</c:v>
                </c:pt>
                <c:pt idx="306">
                  <c:v>20-Nov</c:v>
                </c:pt>
                <c:pt idx="307">
                  <c:v>20-Nov</c:v>
                </c:pt>
                <c:pt idx="308">
                  <c:v>20-Nov</c:v>
                </c:pt>
                <c:pt idx="309">
                  <c:v>20-Nov</c:v>
                </c:pt>
                <c:pt idx="310">
                  <c:v>20-Nov</c:v>
                </c:pt>
                <c:pt idx="311">
                  <c:v>20-Nov</c:v>
                </c:pt>
                <c:pt idx="312">
                  <c:v>20-Nov</c:v>
                </c:pt>
                <c:pt idx="313">
                  <c:v>20-Nov</c:v>
                </c:pt>
                <c:pt idx="314">
                  <c:v>20-Nov</c:v>
                </c:pt>
                <c:pt idx="315">
                  <c:v>20-Nov</c:v>
                </c:pt>
                <c:pt idx="316">
                  <c:v>20-Nov</c:v>
                </c:pt>
                <c:pt idx="317">
                  <c:v>20-Nov</c:v>
                </c:pt>
                <c:pt idx="318">
                  <c:v>20-Nov</c:v>
                </c:pt>
                <c:pt idx="319">
                  <c:v>20-Nov</c:v>
                </c:pt>
                <c:pt idx="320">
                  <c:v>20-Nov</c:v>
                </c:pt>
                <c:pt idx="321">
                  <c:v>20-Nov</c:v>
                </c:pt>
                <c:pt idx="322">
                  <c:v>20-Nov</c:v>
                </c:pt>
                <c:pt idx="323">
                  <c:v>20-Nov</c:v>
                </c:pt>
                <c:pt idx="324">
                  <c:v>20-Nov</c:v>
                </c:pt>
                <c:pt idx="325">
                  <c:v>20-Nov</c:v>
                </c:pt>
                <c:pt idx="326">
                  <c:v>20-Nov</c:v>
                </c:pt>
                <c:pt idx="327">
                  <c:v>20-Nov</c:v>
                </c:pt>
                <c:pt idx="328">
                  <c:v>20-Nov</c:v>
                </c:pt>
                <c:pt idx="329">
                  <c:v>20-Nov</c:v>
                </c:pt>
                <c:pt idx="330">
                  <c:v>20-Nov</c:v>
                </c:pt>
                <c:pt idx="331">
                  <c:v>20-Nov</c:v>
                </c:pt>
                <c:pt idx="332">
                  <c:v>20-Nov</c:v>
                </c:pt>
                <c:pt idx="333">
                  <c:v>20-Nov</c:v>
                </c:pt>
                <c:pt idx="334">
                  <c:v>20-Nov</c:v>
                </c:pt>
                <c:pt idx="335">
                  <c:v>20-Dec</c:v>
                </c:pt>
                <c:pt idx="336">
                  <c:v>20-Dec</c:v>
                </c:pt>
                <c:pt idx="337">
                  <c:v>20-Dec</c:v>
                </c:pt>
                <c:pt idx="338">
                  <c:v>20-Dec</c:v>
                </c:pt>
                <c:pt idx="339">
                  <c:v>20-Dec</c:v>
                </c:pt>
                <c:pt idx="340">
                  <c:v>20-Dec</c:v>
                </c:pt>
                <c:pt idx="341">
                  <c:v>20-Dec</c:v>
                </c:pt>
                <c:pt idx="342">
                  <c:v>20-Dec</c:v>
                </c:pt>
                <c:pt idx="343">
                  <c:v>20-Dec</c:v>
                </c:pt>
                <c:pt idx="344">
                  <c:v>20-Dec</c:v>
                </c:pt>
                <c:pt idx="345">
                  <c:v>20-Dec</c:v>
                </c:pt>
                <c:pt idx="346">
                  <c:v>20-Dec</c:v>
                </c:pt>
                <c:pt idx="347">
                  <c:v>20-Dec</c:v>
                </c:pt>
                <c:pt idx="348">
                  <c:v>20-Dec</c:v>
                </c:pt>
                <c:pt idx="349">
                  <c:v>20-Dec</c:v>
                </c:pt>
                <c:pt idx="350">
                  <c:v>20-Dec</c:v>
                </c:pt>
                <c:pt idx="351">
                  <c:v>20-Dec</c:v>
                </c:pt>
                <c:pt idx="352">
                  <c:v>20-Dec</c:v>
                </c:pt>
                <c:pt idx="353">
                  <c:v>20-Dec</c:v>
                </c:pt>
                <c:pt idx="354">
                  <c:v>20-Dec</c:v>
                </c:pt>
                <c:pt idx="355">
                  <c:v>20-Dec</c:v>
                </c:pt>
                <c:pt idx="356">
                  <c:v>20-Dec</c:v>
                </c:pt>
                <c:pt idx="357">
                  <c:v>20-Dec</c:v>
                </c:pt>
                <c:pt idx="358">
                  <c:v>20-Dec</c:v>
                </c:pt>
                <c:pt idx="359">
                  <c:v>20-Dec</c:v>
                </c:pt>
                <c:pt idx="360">
                  <c:v>20-Dec</c:v>
                </c:pt>
                <c:pt idx="361">
                  <c:v>20-Dec</c:v>
                </c:pt>
                <c:pt idx="362">
                  <c:v>20-Dec</c:v>
                </c:pt>
                <c:pt idx="363">
                  <c:v>20-Dec</c:v>
                </c:pt>
                <c:pt idx="364">
                  <c:v>20-Dec</c:v>
                </c:pt>
                <c:pt idx="365">
                  <c:v>20-Dec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6"/>
                <c:pt idx="0">
                  <c:v>20-Jan</c:v>
                </c:pt>
                <c:pt idx="1">
                  <c:v>20-Jan</c:v>
                </c:pt>
                <c:pt idx="2">
                  <c:v>20-Jan</c:v>
                </c:pt>
                <c:pt idx="3">
                  <c:v>20-Jan</c:v>
                </c:pt>
                <c:pt idx="4">
                  <c:v>20-Jan</c:v>
                </c:pt>
                <c:pt idx="5">
                  <c:v>20-Jan</c:v>
                </c:pt>
                <c:pt idx="6">
                  <c:v>20-Jan</c:v>
                </c:pt>
                <c:pt idx="7">
                  <c:v>20-Jan</c:v>
                </c:pt>
                <c:pt idx="8">
                  <c:v>20-Jan</c:v>
                </c:pt>
                <c:pt idx="9">
                  <c:v>20-Jan</c:v>
                </c:pt>
                <c:pt idx="10">
                  <c:v>20-Jan</c:v>
                </c:pt>
                <c:pt idx="11">
                  <c:v>20-Jan</c:v>
                </c:pt>
                <c:pt idx="12">
                  <c:v>20-Jan</c:v>
                </c:pt>
                <c:pt idx="13">
                  <c:v>20-Jan</c:v>
                </c:pt>
                <c:pt idx="14">
                  <c:v>20-Jan</c:v>
                </c:pt>
                <c:pt idx="15">
                  <c:v>20-Jan</c:v>
                </c:pt>
                <c:pt idx="16">
                  <c:v>20-Jan</c:v>
                </c:pt>
                <c:pt idx="17">
                  <c:v>20-Jan</c:v>
                </c:pt>
                <c:pt idx="18">
                  <c:v>20-Jan</c:v>
                </c:pt>
                <c:pt idx="19">
                  <c:v>20-Jan</c:v>
                </c:pt>
                <c:pt idx="20">
                  <c:v>20-Jan</c:v>
                </c:pt>
                <c:pt idx="21">
                  <c:v>20-Jan</c:v>
                </c:pt>
                <c:pt idx="22">
                  <c:v>20-Jan</c:v>
                </c:pt>
                <c:pt idx="23">
                  <c:v>20-Jan</c:v>
                </c:pt>
                <c:pt idx="24">
                  <c:v>20-Jan</c:v>
                </c:pt>
                <c:pt idx="25">
                  <c:v>20-Jan</c:v>
                </c:pt>
                <c:pt idx="26">
                  <c:v>20-Jan</c:v>
                </c:pt>
                <c:pt idx="27">
                  <c:v>20-Jan</c:v>
                </c:pt>
                <c:pt idx="28">
                  <c:v>20-Jan</c:v>
                </c:pt>
                <c:pt idx="29">
                  <c:v>20-Jan</c:v>
                </c:pt>
                <c:pt idx="30">
                  <c:v>20-Jan</c:v>
                </c:pt>
                <c:pt idx="31">
                  <c:v>20-Feb</c:v>
                </c:pt>
                <c:pt idx="32">
                  <c:v>20-Feb</c:v>
                </c:pt>
                <c:pt idx="33">
                  <c:v>20-Feb</c:v>
                </c:pt>
                <c:pt idx="34">
                  <c:v>20-Feb</c:v>
                </c:pt>
                <c:pt idx="35">
                  <c:v>20-Feb</c:v>
                </c:pt>
                <c:pt idx="36">
                  <c:v>20-Feb</c:v>
                </c:pt>
                <c:pt idx="37">
                  <c:v>20-Feb</c:v>
                </c:pt>
                <c:pt idx="38">
                  <c:v>20-Feb</c:v>
                </c:pt>
                <c:pt idx="39">
                  <c:v>20-Feb</c:v>
                </c:pt>
                <c:pt idx="40">
                  <c:v>20-Feb</c:v>
                </c:pt>
                <c:pt idx="41">
                  <c:v>20-Feb</c:v>
                </c:pt>
                <c:pt idx="42">
                  <c:v>20-Feb</c:v>
                </c:pt>
                <c:pt idx="43">
                  <c:v>20-Feb</c:v>
                </c:pt>
                <c:pt idx="44">
                  <c:v>20-Feb</c:v>
                </c:pt>
                <c:pt idx="45">
                  <c:v>20-Feb</c:v>
                </c:pt>
                <c:pt idx="46">
                  <c:v>20-Feb</c:v>
                </c:pt>
                <c:pt idx="47">
                  <c:v>20-Feb</c:v>
                </c:pt>
                <c:pt idx="48">
                  <c:v>20-Feb</c:v>
                </c:pt>
                <c:pt idx="49">
                  <c:v>20-Feb</c:v>
                </c:pt>
                <c:pt idx="50">
                  <c:v>20-Feb</c:v>
                </c:pt>
                <c:pt idx="51">
                  <c:v>20-Feb</c:v>
                </c:pt>
                <c:pt idx="52">
                  <c:v>20-Feb</c:v>
                </c:pt>
                <c:pt idx="53">
                  <c:v>20-Feb</c:v>
                </c:pt>
                <c:pt idx="54">
                  <c:v>20-Feb</c:v>
                </c:pt>
                <c:pt idx="55">
                  <c:v>20-Feb</c:v>
                </c:pt>
                <c:pt idx="56">
                  <c:v>20-Feb</c:v>
                </c:pt>
                <c:pt idx="57">
                  <c:v>20-Feb</c:v>
                </c:pt>
                <c:pt idx="58">
                  <c:v>20-Feb</c:v>
                </c:pt>
                <c:pt idx="59">
                  <c:v>20-Feb</c:v>
                </c:pt>
                <c:pt idx="60">
                  <c:v>20-Mar</c:v>
                </c:pt>
                <c:pt idx="61">
                  <c:v>20-Mar</c:v>
                </c:pt>
                <c:pt idx="62">
                  <c:v>20-Mar</c:v>
                </c:pt>
                <c:pt idx="63">
                  <c:v>20-Mar</c:v>
                </c:pt>
                <c:pt idx="64">
                  <c:v>20-Mar</c:v>
                </c:pt>
                <c:pt idx="65">
                  <c:v>20-Mar</c:v>
                </c:pt>
                <c:pt idx="66">
                  <c:v>20-Mar</c:v>
                </c:pt>
                <c:pt idx="67">
                  <c:v>20-Mar</c:v>
                </c:pt>
                <c:pt idx="68">
                  <c:v>20-Mar</c:v>
                </c:pt>
                <c:pt idx="69">
                  <c:v>20-Mar</c:v>
                </c:pt>
                <c:pt idx="70">
                  <c:v>20-Mar</c:v>
                </c:pt>
                <c:pt idx="71">
                  <c:v>20-Mar</c:v>
                </c:pt>
                <c:pt idx="72">
                  <c:v>20-Mar</c:v>
                </c:pt>
                <c:pt idx="73">
                  <c:v>20-Mar</c:v>
                </c:pt>
                <c:pt idx="74">
                  <c:v>20-Mar</c:v>
                </c:pt>
                <c:pt idx="75">
                  <c:v>20-Mar</c:v>
                </c:pt>
                <c:pt idx="76">
                  <c:v>20-Mar</c:v>
                </c:pt>
                <c:pt idx="77">
                  <c:v>20-Mar</c:v>
                </c:pt>
                <c:pt idx="78">
                  <c:v>20-Mar</c:v>
                </c:pt>
                <c:pt idx="79">
                  <c:v>20-Mar</c:v>
                </c:pt>
                <c:pt idx="80">
                  <c:v>20-Mar</c:v>
                </c:pt>
                <c:pt idx="81">
                  <c:v>20-Mar</c:v>
                </c:pt>
                <c:pt idx="82">
                  <c:v>20-Mar</c:v>
                </c:pt>
                <c:pt idx="83">
                  <c:v>20-Mar</c:v>
                </c:pt>
                <c:pt idx="84">
                  <c:v>20-Mar</c:v>
                </c:pt>
                <c:pt idx="85">
                  <c:v>20-Mar</c:v>
                </c:pt>
                <c:pt idx="86">
                  <c:v>20-Mar</c:v>
                </c:pt>
                <c:pt idx="87">
                  <c:v>20-Mar</c:v>
                </c:pt>
                <c:pt idx="88">
                  <c:v>20-Mar</c:v>
                </c:pt>
                <c:pt idx="89">
                  <c:v>20-Mar</c:v>
                </c:pt>
                <c:pt idx="90">
                  <c:v>20-Mar</c:v>
                </c:pt>
                <c:pt idx="91">
                  <c:v>20-Apr</c:v>
                </c:pt>
                <c:pt idx="92">
                  <c:v>20-Apr</c:v>
                </c:pt>
                <c:pt idx="93">
                  <c:v>20-Apr</c:v>
                </c:pt>
                <c:pt idx="94">
                  <c:v>20-Apr</c:v>
                </c:pt>
                <c:pt idx="95">
                  <c:v>20-Apr</c:v>
                </c:pt>
                <c:pt idx="96">
                  <c:v>20-Apr</c:v>
                </c:pt>
                <c:pt idx="97">
                  <c:v>20-Apr</c:v>
                </c:pt>
                <c:pt idx="98">
                  <c:v>20-Apr</c:v>
                </c:pt>
                <c:pt idx="99">
                  <c:v>20-Apr</c:v>
                </c:pt>
                <c:pt idx="100">
                  <c:v>20-Apr</c:v>
                </c:pt>
                <c:pt idx="101">
                  <c:v>20-Apr</c:v>
                </c:pt>
                <c:pt idx="102">
                  <c:v>20-Apr</c:v>
                </c:pt>
                <c:pt idx="103">
                  <c:v>20-Apr</c:v>
                </c:pt>
                <c:pt idx="104">
                  <c:v>20-Apr</c:v>
                </c:pt>
                <c:pt idx="105">
                  <c:v>20-Apr</c:v>
                </c:pt>
                <c:pt idx="106">
                  <c:v>20-Apr</c:v>
                </c:pt>
                <c:pt idx="107">
                  <c:v>20-Apr</c:v>
                </c:pt>
                <c:pt idx="108">
                  <c:v>20-Apr</c:v>
                </c:pt>
                <c:pt idx="109">
                  <c:v>20-Apr</c:v>
                </c:pt>
                <c:pt idx="110">
                  <c:v>20-Apr</c:v>
                </c:pt>
                <c:pt idx="111">
                  <c:v>20-Apr</c:v>
                </c:pt>
                <c:pt idx="112">
                  <c:v>20-Apr</c:v>
                </c:pt>
                <c:pt idx="113">
                  <c:v>20-Apr</c:v>
                </c:pt>
                <c:pt idx="114">
                  <c:v>20-Apr</c:v>
                </c:pt>
                <c:pt idx="115">
                  <c:v>20-Apr</c:v>
                </c:pt>
                <c:pt idx="116">
                  <c:v>20-Apr</c:v>
                </c:pt>
                <c:pt idx="117">
                  <c:v>20-Apr</c:v>
                </c:pt>
                <c:pt idx="118">
                  <c:v>20-Apr</c:v>
                </c:pt>
                <c:pt idx="119">
                  <c:v>20-Apr</c:v>
                </c:pt>
                <c:pt idx="120">
                  <c:v>20-Apr</c:v>
                </c:pt>
                <c:pt idx="121">
                  <c:v>20-May</c:v>
                </c:pt>
                <c:pt idx="122">
                  <c:v>20-May</c:v>
                </c:pt>
                <c:pt idx="123">
                  <c:v>20-May</c:v>
                </c:pt>
                <c:pt idx="124">
                  <c:v>20-May</c:v>
                </c:pt>
                <c:pt idx="125">
                  <c:v>20-May</c:v>
                </c:pt>
                <c:pt idx="126">
                  <c:v>20-May</c:v>
                </c:pt>
                <c:pt idx="127">
                  <c:v>20-May</c:v>
                </c:pt>
                <c:pt idx="128">
                  <c:v>20-May</c:v>
                </c:pt>
                <c:pt idx="129">
                  <c:v>20-May</c:v>
                </c:pt>
                <c:pt idx="130">
                  <c:v>20-May</c:v>
                </c:pt>
                <c:pt idx="131">
                  <c:v>20-May</c:v>
                </c:pt>
                <c:pt idx="132">
                  <c:v>20-May</c:v>
                </c:pt>
                <c:pt idx="133">
                  <c:v>20-May</c:v>
                </c:pt>
                <c:pt idx="134">
                  <c:v>20-May</c:v>
                </c:pt>
                <c:pt idx="135">
                  <c:v>20-May</c:v>
                </c:pt>
                <c:pt idx="136">
                  <c:v>20-May</c:v>
                </c:pt>
                <c:pt idx="137">
                  <c:v>20-May</c:v>
                </c:pt>
                <c:pt idx="138">
                  <c:v>20-May</c:v>
                </c:pt>
                <c:pt idx="139">
                  <c:v>20-May</c:v>
                </c:pt>
                <c:pt idx="140">
                  <c:v>20-May</c:v>
                </c:pt>
                <c:pt idx="141">
                  <c:v>20-May</c:v>
                </c:pt>
                <c:pt idx="142">
                  <c:v>20-May</c:v>
                </c:pt>
                <c:pt idx="143">
                  <c:v>20-May</c:v>
                </c:pt>
                <c:pt idx="144">
                  <c:v>20-May</c:v>
                </c:pt>
                <c:pt idx="145">
                  <c:v>20-May</c:v>
                </c:pt>
                <c:pt idx="146">
                  <c:v>20-May</c:v>
                </c:pt>
                <c:pt idx="147">
                  <c:v>20-May</c:v>
                </c:pt>
                <c:pt idx="148">
                  <c:v>20-May</c:v>
                </c:pt>
                <c:pt idx="149">
                  <c:v>20-May</c:v>
                </c:pt>
                <c:pt idx="150">
                  <c:v>20-May</c:v>
                </c:pt>
                <c:pt idx="151">
                  <c:v>20-May</c:v>
                </c:pt>
                <c:pt idx="152">
                  <c:v>20-Jun</c:v>
                </c:pt>
                <c:pt idx="153">
                  <c:v>20-Jun</c:v>
                </c:pt>
                <c:pt idx="154">
                  <c:v>20-Jun</c:v>
                </c:pt>
                <c:pt idx="155">
                  <c:v>20-Jun</c:v>
                </c:pt>
                <c:pt idx="156">
                  <c:v>20-Jun</c:v>
                </c:pt>
                <c:pt idx="157">
                  <c:v>20-Jun</c:v>
                </c:pt>
                <c:pt idx="158">
                  <c:v>20-Jun</c:v>
                </c:pt>
                <c:pt idx="159">
                  <c:v>20-Jun</c:v>
                </c:pt>
                <c:pt idx="160">
                  <c:v>20-Jun</c:v>
                </c:pt>
                <c:pt idx="161">
                  <c:v>20-Jun</c:v>
                </c:pt>
                <c:pt idx="162">
                  <c:v>20-Jun</c:v>
                </c:pt>
                <c:pt idx="163">
                  <c:v>20-Jun</c:v>
                </c:pt>
                <c:pt idx="164">
                  <c:v>20-Jun</c:v>
                </c:pt>
                <c:pt idx="165">
                  <c:v>20-Jun</c:v>
                </c:pt>
                <c:pt idx="166">
                  <c:v>20-Jun</c:v>
                </c:pt>
                <c:pt idx="167">
                  <c:v>20-Jun</c:v>
                </c:pt>
                <c:pt idx="168">
                  <c:v>20-Jun</c:v>
                </c:pt>
                <c:pt idx="169">
                  <c:v>20-Jun</c:v>
                </c:pt>
                <c:pt idx="170">
                  <c:v>20-Jun</c:v>
                </c:pt>
                <c:pt idx="171">
                  <c:v>20-Jun</c:v>
                </c:pt>
                <c:pt idx="172">
                  <c:v>20-Jun</c:v>
                </c:pt>
                <c:pt idx="173">
                  <c:v>20-Jun</c:v>
                </c:pt>
                <c:pt idx="174">
                  <c:v>20-Jun</c:v>
                </c:pt>
                <c:pt idx="175">
                  <c:v>20-Jun</c:v>
                </c:pt>
                <c:pt idx="176">
                  <c:v>20-Jun</c:v>
                </c:pt>
                <c:pt idx="177">
                  <c:v>20-Jun</c:v>
                </c:pt>
                <c:pt idx="178">
                  <c:v>20-Jun</c:v>
                </c:pt>
                <c:pt idx="179">
                  <c:v>20-Jun</c:v>
                </c:pt>
                <c:pt idx="180">
                  <c:v>20-Jun</c:v>
                </c:pt>
                <c:pt idx="181">
                  <c:v>20-Jun</c:v>
                </c:pt>
                <c:pt idx="182">
                  <c:v>20-Jul</c:v>
                </c:pt>
                <c:pt idx="183">
                  <c:v>20-Jul</c:v>
                </c:pt>
                <c:pt idx="184">
                  <c:v>20-Jul</c:v>
                </c:pt>
                <c:pt idx="185">
                  <c:v>20-Jul</c:v>
                </c:pt>
                <c:pt idx="186">
                  <c:v>20-Jul</c:v>
                </c:pt>
                <c:pt idx="187">
                  <c:v>20-Jul</c:v>
                </c:pt>
                <c:pt idx="188">
                  <c:v>20-Jul</c:v>
                </c:pt>
                <c:pt idx="189">
                  <c:v>20-Jul</c:v>
                </c:pt>
                <c:pt idx="190">
                  <c:v>20-Jul</c:v>
                </c:pt>
                <c:pt idx="191">
                  <c:v>20-Jul</c:v>
                </c:pt>
                <c:pt idx="192">
                  <c:v>20-Jul</c:v>
                </c:pt>
                <c:pt idx="193">
                  <c:v>20-Jul</c:v>
                </c:pt>
                <c:pt idx="194">
                  <c:v>20-Jul</c:v>
                </c:pt>
                <c:pt idx="195">
                  <c:v>20-Jul</c:v>
                </c:pt>
                <c:pt idx="196">
                  <c:v>20-Jul</c:v>
                </c:pt>
                <c:pt idx="197">
                  <c:v>20-Jul</c:v>
                </c:pt>
                <c:pt idx="198">
                  <c:v>20-Jul</c:v>
                </c:pt>
                <c:pt idx="199">
                  <c:v>20-Jul</c:v>
                </c:pt>
                <c:pt idx="200">
                  <c:v>20-Jul</c:v>
                </c:pt>
                <c:pt idx="201">
                  <c:v>20-Jul</c:v>
                </c:pt>
                <c:pt idx="202">
                  <c:v>20-Jul</c:v>
                </c:pt>
                <c:pt idx="203">
                  <c:v>20-Jul</c:v>
                </c:pt>
                <c:pt idx="204">
                  <c:v>20-Jul</c:v>
                </c:pt>
                <c:pt idx="205">
                  <c:v>20-Jul</c:v>
                </c:pt>
                <c:pt idx="206">
                  <c:v>20-Jul</c:v>
                </c:pt>
                <c:pt idx="207">
                  <c:v>20-Jul</c:v>
                </c:pt>
                <c:pt idx="208">
                  <c:v>20-Jul</c:v>
                </c:pt>
                <c:pt idx="209">
                  <c:v>20-Jul</c:v>
                </c:pt>
                <c:pt idx="210">
                  <c:v>20-Jul</c:v>
                </c:pt>
                <c:pt idx="211">
                  <c:v>20-Jul</c:v>
                </c:pt>
                <c:pt idx="212">
                  <c:v>20-Jul</c:v>
                </c:pt>
                <c:pt idx="213">
                  <c:v>20-Aug</c:v>
                </c:pt>
                <c:pt idx="214">
                  <c:v>20-Aug</c:v>
                </c:pt>
                <c:pt idx="215">
                  <c:v>20-Aug</c:v>
                </c:pt>
                <c:pt idx="216">
                  <c:v>20-Aug</c:v>
                </c:pt>
                <c:pt idx="217">
                  <c:v>20-Aug</c:v>
                </c:pt>
                <c:pt idx="218">
                  <c:v>20-Aug</c:v>
                </c:pt>
                <c:pt idx="219">
                  <c:v>20-Aug</c:v>
                </c:pt>
                <c:pt idx="220">
                  <c:v>20-Aug</c:v>
                </c:pt>
                <c:pt idx="221">
                  <c:v>20-Aug</c:v>
                </c:pt>
                <c:pt idx="222">
                  <c:v>20-Aug</c:v>
                </c:pt>
                <c:pt idx="223">
                  <c:v>20-Aug</c:v>
                </c:pt>
                <c:pt idx="224">
                  <c:v>20-Aug</c:v>
                </c:pt>
                <c:pt idx="225">
                  <c:v>20-Aug</c:v>
                </c:pt>
                <c:pt idx="226">
                  <c:v>20-Aug</c:v>
                </c:pt>
                <c:pt idx="227">
                  <c:v>20-Aug</c:v>
                </c:pt>
                <c:pt idx="228">
                  <c:v>20-Aug</c:v>
                </c:pt>
                <c:pt idx="229">
                  <c:v>20-Aug</c:v>
                </c:pt>
                <c:pt idx="230">
                  <c:v>20-Aug</c:v>
                </c:pt>
                <c:pt idx="231">
                  <c:v>20-Aug</c:v>
                </c:pt>
                <c:pt idx="232">
                  <c:v>20-Aug</c:v>
                </c:pt>
                <c:pt idx="233">
                  <c:v>20-Aug</c:v>
                </c:pt>
                <c:pt idx="234">
                  <c:v>20-Aug</c:v>
                </c:pt>
                <c:pt idx="235">
                  <c:v>20-Aug</c:v>
                </c:pt>
                <c:pt idx="236">
                  <c:v>20-Aug</c:v>
                </c:pt>
                <c:pt idx="237">
                  <c:v>20-Aug</c:v>
                </c:pt>
                <c:pt idx="238">
                  <c:v>20-Aug</c:v>
                </c:pt>
                <c:pt idx="239">
                  <c:v>20-Aug</c:v>
                </c:pt>
                <c:pt idx="240">
                  <c:v>20-Aug</c:v>
                </c:pt>
                <c:pt idx="241">
                  <c:v>20-Aug</c:v>
                </c:pt>
                <c:pt idx="242">
                  <c:v>20-Aug</c:v>
                </c:pt>
                <c:pt idx="243">
                  <c:v>20-Aug</c:v>
                </c:pt>
                <c:pt idx="244">
                  <c:v>20-Sep</c:v>
                </c:pt>
                <c:pt idx="245">
                  <c:v>20-Sep</c:v>
                </c:pt>
                <c:pt idx="246">
                  <c:v>20-Sep</c:v>
                </c:pt>
                <c:pt idx="247">
                  <c:v>20-Sep</c:v>
                </c:pt>
                <c:pt idx="248">
                  <c:v>20-Sep</c:v>
                </c:pt>
                <c:pt idx="249">
                  <c:v>20-Sep</c:v>
                </c:pt>
                <c:pt idx="250">
                  <c:v>20-Sep</c:v>
                </c:pt>
                <c:pt idx="251">
                  <c:v>20-Sep</c:v>
                </c:pt>
                <c:pt idx="252">
                  <c:v>20-Sep</c:v>
                </c:pt>
                <c:pt idx="253">
                  <c:v>20-Sep</c:v>
                </c:pt>
                <c:pt idx="254">
                  <c:v>20-Sep</c:v>
                </c:pt>
                <c:pt idx="255">
                  <c:v>20-Sep</c:v>
                </c:pt>
                <c:pt idx="256">
                  <c:v>20-Sep</c:v>
                </c:pt>
                <c:pt idx="257">
                  <c:v>20-Sep</c:v>
                </c:pt>
                <c:pt idx="258">
                  <c:v>20-Sep</c:v>
                </c:pt>
                <c:pt idx="259">
                  <c:v>20-Sep</c:v>
                </c:pt>
                <c:pt idx="260">
                  <c:v>20-Sep</c:v>
                </c:pt>
                <c:pt idx="261">
                  <c:v>20-Sep</c:v>
                </c:pt>
                <c:pt idx="262">
                  <c:v>20-Sep</c:v>
                </c:pt>
                <c:pt idx="263">
                  <c:v>20-Sep</c:v>
                </c:pt>
                <c:pt idx="264">
                  <c:v>20-Sep</c:v>
                </c:pt>
                <c:pt idx="265">
                  <c:v>20-Sep</c:v>
                </c:pt>
                <c:pt idx="266">
                  <c:v>20-Sep</c:v>
                </c:pt>
                <c:pt idx="267">
                  <c:v>20-Sep</c:v>
                </c:pt>
                <c:pt idx="268">
                  <c:v>20-Sep</c:v>
                </c:pt>
                <c:pt idx="269">
                  <c:v>20-Sep</c:v>
                </c:pt>
                <c:pt idx="270">
                  <c:v>20-Sep</c:v>
                </c:pt>
                <c:pt idx="271">
                  <c:v>20-Sep</c:v>
                </c:pt>
                <c:pt idx="272">
                  <c:v>20-Sep</c:v>
                </c:pt>
                <c:pt idx="273">
                  <c:v>20-Sep</c:v>
                </c:pt>
                <c:pt idx="274">
                  <c:v>20-Oct</c:v>
                </c:pt>
                <c:pt idx="275">
                  <c:v>20-Oct</c:v>
                </c:pt>
                <c:pt idx="276">
                  <c:v>20-Oct</c:v>
                </c:pt>
                <c:pt idx="277">
                  <c:v>20-Oct</c:v>
                </c:pt>
                <c:pt idx="278">
                  <c:v>20-Oct</c:v>
                </c:pt>
                <c:pt idx="279">
                  <c:v>20-Oct</c:v>
                </c:pt>
                <c:pt idx="280">
                  <c:v>20-Oct</c:v>
                </c:pt>
                <c:pt idx="281">
                  <c:v>20-Oct</c:v>
                </c:pt>
                <c:pt idx="282">
                  <c:v>20-Oct</c:v>
                </c:pt>
                <c:pt idx="283">
                  <c:v>20-Oct</c:v>
                </c:pt>
                <c:pt idx="284">
                  <c:v>20-Oct</c:v>
                </c:pt>
                <c:pt idx="285">
                  <c:v>20-Oct</c:v>
                </c:pt>
                <c:pt idx="286">
                  <c:v>20-Oct</c:v>
                </c:pt>
                <c:pt idx="287">
                  <c:v>20-Oct</c:v>
                </c:pt>
                <c:pt idx="288">
                  <c:v>20-Oct</c:v>
                </c:pt>
                <c:pt idx="289">
                  <c:v>20-Oct</c:v>
                </c:pt>
                <c:pt idx="290">
                  <c:v>20-Oct</c:v>
                </c:pt>
                <c:pt idx="291">
                  <c:v>20-Oct</c:v>
                </c:pt>
                <c:pt idx="292">
                  <c:v>20-Oct</c:v>
                </c:pt>
                <c:pt idx="293">
                  <c:v>20-Oct</c:v>
                </c:pt>
                <c:pt idx="294">
                  <c:v>20-Oct</c:v>
                </c:pt>
                <c:pt idx="295">
                  <c:v>20-Oct</c:v>
                </c:pt>
                <c:pt idx="296">
                  <c:v>20-Oct</c:v>
                </c:pt>
                <c:pt idx="297">
                  <c:v>20-Oct</c:v>
                </c:pt>
                <c:pt idx="298">
                  <c:v>20-Oct</c:v>
                </c:pt>
                <c:pt idx="299">
                  <c:v>20-Oct</c:v>
                </c:pt>
                <c:pt idx="300">
                  <c:v>20-Oct</c:v>
                </c:pt>
                <c:pt idx="301">
                  <c:v>20-Oct</c:v>
                </c:pt>
                <c:pt idx="302">
                  <c:v>20-Oct</c:v>
                </c:pt>
                <c:pt idx="303">
                  <c:v>20-Oct</c:v>
                </c:pt>
                <c:pt idx="304">
                  <c:v>20-Oct</c:v>
                </c:pt>
                <c:pt idx="305">
                  <c:v>20-Nov</c:v>
                </c:pt>
                <c:pt idx="306">
                  <c:v>20-Nov</c:v>
                </c:pt>
                <c:pt idx="307">
                  <c:v>20-Nov</c:v>
                </c:pt>
                <c:pt idx="308">
                  <c:v>20-Nov</c:v>
                </c:pt>
                <c:pt idx="309">
                  <c:v>20-Nov</c:v>
                </c:pt>
                <c:pt idx="310">
                  <c:v>20-Nov</c:v>
                </c:pt>
                <c:pt idx="311">
                  <c:v>20-Nov</c:v>
                </c:pt>
                <c:pt idx="312">
                  <c:v>20-Nov</c:v>
                </c:pt>
                <c:pt idx="313">
                  <c:v>20-Nov</c:v>
                </c:pt>
                <c:pt idx="314">
                  <c:v>20-Nov</c:v>
                </c:pt>
                <c:pt idx="315">
                  <c:v>20-Nov</c:v>
                </c:pt>
                <c:pt idx="316">
                  <c:v>20-Nov</c:v>
                </c:pt>
                <c:pt idx="317">
                  <c:v>20-Nov</c:v>
                </c:pt>
                <c:pt idx="318">
                  <c:v>20-Nov</c:v>
                </c:pt>
                <c:pt idx="319">
                  <c:v>20-Nov</c:v>
                </c:pt>
                <c:pt idx="320">
                  <c:v>20-Nov</c:v>
                </c:pt>
                <c:pt idx="321">
                  <c:v>20-Nov</c:v>
                </c:pt>
                <c:pt idx="322">
                  <c:v>20-Nov</c:v>
                </c:pt>
                <c:pt idx="323">
                  <c:v>20-Nov</c:v>
                </c:pt>
                <c:pt idx="324">
                  <c:v>20-Nov</c:v>
                </c:pt>
                <c:pt idx="325">
                  <c:v>20-Nov</c:v>
                </c:pt>
                <c:pt idx="326">
                  <c:v>20-Nov</c:v>
                </c:pt>
                <c:pt idx="327">
                  <c:v>20-Nov</c:v>
                </c:pt>
                <c:pt idx="328">
                  <c:v>20-Nov</c:v>
                </c:pt>
                <c:pt idx="329">
                  <c:v>20-Nov</c:v>
                </c:pt>
                <c:pt idx="330">
                  <c:v>20-Nov</c:v>
                </c:pt>
                <c:pt idx="331">
                  <c:v>20-Nov</c:v>
                </c:pt>
                <c:pt idx="332">
                  <c:v>20-Nov</c:v>
                </c:pt>
                <c:pt idx="333">
                  <c:v>20-Nov</c:v>
                </c:pt>
                <c:pt idx="334">
                  <c:v>20-Nov</c:v>
                </c:pt>
                <c:pt idx="335">
                  <c:v>20-Dec</c:v>
                </c:pt>
                <c:pt idx="336">
                  <c:v>20-Dec</c:v>
                </c:pt>
                <c:pt idx="337">
                  <c:v>20-Dec</c:v>
                </c:pt>
                <c:pt idx="338">
                  <c:v>20-Dec</c:v>
                </c:pt>
                <c:pt idx="339">
                  <c:v>20-Dec</c:v>
                </c:pt>
                <c:pt idx="340">
                  <c:v>20-Dec</c:v>
                </c:pt>
                <c:pt idx="341">
                  <c:v>20-Dec</c:v>
                </c:pt>
                <c:pt idx="342">
                  <c:v>20-Dec</c:v>
                </c:pt>
                <c:pt idx="343">
                  <c:v>20-Dec</c:v>
                </c:pt>
                <c:pt idx="344">
                  <c:v>20-Dec</c:v>
                </c:pt>
                <c:pt idx="345">
                  <c:v>20-Dec</c:v>
                </c:pt>
                <c:pt idx="346">
                  <c:v>20-Dec</c:v>
                </c:pt>
                <c:pt idx="347">
                  <c:v>20-Dec</c:v>
                </c:pt>
                <c:pt idx="348">
                  <c:v>20-Dec</c:v>
                </c:pt>
                <c:pt idx="349">
                  <c:v>20-Dec</c:v>
                </c:pt>
                <c:pt idx="350">
                  <c:v>20-Dec</c:v>
                </c:pt>
                <c:pt idx="351">
                  <c:v>20-Dec</c:v>
                </c:pt>
                <c:pt idx="352">
                  <c:v>20-Dec</c:v>
                </c:pt>
                <c:pt idx="353">
                  <c:v>20-Dec</c:v>
                </c:pt>
                <c:pt idx="354">
                  <c:v>20-Dec</c:v>
                </c:pt>
                <c:pt idx="355">
                  <c:v>20-Dec</c:v>
                </c:pt>
                <c:pt idx="356">
                  <c:v>20-Dec</c:v>
                </c:pt>
                <c:pt idx="357">
                  <c:v>20-Dec</c:v>
                </c:pt>
                <c:pt idx="358">
                  <c:v>20-Dec</c:v>
                </c:pt>
                <c:pt idx="359">
                  <c:v>20-Dec</c:v>
                </c:pt>
                <c:pt idx="360">
                  <c:v>20-Dec</c:v>
                </c:pt>
                <c:pt idx="361">
                  <c:v>20-Dec</c:v>
                </c:pt>
                <c:pt idx="362">
                  <c:v>20-Dec</c:v>
                </c:pt>
                <c:pt idx="363">
                  <c:v>20-Dec</c:v>
                </c:pt>
                <c:pt idx="364">
                  <c:v>20-Dec</c:v>
                </c:pt>
                <c:pt idx="365">
                  <c:v>20-Dec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en-US"/>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Arbeitszeit!$AE$4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Arbeitszeit!$AL$4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en-US"/>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7002860604274E-2"/>
          <c:y val="2.5000000000000001E-2"/>
          <c:w val="0.91509855495722914"/>
          <c:h val="0.95"/>
        </c:manualLayout>
      </c:layout>
      <c:barChart>
        <c:barDir val="col"/>
        <c:grouping val="percentStacked"/>
        <c:varyColors val="0"/>
        <c:ser>
          <c:idx val="0"/>
          <c:order val="0"/>
          <c:spPr>
            <a:solidFill>
              <a:srgbClr val="FF6600"/>
            </a:solidFill>
            <a:ln w="12700">
              <a:solidFill>
                <a:srgbClr val="000000"/>
              </a:solidFill>
              <a:prstDash val="solid"/>
            </a:ln>
          </c:spPr>
          <c:invertIfNegative val="0"/>
          <c:dLbls>
            <c:dLbl>
              <c:idx val="0"/>
              <c:layout>
                <c:manualLayout>
                  <c:x val="-0.34358600021020763"/>
                  <c:y val="-0.2971123359580052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DFE-4E32-8C63-943D59BE3770}"/>
                </c:ext>
              </c:extLst>
            </c:dLbl>
            <c:spPr>
              <a:noFill/>
              <a:ln w="25400">
                <a:noFill/>
              </a:ln>
            </c:spPr>
            <c:txPr>
              <a:bodyPr/>
              <a:lstStyle/>
              <a:p>
                <a:pPr>
                  <a:defRPr sz="1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Cockpit!$J$12</c:f>
              <c:numCache>
                <c:formatCode>General</c:formatCode>
                <c:ptCount val="1"/>
                <c:pt idx="0">
                  <c:v>0</c:v>
                </c:pt>
              </c:numCache>
            </c:numRef>
          </c:val>
          <c:extLst>
            <c:ext xmlns:c16="http://schemas.microsoft.com/office/drawing/2014/chart" uri="{C3380CC4-5D6E-409C-BE32-E72D297353CC}">
              <c16:uniqueId val="{00000001-ADFE-4E32-8C63-943D59BE3770}"/>
            </c:ext>
          </c:extLst>
        </c:ser>
        <c:ser>
          <c:idx val="1"/>
          <c:order val="1"/>
          <c:spPr>
            <a:solidFill>
              <a:srgbClr val="0000FF"/>
            </a:solidFill>
            <a:ln w="12700">
              <a:solidFill>
                <a:srgbClr val="000000"/>
              </a:solidFill>
              <a:prstDash val="solid"/>
            </a:ln>
          </c:spPr>
          <c:invertIfNegative val="0"/>
          <c:dLbls>
            <c:dLbl>
              <c:idx val="0"/>
              <c:layout>
                <c:manualLayout>
                  <c:x val="-0.34446650335486168"/>
                  <c:y val="-0.2424125984251968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E-4E32-8C63-943D59BE3770}"/>
                </c:ext>
              </c:extLst>
            </c:dLbl>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Cockpit!$J$13</c:f>
              <c:numCache>
                <c:formatCode>General</c:formatCode>
                <c:ptCount val="1"/>
                <c:pt idx="0">
                  <c:v>366</c:v>
                </c:pt>
              </c:numCache>
            </c:numRef>
          </c:val>
          <c:extLst>
            <c:ext xmlns:c16="http://schemas.microsoft.com/office/drawing/2014/chart" uri="{C3380CC4-5D6E-409C-BE32-E72D297353CC}">
              <c16:uniqueId val="{00000003-ADFE-4E32-8C63-943D59BE3770}"/>
            </c:ext>
          </c:extLst>
        </c:ser>
        <c:dLbls>
          <c:showLegendKey val="0"/>
          <c:showVal val="0"/>
          <c:showCatName val="0"/>
          <c:showSerName val="0"/>
          <c:showPercent val="0"/>
          <c:showBubbleSize val="0"/>
        </c:dLbls>
        <c:gapWidth val="150"/>
        <c:overlap val="100"/>
        <c:axId val="287631232"/>
        <c:axId val="320577920"/>
      </c:barChart>
      <c:catAx>
        <c:axId val="287631232"/>
        <c:scaling>
          <c:orientation val="minMax"/>
        </c:scaling>
        <c:delete val="1"/>
        <c:axPos val="b"/>
        <c:majorTickMark val="out"/>
        <c:minorTickMark val="none"/>
        <c:tickLblPos val="nextTo"/>
        <c:crossAx val="320577920"/>
        <c:crosses val="autoZero"/>
        <c:auto val="1"/>
        <c:lblAlgn val="ctr"/>
        <c:lblOffset val="100"/>
        <c:noMultiLvlLbl val="0"/>
      </c:catAx>
      <c:valAx>
        <c:axId val="320577920"/>
        <c:scaling>
          <c:orientation val="minMax"/>
        </c:scaling>
        <c:delete val="1"/>
        <c:axPos val="l"/>
        <c:numFmt formatCode="0%" sourceLinked="1"/>
        <c:majorTickMark val="out"/>
        <c:minorTickMark val="none"/>
        <c:tickLblPos val="nextTo"/>
        <c:crossAx val="28763123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884316307969615"/>
          <c:y val="0.19153193418201536"/>
          <c:w val="0.37702848999195837"/>
          <c:h val="0.6209341737191143"/>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61E7-43E1-8754-1851B2691BD4}"/>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61E7-43E1-8754-1851B2691BD4}"/>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61E7-43E1-8754-1851B2691BD4}"/>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61E7-43E1-8754-1851B2691BD4}"/>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61E7-43E1-8754-1851B2691BD4}"/>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A-61E7-43E1-8754-1851B2691BD4}"/>
              </c:ext>
            </c:extLst>
          </c:dPt>
          <c:dPt>
            <c:idx val="6"/>
            <c:bubble3D val="0"/>
            <c:spPr>
              <a:solidFill>
                <a:srgbClr val="0066CC"/>
              </a:solidFill>
              <a:ln w="12700">
                <a:solidFill>
                  <a:srgbClr val="000000"/>
                </a:solidFill>
                <a:prstDash val="solid"/>
              </a:ln>
            </c:spPr>
            <c:extLst>
              <c:ext xmlns:c16="http://schemas.microsoft.com/office/drawing/2014/chart" uri="{C3380CC4-5D6E-409C-BE32-E72D297353CC}">
                <c16:uniqueId val="{0000000C-61E7-43E1-8754-1851B2691BD4}"/>
              </c:ext>
            </c:extLst>
          </c:dPt>
          <c:dPt>
            <c:idx val="7"/>
            <c:bubble3D val="0"/>
            <c:spPr>
              <a:solidFill>
                <a:srgbClr val="CCCCFF"/>
              </a:solidFill>
              <a:ln w="12700">
                <a:solidFill>
                  <a:srgbClr val="000000"/>
                </a:solidFill>
                <a:prstDash val="solid"/>
              </a:ln>
            </c:spPr>
            <c:extLst>
              <c:ext xmlns:c16="http://schemas.microsoft.com/office/drawing/2014/chart" uri="{C3380CC4-5D6E-409C-BE32-E72D297353CC}">
                <c16:uniqueId val="{0000000E-61E7-43E1-8754-1851B2691BD4}"/>
              </c:ext>
            </c:extLst>
          </c:dPt>
          <c:dPt>
            <c:idx val="8"/>
            <c:bubble3D val="0"/>
            <c:spPr>
              <a:solidFill>
                <a:srgbClr val="000080"/>
              </a:solidFill>
              <a:ln w="12700">
                <a:solidFill>
                  <a:srgbClr val="000000"/>
                </a:solidFill>
                <a:prstDash val="solid"/>
              </a:ln>
            </c:spPr>
            <c:extLst>
              <c:ext xmlns:c16="http://schemas.microsoft.com/office/drawing/2014/chart" uri="{C3380CC4-5D6E-409C-BE32-E72D297353CC}">
                <c16:uniqueId val="{00000010-61E7-43E1-8754-1851B2691BD4}"/>
              </c:ext>
            </c:extLst>
          </c:dPt>
          <c:dPt>
            <c:idx val="9"/>
            <c:bubble3D val="0"/>
            <c:spPr>
              <a:solidFill>
                <a:srgbClr val="FF00FF"/>
              </a:solidFill>
              <a:ln w="12700">
                <a:solidFill>
                  <a:srgbClr val="000000"/>
                </a:solidFill>
                <a:prstDash val="solid"/>
              </a:ln>
            </c:spPr>
            <c:extLst>
              <c:ext xmlns:c16="http://schemas.microsoft.com/office/drawing/2014/chart" uri="{C3380CC4-5D6E-409C-BE32-E72D297353CC}">
                <c16:uniqueId val="{00000012-61E7-43E1-8754-1851B2691BD4}"/>
              </c:ext>
            </c:extLst>
          </c:dPt>
          <c:dPt>
            <c:idx val="10"/>
            <c:bubble3D val="0"/>
            <c:spPr>
              <a:solidFill>
                <a:srgbClr val="FFFF00"/>
              </a:solidFill>
              <a:ln w="12700">
                <a:solidFill>
                  <a:srgbClr val="000000"/>
                </a:solidFill>
                <a:prstDash val="solid"/>
              </a:ln>
            </c:spPr>
            <c:extLst>
              <c:ext xmlns:c16="http://schemas.microsoft.com/office/drawing/2014/chart" uri="{C3380CC4-5D6E-409C-BE32-E72D297353CC}">
                <c16:uniqueId val="{00000014-61E7-43E1-8754-1851B2691BD4}"/>
              </c:ext>
            </c:extLst>
          </c:dPt>
          <c:dPt>
            <c:idx val="11"/>
            <c:bubble3D val="0"/>
            <c:spPr>
              <a:solidFill>
                <a:srgbClr val="00FFFF"/>
              </a:solidFill>
              <a:ln w="12700">
                <a:solidFill>
                  <a:srgbClr val="000000"/>
                </a:solidFill>
                <a:prstDash val="solid"/>
              </a:ln>
            </c:spPr>
            <c:extLst>
              <c:ext xmlns:c16="http://schemas.microsoft.com/office/drawing/2014/chart" uri="{C3380CC4-5D6E-409C-BE32-E72D297353CC}">
                <c16:uniqueId val="{00000016-61E7-43E1-8754-1851B2691BD4}"/>
              </c:ext>
            </c:extLst>
          </c:dPt>
          <c:dPt>
            <c:idx val="12"/>
            <c:bubble3D val="0"/>
            <c:spPr>
              <a:solidFill>
                <a:srgbClr val="800080"/>
              </a:solidFill>
              <a:ln w="12700">
                <a:solidFill>
                  <a:srgbClr val="000000"/>
                </a:solidFill>
                <a:prstDash val="solid"/>
              </a:ln>
            </c:spPr>
            <c:extLst>
              <c:ext xmlns:c16="http://schemas.microsoft.com/office/drawing/2014/chart" uri="{C3380CC4-5D6E-409C-BE32-E72D297353CC}">
                <c16:uniqueId val="{00000018-61E7-43E1-8754-1851B2691BD4}"/>
              </c:ext>
            </c:extLst>
          </c:dPt>
          <c:dPt>
            <c:idx val="13"/>
            <c:bubble3D val="0"/>
            <c:spPr>
              <a:solidFill>
                <a:srgbClr val="800000"/>
              </a:solidFill>
              <a:ln w="12700">
                <a:solidFill>
                  <a:srgbClr val="000000"/>
                </a:solidFill>
                <a:prstDash val="solid"/>
              </a:ln>
            </c:spPr>
            <c:extLst>
              <c:ext xmlns:c16="http://schemas.microsoft.com/office/drawing/2014/chart" uri="{C3380CC4-5D6E-409C-BE32-E72D297353CC}">
                <c16:uniqueId val="{0000001A-61E7-43E1-8754-1851B2691BD4}"/>
              </c:ext>
            </c:extLst>
          </c:dPt>
          <c:dPt>
            <c:idx val="14"/>
            <c:bubble3D val="0"/>
            <c:spPr>
              <a:solidFill>
                <a:srgbClr val="008080"/>
              </a:solidFill>
              <a:ln w="12700">
                <a:solidFill>
                  <a:srgbClr val="000000"/>
                </a:solidFill>
                <a:prstDash val="solid"/>
              </a:ln>
            </c:spPr>
            <c:extLst>
              <c:ext xmlns:c16="http://schemas.microsoft.com/office/drawing/2014/chart" uri="{C3380CC4-5D6E-409C-BE32-E72D297353CC}">
                <c16:uniqueId val="{0000001C-61E7-43E1-8754-1851B2691BD4}"/>
              </c:ext>
            </c:extLst>
          </c:dPt>
          <c:dPt>
            <c:idx val="15"/>
            <c:bubble3D val="0"/>
            <c:spPr>
              <a:solidFill>
                <a:srgbClr val="0000FF"/>
              </a:solidFill>
              <a:ln w="12700">
                <a:solidFill>
                  <a:srgbClr val="000000"/>
                </a:solidFill>
                <a:prstDash val="solid"/>
              </a:ln>
            </c:spPr>
            <c:extLst>
              <c:ext xmlns:c16="http://schemas.microsoft.com/office/drawing/2014/chart" uri="{C3380CC4-5D6E-409C-BE32-E72D297353CC}">
                <c16:uniqueId val="{0000001E-61E7-43E1-8754-1851B2691BD4}"/>
              </c:ext>
            </c:extLst>
          </c:dPt>
          <c:dPt>
            <c:idx val="16"/>
            <c:bubble3D val="0"/>
            <c:spPr>
              <a:solidFill>
                <a:srgbClr val="00CCFF"/>
              </a:solidFill>
              <a:ln w="12700">
                <a:solidFill>
                  <a:srgbClr val="000000"/>
                </a:solidFill>
                <a:prstDash val="solid"/>
              </a:ln>
            </c:spPr>
            <c:extLst>
              <c:ext xmlns:c16="http://schemas.microsoft.com/office/drawing/2014/chart" uri="{C3380CC4-5D6E-409C-BE32-E72D297353CC}">
                <c16:uniqueId val="{00000020-61E7-43E1-8754-1851B2691BD4}"/>
              </c:ext>
            </c:extLst>
          </c:dPt>
          <c:dPt>
            <c:idx val="17"/>
            <c:bubble3D val="0"/>
            <c:spPr>
              <a:solidFill>
                <a:srgbClr val="CCFFFF"/>
              </a:solidFill>
              <a:ln w="12700">
                <a:solidFill>
                  <a:srgbClr val="000000"/>
                </a:solidFill>
                <a:prstDash val="solid"/>
              </a:ln>
            </c:spPr>
            <c:extLst>
              <c:ext xmlns:c16="http://schemas.microsoft.com/office/drawing/2014/chart" uri="{C3380CC4-5D6E-409C-BE32-E72D297353CC}">
                <c16:uniqueId val="{00000022-61E7-43E1-8754-1851B2691BD4}"/>
              </c:ext>
            </c:extLst>
          </c:dPt>
          <c:dPt>
            <c:idx val="18"/>
            <c:bubble3D val="0"/>
            <c:spPr>
              <a:solidFill>
                <a:srgbClr val="CCFFCC"/>
              </a:solidFill>
              <a:ln w="12700">
                <a:solidFill>
                  <a:srgbClr val="000000"/>
                </a:solidFill>
                <a:prstDash val="solid"/>
              </a:ln>
            </c:spPr>
            <c:extLst>
              <c:ext xmlns:c16="http://schemas.microsoft.com/office/drawing/2014/chart" uri="{C3380CC4-5D6E-409C-BE32-E72D297353CC}">
                <c16:uniqueId val="{00000024-61E7-43E1-8754-1851B2691BD4}"/>
              </c:ext>
            </c:extLst>
          </c:dPt>
          <c:dPt>
            <c:idx val="19"/>
            <c:bubble3D val="0"/>
            <c:spPr>
              <a:solidFill>
                <a:srgbClr val="FFFF99"/>
              </a:solidFill>
              <a:ln w="12700">
                <a:solidFill>
                  <a:srgbClr val="000000"/>
                </a:solidFill>
                <a:prstDash val="solid"/>
              </a:ln>
            </c:spPr>
            <c:extLst>
              <c:ext xmlns:c16="http://schemas.microsoft.com/office/drawing/2014/chart" uri="{C3380CC4-5D6E-409C-BE32-E72D297353CC}">
                <c16:uniqueId val="{00000026-61E7-43E1-8754-1851B2691BD4}"/>
              </c:ext>
            </c:extLst>
          </c:dPt>
          <c:dPt>
            <c:idx val="20"/>
            <c:bubble3D val="0"/>
            <c:extLst>
              <c:ext xmlns:c16="http://schemas.microsoft.com/office/drawing/2014/chart" uri="{C3380CC4-5D6E-409C-BE32-E72D297353CC}">
                <c16:uniqueId val="{00000027-61E7-43E1-8754-1851B2691BD4}"/>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Cockpit!xCurveHeader</c:f>
              <c:strCache>
                <c:ptCount val="21"/>
                <c:pt idx="0">
                  <c:v>Urlaub</c:v>
                </c:pt>
                <c:pt idx="1">
                  <c:v>Krank</c:v>
                </c:pt>
                <c:pt idx="2">
                  <c:v>Allgemein</c:v>
                </c:pt>
                <c:pt idx="3">
                  <c:v>Aufgabe 01</c:v>
                </c:pt>
                <c:pt idx="4">
                  <c:v>Aufgabe 02</c:v>
                </c:pt>
                <c:pt idx="5">
                  <c:v>Aufgabe 03</c:v>
                </c:pt>
                <c:pt idx="6">
                  <c:v>Aufgabe 04</c:v>
                </c:pt>
                <c:pt idx="7">
                  <c:v>Aufgabe 05</c:v>
                </c:pt>
                <c:pt idx="8">
                  <c:v>Aufgabe 06</c:v>
                </c:pt>
                <c:pt idx="9">
                  <c:v>Aufgabe 07</c:v>
                </c:pt>
                <c:pt idx="10">
                  <c:v>Aufgabe 08</c:v>
                </c:pt>
                <c:pt idx="11">
                  <c:v>Aufgabe 09</c:v>
                </c:pt>
                <c:pt idx="12">
                  <c:v>Aufgabe 10</c:v>
                </c:pt>
                <c:pt idx="13">
                  <c:v>Aufgabe 11</c:v>
                </c:pt>
                <c:pt idx="14">
                  <c:v>Aufgabe 12</c:v>
                </c:pt>
                <c:pt idx="15">
                  <c:v>Aufgabe 13</c:v>
                </c:pt>
                <c:pt idx="16">
                  <c:v>Aufgabe 14</c:v>
                </c:pt>
                <c:pt idx="17">
                  <c:v>Aufgabe 15</c:v>
                </c:pt>
                <c:pt idx="18">
                  <c:v>Aufgabe 16</c:v>
                </c:pt>
                <c:pt idx="19">
                  <c:v>Aufgabe 17</c:v>
                </c:pt>
                <c:pt idx="20">
                  <c:v>Aufgabe 18</c:v>
                </c:pt>
              </c:strCache>
            </c:strRef>
          </c:cat>
          <c:val>
            <c:numRef>
              <c:f>Cockpit!xCurveValue</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28-61E7-43E1-8754-1851B2691BD4}"/>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82721169234708702"/>
          <c:y val="1.5446032208936845E-2"/>
          <c:w val="0.1594400043334171"/>
          <c:h val="0.97619487378892456"/>
        </c:manualLayout>
      </c:layout>
      <c:overlay val="0"/>
      <c:spPr>
        <a:solidFill>
          <a:srgbClr val="FFFFFF"/>
        </a:solidFill>
        <a:ln w="25400">
          <a:noFill/>
        </a:ln>
      </c:spPr>
      <c:txPr>
        <a:bodyPr/>
        <a:lstStyle/>
        <a:p>
          <a:pPr>
            <a:defRPr sz="57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paperSize="9" orientation="landscape" copies="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42369</c:v>
                </c:pt>
                <c:pt idx="1">
                  <c:v>42400</c:v>
                </c:pt>
                <c:pt idx="2">
                  <c:v>42429</c:v>
                </c:pt>
                <c:pt idx="3">
                  <c:v>42460</c:v>
                </c:pt>
                <c:pt idx="4">
                  <c:v>42490</c:v>
                </c:pt>
                <c:pt idx="5">
                  <c:v>42521</c:v>
                </c:pt>
                <c:pt idx="6">
                  <c:v>42551</c:v>
                </c:pt>
                <c:pt idx="7">
                  <c:v>42582</c:v>
                </c:pt>
                <c:pt idx="8">
                  <c:v>42613</c:v>
                </c:pt>
                <c:pt idx="9">
                  <c:v>42643</c:v>
                </c:pt>
                <c:pt idx="10">
                  <c:v>42674</c:v>
                </c:pt>
                <c:pt idx="11">
                  <c:v>42704</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42369</c:v>
                </c:pt>
                <c:pt idx="1">
                  <c:v>42400</c:v>
                </c:pt>
                <c:pt idx="2">
                  <c:v>42429</c:v>
                </c:pt>
                <c:pt idx="3">
                  <c:v>42460</c:v>
                </c:pt>
                <c:pt idx="4">
                  <c:v>42490</c:v>
                </c:pt>
                <c:pt idx="5">
                  <c:v>42521</c:v>
                </c:pt>
                <c:pt idx="6">
                  <c:v>42551</c:v>
                </c:pt>
                <c:pt idx="7">
                  <c:v>42582</c:v>
                </c:pt>
                <c:pt idx="8">
                  <c:v>42613</c:v>
                </c:pt>
                <c:pt idx="9">
                  <c:v>42643</c:v>
                </c:pt>
                <c:pt idx="10">
                  <c:v>42674</c:v>
                </c:pt>
                <c:pt idx="11">
                  <c:v>42704</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42369</c:v>
                </c:pt>
                <c:pt idx="1">
                  <c:v>42400</c:v>
                </c:pt>
                <c:pt idx="2">
                  <c:v>42429</c:v>
                </c:pt>
                <c:pt idx="3">
                  <c:v>42460</c:v>
                </c:pt>
                <c:pt idx="4">
                  <c:v>42490</c:v>
                </c:pt>
                <c:pt idx="5">
                  <c:v>42521</c:v>
                </c:pt>
                <c:pt idx="6">
                  <c:v>42551</c:v>
                </c:pt>
                <c:pt idx="7">
                  <c:v>42582</c:v>
                </c:pt>
                <c:pt idx="8">
                  <c:v>42613</c:v>
                </c:pt>
                <c:pt idx="9">
                  <c:v>42643</c:v>
                </c:pt>
                <c:pt idx="10">
                  <c:v>42674</c:v>
                </c:pt>
                <c:pt idx="11">
                  <c:v>42704</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42369</c:v>
                </c:pt>
                <c:pt idx="1">
                  <c:v>42400</c:v>
                </c:pt>
                <c:pt idx="2">
                  <c:v>42429</c:v>
                </c:pt>
                <c:pt idx="3">
                  <c:v>42460</c:v>
                </c:pt>
                <c:pt idx="4">
                  <c:v>42490</c:v>
                </c:pt>
                <c:pt idx="5">
                  <c:v>42521</c:v>
                </c:pt>
                <c:pt idx="6">
                  <c:v>42551</c:v>
                </c:pt>
                <c:pt idx="7">
                  <c:v>42582</c:v>
                </c:pt>
                <c:pt idx="8">
                  <c:v>42613</c:v>
                </c:pt>
                <c:pt idx="9">
                  <c:v>42643</c:v>
                </c:pt>
                <c:pt idx="10">
                  <c:v>42674</c:v>
                </c:pt>
                <c:pt idx="11">
                  <c:v>42704</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Drop" dropStyle="combo" dx="16" fmlaLink="C29" fmlaRange="db_ZeitTTMMM" sel="1" val="365"/>
</file>

<file path=xl/ctrlProps/ctrlProp3.xml><?xml version="1.0" encoding="utf-8"?>
<formControlPr xmlns="http://schemas.microsoft.com/office/spreadsheetml/2009/9/main" objectType="Drop" dropStyle="combo" dx="16" fmlaLink="E29" fmlaRange="db_ZeitTTMMM" sel="365" val="361"/>
</file>

<file path=xl/ctrlProps/ctrlProp4.xml><?xml version="1.0" encoding="utf-8"?>
<formControlPr xmlns="http://schemas.microsoft.com/office/spreadsheetml/2009/9/main" objectType="Drop" dropStyle="combo" dx="16" fmlaLink="$E$46" fmlaRange="Cockpit!$A$28:$A$48" sel="0" val="0"/>
</file>

<file path=xl/ctrlProps/ctrlProp5.xml><?xml version="1.0" encoding="utf-8"?>
<formControlPr xmlns="http://schemas.microsoft.com/office/spreadsheetml/2009/9/main" objectType="Drop" dropStyle="combo" dx="16" fmlaLink="$E$45" fmlaRange="Cockpit!$A$28:$A$48" sel="21" val="0"/>
</file>

<file path=xl/ctrlProps/ctrlProp6.xml><?xml version="1.0" encoding="utf-8"?>
<formControlPr xmlns="http://schemas.microsoft.com/office/spreadsheetml/2009/9/main" objectType="Drop" dropStyle="combo" dx="16" fmlaLink="$E$45" fmlaRange="Cockpit!$A$28:$A$48" sel="21" val="0"/>
</file>

<file path=xl/ctrlProps/ctrlProp7.xml><?xml version="1.0" encoding="utf-8"?>
<formControlPr xmlns="http://schemas.microsoft.com/office/spreadsheetml/2009/9/main" objectType="Drop" dropStyle="combo" dx="16" fmlaLink="$E$45" fmlaRange="Cockpit!$A$28:$A$48" sel="21" val="0"/>
</file>

<file path=xl/ctrlProps/ctrlProp8.xml><?xml version="1.0" encoding="utf-8"?>
<formControlPr xmlns="http://schemas.microsoft.com/office/spreadsheetml/2009/9/main" objectType="Drop" dropStyle="combo" dx="16" fmlaLink="C31" fmlaRange="db_ZeitTTMMM" sel="1" val="0"/>
</file>

<file path=xl/ctrlProps/ctrlProp9.xml><?xml version="1.0" encoding="utf-8"?>
<formControlPr xmlns="http://schemas.microsoft.com/office/spreadsheetml/2009/9/main" objectType="Drop" dropStyle="combo" dx="16" fmlaLink="C33" fmlaRange="db_ZeitTTMMM" sel="24" val="23"/>
</file>

<file path=xl/ctrlProps/ctrlProp10.xml><?xml version="1.0" encoding="utf-8"?>
<formControlPr xmlns="http://schemas.microsoft.com/office/spreadsheetml/2009/9/main" objectType="Drop" dropStyle="combo" dx="16" fmlaLink="C35" fmlaRange="db_ZeitTTMMM" sel="54" val="53"/>
</file>

<file path=xl/ctrlProps/ctrlProp11.xml><?xml version="1.0" encoding="utf-8"?>
<formControlPr xmlns="http://schemas.microsoft.com/office/spreadsheetml/2009/9/main" objectType="Drop" dropStyle="combo" dx="16" fmlaLink="C37" fmlaRange="db_ZeitTTMMM" sel="84" val="81"/>
</file>

<file path=xl/ctrlProps/ctrlProp12.xml><?xml version="1.0" encoding="utf-8"?>
<formControlPr xmlns="http://schemas.microsoft.com/office/spreadsheetml/2009/9/main" objectType="Drop" dropStyle="combo" dx="16" fmlaLink="C39" fmlaRange="db_ZeitTTMMM" sel="114" val="112"/>
</file>

<file path=xl/ctrlProps/ctrlProp13.xml><?xml version="1.0" encoding="utf-8"?>
<formControlPr xmlns="http://schemas.microsoft.com/office/spreadsheetml/2009/9/main" objectType="Drop" dropStyle="combo" dx="16" fmlaLink="C41" fmlaRange="db_ZeitTTMMM" sel="143" val="141"/>
</file>

<file path=xl/ctrlProps/ctrlProp14.xml><?xml version="1.0" encoding="utf-8"?>
<formControlPr xmlns="http://schemas.microsoft.com/office/spreadsheetml/2009/9/main" objectType="Drop" dropStyle="combo" dx="16" fmlaLink="C43" fmlaRange="db_ZeitTTMMM" sel="175" val="174"/>
</file>

<file path=xl/ctrlProps/ctrlProp15.xml><?xml version="1.0" encoding="utf-8"?>
<formControlPr xmlns="http://schemas.microsoft.com/office/spreadsheetml/2009/9/main" objectType="Drop" dropStyle="combo" dx="16" fmlaLink="C45" fmlaRange="db_ZeitTTMMM" sel="206" val="203"/>
</file>

<file path=xl/ctrlProps/ctrlProp16.xml><?xml version="1.0" encoding="utf-8"?>
<formControlPr xmlns="http://schemas.microsoft.com/office/spreadsheetml/2009/9/main" objectType="Drop" dropStyle="combo" dx="16" fmlaLink="C47" fmlaRange="db_ZeitTTMMM" sel="237" val="236"/>
</file>

<file path=xl/ctrlProps/ctrlProp17.xml><?xml version="1.0" encoding="utf-8"?>
<formControlPr xmlns="http://schemas.microsoft.com/office/spreadsheetml/2009/9/main" objectType="Drop" dropStyle="combo" dx="16" fmlaLink="C49" fmlaRange="db_ZeitTTMMM" sel="274" val="268"/>
</file>

<file path=xl/ctrlProps/ctrlProp18.xml><?xml version="1.0" encoding="utf-8"?>
<formControlPr xmlns="http://schemas.microsoft.com/office/spreadsheetml/2009/9/main" objectType="Drop" dropStyle="combo" dx="16" fmlaLink="C51" fmlaRange="db_ZeitTTMMM" sel="328" val="320"/>
</file>

<file path=xl/ctrlProps/ctrlProp19.xml><?xml version="1.0" encoding="utf-8"?>
<formControlPr xmlns="http://schemas.microsoft.com/office/spreadsheetml/2009/9/main" objectType="Drop" dropStyle="combo" dx="16" fmlaLink="C53" fmlaRange="db_ZeitTTMMM" sel="336" val="334"/>
</file>

<file path=xl/ctrlProps/ctrlProp20.xml><?xml version="1.0" encoding="utf-8"?>
<formControlPr xmlns="http://schemas.microsoft.com/office/spreadsheetml/2009/9/main" objectType="Drop" dropStyle="combo" dx="16" fmlaLink="E31" fmlaRange="db_ZeitTTMMM" sel="23" val="21"/>
</file>

<file path=xl/ctrlProps/ctrlProp21.xml><?xml version="1.0" encoding="utf-8"?>
<formControlPr xmlns="http://schemas.microsoft.com/office/spreadsheetml/2009/9/main" objectType="Drop" dropStyle="combo" dx="16" fmlaLink="E33" fmlaRange="db_ZeitTTMMM" sel="53" val="52"/>
</file>

<file path=xl/ctrlProps/ctrlProp22.xml><?xml version="1.0" encoding="utf-8"?>
<formControlPr xmlns="http://schemas.microsoft.com/office/spreadsheetml/2009/9/main" objectType="Drop" dropStyle="combo" dx="16" fmlaLink="E35" fmlaRange="db_ZeitTTMMM" sel="83" val="80"/>
</file>

<file path=xl/ctrlProps/ctrlProp23.xml><?xml version="1.0" encoding="utf-8"?>
<formControlPr xmlns="http://schemas.microsoft.com/office/spreadsheetml/2009/9/main" objectType="Drop" dropStyle="combo" dx="16" fmlaLink="E37" fmlaRange="db_ZeitTTMMM" sel="113" val="111"/>
</file>

<file path=xl/ctrlProps/ctrlProp24.xml><?xml version="1.0" encoding="utf-8"?>
<formControlPr xmlns="http://schemas.microsoft.com/office/spreadsheetml/2009/9/main" objectType="Drop" dropStyle="combo" dx="16" fmlaLink="E39" fmlaRange="db_ZeitTTMMM" sel="142" val="140"/>
</file>

<file path=xl/ctrlProps/ctrlProp25.xml><?xml version="1.0" encoding="utf-8"?>
<formControlPr xmlns="http://schemas.microsoft.com/office/spreadsheetml/2009/9/main" objectType="Drop" dropStyle="combo" dx="16" fmlaLink="E41" fmlaRange="db_ZeitTTMMM" sel="174" val="173"/>
</file>

<file path=xl/ctrlProps/ctrlProp26.xml><?xml version="1.0" encoding="utf-8"?>
<formControlPr xmlns="http://schemas.microsoft.com/office/spreadsheetml/2009/9/main" objectType="Drop" dropStyle="combo" dx="16" fmlaLink="E45" fmlaRange="db_ZeitTTMMM" sel="236" val="234"/>
</file>

<file path=xl/ctrlProps/ctrlProp27.xml><?xml version="1.0" encoding="utf-8"?>
<formControlPr xmlns="http://schemas.microsoft.com/office/spreadsheetml/2009/9/main" objectType="Drop" dropStyle="combo" dx="16" fmlaLink="E43" fmlaRange="db_ZeitTTMMM" sel="205" val="202"/>
</file>

<file path=xl/ctrlProps/ctrlProp28.xml><?xml version="1.0" encoding="utf-8"?>
<formControlPr xmlns="http://schemas.microsoft.com/office/spreadsheetml/2009/9/main" objectType="Drop" dropStyle="combo" dx="16" fmlaLink="E47" fmlaRange="db_ZeitTTMMM" sel="273" val="266"/>
</file>

<file path=xl/ctrlProps/ctrlProp29.xml><?xml version="1.0" encoding="utf-8"?>
<formControlPr xmlns="http://schemas.microsoft.com/office/spreadsheetml/2009/9/main" objectType="Drop" dropStyle="combo" dx="16" fmlaLink="E49" fmlaRange="db_ZeitTTMMM" sel="327" val="320"/>
</file>

<file path=xl/ctrlProps/ctrlProp30.xml><?xml version="1.0" encoding="utf-8"?>
<formControlPr xmlns="http://schemas.microsoft.com/office/spreadsheetml/2009/9/main" objectType="Drop" dropStyle="combo" dx="16" fmlaLink="E51" fmlaRange="db_ZeitTTMMM" sel="335" val="333"/>
</file>

<file path=xl/ctrlProps/ctrlProp31.xml><?xml version="1.0" encoding="utf-8"?>
<formControlPr xmlns="http://schemas.microsoft.com/office/spreadsheetml/2009/9/main" objectType="Drop" dropStyle="combo" dx="16" fmlaLink="E53" fmlaRange="db_ZeitTTMMM" sel="366" val="364"/>
</file>

<file path=xl/ctrlProps/ctrlProp32.xml><?xml version="1.0" encoding="utf-8"?>
<formControlPr xmlns="http://schemas.microsoft.com/office/spreadsheetml/2009/9/main" objectType="Drop" dropStyle="combo" dx="16" fmlaLink="C55" fmlaRange="db_ZeitTTMMM" sel="366" val="365"/>
</file>

<file path=xl/ctrlProps/ctrlProp33.xml><?xml version="1.0" encoding="utf-8"?>
<formControlPr xmlns="http://schemas.microsoft.com/office/spreadsheetml/2009/9/main" objectType="Drop" dropStyle="combo" dx="16" fmlaLink="E55" fmlaRange="db_ZeitTTMMM" sel="366" val="359"/>
</file>

<file path=xl/ctrlProps/ctrlProp34.xml><?xml version="1.0" encoding="utf-8"?>
<formControlPr xmlns="http://schemas.microsoft.com/office/spreadsheetml/2009/9/main" objectType="Drop" dropStyle="combo" dx="16" fmlaLink="C57" fmlaRange="db_ZeitTTMMM" sel="366" val="358"/>
</file>

<file path=xl/ctrlProps/ctrlProp35.xml><?xml version="1.0" encoding="utf-8"?>
<formControlPr xmlns="http://schemas.microsoft.com/office/spreadsheetml/2009/9/main" objectType="Drop" dropStyle="combo" dx="16" fmlaLink="E57" fmlaRange="db_ZeitTTMMM" sel="366" val="359"/>
</file>

<file path=xl/ctrlProps/ctrlProp36.xml><?xml version="1.0" encoding="utf-8"?>
<formControlPr xmlns="http://schemas.microsoft.com/office/spreadsheetml/2009/9/main" objectType="CheckBox" checked="Checked" fmlaLink="$J$24" lockText="1"/>
</file>

<file path=xl/ctrlProps/ctrlProp37.xml><?xml version="1.0" encoding="utf-8"?>
<formControlPr xmlns="http://schemas.microsoft.com/office/spreadsheetml/2009/9/main" objectType="CheckBox" checked="Checked" fmlaLink="$K$24" lockText="1"/>
</file>

<file path=xl/ctrlProps/ctrlProp38.xml><?xml version="1.0" encoding="utf-8"?>
<formControlPr xmlns="http://schemas.microsoft.com/office/spreadsheetml/2009/9/main" objectType="CheckBox" checked="Checked" fmlaLink="$L$24" lockText="1"/>
</file>

<file path=xl/ctrlProps/ctrlProp39.xml><?xml version="1.0" encoding="utf-8"?>
<formControlPr xmlns="http://schemas.microsoft.com/office/spreadsheetml/2009/9/main" objectType="CheckBox" checked="Checked" fmlaLink="$M$24" lockText="1"/>
</file>

<file path=xl/ctrlProps/ctrlProp40.xml><?xml version="1.0" encoding="utf-8"?>
<formControlPr xmlns="http://schemas.microsoft.com/office/spreadsheetml/2009/9/main" objectType="CheckBox" checked="Checked" fmlaLink="$N$24" lockText="1"/>
</file>

<file path=xl/ctrlProps/ctrlProp41.xml><?xml version="1.0" encoding="utf-8"?>
<formControlPr xmlns="http://schemas.microsoft.com/office/spreadsheetml/2009/9/main" objectType="CheckBox" checked="Checked" fmlaLink="$O$24" lockText="1"/>
</file>

<file path=xl/ctrlProps/ctrlProp42.xml><?xml version="1.0" encoding="utf-8"?>
<formControlPr xmlns="http://schemas.microsoft.com/office/spreadsheetml/2009/9/main" objectType="CheckBox" checked="Checked" fmlaLink="$P$24" lockText="1"/>
</file>

<file path=xl/ctrlProps/ctrlProp43.xml><?xml version="1.0" encoding="utf-8"?>
<formControlPr xmlns="http://schemas.microsoft.com/office/spreadsheetml/2009/9/main" objectType="CheckBox" checked="Checked" fmlaLink="$Q$24" lockText="1"/>
</file>

<file path=xl/ctrlProps/ctrlProp44.xml><?xml version="1.0" encoding="utf-8"?>
<formControlPr xmlns="http://schemas.microsoft.com/office/spreadsheetml/2009/9/main" objectType="CheckBox" checked="Checked" fmlaLink="$I$24" lockText="1"/>
</file>

<file path=xl/ctrlProps/ctrlProp45.xml><?xml version="1.0" encoding="utf-8"?>
<formControlPr xmlns="http://schemas.microsoft.com/office/spreadsheetml/2009/9/main" objectType="CheckBox" checked="Checked" fmlaLink="$G$24" lockText="1"/>
</file>

<file path=xl/ctrlProps/ctrlProp46.xml><?xml version="1.0" encoding="utf-8"?>
<formControlPr xmlns="http://schemas.microsoft.com/office/spreadsheetml/2009/9/main" objectType="CheckBox" checked="Checked" fmlaLink="$H$24" lockText="1"/>
</file>

<file path=xl/ctrlProps/ctrlProp47.xml><?xml version="1.0" encoding="utf-8"?>
<formControlPr xmlns="http://schemas.microsoft.com/office/spreadsheetml/2009/9/main" objectType="CheckBox" checked="Checked" fmlaLink="R24" lockText="1"/>
</file>

<file path=xl/ctrlProps/ctrlProp48.xml><?xml version="1.0" encoding="utf-8"?>
<formControlPr xmlns="http://schemas.microsoft.com/office/spreadsheetml/2009/9/main" objectType="CheckBox" checked="Checked" fmlaLink="S24" lockText="1"/>
</file>

<file path=xl/ctrlProps/ctrlProp49.xml><?xml version="1.0" encoding="utf-8"?>
<formControlPr xmlns="http://schemas.microsoft.com/office/spreadsheetml/2009/9/main" objectType="CheckBox" checked="Checked" fmlaLink="T24" lockText="1"/>
</file>

<file path=xl/ctrlProps/ctrlProp50.xml><?xml version="1.0" encoding="utf-8"?>
<formControlPr xmlns="http://schemas.microsoft.com/office/spreadsheetml/2009/9/main" objectType="CheckBox" checked="Checked" fmlaLink="U24" lockText="1"/>
</file>

<file path=xl/ctrlProps/ctrlProp51.xml><?xml version="1.0" encoding="utf-8"?>
<formControlPr xmlns="http://schemas.microsoft.com/office/spreadsheetml/2009/9/main" objectType="CheckBox" checked="Checked" fmlaLink="V24" lockText="1"/>
</file>

<file path=xl/ctrlProps/ctrlProp52.xml><?xml version="1.0" encoding="utf-8"?>
<formControlPr xmlns="http://schemas.microsoft.com/office/spreadsheetml/2009/9/main" objectType="CheckBox" checked="Checked" fmlaLink="W24" lockText="1"/>
</file>

<file path=xl/ctrlProps/ctrlProp53.xml><?xml version="1.0" encoding="utf-8"?>
<formControlPr xmlns="http://schemas.microsoft.com/office/spreadsheetml/2009/9/main" objectType="CheckBox" checked="Checked" fmlaLink="X24" lockText="1"/>
</file>

<file path=xl/ctrlProps/ctrlProp54.xml><?xml version="1.0" encoding="utf-8"?>
<formControlPr xmlns="http://schemas.microsoft.com/office/spreadsheetml/2009/9/main" objectType="CheckBox" checked="Checked" fmlaLink="Y24" lockText="1"/>
</file>

<file path=xl/ctrlProps/ctrlProp55.xml><?xml version="1.0" encoding="utf-8"?>
<formControlPr xmlns="http://schemas.microsoft.com/office/spreadsheetml/2009/9/main" objectType="CheckBox" checked="Checked" fmlaLink="Z24" lockText="1"/>
</file>

<file path=xl/ctrlProps/ctrlProp56.xml><?xml version="1.0" encoding="utf-8"?>
<formControlPr xmlns="http://schemas.microsoft.com/office/spreadsheetml/2009/9/main" objectType="CheckBox" checked="Checked" fmlaLink="AA24"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2020</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276225</xdr:colOff>
      <xdr:row>7</xdr:row>
      <xdr:rowOff>57150</xdr:rowOff>
    </xdr:from>
    <xdr:to>
      <xdr:col>7</xdr:col>
      <xdr:colOff>514350</xdr:colOff>
      <xdr:row>8</xdr:row>
      <xdr:rowOff>123825</xdr:rowOff>
    </xdr:to>
    <xdr:grpSp>
      <xdr:nvGrpSpPr>
        <xdr:cNvPr id="1417635" name="Group 75">
          <a:extLst>
            <a:ext uri="{FF2B5EF4-FFF2-40B4-BE49-F238E27FC236}">
              <a16:creationId xmlns:a16="http://schemas.microsoft.com/office/drawing/2014/main" id="{00000000-0008-0000-0700-0000A3A11500}"/>
            </a:ext>
          </a:extLst>
        </xdr:cNvPr>
        <xdr:cNvGrpSpPr>
          <a:grpSpLocks/>
        </xdr:cNvGrpSpPr>
      </xdr:nvGrpSpPr>
      <xdr:grpSpPr bwMode="auto">
        <a:xfrm>
          <a:off x="276225" y="876300"/>
          <a:ext cx="3028950" cy="257175"/>
          <a:chOff x="33" y="761"/>
          <a:chExt cx="332" cy="27"/>
        </a:xfrm>
      </xdr:grpSpPr>
      <xdr:sp macro="" textlink="">
        <xdr:nvSpPr>
          <xdr:cNvPr id="1417643" name="Rectangle 52">
            <a:extLst>
              <a:ext uri="{FF2B5EF4-FFF2-40B4-BE49-F238E27FC236}">
                <a16:creationId xmlns:a16="http://schemas.microsoft.com/office/drawing/2014/main" id="{00000000-0008-0000-0700-0000ABA11500}"/>
              </a:ext>
            </a:extLst>
          </xdr:cNvPr>
          <xdr:cNvSpPr>
            <a:spLocks noChangeArrowheads="1"/>
          </xdr:cNvSpPr>
        </xdr:nvSpPr>
        <xdr:spPr bwMode="auto">
          <a:xfrm>
            <a:off x="33" y="761"/>
            <a:ext cx="332" cy="27"/>
          </a:xfrm>
          <a:prstGeom prst="rect">
            <a:avLst/>
          </a:prstGeom>
          <a:solidFill>
            <a:srgbClr val="FFFFFF"/>
          </a:solidFill>
          <a:ln w="9525">
            <a:solidFill>
              <a:srgbClr val="000000"/>
            </a:solidFill>
            <a:miter lim="800000"/>
            <a:headEnd/>
            <a:tailEnd/>
          </a:ln>
        </xdr:spPr>
      </xdr:sp>
      <xdr:sp macro="" textlink="">
        <xdr:nvSpPr>
          <xdr:cNvPr id="1417644" name="Rectangle 53">
            <a:extLst>
              <a:ext uri="{FF2B5EF4-FFF2-40B4-BE49-F238E27FC236}">
                <a16:creationId xmlns:a16="http://schemas.microsoft.com/office/drawing/2014/main" id="{00000000-0008-0000-0700-0000ACA11500}"/>
              </a:ext>
            </a:extLst>
          </xdr:cNvPr>
          <xdr:cNvSpPr>
            <a:spLocks noChangeArrowheads="1"/>
          </xdr:cNvSpPr>
        </xdr:nvSpPr>
        <xdr:spPr bwMode="auto">
          <a:xfrm>
            <a:off x="39" y="765"/>
            <a:ext cx="80"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5" name="Rectangle 54">
            <a:extLst>
              <a:ext uri="{FF2B5EF4-FFF2-40B4-BE49-F238E27FC236}">
                <a16:creationId xmlns:a16="http://schemas.microsoft.com/office/drawing/2014/main" id="{00000000-0008-0000-0700-0000ADA11500}"/>
              </a:ext>
            </a:extLst>
          </xdr:cNvPr>
          <xdr:cNvSpPr>
            <a:spLocks noChangeArrowheads="1"/>
          </xdr:cNvSpPr>
        </xdr:nvSpPr>
        <xdr:spPr bwMode="auto">
          <a:xfrm>
            <a:off x="119" y="765"/>
            <a:ext cx="80"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6" name="Rectangle 55">
            <a:extLst>
              <a:ext uri="{FF2B5EF4-FFF2-40B4-BE49-F238E27FC236}">
                <a16:creationId xmlns:a16="http://schemas.microsoft.com/office/drawing/2014/main" id="{00000000-0008-0000-0700-0000AEA11500}"/>
              </a:ext>
            </a:extLst>
          </xdr:cNvPr>
          <xdr:cNvSpPr>
            <a:spLocks noChangeArrowheads="1"/>
          </xdr:cNvSpPr>
        </xdr:nvSpPr>
        <xdr:spPr bwMode="auto">
          <a:xfrm>
            <a:off x="199" y="765"/>
            <a:ext cx="81"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7" name="Rectangle 56">
            <a:extLst>
              <a:ext uri="{FF2B5EF4-FFF2-40B4-BE49-F238E27FC236}">
                <a16:creationId xmlns:a16="http://schemas.microsoft.com/office/drawing/2014/main" id="{00000000-0008-0000-0700-0000AFA11500}"/>
              </a:ext>
            </a:extLst>
          </xdr:cNvPr>
          <xdr:cNvSpPr>
            <a:spLocks noChangeArrowheads="1"/>
          </xdr:cNvSpPr>
        </xdr:nvSpPr>
        <xdr:spPr bwMode="auto">
          <a:xfrm>
            <a:off x="280" y="765"/>
            <a:ext cx="79"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8" name="Line 57">
            <a:extLst>
              <a:ext uri="{FF2B5EF4-FFF2-40B4-BE49-F238E27FC236}">
                <a16:creationId xmlns:a16="http://schemas.microsoft.com/office/drawing/2014/main" id="{00000000-0008-0000-0700-0000B0A11500}"/>
              </a:ext>
            </a:extLst>
          </xdr:cNvPr>
          <xdr:cNvSpPr>
            <a:spLocks noChangeShapeType="1"/>
          </xdr:cNvSpPr>
        </xdr:nvSpPr>
        <xdr:spPr bwMode="auto">
          <a:xfrm>
            <a:off x="200" y="765"/>
            <a:ext cx="0" cy="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70" name="Text Box 66">
            <a:extLst>
              <a:ext uri="{FF2B5EF4-FFF2-40B4-BE49-F238E27FC236}">
                <a16:creationId xmlns:a16="http://schemas.microsoft.com/office/drawing/2014/main" id="{00000000-0008-0000-0700-000042540000}"/>
              </a:ext>
            </a:extLst>
          </xdr:cNvPr>
          <xdr:cNvSpPr txBox="1">
            <a:spLocks noChangeArrowheads="1"/>
          </xdr:cNvSpPr>
        </xdr:nvSpPr>
        <xdr:spPr bwMode="auto">
          <a:xfrm>
            <a:off x="197" y="776"/>
            <a:ext cx="9"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0</a:t>
            </a:r>
          </a:p>
        </xdr:txBody>
      </xdr:sp>
      <xdr:sp macro="" textlink="">
        <xdr:nvSpPr>
          <xdr:cNvPr id="21571" name="Text Box 67">
            <a:extLst>
              <a:ext uri="{FF2B5EF4-FFF2-40B4-BE49-F238E27FC236}">
                <a16:creationId xmlns:a16="http://schemas.microsoft.com/office/drawing/2014/main" id="{00000000-0008-0000-0700-000043540000}"/>
              </a:ext>
            </a:extLst>
          </xdr:cNvPr>
          <xdr:cNvSpPr txBox="1">
            <a:spLocks noChangeArrowheads="1"/>
          </xdr:cNvSpPr>
        </xdr:nvSpPr>
        <xdr:spPr bwMode="auto">
          <a:xfrm>
            <a:off x="277" y="776"/>
            <a:ext cx="14"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sp macro="" textlink="">
        <xdr:nvSpPr>
          <xdr:cNvPr id="21572" name="Text Box 68">
            <a:extLst>
              <a:ext uri="{FF2B5EF4-FFF2-40B4-BE49-F238E27FC236}">
                <a16:creationId xmlns:a16="http://schemas.microsoft.com/office/drawing/2014/main" id="{00000000-0008-0000-0700-000044540000}"/>
              </a:ext>
            </a:extLst>
          </xdr:cNvPr>
          <xdr:cNvSpPr txBox="1">
            <a:spLocks noChangeArrowheads="1"/>
          </xdr:cNvSpPr>
        </xdr:nvSpPr>
        <xdr:spPr bwMode="auto">
          <a:xfrm>
            <a:off x="345" y="776"/>
            <a:ext cx="18"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&gt;10</a:t>
            </a:r>
          </a:p>
        </xdr:txBody>
      </xdr:sp>
      <xdr:sp macro="" textlink="">
        <xdr:nvSpPr>
          <xdr:cNvPr id="21576" name="Text Box 72">
            <a:extLst>
              <a:ext uri="{FF2B5EF4-FFF2-40B4-BE49-F238E27FC236}">
                <a16:creationId xmlns:a16="http://schemas.microsoft.com/office/drawing/2014/main" id="{00000000-0008-0000-0700-000048540000}"/>
              </a:ext>
            </a:extLst>
          </xdr:cNvPr>
          <xdr:cNvSpPr txBox="1">
            <a:spLocks noChangeArrowheads="1"/>
          </xdr:cNvSpPr>
        </xdr:nvSpPr>
        <xdr:spPr bwMode="auto">
          <a:xfrm>
            <a:off x="34" y="776"/>
            <a:ext cx="21"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&lt;-10</a:t>
            </a:r>
          </a:p>
        </xdr:txBody>
      </xdr:sp>
      <xdr:sp macro="" textlink="">
        <xdr:nvSpPr>
          <xdr:cNvPr id="21577" name="Text Box 73">
            <a:extLst>
              <a:ext uri="{FF2B5EF4-FFF2-40B4-BE49-F238E27FC236}">
                <a16:creationId xmlns:a16="http://schemas.microsoft.com/office/drawing/2014/main" id="{00000000-0008-0000-0700-000049540000}"/>
              </a:ext>
            </a:extLst>
          </xdr:cNvPr>
          <xdr:cNvSpPr txBox="1">
            <a:spLocks noChangeArrowheads="1"/>
          </xdr:cNvSpPr>
        </xdr:nvSpPr>
        <xdr:spPr bwMode="auto">
          <a:xfrm>
            <a:off x="123" y="776"/>
            <a:ext cx="12"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grpSp>
    <xdr:clientData/>
  </xdr:twoCellAnchor>
  <xdr:twoCellAnchor>
    <xdr:from>
      <xdr:col>1</xdr:col>
      <xdr:colOff>228600</xdr:colOff>
      <xdr:row>4</xdr:row>
      <xdr:rowOff>0</xdr:rowOff>
    </xdr:from>
    <xdr:to>
      <xdr:col>7</xdr:col>
      <xdr:colOff>647700</xdr:colOff>
      <xdr:row>5</xdr:row>
      <xdr:rowOff>0</xdr:rowOff>
    </xdr:to>
    <xdr:sp macro="" textlink="">
      <xdr:nvSpPr>
        <xdr:cNvPr id="21567" name="Rectangle 63">
          <a:extLst>
            <a:ext uri="{FF2B5EF4-FFF2-40B4-BE49-F238E27FC236}">
              <a16:creationId xmlns:a16="http://schemas.microsoft.com/office/drawing/2014/main" id="{00000000-0008-0000-0700-00003F540000}"/>
            </a:ext>
          </a:extLst>
        </xdr:cNvPr>
        <xdr:cNvSpPr>
          <a:spLocks noChangeArrowheads="1"/>
        </xdr:cNvSpPr>
      </xdr:nvSpPr>
      <xdr:spPr bwMode="auto">
        <a:xfrm>
          <a:off x="228600" y="161925"/>
          <a:ext cx="3200400" cy="257175"/>
        </a:xfrm>
        <a:prstGeom prst="rect">
          <a:avLst/>
        </a:prstGeom>
        <a:solidFill>
          <a:srgbClr val="CCFFFF"/>
        </a:solidFill>
        <a:ln w="19050">
          <a:solidFill>
            <a:srgbClr val="CCFFFF"/>
          </a:solid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G L A Z   -   C o c k p i t</a:t>
          </a:r>
        </a:p>
      </xdr:txBody>
    </xdr:sp>
    <xdr:clientData/>
  </xdr:twoCellAnchor>
  <xdr:twoCellAnchor>
    <xdr:from>
      <xdr:col>8</xdr:col>
      <xdr:colOff>571500</xdr:colOff>
      <xdr:row>6</xdr:row>
      <xdr:rowOff>38100</xdr:rowOff>
    </xdr:from>
    <xdr:to>
      <xdr:col>10</xdr:col>
      <xdr:colOff>133350</xdr:colOff>
      <xdr:row>16</xdr:row>
      <xdr:rowOff>9525</xdr:rowOff>
    </xdr:to>
    <xdr:graphicFrame macro="">
      <xdr:nvGraphicFramePr>
        <xdr:cNvPr id="1417637" name="Chart 49">
          <a:extLst>
            <a:ext uri="{FF2B5EF4-FFF2-40B4-BE49-F238E27FC236}">
              <a16:creationId xmlns:a16="http://schemas.microsoft.com/office/drawing/2014/main" id="{00000000-0008-0000-0700-0000A5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0</xdr:row>
      <xdr:rowOff>0</xdr:rowOff>
    </xdr:from>
    <xdr:to>
      <xdr:col>17</xdr:col>
      <xdr:colOff>0</xdr:colOff>
      <xdr:row>19</xdr:row>
      <xdr:rowOff>9525</xdr:rowOff>
    </xdr:to>
    <xdr:graphicFrame macro="">
      <xdr:nvGraphicFramePr>
        <xdr:cNvPr id="1417638" name="Chart 41">
          <a:extLst>
            <a:ext uri="{FF2B5EF4-FFF2-40B4-BE49-F238E27FC236}">
              <a16:creationId xmlns:a16="http://schemas.microsoft.com/office/drawing/2014/main" id="{00000000-0008-0000-0700-0000A6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7</xdr:row>
      <xdr:rowOff>57150</xdr:rowOff>
    </xdr:from>
    <xdr:to>
      <xdr:col>4</xdr:col>
      <xdr:colOff>533400</xdr:colOff>
      <xdr:row>8</xdr:row>
      <xdr:rowOff>123825</xdr:rowOff>
    </xdr:to>
    <xdr:sp macro="" textlink="">
      <xdr:nvSpPr>
        <xdr:cNvPr id="1417639" name="GlazPos">
          <a:extLst>
            <a:ext uri="{FF2B5EF4-FFF2-40B4-BE49-F238E27FC236}">
              <a16:creationId xmlns:a16="http://schemas.microsoft.com/office/drawing/2014/main" id="{00000000-0008-0000-0700-0000A7A11500}"/>
            </a:ext>
          </a:extLst>
        </xdr:cNvPr>
        <xdr:cNvSpPr>
          <a:spLocks noChangeShapeType="1"/>
        </xdr:cNvSpPr>
      </xdr:nvSpPr>
      <xdr:spPr bwMode="auto">
        <a:xfrm>
          <a:off x="1800225" y="876300"/>
          <a:ext cx="0" cy="257175"/>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114300</xdr:colOff>
      <xdr:row>4</xdr:row>
      <xdr:rowOff>0</xdr:rowOff>
    </xdr:from>
    <xdr:to>
      <xdr:col>10</xdr:col>
      <xdr:colOff>76200</xdr:colOff>
      <xdr:row>18</xdr:row>
      <xdr:rowOff>66675</xdr:rowOff>
    </xdr:to>
    <xdr:sp macro="" textlink="">
      <xdr:nvSpPr>
        <xdr:cNvPr id="1417640" name="Rectangle 50">
          <a:extLst>
            <a:ext uri="{FF2B5EF4-FFF2-40B4-BE49-F238E27FC236}">
              <a16:creationId xmlns:a16="http://schemas.microsoft.com/office/drawing/2014/main" id="{00000000-0008-0000-0700-0000A8A11500}"/>
            </a:ext>
          </a:extLst>
        </xdr:cNvPr>
        <xdr:cNvSpPr>
          <a:spLocks noChangeArrowheads="1"/>
        </xdr:cNvSpPr>
      </xdr:nvSpPr>
      <xdr:spPr bwMode="auto">
        <a:xfrm>
          <a:off x="3543300" y="161925"/>
          <a:ext cx="1409700" cy="281940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5</xdr:row>
      <xdr:rowOff>142875</xdr:rowOff>
    </xdr:from>
    <xdr:to>
      <xdr:col>7</xdr:col>
      <xdr:colOff>647700</xdr:colOff>
      <xdr:row>11</xdr:row>
      <xdr:rowOff>104775</xdr:rowOff>
    </xdr:to>
    <xdr:sp macro="" textlink="">
      <xdr:nvSpPr>
        <xdr:cNvPr id="1417641" name="Rectangle 61">
          <a:extLst>
            <a:ext uri="{FF2B5EF4-FFF2-40B4-BE49-F238E27FC236}">
              <a16:creationId xmlns:a16="http://schemas.microsoft.com/office/drawing/2014/main" id="{00000000-0008-0000-0700-0000A9A11500}"/>
            </a:ext>
          </a:extLst>
        </xdr:cNvPr>
        <xdr:cNvSpPr>
          <a:spLocks noChangeArrowheads="1"/>
        </xdr:cNvSpPr>
      </xdr:nvSpPr>
      <xdr:spPr bwMode="auto">
        <a:xfrm>
          <a:off x="228600" y="561975"/>
          <a:ext cx="3200400" cy="112395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12</xdr:row>
      <xdr:rowOff>114300</xdr:rowOff>
    </xdr:from>
    <xdr:to>
      <xdr:col>7</xdr:col>
      <xdr:colOff>647700</xdr:colOff>
      <xdr:row>18</xdr:row>
      <xdr:rowOff>66675</xdr:rowOff>
    </xdr:to>
    <xdr:sp macro="" textlink="">
      <xdr:nvSpPr>
        <xdr:cNvPr id="1417642" name="Rectangle 62">
          <a:extLst>
            <a:ext uri="{FF2B5EF4-FFF2-40B4-BE49-F238E27FC236}">
              <a16:creationId xmlns:a16="http://schemas.microsoft.com/office/drawing/2014/main" id="{00000000-0008-0000-0700-0000AAA11500}"/>
            </a:ext>
          </a:extLst>
        </xdr:cNvPr>
        <xdr:cNvSpPr>
          <a:spLocks noChangeArrowheads="1"/>
        </xdr:cNvSpPr>
      </xdr:nvSpPr>
      <xdr:spPr bwMode="auto">
        <a:xfrm>
          <a:off x="228600" y="1885950"/>
          <a:ext cx="3200400" cy="10953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9525</xdr:colOff>
          <xdr:row>29</xdr:row>
          <xdr:rowOff>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9525</xdr:colOff>
          <xdr:row>29</xdr:row>
          <xdr:rowOff>0</xdr:rowOff>
        </xdr:to>
        <xdr:sp macro="" textlink="">
          <xdr:nvSpPr>
            <xdr:cNvPr id="21506" name="Drop Dow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07" name="Drop Dow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08" name="Drop Down 4" hidden="1">
              <a:extLst>
                <a:ext uri="{63B3BB69-23CF-44E3-9099-C40C66FF867C}">
                  <a14:compatExt spid="_x0000_s21508"/>
                </a:ext>
                <a:ext uri="{FF2B5EF4-FFF2-40B4-BE49-F238E27FC236}">
                  <a16:creationId xmlns:a16="http://schemas.microsoft.com/office/drawing/2014/main" id="{00000000-0008-0000-07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09" name="Drop Down 5" hidden="1">
              <a:extLst>
                <a:ext uri="{63B3BB69-23CF-44E3-9099-C40C66FF867C}">
                  <a14:compatExt spid="_x0000_s21509"/>
                </a:ext>
                <a:ext uri="{FF2B5EF4-FFF2-40B4-BE49-F238E27FC236}">
                  <a16:creationId xmlns:a16="http://schemas.microsoft.com/office/drawing/2014/main" id="{00000000-0008-0000-07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0" name="Drop Down 6" hidden="1">
              <a:extLst>
                <a:ext uri="{63B3BB69-23CF-44E3-9099-C40C66FF867C}">
                  <a14:compatExt spid="_x0000_s21510"/>
                </a:ext>
                <a:ext uri="{FF2B5EF4-FFF2-40B4-BE49-F238E27FC236}">
                  <a16:creationId xmlns:a16="http://schemas.microsoft.com/office/drawing/2014/main" id="{00000000-0008-0000-07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11" name="Drop Down 7" hidden="1">
              <a:extLst>
                <a:ext uri="{63B3BB69-23CF-44E3-9099-C40C66FF867C}">
                  <a14:compatExt spid="_x0000_s21511"/>
                </a:ext>
                <a:ext uri="{FF2B5EF4-FFF2-40B4-BE49-F238E27FC236}">
                  <a16:creationId xmlns:a16="http://schemas.microsoft.com/office/drawing/2014/main" id="{00000000-0008-0000-07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12" name="Drop Down 8" hidden="1">
              <a:extLst>
                <a:ext uri="{63B3BB69-23CF-44E3-9099-C40C66FF867C}">
                  <a14:compatExt spid="_x0000_s21512"/>
                </a:ext>
                <a:ext uri="{FF2B5EF4-FFF2-40B4-BE49-F238E27FC236}">
                  <a16:creationId xmlns:a16="http://schemas.microsoft.com/office/drawing/2014/main" id="{00000000-0008-0000-07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13" name="Drop Down 9" hidden="1">
              <a:extLst>
                <a:ext uri="{63B3BB69-23CF-44E3-9099-C40C66FF867C}">
                  <a14:compatExt spid="_x0000_s21513"/>
                </a:ext>
                <a:ext uri="{FF2B5EF4-FFF2-40B4-BE49-F238E27FC236}">
                  <a16:creationId xmlns:a16="http://schemas.microsoft.com/office/drawing/2014/main" id="{00000000-0008-0000-07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4" name="Drop Down 10" hidden="1">
              <a:extLst>
                <a:ext uri="{63B3BB69-23CF-44E3-9099-C40C66FF867C}">
                  <a14:compatExt spid="_x0000_s21514"/>
                </a:ext>
                <a:ext uri="{FF2B5EF4-FFF2-40B4-BE49-F238E27FC236}">
                  <a16:creationId xmlns:a16="http://schemas.microsoft.com/office/drawing/2014/main" id="{00000000-0008-0000-07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9525</xdr:colOff>
          <xdr:row>39</xdr:row>
          <xdr:rowOff>0</xdr:rowOff>
        </xdr:to>
        <xdr:sp macro="" textlink="">
          <xdr:nvSpPr>
            <xdr:cNvPr id="21515" name="Drop Down 11" hidden="1">
              <a:extLst>
                <a:ext uri="{63B3BB69-23CF-44E3-9099-C40C66FF867C}">
                  <a14:compatExt spid="_x0000_s21515"/>
                </a:ext>
                <a:ext uri="{FF2B5EF4-FFF2-40B4-BE49-F238E27FC236}">
                  <a16:creationId xmlns:a16="http://schemas.microsoft.com/office/drawing/2014/main" id="{00000000-0008-0000-07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9525</xdr:colOff>
          <xdr:row>41</xdr:row>
          <xdr:rowOff>0</xdr:rowOff>
        </xdr:to>
        <xdr:sp macro="" textlink="">
          <xdr:nvSpPr>
            <xdr:cNvPr id="21516" name="Drop Down 12" hidden="1">
              <a:extLst>
                <a:ext uri="{63B3BB69-23CF-44E3-9099-C40C66FF867C}">
                  <a14:compatExt spid="_x0000_s21516"/>
                </a:ext>
                <a:ext uri="{FF2B5EF4-FFF2-40B4-BE49-F238E27FC236}">
                  <a16:creationId xmlns:a16="http://schemas.microsoft.com/office/drawing/2014/main" id="{00000000-0008-0000-07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9525</xdr:colOff>
          <xdr:row>43</xdr:row>
          <xdr:rowOff>0</xdr:rowOff>
        </xdr:to>
        <xdr:sp macro="" textlink="">
          <xdr:nvSpPr>
            <xdr:cNvPr id="21517" name="Drop Down 13" hidden="1">
              <a:extLst>
                <a:ext uri="{63B3BB69-23CF-44E3-9099-C40C66FF867C}">
                  <a14:compatExt spid="_x0000_s21517"/>
                </a:ext>
                <a:ext uri="{FF2B5EF4-FFF2-40B4-BE49-F238E27FC236}">
                  <a16:creationId xmlns:a16="http://schemas.microsoft.com/office/drawing/2014/main" id="{00000000-0008-0000-07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9525</xdr:colOff>
          <xdr:row>45</xdr:row>
          <xdr:rowOff>0</xdr:rowOff>
        </xdr:to>
        <xdr:sp macro="" textlink="">
          <xdr:nvSpPr>
            <xdr:cNvPr id="21518" name="Drop Down 14" hidden="1">
              <a:extLst>
                <a:ext uri="{63B3BB69-23CF-44E3-9099-C40C66FF867C}">
                  <a14:compatExt spid="_x0000_s21518"/>
                </a:ext>
                <a:ext uri="{FF2B5EF4-FFF2-40B4-BE49-F238E27FC236}">
                  <a16:creationId xmlns:a16="http://schemas.microsoft.com/office/drawing/2014/main" id="{00000000-0008-0000-07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9525</xdr:colOff>
          <xdr:row>47</xdr:row>
          <xdr:rowOff>0</xdr:rowOff>
        </xdr:to>
        <xdr:sp macro="" textlink="">
          <xdr:nvSpPr>
            <xdr:cNvPr id="21519" name="Drop Down 15" hidden="1">
              <a:extLst>
                <a:ext uri="{63B3BB69-23CF-44E3-9099-C40C66FF867C}">
                  <a14:compatExt spid="_x0000_s21519"/>
                </a:ext>
                <a:ext uri="{FF2B5EF4-FFF2-40B4-BE49-F238E27FC236}">
                  <a16:creationId xmlns:a16="http://schemas.microsoft.com/office/drawing/2014/main" id="{00000000-0008-0000-07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9525</xdr:colOff>
          <xdr:row>49</xdr:row>
          <xdr:rowOff>0</xdr:rowOff>
        </xdr:to>
        <xdr:sp macro="" textlink="">
          <xdr:nvSpPr>
            <xdr:cNvPr id="21520" name="Drop Down 16" hidden="1">
              <a:extLst>
                <a:ext uri="{63B3BB69-23CF-44E3-9099-C40C66FF867C}">
                  <a14:compatExt spid="_x0000_s21520"/>
                </a:ext>
                <a:ext uri="{FF2B5EF4-FFF2-40B4-BE49-F238E27FC236}">
                  <a16:creationId xmlns:a16="http://schemas.microsoft.com/office/drawing/2014/main" id="{00000000-0008-0000-07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9525</xdr:colOff>
          <xdr:row>51</xdr:row>
          <xdr:rowOff>0</xdr:rowOff>
        </xdr:to>
        <xdr:sp macro="" textlink="">
          <xdr:nvSpPr>
            <xdr:cNvPr id="21521" name="Drop Down 17" hidden="1">
              <a:extLst>
                <a:ext uri="{63B3BB69-23CF-44E3-9099-C40C66FF867C}">
                  <a14:compatExt spid="_x0000_s21521"/>
                </a:ext>
                <a:ext uri="{FF2B5EF4-FFF2-40B4-BE49-F238E27FC236}">
                  <a16:creationId xmlns:a16="http://schemas.microsoft.com/office/drawing/2014/main" id="{00000000-0008-0000-07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3</xdr:col>
          <xdr:colOff>9525</xdr:colOff>
          <xdr:row>53</xdr:row>
          <xdr:rowOff>0</xdr:rowOff>
        </xdr:to>
        <xdr:sp macro="" textlink="">
          <xdr:nvSpPr>
            <xdr:cNvPr id="21522" name="Drop Down 18" hidden="1">
              <a:extLst>
                <a:ext uri="{63B3BB69-23CF-44E3-9099-C40C66FF867C}">
                  <a14:compatExt spid="_x0000_s21522"/>
                </a:ext>
                <a:ext uri="{FF2B5EF4-FFF2-40B4-BE49-F238E27FC236}">
                  <a16:creationId xmlns:a16="http://schemas.microsoft.com/office/drawing/2014/main" id="{00000000-0008-0000-07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9525</xdr:colOff>
          <xdr:row>31</xdr:row>
          <xdr:rowOff>0</xdr:rowOff>
        </xdr:to>
        <xdr:sp macro="" textlink="">
          <xdr:nvSpPr>
            <xdr:cNvPr id="21523" name="Drop Down 19" hidden="1">
              <a:extLst>
                <a:ext uri="{63B3BB69-23CF-44E3-9099-C40C66FF867C}">
                  <a14:compatExt spid="_x0000_s21523"/>
                </a:ext>
                <a:ext uri="{FF2B5EF4-FFF2-40B4-BE49-F238E27FC236}">
                  <a16:creationId xmlns:a16="http://schemas.microsoft.com/office/drawing/2014/main" id="{00000000-0008-0000-07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9525</xdr:colOff>
          <xdr:row>33</xdr:row>
          <xdr:rowOff>0</xdr:rowOff>
        </xdr:to>
        <xdr:sp macro="" textlink="">
          <xdr:nvSpPr>
            <xdr:cNvPr id="21524" name="Drop Down 20" hidden="1">
              <a:extLst>
                <a:ext uri="{63B3BB69-23CF-44E3-9099-C40C66FF867C}">
                  <a14:compatExt spid="_x0000_s21524"/>
                </a:ext>
                <a:ext uri="{FF2B5EF4-FFF2-40B4-BE49-F238E27FC236}">
                  <a16:creationId xmlns:a16="http://schemas.microsoft.com/office/drawing/2014/main" id="{00000000-0008-0000-07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9525</xdr:colOff>
          <xdr:row>35</xdr:row>
          <xdr:rowOff>0</xdr:rowOff>
        </xdr:to>
        <xdr:sp macro="" textlink="">
          <xdr:nvSpPr>
            <xdr:cNvPr id="21525" name="Drop Down 21" hidden="1">
              <a:extLst>
                <a:ext uri="{63B3BB69-23CF-44E3-9099-C40C66FF867C}">
                  <a14:compatExt spid="_x0000_s21525"/>
                </a:ext>
                <a:ext uri="{FF2B5EF4-FFF2-40B4-BE49-F238E27FC236}">
                  <a16:creationId xmlns:a16="http://schemas.microsoft.com/office/drawing/2014/main" id="{00000000-0008-0000-07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9525</xdr:colOff>
          <xdr:row>37</xdr:row>
          <xdr:rowOff>0</xdr:rowOff>
        </xdr:to>
        <xdr:sp macro="" textlink="">
          <xdr:nvSpPr>
            <xdr:cNvPr id="21526" name="Drop Down 22" hidden="1">
              <a:extLst>
                <a:ext uri="{63B3BB69-23CF-44E3-9099-C40C66FF867C}">
                  <a14:compatExt spid="_x0000_s21526"/>
                </a:ext>
                <a:ext uri="{FF2B5EF4-FFF2-40B4-BE49-F238E27FC236}">
                  <a16:creationId xmlns:a16="http://schemas.microsoft.com/office/drawing/2014/main" id="{00000000-0008-0000-07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9525</xdr:colOff>
          <xdr:row>39</xdr:row>
          <xdr:rowOff>0</xdr:rowOff>
        </xdr:to>
        <xdr:sp macro="" textlink="">
          <xdr:nvSpPr>
            <xdr:cNvPr id="21527" name="Drop Down 23" hidden="1">
              <a:extLst>
                <a:ext uri="{63B3BB69-23CF-44E3-9099-C40C66FF867C}">
                  <a14:compatExt spid="_x0000_s21527"/>
                </a:ext>
                <a:ext uri="{FF2B5EF4-FFF2-40B4-BE49-F238E27FC236}">
                  <a16:creationId xmlns:a16="http://schemas.microsoft.com/office/drawing/2014/main" id="{00000000-0008-0000-07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9525</xdr:colOff>
          <xdr:row>41</xdr:row>
          <xdr:rowOff>0</xdr:rowOff>
        </xdr:to>
        <xdr:sp macro="" textlink="">
          <xdr:nvSpPr>
            <xdr:cNvPr id="21528" name="Drop Down 24" hidden="1">
              <a:extLst>
                <a:ext uri="{63B3BB69-23CF-44E3-9099-C40C66FF867C}">
                  <a14:compatExt spid="_x0000_s21528"/>
                </a:ext>
                <a:ext uri="{FF2B5EF4-FFF2-40B4-BE49-F238E27FC236}">
                  <a16:creationId xmlns:a16="http://schemas.microsoft.com/office/drawing/2014/main" id="{00000000-0008-0000-07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9525</xdr:colOff>
          <xdr:row>45</xdr:row>
          <xdr:rowOff>0</xdr:rowOff>
        </xdr:to>
        <xdr:sp macro="" textlink="">
          <xdr:nvSpPr>
            <xdr:cNvPr id="21529" name="Drop Down 25" hidden="1">
              <a:extLst>
                <a:ext uri="{63B3BB69-23CF-44E3-9099-C40C66FF867C}">
                  <a14:compatExt spid="_x0000_s21529"/>
                </a:ext>
                <a:ext uri="{FF2B5EF4-FFF2-40B4-BE49-F238E27FC236}">
                  <a16:creationId xmlns:a16="http://schemas.microsoft.com/office/drawing/2014/main" id="{00000000-0008-0000-07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9525</xdr:colOff>
          <xdr:row>43</xdr:row>
          <xdr:rowOff>0</xdr:rowOff>
        </xdr:to>
        <xdr:sp macro="" textlink="">
          <xdr:nvSpPr>
            <xdr:cNvPr id="21530" name="Drop Down 26" hidden="1">
              <a:extLst>
                <a:ext uri="{63B3BB69-23CF-44E3-9099-C40C66FF867C}">
                  <a14:compatExt spid="_x0000_s21530"/>
                </a:ext>
                <a:ext uri="{FF2B5EF4-FFF2-40B4-BE49-F238E27FC236}">
                  <a16:creationId xmlns:a16="http://schemas.microsoft.com/office/drawing/2014/main" id="{00000000-0008-0000-07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9525</xdr:colOff>
          <xdr:row>47</xdr:row>
          <xdr:rowOff>0</xdr:rowOff>
        </xdr:to>
        <xdr:sp macro="" textlink="">
          <xdr:nvSpPr>
            <xdr:cNvPr id="21531" name="Drop Down 27" hidden="1">
              <a:extLst>
                <a:ext uri="{63B3BB69-23CF-44E3-9099-C40C66FF867C}">
                  <a14:compatExt spid="_x0000_s21531"/>
                </a:ext>
                <a:ext uri="{FF2B5EF4-FFF2-40B4-BE49-F238E27FC236}">
                  <a16:creationId xmlns:a16="http://schemas.microsoft.com/office/drawing/2014/main" id="{00000000-0008-0000-07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9525</xdr:colOff>
          <xdr:row>49</xdr:row>
          <xdr:rowOff>0</xdr:rowOff>
        </xdr:to>
        <xdr:sp macro="" textlink="">
          <xdr:nvSpPr>
            <xdr:cNvPr id="21532" name="Drop Down 28" hidden="1">
              <a:extLst>
                <a:ext uri="{63B3BB69-23CF-44E3-9099-C40C66FF867C}">
                  <a14:compatExt spid="_x0000_s21532"/>
                </a:ext>
                <a:ext uri="{FF2B5EF4-FFF2-40B4-BE49-F238E27FC236}">
                  <a16:creationId xmlns:a16="http://schemas.microsoft.com/office/drawing/2014/main" id="{00000000-0008-0000-07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9525</xdr:colOff>
          <xdr:row>51</xdr:row>
          <xdr:rowOff>0</xdr:rowOff>
        </xdr:to>
        <xdr:sp macro="" textlink="">
          <xdr:nvSpPr>
            <xdr:cNvPr id="21533" name="Drop Down 29" hidden="1">
              <a:extLst>
                <a:ext uri="{63B3BB69-23CF-44E3-9099-C40C66FF867C}">
                  <a14:compatExt spid="_x0000_s21533"/>
                </a:ext>
                <a:ext uri="{FF2B5EF4-FFF2-40B4-BE49-F238E27FC236}">
                  <a16:creationId xmlns:a16="http://schemas.microsoft.com/office/drawing/2014/main" id="{00000000-0008-0000-07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9525</xdr:colOff>
          <xdr:row>53</xdr:row>
          <xdr:rowOff>0</xdr:rowOff>
        </xdr:to>
        <xdr:sp macro="" textlink="">
          <xdr:nvSpPr>
            <xdr:cNvPr id="21534" name="Drop Down 30" hidden="1">
              <a:extLst>
                <a:ext uri="{63B3BB69-23CF-44E3-9099-C40C66FF867C}">
                  <a14:compatExt spid="_x0000_s21534"/>
                </a:ext>
                <a:ext uri="{FF2B5EF4-FFF2-40B4-BE49-F238E27FC236}">
                  <a16:creationId xmlns:a16="http://schemas.microsoft.com/office/drawing/2014/main" id="{00000000-0008-0000-07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9525</xdr:colOff>
          <xdr:row>55</xdr:row>
          <xdr:rowOff>0</xdr:rowOff>
        </xdr:to>
        <xdr:sp macro="" textlink="">
          <xdr:nvSpPr>
            <xdr:cNvPr id="21535" name="Drop Down 31" hidden="1">
              <a:extLst>
                <a:ext uri="{63B3BB69-23CF-44E3-9099-C40C66FF867C}">
                  <a14:compatExt spid="_x0000_s21535"/>
                </a:ext>
                <a:ext uri="{FF2B5EF4-FFF2-40B4-BE49-F238E27FC236}">
                  <a16:creationId xmlns:a16="http://schemas.microsoft.com/office/drawing/2014/main" id="{00000000-0008-0000-07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9525</xdr:colOff>
          <xdr:row>55</xdr:row>
          <xdr:rowOff>0</xdr:rowOff>
        </xdr:to>
        <xdr:sp macro="" textlink="">
          <xdr:nvSpPr>
            <xdr:cNvPr id="21536" name="Drop Down 32" hidden="1">
              <a:extLst>
                <a:ext uri="{63B3BB69-23CF-44E3-9099-C40C66FF867C}">
                  <a14:compatExt spid="_x0000_s21536"/>
                </a:ext>
                <a:ext uri="{FF2B5EF4-FFF2-40B4-BE49-F238E27FC236}">
                  <a16:creationId xmlns:a16="http://schemas.microsoft.com/office/drawing/2014/main" id="{00000000-0008-0000-07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3</xdr:col>
          <xdr:colOff>9525</xdr:colOff>
          <xdr:row>57</xdr:row>
          <xdr:rowOff>0</xdr:rowOff>
        </xdr:to>
        <xdr:sp macro="" textlink="">
          <xdr:nvSpPr>
            <xdr:cNvPr id="21537" name="Drop Down 33" hidden="1">
              <a:extLst>
                <a:ext uri="{63B3BB69-23CF-44E3-9099-C40C66FF867C}">
                  <a14:compatExt spid="_x0000_s21537"/>
                </a:ext>
                <a:ext uri="{FF2B5EF4-FFF2-40B4-BE49-F238E27FC236}">
                  <a16:creationId xmlns:a16="http://schemas.microsoft.com/office/drawing/2014/main" id="{00000000-0008-0000-07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9525</xdr:colOff>
          <xdr:row>57</xdr:row>
          <xdr:rowOff>0</xdr:rowOff>
        </xdr:to>
        <xdr:sp macro="" textlink="">
          <xdr:nvSpPr>
            <xdr:cNvPr id="21538" name="Drop Down 34" hidden="1">
              <a:extLst>
                <a:ext uri="{63B3BB69-23CF-44E3-9099-C40C66FF867C}">
                  <a14:compatExt spid="_x0000_s21538"/>
                </a:ext>
                <a:ext uri="{FF2B5EF4-FFF2-40B4-BE49-F238E27FC236}">
                  <a16:creationId xmlns:a16="http://schemas.microsoft.com/office/drawing/2014/main" id="{00000000-0008-0000-07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25</xdr:row>
          <xdr:rowOff>200025</xdr:rowOff>
        </xdr:from>
        <xdr:to>
          <xdr:col>9</xdr:col>
          <xdr:colOff>619125</xdr:colOff>
          <xdr:row>27</xdr:row>
          <xdr:rowOff>38100</xdr:rowOff>
        </xdr:to>
        <xdr:sp macro="" textlink="">
          <xdr:nvSpPr>
            <xdr:cNvPr id="21580" name="Check Box 76" hidden="1">
              <a:extLst>
                <a:ext uri="{63B3BB69-23CF-44E3-9099-C40C66FF867C}">
                  <a14:compatExt spid="_x0000_s21580"/>
                </a:ext>
                <a:ext uri="{FF2B5EF4-FFF2-40B4-BE49-F238E27FC236}">
                  <a16:creationId xmlns:a16="http://schemas.microsoft.com/office/drawing/2014/main" id="{00000000-0008-0000-0700-00004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25</xdr:row>
          <xdr:rowOff>200025</xdr:rowOff>
        </xdr:from>
        <xdr:to>
          <xdr:col>10</xdr:col>
          <xdr:colOff>609600</xdr:colOff>
          <xdr:row>27</xdr:row>
          <xdr:rowOff>38100</xdr:rowOff>
        </xdr:to>
        <xdr:sp macro="" textlink="">
          <xdr:nvSpPr>
            <xdr:cNvPr id="21581" name="Check Box 77" hidden="1">
              <a:extLst>
                <a:ext uri="{63B3BB69-23CF-44E3-9099-C40C66FF867C}">
                  <a14:compatExt spid="_x0000_s21581"/>
                </a:ext>
                <a:ext uri="{FF2B5EF4-FFF2-40B4-BE49-F238E27FC236}">
                  <a16:creationId xmlns:a16="http://schemas.microsoft.com/office/drawing/2014/main" id="{00000000-0008-0000-0700-00004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25</xdr:row>
          <xdr:rowOff>200025</xdr:rowOff>
        </xdr:from>
        <xdr:to>
          <xdr:col>11</xdr:col>
          <xdr:colOff>619125</xdr:colOff>
          <xdr:row>27</xdr:row>
          <xdr:rowOff>38100</xdr:rowOff>
        </xdr:to>
        <xdr:sp macro="" textlink="">
          <xdr:nvSpPr>
            <xdr:cNvPr id="21582" name="Check Box 78" hidden="1">
              <a:extLst>
                <a:ext uri="{63B3BB69-23CF-44E3-9099-C40C66FF867C}">
                  <a14:compatExt spid="_x0000_s21582"/>
                </a:ext>
                <a:ext uri="{FF2B5EF4-FFF2-40B4-BE49-F238E27FC236}">
                  <a16:creationId xmlns:a16="http://schemas.microsoft.com/office/drawing/2014/main" id="{00000000-0008-0000-0700-00004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25</xdr:row>
          <xdr:rowOff>200025</xdr:rowOff>
        </xdr:from>
        <xdr:to>
          <xdr:col>12</xdr:col>
          <xdr:colOff>619125</xdr:colOff>
          <xdr:row>27</xdr:row>
          <xdr:rowOff>38100</xdr:rowOff>
        </xdr:to>
        <xdr:sp macro="" textlink="">
          <xdr:nvSpPr>
            <xdr:cNvPr id="21583" name="Check Box 79" hidden="1">
              <a:extLst>
                <a:ext uri="{63B3BB69-23CF-44E3-9099-C40C66FF867C}">
                  <a14:compatExt spid="_x0000_s21583"/>
                </a:ext>
                <a:ext uri="{FF2B5EF4-FFF2-40B4-BE49-F238E27FC236}">
                  <a16:creationId xmlns:a16="http://schemas.microsoft.com/office/drawing/2014/main" id="{00000000-0008-0000-0700-00004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314325</xdr:colOff>
          <xdr:row>25</xdr:row>
          <xdr:rowOff>200025</xdr:rowOff>
        </xdr:from>
        <xdr:to>
          <xdr:col>13</xdr:col>
          <xdr:colOff>619125</xdr:colOff>
          <xdr:row>27</xdr:row>
          <xdr:rowOff>38100</xdr:rowOff>
        </xdr:to>
        <xdr:sp macro="" textlink="">
          <xdr:nvSpPr>
            <xdr:cNvPr id="21584" name="Check Box 80" hidden="1">
              <a:extLst>
                <a:ext uri="{63B3BB69-23CF-44E3-9099-C40C66FF867C}">
                  <a14:compatExt spid="_x0000_s21584"/>
                </a:ext>
                <a:ext uri="{FF2B5EF4-FFF2-40B4-BE49-F238E27FC236}">
                  <a16:creationId xmlns:a16="http://schemas.microsoft.com/office/drawing/2014/main" id="{00000000-0008-0000-0700-00005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314325</xdr:colOff>
          <xdr:row>25</xdr:row>
          <xdr:rowOff>200025</xdr:rowOff>
        </xdr:from>
        <xdr:to>
          <xdr:col>14</xdr:col>
          <xdr:colOff>619125</xdr:colOff>
          <xdr:row>27</xdr:row>
          <xdr:rowOff>38100</xdr:rowOff>
        </xdr:to>
        <xdr:sp macro="" textlink="">
          <xdr:nvSpPr>
            <xdr:cNvPr id="21585" name="Check Box 81" hidden="1">
              <a:extLst>
                <a:ext uri="{63B3BB69-23CF-44E3-9099-C40C66FF867C}">
                  <a14:compatExt spid="_x0000_s21585"/>
                </a:ext>
                <a:ext uri="{FF2B5EF4-FFF2-40B4-BE49-F238E27FC236}">
                  <a16:creationId xmlns:a16="http://schemas.microsoft.com/office/drawing/2014/main" id="{00000000-0008-0000-0700-00005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314325</xdr:colOff>
          <xdr:row>25</xdr:row>
          <xdr:rowOff>200025</xdr:rowOff>
        </xdr:from>
        <xdr:to>
          <xdr:col>15</xdr:col>
          <xdr:colOff>619125</xdr:colOff>
          <xdr:row>27</xdr:row>
          <xdr:rowOff>38100</xdr:rowOff>
        </xdr:to>
        <xdr:sp macro="" textlink="">
          <xdr:nvSpPr>
            <xdr:cNvPr id="21586" name="Check Box 82" hidden="1">
              <a:extLst>
                <a:ext uri="{63B3BB69-23CF-44E3-9099-C40C66FF867C}">
                  <a14:compatExt spid="_x0000_s21586"/>
                </a:ext>
                <a:ext uri="{FF2B5EF4-FFF2-40B4-BE49-F238E27FC236}">
                  <a16:creationId xmlns:a16="http://schemas.microsoft.com/office/drawing/2014/main" id="{00000000-0008-0000-0700-00005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314325</xdr:colOff>
          <xdr:row>25</xdr:row>
          <xdr:rowOff>200025</xdr:rowOff>
        </xdr:from>
        <xdr:to>
          <xdr:col>16</xdr:col>
          <xdr:colOff>619125</xdr:colOff>
          <xdr:row>27</xdr:row>
          <xdr:rowOff>38100</xdr:rowOff>
        </xdr:to>
        <xdr:sp macro="" textlink="">
          <xdr:nvSpPr>
            <xdr:cNvPr id="21587" name="Check Box 83" hidden="1">
              <a:extLst>
                <a:ext uri="{63B3BB69-23CF-44E3-9099-C40C66FF867C}">
                  <a14:compatExt spid="_x0000_s21587"/>
                </a:ext>
                <a:ext uri="{FF2B5EF4-FFF2-40B4-BE49-F238E27FC236}">
                  <a16:creationId xmlns:a16="http://schemas.microsoft.com/office/drawing/2014/main" id="{00000000-0008-0000-0700-00005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25</xdr:row>
          <xdr:rowOff>200025</xdr:rowOff>
        </xdr:from>
        <xdr:to>
          <xdr:col>8</xdr:col>
          <xdr:colOff>619125</xdr:colOff>
          <xdr:row>27</xdr:row>
          <xdr:rowOff>38100</xdr:rowOff>
        </xdr:to>
        <xdr:sp macro="" textlink="">
          <xdr:nvSpPr>
            <xdr:cNvPr id="21588" name="Check Box 84" hidden="1">
              <a:extLst>
                <a:ext uri="{63B3BB69-23CF-44E3-9099-C40C66FF867C}">
                  <a14:compatExt spid="_x0000_s21588"/>
                </a:ext>
                <a:ext uri="{FF2B5EF4-FFF2-40B4-BE49-F238E27FC236}">
                  <a16:creationId xmlns:a16="http://schemas.microsoft.com/office/drawing/2014/main" id="{00000000-0008-0000-0700-00005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25</xdr:row>
          <xdr:rowOff>200025</xdr:rowOff>
        </xdr:from>
        <xdr:to>
          <xdr:col>6</xdr:col>
          <xdr:colOff>447675</xdr:colOff>
          <xdr:row>27</xdr:row>
          <xdr:rowOff>38100</xdr:rowOff>
        </xdr:to>
        <xdr:sp macro="" textlink="">
          <xdr:nvSpPr>
            <xdr:cNvPr id="21589" name="Check Box 85" hidden="1">
              <a:extLst>
                <a:ext uri="{63B3BB69-23CF-44E3-9099-C40C66FF867C}">
                  <a14:compatExt spid="_x0000_s21589"/>
                </a:ext>
                <a:ext uri="{FF2B5EF4-FFF2-40B4-BE49-F238E27FC236}">
                  <a16:creationId xmlns:a16="http://schemas.microsoft.com/office/drawing/2014/main" id="{00000000-0008-0000-0700-00005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25</xdr:row>
          <xdr:rowOff>200025</xdr:rowOff>
        </xdr:from>
        <xdr:to>
          <xdr:col>7</xdr:col>
          <xdr:colOff>619125</xdr:colOff>
          <xdr:row>27</xdr:row>
          <xdr:rowOff>38100</xdr:rowOff>
        </xdr:to>
        <xdr:sp macro="" textlink="">
          <xdr:nvSpPr>
            <xdr:cNvPr id="21590" name="Check Box 86" hidden="1">
              <a:extLst>
                <a:ext uri="{63B3BB69-23CF-44E3-9099-C40C66FF867C}">
                  <a14:compatExt spid="_x0000_s21590"/>
                </a:ext>
                <a:ext uri="{FF2B5EF4-FFF2-40B4-BE49-F238E27FC236}">
                  <a16:creationId xmlns:a16="http://schemas.microsoft.com/office/drawing/2014/main" id="{00000000-0008-0000-0700-00005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314325</xdr:colOff>
          <xdr:row>25</xdr:row>
          <xdr:rowOff>200025</xdr:rowOff>
        </xdr:from>
        <xdr:to>
          <xdr:col>17</xdr:col>
          <xdr:colOff>619125</xdr:colOff>
          <xdr:row>27</xdr:row>
          <xdr:rowOff>38100</xdr:rowOff>
        </xdr:to>
        <xdr:sp macro="" textlink="">
          <xdr:nvSpPr>
            <xdr:cNvPr id="21591" name="Check Box 87" hidden="1">
              <a:extLst>
                <a:ext uri="{63B3BB69-23CF-44E3-9099-C40C66FF867C}">
                  <a14:compatExt spid="_x0000_s21591"/>
                </a:ext>
                <a:ext uri="{FF2B5EF4-FFF2-40B4-BE49-F238E27FC236}">
                  <a16:creationId xmlns:a16="http://schemas.microsoft.com/office/drawing/2014/main" id="{00000000-0008-0000-0700-00005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xdr:row>
          <xdr:rowOff>200025</xdr:rowOff>
        </xdr:from>
        <xdr:to>
          <xdr:col>18</xdr:col>
          <xdr:colOff>609600</xdr:colOff>
          <xdr:row>27</xdr:row>
          <xdr:rowOff>38100</xdr:rowOff>
        </xdr:to>
        <xdr:sp macro="" textlink="">
          <xdr:nvSpPr>
            <xdr:cNvPr id="21592" name="Check Box 88" hidden="1">
              <a:extLst>
                <a:ext uri="{63B3BB69-23CF-44E3-9099-C40C66FF867C}">
                  <a14:compatExt spid="_x0000_s21592"/>
                </a:ext>
                <a:ext uri="{FF2B5EF4-FFF2-40B4-BE49-F238E27FC236}">
                  <a16:creationId xmlns:a16="http://schemas.microsoft.com/office/drawing/2014/main" id="{00000000-0008-0000-0700-00005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314325</xdr:colOff>
          <xdr:row>25</xdr:row>
          <xdr:rowOff>200025</xdr:rowOff>
        </xdr:from>
        <xdr:to>
          <xdr:col>19</xdr:col>
          <xdr:colOff>619125</xdr:colOff>
          <xdr:row>27</xdr:row>
          <xdr:rowOff>38100</xdr:rowOff>
        </xdr:to>
        <xdr:sp macro="" textlink="">
          <xdr:nvSpPr>
            <xdr:cNvPr id="21593" name="Check Box 89" hidden="1">
              <a:extLst>
                <a:ext uri="{63B3BB69-23CF-44E3-9099-C40C66FF867C}">
                  <a14:compatExt spid="_x0000_s21593"/>
                </a:ext>
                <a:ext uri="{FF2B5EF4-FFF2-40B4-BE49-F238E27FC236}">
                  <a16:creationId xmlns:a16="http://schemas.microsoft.com/office/drawing/2014/main" id="{00000000-0008-0000-0700-00005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25</xdr:row>
          <xdr:rowOff>200025</xdr:rowOff>
        </xdr:from>
        <xdr:to>
          <xdr:col>20</xdr:col>
          <xdr:colOff>619125</xdr:colOff>
          <xdr:row>27</xdr:row>
          <xdr:rowOff>38100</xdr:rowOff>
        </xdr:to>
        <xdr:sp macro="" textlink="">
          <xdr:nvSpPr>
            <xdr:cNvPr id="21594" name="Check Box 90" hidden="1">
              <a:extLst>
                <a:ext uri="{63B3BB69-23CF-44E3-9099-C40C66FF867C}">
                  <a14:compatExt spid="_x0000_s21594"/>
                </a:ext>
                <a:ext uri="{FF2B5EF4-FFF2-40B4-BE49-F238E27FC236}">
                  <a16:creationId xmlns:a16="http://schemas.microsoft.com/office/drawing/2014/main" id="{00000000-0008-0000-0700-00005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314325</xdr:colOff>
          <xdr:row>25</xdr:row>
          <xdr:rowOff>200025</xdr:rowOff>
        </xdr:from>
        <xdr:to>
          <xdr:col>21</xdr:col>
          <xdr:colOff>619125</xdr:colOff>
          <xdr:row>27</xdr:row>
          <xdr:rowOff>38100</xdr:rowOff>
        </xdr:to>
        <xdr:sp macro="" textlink="">
          <xdr:nvSpPr>
            <xdr:cNvPr id="21595" name="Check Box 91" hidden="1">
              <a:extLst>
                <a:ext uri="{63B3BB69-23CF-44E3-9099-C40C66FF867C}">
                  <a14:compatExt spid="_x0000_s21595"/>
                </a:ext>
                <a:ext uri="{FF2B5EF4-FFF2-40B4-BE49-F238E27FC236}">
                  <a16:creationId xmlns:a16="http://schemas.microsoft.com/office/drawing/2014/main" id="{00000000-0008-0000-0700-00005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314325</xdr:colOff>
          <xdr:row>25</xdr:row>
          <xdr:rowOff>200025</xdr:rowOff>
        </xdr:from>
        <xdr:to>
          <xdr:col>22</xdr:col>
          <xdr:colOff>619125</xdr:colOff>
          <xdr:row>27</xdr:row>
          <xdr:rowOff>38100</xdr:rowOff>
        </xdr:to>
        <xdr:sp macro="" textlink="">
          <xdr:nvSpPr>
            <xdr:cNvPr id="21596" name="Check Box 92" hidden="1">
              <a:extLst>
                <a:ext uri="{63B3BB69-23CF-44E3-9099-C40C66FF867C}">
                  <a14:compatExt spid="_x0000_s21596"/>
                </a:ext>
                <a:ext uri="{FF2B5EF4-FFF2-40B4-BE49-F238E27FC236}">
                  <a16:creationId xmlns:a16="http://schemas.microsoft.com/office/drawing/2014/main" id="{00000000-0008-0000-0700-00005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314325</xdr:colOff>
          <xdr:row>25</xdr:row>
          <xdr:rowOff>200025</xdr:rowOff>
        </xdr:from>
        <xdr:to>
          <xdr:col>23</xdr:col>
          <xdr:colOff>619125</xdr:colOff>
          <xdr:row>27</xdr:row>
          <xdr:rowOff>38100</xdr:rowOff>
        </xdr:to>
        <xdr:sp macro="" textlink="">
          <xdr:nvSpPr>
            <xdr:cNvPr id="21597" name="Check Box 93" hidden="1">
              <a:extLst>
                <a:ext uri="{63B3BB69-23CF-44E3-9099-C40C66FF867C}">
                  <a14:compatExt spid="_x0000_s21597"/>
                </a:ext>
                <a:ext uri="{FF2B5EF4-FFF2-40B4-BE49-F238E27FC236}">
                  <a16:creationId xmlns:a16="http://schemas.microsoft.com/office/drawing/2014/main" id="{00000000-0008-0000-0700-00005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25</xdr:row>
          <xdr:rowOff>200025</xdr:rowOff>
        </xdr:from>
        <xdr:to>
          <xdr:col>24</xdr:col>
          <xdr:colOff>619125</xdr:colOff>
          <xdr:row>27</xdr:row>
          <xdr:rowOff>38100</xdr:rowOff>
        </xdr:to>
        <xdr:sp macro="" textlink="">
          <xdr:nvSpPr>
            <xdr:cNvPr id="21598" name="Check Box 94" hidden="1">
              <a:extLst>
                <a:ext uri="{63B3BB69-23CF-44E3-9099-C40C66FF867C}">
                  <a14:compatExt spid="_x0000_s21598"/>
                </a:ext>
                <a:ext uri="{FF2B5EF4-FFF2-40B4-BE49-F238E27FC236}">
                  <a16:creationId xmlns:a16="http://schemas.microsoft.com/office/drawing/2014/main" id="{00000000-0008-0000-0700-00005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314325</xdr:colOff>
          <xdr:row>25</xdr:row>
          <xdr:rowOff>200025</xdr:rowOff>
        </xdr:from>
        <xdr:to>
          <xdr:col>25</xdr:col>
          <xdr:colOff>619125</xdr:colOff>
          <xdr:row>27</xdr:row>
          <xdr:rowOff>38100</xdr:rowOff>
        </xdr:to>
        <xdr:sp macro="" textlink="">
          <xdr:nvSpPr>
            <xdr:cNvPr id="21599" name="Check Box 95" hidden="1">
              <a:extLst>
                <a:ext uri="{63B3BB69-23CF-44E3-9099-C40C66FF867C}">
                  <a14:compatExt spid="_x0000_s21599"/>
                </a:ext>
                <a:ext uri="{FF2B5EF4-FFF2-40B4-BE49-F238E27FC236}">
                  <a16:creationId xmlns:a16="http://schemas.microsoft.com/office/drawing/2014/main" id="{00000000-0008-0000-0700-00005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314325</xdr:colOff>
          <xdr:row>25</xdr:row>
          <xdr:rowOff>200025</xdr:rowOff>
        </xdr:from>
        <xdr:to>
          <xdr:col>26</xdr:col>
          <xdr:colOff>619125</xdr:colOff>
          <xdr:row>27</xdr:row>
          <xdr:rowOff>38100</xdr:rowOff>
        </xdr:to>
        <xdr:sp macro="" textlink="">
          <xdr:nvSpPr>
            <xdr:cNvPr id="21600" name="Check Box 96" hidden="1">
              <a:extLst>
                <a:ext uri="{63B3BB69-23CF-44E3-9099-C40C66FF867C}">
                  <a14:compatExt spid="_x0000_s21600"/>
                </a:ext>
                <a:ext uri="{FF2B5EF4-FFF2-40B4-BE49-F238E27FC236}">
                  <a16:creationId xmlns:a16="http://schemas.microsoft.com/office/drawing/2014/main" id="{00000000-0008-0000-0700-00006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9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18</xdr:row>
          <xdr:rowOff>142875</xdr:rowOff>
        </xdr:from>
        <xdr:to>
          <xdr:col>3</xdr:col>
          <xdr:colOff>2381250</xdr:colOff>
          <xdr:row>19</xdr:row>
          <xdr:rowOff>161925</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9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28575</xdr:colOff>
      <xdr:row>27</xdr:row>
      <xdr:rowOff>38100</xdr:rowOff>
    </xdr:from>
    <xdr:to>
      <xdr:col>16</xdr:col>
      <xdr:colOff>57150</xdr:colOff>
      <xdr:row>44</xdr:row>
      <xdr:rowOff>104775</xdr:rowOff>
    </xdr:to>
    <xdr:graphicFrame macro="">
      <xdr:nvGraphicFramePr>
        <xdr:cNvPr id="43380" name="Chart 5">
          <a:extLst>
            <a:ext uri="{FF2B5EF4-FFF2-40B4-BE49-F238E27FC236}">
              <a16:creationId xmlns:a16="http://schemas.microsoft.com/office/drawing/2014/main" id="{00000000-0008-0000-0A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5.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printerSettings" Target="../printerSettings/printerSettings8.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baseColWidth="10" defaultColWidth="11.5703125" defaultRowHeight="12.75"/>
  <cols>
    <col min="1" max="1" width="7.5703125" customWidth="1"/>
    <col min="2" max="2" width="4.42578125" customWidth="1"/>
    <col min="3" max="3" width="18.28515625" style="317"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97</v>
      </c>
      <c r="B1" s="2" t="str">
        <f>B_PersonName</f>
        <v>Mustermann</v>
      </c>
      <c r="C1" s="331"/>
      <c r="D1" s="3"/>
      <c r="F1" s="4" t="s">
        <v>98</v>
      </c>
      <c r="G1" t="str">
        <f>B_Department</f>
        <v>Siemens</v>
      </c>
    </row>
    <row r="2" spans="1:24">
      <c r="A2" s="312" t="str">
        <f ca="1">CELL("filename",A2)</f>
        <v>D:\_pdata\GLAZ\andi\[vGlaz2020.xlsm]Classic</v>
      </c>
      <c r="B2" s="141"/>
      <c r="C2" s="331"/>
      <c r="D2" s="3"/>
    </row>
    <row r="3" spans="1:24" ht="21" customHeight="1">
      <c r="A3" s="375">
        <v>1</v>
      </c>
      <c r="B3" s="376"/>
      <c r="C3" s="377">
        <f>DATE(YEAR(B_Year),MONTH(B_Year)-1+$A$3,1)</f>
        <v>42369</v>
      </c>
      <c r="D3" s="378" t="s">
        <v>49</v>
      </c>
      <c r="I3" s="618" t="s">
        <v>50</v>
      </c>
      <c r="J3" s="618"/>
      <c r="K3" s="618"/>
      <c r="L3" s="618"/>
      <c r="M3" s="618"/>
      <c r="N3" s="618"/>
      <c r="O3" s="618"/>
      <c r="P3" s="618"/>
      <c r="R3" s="374">
        <f>Arbeitszeit!XWorkTimeMax</f>
        <v>0.41666666666666669</v>
      </c>
    </row>
    <row r="4" spans="1:24" ht="21.75">
      <c r="A4" s="363" t="s">
        <v>178</v>
      </c>
      <c r="B4" s="364" t="s">
        <v>22</v>
      </c>
      <c r="C4" s="366" t="s">
        <v>99</v>
      </c>
      <c r="D4" s="249" t="s">
        <v>100</v>
      </c>
      <c r="F4" s="366" t="s">
        <v>101</v>
      </c>
      <c r="G4" s="366" t="s">
        <v>102</v>
      </c>
      <c r="H4" s="366" t="s">
        <v>101</v>
      </c>
      <c r="I4" s="366" t="s">
        <v>102</v>
      </c>
      <c r="J4" s="367" t="s">
        <v>103</v>
      </c>
      <c r="K4" s="367" t="s">
        <v>136</v>
      </c>
      <c r="L4" s="368" t="s">
        <v>26</v>
      </c>
      <c r="M4" s="367" t="s">
        <v>104</v>
      </c>
      <c r="N4" s="369" t="s">
        <v>13</v>
      </c>
      <c r="O4" s="370" t="s">
        <v>105</v>
      </c>
      <c r="P4" s="371"/>
      <c r="Q4" s="8"/>
      <c r="R4" s="367" t="str">
        <f>Arbeitszeit!AD4</f>
        <v>&gt; 10 Std</v>
      </c>
      <c r="S4" s="372" t="s">
        <v>106</v>
      </c>
      <c r="T4" s="373" t="s">
        <v>107</v>
      </c>
      <c r="U4" s="373" t="s">
        <v>108</v>
      </c>
      <c r="V4" s="10" t="s">
        <v>167</v>
      </c>
      <c r="W4" s="367" t="s">
        <v>129</v>
      </c>
      <c r="X4" s="367" t="s">
        <v>25</v>
      </c>
    </row>
    <row r="5" spans="1:24">
      <c r="A5" s="187">
        <f>IF(MONTH(C3)&lt;&gt;MONTH($C$3),"",C3)</f>
        <v>42369</v>
      </c>
      <c r="B5" s="143">
        <f>IF(A5="","",NumberOfWeek(A5))</f>
        <v>1</v>
      </c>
      <c r="C5" s="321" t="str">
        <f t="shared" ref="C5:C35" si="0">VLOOKUP(A5,db_Jahr,5,FALSE)</f>
        <v>Neujahr</v>
      </c>
      <c r="D5" s="5" t="str">
        <f t="shared" ref="D5:D35" si="1">IF(ISBLANK(VLOOKUP($A5,db_Jahr,gSP_G_Kennung,FALSE)),"",VLOOKUP($A5,db_Jahr,gSP_G_Kennung,FALSE))</f>
        <v/>
      </c>
      <c r="E5" s="6" t="str">
        <f>IF(D5="",IF(F5="","",0),CODE(UPPER(D5)))</f>
        <v/>
      </c>
      <c r="F5" s="113" t="str">
        <f t="shared" ref="F5:F20" si="2">IF(ISNUMBER(VLOOKUP($A5,db_Jahr,gSP_Kom1,FALSE)),VLOOKUP($A5,db_Jahr,gSP_Kom1,FALSE),"")</f>
        <v/>
      </c>
      <c r="G5" s="113">
        <f t="shared" ref="G5:G35" si="3">VLOOKUP($A5,db_Jahr,gSP_Geh1,FALSE)</f>
        <v>0</v>
      </c>
      <c r="H5" s="113" t="str">
        <f t="shared" ref="H5:H35" si="4">IF(ISNUMBER(VLOOKUP($A5,db_Jahr,gSP_Kom2,FALSE)),VLOOKUP($A5,db_Jahr,gSP_Kom2,FALSE),"")</f>
        <v/>
      </c>
      <c r="I5" s="113">
        <f t="shared" ref="I5:I35" si="5">VLOOKUP($A5,db_Jahr,gSP_Geh2,FALSE)</f>
        <v>0</v>
      </c>
      <c r="J5" s="113">
        <f t="shared" ref="J5:J35" si="6">VLOOKUP($A5,db_Jahr,gSP_Ist,FALSE)</f>
        <v>0</v>
      </c>
      <c r="K5" s="66"/>
      <c r="L5" s="115">
        <f>VLOOKUP($A5,db_Jahr,gSP_Abzug,FALSE)</f>
        <v>3.125E-2</v>
      </c>
      <c r="M5" s="113">
        <f>VLOOKUP($A5,db_Jahr,gSP_Soll,FALSE)</f>
        <v>0</v>
      </c>
      <c r="N5" s="145" t="str">
        <f>VLOOKUP($A5,db_Jahr,gSP_V_Soll,FALSE)</f>
        <v/>
      </c>
      <c r="O5" s="112" t="str">
        <f t="shared" ref="O5:O35" si="7">IF(V5&lt;Feiertag,J5-M5,"")</f>
        <v/>
      </c>
      <c r="P5" s="67" t="str">
        <f t="shared" ref="P5:P35" si="8">IF(V5=Feiertag,"",IF((J5-M5)&lt;0,"*",""))</f>
        <v/>
      </c>
      <c r="Q5" s="145">
        <f>VLOOKUP($A5,db_Jahr,gSP_V_Overtime,FALSE)</f>
        <v>0</v>
      </c>
      <c r="R5" s="113" t="str">
        <f>VLOOKUP($A5,db_Jahr,gSP_MaxOvertime,FALSE)</f>
        <v/>
      </c>
      <c r="S5" s="68">
        <f t="shared" ref="S5:S35" si="9">IF(ISNUMBER(J5 ), IF( J5 &gt;= M5, M5, J5 ),"")</f>
        <v>0</v>
      </c>
      <c r="T5" s="68">
        <f t="shared" ref="T5:T35" si="10">IF( ISNUMBER( J5 ), IF( J5 &gt;= M5, J5 - M5, "" ), "" )</f>
        <v>0</v>
      </c>
      <c r="U5" s="68" t="str">
        <f t="shared" ref="U5:U35" si="11">IF( ISNUMBER( J5 ), IF( J5 &gt;= M5, "", M5 - J5 ), "" )</f>
        <v/>
      </c>
      <c r="V5">
        <f t="shared" ref="V5:V35" si="12">IF(A5="",0,IF(ISERROR(VLOOKUP(A5,db_Feiertag,2,FALSE)),WEEKDAY(A5,2),Feiertag))</f>
        <v>8</v>
      </c>
      <c r="W5" s="114">
        <f>$A$38+SUM(O5)-X5</f>
        <v>0</v>
      </c>
      <c r="X5" s="114">
        <f>VLOOKUP($A5,db_Jahr,gSP_Korr,FALSE)</f>
        <v>0</v>
      </c>
    </row>
    <row r="6" spans="1:24">
      <c r="A6" s="187">
        <f>IF(A5="","",IF(MONTH(A5+1)&lt;&gt;MONTH($C$3),"",A5+1))</f>
        <v>42370</v>
      </c>
      <c r="B6" s="143">
        <f t="shared" ref="B6:B35" si="13">IF(A6="","",NumberOfWeek(A6))</f>
        <v>1</v>
      </c>
      <c r="C6" s="321" t="str">
        <f t="shared" si="0"/>
        <v/>
      </c>
      <c r="D6" s="5" t="str">
        <f t="shared" si="1"/>
        <v/>
      </c>
      <c r="E6" s="6" t="str">
        <f t="shared" ref="E6:E35" si="14">IF(D6="",IF(F6="","",0),CODE(UPPER(D6)))</f>
        <v/>
      </c>
      <c r="F6" s="113" t="str">
        <f t="shared" si="2"/>
        <v/>
      </c>
      <c r="G6" s="113">
        <f t="shared" si="3"/>
        <v>0</v>
      </c>
      <c r="H6" s="113" t="str">
        <f t="shared" si="4"/>
        <v/>
      </c>
      <c r="I6" s="113">
        <f t="shared" si="5"/>
        <v>0</v>
      </c>
      <c r="J6" s="113">
        <f t="shared" si="6"/>
        <v>0</v>
      </c>
      <c r="K6" s="66"/>
      <c r="L6" s="115">
        <f t="shared" ref="L6:L35" si="15">VLOOKUP($A6,db_Jahr,gSP_Abzug,FALSE)</f>
        <v>3.125E-2</v>
      </c>
      <c r="M6" s="113">
        <f t="shared" ref="M6:M35" si="16">VLOOKUP($A6,db_Jahr,gSP_Soll,FALSE)</f>
        <v>0</v>
      </c>
      <c r="N6" s="145">
        <f t="shared" ref="N6:N35" si="17">VLOOKUP($A6,db_Jahr,gSP_V_Soll,FALSE)</f>
        <v>0.29166666666666669</v>
      </c>
      <c r="O6" s="112">
        <f t="shared" si="7"/>
        <v>0</v>
      </c>
      <c r="P6" s="67" t="str">
        <f t="shared" si="8"/>
        <v/>
      </c>
      <c r="Q6" s="145">
        <f t="shared" ref="Q6:Q35" si="18">VLOOKUP($A6,db_Jahr,gSP_V_Overtime,FALSE)</f>
        <v>0</v>
      </c>
      <c r="R6" s="113" t="str">
        <f t="shared" ref="R6:R35" si="19">VLOOKUP($A6,db_Jahr,gSP_MaxOvertime,FALSE)</f>
        <v/>
      </c>
      <c r="S6" s="68">
        <f t="shared" si="9"/>
        <v>0</v>
      </c>
      <c r="T6" s="68">
        <f t="shared" si="10"/>
        <v>0</v>
      </c>
      <c r="U6" s="68" t="str">
        <f t="shared" si="11"/>
        <v/>
      </c>
      <c r="V6">
        <f t="shared" si="12"/>
        <v>4</v>
      </c>
      <c r="W6" s="114">
        <f>W5+SUM(O6)-X6</f>
        <v>0</v>
      </c>
      <c r="X6" s="114">
        <f t="shared" ref="X6:X35" si="20">VLOOKUP($A6,db_Jahr,gSP_Korr,FALSE)</f>
        <v>0</v>
      </c>
    </row>
    <row r="7" spans="1:24">
      <c r="A7" s="187">
        <f t="shared" ref="A7:A35" si="21">IF(A6="","",IF(MONTH(A6+1)&lt;&gt;MONTH($C$3),"",A6+1))</f>
        <v>42371</v>
      </c>
      <c r="B7" s="143">
        <f t="shared" si="13"/>
        <v>1</v>
      </c>
      <c r="C7" s="321" t="str">
        <f t="shared" si="0"/>
        <v/>
      </c>
      <c r="D7" s="5" t="str">
        <f t="shared" si="1"/>
        <v/>
      </c>
      <c r="E7" s="6" t="str">
        <f t="shared" si="14"/>
        <v/>
      </c>
      <c r="F7" s="113" t="str">
        <f t="shared" si="2"/>
        <v/>
      </c>
      <c r="G7" s="113">
        <f t="shared" si="3"/>
        <v>0</v>
      </c>
      <c r="H7" s="113" t="str">
        <f t="shared" si="4"/>
        <v/>
      </c>
      <c r="I7" s="113">
        <f t="shared" si="5"/>
        <v>0</v>
      </c>
      <c r="J7" s="113">
        <f t="shared" si="6"/>
        <v>0</v>
      </c>
      <c r="K7" s="66"/>
      <c r="L7" s="115">
        <f t="shared" si="15"/>
        <v>3.125E-2</v>
      </c>
      <c r="M7" s="113">
        <f t="shared" si="16"/>
        <v>0</v>
      </c>
      <c r="N7" s="145">
        <f t="shared" si="17"/>
        <v>0.29166666666666669</v>
      </c>
      <c r="O7" s="112">
        <f t="shared" si="7"/>
        <v>0</v>
      </c>
      <c r="P7" s="67" t="str">
        <f t="shared" si="8"/>
        <v/>
      </c>
      <c r="Q7" s="145">
        <f t="shared" si="18"/>
        <v>0</v>
      </c>
      <c r="R7" s="113" t="str">
        <f t="shared" si="19"/>
        <v/>
      </c>
      <c r="S7" s="68">
        <f t="shared" si="9"/>
        <v>0</v>
      </c>
      <c r="T7" s="68">
        <f t="shared" si="10"/>
        <v>0</v>
      </c>
      <c r="U7" s="68" t="str">
        <f t="shared" si="11"/>
        <v/>
      </c>
      <c r="V7">
        <f t="shared" si="12"/>
        <v>5</v>
      </c>
      <c r="W7" s="114">
        <f t="shared" ref="W7:W35" si="22">W6+SUM(O7)-X7</f>
        <v>0</v>
      </c>
      <c r="X7" s="114">
        <f t="shared" si="20"/>
        <v>0</v>
      </c>
    </row>
    <row r="8" spans="1:24">
      <c r="A8" s="187">
        <f t="shared" si="21"/>
        <v>42372</v>
      </c>
      <c r="B8" s="143">
        <f t="shared" si="13"/>
        <v>1</v>
      </c>
      <c r="C8" s="321" t="str">
        <f t="shared" si="0"/>
        <v/>
      </c>
      <c r="D8" s="5" t="str">
        <f t="shared" si="1"/>
        <v/>
      </c>
      <c r="E8" s="6" t="str">
        <f t="shared" si="14"/>
        <v/>
      </c>
      <c r="F8" s="113" t="str">
        <f t="shared" si="2"/>
        <v/>
      </c>
      <c r="G8" s="113">
        <f t="shared" si="3"/>
        <v>0</v>
      </c>
      <c r="H8" s="113" t="str">
        <f t="shared" si="4"/>
        <v/>
      </c>
      <c r="I8" s="113">
        <f t="shared" si="5"/>
        <v>0</v>
      </c>
      <c r="J8" s="113">
        <f t="shared" si="6"/>
        <v>0</v>
      </c>
      <c r="K8" s="66"/>
      <c r="L8" s="115">
        <f t="shared" si="15"/>
        <v>3.125E-2</v>
      </c>
      <c r="M8" s="113">
        <f t="shared" si="16"/>
        <v>0</v>
      </c>
      <c r="N8" s="145">
        <f t="shared" si="17"/>
        <v>0</v>
      </c>
      <c r="O8" s="112">
        <f t="shared" si="7"/>
        <v>0</v>
      </c>
      <c r="P8" s="67" t="str">
        <f t="shared" si="8"/>
        <v/>
      </c>
      <c r="Q8" s="145">
        <f t="shared" si="18"/>
        <v>0</v>
      </c>
      <c r="R8" s="113" t="str">
        <f t="shared" si="19"/>
        <v/>
      </c>
      <c r="S8" s="68">
        <f t="shared" si="9"/>
        <v>0</v>
      </c>
      <c r="T8" s="68">
        <f t="shared" si="10"/>
        <v>0</v>
      </c>
      <c r="U8" s="68" t="str">
        <f t="shared" si="11"/>
        <v/>
      </c>
      <c r="V8">
        <f t="shared" si="12"/>
        <v>6</v>
      </c>
      <c r="W8" s="114">
        <f t="shared" si="22"/>
        <v>0</v>
      </c>
      <c r="X8" s="114">
        <f t="shared" si="20"/>
        <v>0</v>
      </c>
    </row>
    <row r="9" spans="1:24">
      <c r="A9" s="187">
        <f t="shared" si="21"/>
        <v>42373</v>
      </c>
      <c r="B9" s="143">
        <f t="shared" si="13"/>
        <v>1</v>
      </c>
      <c r="C9" s="321" t="str">
        <f t="shared" si="0"/>
        <v/>
      </c>
      <c r="D9" s="5" t="str">
        <f t="shared" si="1"/>
        <v/>
      </c>
      <c r="E9" s="6" t="str">
        <f t="shared" si="14"/>
        <v/>
      </c>
      <c r="F9" s="113" t="str">
        <f t="shared" si="2"/>
        <v/>
      </c>
      <c r="G9" s="113">
        <f t="shared" si="3"/>
        <v>0</v>
      </c>
      <c r="H9" s="113" t="str">
        <f t="shared" si="4"/>
        <v/>
      </c>
      <c r="I9" s="113">
        <f t="shared" si="5"/>
        <v>0</v>
      </c>
      <c r="J9" s="113">
        <f t="shared" si="6"/>
        <v>0</v>
      </c>
      <c r="K9" s="66"/>
      <c r="L9" s="115">
        <f t="shared" si="15"/>
        <v>3.125E-2</v>
      </c>
      <c r="M9" s="113">
        <f t="shared" si="16"/>
        <v>0</v>
      </c>
      <c r="N9" s="145">
        <f t="shared" si="17"/>
        <v>0</v>
      </c>
      <c r="O9" s="112">
        <f t="shared" si="7"/>
        <v>0</v>
      </c>
      <c r="P9" s="67" t="str">
        <f t="shared" si="8"/>
        <v/>
      </c>
      <c r="Q9" s="145">
        <f t="shared" si="18"/>
        <v>0</v>
      </c>
      <c r="R9" s="113" t="str">
        <f t="shared" si="19"/>
        <v/>
      </c>
      <c r="S9" s="68">
        <f t="shared" si="9"/>
        <v>0</v>
      </c>
      <c r="T9" s="68">
        <f t="shared" si="10"/>
        <v>0</v>
      </c>
      <c r="U9" s="68" t="str">
        <f t="shared" si="11"/>
        <v/>
      </c>
      <c r="V9">
        <f t="shared" si="12"/>
        <v>7</v>
      </c>
      <c r="W9" s="114">
        <f t="shared" si="22"/>
        <v>0</v>
      </c>
      <c r="X9" s="114">
        <f t="shared" si="20"/>
        <v>0</v>
      </c>
    </row>
    <row r="10" spans="1:24">
      <c r="A10" s="187">
        <f t="shared" si="21"/>
        <v>42374</v>
      </c>
      <c r="B10" s="143">
        <f t="shared" si="13"/>
        <v>2</v>
      </c>
      <c r="C10" s="321" t="str">
        <f t="shared" si="0"/>
        <v>hl. Dreikönig</v>
      </c>
      <c r="D10" s="5" t="str">
        <f t="shared" si="1"/>
        <v/>
      </c>
      <c r="E10" s="6" t="str">
        <f t="shared" si="14"/>
        <v/>
      </c>
      <c r="F10" s="113" t="str">
        <f t="shared" si="2"/>
        <v/>
      </c>
      <c r="G10" s="113">
        <f t="shared" si="3"/>
        <v>0</v>
      </c>
      <c r="H10" s="113" t="str">
        <f t="shared" si="4"/>
        <v/>
      </c>
      <c r="I10" s="113">
        <f t="shared" si="5"/>
        <v>0</v>
      </c>
      <c r="J10" s="113">
        <f t="shared" si="6"/>
        <v>0</v>
      </c>
      <c r="K10" s="66"/>
      <c r="L10" s="115">
        <f t="shared" si="15"/>
        <v>3.125E-2</v>
      </c>
      <c r="M10" s="113">
        <f t="shared" si="16"/>
        <v>0</v>
      </c>
      <c r="N10" s="145" t="str">
        <f t="shared" si="17"/>
        <v/>
      </c>
      <c r="O10" s="112" t="str">
        <f t="shared" si="7"/>
        <v/>
      </c>
      <c r="P10" s="67" t="str">
        <f t="shared" si="8"/>
        <v/>
      </c>
      <c r="Q10" s="145">
        <f t="shared" si="18"/>
        <v>0</v>
      </c>
      <c r="R10" s="113" t="str">
        <f t="shared" si="19"/>
        <v/>
      </c>
      <c r="S10" s="68">
        <f t="shared" si="9"/>
        <v>0</v>
      </c>
      <c r="T10" s="68">
        <f t="shared" si="10"/>
        <v>0</v>
      </c>
      <c r="U10" s="68" t="str">
        <f t="shared" si="11"/>
        <v/>
      </c>
      <c r="V10">
        <f t="shared" si="12"/>
        <v>8</v>
      </c>
      <c r="W10" s="114">
        <f t="shared" si="22"/>
        <v>0</v>
      </c>
      <c r="X10" s="114">
        <f t="shared" si="20"/>
        <v>0</v>
      </c>
    </row>
    <row r="11" spans="1:24">
      <c r="A11" s="187">
        <f t="shared" si="21"/>
        <v>42375</v>
      </c>
      <c r="B11" s="143">
        <f t="shared" si="13"/>
        <v>2</v>
      </c>
      <c r="C11" s="321" t="str">
        <f t="shared" si="0"/>
        <v/>
      </c>
      <c r="D11" s="5" t="str">
        <f t="shared" si="1"/>
        <v/>
      </c>
      <c r="E11" s="6" t="str">
        <f t="shared" si="14"/>
        <v/>
      </c>
      <c r="F11" s="113" t="str">
        <f t="shared" si="2"/>
        <v/>
      </c>
      <c r="G11" s="113">
        <f t="shared" si="3"/>
        <v>0</v>
      </c>
      <c r="H11" s="113" t="str">
        <f t="shared" si="4"/>
        <v/>
      </c>
      <c r="I11" s="113">
        <f t="shared" si="5"/>
        <v>0</v>
      </c>
      <c r="J11" s="113">
        <f t="shared" si="6"/>
        <v>0</v>
      </c>
      <c r="K11" s="66"/>
      <c r="L11" s="115">
        <f t="shared" si="15"/>
        <v>3.125E-2</v>
      </c>
      <c r="M11" s="113">
        <f t="shared" si="16"/>
        <v>0</v>
      </c>
      <c r="N11" s="145">
        <f t="shared" si="17"/>
        <v>0.29166666666666669</v>
      </c>
      <c r="O11" s="112">
        <f t="shared" si="7"/>
        <v>0</v>
      </c>
      <c r="P11" s="67" t="str">
        <f t="shared" si="8"/>
        <v/>
      </c>
      <c r="Q11" s="145">
        <f t="shared" si="18"/>
        <v>0</v>
      </c>
      <c r="R11" s="113" t="str">
        <f t="shared" si="19"/>
        <v/>
      </c>
      <c r="S11" s="68">
        <f t="shared" si="9"/>
        <v>0</v>
      </c>
      <c r="T11" s="68">
        <f t="shared" si="10"/>
        <v>0</v>
      </c>
      <c r="U11" s="68" t="str">
        <f t="shared" si="11"/>
        <v/>
      </c>
      <c r="V11">
        <f t="shared" si="12"/>
        <v>2</v>
      </c>
      <c r="W11" s="114">
        <f t="shared" si="22"/>
        <v>0</v>
      </c>
      <c r="X11" s="114">
        <f t="shared" si="20"/>
        <v>0</v>
      </c>
    </row>
    <row r="12" spans="1:24">
      <c r="A12" s="187">
        <f t="shared" si="21"/>
        <v>42376</v>
      </c>
      <c r="B12" s="143">
        <f t="shared" si="13"/>
        <v>2</v>
      </c>
      <c r="C12" s="321" t="str">
        <f t="shared" si="0"/>
        <v/>
      </c>
      <c r="D12" s="5" t="str">
        <f t="shared" si="1"/>
        <v/>
      </c>
      <c r="E12" s="6" t="str">
        <f t="shared" si="14"/>
        <v/>
      </c>
      <c r="F12" s="113" t="str">
        <f t="shared" si="2"/>
        <v/>
      </c>
      <c r="G12" s="113">
        <f t="shared" si="3"/>
        <v>0</v>
      </c>
      <c r="H12" s="113" t="str">
        <f t="shared" si="4"/>
        <v/>
      </c>
      <c r="I12" s="113">
        <f t="shared" si="5"/>
        <v>0</v>
      </c>
      <c r="J12" s="113">
        <f t="shared" si="6"/>
        <v>0</v>
      </c>
      <c r="K12" s="66"/>
      <c r="L12" s="115">
        <f t="shared" si="15"/>
        <v>3.125E-2</v>
      </c>
      <c r="M12" s="113">
        <f t="shared" si="16"/>
        <v>0</v>
      </c>
      <c r="N12" s="145">
        <f t="shared" si="17"/>
        <v>0.29166666666666669</v>
      </c>
      <c r="O12" s="112">
        <f t="shared" si="7"/>
        <v>0</v>
      </c>
      <c r="P12" s="67" t="str">
        <f t="shared" si="8"/>
        <v/>
      </c>
      <c r="Q12" s="145">
        <f t="shared" si="18"/>
        <v>0</v>
      </c>
      <c r="R12" s="113" t="str">
        <f t="shared" si="19"/>
        <v/>
      </c>
      <c r="S12" s="68">
        <f t="shared" si="9"/>
        <v>0</v>
      </c>
      <c r="T12" s="68">
        <f t="shared" si="10"/>
        <v>0</v>
      </c>
      <c r="U12" s="68" t="str">
        <f t="shared" si="11"/>
        <v/>
      </c>
      <c r="V12">
        <f t="shared" si="12"/>
        <v>3</v>
      </c>
      <c r="W12" s="114">
        <f t="shared" si="22"/>
        <v>0</v>
      </c>
      <c r="X12" s="114">
        <f t="shared" si="20"/>
        <v>0</v>
      </c>
    </row>
    <row r="13" spans="1:24">
      <c r="A13" s="187">
        <f t="shared" si="21"/>
        <v>42377</v>
      </c>
      <c r="B13" s="143">
        <f t="shared" si="13"/>
        <v>2</v>
      </c>
      <c r="C13" s="321" t="str">
        <f t="shared" si="0"/>
        <v/>
      </c>
      <c r="D13" s="5" t="str">
        <f t="shared" si="1"/>
        <v/>
      </c>
      <c r="E13" s="6" t="str">
        <f t="shared" si="14"/>
        <v/>
      </c>
      <c r="F13" s="113" t="str">
        <f t="shared" si="2"/>
        <v/>
      </c>
      <c r="G13" s="113">
        <f t="shared" si="3"/>
        <v>0</v>
      </c>
      <c r="H13" s="113" t="str">
        <f t="shared" si="4"/>
        <v/>
      </c>
      <c r="I13" s="113">
        <f t="shared" si="5"/>
        <v>0</v>
      </c>
      <c r="J13" s="113">
        <f t="shared" si="6"/>
        <v>0</v>
      </c>
      <c r="K13" s="66"/>
      <c r="L13" s="115">
        <f t="shared" si="15"/>
        <v>3.125E-2</v>
      </c>
      <c r="M13" s="113">
        <f t="shared" si="16"/>
        <v>0</v>
      </c>
      <c r="N13" s="145">
        <f t="shared" si="17"/>
        <v>0.29166666666666669</v>
      </c>
      <c r="O13" s="112">
        <f t="shared" si="7"/>
        <v>0</v>
      </c>
      <c r="P13" s="67" t="str">
        <f t="shared" si="8"/>
        <v/>
      </c>
      <c r="Q13" s="145">
        <f t="shared" si="18"/>
        <v>0</v>
      </c>
      <c r="R13" s="113" t="str">
        <f t="shared" si="19"/>
        <v/>
      </c>
      <c r="S13" s="68">
        <f t="shared" si="9"/>
        <v>0</v>
      </c>
      <c r="T13" s="68">
        <f t="shared" si="10"/>
        <v>0</v>
      </c>
      <c r="U13" s="68" t="str">
        <f t="shared" si="11"/>
        <v/>
      </c>
      <c r="V13">
        <f t="shared" si="12"/>
        <v>4</v>
      </c>
      <c r="W13" s="114">
        <f t="shared" si="22"/>
        <v>0</v>
      </c>
      <c r="X13" s="114">
        <f t="shared" si="20"/>
        <v>0</v>
      </c>
    </row>
    <row r="14" spans="1:24">
      <c r="A14" s="187">
        <f t="shared" si="21"/>
        <v>42378</v>
      </c>
      <c r="B14" s="143">
        <f t="shared" si="13"/>
        <v>2</v>
      </c>
      <c r="C14" s="321" t="str">
        <f t="shared" si="0"/>
        <v/>
      </c>
      <c r="D14" s="5" t="str">
        <f t="shared" si="1"/>
        <v/>
      </c>
      <c r="E14" s="6" t="str">
        <f t="shared" si="14"/>
        <v/>
      </c>
      <c r="F14" s="113" t="str">
        <f t="shared" si="2"/>
        <v/>
      </c>
      <c r="G14" s="113">
        <f t="shared" si="3"/>
        <v>0</v>
      </c>
      <c r="H14" s="113" t="str">
        <f t="shared" si="4"/>
        <v/>
      </c>
      <c r="I14" s="113">
        <f t="shared" si="5"/>
        <v>0</v>
      </c>
      <c r="J14" s="113">
        <f t="shared" si="6"/>
        <v>0</v>
      </c>
      <c r="K14" s="66"/>
      <c r="L14" s="115">
        <f t="shared" si="15"/>
        <v>3.125E-2</v>
      </c>
      <c r="M14" s="113">
        <f t="shared" si="16"/>
        <v>0</v>
      </c>
      <c r="N14" s="145">
        <f t="shared" si="17"/>
        <v>0.29166666666666669</v>
      </c>
      <c r="O14" s="112">
        <f t="shared" si="7"/>
        <v>0</v>
      </c>
      <c r="P14" s="67" t="str">
        <f t="shared" si="8"/>
        <v/>
      </c>
      <c r="Q14" s="145">
        <f t="shared" si="18"/>
        <v>0</v>
      </c>
      <c r="R14" s="113" t="str">
        <f t="shared" si="19"/>
        <v/>
      </c>
      <c r="S14" s="68">
        <f t="shared" si="9"/>
        <v>0</v>
      </c>
      <c r="T14" s="68">
        <f t="shared" si="10"/>
        <v>0</v>
      </c>
      <c r="U14" s="68" t="str">
        <f t="shared" si="11"/>
        <v/>
      </c>
      <c r="V14">
        <f t="shared" si="12"/>
        <v>5</v>
      </c>
      <c r="W14" s="114">
        <f t="shared" si="22"/>
        <v>0</v>
      </c>
      <c r="X14" s="114">
        <f t="shared" si="20"/>
        <v>0</v>
      </c>
    </row>
    <row r="15" spans="1:24">
      <c r="A15" s="187">
        <f t="shared" si="21"/>
        <v>42379</v>
      </c>
      <c r="B15" s="143">
        <f t="shared" si="13"/>
        <v>2</v>
      </c>
      <c r="C15" s="321" t="str">
        <f t="shared" si="0"/>
        <v/>
      </c>
      <c r="D15" s="5" t="str">
        <f t="shared" si="1"/>
        <v/>
      </c>
      <c r="E15" s="6" t="str">
        <f t="shared" si="14"/>
        <v/>
      </c>
      <c r="F15" s="113" t="str">
        <f t="shared" si="2"/>
        <v/>
      </c>
      <c r="G15" s="113">
        <f t="shared" si="3"/>
        <v>0</v>
      </c>
      <c r="H15" s="113" t="str">
        <f t="shared" si="4"/>
        <v/>
      </c>
      <c r="I15" s="113">
        <f t="shared" si="5"/>
        <v>0</v>
      </c>
      <c r="J15" s="113">
        <f t="shared" si="6"/>
        <v>0</v>
      </c>
      <c r="K15" s="66"/>
      <c r="L15" s="115">
        <f t="shared" si="15"/>
        <v>3.125E-2</v>
      </c>
      <c r="M15" s="113">
        <f t="shared" si="16"/>
        <v>0</v>
      </c>
      <c r="N15" s="145">
        <f t="shared" si="17"/>
        <v>0</v>
      </c>
      <c r="O15" s="112">
        <f t="shared" si="7"/>
        <v>0</v>
      </c>
      <c r="P15" s="67" t="str">
        <f t="shared" si="8"/>
        <v/>
      </c>
      <c r="Q15" s="145">
        <f t="shared" si="18"/>
        <v>0</v>
      </c>
      <c r="R15" s="113" t="str">
        <f t="shared" si="19"/>
        <v/>
      </c>
      <c r="S15" s="68">
        <f t="shared" si="9"/>
        <v>0</v>
      </c>
      <c r="T15" s="68">
        <f t="shared" si="10"/>
        <v>0</v>
      </c>
      <c r="U15" s="68" t="str">
        <f t="shared" si="11"/>
        <v/>
      </c>
      <c r="V15">
        <f t="shared" si="12"/>
        <v>6</v>
      </c>
      <c r="W15" s="114">
        <f t="shared" si="22"/>
        <v>0</v>
      </c>
      <c r="X15" s="114">
        <f t="shared" si="20"/>
        <v>0</v>
      </c>
    </row>
    <row r="16" spans="1:24">
      <c r="A16" s="187">
        <f t="shared" si="21"/>
        <v>42380</v>
      </c>
      <c r="B16" s="143">
        <f t="shared" si="13"/>
        <v>2</v>
      </c>
      <c r="C16" s="321" t="str">
        <f t="shared" si="0"/>
        <v/>
      </c>
      <c r="D16" s="5" t="str">
        <f t="shared" si="1"/>
        <v/>
      </c>
      <c r="E16" s="6" t="str">
        <f t="shared" si="14"/>
        <v/>
      </c>
      <c r="F16" s="113" t="str">
        <f t="shared" si="2"/>
        <v/>
      </c>
      <c r="G16" s="113">
        <f t="shared" si="3"/>
        <v>0</v>
      </c>
      <c r="H16" s="113" t="str">
        <f t="shared" si="4"/>
        <v/>
      </c>
      <c r="I16" s="113">
        <f t="shared" si="5"/>
        <v>0</v>
      </c>
      <c r="J16" s="113">
        <f t="shared" si="6"/>
        <v>0</v>
      </c>
      <c r="K16" s="66"/>
      <c r="L16" s="115">
        <f t="shared" si="15"/>
        <v>3.125E-2</v>
      </c>
      <c r="M16" s="113">
        <f t="shared" si="16"/>
        <v>0</v>
      </c>
      <c r="N16" s="145">
        <f t="shared" si="17"/>
        <v>0</v>
      </c>
      <c r="O16" s="112">
        <f t="shared" si="7"/>
        <v>0</v>
      </c>
      <c r="P16" s="67" t="str">
        <f t="shared" si="8"/>
        <v/>
      </c>
      <c r="Q16" s="145">
        <f t="shared" si="18"/>
        <v>0</v>
      </c>
      <c r="R16" s="113" t="str">
        <f t="shared" si="19"/>
        <v/>
      </c>
      <c r="S16" s="68">
        <f t="shared" si="9"/>
        <v>0</v>
      </c>
      <c r="T16" s="68">
        <f t="shared" si="10"/>
        <v>0</v>
      </c>
      <c r="U16" s="68" t="str">
        <f t="shared" si="11"/>
        <v/>
      </c>
      <c r="V16">
        <f t="shared" si="12"/>
        <v>7</v>
      </c>
      <c r="W16" s="114">
        <f t="shared" si="22"/>
        <v>0</v>
      </c>
      <c r="X16" s="114">
        <f t="shared" si="20"/>
        <v>0</v>
      </c>
    </row>
    <row r="17" spans="1:24">
      <c r="A17" s="187">
        <f t="shared" si="21"/>
        <v>42381</v>
      </c>
      <c r="B17" s="143">
        <f t="shared" si="13"/>
        <v>3</v>
      </c>
      <c r="C17" s="321" t="str">
        <f t="shared" si="0"/>
        <v/>
      </c>
      <c r="D17" s="5" t="str">
        <f t="shared" si="1"/>
        <v/>
      </c>
      <c r="E17" s="6" t="str">
        <f t="shared" si="14"/>
        <v/>
      </c>
      <c r="F17" s="113" t="str">
        <f t="shared" si="2"/>
        <v/>
      </c>
      <c r="G17" s="113">
        <f t="shared" si="3"/>
        <v>0</v>
      </c>
      <c r="H17" s="113" t="str">
        <f t="shared" si="4"/>
        <v/>
      </c>
      <c r="I17" s="113">
        <f t="shared" si="5"/>
        <v>0</v>
      </c>
      <c r="J17" s="113">
        <f t="shared" si="6"/>
        <v>0</v>
      </c>
      <c r="K17" s="66"/>
      <c r="L17" s="115">
        <f t="shared" si="15"/>
        <v>3.125E-2</v>
      </c>
      <c r="M17" s="113">
        <f t="shared" si="16"/>
        <v>0</v>
      </c>
      <c r="N17" s="145">
        <f t="shared" si="17"/>
        <v>0.29166666666666669</v>
      </c>
      <c r="O17" s="112">
        <f t="shared" si="7"/>
        <v>0</v>
      </c>
      <c r="P17" s="67" t="str">
        <f t="shared" si="8"/>
        <v/>
      </c>
      <c r="Q17" s="145">
        <f t="shared" si="18"/>
        <v>0</v>
      </c>
      <c r="R17" s="113" t="str">
        <f t="shared" si="19"/>
        <v/>
      </c>
      <c r="S17" s="68">
        <f t="shared" si="9"/>
        <v>0</v>
      </c>
      <c r="T17" s="68">
        <f t="shared" si="10"/>
        <v>0</v>
      </c>
      <c r="U17" s="68" t="str">
        <f t="shared" si="11"/>
        <v/>
      </c>
      <c r="V17">
        <f t="shared" si="12"/>
        <v>1</v>
      </c>
      <c r="W17" s="114">
        <f t="shared" si="22"/>
        <v>0</v>
      </c>
      <c r="X17" s="114">
        <f t="shared" si="20"/>
        <v>0</v>
      </c>
    </row>
    <row r="18" spans="1:24">
      <c r="A18" s="187">
        <f t="shared" si="21"/>
        <v>42382</v>
      </c>
      <c r="B18" s="143">
        <f t="shared" si="13"/>
        <v>3</v>
      </c>
      <c r="C18" s="321" t="str">
        <f t="shared" si="0"/>
        <v/>
      </c>
      <c r="D18" s="5" t="str">
        <f t="shared" si="1"/>
        <v/>
      </c>
      <c r="E18" s="6" t="str">
        <f t="shared" si="14"/>
        <v/>
      </c>
      <c r="F18" s="113" t="str">
        <f t="shared" si="2"/>
        <v/>
      </c>
      <c r="G18" s="113">
        <f t="shared" si="3"/>
        <v>0</v>
      </c>
      <c r="H18" s="113" t="str">
        <f t="shared" si="4"/>
        <v/>
      </c>
      <c r="I18" s="113">
        <f t="shared" si="5"/>
        <v>0</v>
      </c>
      <c r="J18" s="113">
        <f t="shared" si="6"/>
        <v>0</v>
      </c>
      <c r="K18" s="66"/>
      <c r="L18" s="115">
        <f t="shared" si="15"/>
        <v>3.125E-2</v>
      </c>
      <c r="M18" s="113">
        <f t="shared" si="16"/>
        <v>0</v>
      </c>
      <c r="N18" s="145">
        <f t="shared" si="17"/>
        <v>0.29166666666666669</v>
      </c>
      <c r="O18" s="112">
        <f t="shared" si="7"/>
        <v>0</v>
      </c>
      <c r="P18" s="67" t="str">
        <f t="shared" si="8"/>
        <v/>
      </c>
      <c r="Q18" s="145">
        <f t="shared" si="18"/>
        <v>0</v>
      </c>
      <c r="R18" s="113" t="str">
        <f t="shared" si="19"/>
        <v/>
      </c>
      <c r="S18" s="68">
        <f t="shared" si="9"/>
        <v>0</v>
      </c>
      <c r="T18" s="68">
        <f t="shared" si="10"/>
        <v>0</v>
      </c>
      <c r="U18" s="68" t="str">
        <f t="shared" si="11"/>
        <v/>
      </c>
      <c r="V18">
        <f t="shared" si="12"/>
        <v>2</v>
      </c>
      <c r="W18" s="114">
        <f t="shared" si="22"/>
        <v>0</v>
      </c>
      <c r="X18" s="114">
        <f t="shared" si="20"/>
        <v>0</v>
      </c>
    </row>
    <row r="19" spans="1:24">
      <c r="A19" s="187">
        <f t="shared" si="21"/>
        <v>42383</v>
      </c>
      <c r="B19" s="143">
        <f t="shared" si="13"/>
        <v>3</v>
      </c>
      <c r="C19" s="321" t="str">
        <f t="shared" si="0"/>
        <v/>
      </c>
      <c r="D19" s="5" t="str">
        <f t="shared" si="1"/>
        <v/>
      </c>
      <c r="E19" s="6" t="str">
        <f t="shared" si="14"/>
        <v/>
      </c>
      <c r="F19" s="113" t="str">
        <f t="shared" si="2"/>
        <v/>
      </c>
      <c r="G19" s="113">
        <f t="shared" si="3"/>
        <v>0</v>
      </c>
      <c r="H19" s="113" t="str">
        <f t="shared" si="4"/>
        <v/>
      </c>
      <c r="I19" s="113">
        <f t="shared" si="5"/>
        <v>0</v>
      </c>
      <c r="J19" s="113">
        <f t="shared" si="6"/>
        <v>0</v>
      </c>
      <c r="K19" s="66"/>
      <c r="L19" s="115">
        <f t="shared" si="15"/>
        <v>3.125E-2</v>
      </c>
      <c r="M19" s="113">
        <f t="shared" si="16"/>
        <v>0</v>
      </c>
      <c r="N19" s="145">
        <f t="shared" si="17"/>
        <v>0.29166666666666669</v>
      </c>
      <c r="O19" s="112">
        <f t="shared" si="7"/>
        <v>0</v>
      </c>
      <c r="P19" s="67" t="str">
        <f t="shared" si="8"/>
        <v/>
      </c>
      <c r="Q19" s="145">
        <f t="shared" si="18"/>
        <v>0</v>
      </c>
      <c r="R19" s="113" t="str">
        <f t="shared" si="19"/>
        <v/>
      </c>
      <c r="S19" s="68">
        <f t="shared" si="9"/>
        <v>0</v>
      </c>
      <c r="T19" s="68">
        <f t="shared" si="10"/>
        <v>0</v>
      </c>
      <c r="U19" s="68" t="str">
        <f t="shared" si="11"/>
        <v/>
      </c>
      <c r="V19">
        <f t="shared" si="12"/>
        <v>3</v>
      </c>
      <c r="W19" s="114">
        <f t="shared" si="22"/>
        <v>0</v>
      </c>
      <c r="X19" s="114">
        <f t="shared" si="20"/>
        <v>0</v>
      </c>
    </row>
    <row r="20" spans="1:24">
      <c r="A20" s="187">
        <f t="shared" si="21"/>
        <v>42384</v>
      </c>
      <c r="B20" s="143">
        <f t="shared" si="13"/>
        <v>3</v>
      </c>
      <c r="C20" s="321" t="str">
        <f t="shared" si="0"/>
        <v/>
      </c>
      <c r="D20" s="5" t="str">
        <f t="shared" si="1"/>
        <v/>
      </c>
      <c r="E20" s="6" t="str">
        <f t="shared" si="14"/>
        <v/>
      </c>
      <c r="F20" s="113" t="str">
        <f t="shared" si="2"/>
        <v/>
      </c>
      <c r="G20" s="113">
        <f t="shared" si="3"/>
        <v>0</v>
      </c>
      <c r="H20" s="113" t="str">
        <f t="shared" si="4"/>
        <v/>
      </c>
      <c r="I20" s="113">
        <f t="shared" si="5"/>
        <v>0</v>
      </c>
      <c r="J20" s="113">
        <f t="shared" si="6"/>
        <v>0</v>
      </c>
      <c r="K20" s="66"/>
      <c r="L20" s="115">
        <f t="shared" si="15"/>
        <v>3.125E-2</v>
      </c>
      <c r="M20" s="113">
        <f t="shared" si="16"/>
        <v>0</v>
      </c>
      <c r="N20" s="145">
        <f t="shared" si="17"/>
        <v>0.29166666666666669</v>
      </c>
      <c r="O20" s="112">
        <f t="shared" si="7"/>
        <v>0</v>
      </c>
      <c r="P20" s="67" t="str">
        <f t="shared" si="8"/>
        <v/>
      </c>
      <c r="Q20" s="145">
        <f t="shared" si="18"/>
        <v>0</v>
      </c>
      <c r="R20" s="113" t="str">
        <f t="shared" si="19"/>
        <v/>
      </c>
      <c r="S20" s="68">
        <f t="shared" si="9"/>
        <v>0</v>
      </c>
      <c r="T20" s="68">
        <f t="shared" si="10"/>
        <v>0</v>
      </c>
      <c r="U20" s="68" t="str">
        <f t="shared" si="11"/>
        <v/>
      </c>
      <c r="V20">
        <f t="shared" si="12"/>
        <v>4</v>
      </c>
      <c r="W20" s="114">
        <f t="shared" si="22"/>
        <v>0</v>
      </c>
      <c r="X20" s="114">
        <f t="shared" si="20"/>
        <v>0</v>
      </c>
    </row>
    <row r="21" spans="1:24">
      <c r="A21" s="187">
        <f t="shared" si="21"/>
        <v>42385</v>
      </c>
      <c r="B21" s="143">
        <f t="shared" si="13"/>
        <v>3</v>
      </c>
      <c r="C21" s="321" t="str">
        <f t="shared" si="0"/>
        <v/>
      </c>
      <c r="D21" s="5" t="str">
        <f t="shared" si="1"/>
        <v/>
      </c>
      <c r="E21" s="6" t="str">
        <f t="shared" si="14"/>
        <v/>
      </c>
      <c r="F21" s="113" t="str">
        <f t="shared" ref="F21:F35" si="23">IF(ISNUMBER(VLOOKUP($A21,db_Jahr,gSP_Kom1,FALSE)),VLOOKUP($A21,db_Jahr,gSP_Kom1,FALSE),"")</f>
        <v/>
      </c>
      <c r="G21" s="113">
        <f t="shared" si="3"/>
        <v>0</v>
      </c>
      <c r="H21" s="113" t="str">
        <f t="shared" si="4"/>
        <v/>
      </c>
      <c r="I21" s="113">
        <f t="shared" si="5"/>
        <v>0</v>
      </c>
      <c r="J21" s="113">
        <f t="shared" si="6"/>
        <v>0</v>
      </c>
      <c r="K21" s="66"/>
      <c r="L21" s="115">
        <f t="shared" si="15"/>
        <v>3.125E-2</v>
      </c>
      <c r="M21" s="113">
        <f t="shared" si="16"/>
        <v>0</v>
      </c>
      <c r="N21" s="145">
        <f t="shared" si="17"/>
        <v>0.29166666666666669</v>
      </c>
      <c r="O21" s="112">
        <f t="shared" si="7"/>
        <v>0</v>
      </c>
      <c r="P21" s="67" t="str">
        <f t="shared" si="8"/>
        <v/>
      </c>
      <c r="Q21" s="145">
        <f t="shared" si="18"/>
        <v>0</v>
      </c>
      <c r="R21" s="113" t="str">
        <f t="shared" si="19"/>
        <v/>
      </c>
      <c r="S21" s="68">
        <f t="shared" si="9"/>
        <v>0</v>
      </c>
      <c r="T21" s="68">
        <f t="shared" si="10"/>
        <v>0</v>
      </c>
      <c r="U21" s="68" t="str">
        <f t="shared" si="11"/>
        <v/>
      </c>
      <c r="V21">
        <f t="shared" si="12"/>
        <v>5</v>
      </c>
      <c r="W21" s="114">
        <f t="shared" si="22"/>
        <v>0</v>
      </c>
      <c r="X21" s="114">
        <f t="shared" si="20"/>
        <v>0</v>
      </c>
    </row>
    <row r="22" spans="1:24">
      <c r="A22" s="187">
        <f t="shared" si="21"/>
        <v>42386</v>
      </c>
      <c r="B22" s="143">
        <f t="shared" si="13"/>
        <v>3</v>
      </c>
      <c r="C22" s="321" t="str">
        <f t="shared" si="0"/>
        <v/>
      </c>
      <c r="D22" s="5" t="str">
        <f t="shared" si="1"/>
        <v/>
      </c>
      <c r="E22" s="6" t="str">
        <f t="shared" si="14"/>
        <v/>
      </c>
      <c r="F22" s="113" t="str">
        <f t="shared" si="23"/>
        <v/>
      </c>
      <c r="G22" s="113">
        <f t="shared" si="3"/>
        <v>0</v>
      </c>
      <c r="H22" s="113" t="str">
        <f t="shared" si="4"/>
        <v/>
      </c>
      <c r="I22" s="113">
        <f t="shared" si="5"/>
        <v>0</v>
      </c>
      <c r="J22" s="113">
        <f t="shared" si="6"/>
        <v>0</v>
      </c>
      <c r="K22" s="66"/>
      <c r="L22" s="115">
        <f t="shared" si="15"/>
        <v>3.125E-2</v>
      </c>
      <c r="M22" s="113">
        <f t="shared" si="16"/>
        <v>0</v>
      </c>
      <c r="N22" s="145">
        <f t="shared" si="17"/>
        <v>0</v>
      </c>
      <c r="O22" s="112">
        <f t="shared" si="7"/>
        <v>0</v>
      </c>
      <c r="P22" s="67" t="str">
        <f t="shared" si="8"/>
        <v/>
      </c>
      <c r="Q22" s="145">
        <f t="shared" si="18"/>
        <v>0</v>
      </c>
      <c r="R22" s="113" t="str">
        <f t="shared" si="19"/>
        <v/>
      </c>
      <c r="S22" s="68">
        <f t="shared" si="9"/>
        <v>0</v>
      </c>
      <c r="T22" s="68">
        <f t="shared" si="10"/>
        <v>0</v>
      </c>
      <c r="U22" s="68" t="str">
        <f t="shared" si="11"/>
        <v/>
      </c>
      <c r="V22">
        <f t="shared" si="12"/>
        <v>6</v>
      </c>
      <c r="W22" s="114">
        <f t="shared" si="22"/>
        <v>0</v>
      </c>
      <c r="X22" s="114">
        <f t="shared" si="20"/>
        <v>0</v>
      </c>
    </row>
    <row r="23" spans="1:24">
      <c r="A23" s="187">
        <f t="shared" si="21"/>
        <v>42387</v>
      </c>
      <c r="B23" s="143">
        <f t="shared" si="13"/>
        <v>3</v>
      </c>
      <c r="C23" s="321" t="str">
        <f t="shared" si="0"/>
        <v/>
      </c>
      <c r="D23" s="5" t="str">
        <f t="shared" si="1"/>
        <v/>
      </c>
      <c r="E23" s="6" t="str">
        <f t="shared" si="14"/>
        <v/>
      </c>
      <c r="F23" s="113" t="str">
        <f t="shared" si="23"/>
        <v/>
      </c>
      <c r="G23" s="113">
        <f t="shared" si="3"/>
        <v>0</v>
      </c>
      <c r="H23" s="113" t="str">
        <f t="shared" si="4"/>
        <v/>
      </c>
      <c r="I23" s="113">
        <f t="shared" si="5"/>
        <v>0</v>
      </c>
      <c r="J23" s="113">
        <f t="shared" si="6"/>
        <v>0</v>
      </c>
      <c r="K23" s="66"/>
      <c r="L23" s="115">
        <f t="shared" si="15"/>
        <v>3.125E-2</v>
      </c>
      <c r="M23" s="113">
        <f t="shared" si="16"/>
        <v>0</v>
      </c>
      <c r="N23" s="145">
        <f t="shared" si="17"/>
        <v>0</v>
      </c>
      <c r="O23" s="112">
        <f t="shared" si="7"/>
        <v>0</v>
      </c>
      <c r="P23" s="67" t="str">
        <f t="shared" si="8"/>
        <v/>
      </c>
      <c r="Q23" s="145">
        <f t="shared" si="18"/>
        <v>0</v>
      </c>
      <c r="R23" s="113" t="str">
        <f t="shared" si="19"/>
        <v/>
      </c>
      <c r="S23" s="68">
        <f t="shared" si="9"/>
        <v>0</v>
      </c>
      <c r="T23" s="68">
        <f t="shared" si="10"/>
        <v>0</v>
      </c>
      <c r="U23" s="68" t="str">
        <f t="shared" si="11"/>
        <v/>
      </c>
      <c r="V23">
        <f t="shared" si="12"/>
        <v>7</v>
      </c>
      <c r="W23" s="114">
        <f t="shared" si="22"/>
        <v>0</v>
      </c>
      <c r="X23" s="114">
        <f t="shared" si="20"/>
        <v>0</v>
      </c>
    </row>
    <row r="24" spans="1:24">
      <c r="A24" s="187">
        <f t="shared" si="21"/>
        <v>42388</v>
      </c>
      <c r="B24" s="143">
        <f t="shared" si="13"/>
        <v>4</v>
      </c>
      <c r="C24" s="321" t="str">
        <f t="shared" si="0"/>
        <v/>
      </c>
      <c r="D24" s="5" t="str">
        <f t="shared" si="1"/>
        <v/>
      </c>
      <c r="E24" s="6" t="str">
        <f t="shared" si="14"/>
        <v/>
      </c>
      <c r="F24" s="113" t="str">
        <f t="shared" si="23"/>
        <v/>
      </c>
      <c r="G24" s="113">
        <f t="shared" si="3"/>
        <v>0</v>
      </c>
      <c r="H24" s="113" t="str">
        <f t="shared" si="4"/>
        <v/>
      </c>
      <c r="I24" s="113">
        <f t="shared" si="5"/>
        <v>0</v>
      </c>
      <c r="J24" s="113">
        <f t="shared" si="6"/>
        <v>0</v>
      </c>
      <c r="K24" s="66"/>
      <c r="L24" s="115">
        <f>VLOOKUP($A24,db_Jahr,gSP_Abzug,FALSE)</f>
        <v>3.125E-2</v>
      </c>
      <c r="M24" s="113">
        <f t="shared" si="16"/>
        <v>0</v>
      </c>
      <c r="N24" s="145">
        <f t="shared" si="17"/>
        <v>0.29166666666666669</v>
      </c>
      <c r="O24" s="112">
        <f t="shared" si="7"/>
        <v>0</v>
      </c>
      <c r="P24" s="67" t="str">
        <f t="shared" si="8"/>
        <v/>
      </c>
      <c r="Q24" s="145">
        <f t="shared" si="18"/>
        <v>0</v>
      </c>
      <c r="R24" s="113" t="str">
        <f t="shared" si="19"/>
        <v/>
      </c>
      <c r="S24" s="68">
        <f t="shared" si="9"/>
        <v>0</v>
      </c>
      <c r="T24" s="68">
        <f t="shared" si="10"/>
        <v>0</v>
      </c>
      <c r="U24" s="68" t="str">
        <f t="shared" si="11"/>
        <v/>
      </c>
      <c r="V24">
        <f t="shared" si="12"/>
        <v>1</v>
      </c>
      <c r="W24" s="114">
        <f t="shared" si="22"/>
        <v>0</v>
      </c>
      <c r="X24" s="114">
        <f t="shared" si="20"/>
        <v>0</v>
      </c>
    </row>
    <row r="25" spans="1:24">
      <c r="A25" s="187">
        <f t="shared" si="21"/>
        <v>42389</v>
      </c>
      <c r="B25" s="143">
        <f t="shared" si="13"/>
        <v>4</v>
      </c>
      <c r="C25" s="321" t="str">
        <f t="shared" si="0"/>
        <v/>
      </c>
      <c r="D25" s="5" t="str">
        <f t="shared" si="1"/>
        <v/>
      </c>
      <c r="E25" s="6" t="str">
        <f t="shared" si="14"/>
        <v/>
      </c>
      <c r="F25" s="113" t="str">
        <f t="shared" si="23"/>
        <v/>
      </c>
      <c r="G25" s="113">
        <f t="shared" si="3"/>
        <v>0</v>
      </c>
      <c r="H25" s="113" t="str">
        <f t="shared" si="4"/>
        <v/>
      </c>
      <c r="I25" s="113">
        <f t="shared" si="5"/>
        <v>0</v>
      </c>
      <c r="J25" s="113">
        <f t="shared" si="6"/>
        <v>0</v>
      </c>
      <c r="K25" s="66"/>
      <c r="L25" s="115">
        <f t="shared" si="15"/>
        <v>3.125E-2</v>
      </c>
      <c r="M25" s="113">
        <f t="shared" si="16"/>
        <v>0</v>
      </c>
      <c r="N25" s="145">
        <f t="shared" si="17"/>
        <v>0.29166666666666669</v>
      </c>
      <c r="O25" s="112">
        <f t="shared" si="7"/>
        <v>0</v>
      </c>
      <c r="P25" s="67" t="str">
        <f t="shared" si="8"/>
        <v/>
      </c>
      <c r="Q25" s="145">
        <f t="shared" si="18"/>
        <v>0</v>
      </c>
      <c r="R25" s="113" t="str">
        <f t="shared" si="19"/>
        <v/>
      </c>
      <c r="S25" s="68">
        <f t="shared" si="9"/>
        <v>0</v>
      </c>
      <c r="T25" s="68">
        <f t="shared" si="10"/>
        <v>0</v>
      </c>
      <c r="U25" s="68" t="str">
        <f t="shared" si="11"/>
        <v/>
      </c>
      <c r="V25">
        <f t="shared" si="12"/>
        <v>2</v>
      </c>
      <c r="W25" s="114">
        <f t="shared" si="22"/>
        <v>0</v>
      </c>
      <c r="X25" s="114">
        <f t="shared" si="20"/>
        <v>0</v>
      </c>
    </row>
    <row r="26" spans="1:24">
      <c r="A26" s="187">
        <f t="shared" si="21"/>
        <v>42390</v>
      </c>
      <c r="B26" s="143">
        <f t="shared" si="13"/>
        <v>4</v>
      </c>
      <c r="C26" s="321" t="str">
        <f t="shared" si="0"/>
        <v/>
      </c>
      <c r="D26" s="5" t="str">
        <f t="shared" si="1"/>
        <v/>
      </c>
      <c r="E26" s="6" t="str">
        <f t="shared" si="14"/>
        <v/>
      </c>
      <c r="F26" s="113" t="str">
        <f t="shared" si="23"/>
        <v/>
      </c>
      <c r="G26" s="113">
        <f t="shared" si="3"/>
        <v>0</v>
      </c>
      <c r="H26" s="113" t="str">
        <f t="shared" si="4"/>
        <v/>
      </c>
      <c r="I26" s="113">
        <f t="shared" si="5"/>
        <v>0</v>
      </c>
      <c r="J26" s="113">
        <f t="shared" si="6"/>
        <v>0</v>
      </c>
      <c r="K26" s="66"/>
      <c r="L26" s="115">
        <f t="shared" si="15"/>
        <v>3.125E-2</v>
      </c>
      <c r="M26" s="113">
        <f t="shared" si="16"/>
        <v>0</v>
      </c>
      <c r="N26" s="145">
        <f t="shared" si="17"/>
        <v>0.29166666666666669</v>
      </c>
      <c r="O26" s="112">
        <f t="shared" si="7"/>
        <v>0</v>
      </c>
      <c r="P26" s="67" t="str">
        <f t="shared" si="8"/>
        <v/>
      </c>
      <c r="Q26" s="145">
        <f t="shared" si="18"/>
        <v>0</v>
      </c>
      <c r="R26" s="113" t="str">
        <f t="shared" si="19"/>
        <v/>
      </c>
      <c r="S26" s="68">
        <f t="shared" si="9"/>
        <v>0</v>
      </c>
      <c r="T26" s="68">
        <f t="shared" si="10"/>
        <v>0</v>
      </c>
      <c r="U26" s="68" t="str">
        <f t="shared" si="11"/>
        <v/>
      </c>
      <c r="V26">
        <f t="shared" si="12"/>
        <v>3</v>
      </c>
      <c r="W26" s="114">
        <f t="shared" si="22"/>
        <v>0</v>
      </c>
      <c r="X26" s="114">
        <f t="shared" si="20"/>
        <v>0</v>
      </c>
    </row>
    <row r="27" spans="1:24">
      <c r="A27" s="187">
        <f t="shared" si="21"/>
        <v>42391</v>
      </c>
      <c r="B27" s="143">
        <f t="shared" si="13"/>
        <v>4</v>
      </c>
      <c r="C27" s="321" t="str">
        <f t="shared" si="0"/>
        <v/>
      </c>
      <c r="D27" s="5" t="str">
        <f t="shared" si="1"/>
        <v/>
      </c>
      <c r="E27" s="6" t="str">
        <f t="shared" si="14"/>
        <v/>
      </c>
      <c r="F27" s="113" t="str">
        <f t="shared" si="23"/>
        <v/>
      </c>
      <c r="G27" s="113">
        <f t="shared" si="3"/>
        <v>0</v>
      </c>
      <c r="H27" s="113" t="str">
        <f t="shared" si="4"/>
        <v/>
      </c>
      <c r="I27" s="113">
        <f t="shared" si="5"/>
        <v>0</v>
      </c>
      <c r="J27" s="113">
        <f t="shared" si="6"/>
        <v>0</v>
      </c>
      <c r="K27" s="66"/>
      <c r="L27" s="115">
        <f t="shared" si="15"/>
        <v>3.125E-2</v>
      </c>
      <c r="M27" s="113">
        <f t="shared" si="16"/>
        <v>0</v>
      </c>
      <c r="N27" s="145">
        <f t="shared" si="17"/>
        <v>0.29166666666666669</v>
      </c>
      <c r="O27" s="112">
        <f t="shared" si="7"/>
        <v>0</v>
      </c>
      <c r="P27" s="67" t="str">
        <f t="shared" si="8"/>
        <v/>
      </c>
      <c r="Q27" s="145">
        <f t="shared" si="18"/>
        <v>0</v>
      </c>
      <c r="R27" s="113" t="str">
        <f t="shared" si="19"/>
        <v/>
      </c>
      <c r="S27" s="68">
        <f t="shared" si="9"/>
        <v>0</v>
      </c>
      <c r="T27" s="68">
        <f t="shared" si="10"/>
        <v>0</v>
      </c>
      <c r="U27" s="68" t="str">
        <f t="shared" si="11"/>
        <v/>
      </c>
      <c r="V27">
        <f t="shared" si="12"/>
        <v>4</v>
      </c>
      <c r="W27" s="114">
        <f t="shared" si="22"/>
        <v>0</v>
      </c>
      <c r="X27" s="114">
        <f t="shared" si="20"/>
        <v>0</v>
      </c>
    </row>
    <row r="28" spans="1:24">
      <c r="A28" s="187">
        <f t="shared" si="21"/>
        <v>42392</v>
      </c>
      <c r="B28" s="143">
        <f t="shared" si="13"/>
        <v>4</v>
      </c>
      <c r="C28" s="321" t="str">
        <f t="shared" si="0"/>
        <v/>
      </c>
      <c r="D28" s="5" t="str">
        <f t="shared" si="1"/>
        <v/>
      </c>
      <c r="E28" s="6" t="str">
        <f t="shared" si="14"/>
        <v/>
      </c>
      <c r="F28" s="113" t="str">
        <f t="shared" si="23"/>
        <v/>
      </c>
      <c r="G28" s="113">
        <f t="shared" si="3"/>
        <v>0</v>
      </c>
      <c r="H28" s="113" t="str">
        <f t="shared" si="4"/>
        <v/>
      </c>
      <c r="I28" s="113">
        <f t="shared" si="5"/>
        <v>0</v>
      </c>
      <c r="J28" s="113">
        <f t="shared" si="6"/>
        <v>0</v>
      </c>
      <c r="K28" s="66"/>
      <c r="L28" s="115">
        <f t="shared" si="15"/>
        <v>3.125E-2</v>
      </c>
      <c r="M28" s="113">
        <f t="shared" si="16"/>
        <v>0</v>
      </c>
      <c r="N28" s="145">
        <f t="shared" si="17"/>
        <v>0.29166666666666669</v>
      </c>
      <c r="O28" s="112">
        <f t="shared" si="7"/>
        <v>0</v>
      </c>
      <c r="P28" s="67" t="str">
        <f t="shared" si="8"/>
        <v/>
      </c>
      <c r="Q28" s="145">
        <f t="shared" si="18"/>
        <v>0</v>
      </c>
      <c r="R28" s="113" t="str">
        <f t="shared" si="19"/>
        <v/>
      </c>
      <c r="S28" s="68">
        <f t="shared" si="9"/>
        <v>0</v>
      </c>
      <c r="T28" s="68">
        <f t="shared" si="10"/>
        <v>0</v>
      </c>
      <c r="U28" s="68" t="str">
        <f t="shared" si="11"/>
        <v/>
      </c>
      <c r="V28">
        <f t="shared" si="12"/>
        <v>5</v>
      </c>
      <c r="W28" s="114">
        <f t="shared" si="22"/>
        <v>0</v>
      </c>
      <c r="X28" s="114">
        <f t="shared" si="20"/>
        <v>0</v>
      </c>
    </row>
    <row r="29" spans="1:24">
      <c r="A29" s="187">
        <f t="shared" si="21"/>
        <v>42393</v>
      </c>
      <c r="B29" s="143">
        <f t="shared" si="13"/>
        <v>4</v>
      </c>
      <c r="C29" s="321" t="str">
        <f t="shared" si="0"/>
        <v/>
      </c>
      <c r="D29" s="5" t="str">
        <f t="shared" si="1"/>
        <v/>
      </c>
      <c r="E29" s="6" t="str">
        <f t="shared" si="14"/>
        <v/>
      </c>
      <c r="F29" s="113" t="str">
        <f t="shared" si="23"/>
        <v/>
      </c>
      <c r="G29" s="113">
        <f t="shared" si="3"/>
        <v>0</v>
      </c>
      <c r="H29" s="113" t="str">
        <f t="shared" si="4"/>
        <v/>
      </c>
      <c r="I29" s="113">
        <f t="shared" si="5"/>
        <v>0</v>
      </c>
      <c r="J29" s="113">
        <f t="shared" si="6"/>
        <v>0</v>
      </c>
      <c r="K29" s="66"/>
      <c r="L29" s="115">
        <f t="shared" si="15"/>
        <v>3.125E-2</v>
      </c>
      <c r="M29" s="113">
        <f t="shared" si="16"/>
        <v>0</v>
      </c>
      <c r="N29" s="145">
        <f t="shared" si="17"/>
        <v>0</v>
      </c>
      <c r="O29" s="112">
        <f t="shared" si="7"/>
        <v>0</v>
      </c>
      <c r="P29" s="67" t="str">
        <f t="shared" si="8"/>
        <v/>
      </c>
      <c r="Q29" s="145">
        <f t="shared" si="18"/>
        <v>0</v>
      </c>
      <c r="R29" s="113" t="str">
        <f t="shared" si="19"/>
        <v/>
      </c>
      <c r="S29" s="68">
        <f t="shared" si="9"/>
        <v>0</v>
      </c>
      <c r="T29" s="68">
        <f t="shared" si="10"/>
        <v>0</v>
      </c>
      <c r="U29" s="68" t="str">
        <f t="shared" si="11"/>
        <v/>
      </c>
      <c r="V29">
        <f t="shared" si="12"/>
        <v>6</v>
      </c>
      <c r="W29" s="114">
        <f t="shared" si="22"/>
        <v>0</v>
      </c>
      <c r="X29" s="114">
        <f t="shared" si="20"/>
        <v>0</v>
      </c>
    </row>
    <row r="30" spans="1:24">
      <c r="A30" s="187">
        <f t="shared" si="21"/>
        <v>42394</v>
      </c>
      <c r="B30" s="143">
        <f t="shared" si="13"/>
        <v>4</v>
      </c>
      <c r="C30" s="321" t="str">
        <f t="shared" si="0"/>
        <v/>
      </c>
      <c r="D30" s="5" t="str">
        <f t="shared" si="1"/>
        <v/>
      </c>
      <c r="E30" s="6" t="str">
        <f t="shared" si="14"/>
        <v/>
      </c>
      <c r="F30" s="113" t="str">
        <f t="shared" si="23"/>
        <v/>
      </c>
      <c r="G30" s="113">
        <f t="shared" si="3"/>
        <v>0</v>
      </c>
      <c r="H30" s="113" t="str">
        <f t="shared" si="4"/>
        <v/>
      </c>
      <c r="I30" s="113">
        <f t="shared" si="5"/>
        <v>0</v>
      </c>
      <c r="J30" s="113">
        <f t="shared" si="6"/>
        <v>0</v>
      </c>
      <c r="K30" s="66"/>
      <c r="L30" s="115">
        <f t="shared" si="15"/>
        <v>3.125E-2</v>
      </c>
      <c r="M30" s="113">
        <f t="shared" si="16"/>
        <v>0</v>
      </c>
      <c r="N30" s="145">
        <f t="shared" si="17"/>
        <v>0</v>
      </c>
      <c r="O30" s="112">
        <f t="shared" si="7"/>
        <v>0</v>
      </c>
      <c r="P30" s="67" t="str">
        <f t="shared" si="8"/>
        <v/>
      </c>
      <c r="Q30" s="145">
        <f t="shared" si="18"/>
        <v>0</v>
      </c>
      <c r="R30" s="113" t="str">
        <f t="shared" si="19"/>
        <v/>
      </c>
      <c r="S30" s="68">
        <f t="shared" si="9"/>
        <v>0</v>
      </c>
      <c r="T30" s="68">
        <f t="shared" si="10"/>
        <v>0</v>
      </c>
      <c r="U30" s="68" t="str">
        <f t="shared" si="11"/>
        <v/>
      </c>
      <c r="V30">
        <f t="shared" si="12"/>
        <v>7</v>
      </c>
      <c r="W30" s="114">
        <f t="shared" si="22"/>
        <v>0</v>
      </c>
      <c r="X30" s="114">
        <f t="shared" si="20"/>
        <v>0</v>
      </c>
    </row>
    <row r="31" spans="1:24">
      <c r="A31" s="187">
        <f t="shared" si="21"/>
        <v>42395</v>
      </c>
      <c r="B31" s="143">
        <f t="shared" si="13"/>
        <v>5</v>
      </c>
      <c r="C31" s="321" t="str">
        <f t="shared" si="0"/>
        <v/>
      </c>
      <c r="D31" s="5" t="str">
        <f t="shared" si="1"/>
        <v/>
      </c>
      <c r="E31" s="6" t="str">
        <f t="shared" si="14"/>
        <v/>
      </c>
      <c r="F31" s="113" t="str">
        <f t="shared" si="23"/>
        <v/>
      </c>
      <c r="G31" s="113">
        <f t="shared" si="3"/>
        <v>0</v>
      </c>
      <c r="H31" s="113" t="str">
        <f t="shared" si="4"/>
        <v/>
      </c>
      <c r="I31" s="113">
        <f t="shared" si="5"/>
        <v>0</v>
      </c>
      <c r="J31" s="113">
        <f t="shared" si="6"/>
        <v>0</v>
      </c>
      <c r="K31" s="66"/>
      <c r="L31" s="115">
        <f t="shared" si="15"/>
        <v>3.125E-2</v>
      </c>
      <c r="M31" s="113">
        <f t="shared" si="16"/>
        <v>0</v>
      </c>
      <c r="N31" s="145">
        <f t="shared" si="17"/>
        <v>0.29166666666666669</v>
      </c>
      <c r="O31" s="112">
        <f t="shared" si="7"/>
        <v>0</v>
      </c>
      <c r="P31" s="67" t="str">
        <f t="shared" si="8"/>
        <v/>
      </c>
      <c r="Q31" s="145">
        <f t="shared" si="18"/>
        <v>0</v>
      </c>
      <c r="R31" s="113" t="str">
        <f t="shared" si="19"/>
        <v/>
      </c>
      <c r="S31" s="68">
        <f t="shared" si="9"/>
        <v>0</v>
      </c>
      <c r="T31" s="68">
        <f t="shared" si="10"/>
        <v>0</v>
      </c>
      <c r="U31" s="68" t="str">
        <f t="shared" si="11"/>
        <v/>
      </c>
      <c r="V31">
        <f t="shared" si="12"/>
        <v>1</v>
      </c>
      <c r="W31" s="114">
        <f t="shared" si="22"/>
        <v>0</v>
      </c>
      <c r="X31" s="114">
        <f t="shared" si="20"/>
        <v>0</v>
      </c>
    </row>
    <row r="32" spans="1:24">
      <c r="A32" s="187">
        <f t="shared" si="21"/>
        <v>42396</v>
      </c>
      <c r="B32" s="143">
        <f t="shared" si="13"/>
        <v>5</v>
      </c>
      <c r="C32" s="321" t="str">
        <f t="shared" si="0"/>
        <v/>
      </c>
      <c r="D32" s="5" t="str">
        <f t="shared" si="1"/>
        <v/>
      </c>
      <c r="E32" s="6" t="str">
        <f t="shared" si="14"/>
        <v/>
      </c>
      <c r="F32" s="113" t="str">
        <f t="shared" si="23"/>
        <v/>
      </c>
      <c r="G32" s="113">
        <f t="shared" si="3"/>
        <v>0</v>
      </c>
      <c r="H32" s="113" t="str">
        <f t="shared" si="4"/>
        <v/>
      </c>
      <c r="I32" s="113">
        <f t="shared" si="5"/>
        <v>0</v>
      </c>
      <c r="J32" s="113">
        <f t="shared" si="6"/>
        <v>0</v>
      </c>
      <c r="K32" s="66"/>
      <c r="L32" s="115">
        <f t="shared" si="15"/>
        <v>3.125E-2</v>
      </c>
      <c r="M32" s="113">
        <f t="shared" si="16"/>
        <v>0</v>
      </c>
      <c r="N32" s="145">
        <f t="shared" si="17"/>
        <v>0.29166666666666669</v>
      </c>
      <c r="O32" s="112">
        <f t="shared" si="7"/>
        <v>0</v>
      </c>
      <c r="P32" s="67" t="str">
        <f t="shared" si="8"/>
        <v/>
      </c>
      <c r="Q32" s="145">
        <f t="shared" si="18"/>
        <v>0</v>
      </c>
      <c r="R32" s="113" t="str">
        <f t="shared" si="19"/>
        <v/>
      </c>
      <c r="S32" s="68">
        <f t="shared" si="9"/>
        <v>0</v>
      </c>
      <c r="T32" s="68">
        <f t="shared" si="10"/>
        <v>0</v>
      </c>
      <c r="U32" s="68" t="str">
        <f t="shared" si="11"/>
        <v/>
      </c>
      <c r="V32">
        <f t="shared" si="12"/>
        <v>2</v>
      </c>
      <c r="W32" s="114">
        <f t="shared" si="22"/>
        <v>0</v>
      </c>
      <c r="X32" s="114">
        <f t="shared" si="20"/>
        <v>0</v>
      </c>
    </row>
    <row r="33" spans="1:24">
      <c r="A33" s="187">
        <f t="shared" si="21"/>
        <v>42397</v>
      </c>
      <c r="B33" s="143">
        <f t="shared" si="13"/>
        <v>5</v>
      </c>
      <c r="C33" s="321" t="str">
        <f t="shared" si="0"/>
        <v/>
      </c>
      <c r="D33" s="5" t="str">
        <f t="shared" si="1"/>
        <v/>
      </c>
      <c r="E33" s="6" t="str">
        <f t="shared" si="14"/>
        <v/>
      </c>
      <c r="F33" s="113" t="str">
        <f t="shared" si="23"/>
        <v/>
      </c>
      <c r="G33" s="113">
        <f t="shared" si="3"/>
        <v>0</v>
      </c>
      <c r="H33" s="113" t="str">
        <f t="shared" si="4"/>
        <v/>
      </c>
      <c r="I33" s="113">
        <f t="shared" si="5"/>
        <v>0</v>
      </c>
      <c r="J33" s="113">
        <f t="shared" si="6"/>
        <v>0</v>
      </c>
      <c r="K33" s="66"/>
      <c r="L33" s="115">
        <f t="shared" si="15"/>
        <v>3.125E-2</v>
      </c>
      <c r="M33" s="113">
        <f t="shared" si="16"/>
        <v>0</v>
      </c>
      <c r="N33" s="145">
        <f t="shared" si="17"/>
        <v>0.29166666666666669</v>
      </c>
      <c r="O33" s="112">
        <f t="shared" si="7"/>
        <v>0</v>
      </c>
      <c r="P33" s="67" t="str">
        <f t="shared" si="8"/>
        <v/>
      </c>
      <c r="Q33" s="145">
        <f t="shared" si="18"/>
        <v>0</v>
      </c>
      <c r="R33" s="113" t="str">
        <f t="shared" si="19"/>
        <v/>
      </c>
      <c r="S33" s="68">
        <f t="shared" si="9"/>
        <v>0</v>
      </c>
      <c r="T33" s="68">
        <f t="shared" si="10"/>
        <v>0</v>
      </c>
      <c r="U33" s="68" t="str">
        <f t="shared" si="11"/>
        <v/>
      </c>
      <c r="V33">
        <f t="shared" si="12"/>
        <v>3</v>
      </c>
      <c r="W33" s="114">
        <f t="shared" si="22"/>
        <v>0</v>
      </c>
      <c r="X33" s="114">
        <f t="shared" si="20"/>
        <v>0</v>
      </c>
    </row>
    <row r="34" spans="1:24">
      <c r="A34" s="187">
        <f t="shared" si="21"/>
        <v>42398</v>
      </c>
      <c r="B34" s="143">
        <f t="shared" si="13"/>
        <v>5</v>
      </c>
      <c r="C34" s="321" t="str">
        <f t="shared" si="0"/>
        <v/>
      </c>
      <c r="D34" s="5" t="str">
        <f t="shared" si="1"/>
        <v/>
      </c>
      <c r="E34" s="6" t="str">
        <f t="shared" si="14"/>
        <v/>
      </c>
      <c r="F34" s="113" t="str">
        <f t="shared" si="23"/>
        <v/>
      </c>
      <c r="G34" s="113">
        <f t="shared" si="3"/>
        <v>0</v>
      </c>
      <c r="H34" s="113" t="str">
        <f t="shared" si="4"/>
        <v/>
      </c>
      <c r="I34" s="113">
        <f t="shared" si="5"/>
        <v>0</v>
      </c>
      <c r="J34" s="113">
        <f t="shared" si="6"/>
        <v>0</v>
      </c>
      <c r="K34" s="66"/>
      <c r="L34" s="115">
        <f t="shared" si="15"/>
        <v>3.125E-2</v>
      </c>
      <c r="M34" s="113">
        <f t="shared" si="16"/>
        <v>0</v>
      </c>
      <c r="N34" s="145">
        <f t="shared" si="17"/>
        <v>0.29166666666666669</v>
      </c>
      <c r="O34" s="112">
        <f t="shared" si="7"/>
        <v>0</v>
      </c>
      <c r="P34" s="67" t="str">
        <f t="shared" si="8"/>
        <v/>
      </c>
      <c r="Q34" s="145">
        <f t="shared" si="18"/>
        <v>0</v>
      </c>
      <c r="R34" s="113" t="str">
        <f t="shared" si="19"/>
        <v/>
      </c>
      <c r="S34" s="68">
        <f t="shared" si="9"/>
        <v>0</v>
      </c>
      <c r="T34" s="68">
        <f t="shared" si="10"/>
        <v>0</v>
      </c>
      <c r="U34" s="68" t="str">
        <f t="shared" si="11"/>
        <v/>
      </c>
      <c r="V34">
        <f t="shared" si="12"/>
        <v>4</v>
      </c>
      <c r="W34" s="114">
        <f t="shared" si="22"/>
        <v>0</v>
      </c>
      <c r="X34" s="114">
        <f t="shared" si="20"/>
        <v>0</v>
      </c>
    </row>
    <row r="35" spans="1:24">
      <c r="A35" s="187">
        <f t="shared" si="21"/>
        <v>42399</v>
      </c>
      <c r="B35" s="143">
        <f t="shared" si="13"/>
        <v>5</v>
      </c>
      <c r="C35" s="321" t="str">
        <f t="shared" si="0"/>
        <v/>
      </c>
      <c r="D35" s="5" t="str">
        <f t="shared" si="1"/>
        <v/>
      </c>
      <c r="E35" s="6" t="str">
        <f t="shared" si="14"/>
        <v/>
      </c>
      <c r="F35" s="113" t="str">
        <f t="shared" si="23"/>
        <v/>
      </c>
      <c r="G35" s="113">
        <f t="shared" si="3"/>
        <v>0</v>
      </c>
      <c r="H35" s="113" t="str">
        <f t="shared" si="4"/>
        <v/>
      </c>
      <c r="I35" s="113">
        <f t="shared" si="5"/>
        <v>0</v>
      </c>
      <c r="J35" s="113">
        <f t="shared" si="6"/>
        <v>0</v>
      </c>
      <c r="K35" s="66"/>
      <c r="L35" s="115">
        <f t="shared" si="15"/>
        <v>3.125E-2</v>
      </c>
      <c r="M35" s="113">
        <f t="shared" si="16"/>
        <v>0</v>
      </c>
      <c r="N35" s="145">
        <f t="shared" si="17"/>
        <v>0.29166666666666669</v>
      </c>
      <c r="O35" s="112">
        <f t="shared" si="7"/>
        <v>0</v>
      </c>
      <c r="P35" s="67" t="str">
        <f t="shared" si="8"/>
        <v/>
      </c>
      <c r="Q35" s="145">
        <f t="shared" si="18"/>
        <v>0</v>
      </c>
      <c r="R35" s="113" t="str">
        <f t="shared" si="19"/>
        <v/>
      </c>
      <c r="S35" s="68">
        <f t="shared" si="9"/>
        <v>0</v>
      </c>
      <c r="T35" s="68">
        <f t="shared" si="10"/>
        <v>0</v>
      </c>
      <c r="U35" s="68" t="str">
        <f t="shared" si="11"/>
        <v/>
      </c>
      <c r="V35">
        <f t="shared" si="12"/>
        <v>5</v>
      </c>
      <c r="W35" s="114">
        <f t="shared" si="22"/>
        <v>0</v>
      </c>
      <c r="X35" s="114">
        <f t="shared" si="20"/>
        <v>0</v>
      </c>
    </row>
    <row r="36" spans="1:24">
      <c r="A36" s="8"/>
      <c r="B36" s="8"/>
      <c r="C36" s="9" t="s">
        <v>127</v>
      </c>
      <c r="D36" s="3"/>
      <c r="F36" s="8"/>
      <c r="G36" s="8"/>
      <c r="H36" s="8"/>
      <c r="I36" s="8"/>
      <c r="J36" s="10"/>
      <c r="K36" s="10"/>
      <c r="M36" s="10"/>
      <c r="O36" s="123"/>
      <c r="P36" s="11"/>
      <c r="Q36" s="1"/>
      <c r="R36" s="12"/>
    </row>
    <row r="37" spans="1:24">
      <c r="A37" s="301" t="s">
        <v>40</v>
      </c>
      <c r="B37" s="261"/>
      <c r="C37" s="273"/>
      <c r="D37" s="3"/>
      <c r="F37" s="301" t="s">
        <v>39</v>
      </c>
      <c r="G37" s="261"/>
      <c r="H37" s="273"/>
      <c r="I37" s="301"/>
      <c r="J37" s="261"/>
      <c r="K37" s="273"/>
      <c r="M37" s="10"/>
      <c r="O37" s="123"/>
      <c r="P37" s="11"/>
      <c r="Q37" s="1"/>
      <c r="R37" s="12"/>
    </row>
    <row r="38" spans="1:24">
      <c r="A38" s="267">
        <f>VLOOKUP($A$5-1,db_Jahr,gSP_SaldoGes,FALSE)</f>
        <v>0</v>
      </c>
      <c r="B38" s="299" t="s">
        <v>109</v>
      </c>
      <c r="C38" s="300"/>
      <c r="D38" s="4"/>
      <c r="E38" s="3"/>
      <c r="F38" s="262" t="s">
        <v>110</v>
      </c>
      <c r="G38" s="263"/>
      <c r="H38" s="264"/>
      <c r="I38" s="264"/>
      <c r="J38" s="15">
        <f>SUM(J5:J35)</f>
        <v>0</v>
      </c>
      <c r="K38" s="16"/>
      <c r="L38" s="1"/>
      <c r="O38" s="302">
        <f>SUM(O5:O35)</f>
        <v>0</v>
      </c>
      <c r="P38" s="303" t="str">
        <f>IF(O38&lt;0,"*","")</f>
        <v/>
      </c>
      <c r="R38" s="17">
        <f>SUM(R5:R35)</f>
        <v>0</v>
      </c>
    </row>
    <row r="39" spans="1:24">
      <c r="A39" s="268">
        <f>VLOOKUP($A$5-1,db_Jahr,gSP_UrlR,FALSE)</f>
        <v>0</v>
      </c>
      <c r="B39" s="299" t="s">
        <v>111</v>
      </c>
      <c r="C39" s="365"/>
      <c r="F39" s="265" t="s">
        <v>112</v>
      </c>
      <c r="G39" s="266"/>
      <c r="H39" s="263"/>
      <c r="I39" s="263"/>
      <c r="J39" s="15">
        <f>SUM(M5:M35)</f>
        <v>0</v>
      </c>
      <c r="K39" s="16"/>
      <c r="L39" s="1"/>
    </row>
    <row r="40" spans="1:24">
      <c r="A40" s="268">
        <f>IF(MONTH($A$5)=1,B_UrlaubNeu,0)</f>
        <v>30</v>
      </c>
      <c r="B40" s="299" t="s">
        <v>19</v>
      </c>
      <c r="C40" s="365"/>
      <c r="D40" s="70"/>
      <c r="E40" s="3"/>
      <c r="F40" s="265" t="s">
        <v>38</v>
      </c>
      <c r="G40" s="266"/>
      <c r="H40" s="263"/>
      <c r="I40" s="263"/>
      <c r="J40" s="15">
        <f>SUMIF(R_Monat,$C$3,R_Korrekt)</f>
        <v>0</v>
      </c>
      <c r="K40" s="16"/>
      <c r="L40" s="1"/>
    </row>
    <row r="41" spans="1:24">
      <c r="A41" s="268">
        <f>SUMIF(R_Monat,$C$3,R_Krank)</f>
        <v>0</v>
      </c>
      <c r="B41" s="299" t="s">
        <v>173</v>
      </c>
      <c r="C41" s="300"/>
      <c r="D41" s="297"/>
      <c r="E41" s="3"/>
      <c r="F41" s="265" t="s">
        <v>115</v>
      </c>
      <c r="G41" s="266"/>
      <c r="H41" s="264"/>
      <c r="I41" s="264"/>
      <c r="J41" s="15">
        <f>A38+J38-J39-J40</f>
        <v>0</v>
      </c>
      <c r="K41" s="16" t="str">
        <f>IF(J41&lt;0,"*","")</f>
        <v/>
      </c>
      <c r="M41" s="617">
        <f>J41/B_WorkTime</f>
        <v>0</v>
      </c>
      <c r="N41" s="617"/>
      <c r="O41" s="617"/>
      <c r="P41" s="617"/>
    </row>
    <row r="42" spans="1:24">
      <c r="A42" s="268">
        <f>(FREQUENCY(E5:E35,0)-FREQUENCY(E5:E35,-1))+(FREQUENCY(E5:E35,83)-FREQUENCY(E5:E35,82))</f>
        <v>0</v>
      </c>
      <c r="B42" s="299" t="s">
        <v>29</v>
      </c>
      <c r="C42" s="365"/>
      <c r="E42" s="3"/>
      <c r="F42" s="265" t="s">
        <v>33</v>
      </c>
      <c r="G42" s="266"/>
      <c r="H42" s="263"/>
      <c r="I42" s="263"/>
      <c r="J42" s="253">
        <f>SUMIF(R_Monat,$C$3,R_Urlaub)</f>
        <v>0</v>
      </c>
      <c r="K42" s="16"/>
    </row>
    <row r="43" spans="1:24">
      <c r="A43" s="298">
        <f>IF(J38&gt;0,J38 / A42,0)</f>
        <v>0</v>
      </c>
      <c r="B43" s="299" t="s">
        <v>30</v>
      </c>
      <c r="C43" s="300"/>
      <c r="F43" s="265" t="s">
        <v>114</v>
      </c>
      <c r="G43" s="266"/>
      <c r="H43" s="263"/>
      <c r="I43" s="263"/>
      <c r="J43" s="253">
        <f>A39+A40-J42</f>
        <v>30</v>
      </c>
      <c r="K43" s="16"/>
      <c r="M43" s="21"/>
    </row>
  </sheetData>
  <mergeCells count="2">
    <mergeCell ref="M41:P41"/>
    <mergeCell ref="I3:P3"/>
  </mergeCells>
  <phoneticPr fontId="0" type="noConversion"/>
  <conditionalFormatting sqref="C7:C35 D5:N35 C5 P5:X35">
    <cfRule type="expression" dxfId="68" priority="1" stopIfTrue="1">
      <formula>INDIRECT(ADDRESS(ROW(),COLUMN(xDay)))&gt;5</formula>
    </cfRule>
  </conditionalFormatting>
  <conditionalFormatting sqref="O5:O35">
    <cfRule type="expression" dxfId="67" priority="2" stopIfTrue="1">
      <formula>INDIRECT(ADDRESS(ROW(),COLUMN(xDay)))&gt;5</formula>
    </cfRule>
    <cfRule type="cellIs" dxfId="66" priority="3" stopIfTrue="1" operator="lessThan">
      <formula>0</formula>
    </cfRule>
  </conditionalFormatting>
  <conditionalFormatting sqref="A5:B5 A6:C6 A7:B35">
    <cfRule type="expression" dxfId="65" priority="4" stopIfTrue="1">
      <formula>INDIRECT(ADDRESS(ROW(),COLUMN(xDay)))&gt;5</formula>
    </cfRule>
  </conditionalFormatting>
  <conditionalFormatting sqref="O38">
    <cfRule type="cellIs" dxfId="64"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baseColWidth="10" defaultColWidth="11.5703125"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49" customFormat="1" ht="39.950000000000003" customHeight="1" thickBot="1">
      <c r="A2" s="142">
        <f>B_Year</f>
        <v>42369</v>
      </c>
      <c r="B2" s="336">
        <f>B_Year</f>
        <v>42369</v>
      </c>
      <c r="C2" s="336">
        <f>B2</f>
        <v>42369</v>
      </c>
      <c r="D2" s="336">
        <f>DATE(YEAR(B2),MONTH(B2)+1,1)</f>
        <v>42400</v>
      </c>
      <c r="E2" s="336">
        <f>D2</f>
        <v>42400</v>
      </c>
      <c r="F2" s="336">
        <f>DATE(YEAR(D2),MONTH(D2)+1,1)</f>
        <v>42429</v>
      </c>
      <c r="G2" s="336">
        <f>F2</f>
        <v>42429</v>
      </c>
      <c r="H2" s="336">
        <f>DATE(YEAR(F2),MONTH(F2)+1,1)</f>
        <v>42460</v>
      </c>
      <c r="I2" s="336">
        <f>H2</f>
        <v>42460</v>
      </c>
      <c r="J2" s="336">
        <f>DATE(YEAR(H2),MONTH(H2)+1,1)</f>
        <v>42490</v>
      </c>
      <c r="K2" s="336">
        <f>J2</f>
        <v>42490</v>
      </c>
      <c r="L2" s="336">
        <f>DATE(YEAR(J2),MONTH(J2)+1,1)</f>
        <v>42521</v>
      </c>
      <c r="M2" s="336">
        <f>L2</f>
        <v>42521</v>
      </c>
      <c r="N2" s="336">
        <f>DATE(YEAR(L2),MONTH(L2)+1,1)</f>
        <v>42551</v>
      </c>
      <c r="O2" s="336">
        <f>N2</f>
        <v>42551</v>
      </c>
      <c r="P2" s="336">
        <f>DATE(YEAR(N2),MONTH(N2)+1,1)</f>
        <v>42582</v>
      </c>
      <c r="Q2" s="336">
        <f>P2</f>
        <v>42582</v>
      </c>
      <c r="R2" s="336">
        <f>DATE(YEAR(P2),MONTH(P2)+1,1)</f>
        <v>42613</v>
      </c>
      <c r="S2" s="336">
        <f>R2</f>
        <v>42613</v>
      </c>
      <c r="T2" s="336">
        <f>DATE(YEAR(R2),MONTH(R2)+1,1)</f>
        <v>42643</v>
      </c>
      <c r="U2" s="336">
        <f>T2</f>
        <v>42643</v>
      </c>
      <c r="V2" s="336">
        <f>DATE(YEAR(T2),MONTH(T2)+1,1)</f>
        <v>42674</v>
      </c>
      <c r="W2" s="336">
        <f>V2</f>
        <v>42674</v>
      </c>
      <c r="X2" s="336">
        <f>DATE(YEAR(V2),MONTH(V2)+1,1)</f>
        <v>42704</v>
      </c>
      <c r="Y2" s="534">
        <f>X2</f>
        <v>42704</v>
      </c>
    </row>
    <row r="3" spans="1:27" s="49" customFormat="1" ht="11.25">
      <c r="A3" s="50">
        <v>1</v>
      </c>
      <c r="B3" s="560" t="str">
        <f t="shared" ref="B3:B9" si="0">IF(OR(ISERROR(C3),C3=""),"-",IF(OR(C3=K_ArbeitNormal,C3=K_ArbeitOverTime,C3=K_ArbeitOverMax),VLOOKUP(DATE(YEAR(C$2),MONTH(C$2),$A3),db_Jahr,gSP_KalZeit,FALSE),""))</f>
        <v/>
      </c>
      <c r="C3" s="538">
        <f t="shared" ref="C3:G32" si="1">IF(MONTH(DATE(YEAR(C$2),MONTH(C$2),$A3))=MONTH(C$2),VLOOKUP(DATE(YEAR(C$2),MONTH(C$2),$A3),db_Jahr,gSP_KalTyp,FALSE),"")</f>
        <v>8</v>
      </c>
      <c r="D3" s="139" t="str">
        <f t="shared" ref="D3:D33" si="2">IF(OR(ISERROR(E3),E3=""),"-",IF(OR(E3=K_ArbeitNormal,E3=K_ArbeitOverTime,E3=K_ArbeitOverMax),VLOOKUP(DATE(YEAR(E$2),MONTH(E$2),$A3),db_Jahr,gSP_KalZeit,FALSE),""))</f>
        <v/>
      </c>
      <c r="E3" s="140">
        <f t="shared" si="1"/>
        <v>7</v>
      </c>
      <c r="F3" s="139" t="str">
        <f t="shared" ref="F3:F33" si="3">IF(OR(ISERROR(G3),G3=""),"-",IF(OR(G3=K_ArbeitNormal,G3=K_ArbeitOverTime,G3=K_ArbeitOverMax),VLOOKUP(DATE(YEAR(G$2),MONTH(G$2),$A3),db_Jahr,gSP_KalZeit,FALSE),""))</f>
        <v/>
      </c>
      <c r="G3" s="140">
        <f t="shared" si="1"/>
        <v>7</v>
      </c>
      <c r="H3" s="612" t="str">
        <f t="shared" ref="H3:H33" si="4">IF(OR(ISERROR(I3),I3=""),"-",IF(OR(I3=K_ArbeitNormal,I3=K_ArbeitOverTime,I3=K_ArbeitOverMax),VLOOKUP(DATE(YEAR(I$2),MONTH(I$2),$A3),db_Jahr,gSP_KalZeit,FALSE),""))</f>
        <v/>
      </c>
      <c r="I3" s="611">
        <f t="shared" ref="I3:I32" si="5">IF(MONTH(DATE(YEAR(I$2),MONTH(I$2),$A3))=MONTH(I$2),VLOOKUP(DATE(YEAR(I$2),MONTH(I$2),$A3),db_Jahr,gSP_KalTyp,FALSE),"")</f>
        <v>0</v>
      </c>
      <c r="J3" s="137" t="str">
        <f t="shared" ref="J3:J33" si="6">IF(OR(ISERROR(K3),K3=""),"-",IF(OR(K3=K_ArbeitNormal,K3=K_ArbeitOverTime,K3=K_ArbeitOverMax),VLOOKUP(DATE(YEAR(K$2),MONTH(K$2),$A3),db_Jahr,gSP_KalZeit,FALSE),""))</f>
        <v/>
      </c>
      <c r="K3" s="138">
        <f t="shared" ref="K3:K32" si="7">IF(MONTH(DATE(YEAR(K$2),MONTH(K$2),$A3))=MONTH(K$2),VLOOKUP(DATE(YEAR(K$2),MONTH(K$2),$A3),db_Jahr,gSP_KalTyp,FALSE),"")</f>
        <v>8</v>
      </c>
      <c r="L3" s="137" t="str">
        <f t="shared" ref="L3:L33" si="8">IF(OR(ISERROR(M3),M3=""),"-",IF(OR(M3=K_ArbeitNormal,M3=K_ArbeitOverTime,M3=K_ArbeitOverMax),VLOOKUP(DATE(YEAR(M$2),MONTH(M$2),$A3),db_Jahr,gSP_KalZeit,FALSE),""))</f>
        <v/>
      </c>
      <c r="M3" s="138">
        <f t="shared" ref="M3:M32" si="9">IF(MONTH(DATE(YEAR(M$2),MONTH(M$2),$A3))=MONTH(M$2),VLOOKUP(DATE(YEAR(M$2),MONTH(M$2),$A3),db_Jahr,gSP_KalTyp,FALSE),"")</f>
        <v>8</v>
      </c>
      <c r="N3" s="612" t="str">
        <f t="shared" ref="N3:N33" si="10">IF(OR(ISERROR(O3),O3=""),"-",IF(OR(O3=K_ArbeitNormal,O3=K_ArbeitOverTime,O3=K_ArbeitOverMax),VLOOKUP(DATE(YEAR(O$2),MONTH(O$2),$A3),db_Jahr,gSP_KalZeit,FALSE),""))</f>
        <v/>
      </c>
      <c r="O3" s="665">
        <f t="shared" ref="O3:O32" si="11">IF(MONTH(DATE(YEAR(O$2),MONTH(O$2),$A3))=MONTH(O$2),VLOOKUP(DATE(YEAR(O$2),MONTH(O$2),$A3),db_Jahr,gSP_KalTyp,FALSE),"")</f>
        <v>0</v>
      </c>
      <c r="P3" s="673" t="str">
        <f t="shared" ref="P3:P33" si="12">IF(OR(ISERROR(Q3),Q3=""),"-",IF(OR(Q3=K_ArbeitNormal,Q3=K_ArbeitOverTime,Q3=K_ArbeitOverMax),VLOOKUP(DATE(YEAR(Q$2),MONTH(Q$2),$A3),db_Jahr,gSP_KalZeit,FALSE),""))</f>
        <v/>
      </c>
      <c r="Q3" s="565">
        <f t="shared" ref="Q3:Q32" si="13">IF(MONTH(DATE(YEAR(Q$2),MONTH(Q$2),$A3))=MONTH(Q$2),VLOOKUP(DATE(YEAR(Q$2),MONTH(Q$2),$A3),db_Jahr,gSP_KalTyp,FALSE),"")</f>
        <v>7</v>
      </c>
      <c r="R3" s="675" t="str">
        <f t="shared" ref="R3:R33" si="14">IF(OR(ISERROR(S3),S3=""),"-",IF(OR(S3=K_ArbeitNormal,S3=K_ArbeitOverTime,S3=K_ArbeitOverMax),VLOOKUP(DATE(YEAR(S$2),MONTH(S$2),$A3),db_Jahr,gSP_KalZeit,FALSE),""))</f>
        <v/>
      </c>
      <c r="S3" s="610">
        <f t="shared" ref="S3:S32" si="15">IF(MONTH(DATE(YEAR(S$2),MONTH(S$2),$A3))=MONTH(S$2),VLOOKUP(DATE(YEAR(S$2),MONTH(S$2),$A3),db_Jahr,gSP_KalTyp,FALSE),"")</f>
        <v>0</v>
      </c>
      <c r="T3" s="612" t="str">
        <f t="shared" ref="T3:T33" si="16">IF(OR(ISERROR(U3),U3=""),"-",IF(OR(U3=K_ArbeitNormal,U3=K_ArbeitOverTime,U3=K_ArbeitOverMax),VLOOKUP(DATE(YEAR(U$2),MONTH(U$2),$A3),db_Jahr,gSP_KalZeit,FALSE),""))</f>
        <v/>
      </c>
      <c r="U3" s="611">
        <f t="shared" ref="U3:U32" si="17">IF(MONTH(DATE(YEAR(U$2),MONTH(U$2),$A3))=MONTH(U$2),VLOOKUP(DATE(YEAR(U$2),MONTH(U$2),$A3),db_Jahr,gSP_KalTyp,FALSE),"")</f>
        <v>0</v>
      </c>
      <c r="V3" s="137" t="str">
        <f t="shared" ref="V3:V33" si="18">IF(OR(ISERROR(W3),W3=""),"-",IF(OR(W3=K_ArbeitNormal,W3=K_ArbeitOverTime,W3=K_ArbeitOverMax),VLOOKUP(DATE(YEAR(W$2),MONTH(W$2),$A3),db_Jahr,gSP_KalZeit,FALSE),""))</f>
        <v/>
      </c>
      <c r="W3" s="138">
        <f t="shared" ref="W3:W32" si="19">IF(MONTH(DATE(YEAR(W$2),MONTH(W$2),$A3))=MONTH(W$2),VLOOKUP(DATE(YEAR(W$2),MONTH(W$2),$A3),db_Jahr,gSP_KalTyp,FALSE),"")</f>
        <v>8</v>
      </c>
      <c r="X3" s="612" t="str">
        <f t="shared" ref="X3:X33" si="20">IF(OR(ISERROR(Y3),Y3=""),"-",IF(OR(Y3=K_ArbeitNormal,Y3=K_ArbeitOverTime,Y3=K_ArbeitOverMax),VLOOKUP(DATE(YEAR(Y$2),MONTH(Y$2),$A3),db_Jahr,gSP_KalZeit,FALSE),""))</f>
        <v/>
      </c>
      <c r="Y3" s="611">
        <f t="shared" ref="Y3:Y32" si="21">IF(MONTH(DATE(YEAR(Y$2),MONTH(Y$2),$A3))=MONTH(Y$2),VLOOKUP(DATE(YEAR(Y$2),MONTH(Y$2),$A3),db_Jahr,gSP_KalTyp,FALSE),"")</f>
        <v>0</v>
      </c>
    </row>
    <row r="4" spans="1:27" s="49" customFormat="1" ht="11.25">
      <c r="A4" s="50">
        <f t="shared" ref="A4:A33" si="22">A3+1</f>
        <v>2</v>
      </c>
      <c r="B4" s="614" t="str">
        <f t="shared" si="0"/>
        <v/>
      </c>
      <c r="C4" s="610">
        <f t="shared" si="1"/>
        <v>0</v>
      </c>
      <c r="D4" s="139" t="str">
        <f t="shared" si="2"/>
        <v/>
      </c>
      <c r="E4" s="140">
        <f t="shared" si="1"/>
        <v>7</v>
      </c>
      <c r="F4" s="612" t="str">
        <f t="shared" si="3"/>
        <v/>
      </c>
      <c r="G4" s="611">
        <f t="shared" si="1"/>
        <v>0</v>
      </c>
      <c r="H4" s="612" t="str">
        <f t="shared" si="4"/>
        <v/>
      </c>
      <c r="I4" s="611">
        <f t="shared" si="5"/>
        <v>0</v>
      </c>
      <c r="J4" s="139" t="str">
        <f t="shared" si="6"/>
        <v/>
      </c>
      <c r="K4" s="140">
        <f t="shared" si="7"/>
        <v>7</v>
      </c>
      <c r="L4" s="612" t="str">
        <f t="shared" si="8"/>
        <v/>
      </c>
      <c r="M4" s="611">
        <f t="shared" si="9"/>
        <v>0</v>
      </c>
      <c r="N4" s="612" t="str">
        <f t="shared" si="10"/>
        <v/>
      </c>
      <c r="O4" s="665">
        <f t="shared" si="11"/>
        <v>0</v>
      </c>
      <c r="P4" s="563" t="str">
        <f t="shared" si="12"/>
        <v/>
      </c>
      <c r="Q4" s="565">
        <f t="shared" si="13"/>
        <v>7</v>
      </c>
      <c r="R4" s="676" t="str">
        <f t="shared" si="14"/>
        <v/>
      </c>
      <c r="S4" s="610">
        <f t="shared" si="15"/>
        <v>0</v>
      </c>
      <c r="T4" s="612" t="str">
        <f t="shared" si="16"/>
        <v/>
      </c>
      <c r="U4" s="611">
        <f t="shared" si="17"/>
        <v>0</v>
      </c>
      <c r="V4" s="612" t="str">
        <f t="shared" si="18"/>
        <v/>
      </c>
      <c r="W4" s="611">
        <f t="shared" si="19"/>
        <v>0</v>
      </c>
      <c r="X4" s="612" t="str">
        <f t="shared" si="20"/>
        <v/>
      </c>
      <c r="Y4" s="611">
        <f t="shared" si="21"/>
        <v>0</v>
      </c>
      <c r="AA4" s="186" t="s">
        <v>97</v>
      </c>
    </row>
    <row r="5" spans="1:27" s="49" customFormat="1" ht="12" thickBot="1">
      <c r="A5" s="50">
        <f t="shared" si="22"/>
        <v>3</v>
      </c>
      <c r="B5" s="614" t="str">
        <f t="shared" si="0"/>
        <v/>
      </c>
      <c r="C5" s="610">
        <f t="shared" si="1"/>
        <v>0</v>
      </c>
      <c r="D5" s="612" t="str">
        <f t="shared" si="2"/>
        <v/>
      </c>
      <c r="E5" s="611">
        <f t="shared" si="1"/>
        <v>0</v>
      </c>
      <c r="F5" s="666" t="str">
        <f t="shared" si="3"/>
        <v/>
      </c>
      <c r="G5" s="611">
        <f t="shared" si="1"/>
        <v>0</v>
      </c>
      <c r="H5" s="612" t="str">
        <f t="shared" si="4"/>
        <v/>
      </c>
      <c r="I5" s="611">
        <f t="shared" si="5"/>
        <v>0</v>
      </c>
      <c r="J5" s="139" t="str">
        <f t="shared" si="6"/>
        <v/>
      </c>
      <c r="K5" s="140">
        <f t="shared" si="7"/>
        <v>7</v>
      </c>
      <c r="L5" s="612" t="str">
        <f t="shared" si="8"/>
        <v/>
      </c>
      <c r="M5" s="611">
        <f t="shared" si="9"/>
        <v>0</v>
      </c>
      <c r="N5" s="612" t="str">
        <f t="shared" si="10"/>
        <v/>
      </c>
      <c r="O5" s="665">
        <f t="shared" si="11"/>
        <v>0</v>
      </c>
      <c r="P5" s="671" t="str">
        <f t="shared" si="12"/>
        <v/>
      </c>
      <c r="Q5" s="670">
        <f t="shared" si="13"/>
        <v>0</v>
      </c>
      <c r="R5" s="676" t="str">
        <f t="shared" si="14"/>
        <v/>
      </c>
      <c r="S5" s="610">
        <f t="shared" si="15"/>
        <v>0</v>
      </c>
      <c r="T5" s="137" t="str">
        <f t="shared" si="16"/>
        <v/>
      </c>
      <c r="U5" s="138">
        <f t="shared" si="17"/>
        <v>8</v>
      </c>
      <c r="V5" s="612" t="str">
        <f t="shared" si="18"/>
        <v/>
      </c>
      <c r="W5" s="611">
        <f t="shared" si="19"/>
        <v>0</v>
      </c>
      <c r="X5" s="612" t="str">
        <f t="shared" si="20"/>
        <v/>
      </c>
      <c r="Y5" s="611">
        <f t="shared" si="21"/>
        <v>0</v>
      </c>
      <c r="AA5" s="334" t="str">
        <f>B_PersonName</f>
        <v>Mustermann</v>
      </c>
    </row>
    <row r="6" spans="1:27" s="49" customFormat="1" ht="11.25">
      <c r="A6" s="50">
        <f t="shared" si="22"/>
        <v>4</v>
      </c>
      <c r="B6" s="562" t="str">
        <f t="shared" si="0"/>
        <v/>
      </c>
      <c r="C6" s="536">
        <f t="shared" si="1"/>
        <v>7</v>
      </c>
      <c r="D6" s="612" t="str">
        <f t="shared" si="2"/>
        <v/>
      </c>
      <c r="E6" s="665">
        <f t="shared" si="1"/>
        <v>0</v>
      </c>
      <c r="F6" s="613" t="str">
        <f t="shared" si="3"/>
        <v/>
      </c>
      <c r="G6" s="610">
        <f t="shared" si="1"/>
        <v>0</v>
      </c>
      <c r="H6" s="139" t="str">
        <f t="shared" si="4"/>
        <v/>
      </c>
      <c r="I6" s="140">
        <f t="shared" si="5"/>
        <v>7</v>
      </c>
      <c r="J6" s="612" t="str">
        <f t="shared" si="6"/>
        <v/>
      </c>
      <c r="K6" s="611">
        <f t="shared" si="7"/>
        <v>0</v>
      </c>
      <c r="L6" s="612" t="str">
        <f t="shared" si="8"/>
        <v/>
      </c>
      <c r="M6" s="611">
        <f t="shared" si="9"/>
        <v>0</v>
      </c>
      <c r="N6" s="139" t="str">
        <f t="shared" si="10"/>
        <v/>
      </c>
      <c r="O6" s="535">
        <f t="shared" si="11"/>
        <v>7</v>
      </c>
      <c r="P6" s="671" t="str">
        <f t="shared" si="12"/>
        <v/>
      </c>
      <c r="Q6" s="670">
        <f t="shared" si="13"/>
        <v>0</v>
      </c>
      <c r="R6" s="676" t="str">
        <f t="shared" si="14"/>
        <v/>
      </c>
      <c r="S6" s="610">
        <f t="shared" si="15"/>
        <v>0</v>
      </c>
      <c r="T6" s="139" t="str">
        <f t="shared" si="16"/>
        <v/>
      </c>
      <c r="U6" s="140">
        <f t="shared" si="17"/>
        <v>7</v>
      </c>
      <c r="V6" s="612" t="str">
        <f t="shared" si="18"/>
        <v/>
      </c>
      <c r="W6" s="611">
        <f t="shared" si="19"/>
        <v>0</v>
      </c>
      <c r="X6" s="612" t="str">
        <f t="shared" si="20"/>
        <v/>
      </c>
      <c r="Y6" s="611">
        <f t="shared" si="21"/>
        <v>0</v>
      </c>
    </row>
    <row r="7" spans="1:27" s="49" customFormat="1" ht="12" thickBot="1">
      <c r="A7" s="50">
        <f t="shared" si="22"/>
        <v>5</v>
      </c>
      <c r="B7" s="537" t="str">
        <f t="shared" si="0"/>
        <v/>
      </c>
      <c r="C7" s="536">
        <f t="shared" si="1"/>
        <v>7</v>
      </c>
      <c r="D7" s="612" t="str">
        <f t="shared" si="2"/>
        <v/>
      </c>
      <c r="E7" s="665">
        <f t="shared" si="1"/>
        <v>0</v>
      </c>
      <c r="F7" s="614" t="str">
        <f t="shared" si="3"/>
        <v/>
      </c>
      <c r="G7" s="610">
        <f t="shared" si="1"/>
        <v>0</v>
      </c>
      <c r="H7" s="139" t="str">
        <f t="shared" si="4"/>
        <v/>
      </c>
      <c r="I7" s="140">
        <f t="shared" si="5"/>
        <v>7</v>
      </c>
      <c r="J7" s="612" t="str">
        <f t="shared" si="6"/>
        <v/>
      </c>
      <c r="K7" s="611">
        <f t="shared" si="7"/>
        <v>0</v>
      </c>
      <c r="L7" s="612" t="str">
        <f t="shared" si="8"/>
        <v/>
      </c>
      <c r="M7" s="611">
        <f t="shared" si="9"/>
        <v>0</v>
      </c>
      <c r="N7" s="139" t="str">
        <f t="shared" si="10"/>
        <v/>
      </c>
      <c r="O7" s="535">
        <f t="shared" si="11"/>
        <v>7</v>
      </c>
      <c r="P7" s="671" t="str">
        <f t="shared" si="12"/>
        <v/>
      </c>
      <c r="Q7" s="670">
        <f t="shared" si="13"/>
        <v>0</v>
      </c>
      <c r="R7" s="564" t="str">
        <f t="shared" si="14"/>
        <v/>
      </c>
      <c r="S7" s="536">
        <f t="shared" si="15"/>
        <v>7</v>
      </c>
      <c r="T7" s="612" t="str">
        <f t="shared" si="16"/>
        <v/>
      </c>
      <c r="U7" s="611">
        <f t="shared" si="17"/>
        <v>0</v>
      </c>
      <c r="V7" s="612" t="str">
        <f t="shared" si="18"/>
        <v/>
      </c>
      <c r="W7" s="611">
        <f t="shared" si="19"/>
        <v>0</v>
      </c>
      <c r="X7" s="139" t="str">
        <f t="shared" si="20"/>
        <v/>
      </c>
      <c r="Y7" s="140">
        <f t="shared" si="21"/>
        <v>7</v>
      </c>
      <c r="AA7" s="186" t="s">
        <v>98</v>
      </c>
    </row>
    <row r="8" spans="1:27" s="49" customFormat="1" ht="11.25">
      <c r="A8" s="50">
        <f t="shared" si="22"/>
        <v>6</v>
      </c>
      <c r="B8" s="600" t="str">
        <f t="shared" si="0"/>
        <v/>
      </c>
      <c r="C8" s="138">
        <f t="shared" si="1"/>
        <v>8</v>
      </c>
      <c r="D8" s="612" t="str">
        <f t="shared" si="2"/>
        <v/>
      </c>
      <c r="E8" s="665">
        <f t="shared" si="1"/>
        <v>0</v>
      </c>
      <c r="F8" s="614" t="str">
        <f t="shared" si="3"/>
        <v/>
      </c>
      <c r="G8" s="610">
        <f t="shared" si="1"/>
        <v>0</v>
      </c>
      <c r="H8" s="612" t="str">
        <f t="shared" si="4"/>
        <v/>
      </c>
      <c r="I8" s="611">
        <f t="shared" si="5"/>
        <v>0</v>
      </c>
      <c r="J8" s="612" t="str">
        <f t="shared" si="6"/>
        <v/>
      </c>
      <c r="K8" s="611">
        <f t="shared" si="7"/>
        <v>0</v>
      </c>
      <c r="L8" s="139" t="str">
        <f t="shared" si="8"/>
        <v/>
      </c>
      <c r="M8" s="140">
        <f t="shared" si="9"/>
        <v>7</v>
      </c>
      <c r="N8" s="612" t="str">
        <f t="shared" si="10"/>
        <v/>
      </c>
      <c r="O8" s="665">
        <f t="shared" si="11"/>
        <v>0</v>
      </c>
      <c r="P8" s="671" t="str">
        <f t="shared" si="12"/>
        <v/>
      </c>
      <c r="Q8" s="670">
        <f t="shared" si="13"/>
        <v>0</v>
      </c>
      <c r="R8" s="564" t="str">
        <f t="shared" si="14"/>
        <v/>
      </c>
      <c r="S8" s="536">
        <f t="shared" si="15"/>
        <v>7</v>
      </c>
      <c r="T8" s="612" t="str">
        <f t="shared" si="16"/>
        <v/>
      </c>
      <c r="U8" s="611">
        <f t="shared" si="17"/>
        <v>0</v>
      </c>
      <c r="V8" s="612" t="str">
        <f t="shared" si="18"/>
        <v/>
      </c>
      <c r="W8" s="611">
        <f t="shared" si="19"/>
        <v>0</v>
      </c>
      <c r="X8" s="139" t="str">
        <f t="shared" si="20"/>
        <v/>
      </c>
      <c r="Y8" s="140">
        <f t="shared" si="21"/>
        <v>7</v>
      </c>
      <c r="AA8" s="49" t="str">
        <f>B_Department</f>
        <v>Siemens</v>
      </c>
    </row>
    <row r="9" spans="1:27" s="49" customFormat="1" ht="11.25">
      <c r="A9" s="50">
        <f t="shared" si="22"/>
        <v>7</v>
      </c>
      <c r="B9" s="612" t="str">
        <f t="shared" si="0"/>
        <v/>
      </c>
      <c r="C9" s="611">
        <f t="shared" si="1"/>
        <v>0</v>
      </c>
      <c r="D9" s="612" t="str">
        <f t="shared" si="2"/>
        <v/>
      </c>
      <c r="E9" s="665">
        <f t="shared" si="1"/>
        <v>0</v>
      </c>
      <c r="F9" s="562" t="str">
        <f t="shared" si="3"/>
        <v/>
      </c>
      <c r="G9" s="536">
        <f t="shared" si="1"/>
        <v>7</v>
      </c>
      <c r="H9" s="612" t="str">
        <f t="shared" si="4"/>
        <v/>
      </c>
      <c r="I9" s="611">
        <f t="shared" si="5"/>
        <v>0</v>
      </c>
      <c r="J9" s="612" t="str">
        <f t="shared" si="6"/>
        <v/>
      </c>
      <c r="K9" s="611">
        <f t="shared" si="7"/>
        <v>0</v>
      </c>
      <c r="L9" s="139" t="str">
        <f t="shared" si="8"/>
        <v/>
      </c>
      <c r="M9" s="140">
        <f t="shared" si="9"/>
        <v>7</v>
      </c>
      <c r="N9" s="612" t="str">
        <f t="shared" si="10"/>
        <v/>
      </c>
      <c r="O9" s="665">
        <f t="shared" si="11"/>
        <v>0</v>
      </c>
      <c r="P9" s="671" t="str">
        <f t="shared" si="12"/>
        <v/>
      </c>
      <c r="Q9" s="670">
        <f t="shared" si="13"/>
        <v>0</v>
      </c>
      <c r="R9" s="676" t="str">
        <f t="shared" si="14"/>
        <v/>
      </c>
      <c r="S9" s="610">
        <f t="shared" si="15"/>
        <v>0</v>
      </c>
      <c r="T9" s="612" t="str">
        <f t="shared" si="16"/>
        <v/>
      </c>
      <c r="U9" s="611">
        <f t="shared" si="17"/>
        <v>0</v>
      </c>
      <c r="V9" s="139" t="str">
        <f t="shared" si="18"/>
        <v/>
      </c>
      <c r="W9" s="140">
        <f t="shared" si="19"/>
        <v>7</v>
      </c>
      <c r="X9" s="612" t="str">
        <f t="shared" si="20"/>
        <v/>
      </c>
      <c r="Y9" s="611">
        <f t="shared" si="21"/>
        <v>0</v>
      </c>
    </row>
    <row r="10" spans="1:27" s="49" customFormat="1" ht="12" thickBot="1">
      <c r="A10" s="50">
        <f t="shared" si="22"/>
        <v>8</v>
      </c>
      <c r="B10" s="612" t="str">
        <f t="shared" ref="B10:B33" si="23">IF(OR(ISERROR(C10),C10=""),"-",IF(OR(C10=K_ArbeitNormal,C10=K_ArbeitOverTime,C10=K_ArbeitOverMax),VLOOKUP(DATE(YEAR(C$2),MONTH(C$2),$A10),db_Jahr,gSP_KalZeit,FALSE),""))</f>
        <v/>
      </c>
      <c r="C10" s="611">
        <f t="shared" si="1"/>
        <v>0</v>
      </c>
      <c r="D10" s="139" t="str">
        <f t="shared" si="2"/>
        <v/>
      </c>
      <c r="E10" s="535">
        <f t="shared" si="1"/>
        <v>7</v>
      </c>
      <c r="F10" s="537" t="str">
        <f t="shared" si="3"/>
        <v/>
      </c>
      <c r="G10" s="536">
        <f t="shared" si="1"/>
        <v>7</v>
      </c>
      <c r="H10" s="612" t="str">
        <f t="shared" si="4"/>
        <v/>
      </c>
      <c r="I10" s="611">
        <f t="shared" si="5"/>
        <v>0</v>
      </c>
      <c r="J10" s="612" t="str">
        <f t="shared" si="6"/>
        <v/>
      </c>
      <c r="K10" s="611">
        <f t="shared" si="7"/>
        <v>0</v>
      </c>
      <c r="L10" s="612" t="str">
        <f t="shared" si="8"/>
        <v/>
      </c>
      <c r="M10" s="611">
        <f t="shared" si="9"/>
        <v>0</v>
      </c>
      <c r="N10" s="612" t="str">
        <f t="shared" si="10"/>
        <v/>
      </c>
      <c r="O10" s="665">
        <f t="shared" si="11"/>
        <v>0</v>
      </c>
      <c r="P10" s="563" t="str">
        <f t="shared" si="12"/>
        <v/>
      </c>
      <c r="Q10" s="565">
        <f t="shared" si="13"/>
        <v>7</v>
      </c>
      <c r="R10" s="676" t="str">
        <f t="shared" si="14"/>
        <v/>
      </c>
      <c r="S10" s="610">
        <f t="shared" si="15"/>
        <v>0</v>
      </c>
      <c r="T10" s="612" t="str">
        <f t="shared" si="16"/>
        <v/>
      </c>
      <c r="U10" s="611">
        <f t="shared" si="17"/>
        <v>0</v>
      </c>
      <c r="V10" s="139" t="str">
        <f t="shared" si="18"/>
        <v/>
      </c>
      <c r="W10" s="140">
        <f t="shared" si="19"/>
        <v>7</v>
      </c>
      <c r="X10" s="612" t="str">
        <f t="shared" si="20"/>
        <v/>
      </c>
      <c r="Y10" s="611">
        <f t="shared" si="21"/>
        <v>0</v>
      </c>
    </row>
    <row r="11" spans="1:27" s="49" customFormat="1" ht="12" thickBot="1">
      <c r="A11" s="50">
        <f t="shared" si="22"/>
        <v>9</v>
      </c>
      <c r="B11" s="612" t="str">
        <f t="shared" si="23"/>
        <v/>
      </c>
      <c r="C11" s="611">
        <f t="shared" si="1"/>
        <v>0</v>
      </c>
      <c r="D11" s="139" t="str">
        <f t="shared" si="2"/>
        <v/>
      </c>
      <c r="E11" s="140">
        <f t="shared" si="1"/>
        <v>7</v>
      </c>
      <c r="F11" s="667" t="str">
        <f t="shared" si="3"/>
        <v/>
      </c>
      <c r="G11" s="611">
        <f t="shared" si="1"/>
        <v>0</v>
      </c>
      <c r="H11" s="612" t="str">
        <f t="shared" si="4"/>
        <v/>
      </c>
      <c r="I11" s="611">
        <f t="shared" si="5"/>
        <v>0</v>
      </c>
      <c r="J11" s="139" t="str">
        <f t="shared" si="6"/>
        <v/>
      </c>
      <c r="K11" s="140">
        <f t="shared" si="7"/>
        <v>7</v>
      </c>
      <c r="L11" s="612" t="str">
        <f t="shared" si="8"/>
        <v/>
      </c>
      <c r="M11" s="611">
        <f t="shared" si="9"/>
        <v>0</v>
      </c>
      <c r="N11" s="612" t="str">
        <f t="shared" si="10"/>
        <v/>
      </c>
      <c r="O11" s="665">
        <f t="shared" si="11"/>
        <v>0</v>
      </c>
      <c r="P11" s="563" t="str">
        <f t="shared" si="12"/>
        <v/>
      </c>
      <c r="Q11" s="565">
        <f t="shared" si="13"/>
        <v>7</v>
      </c>
      <c r="R11" s="674" t="str">
        <f t="shared" si="14"/>
        <v/>
      </c>
      <c r="S11" s="610">
        <f t="shared" si="15"/>
        <v>0</v>
      </c>
      <c r="T11" s="612" t="str">
        <f t="shared" si="16"/>
        <v/>
      </c>
      <c r="U11" s="611">
        <f t="shared" si="17"/>
        <v>0</v>
      </c>
      <c r="V11" s="612" t="str">
        <f t="shared" si="18"/>
        <v/>
      </c>
      <c r="W11" s="611">
        <f t="shared" si="19"/>
        <v>0</v>
      </c>
      <c r="X11" s="612" t="str">
        <f t="shared" si="20"/>
        <v/>
      </c>
      <c r="Y11" s="611">
        <f t="shared" si="21"/>
        <v>0</v>
      </c>
      <c r="AA11" s="130" t="s">
        <v>44</v>
      </c>
    </row>
    <row r="12" spans="1:27" s="49" customFormat="1" ht="12" thickBot="1">
      <c r="A12" s="50">
        <f t="shared" si="22"/>
        <v>10</v>
      </c>
      <c r="B12" s="612" t="str">
        <f t="shared" si="23"/>
        <v/>
      </c>
      <c r="C12" s="611">
        <f t="shared" si="1"/>
        <v>0</v>
      </c>
      <c r="D12" s="612" t="str">
        <f t="shared" si="2"/>
        <v/>
      </c>
      <c r="E12" s="611">
        <f t="shared" si="1"/>
        <v>0</v>
      </c>
      <c r="F12" s="612" t="str">
        <f t="shared" si="3"/>
        <v/>
      </c>
      <c r="G12" s="611">
        <f t="shared" si="1"/>
        <v>0</v>
      </c>
      <c r="H12" s="137" t="str">
        <f t="shared" si="4"/>
        <v/>
      </c>
      <c r="I12" s="138">
        <f t="shared" si="5"/>
        <v>8</v>
      </c>
      <c r="J12" s="139" t="str">
        <f t="shared" si="6"/>
        <v/>
      </c>
      <c r="K12" s="140">
        <f t="shared" si="7"/>
        <v>7</v>
      </c>
      <c r="L12" s="666" t="str">
        <f t="shared" si="8"/>
        <v/>
      </c>
      <c r="M12" s="611">
        <f t="shared" si="9"/>
        <v>0</v>
      </c>
      <c r="N12" s="612" t="str">
        <f t="shared" si="10"/>
        <v/>
      </c>
      <c r="O12" s="665">
        <f t="shared" si="11"/>
        <v>0</v>
      </c>
      <c r="P12" s="614" t="str">
        <f t="shared" si="12"/>
        <v/>
      </c>
      <c r="Q12" s="610">
        <f t="shared" si="13"/>
        <v>0</v>
      </c>
      <c r="R12" s="667" t="str">
        <f t="shared" si="14"/>
        <v/>
      </c>
      <c r="S12" s="611">
        <f t="shared" si="15"/>
        <v>0</v>
      </c>
      <c r="T12" s="139" t="str">
        <f t="shared" si="16"/>
        <v/>
      </c>
      <c r="U12" s="140">
        <f t="shared" si="17"/>
        <v>7</v>
      </c>
      <c r="V12" s="612" t="str">
        <f t="shared" si="18"/>
        <v/>
      </c>
      <c r="W12" s="611">
        <f t="shared" si="19"/>
        <v>0</v>
      </c>
      <c r="X12" s="612" t="str">
        <f t="shared" si="20"/>
        <v/>
      </c>
      <c r="Y12" s="611">
        <f t="shared" si="21"/>
        <v>0</v>
      </c>
    </row>
    <row r="13" spans="1:27" s="49" customFormat="1" ht="11.25">
      <c r="A13" s="50">
        <f t="shared" si="22"/>
        <v>11</v>
      </c>
      <c r="B13" s="139" t="str">
        <f t="shared" si="23"/>
        <v/>
      </c>
      <c r="C13" s="140">
        <f t="shared" si="1"/>
        <v>7</v>
      </c>
      <c r="D13" s="612" t="str">
        <f t="shared" si="2"/>
        <v/>
      </c>
      <c r="E13" s="611">
        <f t="shared" si="1"/>
        <v>0</v>
      </c>
      <c r="F13" s="612" t="str">
        <f t="shared" si="3"/>
        <v/>
      </c>
      <c r="G13" s="611">
        <f t="shared" si="1"/>
        <v>0</v>
      </c>
      <c r="H13" s="139" t="str">
        <f t="shared" si="4"/>
        <v/>
      </c>
      <c r="I13" s="140">
        <f t="shared" si="5"/>
        <v>7</v>
      </c>
      <c r="J13" s="612" t="str">
        <f t="shared" si="6"/>
        <v/>
      </c>
      <c r="K13" s="665">
        <f t="shared" si="7"/>
        <v>0</v>
      </c>
      <c r="L13" s="560" t="str">
        <f t="shared" si="8"/>
        <v/>
      </c>
      <c r="M13" s="538">
        <f t="shared" si="9"/>
        <v>8</v>
      </c>
      <c r="N13" s="139" t="str">
        <f t="shared" si="10"/>
        <v/>
      </c>
      <c r="O13" s="535">
        <f t="shared" si="11"/>
        <v>7</v>
      </c>
      <c r="P13" s="614" t="str">
        <f t="shared" si="12"/>
        <v/>
      </c>
      <c r="Q13" s="610">
        <f t="shared" si="13"/>
        <v>0</v>
      </c>
      <c r="R13" s="612" t="str">
        <f t="shared" si="14"/>
        <v/>
      </c>
      <c r="S13" s="611">
        <f t="shared" si="15"/>
        <v>0</v>
      </c>
      <c r="T13" s="139" t="str">
        <f t="shared" si="16"/>
        <v/>
      </c>
      <c r="U13" s="140">
        <f t="shared" si="17"/>
        <v>7</v>
      </c>
      <c r="V13" s="612" t="str">
        <f t="shared" si="18"/>
        <v/>
      </c>
      <c r="W13" s="611">
        <f t="shared" si="19"/>
        <v>0</v>
      </c>
      <c r="X13" s="612" t="str">
        <f t="shared" si="20"/>
        <v/>
      </c>
      <c r="Y13" s="611">
        <f t="shared" si="21"/>
        <v>0</v>
      </c>
      <c r="AA13" s="131" t="s">
        <v>193</v>
      </c>
    </row>
    <row r="14" spans="1:27" s="49" customFormat="1" ht="11.25">
      <c r="A14" s="50">
        <f t="shared" si="22"/>
        <v>12</v>
      </c>
      <c r="B14" s="139" t="str">
        <f t="shared" si="23"/>
        <v/>
      </c>
      <c r="C14" s="140">
        <f t="shared" si="1"/>
        <v>7</v>
      </c>
      <c r="D14" s="612" t="str">
        <f t="shared" si="2"/>
        <v/>
      </c>
      <c r="E14" s="611">
        <f t="shared" si="1"/>
        <v>0</v>
      </c>
      <c r="F14" s="612" t="str">
        <f t="shared" si="3"/>
        <v/>
      </c>
      <c r="G14" s="611">
        <f t="shared" si="1"/>
        <v>0</v>
      </c>
      <c r="H14" s="137" t="str">
        <f t="shared" si="4"/>
        <v/>
      </c>
      <c r="I14" s="138">
        <f t="shared" si="5"/>
        <v>8</v>
      </c>
      <c r="J14" s="612" t="str">
        <f t="shared" si="6"/>
        <v/>
      </c>
      <c r="K14" s="665">
        <f t="shared" si="7"/>
        <v>0</v>
      </c>
      <c r="L14" s="614" t="str">
        <f t="shared" si="8"/>
        <v/>
      </c>
      <c r="M14" s="610">
        <f t="shared" si="9"/>
        <v>0</v>
      </c>
      <c r="N14" s="139" t="str">
        <f t="shared" si="10"/>
        <v/>
      </c>
      <c r="O14" s="535">
        <f t="shared" si="11"/>
        <v>7</v>
      </c>
      <c r="P14" s="614" t="str">
        <f t="shared" si="12"/>
        <v/>
      </c>
      <c r="Q14" s="610">
        <f t="shared" si="13"/>
        <v>0</v>
      </c>
      <c r="R14" s="139" t="str">
        <f t="shared" si="14"/>
        <v/>
      </c>
      <c r="S14" s="140">
        <f t="shared" si="15"/>
        <v>7</v>
      </c>
      <c r="T14" s="612" t="str">
        <f t="shared" si="16"/>
        <v/>
      </c>
      <c r="U14" s="611">
        <f t="shared" si="17"/>
        <v>0</v>
      </c>
      <c r="V14" s="612" t="str">
        <f t="shared" si="18"/>
        <v/>
      </c>
      <c r="W14" s="611">
        <f t="shared" si="19"/>
        <v>0</v>
      </c>
      <c r="X14" s="139" t="str">
        <f t="shared" si="20"/>
        <v/>
      </c>
      <c r="Y14" s="140">
        <f t="shared" si="21"/>
        <v>7</v>
      </c>
      <c r="AA14" s="132" t="s">
        <v>191</v>
      </c>
    </row>
    <row r="15" spans="1:27" s="49" customFormat="1" ht="11.25">
      <c r="A15" s="50">
        <f t="shared" si="22"/>
        <v>13</v>
      </c>
      <c r="B15" s="612" t="str">
        <f t="shared" si="23"/>
        <v/>
      </c>
      <c r="C15" s="611">
        <f t="shared" si="1"/>
        <v>0</v>
      </c>
      <c r="D15" s="612" t="str">
        <f t="shared" si="2"/>
        <v/>
      </c>
      <c r="E15" s="611">
        <f t="shared" si="1"/>
        <v>0</v>
      </c>
      <c r="F15" s="612" t="str">
        <f t="shared" si="3"/>
        <v/>
      </c>
      <c r="G15" s="611">
        <f t="shared" si="1"/>
        <v>0</v>
      </c>
      <c r="H15" s="137" t="str">
        <f t="shared" si="4"/>
        <v/>
      </c>
      <c r="I15" s="138">
        <f t="shared" si="5"/>
        <v>8</v>
      </c>
      <c r="J15" s="612" t="str">
        <f t="shared" si="6"/>
        <v/>
      </c>
      <c r="K15" s="665">
        <f t="shared" si="7"/>
        <v>0</v>
      </c>
      <c r="L15" s="562" t="str">
        <f t="shared" si="8"/>
        <v/>
      </c>
      <c r="M15" s="536">
        <f t="shared" si="9"/>
        <v>7</v>
      </c>
      <c r="N15" s="612" t="str">
        <f t="shared" si="10"/>
        <v/>
      </c>
      <c r="O15" s="665">
        <f t="shared" si="11"/>
        <v>0</v>
      </c>
      <c r="P15" s="614" t="str">
        <f t="shared" si="12"/>
        <v/>
      </c>
      <c r="Q15" s="610">
        <f t="shared" si="13"/>
        <v>0</v>
      </c>
      <c r="R15" s="139" t="str">
        <f t="shared" si="14"/>
        <v/>
      </c>
      <c r="S15" s="140">
        <f t="shared" si="15"/>
        <v>7</v>
      </c>
      <c r="T15" s="612" t="str">
        <f t="shared" si="16"/>
        <v/>
      </c>
      <c r="U15" s="611">
        <f t="shared" si="17"/>
        <v>0</v>
      </c>
      <c r="V15" s="612" t="str">
        <f t="shared" si="18"/>
        <v/>
      </c>
      <c r="W15" s="611">
        <f t="shared" si="19"/>
        <v>0</v>
      </c>
      <c r="X15" s="139" t="str">
        <f t="shared" si="20"/>
        <v/>
      </c>
      <c r="Y15" s="140">
        <f t="shared" si="21"/>
        <v>7</v>
      </c>
    </row>
    <row r="16" spans="1:27" s="49" customFormat="1" ht="12" thickBot="1">
      <c r="A16" s="50">
        <f t="shared" si="22"/>
        <v>14</v>
      </c>
      <c r="B16" s="612" t="str">
        <f t="shared" si="23"/>
        <v/>
      </c>
      <c r="C16" s="611">
        <f t="shared" si="1"/>
        <v>0</v>
      </c>
      <c r="D16" s="612" t="str">
        <f t="shared" si="2"/>
        <v/>
      </c>
      <c r="E16" s="611">
        <f t="shared" si="1"/>
        <v>0</v>
      </c>
      <c r="F16" s="139" t="str">
        <f t="shared" si="3"/>
        <v/>
      </c>
      <c r="G16" s="140">
        <f t="shared" si="1"/>
        <v>7</v>
      </c>
      <c r="H16" s="666" t="str">
        <f t="shared" si="4"/>
        <v/>
      </c>
      <c r="I16" s="611">
        <f t="shared" si="5"/>
        <v>0</v>
      </c>
      <c r="J16" s="612" t="str">
        <f t="shared" si="6"/>
        <v/>
      </c>
      <c r="K16" s="665">
        <f t="shared" si="7"/>
        <v>0</v>
      </c>
      <c r="L16" s="562" t="str">
        <f t="shared" si="8"/>
        <v/>
      </c>
      <c r="M16" s="536">
        <f t="shared" si="9"/>
        <v>7</v>
      </c>
      <c r="N16" s="612" t="str">
        <f t="shared" si="10"/>
        <v/>
      </c>
      <c r="O16" s="665">
        <f t="shared" si="11"/>
        <v>0</v>
      </c>
      <c r="P16" s="614" t="str">
        <f t="shared" si="12"/>
        <v/>
      </c>
      <c r="Q16" s="610">
        <f t="shared" si="13"/>
        <v>0</v>
      </c>
      <c r="R16" s="612" t="str">
        <f t="shared" si="14"/>
        <v/>
      </c>
      <c r="S16" s="611">
        <f t="shared" si="15"/>
        <v>0</v>
      </c>
      <c r="T16" s="612" t="str">
        <f t="shared" si="16"/>
        <v/>
      </c>
      <c r="U16" s="611">
        <f t="shared" si="17"/>
        <v>0</v>
      </c>
      <c r="V16" s="139" t="str">
        <f t="shared" si="18"/>
        <v/>
      </c>
      <c r="W16" s="140">
        <f t="shared" si="19"/>
        <v>7</v>
      </c>
      <c r="X16" s="612" t="str">
        <f t="shared" si="20"/>
        <v/>
      </c>
      <c r="Y16" s="611">
        <f t="shared" si="21"/>
        <v>0</v>
      </c>
      <c r="AA16" s="127" t="s">
        <v>45</v>
      </c>
    </row>
    <row r="17" spans="1:27" s="49" customFormat="1" ht="11.25">
      <c r="A17" s="50">
        <f t="shared" si="22"/>
        <v>15</v>
      </c>
      <c r="B17" s="612" t="str">
        <f t="shared" si="23"/>
        <v/>
      </c>
      <c r="C17" s="611">
        <f t="shared" si="1"/>
        <v>0</v>
      </c>
      <c r="D17" s="139" t="str">
        <f t="shared" si="2"/>
        <v/>
      </c>
      <c r="E17" s="140">
        <f t="shared" si="1"/>
        <v>7</v>
      </c>
      <c r="F17" s="139" t="str">
        <f t="shared" si="3"/>
        <v/>
      </c>
      <c r="G17" s="535">
        <f t="shared" si="1"/>
        <v>7</v>
      </c>
      <c r="H17" s="613" t="str">
        <f t="shared" si="4"/>
        <v/>
      </c>
      <c r="I17" s="610">
        <f t="shared" si="5"/>
        <v>0</v>
      </c>
      <c r="J17" s="612" t="str">
        <f t="shared" si="6"/>
        <v/>
      </c>
      <c r="K17" s="665">
        <f t="shared" si="7"/>
        <v>0</v>
      </c>
      <c r="L17" s="614" t="str">
        <f t="shared" si="8"/>
        <v/>
      </c>
      <c r="M17" s="610">
        <f t="shared" si="9"/>
        <v>0</v>
      </c>
      <c r="N17" s="612" t="str">
        <f t="shared" si="10"/>
        <v/>
      </c>
      <c r="O17" s="665">
        <f t="shared" si="11"/>
        <v>0</v>
      </c>
      <c r="P17" s="562" t="str">
        <f t="shared" si="12"/>
        <v/>
      </c>
      <c r="Q17" s="536">
        <f t="shared" si="13"/>
        <v>7</v>
      </c>
      <c r="R17" s="612" t="str">
        <f t="shared" si="14"/>
        <v/>
      </c>
      <c r="S17" s="611">
        <f t="shared" si="15"/>
        <v>0</v>
      </c>
      <c r="T17" s="612" t="str">
        <f t="shared" si="16"/>
        <v/>
      </c>
      <c r="U17" s="611">
        <f t="shared" si="17"/>
        <v>0</v>
      </c>
      <c r="V17" s="139" t="str">
        <f t="shared" si="18"/>
        <v/>
      </c>
      <c r="W17" s="140">
        <f t="shared" si="19"/>
        <v>7</v>
      </c>
      <c r="X17" s="612" t="str">
        <f t="shared" si="20"/>
        <v/>
      </c>
      <c r="Y17" s="611">
        <f t="shared" si="21"/>
        <v>0</v>
      </c>
      <c r="AA17" s="128" t="s">
        <v>47</v>
      </c>
    </row>
    <row r="18" spans="1:27" s="49" customFormat="1" ht="11.25">
      <c r="A18" s="50">
        <f t="shared" si="22"/>
        <v>16</v>
      </c>
      <c r="B18" s="612" t="str">
        <f t="shared" si="23"/>
        <v/>
      </c>
      <c r="C18" s="611">
        <f t="shared" si="1"/>
        <v>0</v>
      </c>
      <c r="D18" s="139" t="str">
        <f t="shared" si="2"/>
        <v/>
      </c>
      <c r="E18" s="140">
        <f t="shared" si="1"/>
        <v>7</v>
      </c>
      <c r="F18" s="612" t="str">
        <f t="shared" si="3"/>
        <v/>
      </c>
      <c r="G18" s="665">
        <f t="shared" si="1"/>
        <v>0</v>
      </c>
      <c r="H18" s="614" t="str">
        <f t="shared" si="4"/>
        <v/>
      </c>
      <c r="I18" s="610">
        <f t="shared" si="5"/>
        <v>0</v>
      </c>
      <c r="J18" s="139" t="str">
        <f t="shared" si="6"/>
        <v/>
      </c>
      <c r="K18" s="535">
        <f t="shared" si="7"/>
        <v>7</v>
      </c>
      <c r="L18" s="614" t="str">
        <f t="shared" si="8"/>
        <v/>
      </c>
      <c r="M18" s="610">
        <f t="shared" si="9"/>
        <v>0</v>
      </c>
      <c r="N18" s="612" t="str">
        <f t="shared" si="10"/>
        <v/>
      </c>
      <c r="O18" s="665">
        <f t="shared" si="11"/>
        <v>0</v>
      </c>
      <c r="P18" s="562" t="str">
        <f t="shared" si="12"/>
        <v/>
      </c>
      <c r="Q18" s="536">
        <f t="shared" si="13"/>
        <v>7</v>
      </c>
      <c r="R18" s="612" t="str">
        <f t="shared" si="14"/>
        <v/>
      </c>
      <c r="S18" s="611">
        <f t="shared" si="15"/>
        <v>0</v>
      </c>
      <c r="T18" s="612" t="str">
        <f t="shared" si="16"/>
        <v/>
      </c>
      <c r="U18" s="611">
        <f t="shared" si="17"/>
        <v>0</v>
      </c>
      <c r="V18" s="612" t="str">
        <f t="shared" si="18"/>
        <v/>
      </c>
      <c r="W18" s="611">
        <f t="shared" si="19"/>
        <v>0</v>
      </c>
      <c r="X18" s="612" t="str">
        <f t="shared" si="20"/>
        <v/>
      </c>
      <c r="Y18" s="611">
        <f t="shared" si="21"/>
        <v>0</v>
      </c>
      <c r="AA18" s="129" t="s">
        <v>46</v>
      </c>
    </row>
    <row r="19" spans="1:27" s="49" customFormat="1" ht="11.25">
      <c r="A19" s="50">
        <f t="shared" si="22"/>
        <v>17</v>
      </c>
      <c r="B19" s="612" t="str">
        <f t="shared" si="23"/>
        <v/>
      </c>
      <c r="C19" s="611">
        <f t="shared" si="1"/>
        <v>0</v>
      </c>
      <c r="D19" s="612" t="str">
        <f t="shared" si="2"/>
        <v/>
      </c>
      <c r="E19" s="611">
        <f t="shared" si="1"/>
        <v>0</v>
      </c>
      <c r="F19" s="612" t="str">
        <f t="shared" si="3"/>
        <v/>
      </c>
      <c r="G19" s="665">
        <f t="shared" si="1"/>
        <v>0</v>
      </c>
      <c r="H19" s="614" t="str">
        <f t="shared" si="4"/>
        <v/>
      </c>
      <c r="I19" s="610">
        <f t="shared" si="5"/>
        <v>0</v>
      </c>
      <c r="J19" s="139" t="str">
        <f t="shared" si="6"/>
        <v/>
      </c>
      <c r="K19" s="535">
        <f t="shared" si="7"/>
        <v>7</v>
      </c>
      <c r="L19" s="614" t="str">
        <f t="shared" si="8"/>
        <v/>
      </c>
      <c r="M19" s="610">
        <f t="shared" si="9"/>
        <v>0</v>
      </c>
      <c r="N19" s="612" t="str">
        <f t="shared" si="10"/>
        <v/>
      </c>
      <c r="O19" s="665">
        <f t="shared" si="11"/>
        <v>0</v>
      </c>
      <c r="P19" s="614" t="str">
        <f t="shared" si="12"/>
        <v/>
      </c>
      <c r="Q19" s="610">
        <f t="shared" si="13"/>
        <v>0</v>
      </c>
      <c r="R19" s="612" t="str">
        <f t="shared" si="14"/>
        <v/>
      </c>
      <c r="S19" s="611">
        <f t="shared" si="15"/>
        <v>0</v>
      </c>
      <c r="T19" s="139" t="str">
        <f t="shared" si="16"/>
        <v/>
      </c>
      <c r="U19" s="140">
        <f t="shared" si="17"/>
        <v>7</v>
      </c>
      <c r="V19" s="612" t="str">
        <f t="shared" si="18"/>
        <v/>
      </c>
      <c r="W19" s="611">
        <f t="shared" si="19"/>
        <v>0</v>
      </c>
      <c r="X19" s="612" t="str">
        <f t="shared" si="20"/>
        <v/>
      </c>
      <c r="Y19" s="611">
        <f t="shared" si="21"/>
        <v>0</v>
      </c>
    </row>
    <row r="20" spans="1:27" s="49" customFormat="1" ht="11.25">
      <c r="A20" s="50">
        <f t="shared" si="22"/>
        <v>18</v>
      </c>
      <c r="B20" s="139" t="str">
        <f t="shared" si="23"/>
        <v/>
      </c>
      <c r="C20" s="140">
        <f t="shared" si="1"/>
        <v>7</v>
      </c>
      <c r="D20" s="612" t="str">
        <f t="shared" si="2"/>
        <v/>
      </c>
      <c r="E20" s="611">
        <f t="shared" si="1"/>
        <v>0</v>
      </c>
      <c r="F20" s="612" t="str">
        <f t="shared" si="3"/>
        <v/>
      </c>
      <c r="G20" s="665">
        <f t="shared" si="1"/>
        <v>0</v>
      </c>
      <c r="H20" s="562" t="str">
        <f t="shared" si="4"/>
        <v/>
      </c>
      <c r="I20" s="536">
        <f t="shared" si="5"/>
        <v>7</v>
      </c>
      <c r="J20" s="612" t="str">
        <f t="shared" si="6"/>
        <v/>
      </c>
      <c r="K20" s="665">
        <f t="shared" si="7"/>
        <v>0</v>
      </c>
      <c r="L20" s="614" t="str">
        <f t="shared" si="8"/>
        <v/>
      </c>
      <c r="M20" s="610">
        <f t="shared" si="9"/>
        <v>0</v>
      </c>
      <c r="N20" s="139" t="str">
        <f t="shared" si="10"/>
        <v/>
      </c>
      <c r="O20" s="535">
        <f t="shared" si="11"/>
        <v>7</v>
      </c>
      <c r="P20" s="614" t="str">
        <f t="shared" si="12"/>
        <v/>
      </c>
      <c r="Q20" s="610">
        <f t="shared" si="13"/>
        <v>0</v>
      </c>
      <c r="R20" s="612" t="str">
        <f t="shared" si="14"/>
        <v/>
      </c>
      <c r="S20" s="611">
        <f t="shared" si="15"/>
        <v>0</v>
      </c>
      <c r="T20" s="139" t="str">
        <f t="shared" si="16"/>
        <v/>
      </c>
      <c r="U20" s="140">
        <f t="shared" si="17"/>
        <v>7</v>
      </c>
      <c r="V20" s="612" t="str">
        <f t="shared" si="18"/>
        <v/>
      </c>
      <c r="W20" s="611">
        <f t="shared" si="19"/>
        <v>0</v>
      </c>
      <c r="X20" s="612" t="str">
        <f t="shared" si="20"/>
        <v/>
      </c>
      <c r="Y20" s="611">
        <f t="shared" si="21"/>
        <v>0</v>
      </c>
      <c r="AA20" s="184" t="s">
        <v>20</v>
      </c>
    </row>
    <row r="21" spans="1:27" s="49" customFormat="1" ht="11.25">
      <c r="A21" s="50">
        <f t="shared" si="22"/>
        <v>19</v>
      </c>
      <c r="B21" s="139" t="str">
        <f t="shared" si="23"/>
        <v/>
      </c>
      <c r="C21" s="140">
        <f t="shared" si="1"/>
        <v>7</v>
      </c>
      <c r="D21" s="612" t="str">
        <f t="shared" si="2"/>
        <v/>
      </c>
      <c r="E21" s="611">
        <f t="shared" si="1"/>
        <v>0</v>
      </c>
      <c r="F21" s="612" t="str">
        <f t="shared" si="3"/>
        <v/>
      </c>
      <c r="G21" s="665">
        <f t="shared" si="1"/>
        <v>0</v>
      </c>
      <c r="H21" s="562" t="str">
        <f t="shared" si="4"/>
        <v/>
      </c>
      <c r="I21" s="536">
        <f t="shared" si="5"/>
        <v>7</v>
      </c>
      <c r="J21" s="612" t="str">
        <f t="shared" si="6"/>
        <v/>
      </c>
      <c r="K21" s="665">
        <f t="shared" si="7"/>
        <v>0</v>
      </c>
      <c r="L21" s="614" t="str">
        <f t="shared" si="8"/>
        <v/>
      </c>
      <c r="M21" s="610">
        <f t="shared" si="9"/>
        <v>0</v>
      </c>
      <c r="N21" s="139" t="str">
        <f t="shared" si="10"/>
        <v/>
      </c>
      <c r="O21" s="535">
        <f t="shared" si="11"/>
        <v>7</v>
      </c>
      <c r="P21" s="614" t="str">
        <f t="shared" si="12"/>
        <v/>
      </c>
      <c r="Q21" s="610">
        <f t="shared" si="13"/>
        <v>0</v>
      </c>
      <c r="R21" s="139" t="str">
        <f t="shared" si="14"/>
        <v/>
      </c>
      <c r="S21" s="140">
        <f t="shared" si="15"/>
        <v>7</v>
      </c>
      <c r="T21" s="612" t="str">
        <f t="shared" si="16"/>
        <v/>
      </c>
      <c r="U21" s="611">
        <f t="shared" si="17"/>
        <v>0</v>
      </c>
      <c r="V21" s="612" t="str">
        <f t="shared" si="18"/>
        <v/>
      </c>
      <c r="W21" s="611">
        <f t="shared" si="19"/>
        <v>0</v>
      </c>
      <c r="X21" s="139" t="str">
        <f t="shared" si="20"/>
        <v/>
      </c>
      <c r="Y21" s="140">
        <f t="shared" si="21"/>
        <v>7</v>
      </c>
      <c r="AA21" s="333" t="s">
        <v>116</v>
      </c>
    </row>
    <row r="22" spans="1:27" s="49" customFormat="1" ht="11.25">
      <c r="A22" s="50">
        <f t="shared" si="22"/>
        <v>20</v>
      </c>
      <c r="B22" s="612" t="str">
        <f t="shared" si="23"/>
        <v/>
      </c>
      <c r="C22" s="611">
        <f t="shared" si="1"/>
        <v>0</v>
      </c>
      <c r="D22" s="612" t="str">
        <f t="shared" si="2"/>
        <v/>
      </c>
      <c r="E22" s="611">
        <f t="shared" si="1"/>
        <v>0</v>
      </c>
      <c r="F22" s="612" t="str">
        <f t="shared" si="3"/>
        <v/>
      </c>
      <c r="G22" s="665">
        <f t="shared" si="1"/>
        <v>0</v>
      </c>
      <c r="H22" s="614" t="str">
        <f t="shared" si="4"/>
        <v/>
      </c>
      <c r="I22" s="610">
        <f t="shared" si="5"/>
        <v>0</v>
      </c>
      <c r="J22" s="612" t="str">
        <f t="shared" si="6"/>
        <v/>
      </c>
      <c r="K22" s="665">
        <f t="shared" si="7"/>
        <v>0</v>
      </c>
      <c r="L22" s="562" t="str">
        <f t="shared" si="8"/>
        <v/>
      </c>
      <c r="M22" s="536">
        <f t="shared" si="9"/>
        <v>7</v>
      </c>
      <c r="N22" s="612" t="str">
        <f t="shared" si="10"/>
        <v/>
      </c>
      <c r="O22" s="665">
        <f t="shared" si="11"/>
        <v>0</v>
      </c>
      <c r="P22" s="614" t="str">
        <f t="shared" si="12"/>
        <v/>
      </c>
      <c r="Q22" s="610">
        <f t="shared" si="13"/>
        <v>0</v>
      </c>
      <c r="R22" s="139" t="str">
        <f t="shared" si="14"/>
        <v/>
      </c>
      <c r="S22" s="140">
        <f t="shared" si="15"/>
        <v>7</v>
      </c>
      <c r="T22" s="612" t="str">
        <f t="shared" si="16"/>
        <v/>
      </c>
      <c r="U22" s="611">
        <f t="shared" si="17"/>
        <v>0</v>
      </c>
      <c r="V22" s="612" t="str">
        <f t="shared" si="18"/>
        <v/>
      </c>
      <c r="W22" s="611">
        <f t="shared" si="19"/>
        <v>0</v>
      </c>
      <c r="X22" s="139" t="str">
        <f t="shared" si="20"/>
        <v/>
      </c>
      <c r="Y22" s="140">
        <f t="shared" si="21"/>
        <v>7</v>
      </c>
      <c r="AA22" s="133" t="s">
        <v>117</v>
      </c>
    </row>
    <row r="23" spans="1:27" s="49" customFormat="1" ht="12" thickBot="1">
      <c r="A23" s="50">
        <f t="shared" si="22"/>
        <v>21</v>
      </c>
      <c r="B23" s="612" t="str">
        <f t="shared" si="23"/>
        <v/>
      </c>
      <c r="C23" s="611">
        <f t="shared" si="1"/>
        <v>0</v>
      </c>
      <c r="D23" s="612" t="str">
        <f t="shared" si="2"/>
        <v/>
      </c>
      <c r="E23" s="611">
        <f t="shared" si="1"/>
        <v>0</v>
      </c>
      <c r="F23" s="139" t="str">
        <f t="shared" si="3"/>
        <v/>
      </c>
      <c r="G23" s="535">
        <f t="shared" si="1"/>
        <v>7</v>
      </c>
      <c r="H23" s="614" t="str">
        <f t="shared" si="4"/>
        <v/>
      </c>
      <c r="I23" s="610">
        <f t="shared" si="5"/>
        <v>0</v>
      </c>
      <c r="J23" s="137" t="str">
        <f t="shared" si="6"/>
        <v/>
      </c>
      <c r="K23" s="668">
        <f t="shared" si="7"/>
        <v>8</v>
      </c>
      <c r="L23" s="537" t="str">
        <f t="shared" si="8"/>
        <v/>
      </c>
      <c r="M23" s="536">
        <f t="shared" si="9"/>
        <v>7</v>
      </c>
      <c r="N23" s="612" t="str">
        <f t="shared" si="10"/>
        <v/>
      </c>
      <c r="O23" s="665">
        <f t="shared" si="11"/>
        <v>0</v>
      </c>
      <c r="P23" s="614" t="str">
        <f t="shared" si="12"/>
        <v/>
      </c>
      <c r="Q23" s="610">
        <f t="shared" si="13"/>
        <v>0</v>
      </c>
      <c r="R23" s="612" t="str">
        <f t="shared" si="14"/>
        <v/>
      </c>
      <c r="S23" s="611">
        <f t="shared" si="15"/>
        <v>0</v>
      </c>
      <c r="T23" s="612" t="str">
        <f t="shared" si="16"/>
        <v/>
      </c>
      <c r="U23" s="611">
        <f t="shared" si="17"/>
        <v>0</v>
      </c>
      <c r="V23" s="139" t="str">
        <f t="shared" si="18"/>
        <v/>
      </c>
      <c r="W23" s="140">
        <f t="shared" si="19"/>
        <v>7</v>
      </c>
      <c r="X23" s="612" t="str">
        <f t="shared" si="20"/>
        <v/>
      </c>
      <c r="Y23" s="611">
        <f t="shared" si="21"/>
        <v>0</v>
      </c>
    </row>
    <row r="24" spans="1:27" s="49" customFormat="1" ht="12" thickBot="1">
      <c r="A24" s="50">
        <f t="shared" si="22"/>
        <v>22</v>
      </c>
      <c r="B24" s="612" t="str">
        <f t="shared" si="23"/>
        <v/>
      </c>
      <c r="C24" s="611">
        <f t="shared" si="1"/>
        <v>0</v>
      </c>
      <c r="D24" s="139" t="str">
        <f t="shared" si="2"/>
        <v/>
      </c>
      <c r="E24" s="140">
        <f t="shared" si="1"/>
        <v>7</v>
      </c>
      <c r="F24" s="139" t="str">
        <f t="shared" si="3"/>
        <v/>
      </c>
      <c r="G24" s="535">
        <f t="shared" si="1"/>
        <v>7</v>
      </c>
      <c r="H24" s="614" t="str">
        <f t="shared" si="4"/>
        <v/>
      </c>
      <c r="I24" s="610">
        <f t="shared" si="5"/>
        <v>0</v>
      </c>
      <c r="J24" s="612" t="str">
        <f t="shared" si="6"/>
        <v/>
      </c>
      <c r="K24" s="611">
        <f t="shared" si="7"/>
        <v>0</v>
      </c>
      <c r="L24" s="667" t="str">
        <f t="shared" si="8"/>
        <v/>
      </c>
      <c r="M24" s="611">
        <f t="shared" si="9"/>
        <v>0</v>
      </c>
      <c r="N24" s="612" t="str">
        <f t="shared" si="10"/>
        <v/>
      </c>
      <c r="O24" s="665">
        <f t="shared" si="11"/>
        <v>0</v>
      </c>
      <c r="P24" s="562" t="str">
        <f t="shared" si="12"/>
        <v/>
      </c>
      <c r="Q24" s="536">
        <f t="shared" si="13"/>
        <v>7</v>
      </c>
      <c r="R24" s="612" t="str">
        <f t="shared" si="14"/>
        <v/>
      </c>
      <c r="S24" s="611">
        <f t="shared" si="15"/>
        <v>0</v>
      </c>
      <c r="T24" s="612" t="str">
        <f t="shared" si="16"/>
        <v/>
      </c>
      <c r="U24" s="611">
        <f t="shared" si="17"/>
        <v>0</v>
      </c>
      <c r="V24" s="139" t="str">
        <f t="shared" si="18"/>
        <v/>
      </c>
      <c r="W24" s="140">
        <f t="shared" si="19"/>
        <v>7</v>
      </c>
      <c r="X24" s="666" t="str">
        <f t="shared" si="20"/>
        <v/>
      </c>
      <c r="Y24" s="611">
        <f t="shared" si="21"/>
        <v>0</v>
      </c>
      <c r="AA24" s="332" t="s">
        <v>48</v>
      </c>
    </row>
    <row r="25" spans="1:27" s="49" customFormat="1" ht="11.25">
      <c r="A25" s="50">
        <f t="shared" si="22"/>
        <v>23</v>
      </c>
      <c r="B25" s="612" t="str">
        <f t="shared" si="23"/>
        <v/>
      </c>
      <c r="C25" s="611">
        <f t="shared" si="1"/>
        <v>0</v>
      </c>
      <c r="D25" s="139" t="str">
        <f t="shared" si="2"/>
        <v/>
      </c>
      <c r="E25" s="140">
        <f t="shared" si="1"/>
        <v>7</v>
      </c>
      <c r="F25" s="612" t="str">
        <f t="shared" si="3"/>
        <v/>
      </c>
      <c r="G25" s="665">
        <f t="shared" si="1"/>
        <v>0</v>
      </c>
      <c r="H25" s="614" t="str">
        <f t="shared" si="4"/>
        <v/>
      </c>
      <c r="I25" s="610">
        <f t="shared" si="5"/>
        <v>0</v>
      </c>
      <c r="J25" s="139" t="str">
        <f t="shared" si="6"/>
        <v/>
      </c>
      <c r="K25" s="140">
        <f t="shared" si="7"/>
        <v>7</v>
      </c>
      <c r="L25" s="612" t="str">
        <f t="shared" si="8"/>
        <v/>
      </c>
      <c r="M25" s="611">
        <f t="shared" si="9"/>
        <v>0</v>
      </c>
      <c r="N25" s="612" t="str">
        <f t="shared" si="10"/>
        <v/>
      </c>
      <c r="O25" s="665">
        <f t="shared" si="11"/>
        <v>0</v>
      </c>
      <c r="P25" s="562" t="str">
        <f t="shared" si="12"/>
        <v/>
      </c>
      <c r="Q25" s="536">
        <f t="shared" si="13"/>
        <v>7</v>
      </c>
      <c r="R25" s="612" t="str">
        <f t="shared" si="14"/>
        <v/>
      </c>
      <c r="S25" s="611">
        <f t="shared" si="15"/>
        <v>0</v>
      </c>
      <c r="T25" s="612" t="str">
        <f t="shared" si="16"/>
        <v/>
      </c>
      <c r="U25" s="611">
        <f t="shared" si="17"/>
        <v>0</v>
      </c>
      <c r="V25" s="612" t="str">
        <f t="shared" si="18"/>
        <v/>
      </c>
      <c r="W25" s="665">
        <f t="shared" si="19"/>
        <v>0</v>
      </c>
      <c r="X25" s="613" t="str">
        <f t="shared" si="20"/>
        <v/>
      </c>
      <c r="Y25" s="610">
        <f t="shared" si="21"/>
        <v>0</v>
      </c>
    </row>
    <row r="26" spans="1:27" s="49" customFormat="1" ht="12" thickBot="1">
      <c r="A26" s="50">
        <f t="shared" si="22"/>
        <v>24</v>
      </c>
      <c r="B26" s="612" t="str">
        <f t="shared" si="23"/>
        <v/>
      </c>
      <c r="C26" s="611">
        <f t="shared" si="1"/>
        <v>0</v>
      </c>
      <c r="D26" s="612" t="str">
        <f t="shared" si="2"/>
        <v/>
      </c>
      <c r="E26" s="611">
        <f t="shared" si="1"/>
        <v>0</v>
      </c>
      <c r="F26" s="612" t="str">
        <f t="shared" si="3"/>
        <v/>
      </c>
      <c r="G26" s="665">
        <f t="shared" si="1"/>
        <v>0</v>
      </c>
      <c r="H26" s="614" t="str">
        <f t="shared" si="4"/>
        <v/>
      </c>
      <c r="I26" s="610">
        <f t="shared" si="5"/>
        <v>0</v>
      </c>
      <c r="J26" s="139" t="str">
        <f t="shared" si="6"/>
        <v/>
      </c>
      <c r="K26" s="140">
        <f t="shared" si="7"/>
        <v>7</v>
      </c>
      <c r="L26" s="612" t="str">
        <f t="shared" si="8"/>
        <v/>
      </c>
      <c r="M26" s="611">
        <f t="shared" si="9"/>
        <v>0</v>
      </c>
      <c r="N26" s="612" t="str">
        <f t="shared" si="10"/>
        <v/>
      </c>
      <c r="O26" s="665">
        <f t="shared" si="11"/>
        <v>0</v>
      </c>
      <c r="P26" s="614" t="str">
        <f t="shared" si="12"/>
        <v/>
      </c>
      <c r="Q26" s="610">
        <f t="shared" si="13"/>
        <v>0</v>
      </c>
      <c r="R26" s="612" t="str">
        <f t="shared" si="14"/>
        <v/>
      </c>
      <c r="S26" s="611">
        <f t="shared" si="15"/>
        <v>0</v>
      </c>
      <c r="T26" s="139" t="str">
        <f t="shared" si="16"/>
        <v/>
      </c>
      <c r="U26" s="140">
        <f t="shared" si="17"/>
        <v>7</v>
      </c>
      <c r="V26" s="612" t="str">
        <f t="shared" si="18"/>
        <v/>
      </c>
      <c r="W26" s="665">
        <f t="shared" si="19"/>
        <v>0</v>
      </c>
      <c r="X26" s="614" t="str">
        <f t="shared" si="20"/>
        <v/>
      </c>
      <c r="Y26" s="610">
        <f t="shared" si="21"/>
        <v>0</v>
      </c>
    </row>
    <row r="27" spans="1:27" s="49" customFormat="1" ht="12" thickBot="1">
      <c r="A27" s="50">
        <f t="shared" si="22"/>
        <v>25</v>
      </c>
      <c r="B27" s="139" t="str">
        <f t="shared" si="23"/>
        <v/>
      </c>
      <c r="C27" s="140">
        <f t="shared" si="1"/>
        <v>7</v>
      </c>
      <c r="D27" s="612" t="str">
        <f t="shared" si="2"/>
        <v/>
      </c>
      <c r="E27" s="611">
        <f t="shared" si="1"/>
        <v>0</v>
      </c>
      <c r="F27" s="612" t="str">
        <f t="shared" si="3"/>
        <v/>
      </c>
      <c r="G27" s="665">
        <f t="shared" si="1"/>
        <v>0</v>
      </c>
      <c r="H27" s="562" t="str">
        <f t="shared" si="4"/>
        <v/>
      </c>
      <c r="I27" s="536">
        <f t="shared" si="5"/>
        <v>7</v>
      </c>
      <c r="J27" s="612" t="str">
        <f t="shared" si="6"/>
        <v/>
      </c>
      <c r="K27" s="611">
        <f t="shared" si="7"/>
        <v>0</v>
      </c>
      <c r="L27" s="612" t="str">
        <f t="shared" si="8"/>
        <v/>
      </c>
      <c r="M27" s="611">
        <f t="shared" si="9"/>
        <v>0</v>
      </c>
      <c r="N27" s="139" t="str">
        <f t="shared" si="10"/>
        <v/>
      </c>
      <c r="O27" s="535">
        <f t="shared" si="11"/>
        <v>7</v>
      </c>
      <c r="P27" s="614" t="str">
        <f t="shared" si="12"/>
        <v/>
      </c>
      <c r="Q27" s="610">
        <f t="shared" si="13"/>
        <v>0</v>
      </c>
      <c r="R27" s="612" t="str">
        <f t="shared" si="14"/>
        <v/>
      </c>
      <c r="S27" s="611">
        <f t="shared" si="15"/>
        <v>0</v>
      </c>
      <c r="T27" s="139" t="str">
        <f t="shared" si="16"/>
        <v/>
      </c>
      <c r="U27" s="140">
        <f t="shared" si="17"/>
        <v>7</v>
      </c>
      <c r="V27" s="612" t="str">
        <f t="shared" si="18"/>
        <v/>
      </c>
      <c r="W27" s="665">
        <f t="shared" si="19"/>
        <v>0</v>
      </c>
      <c r="X27" s="561" t="str">
        <f t="shared" si="20"/>
        <v/>
      </c>
      <c r="Y27" s="538">
        <f t="shared" si="21"/>
        <v>8</v>
      </c>
      <c r="AA27" s="335" t="s">
        <v>2</v>
      </c>
    </row>
    <row r="28" spans="1:27" s="49" customFormat="1" ht="11.25">
      <c r="A28" s="50">
        <f t="shared" si="22"/>
        <v>26</v>
      </c>
      <c r="B28" s="139" t="str">
        <f t="shared" si="23"/>
        <v/>
      </c>
      <c r="C28" s="140">
        <f t="shared" si="1"/>
        <v>7</v>
      </c>
      <c r="D28" s="612" t="str">
        <f t="shared" si="2"/>
        <v/>
      </c>
      <c r="E28" s="611">
        <f t="shared" si="1"/>
        <v>0</v>
      </c>
      <c r="F28" s="612" t="str">
        <f t="shared" si="3"/>
        <v/>
      </c>
      <c r="G28" s="665">
        <f t="shared" si="1"/>
        <v>0</v>
      </c>
      <c r="H28" s="562" t="str">
        <f t="shared" si="4"/>
        <v/>
      </c>
      <c r="I28" s="536">
        <f t="shared" si="5"/>
        <v>7</v>
      </c>
      <c r="J28" s="612" t="str">
        <f t="shared" si="6"/>
        <v/>
      </c>
      <c r="K28" s="611">
        <f t="shared" si="7"/>
        <v>0</v>
      </c>
      <c r="L28" s="612" t="str">
        <f t="shared" si="8"/>
        <v/>
      </c>
      <c r="M28" s="611">
        <f t="shared" si="9"/>
        <v>0</v>
      </c>
      <c r="N28" s="139" t="str">
        <f t="shared" si="10"/>
        <v/>
      </c>
      <c r="O28" s="535">
        <f t="shared" si="11"/>
        <v>7</v>
      </c>
      <c r="P28" s="614" t="str">
        <f t="shared" si="12"/>
        <v/>
      </c>
      <c r="Q28" s="610">
        <f t="shared" si="13"/>
        <v>0</v>
      </c>
      <c r="R28" s="139" t="str">
        <f t="shared" si="14"/>
        <v/>
      </c>
      <c r="S28" s="140">
        <f t="shared" si="15"/>
        <v>7</v>
      </c>
      <c r="T28" s="612" t="str">
        <f t="shared" si="16"/>
        <v/>
      </c>
      <c r="U28" s="611">
        <f t="shared" si="17"/>
        <v>0</v>
      </c>
      <c r="V28" s="612" t="str">
        <f t="shared" si="18"/>
        <v/>
      </c>
      <c r="W28" s="665">
        <f t="shared" si="19"/>
        <v>0</v>
      </c>
      <c r="X28" s="561" t="str">
        <f t="shared" si="20"/>
        <v/>
      </c>
      <c r="Y28" s="538">
        <f t="shared" si="21"/>
        <v>8</v>
      </c>
    </row>
    <row r="29" spans="1:27" s="49" customFormat="1" ht="12" thickBot="1">
      <c r="A29" s="50">
        <f t="shared" si="22"/>
        <v>27</v>
      </c>
      <c r="B29" s="612" t="str">
        <f t="shared" si="23"/>
        <v/>
      </c>
      <c r="C29" s="611">
        <f t="shared" si="1"/>
        <v>0</v>
      </c>
      <c r="D29" s="612" t="str">
        <f t="shared" si="2"/>
        <v/>
      </c>
      <c r="E29" s="611">
        <f t="shared" si="1"/>
        <v>0</v>
      </c>
      <c r="F29" s="612" t="str">
        <f t="shared" si="3"/>
        <v/>
      </c>
      <c r="G29" s="665">
        <f t="shared" si="1"/>
        <v>0</v>
      </c>
      <c r="H29" s="615" t="str">
        <f t="shared" si="4"/>
        <v/>
      </c>
      <c r="I29" s="610">
        <f t="shared" si="5"/>
        <v>0</v>
      </c>
      <c r="J29" s="612" t="str">
        <f t="shared" si="6"/>
        <v/>
      </c>
      <c r="K29" s="611">
        <f t="shared" si="7"/>
        <v>0</v>
      </c>
      <c r="L29" s="139" t="str">
        <f t="shared" si="8"/>
        <v/>
      </c>
      <c r="M29" s="140">
        <f t="shared" si="9"/>
        <v>7</v>
      </c>
      <c r="N29" s="612" t="str">
        <f t="shared" si="10"/>
        <v/>
      </c>
      <c r="O29" s="665">
        <f t="shared" si="11"/>
        <v>0</v>
      </c>
      <c r="P29" s="614" t="str">
        <f t="shared" si="12"/>
        <v/>
      </c>
      <c r="Q29" s="610">
        <f t="shared" si="13"/>
        <v>0</v>
      </c>
      <c r="R29" s="139" t="str">
        <f t="shared" si="14"/>
        <v/>
      </c>
      <c r="S29" s="140">
        <f t="shared" si="15"/>
        <v>7</v>
      </c>
      <c r="T29" s="666" t="str">
        <f t="shared" si="16"/>
        <v/>
      </c>
      <c r="U29" s="611">
        <f t="shared" si="17"/>
        <v>0</v>
      </c>
      <c r="V29" s="612" t="str">
        <f t="shared" si="18"/>
        <v/>
      </c>
      <c r="W29" s="665">
        <f t="shared" si="19"/>
        <v>0</v>
      </c>
      <c r="X29" s="562" t="str">
        <f t="shared" si="20"/>
        <v/>
      </c>
      <c r="Y29" s="536">
        <f t="shared" si="21"/>
        <v>7</v>
      </c>
    </row>
    <row r="30" spans="1:27" s="49" customFormat="1" ht="12" thickBot="1">
      <c r="A30" s="50">
        <f t="shared" si="22"/>
        <v>28</v>
      </c>
      <c r="B30" s="612" t="str">
        <f t="shared" si="23"/>
        <v/>
      </c>
      <c r="C30" s="611">
        <f t="shared" si="1"/>
        <v>0</v>
      </c>
      <c r="D30" s="612" t="str">
        <f t="shared" si="2"/>
        <v/>
      </c>
      <c r="E30" s="611">
        <f t="shared" si="1"/>
        <v>0</v>
      </c>
      <c r="F30" s="139" t="str">
        <f t="shared" si="3"/>
        <v/>
      </c>
      <c r="G30" s="140">
        <f t="shared" si="1"/>
        <v>7</v>
      </c>
      <c r="H30" s="667" t="str">
        <f t="shared" si="4"/>
        <v/>
      </c>
      <c r="I30" s="611">
        <f t="shared" si="5"/>
        <v>0</v>
      </c>
      <c r="J30" s="612" t="str">
        <f t="shared" si="6"/>
        <v/>
      </c>
      <c r="K30" s="611">
        <f t="shared" si="7"/>
        <v>0</v>
      </c>
      <c r="L30" s="139" t="str">
        <f t="shared" si="8"/>
        <v/>
      </c>
      <c r="M30" s="140">
        <f t="shared" si="9"/>
        <v>7</v>
      </c>
      <c r="N30" s="666" t="str">
        <f t="shared" si="10"/>
        <v/>
      </c>
      <c r="O30" s="665">
        <f t="shared" si="11"/>
        <v>0</v>
      </c>
      <c r="P30" s="614" t="str">
        <f t="shared" si="12"/>
        <v/>
      </c>
      <c r="Q30" s="610">
        <f t="shared" si="13"/>
        <v>0</v>
      </c>
      <c r="R30" s="612" t="str">
        <f t="shared" si="14"/>
        <v/>
      </c>
      <c r="S30" s="665">
        <f t="shared" si="15"/>
        <v>0</v>
      </c>
      <c r="T30" s="613" t="str">
        <f t="shared" si="16"/>
        <v/>
      </c>
      <c r="U30" s="610">
        <f t="shared" si="17"/>
        <v>0</v>
      </c>
      <c r="V30" s="139" t="str">
        <f t="shared" si="18"/>
        <v/>
      </c>
      <c r="W30" s="535">
        <f t="shared" si="19"/>
        <v>7</v>
      </c>
      <c r="X30" s="614" t="str">
        <f t="shared" si="20"/>
        <v/>
      </c>
      <c r="Y30" s="610">
        <f t="shared" si="21"/>
        <v>0</v>
      </c>
    </row>
    <row r="31" spans="1:27" s="49" customFormat="1" ht="11.25">
      <c r="A31" s="50">
        <f t="shared" si="22"/>
        <v>29</v>
      </c>
      <c r="B31" s="612" t="str">
        <f t="shared" si="23"/>
        <v/>
      </c>
      <c r="C31" s="611">
        <f t="shared" si="1"/>
        <v>0</v>
      </c>
      <c r="D31" s="139" t="str">
        <f t="shared" si="2"/>
        <v/>
      </c>
      <c r="E31" s="140">
        <f t="shared" si="1"/>
        <v>7</v>
      </c>
      <c r="F31" s="139" t="str">
        <f t="shared" si="3"/>
        <v/>
      </c>
      <c r="G31" s="140">
        <f t="shared" si="1"/>
        <v>7</v>
      </c>
      <c r="H31" s="612" t="str">
        <f t="shared" si="4"/>
        <v/>
      </c>
      <c r="I31" s="611">
        <f t="shared" si="5"/>
        <v>0</v>
      </c>
      <c r="J31" s="612" t="str">
        <f t="shared" si="6"/>
        <v/>
      </c>
      <c r="K31" s="611">
        <f t="shared" si="7"/>
        <v>0</v>
      </c>
      <c r="L31" s="612" t="str">
        <f t="shared" si="8"/>
        <v/>
      </c>
      <c r="M31" s="665">
        <f t="shared" si="9"/>
        <v>0</v>
      </c>
      <c r="N31" s="669" t="str">
        <f t="shared" si="10"/>
        <v/>
      </c>
      <c r="O31" s="670">
        <f t="shared" si="11"/>
        <v>0</v>
      </c>
      <c r="P31" s="564" t="str">
        <f t="shared" si="12"/>
        <v/>
      </c>
      <c r="Q31" s="536">
        <f t="shared" si="13"/>
        <v>7</v>
      </c>
      <c r="R31" s="612" t="str">
        <f t="shared" si="14"/>
        <v/>
      </c>
      <c r="S31" s="665">
        <f t="shared" si="15"/>
        <v>0</v>
      </c>
      <c r="T31" s="614" t="str">
        <f t="shared" si="16"/>
        <v/>
      </c>
      <c r="U31" s="610">
        <f t="shared" si="17"/>
        <v>0</v>
      </c>
      <c r="V31" s="139" t="str">
        <f t="shared" si="18"/>
        <v/>
      </c>
      <c r="W31" s="535">
        <f t="shared" si="19"/>
        <v>7</v>
      </c>
      <c r="X31" s="614" t="str">
        <f t="shared" si="20"/>
        <v/>
      </c>
      <c r="Y31" s="610">
        <f t="shared" si="21"/>
        <v>0</v>
      </c>
    </row>
    <row r="32" spans="1:27" s="49" customFormat="1" ht="11.25">
      <c r="A32" s="50">
        <f t="shared" si="22"/>
        <v>30</v>
      </c>
      <c r="B32" s="612" t="str">
        <f t="shared" si="23"/>
        <v/>
      </c>
      <c r="C32" s="611">
        <f t="shared" si="1"/>
        <v>0</v>
      </c>
      <c r="D32" s="136" t="str">
        <f t="shared" si="2"/>
        <v>-</v>
      </c>
      <c r="E32" s="604" t="str">
        <f t="shared" si="1"/>
        <v/>
      </c>
      <c r="F32" s="612" t="str">
        <f t="shared" si="3"/>
        <v/>
      </c>
      <c r="G32" s="611">
        <f t="shared" si="1"/>
        <v>0</v>
      </c>
      <c r="H32" s="612" t="str">
        <f t="shared" si="4"/>
        <v/>
      </c>
      <c r="I32" s="611">
        <f t="shared" si="5"/>
        <v>0</v>
      </c>
      <c r="J32" s="139" t="str">
        <f t="shared" si="6"/>
        <v/>
      </c>
      <c r="K32" s="140">
        <f t="shared" si="7"/>
        <v>7</v>
      </c>
      <c r="L32" s="612" t="str">
        <f t="shared" si="8"/>
        <v/>
      </c>
      <c r="M32" s="665">
        <f t="shared" si="9"/>
        <v>0</v>
      </c>
      <c r="N32" s="671" t="str">
        <f t="shared" si="10"/>
        <v/>
      </c>
      <c r="O32" s="670">
        <f t="shared" si="11"/>
        <v>0</v>
      </c>
      <c r="P32" s="564" t="str">
        <f t="shared" si="12"/>
        <v/>
      </c>
      <c r="Q32" s="536">
        <f t="shared" si="13"/>
        <v>7</v>
      </c>
      <c r="R32" s="612" t="str">
        <f t="shared" si="14"/>
        <v/>
      </c>
      <c r="S32" s="665">
        <f t="shared" si="15"/>
        <v>0</v>
      </c>
      <c r="T32" s="614" t="str">
        <f t="shared" si="16"/>
        <v/>
      </c>
      <c r="U32" s="610">
        <f t="shared" si="17"/>
        <v>0</v>
      </c>
      <c r="V32" s="612" t="str">
        <f t="shared" si="18"/>
        <v/>
      </c>
      <c r="W32" s="665">
        <f t="shared" si="19"/>
        <v>0</v>
      </c>
      <c r="X32" s="614" t="str">
        <f t="shared" si="20"/>
        <v/>
      </c>
      <c r="Y32" s="610">
        <f t="shared" si="21"/>
        <v>0</v>
      </c>
    </row>
    <row r="33" spans="1:27" s="49" customFormat="1" ht="12" thickBot="1">
      <c r="A33" s="50">
        <f t="shared" si="22"/>
        <v>31</v>
      </c>
      <c r="B33" s="612" t="str">
        <f t="shared" si="23"/>
        <v/>
      </c>
      <c r="C33" s="611">
        <f>IF(MONTH(DATE(YEAR(C$2),MONTH(C$2),$A33))=MONTH(C$2),VLOOKUP(DATE(YEAR(C$2),MONTH(C$2),$A33),db_Jahr,gSP_KalTyp,FALSE),"")</f>
        <v>0</v>
      </c>
      <c r="D33" s="136" t="str">
        <f t="shared" si="2"/>
        <v>-</v>
      </c>
      <c r="E33" s="604" t="str">
        <f>IF(MONTH(DATE(YEAR(E$2),MONTH(E$2),$A33))=MONTH(E$2),VLOOKUP(DATE(YEAR(E$2),MONTH(E$2),$A33),db_Jahr,gSP_KalTyp,FALSE),"")</f>
        <v/>
      </c>
      <c r="F33" s="612" t="str">
        <f t="shared" si="3"/>
        <v/>
      </c>
      <c r="G33" s="611">
        <f>IF(MONTH(DATE(YEAR(G$2),MONTH(G$2),$A33))=MONTH(G$2),VLOOKUP(DATE(YEAR(G$2),MONTH(G$2),$A33),db_Jahr,gSP_KalTyp,FALSE),"")</f>
        <v>0</v>
      </c>
      <c r="H33" s="136" t="str">
        <f t="shared" si="4"/>
        <v>-</v>
      </c>
      <c r="I33" s="604" t="str">
        <f>IF(MONTH(DATE(YEAR(I$2),MONTH(I$2),$A33))=MONTH(I$2),VLOOKUP(DATE(YEAR(I$2),MONTH(I$2),$A33),db_Jahr,gSP_KalTyp,FALSE),"")</f>
        <v/>
      </c>
      <c r="J33" s="137" t="str">
        <f t="shared" si="6"/>
        <v/>
      </c>
      <c r="K33" s="138">
        <f>IF(MONTH(DATE(YEAR(K$2),MONTH(K$2),$A33))=MONTH(K$2),VLOOKUP(DATE(YEAR(K$2),MONTH(K$2),$A33),db_Jahr,gSP_KalTyp,FALSE),"")</f>
        <v>8</v>
      </c>
      <c r="L33" s="136" t="str">
        <f t="shared" si="8"/>
        <v>-</v>
      </c>
      <c r="M33" s="539" t="str">
        <f>IF(MONTH(DATE(YEAR(M$2),MONTH(M$2),$A33))=MONTH(M$2),VLOOKUP(DATE(YEAR(M$2),MONTH(M$2),$A33),db_Jahr,gSP_KalTyp,FALSE),"")</f>
        <v/>
      </c>
      <c r="N33" s="672" t="str">
        <f t="shared" si="10"/>
        <v/>
      </c>
      <c r="O33" s="670">
        <f>IF(MONTH(DATE(YEAR(O$2),MONTH(O$2),$A33))=MONTH(O$2),VLOOKUP(DATE(YEAR(O$2),MONTH(O$2),$A33),db_Jahr,gSP_KalTyp,FALSE),"")</f>
        <v>0</v>
      </c>
      <c r="P33" s="674" t="str">
        <f t="shared" si="12"/>
        <v/>
      </c>
      <c r="Q33" s="610">
        <f>IF(MONTH(DATE(YEAR(Q$2),MONTH(Q$2),$A33))=MONTH(Q$2),VLOOKUP(DATE(YEAR(Q$2),MONTH(Q$2),$A33),db_Jahr,gSP_KalTyp,FALSE),"")</f>
        <v>0</v>
      </c>
      <c r="R33" s="136" t="str">
        <f t="shared" si="14"/>
        <v>-</v>
      </c>
      <c r="S33" s="539" t="str">
        <f>IF(MONTH(DATE(YEAR(S$2),MONTH(S$2),$A33))=MONTH(S$2),VLOOKUP(DATE(YEAR(S$2),MONTH(S$2),$A33),db_Jahr,gSP_KalTyp,FALSE),"")</f>
        <v/>
      </c>
      <c r="T33" s="537" t="str">
        <f t="shared" si="16"/>
        <v/>
      </c>
      <c r="U33" s="536">
        <f>IF(MONTH(DATE(YEAR(U$2),MONTH(U$2),$A33))=MONTH(U$2),VLOOKUP(DATE(YEAR(U$2),MONTH(U$2),$A33),db_Jahr,gSP_KalTyp,FALSE),"")</f>
        <v>7</v>
      </c>
      <c r="V33" s="136" t="str">
        <f t="shared" si="18"/>
        <v>-</v>
      </c>
      <c r="W33" s="539" t="str">
        <f>IF(MONTH(DATE(YEAR(W$2),MONTH(W$2),$A33))=MONTH(W$2),VLOOKUP(DATE(YEAR(W$2),MONTH(W$2),$A33),db_Jahr,gSP_KalTyp,FALSE),"")</f>
        <v/>
      </c>
      <c r="X33" s="615" t="str">
        <f t="shared" si="20"/>
        <v/>
      </c>
      <c r="Y33" s="610">
        <f>IF(MONTH(DATE(YEAR(Y$2),MONTH(Y$2),$A33))=MONTH(Y$2),VLOOKUP(DATE(YEAR(Y$2),MONTH(Y$2),$A33),db_Jahr,gSP_KalTyp,FALSE),"")</f>
        <v>0</v>
      </c>
    </row>
    <row r="34" spans="1:27" ht="5.25" customHeight="1"/>
    <row r="35" spans="1:27">
      <c r="E35" s="10"/>
      <c r="G35" s="10"/>
      <c r="I35" s="10"/>
      <c r="K35" s="10"/>
      <c r="M35" s="10"/>
      <c r="O35" s="10"/>
      <c r="Q35" s="10"/>
      <c r="S35" s="10"/>
      <c r="U35" s="10"/>
      <c r="V35" s="10"/>
      <c r="W35" s="10"/>
      <c r="Y35" s="10"/>
      <c r="AA35" s="533" t="str">
        <f ca="1">CELL("filename",AA35)</f>
        <v>D:\_pdata\GLAZ\andi\[vGlaz2020.xlsm]Kalender</v>
      </c>
    </row>
    <row r="36" spans="1:27" hidden="1">
      <c r="B36" s="10">
        <v>0</v>
      </c>
      <c r="C36" s="134"/>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134"/>
      <c r="G40" s="134"/>
      <c r="I40" s="134"/>
      <c r="K40" s="134"/>
      <c r="M40" s="134"/>
      <c r="O40" s="134"/>
      <c r="Q40" s="134"/>
      <c r="S40" s="134"/>
      <c r="U40" s="134"/>
      <c r="W40" s="134"/>
      <c r="Y40" s="134"/>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59"/>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4" sqref="C4"/>
    </sheetView>
  </sheetViews>
  <sheetFormatPr baseColWidth="10" defaultColWidth="11.5703125" defaultRowHeight="12.75" outlineLevelRow="1" outlineLevelCol="1"/>
  <cols>
    <col min="1" max="1" width="13.7109375" customWidth="1"/>
    <col min="2" max="2" width="17" customWidth="1"/>
    <col min="3" max="3" width="6.7109375" customWidth="1"/>
    <col min="4" max="33" width="6.7109375" customWidth="1" outlineLevel="1"/>
    <col min="35" max="35" width="3.7109375" customWidth="1"/>
    <col min="36" max="36" width="21" customWidth="1"/>
  </cols>
  <sheetData>
    <row r="1" spans="1:37" ht="5.0999999999999996" customHeight="1" thickBot="1"/>
    <row r="2" spans="1:37" ht="13.5" thickBot="1">
      <c r="B2" s="553" t="s">
        <v>84</v>
      </c>
      <c r="C2" s="578">
        <v>42369</v>
      </c>
      <c r="D2" t="s">
        <v>85</v>
      </c>
      <c r="L2" s="134"/>
    </row>
    <row r="3" spans="1:37" ht="13.5" thickBot="1">
      <c r="B3" s="551" t="s">
        <v>204</v>
      </c>
      <c r="C3" s="550">
        <v>42399</v>
      </c>
      <c r="D3" t="s">
        <v>205</v>
      </c>
      <c r="L3" s="134"/>
    </row>
    <row r="4" spans="1:37" ht="5.0999999999999996" customHeight="1">
      <c r="B4" s="551"/>
      <c r="C4" s="567">
        <f>DATE(YEAR(A_Aufgabendatum),MONTH(A_Aufgabendatum)+1,1)</f>
        <v>42400</v>
      </c>
    </row>
    <row r="5" spans="1:37">
      <c r="B5" s="568"/>
      <c r="C5" s="568">
        <f>C2</f>
        <v>42369</v>
      </c>
      <c r="D5" s="568">
        <f t="shared" ref="D5:AG5" si="0">IF(AND(C5&gt;0,C5+1&lt;A_Monatsende,C5&lt;A_Aufgabenende),C5+1,0)</f>
        <v>42370</v>
      </c>
      <c r="E5" s="568">
        <f t="shared" si="0"/>
        <v>42371</v>
      </c>
      <c r="F5" s="568">
        <f t="shared" si="0"/>
        <v>42372</v>
      </c>
      <c r="G5" s="568">
        <f t="shared" si="0"/>
        <v>42373</v>
      </c>
      <c r="H5" s="568">
        <f t="shared" si="0"/>
        <v>42374</v>
      </c>
      <c r="I5" s="568">
        <f t="shared" si="0"/>
        <v>42375</v>
      </c>
      <c r="J5" s="568">
        <f t="shared" si="0"/>
        <v>42376</v>
      </c>
      <c r="K5" s="568">
        <f t="shared" si="0"/>
        <v>42377</v>
      </c>
      <c r="L5" s="568">
        <f t="shared" si="0"/>
        <v>42378</v>
      </c>
      <c r="M5" s="568">
        <f t="shared" si="0"/>
        <v>42379</v>
      </c>
      <c r="N5" s="568">
        <f t="shared" si="0"/>
        <v>42380</v>
      </c>
      <c r="O5" s="568">
        <f t="shared" si="0"/>
        <v>42381</v>
      </c>
      <c r="P5" s="568">
        <f t="shared" si="0"/>
        <v>42382</v>
      </c>
      <c r="Q5" s="568">
        <f t="shared" si="0"/>
        <v>42383</v>
      </c>
      <c r="R5" s="568">
        <f t="shared" si="0"/>
        <v>42384</v>
      </c>
      <c r="S5" s="568">
        <f t="shared" si="0"/>
        <v>42385</v>
      </c>
      <c r="T5" s="568">
        <f t="shared" si="0"/>
        <v>42386</v>
      </c>
      <c r="U5" s="568">
        <f t="shared" si="0"/>
        <v>42387</v>
      </c>
      <c r="V5" s="568">
        <f t="shared" si="0"/>
        <v>42388</v>
      </c>
      <c r="W5" s="568">
        <f t="shared" si="0"/>
        <v>42389</v>
      </c>
      <c r="X5" s="568">
        <f t="shared" si="0"/>
        <v>42390</v>
      </c>
      <c r="Y5" s="568">
        <f t="shared" si="0"/>
        <v>42391</v>
      </c>
      <c r="Z5" s="568">
        <f t="shared" si="0"/>
        <v>42392</v>
      </c>
      <c r="AA5" s="568">
        <f t="shared" si="0"/>
        <v>42393</v>
      </c>
      <c r="AB5" s="568">
        <f t="shared" si="0"/>
        <v>42394</v>
      </c>
      <c r="AC5" s="568">
        <f t="shared" si="0"/>
        <v>42395</v>
      </c>
      <c r="AD5" s="568">
        <f t="shared" si="0"/>
        <v>42396</v>
      </c>
      <c r="AE5" s="568">
        <f t="shared" si="0"/>
        <v>42397</v>
      </c>
      <c r="AF5" s="568">
        <f t="shared" si="0"/>
        <v>42398</v>
      </c>
      <c r="AG5" s="568">
        <f t="shared" si="0"/>
        <v>42399</v>
      </c>
      <c r="AH5" s="569" t="s">
        <v>87</v>
      </c>
      <c r="AI5" s="597"/>
    </row>
    <row r="6" spans="1:37">
      <c r="A6">
        <f>AK6</f>
        <v>0</v>
      </c>
      <c r="B6" s="544" t="str">
        <f>Aufgaben!G3</f>
        <v>Urlaub</v>
      </c>
      <c r="C6" s="547">
        <f>IF(C$5&gt;0,(INDEX(A_Aufgaben,(C$5-Arbeitszeit!$A$6+1),(2*(ROW()-ROW(A_Aufgabendatum))-1))),"")</f>
        <v>0</v>
      </c>
      <c r="D6" s="546">
        <f>IF(D$5&gt;0,(INDEX(A_Aufgaben,(D$5-Arbeitszeit!$A$6+1),(2*(ROW()-ROW(A_Aufgabendatum))-1))),"")</f>
        <v>0</v>
      </c>
      <c r="E6" s="545">
        <f>IF(E$5&gt;0,(INDEX(A_Aufgaben,(E$5-Arbeitszeit!$A$6+1),(2*(ROW()-ROW(A_Aufgabendatum))-1))),"")</f>
        <v>0</v>
      </c>
      <c r="F6" s="546">
        <f>IF(F$5&gt;0,(INDEX(A_Aufgaben,(F$5-Arbeitszeit!$A$6+1),(2*(ROW()-ROW(A_Aufgabendatum))-1))),"")</f>
        <v>0</v>
      </c>
      <c r="G6" s="545">
        <f>IF(G$5&gt;0,(INDEX(A_Aufgaben,(G$5-Arbeitszeit!$A$6+1),(2*(ROW()-ROW(A_Aufgabendatum))-1))),"")</f>
        <v>0</v>
      </c>
      <c r="H6" s="546">
        <f>IF(H$5&gt;0,(INDEX(A_Aufgaben,(H$5-Arbeitszeit!$A$6+1),(2*(ROW()-ROW(A_Aufgabendatum))-1))),"")</f>
        <v>0</v>
      </c>
      <c r="I6" s="545">
        <f>IF(I$5&gt;0,(INDEX(A_Aufgaben,(I$5-Arbeitszeit!$A$6+1),(2*(ROW()-ROW(A_Aufgabendatum))-1))),"")</f>
        <v>0</v>
      </c>
      <c r="J6" s="546">
        <f>IF(J$5&gt;0,(INDEX(A_Aufgaben,(J$5-Arbeitszeit!$A$6+1),(2*(ROW()-ROW(A_Aufgabendatum))-1))),"")</f>
        <v>0</v>
      </c>
      <c r="K6" s="545">
        <f>IF(K$5&gt;0,(INDEX(A_Aufgaben,(K$5-Arbeitszeit!$A$6+1),(2*(ROW()-ROW(A_Aufgabendatum))-1))),"")</f>
        <v>0</v>
      </c>
      <c r="L6" s="546">
        <f>IF(L$5&gt;0,(INDEX(A_Aufgaben,(L$5-Arbeitszeit!$A$6+1),(2*(ROW()-ROW(A_Aufgabendatum))-1))),"")</f>
        <v>0</v>
      </c>
      <c r="M6" s="545">
        <f>IF(M$5&gt;0,(INDEX(A_Aufgaben,(M$5-Arbeitszeit!$A$6+1),(2*(ROW()-ROW(A_Aufgabendatum))-1))),"")</f>
        <v>0</v>
      </c>
      <c r="N6" s="546">
        <f>IF(N$5&gt;0,(INDEX(A_Aufgaben,(N$5-Arbeitszeit!$A$6+1),(2*(ROW()-ROW(A_Aufgabendatum))-1))),"")</f>
        <v>0</v>
      </c>
      <c r="O6" s="545">
        <f>IF(O$5&gt;0,(INDEX(A_Aufgaben,(O$5-Arbeitszeit!$A$6+1),(2*(ROW()-ROW(A_Aufgabendatum))-1))),"")</f>
        <v>0</v>
      </c>
      <c r="P6" s="546">
        <f>IF(P$5&gt;0,(INDEX(A_Aufgaben,(P$5-Arbeitszeit!$A$6+1),(2*(ROW()-ROW(A_Aufgabendatum))-1))),"")</f>
        <v>0</v>
      </c>
      <c r="Q6" s="545">
        <f>IF(Q$5&gt;0,(INDEX(A_Aufgaben,(Q$5-Arbeitszeit!$A$6+1),(2*(ROW()-ROW(A_Aufgabendatum))-1))),"")</f>
        <v>0</v>
      </c>
      <c r="R6" s="546">
        <f>IF(R$5&gt;0,(INDEX(A_Aufgaben,(R$5-Arbeitszeit!$A$6+1),(2*(ROW()-ROW(A_Aufgabendatum))-1))),"")</f>
        <v>0</v>
      </c>
      <c r="S6" s="545">
        <f>IF(S$5&gt;0,(INDEX(A_Aufgaben,(S$5-Arbeitszeit!$A$6+1),(2*(ROW()-ROW(A_Aufgabendatum))-1))),"")</f>
        <v>0</v>
      </c>
      <c r="T6" s="546">
        <f>IF(T$5&gt;0,(INDEX(A_Aufgaben,(T$5-Arbeitszeit!$A$6+1),(2*(ROW()-ROW(A_Aufgabendatum))-1))),"")</f>
        <v>0</v>
      </c>
      <c r="U6" s="545">
        <f>IF(U$5&gt;0,(INDEX(A_Aufgaben,(U$5-Arbeitszeit!$A$6+1),(2*(ROW()-ROW(A_Aufgabendatum))-1))),"")</f>
        <v>0</v>
      </c>
      <c r="V6" s="546">
        <f>IF(V$5&gt;0,(INDEX(A_Aufgaben,(V$5-Arbeitszeit!$A$6+1),(2*(ROW()-ROW(A_Aufgabendatum))-1))),"")</f>
        <v>0</v>
      </c>
      <c r="W6" s="545">
        <f>IF(W$5&gt;0,(INDEX(A_Aufgaben,(W$5-Arbeitszeit!$A$6+1),(2*(ROW()-ROW(A_Aufgabendatum))-1))),"")</f>
        <v>0</v>
      </c>
      <c r="X6" s="546">
        <f>IF(X$5&gt;0,(INDEX(A_Aufgaben,(X$5-Arbeitszeit!$A$6+1),(2*(ROW()-ROW(A_Aufgabendatum))-1))),"")</f>
        <v>0</v>
      </c>
      <c r="Y6" s="545">
        <f>IF(Y$5&gt;0,(INDEX(A_Aufgaben,(Y$5-Arbeitszeit!$A$6+1),(2*(ROW()-ROW(A_Aufgabendatum))-1))),"")</f>
        <v>0</v>
      </c>
      <c r="Z6" s="546">
        <f>IF(Z$5&gt;0,(INDEX(A_Aufgaben,(Z$5-Arbeitszeit!$A$6+1),(2*(ROW()-ROW(A_Aufgabendatum))-1))),"")</f>
        <v>0</v>
      </c>
      <c r="AA6" s="545">
        <f>IF(AA$5&gt;0,(INDEX(A_Aufgaben,(AA$5-Arbeitszeit!$A$6+1),(2*(ROW()-ROW(A_Aufgabendatum))-1))),"")</f>
        <v>0</v>
      </c>
      <c r="AB6" s="546">
        <f>IF(AB$5&gt;0,(INDEX(A_Aufgaben,(AB$5-Arbeitszeit!$A$6+1),(2*(ROW()-ROW(A_Aufgabendatum))-1))),"")</f>
        <v>0</v>
      </c>
      <c r="AC6" s="545">
        <f>IF(AC$5&gt;0,(INDEX(A_Aufgaben,(AC$5-Arbeitszeit!$A$6+1),(2*(ROW()-ROW(A_Aufgabendatum))-1))),"")</f>
        <v>0</v>
      </c>
      <c r="AD6" s="546">
        <f>IF(AD$5&gt;0,(INDEX(A_Aufgaben,(AD$5-Arbeitszeit!$A$6+1),(2*(ROW()-ROW(A_Aufgabendatum))-1))),"")</f>
        <v>0</v>
      </c>
      <c r="AE6" s="545">
        <f>IF(AE$5&gt;0,(INDEX(A_Aufgaben,(AE$5-Arbeitszeit!$A$6+1),(2*(ROW()-ROW(A_Aufgabendatum))-1))),"")</f>
        <v>0</v>
      </c>
      <c r="AF6" s="546">
        <f>IF(AF$5&gt;0,(INDEX(A_Aufgaben,(AF$5-Arbeitszeit!$A$6+1),(2*(ROW()-ROW(A_Aufgabendatum))-1))),"")</f>
        <v>0</v>
      </c>
      <c r="AG6" s="545">
        <f>IF(AG$5&gt;0,(INDEX(A_Aufgaben,(AG$5-Arbeitszeit!$A$6+1),(2*(ROW()-ROW(A_Aufgabendatum))-1))),"")</f>
        <v>0</v>
      </c>
      <c r="AH6" s="554">
        <f t="shared" ref="AH6:AH27" si="1">SUM(C6:AG6)</f>
        <v>0</v>
      </c>
      <c r="AI6" s="3">
        <f>COUNTIF(C6:AG6,"&gt;0")</f>
        <v>0</v>
      </c>
    </row>
    <row r="7" spans="1:37">
      <c r="A7">
        <f>AK7</f>
        <v>0</v>
      </c>
      <c r="B7" s="544" t="str">
        <f>Aufgaben!I3</f>
        <v>Krank</v>
      </c>
      <c r="C7" s="545">
        <f>IF(C$5&gt;0,(INDEX(A_Aufgaben,(C$5-Arbeitszeit!$A$6+1),(2*(ROW()-ROW(A_Aufgabendatum))-1))),"")</f>
        <v>0</v>
      </c>
      <c r="D7" s="546">
        <f>IF(D$5&gt;0,(INDEX(A_Aufgaben,(D$5-Arbeitszeit!$A$6+1),(2*(ROW()-ROW(A_Aufgabendatum))-1))),"")</f>
        <v>0</v>
      </c>
      <c r="E7" s="545">
        <f>IF(E$5&gt;0,(INDEX(A_Aufgaben,(E$5-Arbeitszeit!$A$6+1),(2*(ROW()-ROW(A_Aufgabendatum))-1))),"")</f>
        <v>0</v>
      </c>
      <c r="F7" s="546">
        <f>IF(F$5&gt;0,(INDEX(A_Aufgaben,(F$5-Arbeitszeit!$A$6+1),(2*(ROW()-ROW(A_Aufgabendatum))-1))),"")</f>
        <v>0</v>
      </c>
      <c r="G7" s="545">
        <f>IF(G$5&gt;0,(INDEX(A_Aufgaben,(G$5-Arbeitszeit!$A$6+1),(2*(ROW()-ROW(A_Aufgabendatum))-1))),"")</f>
        <v>0</v>
      </c>
      <c r="H7" s="546">
        <f>IF(H$5&gt;0,(INDEX(A_Aufgaben,(H$5-Arbeitszeit!$A$6+1),(2*(ROW()-ROW(A_Aufgabendatum))-1))),"")</f>
        <v>0</v>
      </c>
      <c r="I7" s="545">
        <f>IF(I$5&gt;0,(INDEX(A_Aufgaben,(I$5-Arbeitszeit!$A$6+1),(2*(ROW()-ROW(A_Aufgabendatum))-1))),"")</f>
        <v>0</v>
      </c>
      <c r="J7" s="546">
        <f>IF(J$5&gt;0,(INDEX(A_Aufgaben,(J$5-Arbeitszeit!$A$6+1),(2*(ROW()-ROW(A_Aufgabendatum))-1))),"")</f>
        <v>0</v>
      </c>
      <c r="K7" s="545">
        <f>IF(K$5&gt;0,(INDEX(A_Aufgaben,(K$5-Arbeitszeit!$A$6+1),(2*(ROW()-ROW(A_Aufgabendatum))-1))),"")</f>
        <v>0</v>
      </c>
      <c r="L7" s="546">
        <f>IF(L$5&gt;0,(INDEX(A_Aufgaben,(L$5-Arbeitszeit!$A$6+1),(2*(ROW()-ROW(A_Aufgabendatum))-1))),"")</f>
        <v>0</v>
      </c>
      <c r="M7" s="545">
        <f>IF(M$5&gt;0,(INDEX(A_Aufgaben,(M$5-Arbeitszeit!$A$6+1),(2*(ROW()-ROW(A_Aufgabendatum))-1))),"")</f>
        <v>0</v>
      </c>
      <c r="N7" s="546">
        <f>IF(N$5&gt;0,(INDEX(A_Aufgaben,(N$5-Arbeitszeit!$A$6+1),(2*(ROW()-ROW(A_Aufgabendatum))-1))),"")</f>
        <v>0</v>
      </c>
      <c r="O7" s="545">
        <f>IF(O$5&gt;0,(INDEX(A_Aufgaben,(O$5-Arbeitszeit!$A$6+1),(2*(ROW()-ROW(A_Aufgabendatum))-1))),"")</f>
        <v>0</v>
      </c>
      <c r="P7" s="546">
        <f>IF(P$5&gt;0,(INDEX(A_Aufgaben,(P$5-Arbeitszeit!$A$6+1),(2*(ROW()-ROW(A_Aufgabendatum))-1))),"")</f>
        <v>0</v>
      </c>
      <c r="Q7" s="545">
        <f>IF(Q$5&gt;0,(INDEX(A_Aufgaben,(Q$5-Arbeitszeit!$A$6+1),(2*(ROW()-ROW(A_Aufgabendatum))-1))),"")</f>
        <v>0</v>
      </c>
      <c r="R7" s="546">
        <f>IF(R$5&gt;0,(INDEX(A_Aufgaben,(R$5-Arbeitszeit!$A$6+1),(2*(ROW()-ROW(A_Aufgabendatum))-1))),"")</f>
        <v>0</v>
      </c>
      <c r="S7" s="545">
        <f>IF(S$5&gt;0,(INDEX(A_Aufgaben,(S$5-Arbeitszeit!$A$6+1),(2*(ROW()-ROW(A_Aufgabendatum))-1))),"")</f>
        <v>0</v>
      </c>
      <c r="T7" s="546">
        <f>IF(T$5&gt;0,(INDEX(A_Aufgaben,(T$5-Arbeitszeit!$A$6+1),(2*(ROW()-ROW(A_Aufgabendatum))-1))),"")</f>
        <v>0</v>
      </c>
      <c r="U7" s="545">
        <f>IF(U$5&gt;0,(INDEX(A_Aufgaben,(U$5-Arbeitszeit!$A$6+1),(2*(ROW()-ROW(A_Aufgabendatum))-1))),"")</f>
        <v>0</v>
      </c>
      <c r="V7" s="546">
        <f>IF(V$5&gt;0,(INDEX(A_Aufgaben,(V$5-Arbeitszeit!$A$6+1),(2*(ROW()-ROW(A_Aufgabendatum))-1))),"")</f>
        <v>0</v>
      </c>
      <c r="W7" s="545">
        <f>IF(W$5&gt;0,(INDEX(A_Aufgaben,(W$5-Arbeitszeit!$A$6+1),(2*(ROW()-ROW(A_Aufgabendatum))-1))),"")</f>
        <v>0</v>
      </c>
      <c r="X7" s="546">
        <f>IF(X$5&gt;0,(INDEX(A_Aufgaben,(X$5-Arbeitszeit!$A$6+1),(2*(ROW()-ROW(A_Aufgabendatum))-1))),"")</f>
        <v>0</v>
      </c>
      <c r="Y7" s="545">
        <f>IF(Y$5&gt;0,(INDEX(A_Aufgaben,(Y$5-Arbeitszeit!$A$6+1),(2*(ROW()-ROW(A_Aufgabendatum))-1))),"")</f>
        <v>0</v>
      </c>
      <c r="Z7" s="546">
        <f>IF(Z$5&gt;0,(INDEX(A_Aufgaben,(Z$5-Arbeitszeit!$A$6+1),(2*(ROW()-ROW(A_Aufgabendatum))-1))),"")</f>
        <v>0</v>
      </c>
      <c r="AA7" s="545">
        <f>IF(AA$5&gt;0,(INDEX(A_Aufgaben,(AA$5-Arbeitszeit!$A$6+1),(2*(ROW()-ROW(A_Aufgabendatum))-1))),"")</f>
        <v>0</v>
      </c>
      <c r="AB7" s="546">
        <f>IF(AB$5&gt;0,(INDEX(A_Aufgaben,(AB$5-Arbeitszeit!$A$6+1),(2*(ROW()-ROW(A_Aufgabendatum))-1))),"")</f>
        <v>0</v>
      </c>
      <c r="AC7" s="545">
        <f>IF(AC$5&gt;0,(INDEX(A_Aufgaben,(AC$5-Arbeitszeit!$A$6+1),(2*(ROW()-ROW(A_Aufgabendatum))-1))),"")</f>
        <v>0</v>
      </c>
      <c r="AD7" s="546">
        <f>IF(AD$5&gt;0,(INDEX(A_Aufgaben,(AD$5-Arbeitszeit!$A$6+1),(2*(ROW()-ROW(A_Aufgabendatum))-1))),"")</f>
        <v>0</v>
      </c>
      <c r="AE7" s="545">
        <f>IF(AE$5&gt;0,(INDEX(A_Aufgaben,(AE$5-Arbeitszeit!$A$6+1),(2*(ROW()-ROW(A_Aufgabendatum))-1))),"")</f>
        <v>0</v>
      </c>
      <c r="AF7" s="546">
        <f>IF(AF$5&gt;0,(INDEX(A_Aufgaben,(AF$5-Arbeitszeit!$A$6+1),(2*(ROW()-ROW(A_Aufgabendatum))-1))),"")</f>
        <v>0</v>
      </c>
      <c r="AG7" s="545">
        <f>IF(AG$5&gt;0,(INDEX(A_Aufgaben,(AG$5-Arbeitszeit!$A$6+1),(2*(ROW()-ROW(A_Aufgabendatum))-1))),"")</f>
        <v>0</v>
      </c>
      <c r="AH7" s="554">
        <f t="shared" si="1"/>
        <v>0</v>
      </c>
      <c r="AI7" s="3">
        <f>COUNTIF(C7:AG7,"&gt;0")</f>
        <v>0</v>
      </c>
    </row>
    <row r="8" spans="1:37">
      <c r="A8">
        <f>AK8</f>
        <v>0</v>
      </c>
      <c r="B8" s="544" t="str">
        <f>Aufgaben!K3</f>
        <v>Allgemein</v>
      </c>
      <c r="C8" s="545">
        <f>IF(C$5&gt;0,(INDEX(A_Aufgaben,(C$5-Arbeitszeit!$A$6+1),(2*(ROW()-ROW(A_Aufgabendatum))-1))),"")</f>
        <v>0</v>
      </c>
      <c r="D8" s="546">
        <f>IF(D$5&gt;0,(INDEX(A_Aufgaben,(D$5-Arbeitszeit!$A$6+1),(2*(ROW()-ROW(A_Aufgabendatum))-1))),"")</f>
        <v>0</v>
      </c>
      <c r="E8" s="545">
        <f>IF(E$5&gt;0,(INDEX(A_Aufgaben,(E$5-Arbeitszeit!$A$6+1),(2*(ROW()-ROW(A_Aufgabendatum))-1))),"")</f>
        <v>0</v>
      </c>
      <c r="F8" s="546">
        <f>IF(F$5&gt;0,(INDEX(A_Aufgaben,(F$5-Arbeitszeit!$A$6+1),(2*(ROW()-ROW(A_Aufgabendatum))-1))),"")</f>
        <v>0</v>
      </c>
      <c r="G8" s="545">
        <f>IF(G$5&gt;0,(INDEX(A_Aufgaben,(G$5-Arbeitszeit!$A$6+1),(2*(ROW()-ROW(A_Aufgabendatum))-1))),"")</f>
        <v>0</v>
      </c>
      <c r="H8" s="546">
        <f>IF(H$5&gt;0,(INDEX(A_Aufgaben,(H$5-Arbeitszeit!$A$6+1),(2*(ROW()-ROW(A_Aufgabendatum))-1))),"")</f>
        <v>0</v>
      </c>
      <c r="I8" s="545">
        <f>IF(I$5&gt;0,(INDEX(A_Aufgaben,(I$5-Arbeitszeit!$A$6+1),(2*(ROW()-ROW(A_Aufgabendatum))-1))),"")</f>
        <v>0</v>
      </c>
      <c r="J8" s="546">
        <f>IF(J$5&gt;0,(INDEX(A_Aufgaben,(J$5-Arbeitszeit!$A$6+1),(2*(ROW()-ROW(A_Aufgabendatum))-1))),"")</f>
        <v>0</v>
      </c>
      <c r="K8" s="545">
        <f>IF(K$5&gt;0,(INDEX(A_Aufgaben,(K$5-Arbeitszeit!$A$6+1),(2*(ROW()-ROW(A_Aufgabendatum))-1))),"")</f>
        <v>0</v>
      </c>
      <c r="L8" s="546">
        <f>IF(L$5&gt;0,(INDEX(A_Aufgaben,(L$5-Arbeitszeit!$A$6+1),(2*(ROW()-ROW(A_Aufgabendatum))-1))),"")</f>
        <v>0</v>
      </c>
      <c r="M8" s="545">
        <f>IF(M$5&gt;0,(INDEX(A_Aufgaben,(M$5-Arbeitszeit!$A$6+1),(2*(ROW()-ROW(A_Aufgabendatum))-1))),"")</f>
        <v>0</v>
      </c>
      <c r="N8" s="546">
        <f>IF(N$5&gt;0,(INDEX(A_Aufgaben,(N$5-Arbeitszeit!$A$6+1),(2*(ROW()-ROW(A_Aufgabendatum))-1))),"")</f>
        <v>0</v>
      </c>
      <c r="O8" s="545">
        <f>IF(O$5&gt;0,(INDEX(A_Aufgaben,(O$5-Arbeitszeit!$A$6+1),(2*(ROW()-ROW(A_Aufgabendatum))-1))),"")</f>
        <v>0</v>
      </c>
      <c r="P8" s="546">
        <f>IF(P$5&gt;0,(INDEX(A_Aufgaben,(P$5-Arbeitszeit!$A$6+1),(2*(ROW()-ROW(A_Aufgabendatum))-1))),"")</f>
        <v>0</v>
      </c>
      <c r="Q8" s="545">
        <f>IF(Q$5&gt;0,(INDEX(A_Aufgaben,(Q$5-Arbeitszeit!$A$6+1),(2*(ROW()-ROW(A_Aufgabendatum))-1))),"")</f>
        <v>0</v>
      </c>
      <c r="R8" s="546">
        <f>IF(R$5&gt;0,(INDEX(A_Aufgaben,(R$5-Arbeitszeit!$A$6+1),(2*(ROW()-ROW(A_Aufgabendatum))-1))),"")</f>
        <v>0</v>
      </c>
      <c r="S8" s="545">
        <f>IF(S$5&gt;0,(INDEX(A_Aufgaben,(S$5-Arbeitszeit!$A$6+1),(2*(ROW()-ROW(A_Aufgabendatum))-1))),"")</f>
        <v>0</v>
      </c>
      <c r="T8" s="546">
        <f>IF(T$5&gt;0,(INDEX(A_Aufgaben,(T$5-Arbeitszeit!$A$6+1),(2*(ROW()-ROW(A_Aufgabendatum))-1))),"")</f>
        <v>0</v>
      </c>
      <c r="U8" s="545">
        <f>IF(U$5&gt;0,(INDEX(A_Aufgaben,(U$5-Arbeitszeit!$A$6+1),(2*(ROW()-ROW(A_Aufgabendatum))-1))),"")</f>
        <v>0</v>
      </c>
      <c r="V8" s="546">
        <f>IF(V$5&gt;0,(INDEX(A_Aufgaben,(V$5-Arbeitszeit!$A$6+1),(2*(ROW()-ROW(A_Aufgabendatum))-1))),"")</f>
        <v>0</v>
      </c>
      <c r="W8" s="545">
        <f>IF(W$5&gt;0,(INDEX(A_Aufgaben,(W$5-Arbeitszeit!$A$6+1),(2*(ROW()-ROW(A_Aufgabendatum))-1))),"")</f>
        <v>0</v>
      </c>
      <c r="X8" s="546">
        <f>IF(X$5&gt;0,(INDEX(A_Aufgaben,(X$5-Arbeitszeit!$A$6+1),(2*(ROW()-ROW(A_Aufgabendatum))-1))),"")</f>
        <v>0</v>
      </c>
      <c r="Y8" s="545">
        <f>IF(Y$5&gt;0,(INDEX(A_Aufgaben,(Y$5-Arbeitszeit!$A$6+1),(2*(ROW()-ROW(A_Aufgabendatum))-1))),"")</f>
        <v>0</v>
      </c>
      <c r="Z8" s="546">
        <f>IF(Z$5&gt;0,(INDEX(A_Aufgaben,(Z$5-Arbeitszeit!$A$6+1),(2*(ROW()-ROW(A_Aufgabendatum))-1))),"")</f>
        <v>0</v>
      </c>
      <c r="AA8" s="545">
        <f>IF(AA$5&gt;0,(INDEX(A_Aufgaben,(AA$5-Arbeitszeit!$A$6+1),(2*(ROW()-ROW(A_Aufgabendatum))-1))),"")</f>
        <v>0</v>
      </c>
      <c r="AB8" s="546">
        <f>IF(AB$5&gt;0,(INDEX(A_Aufgaben,(AB$5-Arbeitszeit!$A$6+1),(2*(ROW()-ROW(A_Aufgabendatum))-1))),"")</f>
        <v>0</v>
      </c>
      <c r="AC8" s="545">
        <f>IF(AC$5&gt;0,(INDEX(A_Aufgaben,(AC$5-Arbeitszeit!$A$6+1),(2*(ROW()-ROW(A_Aufgabendatum))-1))),"")</f>
        <v>0</v>
      </c>
      <c r="AD8" s="546">
        <f>IF(AD$5&gt;0,(INDEX(A_Aufgaben,(AD$5-Arbeitszeit!$A$6+1),(2*(ROW()-ROW(A_Aufgabendatum))-1))),"")</f>
        <v>0</v>
      </c>
      <c r="AE8" s="545">
        <f>IF(AE$5&gt;0,(INDEX(A_Aufgaben,(AE$5-Arbeitszeit!$A$6+1),(2*(ROW()-ROW(A_Aufgabendatum))-1))),"")</f>
        <v>0</v>
      </c>
      <c r="AF8" s="546">
        <f>IF(AF$5&gt;0,(INDEX(A_Aufgaben,(AF$5-Arbeitszeit!$A$6+1),(2*(ROW()-ROW(A_Aufgabendatum))-1))),"")</f>
        <v>0</v>
      </c>
      <c r="AG8" s="545">
        <f>IF(AG$5&gt;0,(INDEX(A_Aufgaben,(AG$5-Arbeitszeit!$A$6+1),(2*(ROW()-ROW(A_Aufgabendatum))-1))),"")</f>
        <v>0</v>
      </c>
      <c r="AH8" s="554">
        <f t="shared" si="1"/>
        <v>0</v>
      </c>
      <c r="AI8" s="3">
        <f>COUNTIF(C8:AG8,"&gt;0")</f>
        <v>0</v>
      </c>
    </row>
    <row r="9" spans="1:37">
      <c r="A9">
        <f>AK9</f>
        <v>0</v>
      </c>
      <c r="B9" s="544" t="str">
        <f>Aufgaben!M3</f>
        <v>Aufgabe 01</v>
      </c>
      <c r="C9" s="545">
        <f>IF(C$5&gt;0,(INDEX(A_Aufgaben,(C$5-Arbeitszeit!$A$6+1),(2*(ROW()-ROW(A_Aufgabendatum))-1))),"")</f>
        <v>0</v>
      </c>
      <c r="D9" s="546">
        <f>IF(D$5&gt;0,(INDEX(A_Aufgaben,(D$5-Arbeitszeit!$A$6+1),(2*(ROW()-ROW(A_Aufgabendatum))-1))),"")</f>
        <v>0</v>
      </c>
      <c r="E9" s="545">
        <f>IF(E$5&gt;0,(INDEX(A_Aufgaben,(E$5-Arbeitszeit!$A$6+1),(2*(ROW()-ROW(A_Aufgabendatum))-1))),"")</f>
        <v>0</v>
      </c>
      <c r="F9" s="546">
        <f>IF(F$5&gt;0,(INDEX(A_Aufgaben,(F$5-Arbeitszeit!$A$6+1),(2*(ROW()-ROW(A_Aufgabendatum))-1))),"")</f>
        <v>0</v>
      </c>
      <c r="G9" s="545">
        <f>IF(G$5&gt;0,(INDEX(A_Aufgaben,(G$5-Arbeitszeit!$A$6+1),(2*(ROW()-ROW(A_Aufgabendatum))-1))),"")</f>
        <v>0</v>
      </c>
      <c r="H9" s="546">
        <f>IF(H$5&gt;0,(INDEX(A_Aufgaben,(H$5-Arbeitszeit!$A$6+1),(2*(ROW()-ROW(A_Aufgabendatum))-1))),"")</f>
        <v>0</v>
      </c>
      <c r="I9" s="545">
        <f>IF(I$5&gt;0,(INDEX(A_Aufgaben,(I$5-Arbeitszeit!$A$6+1),(2*(ROW()-ROW(A_Aufgabendatum))-1))),"")</f>
        <v>0</v>
      </c>
      <c r="J9" s="546">
        <f>IF(J$5&gt;0,(INDEX(A_Aufgaben,(J$5-Arbeitszeit!$A$6+1),(2*(ROW()-ROW(A_Aufgabendatum))-1))),"")</f>
        <v>0</v>
      </c>
      <c r="K9" s="545">
        <f>IF(K$5&gt;0,(INDEX(A_Aufgaben,(K$5-Arbeitszeit!$A$6+1),(2*(ROW()-ROW(A_Aufgabendatum))-1))),"")</f>
        <v>0</v>
      </c>
      <c r="L9" s="546">
        <f>IF(L$5&gt;0,(INDEX(A_Aufgaben,(L$5-Arbeitszeit!$A$6+1),(2*(ROW()-ROW(A_Aufgabendatum))-1))),"")</f>
        <v>0</v>
      </c>
      <c r="M9" s="545">
        <f>IF(M$5&gt;0,(INDEX(A_Aufgaben,(M$5-Arbeitszeit!$A$6+1),(2*(ROW()-ROW(A_Aufgabendatum))-1))),"")</f>
        <v>0</v>
      </c>
      <c r="N9" s="546">
        <f>IF(N$5&gt;0,(INDEX(A_Aufgaben,(N$5-Arbeitszeit!$A$6+1),(2*(ROW()-ROW(A_Aufgabendatum))-1))),"")</f>
        <v>0</v>
      </c>
      <c r="O9" s="545">
        <f>IF(O$5&gt;0,(INDEX(A_Aufgaben,(O$5-Arbeitszeit!$A$6+1),(2*(ROW()-ROW(A_Aufgabendatum))-1))),"")</f>
        <v>0</v>
      </c>
      <c r="P9" s="546">
        <f>IF(P$5&gt;0,(INDEX(A_Aufgaben,(P$5-Arbeitszeit!$A$6+1),(2*(ROW()-ROW(A_Aufgabendatum))-1))),"")</f>
        <v>0</v>
      </c>
      <c r="Q9" s="545">
        <f>IF(Q$5&gt;0,(INDEX(A_Aufgaben,(Q$5-Arbeitszeit!$A$6+1),(2*(ROW()-ROW(A_Aufgabendatum))-1))),"")</f>
        <v>0</v>
      </c>
      <c r="R9" s="546">
        <f>IF(R$5&gt;0,(INDEX(A_Aufgaben,(R$5-Arbeitszeit!$A$6+1),(2*(ROW()-ROW(A_Aufgabendatum))-1))),"")</f>
        <v>0</v>
      </c>
      <c r="S9" s="545">
        <f>IF(S$5&gt;0,(INDEX(A_Aufgaben,(S$5-Arbeitszeit!$A$6+1),(2*(ROW()-ROW(A_Aufgabendatum))-1))),"")</f>
        <v>0</v>
      </c>
      <c r="T9" s="546">
        <f>IF(T$5&gt;0,(INDEX(A_Aufgaben,(T$5-Arbeitszeit!$A$6+1),(2*(ROW()-ROW(A_Aufgabendatum))-1))),"")</f>
        <v>0</v>
      </c>
      <c r="U9" s="545">
        <f>IF(U$5&gt;0,(INDEX(A_Aufgaben,(U$5-Arbeitszeit!$A$6+1),(2*(ROW()-ROW(A_Aufgabendatum))-1))),"")</f>
        <v>0</v>
      </c>
      <c r="V9" s="546">
        <f>IF(V$5&gt;0,(INDEX(A_Aufgaben,(V$5-Arbeitszeit!$A$6+1),(2*(ROW()-ROW(A_Aufgabendatum))-1))),"")</f>
        <v>0</v>
      </c>
      <c r="W9" s="545">
        <f>IF(W$5&gt;0,(INDEX(A_Aufgaben,(W$5-Arbeitszeit!$A$6+1),(2*(ROW()-ROW(A_Aufgabendatum))-1))),"")</f>
        <v>0</v>
      </c>
      <c r="X9" s="546">
        <f>IF(X$5&gt;0,(INDEX(A_Aufgaben,(X$5-Arbeitszeit!$A$6+1),(2*(ROW()-ROW(A_Aufgabendatum))-1))),"")</f>
        <v>0</v>
      </c>
      <c r="Y9" s="545">
        <f>IF(Y$5&gt;0,(INDEX(A_Aufgaben,(Y$5-Arbeitszeit!$A$6+1),(2*(ROW()-ROW(A_Aufgabendatum))-1))),"")</f>
        <v>0</v>
      </c>
      <c r="Z9" s="546">
        <f>IF(Z$5&gt;0,(INDEX(A_Aufgaben,(Z$5-Arbeitszeit!$A$6+1),(2*(ROW()-ROW(A_Aufgabendatum))-1))),"")</f>
        <v>0</v>
      </c>
      <c r="AA9" s="545">
        <f>IF(AA$5&gt;0,(INDEX(A_Aufgaben,(AA$5-Arbeitszeit!$A$6+1),(2*(ROW()-ROW(A_Aufgabendatum))-1))),"")</f>
        <v>0</v>
      </c>
      <c r="AB9" s="546">
        <f>IF(AB$5&gt;0,(INDEX(A_Aufgaben,(AB$5-Arbeitszeit!$A$6+1),(2*(ROW()-ROW(A_Aufgabendatum))-1))),"")</f>
        <v>0</v>
      </c>
      <c r="AC9" s="545">
        <f>IF(AC$5&gt;0,(INDEX(A_Aufgaben,(AC$5-Arbeitszeit!$A$6+1),(2*(ROW()-ROW(A_Aufgabendatum))-1))),"")</f>
        <v>0</v>
      </c>
      <c r="AD9" s="546">
        <f>IF(AD$5&gt;0,(INDEX(A_Aufgaben,(AD$5-Arbeitszeit!$A$6+1),(2*(ROW()-ROW(A_Aufgabendatum))-1))),"")</f>
        <v>0</v>
      </c>
      <c r="AE9" s="545">
        <f>IF(AE$5&gt;0,(INDEX(A_Aufgaben,(AE$5-Arbeitszeit!$A$6+1),(2*(ROW()-ROW(A_Aufgabendatum))-1))),"")</f>
        <v>0</v>
      </c>
      <c r="AF9" s="546">
        <f>IF(AF$5&gt;0,(INDEX(A_Aufgaben,(AF$5-Arbeitszeit!$A$6+1),(2*(ROW()-ROW(A_Aufgabendatum))-1))),"")</f>
        <v>0</v>
      </c>
      <c r="AG9" s="545">
        <f>IF(AG$5&gt;0,(INDEX(A_Aufgaben,(AG$5-Arbeitszeit!$A$6+1),(2*(ROW()-ROW(A_Aufgabendatum))-1))),"")</f>
        <v>0</v>
      </c>
      <c r="AH9" s="554">
        <f t="shared" si="1"/>
        <v>0</v>
      </c>
      <c r="AI9" s="3">
        <f>COUNTIF(C9:AG9,"&gt;0")</f>
        <v>0</v>
      </c>
    </row>
    <row r="10" spans="1:37">
      <c r="A10">
        <f>AK10</f>
        <v>0</v>
      </c>
      <c r="B10" s="544" t="str">
        <f>Aufgaben!O3</f>
        <v>Aufgabe 02</v>
      </c>
      <c r="C10" s="545">
        <f>IF(C$5&gt;0,(INDEX(A_Aufgaben,(C$5-Arbeitszeit!$A$6+1),(2*(ROW()-ROW(A_Aufgabendatum))-1))),"")</f>
        <v>0</v>
      </c>
      <c r="D10" s="546">
        <f>IF(D$5&gt;0,(INDEX(A_Aufgaben,(D$5-Arbeitszeit!$A$6+1),(2*(ROW()-ROW(A_Aufgabendatum))-1))),"")</f>
        <v>0</v>
      </c>
      <c r="E10" s="545">
        <f>IF(E$5&gt;0,(INDEX(A_Aufgaben,(E$5-Arbeitszeit!$A$6+1),(2*(ROW()-ROW(A_Aufgabendatum))-1))),"")</f>
        <v>0</v>
      </c>
      <c r="F10" s="546">
        <f>IF(F$5&gt;0,(INDEX(A_Aufgaben,(F$5-Arbeitszeit!$A$6+1),(2*(ROW()-ROW(A_Aufgabendatum))-1))),"")</f>
        <v>0</v>
      </c>
      <c r="G10" s="545">
        <f>IF(G$5&gt;0,(INDEX(A_Aufgaben,(G$5-Arbeitszeit!$A$6+1),(2*(ROW()-ROW(A_Aufgabendatum))-1))),"")</f>
        <v>0</v>
      </c>
      <c r="H10" s="546">
        <f>IF(H$5&gt;0,(INDEX(A_Aufgaben,(H$5-Arbeitszeit!$A$6+1),(2*(ROW()-ROW(A_Aufgabendatum))-1))),"")</f>
        <v>0</v>
      </c>
      <c r="I10" s="545">
        <f>IF(I$5&gt;0,(INDEX(A_Aufgaben,(I$5-Arbeitszeit!$A$6+1),(2*(ROW()-ROW(A_Aufgabendatum))-1))),"")</f>
        <v>0</v>
      </c>
      <c r="J10" s="546">
        <f>IF(J$5&gt;0,(INDEX(A_Aufgaben,(J$5-Arbeitszeit!$A$6+1),(2*(ROW()-ROW(A_Aufgabendatum))-1))),"")</f>
        <v>0</v>
      </c>
      <c r="K10" s="545">
        <f>IF(K$5&gt;0,(INDEX(A_Aufgaben,(K$5-Arbeitszeit!$A$6+1),(2*(ROW()-ROW(A_Aufgabendatum))-1))),"")</f>
        <v>0</v>
      </c>
      <c r="L10" s="546">
        <f>IF(L$5&gt;0,(INDEX(A_Aufgaben,(L$5-Arbeitszeit!$A$6+1),(2*(ROW()-ROW(A_Aufgabendatum))-1))),"")</f>
        <v>0</v>
      </c>
      <c r="M10" s="545">
        <f>IF(M$5&gt;0,(INDEX(A_Aufgaben,(M$5-Arbeitszeit!$A$6+1),(2*(ROW()-ROW(A_Aufgabendatum))-1))),"")</f>
        <v>0</v>
      </c>
      <c r="N10" s="546">
        <f>IF(N$5&gt;0,(INDEX(A_Aufgaben,(N$5-Arbeitszeit!$A$6+1),(2*(ROW()-ROW(A_Aufgabendatum))-1))),"")</f>
        <v>0</v>
      </c>
      <c r="O10" s="545">
        <f>IF(O$5&gt;0,(INDEX(A_Aufgaben,(O$5-Arbeitszeit!$A$6+1),(2*(ROW()-ROW(A_Aufgabendatum))-1))),"")</f>
        <v>0</v>
      </c>
      <c r="P10" s="546">
        <f>IF(P$5&gt;0,(INDEX(A_Aufgaben,(P$5-Arbeitszeit!$A$6+1),(2*(ROW()-ROW(A_Aufgabendatum))-1))),"")</f>
        <v>0</v>
      </c>
      <c r="Q10" s="545">
        <f>IF(Q$5&gt;0,(INDEX(A_Aufgaben,(Q$5-Arbeitszeit!$A$6+1),(2*(ROW()-ROW(A_Aufgabendatum))-1))),"")</f>
        <v>0</v>
      </c>
      <c r="R10" s="546">
        <f>IF(R$5&gt;0,(INDEX(A_Aufgaben,(R$5-Arbeitszeit!$A$6+1),(2*(ROW()-ROW(A_Aufgabendatum))-1))),"")</f>
        <v>0</v>
      </c>
      <c r="S10" s="545">
        <f>IF(S$5&gt;0,(INDEX(A_Aufgaben,(S$5-Arbeitszeit!$A$6+1),(2*(ROW()-ROW(A_Aufgabendatum))-1))),"")</f>
        <v>0</v>
      </c>
      <c r="T10" s="546">
        <f>IF(T$5&gt;0,(INDEX(A_Aufgaben,(T$5-Arbeitszeit!$A$6+1),(2*(ROW()-ROW(A_Aufgabendatum))-1))),"")</f>
        <v>0</v>
      </c>
      <c r="U10" s="545">
        <f>IF(U$5&gt;0,(INDEX(A_Aufgaben,(U$5-Arbeitszeit!$A$6+1),(2*(ROW()-ROW(A_Aufgabendatum))-1))),"")</f>
        <v>0</v>
      </c>
      <c r="V10" s="546">
        <f>IF(V$5&gt;0,(INDEX(A_Aufgaben,(V$5-Arbeitszeit!$A$6+1),(2*(ROW()-ROW(A_Aufgabendatum))-1))),"")</f>
        <v>0</v>
      </c>
      <c r="W10" s="545">
        <f>IF(W$5&gt;0,(INDEX(A_Aufgaben,(W$5-Arbeitszeit!$A$6+1),(2*(ROW()-ROW(A_Aufgabendatum))-1))),"")</f>
        <v>0</v>
      </c>
      <c r="X10" s="546">
        <f>IF(X$5&gt;0,(INDEX(A_Aufgaben,(X$5-Arbeitszeit!$A$6+1),(2*(ROW()-ROW(A_Aufgabendatum))-1))),"")</f>
        <v>0</v>
      </c>
      <c r="Y10" s="545">
        <f>IF(Y$5&gt;0,(INDEX(A_Aufgaben,(Y$5-Arbeitszeit!$A$6+1),(2*(ROW()-ROW(A_Aufgabendatum))-1))),"")</f>
        <v>0</v>
      </c>
      <c r="Z10" s="546">
        <f>IF(Z$5&gt;0,(INDEX(A_Aufgaben,(Z$5-Arbeitszeit!$A$6+1),(2*(ROW()-ROW(A_Aufgabendatum))-1))),"")</f>
        <v>0</v>
      </c>
      <c r="AA10" s="545">
        <f>IF(AA$5&gt;0,(INDEX(A_Aufgaben,(AA$5-Arbeitszeit!$A$6+1),(2*(ROW()-ROW(A_Aufgabendatum))-1))),"")</f>
        <v>0</v>
      </c>
      <c r="AB10" s="546">
        <f>IF(AB$5&gt;0,(INDEX(A_Aufgaben,(AB$5-Arbeitszeit!$A$6+1),(2*(ROW()-ROW(A_Aufgabendatum))-1))),"")</f>
        <v>0</v>
      </c>
      <c r="AC10" s="545">
        <f>IF(AC$5&gt;0,(INDEX(A_Aufgaben,(AC$5-Arbeitszeit!$A$6+1),(2*(ROW()-ROW(A_Aufgabendatum))-1))),"")</f>
        <v>0</v>
      </c>
      <c r="AD10" s="546">
        <f>IF(AD$5&gt;0,(INDEX(A_Aufgaben,(AD$5-Arbeitszeit!$A$6+1),(2*(ROW()-ROW(A_Aufgabendatum))-1))),"")</f>
        <v>0</v>
      </c>
      <c r="AE10" s="545">
        <f>IF(AE$5&gt;0,(INDEX(A_Aufgaben,(AE$5-Arbeitszeit!$A$6+1),(2*(ROW()-ROW(A_Aufgabendatum))-1))),"")</f>
        <v>0</v>
      </c>
      <c r="AF10" s="546">
        <f>IF(AF$5&gt;0,(INDEX(A_Aufgaben,(AF$5-Arbeitszeit!$A$6+1),(2*(ROW()-ROW(A_Aufgabendatum))-1))),"")</f>
        <v>0</v>
      </c>
      <c r="AG10" s="545">
        <f>IF(AG$5&gt;0,(INDEX(A_Aufgaben,(AG$5-Arbeitszeit!$A$6+1),(2*(ROW()-ROW(A_Aufgabendatum))-1))),"")</f>
        <v>0</v>
      </c>
      <c r="AH10" s="554">
        <f t="shared" si="1"/>
        <v>0</v>
      </c>
      <c r="AI10" s="3">
        <f t="shared" ref="AI10:AI27" si="2">COUNTIF(C10:AG10,"&gt;0")</f>
        <v>0</v>
      </c>
    </row>
    <row r="11" spans="1:37">
      <c r="A11">
        <f t="shared" ref="A11:A27" si="3">AK11</f>
        <v>0</v>
      </c>
      <c r="B11" s="544" t="str">
        <f>Aufgaben!Q3</f>
        <v>Aufgabe 03</v>
      </c>
      <c r="C11" s="545">
        <f>IF(C$5&gt;0,(INDEX(A_Aufgaben,(C$5-Arbeitszeit!$A$6+1),(2*(ROW()-ROW(A_Aufgabendatum))-1))),"")</f>
        <v>0</v>
      </c>
      <c r="D11" s="546">
        <f>IF(D$5&gt;0,(INDEX(A_Aufgaben,(D$5-Arbeitszeit!$A$6+1),(2*(ROW()-ROW(A_Aufgabendatum))-1))),"")</f>
        <v>0</v>
      </c>
      <c r="E11" s="545">
        <f>IF(E$5&gt;0,(INDEX(A_Aufgaben,(E$5-Arbeitszeit!$A$6+1),(2*(ROW()-ROW(A_Aufgabendatum))-1))),"")</f>
        <v>0</v>
      </c>
      <c r="F11" s="546">
        <f>IF(F$5&gt;0,(INDEX(A_Aufgaben,(F$5-Arbeitszeit!$A$6+1),(2*(ROW()-ROW(A_Aufgabendatum))-1))),"")</f>
        <v>0</v>
      </c>
      <c r="G11" s="545">
        <f>IF(G$5&gt;0,(INDEX(A_Aufgaben,(G$5-Arbeitszeit!$A$6+1),(2*(ROW()-ROW(A_Aufgabendatum))-1))),"")</f>
        <v>0</v>
      </c>
      <c r="H11" s="546">
        <f>IF(H$5&gt;0,(INDEX(A_Aufgaben,(H$5-Arbeitszeit!$A$6+1),(2*(ROW()-ROW(A_Aufgabendatum))-1))),"")</f>
        <v>0</v>
      </c>
      <c r="I11" s="545">
        <f>IF(I$5&gt;0,(INDEX(A_Aufgaben,(I$5-Arbeitszeit!$A$6+1),(2*(ROW()-ROW(A_Aufgabendatum))-1))),"")</f>
        <v>0</v>
      </c>
      <c r="J11" s="546">
        <f>IF(J$5&gt;0,(INDEX(A_Aufgaben,(J$5-Arbeitszeit!$A$6+1),(2*(ROW()-ROW(A_Aufgabendatum))-1))),"")</f>
        <v>0</v>
      </c>
      <c r="K11" s="545">
        <f>IF(K$5&gt;0,(INDEX(A_Aufgaben,(K$5-Arbeitszeit!$A$6+1),(2*(ROW()-ROW(A_Aufgabendatum))-1))),"")</f>
        <v>0</v>
      </c>
      <c r="L11" s="546">
        <f>IF(L$5&gt;0,(INDEX(A_Aufgaben,(L$5-Arbeitszeit!$A$6+1),(2*(ROW()-ROW(A_Aufgabendatum))-1))),"")</f>
        <v>0</v>
      </c>
      <c r="M11" s="545">
        <f>IF(M$5&gt;0,(INDEX(A_Aufgaben,(M$5-Arbeitszeit!$A$6+1),(2*(ROW()-ROW(A_Aufgabendatum))-1))),"")</f>
        <v>0</v>
      </c>
      <c r="N11" s="546">
        <f>IF(N$5&gt;0,(INDEX(A_Aufgaben,(N$5-Arbeitszeit!$A$6+1),(2*(ROW()-ROW(A_Aufgabendatum))-1))),"")</f>
        <v>0</v>
      </c>
      <c r="O11" s="545">
        <f>IF(O$5&gt;0,(INDEX(A_Aufgaben,(O$5-Arbeitszeit!$A$6+1),(2*(ROW()-ROW(A_Aufgabendatum))-1))),"")</f>
        <v>0</v>
      </c>
      <c r="P11" s="546">
        <f>IF(P$5&gt;0,(INDEX(A_Aufgaben,(P$5-Arbeitszeit!$A$6+1),(2*(ROW()-ROW(A_Aufgabendatum))-1))),"")</f>
        <v>0</v>
      </c>
      <c r="Q11" s="545">
        <f>IF(Q$5&gt;0,(INDEX(A_Aufgaben,(Q$5-Arbeitszeit!$A$6+1),(2*(ROW()-ROW(A_Aufgabendatum))-1))),"")</f>
        <v>0</v>
      </c>
      <c r="R11" s="546">
        <f>IF(R$5&gt;0,(INDEX(A_Aufgaben,(R$5-Arbeitszeit!$A$6+1),(2*(ROW()-ROW(A_Aufgabendatum))-1))),"")</f>
        <v>0</v>
      </c>
      <c r="S11" s="545">
        <f>IF(S$5&gt;0,(INDEX(A_Aufgaben,(S$5-Arbeitszeit!$A$6+1),(2*(ROW()-ROW(A_Aufgabendatum))-1))),"")</f>
        <v>0</v>
      </c>
      <c r="T11" s="546">
        <f>IF(T$5&gt;0,(INDEX(A_Aufgaben,(T$5-Arbeitszeit!$A$6+1),(2*(ROW()-ROW(A_Aufgabendatum))-1))),"")</f>
        <v>0</v>
      </c>
      <c r="U11" s="545">
        <f>IF(U$5&gt;0,(INDEX(A_Aufgaben,(U$5-Arbeitszeit!$A$6+1),(2*(ROW()-ROW(A_Aufgabendatum))-1))),"")</f>
        <v>0</v>
      </c>
      <c r="V11" s="546">
        <f>IF(V$5&gt;0,(INDEX(A_Aufgaben,(V$5-Arbeitszeit!$A$6+1),(2*(ROW()-ROW(A_Aufgabendatum))-1))),"")</f>
        <v>0</v>
      </c>
      <c r="W11" s="545">
        <f>IF(W$5&gt;0,(INDEX(A_Aufgaben,(W$5-Arbeitszeit!$A$6+1),(2*(ROW()-ROW(A_Aufgabendatum))-1))),"")</f>
        <v>0</v>
      </c>
      <c r="X11" s="546">
        <f>IF(X$5&gt;0,(INDEX(A_Aufgaben,(X$5-Arbeitszeit!$A$6+1),(2*(ROW()-ROW(A_Aufgabendatum))-1))),"")</f>
        <v>0</v>
      </c>
      <c r="Y11" s="545">
        <f>IF(Y$5&gt;0,(INDEX(A_Aufgaben,(Y$5-Arbeitszeit!$A$6+1),(2*(ROW()-ROW(A_Aufgabendatum))-1))),"")</f>
        <v>0</v>
      </c>
      <c r="Z11" s="546">
        <f>IF(Z$5&gt;0,(INDEX(A_Aufgaben,(Z$5-Arbeitszeit!$A$6+1),(2*(ROW()-ROW(A_Aufgabendatum))-1))),"")</f>
        <v>0</v>
      </c>
      <c r="AA11" s="545">
        <f>IF(AA$5&gt;0,(INDEX(A_Aufgaben,(AA$5-Arbeitszeit!$A$6+1),(2*(ROW()-ROW(A_Aufgabendatum))-1))),"")</f>
        <v>0</v>
      </c>
      <c r="AB11" s="546">
        <f>IF(AB$5&gt;0,(INDEX(A_Aufgaben,(AB$5-Arbeitszeit!$A$6+1),(2*(ROW()-ROW(A_Aufgabendatum))-1))),"")</f>
        <v>0</v>
      </c>
      <c r="AC11" s="545">
        <f>IF(AC$5&gt;0,(INDEX(A_Aufgaben,(AC$5-Arbeitszeit!$A$6+1),(2*(ROW()-ROW(A_Aufgabendatum))-1))),"")</f>
        <v>0</v>
      </c>
      <c r="AD11" s="546">
        <f>IF(AD$5&gt;0,(INDEX(A_Aufgaben,(AD$5-Arbeitszeit!$A$6+1),(2*(ROW()-ROW(A_Aufgabendatum))-1))),"")</f>
        <v>0</v>
      </c>
      <c r="AE11" s="545">
        <f>IF(AE$5&gt;0,(INDEX(A_Aufgaben,(AE$5-Arbeitszeit!$A$6+1),(2*(ROW()-ROW(A_Aufgabendatum))-1))),"")</f>
        <v>0</v>
      </c>
      <c r="AF11" s="546">
        <f>IF(AF$5&gt;0,(INDEX(A_Aufgaben,(AF$5-Arbeitszeit!$A$6+1),(2*(ROW()-ROW(A_Aufgabendatum))-1))),"")</f>
        <v>0</v>
      </c>
      <c r="AG11" s="545">
        <f>IF(AG$5&gt;0,(INDEX(A_Aufgaben,(AG$5-Arbeitszeit!$A$6+1),(2*(ROW()-ROW(A_Aufgabendatum))-1))),"")</f>
        <v>0</v>
      </c>
      <c r="AH11" s="554">
        <f t="shared" si="1"/>
        <v>0</v>
      </c>
      <c r="AI11" s="3">
        <f t="shared" si="2"/>
        <v>0</v>
      </c>
    </row>
    <row r="12" spans="1:37">
      <c r="A12">
        <f t="shared" si="3"/>
        <v>0</v>
      </c>
      <c r="B12" s="544" t="str">
        <f>Aufgaben!S3</f>
        <v>Aufgabe 04</v>
      </c>
      <c r="C12" s="545">
        <f>IF(C$5&gt;0,(INDEX(A_Aufgaben,(C$5-Arbeitszeit!$A$6+1),(2*(ROW()-ROW(A_Aufgabendatum))-1))),"")</f>
        <v>0</v>
      </c>
      <c r="D12" s="546">
        <f>IF(D$5&gt;0,(INDEX(A_Aufgaben,(D$5-Arbeitszeit!$A$6+1),(2*(ROW()-ROW(A_Aufgabendatum))-1))),"")</f>
        <v>0</v>
      </c>
      <c r="E12" s="545">
        <f>IF(E$5&gt;0,(INDEX(A_Aufgaben,(E$5-Arbeitszeit!$A$6+1),(2*(ROW()-ROW(A_Aufgabendatum))-1))),"")</f>
        <v>0</v>
      </c>
      <c r="F12" s="546">
        <f>IF(F$5&gt;0,(INDEX(A_Aufgaben,(F$5-Arbeitszeit!$A$6+1),(2*(ROW()-ROW(A_Aufgabendatum))-1))),"")</f>
        <v>0</v>
      </c>
      <c r="G12" s="545">
        <f>IF(G$5&gt;0,(INDEX(A_Aufgaben,(G$5-Arbeitszeit!$A$6+1),(2*(ROW()-ROW(A_Aufgabendatum))-1))),"")</f>
        <v>0</v>
      </c>
      <c r="H12" s="546">
        <f>IF(H$5&gt;0,(INDEX(A_Aufgaben,(H$5-Arbeitszeit!$A$6+1),(2*(ROW()-ROW(A_Aufgabendatum))-1))),"")</f>
        <v>0</v>
      </c>
      <c r="I12" s="545">
        <f>IF(I$5&gt;0,(INDEX(A_Aufgaben,(I$5-Arbeitszeit!$A$6+1),(2*(ROW()-ROW(A_Aufgabendatum))-1))),"")</f>
        <v>0</v>
      </c>
      <c r="J12" s="546">
        <f>IF(J$5&gt;0,(INDEX(A_Aufgaben,(J$5-Arbeitszeit!$A$6+1),(2*(ROW()-ROW(A_Aufgabendatum))-1))),"")</f>
        <v>0</v>
      </c>
      <c r="K12" s="545">
        <f>IF(K$5&gt;0,(INDEX(A_Aufgaben,(K$5-Arbeitszeit!$A$6+1),(2*(ROW()-ROW(A_Aufgabendatum))-1))),"")</f>
        <v>0</v>
      </c>
      <c r="L12" s="546">
        <f>IF(L$5&gt;0,(INDEX(A_Aufgaben,(L$5-Arbeitszeit!$A$6+1),(2*(ROW()-ROW(A_Aufgabendatum))-1))),"")</f>
        <v>0</v>
      </c>
      <c r="M12" s="545">
        <f>IF(M$5&gt;0,(INDEX(A_Aufgaben,(M$5-Arbeitszeit!$A$6+1),(2*(ROW()-ROW(A_Aufgabendatum))-1))),"")</f>
        <v>0</v>
      </c>
      <c r="N12" s="546">
        <f>IF(N$5&gt;0,(INDEX(A_Aufgaben,(N$5-Arbeitszeit!$A$6+1),(2*(ROW()-ROW(A_Aufgabendatum))-1))),"")</f>
        <v>0</v>
      </c>
      <c r="O12" s="545">
        <f>IF(O$5&gt;0,(INDEX(A_Aufgaben,(O$5-Arbeitszeit!$A$6+1),(2*(ROW()-ROW(A_Aufgabendatum))-1))),"")</f>
        <v>0</v>
      </c>
      <c r="P12" s="546">
        <f>IF(P$5&gt;0,(INDEX(A_Aufgaben,(P$5-Arbeitszeit!$A$6+1),(2*(ROW()-ROW(A_Aufgabendatum))-1))),"")</f>
        <v>0</v>
      </c>
      <c r="Q12" s="545">
        <f>IF(Q$5&gt;0,(INDEX(A_Aufgaben,(Q$5-Arbeitszeit!$A$6+1),(2*(ROW()-ROW(A_Aufgabendatum))-1))),"")</f>
        <v>0</v>
      </c>
      <c r="R12" s="546">
        <f>IF(R$5&gt;0,(INDEX(A_Aufgaben,(R$5-Arbeitszeit!$A$6+1),(2*(ROW()-ROW(A_Aufgabendatum))-1))),"")</f>
        <v>0</v>
      </c>
      <c r="S12" s="545">
        <f>IF(S$5&gt;0,(INDEX(A_Aufgaben,(S$5-Arbeitszeit!$A$6+1),(2*(ROW()-ROW(A_Aufgabendatum))-1))),"")</f>
        <v>0</v>
      </c>
      <c r="T12" s="546">
        <f>IF(T$5&gt;0,(INDEX(A_Aufgaben,(T$5-Arbeitszeit!$A$6+1),(2*(ROW()-ROW(A_Aufgabendatum))-1))),"")</f>
        <v>0</v>
      </c>
      <c r="U12" s="545">
        <f>IF(U$5&gt;0,(INDEX(A_Aufgaben,(U$5-Arbeitszeit!$A$6+1),(2*(ROW()-ROW(A_Aufgabendatum))-1))),"")</f>
        <v>0</v>
      </c>
      <c r="V12" s="546">
        <f>IF(V$5&gt;0,(INDEX(A_Aufgaben,(V$5-Arbeitszeit!$A$6+1),(2*(ROW()-ROW(A_Aufgabendatum))-1))),"")</f>
        <v>0</v>
      </c>
      <c r="W12" s="545">
        <f>IF(W$5&gt;0,(INDEX(A_Aufgaben,(W$5-Arbeitszeit!$A$6+1),(2*(ROW()-ROW(A_Aufgabendatum))-1))),"")</f>
        <v>0</v>
      </c>
      <c r="X12" s="546">
        <f>IF(X$5&gt;0,(INDEX(A_Aufgaben,(X$5-Arbeitszeit!$A$6+1),(2*(ROW()-ROW(A_Aufgabendatum))-1))),"")</f>
        <v>0</v>
      </c>
      <c r="Y12" s="545">
        <f>IF(Y$5&gt;0,(INDEX(A_Aufgaben,(Y$5-Arbeitszeit!$A$6+1),(2*(ROW()-ROW(A_Aufgabendatum))-1))),"")</f>
        <v>0</v>
      </c>
      <c r="Z12" s="546">
        <f>IF(Z$5&gt;0,(INDEX(A_Aufgaben,(Z$5-Arbeitszeit!$A$6+1),(2*(ROW()-ROW(A_Aufgabendatum))-1))),"")</f>
        <v>0</v>
      </c>
      <c r="AA12" s="545">
        <f>IF(AA$5&gt;0,(INDEX(A_Aufgaben,(AA$5-Arbeitszeit!$A$6+1),(2*(ROW()-ROW(A_Aufgabendatum))-1))),"")</f>
        <v>0</v>
      </c>
      <c r="AB12" s="546">
        <f>IF(AB$5&gt;0,(INDEX(A_Aufgaben,(AB$5-Arbeitszeit!$A$6+1),(2*(ROW()-ROW(A_Aufgabendatum))-1))),"")</f>
        <v>0</v>
      </c>
      <c r="AC12" s="545">
        <f>IF(AC$5&gt;0,(INDEX(A_Aufgaben,(AC$5-Arbeitszeit!$A$6+1),(2*(ROW()-ROW(A_Aufgabendatum))-1))),"")</f>
        <v>0</v>
      </c>
      <c r="AD12" s="546">
        <f>IF(AD$5&gt;0,(INDEX(A_Aufgaben,(AD$5-Arbeitszeit!$A$6+1),(2*(ROW()-ROW(A_Aufgabendatum))-1))),"")</f>
        <v>0</v>
      </c>
      <c r="AE12" s="545">
        <f>IF(AE$5&gt;0,(INDEX(A_Aufgaben,(AE$5-Arbeitszeit!$A$6+1),(2*(ROW()-ROW(A_Aufgabendatum))-1))),"")</f>
        <v>0</v>
      </c>
      <c r="AF12" s="546">
        <f>IF(AF$5&gt;0,(INDEX(A_Aufgaben,(AF$5-Arbeitszeit!$A$6+1),(2*(ROW()-ROW(A_Aufgabendatum))-1))),"")</f>
        <v>0</v>
      </c>
      <c r="AG12" s="545">
        <f>IF(AG$5&gt;0,(INDEX(A_Aufgaben,(AG$5-Arbeitszeit!$A$6+1),(2*(ROW()-ROW(A_Aufgabendatum))-1))),"")</f>
        <v>0</v>
      </c>
      <c r="AH12" s="554">
        <f t="shared" si="1"/>
        <v>0</v>
      </c>
      <c r="AI12" s="3">
        <f t="shared" si="2"/>
        <v>0</v>
      </c>
    </row>
    <row r="13" spans="1:37">
      <c r="A13">
        <f t="shared" si="3"/>
        <v>0</v>
      </c>
      <c r="B13" s="544" t="str">
        <f>Aufgaben!U3</f>
        <v>Aufgabe 05</v>
      </c>
      <c r="C13" s="545">
        <f>IF(C$5&gt;0,(INDEX(A_Aufgaben,(C$5-Arbeitszeit!$A$6+1),(2*(ROW()-ROW(A_Aufgabendatum))-1))),"")</f>
        <v>0</v>
      </c>
      <c r="D13" s="546">
        <f>IF(D$5&gt;0,(INDEX(A_Aufgaben,(D$5-Arbeitszeit!$A$6+1),(2*(ROW()-ROW(A_Aufgabendatum))-1))),"")</f>
        <v>0</v>
      </c>
      <c r="E13" s="545">
        <f>IF(E$5&gt;0,(INDEX(A_Aufgaben,(E$5-Arbeitszeit!$A$6+1),(2*(ROW()-ROW(A_Aufgabendatum))-1))),"")</f>
        <v>0</v>
      </c>
      <c r="F13" s="546">
        <f>IF(F$5&gt;0,(INDEX(A_Aufgaben,(F$5-Arbeitszeit!$A$6+1),(2*(ROW()-ROW(A_Aufgabendatum))-1))),"")</f>
        <v>0</v>
      </c>
      <c r="G13" s="545">
        <f>IF(G$5&gt;0,(INDEX(A_Aufgaben,(G$5-Arbeitszeit!$A$6+1),(2*(ROW()-ROW(A_Aufgabendatum))-1))),"")</f>
        <v>0</v>
      </c>
      <c r="H13" s="546">
        <f>IF(H$5&gt;0,(INDEX(A_Aufgaben,(H$5-Arbeitszeit!$A$6+1),(2*(ROW()-ROW(A_Aufgabendatum))-1))),"")</f>
        <v>0</v>
      </c>
      <c r="I13" s="545">
        <f>IF(I$5&gt;0,(INDEX(A_Aufgaben,(I$5-Arbeitszeit!$A$6+1),(2*(ROW()-ROW(A_Aufgabendatum))-1))),"")</f>
        <v>0</v>
      </c>
      <c r="J13" s="546">
        <f>IF(J$5&gt;0,(INDEX(A_Aufgaben,(J$5-Arbeitszeit!$A$6+1),(2*(ROW()-ROW(A_Aufgabendatum))-1))),"")</f>
        <v>0</v>
      </c>
      <c r="K13" s="545">
        <f>IF(K$5&gt;0,(INDEX(A_Aufgaben,(K$5-Arbeitszeit!$A$6+1),(2*(ROW()-ROW(A_Aufgabendatum))-1))),"")</f>
        <v>0</v>
      </c>
      <c r="L13" s="546">
        <f>IF(L$5&gt;0,(INDEX(A_Aufgaben,(L$5-Arbeitszeit!$A$6+1),(2*(ROW()-ROW(A_Aufgabendatum))-1))),"")</f>
        <v>0</v>
      </c>
      <c r="M13" s="545">
        <f>IF(M$5&gt;0,(INDEX(A_Aufgaben,(M$5-Arbeitszeit!$A$6+1),(2*(ROW()-ROW(A_Aufgabendatum))-1))),"")</f>
        <v>0</v>
      </c>
      <c r="N13" s="546">
        <f>IF(N$5&gt;0,(INDEX(A_Aufgaben,(N$5-Arbeitszeit!$A$6+1),(2*(ROW()-ROW(A_Aufgabendatum))-1))),"")</f>
        <v>0</v>
      </c>
      <c r="O13" s="545">
        <f>IF(O$5&gt;0,(INDEX(A_Aufgaben,(O$5-Arbeitszeit!$A$6+1),(2*(ROW()-ROW(A_Aufgabendatum))-1))),"")</f>
        <v>0</v>
      </c>
      <c r="P13" s="546">
        <f>IF(P$5&gt;0,(INDEX(A_Aufgaben,(P$5-Arbeitszeit!$A$6+1),(2*(ROW()-ROW(A_Aufgabendatum))-1))),"")</f>
        <v>0</v>
      </c>
      <c r="Q13" s="545">
        <f>IF(Q$5&gt;0,(INDEX(A_Aufgaben,(Q$5-Arbeitszeit!$A$6+1),(2*(ROW()-ROW(A_Aufgabendatum))-1))),"")</f>
        <v>0</v>
      </c>
      <c r="R13" s="546">
        <f>IF(R$5&gt;0,(INDEX(A_Aufgaben,(R$5-Arbeitszeit!$A$6+1),(2*(ROW()-ROW(A_Aufgabendatum))-1))),"")</f>
        <v>0</v>
      </c>
      <c r="S13" s="545">
        <f>IF(S$5&gt;0,(INDEX(A_Aufgaben,(S$5-Arbeitszeit!$A$6+1),(2*(ROW()-ROW(A_Aufgabendatum))-1))),"")</f>
        <v>0</v>
      </c>
      <c r="T13" s="546">
        <f>IF(T$5&gt;0,(INDEX(A_Aufgaben,(T$5-Arbeitszeit!$A$6+1),(2*(ROW()-ROW(A_Aufgabendatum))-1))),"")</f>
        <v>0</v>
      </c>
      <c r="U13" s="545">
        <f>IF(U$5&gt;0,(INDEX(A_Aufgaben,(U$5-Arbeitszeit!$A$6+1),(2*(ROW()-ROW(A_Aufgabendatum))-1))),"")</f>
        <v>0</v>
      </c>
      <c r="V13" s="546">
        <f>IF(V$5&gt;0,(INDEX(A_Aufgaben,(V$5-Arbeitszeit!$A$6+1),(2*(ROW()-ROW(A_Aufgabendatum))-1))),"")</f>
        <v>0</v>
      </c>
      <c r="W13" s="545">
        <f>IF(W$5&gt;0,(INDEX(A_Aufgaben,(W$5-Arbeitszeit!$A$6+1),(2*(ROW()-ROW(A_Aufgabendatum))-1))),"")</f>
        <v>0</v>
      </c>
      <c r="X13" s="546">
        <f>IF(X$5&gt;0,(INDEX(A_Aufgaben,(X$5-Arbeitszeit!$A$6+1),(2*(ROW()-ROW(A_Aufgabendatum))-1))),"")</f>
        <v>0</v>
      </c>
      <c r="Y13" s="545">
        <f>IF(Y$5&gt;0,(INDEX(A_Aufgaben,(Y$5-Arbeitszeit!$A$6+1),(2*(ROW()-ROW(A_Aufgabendatum))-1))),"")</f>
        <v>0</v>
      </c>
      <c r="Z13" s="546">
        <f>IF(Z$5&gt;0,(INDEX(A_Aufgaben,(Z$5-Arbeitszeit!$A$6+1),(2*(ROW()-ROW(A_Aufgabendatum))-1))),"")</f>
        <v>0</v>
      </c>
      <c r="AA13" s="545">
        <f>IF(AA$5&gt;0,(INDEX(A_Aufgaben,(AA$5-Arbeitszeit!$A$6+1),(2*(ROW()-ROW(A_Aufgabendatum))-1))),"")</f>
        <v>0</v>
      </c>
      <c r="AB13" s="546">
        <f>IF(AB$5&gt;0,(INDEX(A_Aufgaben,(AB$5-Arbeitszeit!$A$6+1),(2*(ROW()-ROW(A_Aufgabendatum))-1))),"")</f>
        <v>0</v>
      </c>
      <c r="AC13" s="545">
        <f>IF(AC$5&gt;0,(INDEX(A_Aufgaben,(AC$5-Arbeitszeit!$A$6+1),(2*(ROW()-ROW(A_Aufgabendatum))-1))),"")</f>
        <v>0</v>
      </c>
      <c r="AD13" s="546">
        <f>IF(AD$5&gt;0,(INDEX(A_Aufgaben,(AD$5-Arbeitszeit!$A$6+1),(2*(ROW()-ROW(A_Aufgabendatum))-1))),"")</f>
        <v>0</v>
      </c>
      <c r="AE13" s="545">
        <f>IF(AE$5&gt;0,(INDEX(A_Aufgaben,(AE$5-Arbeitszeit!$A$6+1),(2*(ROW()-ROW(A_Aufgabendatum))-1))),"")</f>
        <v>0</v>
      </c>
      <c r="AF13" s="546">
        <f>IF(AF$5&gt;0,(INDEX(A_Aufgaben,(AF$5-Arbeitszeit!$A$6+1),(2*(ROW()-ROW(A_Aufgabendatum))-1))),"")</f>
        <v>0</v>
      </c>
      <c r="AG13" s="545">
        <f>IF(AG$5&gt;0,(INDEX(A_Aufgaben,(AG$5-Arbeitszeit!$A$6+1),(2*(ROW()-ROW(A_Aufgabendatum))-1))),"")</f>
        <v>0</v>
      </c>
      <c r="AH13" s="554">
        <f t="shared" si="1"/>
        <v>0</v>
      </c>
      <c r="AI13" s="3">
        <f t="shared" si="2"/>
        <v>0</v>
      </c>
    </row>
    <row r="14" spans="1:37">
      <c r="A14">
        <f t="shared" si="3"/>
        <v>0</v>
      </c>
      <c r="B14" s="544" t="str">
        <f>Aufgaben!W3</f>
        <v>Aufgabe 06</v>
      </c>
      <c r="C14" s="545">
        <f>IF(C$5&gt;0,(INDEX(A_Aufgaben,(C$5-Arbeitszeit!$A$6+1),(2*(ROW()-ROW(A_Aufgabendatum))-1))),"")</f>
        <v>0</v>
      </c>
      <c r="D14" s="546">
        <f>IF(D$5&gt;0,(INDEX(A_Aufgaben,(D$5-Arbeitszeit!$A$6+1),(2*(ROW()-ROW(A_Aufgabendatum))-1))),"")</f>
        <v>0</v>
      </c>
      <c r="E14" s="545">
        <f>IF(E$5&gt;0,(INDEX(A_Aufgaben,(E$5-Arbeitszeit!$A$6+1),(2*(ROW()-ROW(A_Aufgabendatum))-1))),"")</f>
        <v>0</v>
      </c>
      <c r="F14" s="546">
        <f>IF(F$5&gt;0,(INDEX(A_Aufgaben,(F$5-Arbeitszeit!$A$6+1),(2*(ROW()-ROW(A_Aufgabendatum))-1))),"")</f>
        <v>0</v>
      </c>
      <c r="G14" s="545">
        <f>IF(G$5&gt;0,(INDEX(A_Aufgaben,(G$5-Arbeitszeit!$A$6+1),(2*(ROW()-ROW(A_Aufgabendatum))-1))),"")</f>
        <v>0</v>
      </c>
      <c r="H14" s="546">
        <f>IF(H$5&gt;0,(INDEX(A_Aufgaben,(H$5-Arbeitszeit!$A$6+1),(2*(ROW()-ROW(A_Aufgabendatum))-1))),"")</f>
        <v>0</v>
      </c>
      <c r="I14" s="545">
        <f>IF(I$5&gt;0,(INDEX(A_Aufgaben,(I$5-Arbeitszeit!$A$6+1),(2*(ROW()-ROW(A_Aufgabendatum))-1))),"")</f>
        <v>0</v>
      </c>
      <c r="J14" s="546">
        <f>IF(J$5&gt;0,(INDEX(A_Aufgaben,(J$5-Arbeitszeit!$A$6+1),(2*(ROW()-ROW(A_Aufgabendatum))-1))),"")</f>
        <v>0</v>
      </c>
      <c r="K14" s="545">
        <f>IF(K$5&gt;0,(INDEX(A_Aufgaben,(K$5-Arbeitszeit!$A$6+1),(2*(ROW()-ROW(A_Aufgabendatum))-1))),"")</f>
        <v>0</v>
      </c>
      <c r="L14" s="546">
        <f>IF(L$5&gt;0,(INDEX(A_Aufgaben,(L$5-Arbeitszeit!$A$6+1),(2*(ROW()-ROW(A_Aufgabendatum))-1))),"")</f>
        <v>0</v>
      </c>
      <c r="M14" s="545">
        <f>IF(M$5&gt;0,(INDEX(A_Aufgaben,(M$5-Arbeitszeit!$A$6+1),(2*(ROW()-ROW(A_Aufgabendatum))-1))),"")</f>
        <v>0</v>
      </c>
      <c r="N14" s="546">
        <f>IF(N$5&gt;0,(INDEX(A_Aufgaben,(N$5-Arbeitszeit!$A$6+1),(2*(ROW()-ROW(A_Aufgabendatum))-1))),"")</f>
        <v>0</v>
      </c>
      <c r="O14" s="545">
        <f>IF(O$5&gt;0,(INDEX(A_Aufgaben,(O$5-Arbeitszeit!$A$6+1),(2*(ROW()-ROW(A_Aufgabendatum))-1))),"")</f>
        <v>0</v>
      </c>
      <c r="P14" s="546">
        <f>IF(P$5&gt;0,(INDEX(A_Aufgaben,(P$5-Arbeitszeit!$A$6+1),(2*(ROW()-ROW(A_Aufgabendatum))-1))),"")</f>
        <v>0</v>
      </c>
      <c r="Q14" s="545">
        <f>IF(Q$5&gt;0,(INDEX(A_Aufgaben,(Q$5-Arbeitszeit!$A$6+1),(2*(ROW()-ROW(A_Aufgabendatum))-1))),"")</f>
        <v>0</v>
      </c>
      <c r="R14" s="546">
        <f>IF(R$5&gt;0,(INDEX(A_Aufgaben,(R$5-Arbeitszeit!$A$6+1),(2*(ROW()-ROW(A_Aufgabendatum))-1))),"")</f>
        <v>0</v>
      </c>
      <c r="S14" s="545">
        <f>IF(S$5&gt;0,(INDEX(A_Aufgaben,(S$5-Arbeitszeit!$A$6+1),(2*(ROW()-ROW(A_Aufgabendatum))-1))),"")</f>
        <v>0</v>
      </c>
      <c r="T14" s="546">
        <f>IF(T$5&gt;0,(INDEX(A_Aufgaben,(T$5-Arbeitszeit!$A$6+1),(2*(ROW()-ROW(A_Aufgabendatum))-1))),"")</f>
        <v>0</v>
      </c>
      <c r="U14" s="545">
        <f>IF(U$5&gt;0,(INDEX(A_Aufgaben,(U$5-Arbeitszeit!$A$6+1),(2*(ROW()-ROW(A_Aufgabendatum))-1))),"")</f>
        <v>0</v>
      </c>
      <c r="V14" s="546">
        <f>IF(V$5&gt;0,(INDEX(A_Aufgaben,(V$5-Arbeitszeit!$A$6+1),(2*(ROW()-ROW(A_Aufgabendatum))-1))),"")</f>
        <v>0</v>
      </c>
      <c r="W14" s="545">
        <f>IF(W$5&gt;0,(INDEX(A_Aufgaben,(W$5-Arbeitszeit!$A$6+1),(2*(ROW()-ROW(A_Aufgabendatum))-1))),"")</f>
        <v>0</v>
      </c>
      <c r="X14" s="546">
        <f>IF(X$5&gt;0,(INDEX(A_Aufgaben,(X$5-Arbeitszeit!$A$6+1),(2*(ROW()-ROW(A_Aufgabendatum))-1))),"")</f>
        <v>0</v>
      </c>
      <c r="Y14" s="545">
        <f>IF(Y$5&gt;0,(INDEX(A_Aufgaben,(Y$5-Arbeitszeit!$A$6+1),(2*(ROW()-ROW(A_Aufgabendatum))-1))),"")</f>
        <v>0</v>
      </c>
      <c r="Z14" s="546">
        <f>IF(Z$5&gt;0,(INDEX(A_Aufgaben,(Z$5-Arbeitszeit!$A$6+1),(2*(ROW()-ROW(A_Aufgabendatum))-1))),"")</f>
        <v>0</v>
      </c>
      <c r="AA14" s="545">
        <f>IF(AA$5&gt;0,(INDEX(A_Aufgaben,(AA$5-Arbeitszeit!$A$6+1),(2*(ROW()-ROW(A_Aufgabendatum))-1))),"")</f>
        <v>0</v>
      </c>
      <c r="AB14" s="546">
        <f>IF(AB$5&gt;0,(INDEX(A_Aufgaben,(AB$5-Arbeitszeit!$A$6+1),(2*(ROW()-ROW(A_Aufgabendatum))-1))),"")</f>
        <v>0</v>
      </c>
      <c r="AC14" s="545">
        <f>IF(AC$5&gt;0,(INDEX(A_Aufgaben,(AC$5-Arbeitszeit!$A$6+1),(2*(ROW()-ROW(A_Aufgabendatum))-1))),"")</f>
        <v>0</v>
      </c>
      <c r="AD14" s="546">
        <f>IF(AD$5&gt;0,(INDEX(A_Aufgaben,(AD$5-Arbeitszeit!$A$6+1),(2*(ROW()-ROW(A_Aufgabendatum))-1))),"")</f>
        <v>0</v>
      </c>
      <c r="AE14" s="545">
        <f>IF(AE$5&gt;0,(INDEX(A_Aufgaben,(AE$5-Arbeitszeit!$A$6+1),(2*(ROW()-ROW(A_Aufgabendatum))-1))),"")</f>
        <v>0</v>
      </c>
      <c r="AF14" s="546">
        <f>IF(AF$5&gt;0,(INDEX(A_Aufgaben,(AF$5-Arbeitszeit!$A$6+1),(2*(ROW()-ROW(A_Aufgabendatum))-1))),"")</f>
        <v>0</v>
      </c>
      <c r="AG14" s="545">
        <f>IF(AG$5&gt;0,(INDEX(A_Aufgaben,(AG$5-Arbeitszeit!$A$6+1),(2*(ROW()-ROW(A_Aufgabendatum))-1))),"")</f>
        <v>0</v>
      </c>
      <c r="AH14" s="554">
        <f t="shared" si="1"/>
        <v>0</v>
      </c>
      <c r="AI14" s="3">
        <f t="shared" si="2"/>
        <v>0</v>
      </c>
    </row>
    <row r="15" spans="1:37">
      <c r="A15">
        <f t="shared" si="3"/>
        <v>0</v>
      </c>
      <c r="B15" s="544" t="str">
        <f>Aufgaben!Y3</f>
        <v>Aufgabe 07</v>
      </c>
      <c r="C15" s="545">
        <f>IF(C$5&gt;0,(INDEX(A_Aufgaben,(C$5-Arbeitszeit!$A$6+1),(2*(ROW()-ROW(A_Aufgabendatum))-1))),"")</f>
        <v>0</v>
      </c>
      <c r="D15" s="546">
        <f>IF(D$5&gt;0,(INDEX(A_Aufgaben,(D$5-Arbeitszeit!$A$6+1),(2*(ROW()-ROW(A_Aufgabendatum))-1))),"")</f>
        <v>0</v>
      </c>
      <c r="E15" s="545">
        <f>IF(E$5&gt;0,(INDEX(A_Aufgaben,(E$5-Arbeitszeit!$A$6+1),(2*(ROW()-ROW(A_Aufgabendatum))-1))),"")</f>
        <v>0</v>
      </c>
      <c r="F15" s="546">
        <f>IF(F$5&gt;0,(INDEX(A_Aufgaben,(F$5-Arbeitszeit!$A$6+1),(2*(ROW()-ROW(A_Aufgabendatum))-1))),"")</f>
        <v>0</v>
      </c>
      <c r="G15" s="545">
        <f>IF(G$5&gt;0,(INDEX(A_Aufgaben,(G$5-Arbeitszeit!$A$6+1),(2*(ROW()-ROW(A_Aufgabendatum))-1))),"")</f>
        <v>0</v>
      </c>
      <c r="H15" s="546">
        <f>IF(H$5&gt;0,(INDEX(A_Aufgaben,(H$5-Arbeitszeit!$A$6+1),(2*(ROW()-ROW(A_Aufgabendatum))-1))),"")</f>
        <v>0</v>
      </c>
      <c r="I15" s="545">
        <f>IF(I$5&gt;0,(INDEX(A_Aufgaben,(I$5-Arbeitszeit!$A$6+1),(2*(ROW()-ROW(A_Aufgabendatum))-1))),"")</f>
        <v>0</v>
      </c>
      <c r="J15" s="546">
        <f>IF(J$5&gt;0,(INDEX(A_Aufgaben,(J$5-Arbeitszeit!$A$6+1),(2*(ROW()-ROW(A_Aufgabendatum))-1))),"")</f>
        <v>0</v>
      </c>
      <c r="K15" s="545">
        <f>IF(K$5&gt;0,(INDEX(A_Aufgaben,(K$5-Arbeitszeit!$A$6+1),(2*(ROW()-ROW(A_Aufgabendatum))-1))),"")</f>
        <v>0</v>
      </c>
      <c r="L15" s="546">
        <f>IF(L$5&gt;0,(INDEX(A_Aufgaben,(L$5-Arbeitszeit!$A$6+1),(2*(ROW()-ROW(A_Aufgabendatum))-1))),"")</f>
        <v>0</v>
      </c>
      <c r="M15" s="545">
        <f>IF(M$5&gt;0,(INDEX(A_Aufgaben,(M$5-Arbeitszeit!$A$6+1),(2*(ROW()-ROW(A_Aufgabendatum))-1))),"")</f>
        <v>0</v>
      </c>
      <c r="N15" s="546">
        <f>IF(N$5&gt;0,(INDEX(A_Aufgaben,(N$5-Arbeitszeit!$A$6+1),(2*(ROW()-ROW(A_Aufgabendatum))-1))),"")</f>
        <v>0</v>
      </c>
      <c r="O15" s="545">
        <f>IF(O$5&gt;0,(INDEX(A_Aufgaben,(O$5-Arbeitszeit!$A$6+1),(2*(ROW()-ROW(A_Aufgabendatum))-1))),"")</f>
        <v>0</v>
      </c>
      <c r="P15" s="546">
        <f>IF(P$5&gt;0,(INDEX(A_Aufgaben,(P$5-Arbeitszeit!$A$6+1),(2*(ROW()-ROW(A_Aufgabendatum))-1))),"")</f>
        <v>0</v>
      </c>
      <c r="Q15" s="545">
        <f>IF(Q$5&gt;0,(INDEX(A_Aufgaben,(Q$5-Arbeitszeit!$A$6+1),(2*(ROW()-ROW(A_Aufgabendatum))-1))),"")</f>
        <v>0</v>
      </c>
      <c r="R15" s="546">
        <f>IF(R$5&gt;0,(INDEX(A_Aufgaben,(R$5-Arbeitszeit!$A$6+1),(2*(ROW()-ROW(A_Aufgabendatum))-1))),"")</f>
        <v>0</v>
      </c>
      <c r="S15" s="545">
        <f>IF(S$5&gt;0,(INDEX(A_Aufgaben,(S$5-Arbeitszeit!$A$6+1),(2*(ROW()-ROW(A_Aufgabendatum))-1))),"")</f>
        <v>0</v>
      </c>
      <c r="T15" s="546">
        <f>IF(T$5&gt;0,(INDEX(A_Aufgaben,(T$5-Arbeitszeit!$A$6+1),(2*(ROW()-ROW(A_Aufgabendatum))-1))),"")</f>
        <v>0</v>
      </c>
      <c r="U15" s="545">
        <f>IF(U$5&gt;0,(INDEX(A_Aufgaben,(U$5-Arbeitszeit!$A$6+1),(2*(ROW()-ROW(A_Aufgabendatum))-1))),"")</f>
        <v>0</v>
      </c>
      <c r="V15" s="546">
        <f>IF(V$5&gt;0,(INDEX(A_Aufgaben,(V$5-Arbeitszeit!$A$6+1),(2*(ROW()-ROW(A_Aufgabendatum))-1))),"")</f>
        <v>0</v>
      </c>
      <c r="W15" s="545">
        <f>IF(W$5&gt;0,(INDEX(A_Aufgaben,(W$5-Arbeitszeit!$A$6+1),(2*(ROW()-ROW(A_Aufgabendatum))-1))),"")</f>
        <v>0</v>
      </c>
      <c r="X15" s="546">
        <f>IF(X$5&gt;0,(INDEX(A_Aufgaben,(X$5-Arbeitszeit!$A$6+1),(2*(ROW()-ROW(A_Aufgabendatum))-1))),"")</f>
        <v>0</v>
      </c>
      <c r="Y15" s="545">
        <f>IF(Y$5&gt;0,(INDEX(A_Aufgaben,(Y$5-Arbeitszeit!$A$6+1),(2*(ROW()-ROW(A_Aufgabendatum))-1))),"")</f>
        <v>0</v>
      </c>
      <c r="Z15" s="546">
        <f>IF(Z$5&gt;0,(INDEX(A_Aufgaben,(Z$5-Arbeitszeit!$A$6+1),(2*(ROW()-ROW(A_Aufgabendatum))-1))),"")</f>
        <v>0</v>
      </c>
      <c r="AA15" s="545">
        <f>IF(AA$5&gt;0,(INDEX(A_Aufgaben,(AA$5-Arbeitszeit!$A$6+1),(2*(ROW()-ROW(A_Aufgabendatum))-1))),"")</f>
        <v>0</v>
      </c>
      <c r="AB15" s="546">
        <f>IF(AB$5&gt;0,(INDEX(A_Aufgaben,(AB$5-Arbeitszeit!$A$6+1),(2*(ROW()-ROW(A_Aufgabendatum))-1))),"")</f>
        <v>0</v>
      </c>
      <c r="AC15" s="545">
        <f>IF(AC$5&gt;0,(INDEX(A_Aufgaben,(AC$5-Arbeitszeit!$A$6+1),(2*(ROW()-ROW(A_Aufgabendatum))-1))),"")</f>
        <v>0</v>
      </c>
      <c r="AD15" s="546">
        <f>IF(AD$5&gt;0,(INDEX(A_Aufgaben,(AD$5-Arbeitszeit!$A$6+1),(2*(ROW()-ROW(A_Aufgabendatum))-1))),"")</f>
        <v>0</v>
      </c>
      <c r="AE15" s="545">
        <f>IF(AE$5&gt;0,(INDEX(A_Aufgaben,(AE$5-Arbeitszeit!$A$6+1),(2*(ROW()-ROW(A_Aufgabendatum))-1))),"")</f>
        <v>0</v>
      </c>
      <c r="AF15" s="546">
        <f>IF(AF$5&gt;0,(INDEX(A_Aufgaben,(AF$5-Arbeitszeit!$A$6+1),(2*(ROW()-ROW(A_Aufgabendatum))-1))),"")</f>
        <v>0</v>
      </c>
      <c r="AG15" s="545">
        <f>IF(AG$5&gt;0,(INDEX(A_Aufgaben,(AG$5-Arbeitszeit!$A$6+1),(2*(ROW()-ROW(A_Aufgabendatum))-1))),"")</f>
        <v>0</v>
      </c>
      <c r="AH15" s="554">
        <f t="shared" si="1"/>
        <v>0</v>
      </c>
      <c r="AI15" s="3">
        <f t="shared" si="2"/>
        <v>0</v>
      </c>
      <c r="AK15" s="317"/>
    </row>
    <row r="16" spans="1:37">
      <c r="A16">
        <f t="shared" si="3"/>
        <v>0</v>
      </c>
      <c r="B16" s="544" t="str">
        <f>Aufgaben!AA3</f>
        <v>Aufgabe 08</v>
      </c>
      <c r="C16" s="545">
        <f>IF(C$5&gt;0,(INDEX(A_Aufgaben,(C$5-Arbeitszeit!$A$6+1),(2*(ROW()-ROW(A_Aufgabendatum))-1))),"")</f>
        <v>0</v>
      </c>
      <c r="D16" s="546">
        <f>IF(D$5&gt;0,(INDEX(A_Aufgaben,(D$5-Arbeitszeit!$A$6+1),(2*(ROW()-ROW(A_Aufgabendatum))-1))),"")</f>
        <v>0</v>
      </c>
      <c r="E16" s="545">
        <f>IF(E$5&gt;0,(INDEX(A_Aufgaben,(E$5-Arbeitszeit!$A$6+1),(2*(ROW()-ROW(A_Aufgabendatum))-1))),"")</f>
        <v>0</v>
      </c>
      <c r="F16" s="546">
        <f>IF(F$5&gt;0,(INDEX(A_Aufgaben,(F$5-Arbeitszeit!$A$6+1),(2*(ROW()-ROW(A_Aufgabendatum))-1))),"")</f>
        <v>0</v>
      </c>
      <c r="G16" s="545">
        <f>IF(G$5&gt;0,(INDEX(A_Aufgaben,(G$5-Arbeitszeit!$A$6+1),(2*(ROW()-ROW(A_Aufgabendatum))-1))),"")</f>
        <v>0</v>
      </c>
      <c r="H16" s="546">
        <f>IF(H$5&gt;0,(INDEX(A_Aufgaben,(H$5-Arbeitszeit!$A$6+1),(2*(ROW()-ROW(A_Aufgabendatum))-1))),"")</f>
        <v>0</v>
      </c>
      <c r="I16" s="545">
        <f>IF(I$5&gt;0,(INDEX(A_Aufgaben,(I$5-Arbeitszeit!$A$6+1),(2*(ROW()-ROW(A_Aufgabendatum))-1))),"")</f>
        <v>0</v>
      </c>
      <c r="J16" s="546">
        <f>IF(J$5&gt;0,(INDEX(A_Aufgaben,(J$5-Arbeitszeit!$A$6+1),(2*(ROW()-ROW(A_Aufgabendatum))-1))),"")</f>
        <v>0</v>
      </c>
      <c r="K16" s="545">
        <f>IF(K$5&gt;0,(INDEX(A_Aufgaben,(K$5-Arbeitszeit!$A$6+1),(2*(ROW()-ROW(A_Aufgabendatum))-1))),"")</f>
        <v>0</v>
      </c>
      <c r="L16" s="546">
        <f>IF(L$5&gt;0,(INDEX(A_Aufgaben,(L$5-Arbeitszeit!$A$6+1),(2*(ROW()-ROW(A_Aufgabendatum))-1))),"")</f>
        <v>0</v>
      </c>
      <c r="M16" s="545">
        <f>IF(M$5&gt;0,(INDEX(A_Aufgaben,(M$5-Arbeitszeit!$A$6+1),(2*(ROW()-ROW(A_Aufgabendatum))-1))),"")</f>
        <v>0</v>
      </c>
      <c r="N16" s="546">
        <f>IF(N$5&gt;0,(INDEX(A_Aufgaben,(N$5-Arbeitszeit!$A$6+1),(2*(ROW()-ROW(A_Aufgabendatum))-1))),"")</f>
        <v>0</v>
      </c>
      <c r="O16" s="545">
        <f>IF(O$5&gt;0,(INDEX(A_Aufgaben,(O$5-Arbeitszeit!$A$6+1),(2*(ROW()-ROW(A_Aufgabendatum))-1))),"")</f>
        <v>0</v>
      </c>
      <c r="P16" s="546">
        <f>IF(P$5&gt;0,(INDEX(A_Aufgaben,(P$5-Arbeitszeit!$A$6+1),(2*(ROW()-ROW(A_Aufgabendatum))-1))),"")</f>
        <v>0</v>
      </c>
      <c r="Q16" s="545">
        <f>IF(Q$5&gt;0,(INDEX(A_Aufgaben,(Q$5-Arbeitszeit!$A$6+1),(2*(ROW()-ROW(A_Aufgabendatum))-1))),"")</f>
        <v>0</v>
      </c>
      <c r="R16" s="546">
        <f>IF(R$5&gt;0,(INDEX(A_Aufgaben,(R$5-Arbeitszeit!$A$6+1),(2*(ROW()-ROW(A_Aufgabendatum))-1))),"")</f>
        <v>0</v>
      </c>
      <c r="S16" s="545">
        <f>IF(S$5&gt;0,(INDEX(A_Aufgaben,(S$5-Arbeitszeit!$A$6+1),(2*(ROW()-ROW(A_Aufgabendatum))-1))),"")</f>
        <v>0</v>
      </c>
      <c r="T16" s="546">
        <f>IF(T$5&gt;0,(INDEX(A_Aufgaben,(T$5-Arbeitszeit!$A$6+1),(2*(ROW()-ROW(A_Aufgabendatum))-1))),"")</f>
        <v>0</v>
      </c>
      <c r="U16" s="545">
        <f>IF(U$5&gt;0,(INDEX(A_Aufgaben,(U$5-Arbeitszeit!$A$6+1),(2*(ROW()-ROW(A_Aufgabendatum))-1))),"")</f>
        <v>0</v>
      </c>
      <c r="V16" s="546">
        <f>IF(V$5&gt;0,(INDEX(A_Aufgaben,(V$5-Arbeitszeit!$A$6+1),(2*(ROW()-ROW(A_Aufgabendatum))-1))),"")</f>
        <v>0</v>
      </c>
      <c r="W16" s="545">
        <f>IF(W$5&gt;0,(INDEX(A_Aufgaben,(W$5-Arbeitszeit!$A$6+1),(2*(ROW()-ROW(A_Aufgabendatum))-1))),"")</f>
        <v>0</v>
      </c>
      <c r="X16" s="546">
        <f>IF(X$5&gt;0,(INDEX(A_Aufgaben,(X$5-Arbeitszeit!$A$6+1),(2*(ROW()-ROW(A_Aufgabendatum))-1))),"")</f>
        <v>0</v>
      </c>
      <c r="Y16" s="545">
        <f>IF(Y$5&gt;0,(INDEX(A_Aufgaben,(Y$5-Arbeitszeit!$A$6+1),(2*(ROW()-ROW(A_Aufgabendatum))-1))),"")</f>
        <v>0</v>
      </c>
      <c r="Z16" s="546">
        <f>IF(Z$5&gt;0,(INDEX(A_Aufgaben,(Z$5-Arbeitszeit!$A$6+1),(2*(ROW()-ROW(A_Aufgabendatum))-1))),"")</f>
        <v>0</v>
      </c>
      <c r="AA16" s="545">
        <f>IF(AA$5&gt;0,(INDEX(A_Aufgaben,(AA$5-Arbeitszeit!$A$6+1),(2*(ROW()-ROW(A_Aufgabendatum))-1))),"")</f>
        <v>0</v>
      </c>
      <c r="AB16" s="546">
        <f>IF(AB$5&gt;0,(INDEX(A_Aufgaben,(AB$5-Arbeitszeit!$A$6+1),(2*(ROW()-ROW(A_Aufgabendatum))-1))),"")</f>
        <v>0</v>
      </c>
      <c r="AC16" s="545">
        <f>IF(AC$5&gt;0,(INDEX(A_Aufgaben,(AC$5-Arbeitszeit!$A$6+1),(2*(ROW()-ROW(A_Aufgabendatum))-1))),"")</f>
        <v>0</v>
      </c>
      <c r="AD16" s="546">
        <f>IF(AD$5&gt;0,(INDEX(A_Aufgaben,(AD$5-Arbeitszeit!$A$6+1),(2*(ROW()-ROW(A_Aufgabendatum))-1))),"")</f>
        <v>0</v>
      </c>
      <c r="AE16" s="545">
        <f>IF(AE$5&gt;0,(INDEX(A_Aufgaben,(AE$5-Arbeitszeit!$A$6+1),(2*(ROW()-ROW(A_Aufgabendatum))-1))),"")</f>
        <v>0</v>
      </c>
      <c r="AF16" s="546">
        <f>IF(AF$5&gt;0,(INDEX(A_Aufgaben,(AF$5-Arbeitszeit!$A$6+1),(2*(ROW()-ROW(A_Aufgabendatum))-1))),"")</f>
        <v>0</v>
      </c>
      <c r="AG16" s="545">
        <f>IF(AG$5&gt;0,(INDEX(A_Aufgaben,(AG$5-Arbeitszeit!$A$6+1),(2*(ROW()-ROW(A_Aufgabendatum))-1))),"")</f>
        <v>0</v>
      </c>
      <c r="AH16" s="554">
        <f t="shared" si="1"/>
        <v>0</v>
      </c>
      <c r="AI16" s="3">
        <f t="shared" si="2"/>
        <v>0</v>
      </c>
    </row>
    <row r="17" spans="1:35">
      <c r="A17">
        <f t="shared" si="3"/>
        <v>0</v>
      </c>
      <c r="B17" s="544" t="str">
        <f>Aufgaben!AC3</f>
        <v>Aufgabe 09</v>
      </c>
      <c r="C17" s="545">
        <f>IF(C$5&gt;0,(INDEX(A_Aufgaben,(C$5-Arbeitszeit!$A$6+1),(2*(ROW()-ROW(A_Aufgabendatum))-1))),"")</f>
        <v>0</v>
      </c>
      <c r="D17" s="546">
        <f>IF(D$5&gt;0,(INDEX(A_Aufgaben,(D$5-Arbeitszeit!$A$6+1),(2*(ROW()-ROW(A_Aufgabendatum))-1))),"")</f>
        <v>0</v>
      </c>
      <c r="E17" s="545">
        <f>IF(E$5&gt;0,(INDEX(A_Aufgaben,(E$5-Arbeitszeit!$A$6+1),(2*(ROW()-ROW(A_Aufgabendatum))-1))),"")</f>
        <v>0</v>
      </c>
      <c r="F17" s="546">
        <f>IF(F$5&gt;0,(INDEX(A_Aufgaben,(F$5-Arbeitszeit!$A$6+1),(2*(ROW()-ROW(A_Aufgabendatum))-1))),"")</f>
        <v>0</v>
      </c>
      <c r="G17" s="545">
        <f>IF(G$5&gt;0,(INDEX(A_Aufgaben,(G$5-Arbeitszeit!$A$6+1),(2*(ROW()-ROW(A_Aufgabendatum))-1))),"")</f>
        <v>0</v>
      </c>
      <c r="H17" s="546">
        <f>IF(H$5&gt;0,(INDEX(A_Aufgaben,(H$5-Arbeitszeit!$A$6+1),(2*(ROW()-ROW(A_Aufgabendatum))-1))),"")</f>
        <v>0</v>
      </c>
      <c r="I17" s="545">
        <f>IF(I$5&gt;0,(INDEX(A_Aufgaben,(I$5-Arbeitszeit!$A$6+1),(2*(ROW()-ROW(A_Aufgabendatum))-1))),"")</f>
        <v>0</v>
      </c>
      <c r="J17" s="546">
        <f>IF(J$5&gt;0,(INDEX(A_Aufgaben,(J$5-Arbeitszeit!$A$6+1),(2*(ROW()-ROW(A_Aufgabendatum))-1))),"")</f>
        <v>0</v>
      </c>
      <c r="K17" s="545">
        <f>IF(K$5&gt;0,(INDEX(A_Aufgaben,(K$5-Arbeitszeit!$A$6+1),(2*(ROW()-ROW(A_Aufgabendatum))-1))),"")</f>
        <v>0</v>
      </c>
      <c r="L17" s="546">
        <f>IF(L$5&gt;0,(INDEX(A_Aufgaben,(L$5-Arbeitszeit!$A$6+1),(2*(ROW()-ROW(A_Aufgabendatum))-1))),"")</f>
        <v>0</v>
      </c>
      <c r="M17" s="545">
        <f>IF(M$5&gt;0,(INDEX(A_Aufgaben,(M$5-Arbeitszeit!$A$6+1),(2*(ROW()-ROW(A_Aufgabendatum))-1))),"")</f>
        <v>0</v>
      </c>
      <c r="N17" s="546">
        <f>IF(N$5&gt;0,(INDEX(A_Aufgaben,(N$5-Arbeitszeit!$A$6+1),(2*(ROW()-ROW(A_Aufgabendatum))-1))),"")</f>
        <v>0</v>
      </c>
      <c r="O17" s="545">
        <f>IF(O$5&gt;0,(INDEX(A_Aufgaben,(O$5-Arbeitszeit!$A$6+1),(2*(ROW()-ROW(A_Aufgabendatum))-1))),"")</f>
        <v>0</v>
      </c>
      <c r="P17" s="546">
        <f>IF(P$5&gt;0,(INDEX(A_Aufgaben,(P$5-Arbeitszeit!$A$6+1),(2*(ROW()-ROW(A_Aufgabendatum))-1))),"")</f>
        <v>0</v>
      </c>
      <c r="Q17" s="545">
        <f>IF(Q$5&gt;0,(INDEX(A_Aufgaben,(Q$5-Arbeitszeit!$A$6+1),(2*(ROW()-ROW(A_Aufgabendatum))-1))),"")</f>
        <v>0</v>
      </c>
      <c r="R17" s="546">
        <f>IF(R$5&gt;0,(INDEX(A_Aufgaben,(R$5-Arbeitszeit!$A$6+1),(2*(ROW()-ROW(A_Aufgabendatum))-1))),"")</f>
        <v>0</v>
      </c>
      <c r="S17" s="545">
        <f>IF(S$5&gt;0,(INDEX(A_Aufgaben,(S$5-Arbeitszeit!$A$6+1),(2*(ROW()-ROW(A_Aufgabendatum))-1))),"")</f>
        <v>0</v>
      </c>
      <c r="T17" s="546">
        <f>IF(T$5&gt;0,(INDEX(A_Aufgaben,(T$5-Arbeitszeit!$A$6+1),(2*(ROW()-ROW(A_Aufgabendatum))-1))),"")</f>
        <v>0</v>
      </c>
      <c r="U17" s="545">
        <f>IF(U$5&gt;0,(INDEX(A_Aufgaben,(U$5-Arbeitszeit!$A$6+1),(2*(ROW()-ROW(A_Aufgabendatum))-1))),"")</f>
        <v>0</v>
      </c>
      <c r="V17" s="546">
        <f>IF(V$5&gt;0,(INDEX(A_Aufgaben,(V$5-Arbeitszeit!$A$6+1),(2*(ROW()-ROW(A_Aufgabendatum))-1))),"")</f>
        <v>0</v>
      </c>
      <c r="W17" s="545">
        <f>IF(W$5&gt;0,(INDEX(A_Aufgaben,(W$5-Arbeitszeit!$A$6+1),(2*(ROW()-ROW(A_Aufgabendatum))-1))),"")</f>
        <v>0</v>
      </c>
      <c r="X17" s="546">
        <f>IF(X$5&gt;0,(INDEX(A_Aufgaben,(X$5-Arbeitszeit!$A$6+1),(2*(ROW()-ROW(A_Aufgabendatum))-1))),"")</f>
        <v>0</v>
      </c>
      <c r="Y17" s="545">
        <f>IF(Y$5&gt;0,(INDEX(A_Aufgaben,(Y$5-Arbeitszeit!$A$6+1),(2*(ROW()-ROW(A_Aufgabendatum))-1))),"")</f>
        <v>0</v>
      </c>
      <c r="Z17" s="546">
        <f>IF(Z$5&gt;0,(INDEX(A_Aufgaben,(Z$5-Arbeitszeit!$A$6+1),(2*(ROW()-ROW(A_Aufgabendatum))-1))),"")</f>
        <v>0</v>
      </c>
      <c r="AA17" s="545">
        <f>IF(AA$5&gt;0,(INDEX(A_Aufgaben,(AA$5-Arbeitszeit!$A$6+1),(2*(ROW()-ROW(A_Aufgabendatum))-1))),"")</f>
        <v>0</v>
      </c>
      <c r="AB17" s="546">
        <f>IF(AB$5&gt;0,(INDEX(A_Aufgaben,(AB$5-Arbeitszeit!$A$6+1),(2*(ROW()-ROW(A_Aufgabendatum))-1))),"")</f>
        <v>0</v>
      </c>
      <c r="AC17" s="545">
        <f>IF(AC$5&gt;0,(INDEX(A_Aufgaben,(AC$5-Arbeitszeit!$A$6+1),(2*(ROW()-ROW(A_Aufgabendatum))-1))),"")</f>
        <v>0</v>
      </c>
      <c r="AD17" s="546">
        <f>IF(AD$5&gt;0,(INDEX(A_Aufgaben,(AD$5-Arbeitszeit!$A$6+1),(2*(ROW()-ROW(A_Aufgabendatum))-1))),"")</f>
        <v>0</v>
      </c>
      <c r="AE17" s="545">
        <f>IF(AE$5&gt;0,(INDEX(A_Aufgaben,(AE$5-Arbeitszeit!$A$6+1),(2*(ROW()-ROW(A_Aufgabendatum))-1))),"")</f>
        <v>0</v>
      </c>
      <c r="AF17" s="546">
        <f>IF(AF$5&gt;0,(INDEX(A_Aufgaben,(AF$5-Arbeitszeit!$A$6+1),(2*(ROW()-ROW(A_Aufgabendatum))-1))),"")</f>
        <v>0</v>
      </c>
      <c r="AG17" s="545">
        <f>IF(AG$5&gt;0,(INDEX(A_Aufgaben,(AG$5-Arbeitszeit!$A$6+1),(2*(ROW()-ROW(A_Aufgabendatum))-1))),"")</f>
        <v>0</v>
      </c>
      <c r="AH17" s="554">
        <f t="shared" si="1"/>
        <v>0</v>
      </c>
      <c r="AI17" s="3">
        <f t="shared" si="2"/>
        <v>0</v>
      </c>
    </row>
    <row r="18" spans="1:35">
      <c r="A18">
        <f t="shared" si="3"/>
        <v>0</v>
      </c>
      <c r="B18" s="544" t="str">
        <f>Aufgaben!AE3</f>
        <v>Aufgabe 10</v>
      </c>
      <c r="C18" s="545">
        <f>IF(C$5&gt;0,(INDEX(A_Aufgaben,(C$5-Arbeitszeit!$A$6+1),(2*(ROW()-ROW(A_Aufgabendatum))-1))),"")</f>
        <v>0</v>
      </c>
      <c r="D18" s="546">
        <f>IF(D$5&gt;0,(INDEX(A_Aufgaben,(D$5-Arbeitszeit!$A$6+1),(2*(ROW()-ROW(A_Aufgabendatum))-1))),"")</f>
        <v>0</v>
      </c>
      <c r="E18" s="545">
        <f>IF(E$5&gt;0,(INDEX(A_Aufgaben,(E$5-Arbeitszeit!$A$6+1),(2*(ROW()-ROW(A_Aufgabendatum))-1))),"")</f>
        <v>0</v>
      </c>
      <c r="F18" s="546">
        <f>IF(F$5&gt;0,(INDEX(A_Aufgaben,(F$5-Arbeitszeit!$A$6+1),(2*(ROW()-ROW(A_Aufgabendatum))-1))),"")</f>
        <v>0</v>
      </c>
      <c r="G18" s="545">
        <f>IF(G$5&gt;0,(INDEX(A_Aufgaben,(G$5-Arbeitszeit!$A$6+1),(2*(ROW()-ROW(A_Aufgabendatum))-1))),"")</f>
        <v>0</v>
      </c>
      <c r="H18" s="546">
        <f>IF(H$5&gt;0,(INDEX(A_Aufgaben,(H$5-Arbeitszeit!$A$6+1),(2*(ROW()-ROW(A_Aufgabendatum))-1))),"")</f>
        <v>0</v>
      </c>
      <c r="I18" s="545">
        <f>IF(I$5&gt;0,(INDEX(A_Aufgaben,(I$5-Arbeitszeit!$A$6+1),(2*(ROW()-ROW(A_Aufgabendatum))-1))),"")</f>
        <v>0</v>
      </c>
      <c r="J18" s="546">
        <f>IF(J$5&gt;0,(INDEX(A_Aufgaben,(J$5-Arbeitszeit!$A$6+1),(2*(ROW()-ROW(A_Aufgabendatum))-1))),"")</f>
        <v>0</v>
      </c>
      <c r="K18" s="545">
        <f>IF(K$5&gt;0,(INDEX(A_Aufgaben,(K$5-Arbeitszeit!$A$6+1),(2*(ROW()-ROW(A_Aufgabendatum))-1))),"")</f>
        <v>0</v>
      </c>
      <c r="L18" s="546">
        <f>IF(L$5&gt;0,(INDEX(A_Aufgaben,(L$5-Arbeitszeit!$A$6+1),(2*(ROW()-ROW(A_Aufgabendatum))-1))),"")</f>
        <v>0</v>
      </c>
      <c r="M18" s="545">
        <f>IF(M$5&gt;0,(INDEX(A_Aufgaben,(M$5-Arbeitszeit!$A$6+1),(2*(ROW()-ROW(A_Aufgabendatum))-1))),"")</f>
        <v>0</v>
      </c>
      <c r="N18" s="546">
        <f>IF(N$5&gt;0,(INDEX(A_Aufgaben,(N$5-Arbeitszeit!$A$6+1),(2*(ROW()-ROW(A_Aufgabendatum))-1))),"")</f>
        <v>0</v>
      </c>
      <c r="O18" s="545">
        <f>IF(O$5&gt;0,(INDEX(A_Aufgaben,(O$5-Arbeitszeit!$A$6+1),(2*(ROW()-ROW(A_Aufgabendatum))-1))),"")</f>
        <v>0</v>
      </c>
      <c r="P18" s="546">
        <f>IF(P$5&gt;0,(INDEX(A_Aufgaben,(P$5-Arbeitszeit!$A$6+1),(2*(ROW()-ROW(A_Aufgabendatum))-1))),"")</f>
        <v>0</v>
      </c>
      <c r="Q18" s="545">
        <f>IF(Q$5&gt;0,(INDEX(A_Aufgaben,(Q$5-Arbeitszeit!$A$6+1),(2*(ROW()-ROW(A_Aufgabendatum))-1))),"")</f>
        <v>0</v>
      </c>
      <c r="R18" s="546">
        <f>IF(R$5&gt;0,(INDEX(A_Aufgaben,(R$5-Arbeitszeit!$A$6+1),(2*(ROW()-ROW(A_Aufgabendatum))-1))),"")</f>
        <v>0</v>
      </c>
      <c r="S18" s="545">
        <f>IF(S$5&gt;0,(INDEX(A_Aufgaben,(S$5-Arbeitszeit!$A$6+1),(2*(ROW()-ROW(A_Aufgabendatum))-1))),"")</f>
        <v>0</v>
      </c>
      <c r="T18" s="546">
        <f>IF(T$5&gt;0,(INDEX(A_Aufgaben,(T$5-Arbeitszeit!$A$6+1),(2*(ROW()-ROW(A_Aufgabendatum))-1))),"")</f>
        <v>0</v>
      </c>
      <c r="U18" s="545">
        <f>IF(U$5&gt;0,(INDEX(A_Aufgaben,(U$5-Arbeitszeit!$A$6+1),(2*(ROW()-ROW(A_Aufgabendatum))-1))),"")</f>
        <v>0</v>
      </c>
      <c r="V18" s="546">
        <f>IF(V$5&gt;0,(INDEX(A_Aufgaben,(V$5-Arbeitszeit!$A$6+1),(2*(ROW()-ROW(A_Aufgabendatum))-1))),"")</f>
        <v>0</v>
      </c>
      <c r="W18" s="545">
        <f>IF(W$5&gt;0,(INDEX(A_Aufgaben,(W$5-Arbeitszeit!$A$6+1),(2*(ROW()-ROW(A_Aufgabendatum))-1))),"")</f>
        <v>0</v>
      </c>
      <c r="X18" s="546">
        <f>IF(X$5&gt;0,(INDEX(A_Aufgaben,(X$5-Arbeitszeit!$A$6+1),(2*(ROW()-ROW(A_Aufgabendatum))-1))),"")</f>
        <v>0</v>
      </c>
      <c r="Y18" s="545">
        <f>IF(Y$5&gt;0,(INDEX(A_Aufgaben,(Y$5-Arbeitszeit!$A$6+1),(2*(ROW()-ROW(A_Aufgabendatum))-1))),"")</f>
        <v>0</v>
      </c>
      <c r="Z18" s="546">
        <f>IF(Z$5&gt;0,(INDEX(A_Aufgaben,(Z$5-Arbeitszeit!$A$6+1),(2*(ROW()-ROW(A_Aufgabendatum))-1))),"")</f>
        <v>0</v>
      </c>
      <c r="AA18" s="545">
        <f>IF(AA$5&gt;0,(INDEX(A_Aufgaben,(AA$5-Arbeitszeit!$A$6+1),(2*(ROW()-ROW(A_Aufgabendatum))-1))),"")</f>
        <v>0</v>
      </c>
      <c r="AB18" s="546">
        <f>IF(AB$5&gt;0,(INDEX(A_Aufgaben,(AB$5-Arbeitszeit!$A$6+1),(2*(ROW()-ROW(A_Aufgabendatum))-1))),"")</f>
        <v>0</v>
      </c>
      <c r="AC18" s="545">
        <f>IF(AC$5&gt;0,(INDEX(A_Aufgaben,(AC$5-Arbeitszeit!$A$6+1),(2*(ROW()-ROW(A_Aufgabendatum))-1))),"")</f>
        <v>0</v>
      </c>
      <c r="AD18" s="546">
        <f>IF(AD$5&gt;0,(INDEX(A_Aufgaben,(AD$5-Arbeitszeit!$A$6+1),(2*(ROW()-ROW(A_Aufgabendatum))-1))),"")</f>
        <v>0</v>
      </c>
      <c r="AE18" s="545">
        <f>IF(AE$5&gt;0,(INDEX(A_Aufgaben,(AE$5-Arbeitszeit!$A$6+1),(2*(ROW()-ROW(A_Aufgabendatum))-1))),"")</f>
        <v>0</v>
      </c>
      <c r="AF18" s="546">
        <f>IF(AF$5&gt;0,(INDEX(A_Aufgaben,(AF$5-Arbeitszeit!$A$6+1),(2*(ROW()-ROW(A_Aufgabendatum))-1))),"")</f>
        <v>0</v>
      </c>
      <c r="AG18" s="545">
        <f>IF(AG$5&gt;0,(INDEX(A_Aufgaben,(AG$5-Arbeitszeit!$A$6+1),(2*(ROW()-ROW(A_Aufgabendatum))-1))),"")</f>
        <v>0</v>
      </c>
      <c r="AH18" s="554">
        <f t="shared" si="1"/>
        <v>0</v>
      </c>
      <c r="AI18" s="3">
        <f t="shared" si="2"/>
        <v>0</v>
      </c>
    </row>
    <row r="19" spans="1:35">
      <c r="A19">
        <f t="shared" si="3"/>
        <v>0</v>
      </c>
      <c r="B19" s="544" t="str">
        <f>Aufgaben!AG3</f>
        <v>Aufgabe 11</v>
      </c>
      <c r="C19" s="545">
        <f>IF(C$5&gt;0,(INDEX(A_Aufgaben,(C$5-Arbeitszeit!$A$6+1),(2*(ROW()-ROW(A_Aufgabendatum))-1))),"")</f>
        <v>0</v>
      </c>
      <c r="D19" s="546">
        <f>IF(D$5&gt;0,(INDEX(A_Aufgaben,(D$5-Arbeitszeit!$A$6+1),(2*(ROW()-ROW(A_Aufgabendatum))-1))),"")</f>
        <v>0</v>
      </c>
      <c r="E19" s="545">
        <f>IF(E$5&gt;0,(INDEX(A_Aufgaben,(E$5-Arbeitszeit!$A$6+1),(2*(ROW()-ROW(A_Aufgabendatum))-1))),"")</f>
        <v>0</v>
      </c>
      <c r="F19" s="546">
        <f>IF(F$5&gt;0,(INDEX(A_Aufgaben,(F$5-Arbeitszeit!$A$6+1),(2*(ROW()-ROW(A_Aufgabendatum))-1))),"")</f>
        <v>0</v>
      </c>
      <c r="G19" s="545">
        <f>IF(G$5&gt;0,(INDEX(A_Aufgaben,(G$5-Arbeitszeit!$A$6+1),(2*(ROW()-ROW(A_Aufgabendatum))-1))),"")</f>
        <v>0</v>
      </c>
      <c r="H19" s="546">
        <f>IF(H$5&gt;0,(INDEX(A_Aufgaben,(H$5-Arbeitszeit!$A$6+1),(2*(ROW()-ROW(A_Aufgabendatum))-1))),"")</f>
        <v>0</v>
      </c>
      <c r="I19" s="545">
        <f>IF(I$5&gt;0,(INDEX(A_Aufgaben,(I$5-Arbeitszeit!$A$6+1),(2*(ROW()-ROW(A_Aufgabendatum))-1))),"")</f>
        <v>0</v>
      </c>
      <c r="J19" s="546">
        <f>IF(J$5&gt;0,(INDEX(A_Aufgaben,(J$5-Arbeitszeit!$A$6+1),(2*(ROW()-ROW(A_Aufgabendatum))-1))),"")</f>
        <v>0</v>
      </c>
      <c r="K19" s="545">
        <f>IF(K$5&gt;0,(INDEX(A_Aufgaben,(K$5-Arbeitszeit!$A$6+1),(2*(ROW()-ROW(A_Aufgabendatum))-1))),"")</f>
        <v>0</v>
      </c>
      <c r="L19" s="546">
        <f>IF(L$5&gt;0,(INDEX(A_Aufgaben,(L$5-Arbeitszeit!$A$6+1),(2*(ROW()-ROW(A_Aufgabendatum))-1))),"")</f>
        <v>0</v>
      </c>
      <c r="M19" s="545">
        <f>IF(M$5&gt;0,(INDEX(A_Aufgaben,(M$5-Arbeitszeit!$A$6+1),(2*(ROW()-ROW(A_Aufgabendatum))-1))),"")</f>
        <v>0</v>
      </c>
      <c r="N19" s="546">
        <f>IF(N$5&gt;0,(INDEX(A_Aufgaben,(N$5-Arbeitszeit!$A$6+1),(2*(ROW()-ROW(A_Aufgabendatum))-1))),"")</f>
        <v>0</v>
      </c>
      <c r="O19" s="545">
        <f>IF(O$5&gt;0,(INDEX(A_Aufgaben,(O$5-Arbeitszeit!$A$6+1),(2*(ROW()-ROW(A_Aufgabendatum))-1))),"")</f>
        <v>0</v>
      </c>
      <c r="P19" s="546">
        <f>IF(P$5&gt;0,(INDEX(A_Aufgaben,(P$5-Arbeitszeit!$A$6+1),(2*(ROW()-ROW(A_Aufgabendatum))-1))),"")</f>
        <v>0</v>
      </c>
      <c r="Q19" s="545">
        <f>IF(Q$5&gt;0,(INDEX(A_Aufgaben,(Q$5-Arbeitszeit!$A$6+1),(2*(ROW()-ROW(A_Aufgabendatum))-1))),"")</f>
        <v>0</v>
      </c>
      <c r="R19" s="546">
        <f>IF(R$5&gt;0,(INDEX(A_Aufgaben,(R$5-Arbeitszeit!$A$6+1),(2*(ROW()-ROW(A_Aufgabendatum))-1))),"")</f>
        <v>0</v>
      </c>
      <c r="S19" s="545">
        <f>IF(S$5&gt;0,(INDEX(A_Aufgaben,(S$5-Arbeitszeit!$A$6+1),(2*(ROW()-ROW(A_Aufgabendatum))-1))),"")</f>
        <v>0</v>
      </c>
      <c r="T19" s="546">
        <f>IF(T$5&gt;0,(INDEX(A_Aufgaben,(T$5-Arbeitszeit!$A$6+1),(2*(ROW()-ROW(A_Aufgabendatum))-1))),"")</f>
        <v>0</v>
      </c>
      <c r="U19" s="545">
        <f>IF(U$5&gt;0,(INDEX(A_Aufgaben,(U$5-Arbeitszeit!$A$6+1),(2*(ROW()-ROW(A_Aufgabendatum))-1))),"")</f>
        <v>0</v>
      </c>
      <c r="V19" s="546">
        <f>IF(V$5&gt;0,(INDEX(A_Aufgaben,(V$5-Arbeitszeit!$A$6+1),(2*(ROW()-ROW(A_Aufgabendatum))-1))),"")</f>
        <v>0</v>
      </c>
      <c r="W19" s="545">
        <f>IF(W$5&gt;0,(INDEX(A_Aufgaben,(W$5-Arbeitszeit!$A$6+1),(2*(ROW()-ROW(A_Aufgabendatum))-1))),"")</f>
        <v>0</v>
      </c>
      <c r="X19" s="546">
        <f>IF(X$5&gt;0,(INDEX(A_Aufgaben,(X$5-Arbeitszeit!$A$6+1),(2*(ROW()-ROW(A_Aufgabendatum))-1))),"")</f>
        <v>0</v>
      </c>
      <c r="Y19" s="545">
        <f>IF(Y$5&gt;0,(INDEX(A_Aufgaben,(Y$5-Arbeitszeit!$A$6+1),(2*(ROW()-ROW(A_Aufgabendatum))-1))),"")</f>
        <v>0</v>
      </c>
      <c r="Z19" s="546">
        <f>IF(Z$5&gt;0,(INDEX(A_Aufgaben,(Z$5-Arbeitszeit!$A$6+1),(2*(ROW()-ROW(A_Aufgabendatum))-1))),"")</f>
        <v>0</v>
      </c>
      <c r="AA19" s="545">
        <f>IF(AA$5&gt;0,(INDEX(A_Aufgaben,(AA$5-Arbeitszeit!$A$6+1),(2*(ROW()-ROW(A_Aufgabendatum))-1))),"")</f>
        <v>0</v>
      </c>
      <c r="AB19" s="546">
        <f>IF(AB$5&gt;0,(INDEX(A_Aufgaben,(AB$5-Arbeitszeit!$A$6+1),(2*(ROW()-ROW(A_Aufgabendatum))-1))),"")</f>
        <v>0</v>
      </c>
      <c r="AC19" s="545">
        <f>IF(AC$5&gt;0,(INDEX(A_Aufgaben,(AC$5-Arbeitszeit!$A$6+1),(2*(ROW()-ROW(A_Aufgabendatum))-1))),"")</f>
        <v>0</v>
      </c>
      <c r="AD19" s="546">
        <f>IF(AD$5&gt;0,(INDEX(A_Aufgaben,(AD$5-Arbeitszeit!$A$6+1),(2*(ROW()-ROW(A_Aufgabendatum))-1))),"")</f>
        <v>0</v>
      </c>
      <c r="AE19" s="545">
        <f>IF(AE$5&gt;0,(INDEX(A_Aufgaben,(AE$5-Arbeitszeit!$A$6+1),(2*(ROW()-ROW(A_Aufgabendatum))-1))),"")</f>
        <v>0</v>
      </c>
      <c r="AF19" s="546">
        <f>IF(AF$5&gt;0,(INDEX(A_Aufgaben,(AF$5-Arbeitszeit!$A$6+1),(2*(ROW()-ROW(A_Aufgabendatum))-1))),"")</f>
        <v>0</v>
      </c>
      <c r="AG19" s="545">
        <f>IF(AG$5&gt;0,(INDEX(A_Aufgaben,(AG$5-Arbeitszeit!$A$6+1),(2*(ROW()-ROW(A_Aufgabendatum))-1))),"")</f>
        <v>0</v>
      </c>
      <c r="AH19" s="554">
        <f t="shared" si="1"/>
        <v>0</v>
      </c>
      <c r="AI19" s="3">
        <f t="shared" si="2"/>
        <v>0</v>
      </c>
    </row>
    <row r="20" spans="1:35">
      <c r="A20">
        <f t="shared" si="3"/>
        <v>0</v>
      </c>
      <c r="B20" s="544" t="str">
        <f>Aufgaben!AI3</f>
        <v>Aufgabe 12</v>
      </c>
      <c r="C20" s="545">
        <f>IF(C$5&gt;0,(INDEX(A_Aufgaben,(C$5-Arbeitszeit!$A$6+1),(2*(ROW()-ROW(A_Aufgabendatum))-1))),"")</f>
        <v>0</v>
      </c>
      <c r="D20" s="546">
        <f>IF(D$5&gt;0,(INDEX(A_Aufgaben,(D$5-Arbeitszeit!$A$6+1),(2*(ROW()-ROW(A_Aufgabendatum))-1))),"")</f>
        <v>0</v>
      </c>
      <c r="E20" s="545">
        <f>IF(E$5&gt;0,(INDEX(A_Aufgaben,(E$5-Arbeitszeit!$A$6+1),(2*(ROW()-ROW(A_Aufgabendatum))-1))),"")</f>
        <v>0</v>
      </c>
      <c r="F20" s="546">
        <f>IF(F$5&gt;0,(INDEX(A_Aufgaben,(F$5-Arbeitszeit!$A$6+1),(2*(ROW()-ROW(A_Aufgabendatum))-1))),"")</f>
        <v>0</v>
      </c>
      <c r="G20" s="545">
        <f>IF(G$5&gt;0,(INDEX(A_Aufgaben,(G$5-Arbeitszeit!$A$6+1),(2*(ROW()-ROW(A_Aufgabendatum))-1))),"")</f>
        <v>0</v>
      </c>
      <c r="H20" s="546">
        <f>IF(H$5&gt;0,(INDEX(A_Aufgaben,(H$5-Arbeitszeit!$A$6+1),(2*(ROW()-ROW(A_Aufgabendatum))-1))),"")</f>
        <v>0</v>
      </c>
      <c r="I20" s="545">
        <f>IF(I$5&gt;0,(INDEX(A_Aufgaben,(I$5-Arbeitszeit!$A$6+1),(2*(ROW()-ROW(A_Aufgabendatum))-1))),"")</f>
        <v>0</v>
      </c>
      <c r="J20" s="546">
        <f>IF(J$5&gt;0,(INDEX(A_Aufgaben,(J$5-Arbeitszeit!$A$6+1),(2*(ROW()-ROW(A_Aufgabendatum))-1))),"")</f>
        <v>0</v>
      </c>
      <c r="K20" s="545">
        <f>IF(K$5&gt;0,(INDEX(A_Aufgaben,(K$5-Arbeitszeit!$A$6+1),(2*(ROW()-ROW(A_Aufgabendatum))-1))),"")</f>
        <v>0</v>
      </c>
      <c r="L20" s="546">
        <f>IF(L$5&gt;0,(INDEX(A_Aufgaben,(L$5-Arbeitszeit!$A$6+1),(2*(ROW()-ROW(A_Aufgabendatum))-1))),"")</f>
        <v>0</v>
      </c>
      <c r="M20" s="545">
        <f>IF(M$5&gt;0,(INDEX(A_Aufgaben,(M$5-Arbeitszeit!$A$6+1),(2*(ROW()-ROW(A_Aufgabendatum))-1))),"")</f>
        <v>0</v>
      </c>
      <c r="N20" s="546">
        <f>IF(N$5&gt;0,(INDEX(A_Aufgaben,(N$5-Arbeitszeit!$A$6+1),(2*(ROW()-ROW(A_Aufgabendatum))-1))),"")</f>
        <v>0</v>
      </c>
      <c r="O20" s="545">
        <f>IF(O$5&gt;0,(INDEX(A_Aufgaben,(O$5-Arbeitszeit!$A$6+1),(2*(ROW()-ROW(A_Aufgabendatum))-1))),"")</f>
        <v>0</v>
      </c>
      <c r="P20" s="546">
        <f>IF(P$5&gt;0,(INDEX(A_Aufgaben,(P$5-Arbeitszeit!$A$6+1),(2*(ROW()-ROW(A_Aufgabendatum))-1))),"")</f>
        <v>0</v>
      </c>
      <c r="Q20" s="545">
        <f>IF(Q$5&gt;0,(INDEX(A_Aufgaben,(Q$5-Arbeitszeit!$A$6+1),(2*(ROW()-ROW(A_Aufgabendatum))-1))),"")</f>
        <v>0</v>
      </c>
      <c r="R20" s="546">
        <f>IF(R$5&gt;0,(INDEX(A_Aufgaben,(R$5-Arbeitszeit!$A$6+1),(2*(ROW()-ROW(A_Aufgabendatum))-1))),"")</f>
        <v>0</v>
      </c>
      <c r="S20" s="545">
        <f>IF(S$5&gt;0,(INDEX(A_Aufgaben,(S$5-Arbeitszeit!$A$6+1),(2*(ROW()-ROW(A_Aufgabendatum))-1))),"")</f>
        <v>0</v>
      </c>
      <c r="T20" s="546">
        <f>IF(T$5&gt;0,(INDEX(A_Aufgaben,(T$5-Arbeitszeit!$A$6+1),(2*(ROW()-ROW(A_Aufgabendatum))-1))),"")</f>
        <v>0</v>
      </c>
      <c r="U20" s="545">
        <f>IF(U$5&gt;0,(INDEX(A_Aufgaben,(U$5-Arbeitszeit!$A$6+1),(2*(ROW()-ROW(A_Aufgabendatum))-1))),"")</f>
        <v>0</v>
      </c>
      <c r="V20" s="546">
        <f>IF(V$5&gt;0,(INDEX(A_Aufgaben,(V$5-Arbeitszeit!$A$6+1),(2*(ROW()-ROW(A_Aufgabendatum))-1))),"")</f>
        <v>0</v>
      </c>
      <c r="W20" s="545">
        <f>IF(W$5&gt;0,(INDEX(A_Aufgaben,(W$5-Arbeitszeit!$A$6+1),(2*(ROW()-ROW(A_Aufgabendatum))-1))),"")</f>
        <v>0</v>
      </c>
      <c r="X20" s="546">
        <f>IF(X$5&gt;0,(INDEX(A_Aufgaben,(X$5-Arbeitszeit!$A$6+1),(2*(ROW()-ROW(A_Aufgabendatum))-1))),"")</f>
        <v>0</v>
      </c>
      <c r="Y20" s="545">
        <f>IF(Y$5&gt;0,(INDEX(A_Aufgaben,(Y$5-Arbeitszeit!$A$6+1),(2*(ROW()-ROW(A_Aufgabendatum))-1))),"")</f>
        <v>0</v>
      </c>
      <c r="Z20" s="546">
        <f>IF(Z$5&gt;0,(INDEX(A_Aufgaben,(Z$5-Arbeitszeit!$A$6+1),(2*(ROW()-ROW(A_Aufgabendatum))-1))),"")</f>
        <v>0</v>
      </c>
      <c r="AA20" s="545">
        <f>IF(AA$5&gt;0,(INDEX(A_Aufgaben,(AA$5-Arbeitszeit!$A$6+1),(2*(ROW()-ROW(A_Aufgabendatum))-1))),"")</f>
        <v>0</v>
      </c>
      <c r="AB20" s="546">
        <f>IF(AB$5&gt;0,(INDEX(A_Aufgaben,(AB$5-Arbeitszeit!$A$6+1),(2*(ROW()-ROW(A_Aufgabendatum))-1))),"")</f>
        <v>0</v>
      </c>
      <c r="AC20" s="545">
        <f>IF(AC$5&gt;0,(INDEX(A_Aufgaben,(AC$5-Arbeitszeit!$A$6+1),(2*(ROW()-ROW(A_Aufgabendatum))-1))),"")</f>
        <v>0</v>
      </c>
      <c r="AD20" s="546">
        <f>IF(AD$5&gt;0,(INDEX(A_Aufgaben,(AD$5-Arbeitszeit!$A$6+1),(2*(ROW()-ROW(A_Aufgabendatum))-1))),"")</f>
        <v>0</v>
      </c>
      <c r="AE20" s="545">
        <f>IF(AE$5&gt;0,(INDEX(A_Aufgaben,(AE$5-Arbeitszeit!$A$6+1),(2*(ROW()-ROW(A_Aufgabendatum))-1))),"")</f>
        <v>0</v>
      </c>
      <c r="AF20" s="546">
        <f>IF(AF$5&gt;0,(INDEX(A_Aufgaben,(AF$5-Arbeitszeit!$A$6+1),(2*(ROW()-ROW(A_Aufgabendatum))-1))),"")</f>
        <v>0</v>
      </c>
      <c r="AG20" s="545">
        <f>IF(AG$5&gt;0,(INDEX(A_Aufgaben,(AG$5-Arbeitszeit!$A$6+1),(2*(ROW()-ROW(A_Aufgabendatum))-1))),"")</f>
        <v>0</v>
      </c>
      <c r="AH20" s="554">
        <f t="shared" si="1"/>
        <v>0</v>
      </c>
      <c r="AI20" s="3">
        <f t="shared" si="2"/>
        <v>0</v>
      </c>
    </row>
    <row r="21" spans="1:35">
      <c r="A21">
        <f t="shared" si="3"/>
        <v>0</v>
      </c>
      <c r="B21" s="544" t="str">
        <f>Aufgaben!AK3</f>
        <v>Aufgabe 13</v>
      </c>
      <c r="C21" s="545">
        <f>IF(C$5&gt;0,(INDEX(A_Aufgaben,(C$5-Arbeitszeit!$A$6+1),(2*(ROW()-ROW(A_Aufgabendatum))-1))),"")</f>
        <v>0</v>
      </c>
      <c r="D21" s="546">
        <f>IF(D$5&gt;0,(INDEX(A_Aufgaben,(D$5-Arbeitszeit!$A$6+1),(2*(ROW()-ROW(A_Aufgabendatum))-1))),"")</f>
        <v>0</v>
      </c>
      <c r="E21" s="545">
        <f>IF(E$5&gt;0,(INDEX(A_Aufgaben,(E$5-Arbeitszeit!$A$6+1),(2*(ROW()-ROW(A_Aufgabendatum))-1))),"")</f>
        <v>0</v>
      </c>
      <c r="F21" s="546">
        <f>IF(F$5&gt;0,(INDEX(A_Aufgaben,(F$5-Arbeitszeit!$A$6+1),(2*(ROW()-ROW(A_Aufgabendatum))-1))),"")</f>
        <v>0</v>
      </c>
      <c r="G21" s="545">
        <f>IF(G$5&gt;0,(INDEX(A_Aufgaben,(G$5-Arbeitszeit!$A$6+1),(2*(ROW()-ROW(A_Aufgabendatum))-1))),"")</f>
        <v>0</v>
      </c>
      <c r="H21" s="546">
        <f>IF(H$5&gt;0,(INDEX(A_Aufgaben,(H$5-Arbeitszeit!$A$6+1),(2*(ROW()-ROW(A_Aufgabendatum))-1))),"")</f>
        <v>0</v>
      </c>
      <c r="I21" s="545">
        <f>IF(I$5&gt;0,(INDEX(A_Aufgaben,(I$5-Arbeitszeit!$A$6+1),(2*(ROW()-ROW(A_Aufgabendatum))-1))),"")</f>
        <v>0</v>
      </c>
      <c r="J21" s="546">
        <f>IF(J$5&gt;0,(INDEX(A_Aufgaben,(J$5-Arbeitszeit!$A$6+1),(2*(ROW()-ROW(A_Aufgabendatum))-1))),"")</f>
        <v>0</v>
      </c>
      <c r="K21" s="545">
        <f>IF(K$5&gt;0,(INDEX(A_Aufgaben,(K$5-Arbeitszeit!$A$6+1),(2*(ROW()-ROW(A_Aufgabendatum))-1))),"")</f>
        <v>0</v>
      </c>
      <c r="L21" s="546">
        <f>IF(L$5&gt;0,(INDEX(A_Aufgaben,(L$5-Arbeitszeit!$A$6+1),(2*(ROW()-ROW(A_Aufgabendatum))-1))),"")</f>
        <v>0</v>
      </c>
      <c r="M21" s="545">
        <f>IF(M$5&gt;0,(INDEX(A_Aufgaben,(M$5-Arbeitszeit!$A$6+1),(2*(ROW()-ROW(A_Aufgabendatum))-1))),"")</f>
        <v>0</v>
      </c>
      <c r="N21" s="546">
        <f>IF(N$5&gt;0,(INDEX(A_Aufgaben,(N$5-Arbeitszeit!$A$6+1),(2*(ROW()-ROW(A_Aufgabendatum))-1))),"")</f>
        <v>0</v>
      </c>
      <c r="O21" s="545">
        <f>IF(O$5&gt;0,(INDEX(A_Aufgaben,(O$5-Arbeitszeit!$A$6+1),(2*(ROW()-ROW(A_Aufgabendatum))-1))),"")</f>
        <v>0</v>
      </c>
      <c r="P21" s="546">
        <f>IF(P$5&gt;0,(INDEX(A_Aufgaben,(P$5-Arbeitszeit!$A$6+1),(2*(ROW()-ROW(A_Aufgabendatum))-1))),"")</f>
        <v>0</v>
      </c>
      <c r="Q21" s="545">
        <f>IF(Q$5&gt;0,(INDEX(A_Aufgaben,(Q$5-Arbeitszeit!$A$6+1),(2*(ROW()-ROW(A_Aufgabendatum))-1))),"")</f>
        <v>0</v>
      </c>
      <c r="R21" s="546">
        <f>IF(R$5&gt;0,(INDEX(A_Aufgaben,(R$5-Arbeitszeit!$A$6+1),(2*(ROW()-ROW(A_Aufgabendatum))-1))),"")</f>
        <v>0</v>
      </c>
      <c r="S21" s="545">
        <f>IF(S$5&gt;0,(INDEX(A_Aufgaben,(S$5-Arbeitszeit!$A$6+1),(2*(ROW()-ROW(A_Aufgabendatum))-1))),"")</f>
        <v>0</v>
      </c>
      <c r="T21" s="546">
        <f>IF(T$5&gt;0,(INDEX(A_Aufgaben,(T$5-Arbeitszeit!$A$6+1),(2*(ROW()-ROW(A_Aufgabendatum))-1))),"")</f>
        <v>0</v>
      </c>
      <c r="U21" s="545">
        <f>IF(U$5&gt;0,(INDEX(A_Aufgaben,(U$5-Arbeitszeit!$A$6+1),(2*(ROW()-ROW(A_Aufgabendatum))-1))),"")</f>
        <v>0</v>
      </c>
      <c r="V21" s="546">
        <f>IF(V$5&gt;0,(INDEX(A_Aufgaben,(V$5-Arbeitszeit!$A$6+1),(2*(ROW()-ROW(A_Aufgabendatum))-1))),"")</f>
        <v>0</v>
      </c>
      <c r="W21" s="545">
        <f>IF(W$5&gt;0,(INDEX(A_Aufgaben,(W$5-Arbeitszeit!$A$6+1),(2*(ROW()-ROW(A_Aufgabendatum))-1))),"")</f>
        <v>0</v>
      </c>
      <c r="X21" s="546">
        <f>IF(X$5&gt;0,(INDEX(A_Aufgaben,(X$5-Arbeitszeit!$A$6+1),(2*(ROW()-ROW(A_Aufgabendatum))-1))),"")</f>
        <v>0</v>
      </c>
      <c r="Y21" s="545">
        <f>IF(Y$5&gt;0,(INDEX(A_Aufgaben,(Y$5-Arbeitszeit!$A$6+1),(2*(ROW()-ROW(A_Aufgabendatum))-1))),"")</f>
        <v>0</v>
      </c>
      <c r="Z21" s="546">
        <f>IF(Z$5&gt;0,(INDEX(A_Aufgaben,(Z$5-Arbeitszeit!$A$6+1),(2*(ROW()-ROW(A_Aufgabendatum))-1))),"")</f>
        <v>0</v>
      </c>
      <c r="AA21" s="545">
        <f>IF(AA$5&gt;0,(INDEX(A_Aufgaben,(AA$5-Arbeitszeit!$A$6+1),(2*(ROW()-ROW(A_Aufgabendatum))-1))),"")</f>
        <v>0</v>
      </c>
      <c r="AB21" s="546">
        <f>IF(AB$5&gt;0,(INDEX(A_Aufgaben,(AB$5-Arbeitszeit!$A$6+1),(2*(ROW()-ROW(A_Aufgabendatum))-1))),"")</f>
        <v>0</v>
      </c>
      <c r="AC21" s="545">
        <f>IF(AC$5&gt;0,(INDEX(A_Aufgaben,(AC$5-Arbeitszeit!$A$6+1),(2*(ROW()-ROW(A_Aufgabendatum))-1))),"")</f>
        <v>0</v>
      </c>
      <c r="AD21" s="546">
        <f>IF(AD$5&gt;0,(INDEX(A_Aufgaben,(AD$5-Arbeitszeit!$A$6+1),(2*(ROW()-ROW(A_Aufgabendatum))-1))),"")</f>
        <v>0</v>
      </c>
      <c r="AE21" s="545">
        <f>IF(AE$5&gt;0,(INDEX(A_Aufgaben,(AE$5-Arbeitszeit!$A$6+1),(2*(ROW()-ROW(A_Aufgabendatum))-1))),"")</f>
        <v>0</v>
      </c>
      <c r="AF21" s="546">
        <f>IF(AF$5&gt;0,(INDEX(A_Aufgaben,(AF$5-Arbeitszeit!$A$6+1),(2*(ROW()-ROW(A_Aufgabendatum))-1))),"")</f>
        <v>0</v>
      </c>
      <c r="AG21" s="545">
        <f>IF(AG$5&gt;0,(INDEX(A_Aufgaben,(AG$5-Arbeitszeit!$A$6+1),(2*(ROW()-ROW(A_Aufgabendatum))-1))),"")</f>
        <v>0</v>
      </c>
      <c r="AH21" s="554">
        <f t="shared" si="1"/>
        <v>0</v>
      </c>
      <c r="AI21" s="3">
        <f t="shared" si="2"/>
        <v>0</v>
      </c>
    </row>
    <row r="22" spans="1:35">
      <c r="A22">
        <f t="shared" si="3"/>
        <v>0</v>
      </c>
      <c r="B22" s="544" t="str">
        <f>Aufgaben!AM3</f>
        <v>Aufgabe 14</v>
      </c>
      <c r="C22" s="545">
        <f>IF(C$5&gt;0,(INDEX(A_Aufgaben,(C$5-Arbeitszeit!$A$6+1),(2*(ROW()-ROW(A_Aufgabendatum))-1))),"")</f>
        <v>0</v>
      </c>
      <c r="D22" s="546">
        <f>IF(D$5&gt;0,(INDEX(A_Aufgaben,(D$5-Arbeitszeit!$A$6+1),(2*(ROW()-ROW(A_Aufgabendatum))-1))),"")</f>
        <v>0</v>
      </c>
      <c r="E22" s="545">
        <f>IF(E$5&gt;0,(INDEX(A_Aufgaben,(E$5-Arbeitszeit!$A$6+1),(2*(ROW()-ROW(A_Aufgabendatum))-1))),"")</f>
        <v>0</v>
      </c>
      <c r="F22" s="546">
        <f>IF(F$5&gt;0,(INDEX(A_Aufgaben,(F$5-Arbeitszeit!$A$6+1),(2*(ROW()-ROW(A_Aufgabendatum))-1))),"")</f>
        <v>0</v>
      </c>
      <c r="G22" s="545">
        <f>IF(G$5&gt;0,(INDEX(A_Aufgaben,(G$5-Arbeitszeit!$A$6+1),(2*(ROW()-ROW(A_Aufgabendatum))-1))),"")</f>
        <v>0</v>
      </c>
      <c r="H22" s="546">
        <f>IF(H$5&gt;0,(INDEX(A_Aufgaben,(H$5-Arbeitszeit!$A$6+1),(2*(ROW()-ROW(A_Aufgabendatum))-1))),"")</f>
        <v>0</v>
      </c>
      <c r="I22" s="545">
        <f>IF(I$5&gt;0,(INDEX(A_Aufgaben,(I$5-Arbeitszeit!$A$6+1),(2*(ROW()-ROW(A_Aufgabendatum))-1))),"")</f>
        <v>0</v>
      </c>
      <c r="J22" s="546">
        <f>IF(J$5&gt;0,(INDEX(A_Aufgaben,(J$5-Arbeitszeit!$A$6+1),(2*(ROW()-ROW(A_Aufgabendatum))-1))),"")</f>
        <v>0</v>
      </c>
      <c r="K22" s="545">
        <f>IF(K$5&gt;0,(INDEX(A_Aufgaben,(K$5-Arbeitszeit!$A$6+1),(2*(ROW()-ROW(A_Aufgabendatum))-1))),"")</f>
        <v>0</v>
      </c>
      <c r="L22" s="546">
        <f>IF(L$5&gt;0,(INDEX(A_Aufgaben,(L$5-Arbeitszeit!$A$6+1),(2*(ROW()-ROW(A_Aufgabendatum))-1))),"")</f>
        <v>0</v>
      </c>
      <c r="M22" s="545">
        <f>IF(M$5&gt;0,(INDEX(A_Aufgaben,(M$5-Arbeitszeit!$A$6+1),(2*(ROW()-ROW(A_Aufgabendatum))-1))),"")</f>
        <v>0</v>
      </c>
      <c r="N22" s="546">
        <f>IF(N$5&gt;0,(INDEX(A_Aufgaben,(N$5-Arbeitszeit!$A$6+1),(2*(ROW()-ROW(A_Aufgabendatum))-1))),"")</f>
        <v>0</v>
      </c>
      <c r="O22" s="545">
        <f>IF(O$5&gt;0,(INDEX(A_Aufgaben,(O$5-Arbeitszeit!$A$6+1),(2*(ROW()-ROW(A_Aufgabendatum))-1))),"")</f>
        <v>0</v>
      </c>
      <c r="P22" s="546">
        <f>IF(P$5&gt;0,(INDEX(A_Aufgaben,(P$5-Arbeitszeit!$A$6+1),(2*(ROW()-ROW(A_Aufgabendatum))-1))),"")</f>
        <v>0</v>
      </c>
      <c r="Q22" s="545">
        <f>IF(Q$5&gt;0,(INDEX(A_Aufgaben,(Q$5-Arbeitszeit!$A$6+1),(2*(ROW()-ROW(A_Aufgabendatum))-1))),"")</f>
        <v>0</v>
      </c>
      <c r="R22" s="546">
        <f>IF(R$5&gt;0,(INDEX(A_Aufgaben,(R$5-Arbeitszeit!$A$6+1),(2*(ROW()-ROW(A_Aufgabendatum))-1))),"")</f>
        <v>0</v>
      </c>
      <c r="S22" s="545">
        <f>IF(S$5&gt;0,(INDEX(A_Aufgaben,(S$5-Arbeitszeit!$A$6+1),(2*(ROW()-ROW(A_Aufgabendatum))-1))),"")</f>
        <v>0</v>
      </c>
      <c r="T22" s="546">
        <f>IF(T$5&gt;0,(INDEX(A_Aufgaben,(T$5-Arbeitszeit!$A$6+1),(2*(ROW()-ROW(A_Aufgabendatum))-1))),"")</f>
        <v>0</v>
      </c>
      <c r="U22" s="545">
        <f>IF(U$5&gt;0,(INDEX(A_Aufgaben,(U$5-Arbeitszeit!$A$6+1),(2*(ROW()-ROW(A_Aufgabendatum))-1))),"")</f>
        <v>0</v>
      </c>
      <c r="V22" s="546">
        <f>IF(V$5&gt;0,(INDEX(A_Aufgaben,(V$5-Arbeitszeit!$A$6+1),(2*(ROW()-ROW(A_Aufgabendatum))-1))),"")</f>
        <v>0</v>
      </c>
      <c r="W22" s="545">
        <f>IF(W$5&gt;0,(INDEX(A_Aufgaben,(W$5-Arbeitszeit!$A$6+1),(2*(ROW()-ROW(A_Aufgabendatum))-1))),"")</f>
        <v>0</v>
      </c>
      <c r="X22" s="546">
        <f>IF(X$5&gt;0,(INDEX(A_Aufgaben,(X$5-Arbeitszeit!$A$6+1),(2*(ROW()-ROW(A_Aufgabendatum))-1))),"")</f>
        <v>0</v>
      </c>
      <c r="Y22" s="545">
        <f>IF(Y$5&gt;0,(INDEX(A_Aufgaben,(Y$5-Arbeitszeit!$A$6+1),(2*(ROW()-ROW(A_Aufgabendatum))-1))),"")</f>
        <v>0</v>
      </c>
      <c r="Z22" s="546">
        <f>IF(Z$5&gt;0,(INDEX(A_Aufgaben,(Z$5-Arbeitszeit!$A$6+1),(2*(ROW()-ROW(A_Aufgabendatum))-1))),"")</f>
        <v>0</v>
      </c>
      <c r="AA22" s="545">
        <f>IF(AA$5&gt;0,(INDEX(A_Aufgaben,(AA$5-Arbeitszeit!$A$6+1),(2*(ROW()-ROW(A_Aufgabendatum))-1))),"")</f>
        <v>0</v>
      </c>
      <c r="AB22" s="546">
        <f>IF(AB$5&gt;0,(INDEX(A_Aufgaben,(AB$5-Arbeitszeit!$A$6+1),(2*(ROW()-ROW(A_Aufgabendatum))-1))),"")</f>
        <v>0</v>
      </c>
      <c r="AC22" s="545">
        <f>IF(AC$5&gt;0,(INDEX(A_Aufgaben,(AC$5-Arbeitszeit!$A$6+1),(2*(ROW()-ROW(A_Aufgabendatum))-1))),"")</f>
        <v>0</v>
      </c>
      <c r="AD22" s="546">
        <f>IF(AD$5&gt;0,(INDEX(A_Aufgaben,(AD$5-Arbeitszeit!$A$6+1),(2*(ROW()-ROW(A_Aufgabendatum))-1))),"")</f>
        <v>0</v>
      </c>
      <c r="AE22" s="545">
        <f>IF(AE$5&gt;0,(INDEX(A_Aufgaben,(AE$5-Arbeitszeit!$A$6+1),(2*(ROW()-ROW(A_Aufgabendatum))-1))),"")</f>
        <v>0</v>
      </c>
      <c r="AF22" s="546">
        <f>IF(AF$5&gt;0,(INDEX(A_Aufgaben,(AF$5-Arbeitszeit!$A$6+1),(2*(ROW()-ROW(A_Aufgabendatum))-1))),"")</f>
        <v>0</v>
      </c>
      <c r="AG22" s="545">
        <f>IF(AG$5&gt;0,(INDEX(A_Aufgaben,(AG$5-Arbeitszeit!$A$6+1),(2*(ROW()-ROW(A_Aufgabendatum))-1))),"")</f>
        <v>0</v>
      </c>
      <c r="AH22" s="554">
        <f t="shared" si="1"/>
        <v>0</v>
      </c>
      <c r="AI22" s="3">
        <f t="shared" si="2"/>
        <v>0</v>
      </c>
    </row>
    <row r="23" spans="1:35">
      <c r="A23">
        <f t="shared" si="3"/>
        <v>0</v>
      </c>
      <c r="B23" s="544" t="str">
        <f>Aufgaben!AO3</f>
        <v>Aufgabe 15</v>
      </c>
      <c r="C23" s="545">
        <f>IF(C$5&gt;0,(INDEX(A_Aufgaben,(C$5-Arbeitszeit!$A$6+1),(2*(ROW()-ROW(A_Aufgabendatum))-1))),"")</f>
        <v>0</v>
      </c>
      <c r="D23" s="546">
        <f>IF(D$5&gt;0,(INDEX(A_Aufgaben,(D$5-Arbeitszeit!$A$6+1),(2*(ROW()-ROW(A_Aufgabendatum))-1))),"")</f>
        <v>0</v>
      </c>
      <c r="E23" s="545">
        <f>IF(E$5&gt;0,(INDEX(A_Aufgaben,(E$5-Arbeitszeit!$A$6+1),(2*(ROW()-ROW(A_Aufgabendatum))-1))),"")</f>
        <v>0</v>
      </c>
      <c r="F23" s="546">
        <f>IF(F$5&gt;0,(INDEX(A_Aufgaben,(F$5-Arbeitszeit!$A$6+1),(2*(ROW()-ROW(A_Aufgabendatum))-1))),"")</f>
        <v>0</v>
      </c>
      <c r="G23" s="545">
        <f>IF(G$5&gt;0,(INDEX(A_Aufgaben,(G$5-Arbeitszeit!$A$6+1),(2*(ROW()-ROW(A_Aufgabendatum))-1))),"")</f>
        <v>0</v>
      </c>
      <c r="H23" s="546">
        <f>IF(H$5&gt;0,(INDEX(A_Aufgaben,(H$5-Arbeitszeit!$A$6+1),(2*(ROW()-ROW(A_Aufgabendatum))-1))),"")</f>
        <v>0</v>
      </c>
      <c r="I23" s="545">
        <f>IF(I$5&gt;0,(INDEX(A_Aufgaben,(I$5-Arbeitszeit!$A$6+1),(2*(ROW()-ROW(A_Aufgabendatum))-1))),"")</f>
        <v>0</v>
      </c>
      <c r="J23" s="546">
        <f>IF(J$5&gt;0,(INDEX(A_Aufgaben,(J$5-Arbeitszeit!$A$6+1),(2*(ROW()-ROW(A_Aufgabendatum))-1))),"")</f>
        <v>0</v>
      </c>
      <c r="K23" s="545">
        <f>IF(K$5&gt;0,(INDEX(A_Aufgaben,(K$5-Arbeitszeit!$A$6+1),(2*(ROW()-ROW(A_Aufgabendatum))-1))),"")</f>
        <v>0</v>
      </c>
      <c r="L23" s="546">
        <f>IF(L$5&gt;0,(INDEX(A_Aufgaben,(L$5-Arbeitszeit!$A$6+1),(2*(ROW()-ROW(A_Aufgabendatum))-1))),"")</f>
        <v>0</v>
      </c>
      <c r="M23" s="545">
        <f>IF(M$5&gt;0,(INDEX(A_Aufgaben,(M$5-Arbeitszeit!$A$6+1),(2*(ROW()-ROW(A_Aufgabendatum))-1))),"")</f>
        <v>0</v>
      </c>
      <c r="N23" s="546">
        <f>IF(N$5&gt;0,(INDEX(A_Aufgaben,(N$5-Arbeitszeit!$A$6+1),(2*(ROW()-ROW(A_Aufgabendatum))-1))),"")</f>
        <v>0</v>
      </c>
      <c r="O23" s="545">
        <f>IF(O$5&gt;0,(INDEX(A_Aufgaben,(O$5-Arbeitszeit!$A$6+1),(2*(ROW()-ROW(A_Aufgabendatum))-1))),"")</f>
        <v>0</v>
      </c>
      <c r="P23" s="546">
        <f>IF(P$5&gt;0,(INDEX(A_Aufgaben,(P$5-Arbeitszeit!$A$6+1),(2*(ROW()-ROW(A_Aufgabendatum))-1))),"")</f>
        <v>0</v>
      </c>
      <c r="Q23" s="545">
        <f>IF(Q$5&gt;0,(INDEX(A_Aufgaben,(Q$5-Arbeitszeit!$A$6+1),(2*(ROW()-ROW(A_Aufgabendatum))-1))),"")</f>
        <v>0</v>
      </c>
      <c r="R23" s="546">
        <f>IF(R$5&gt;0,(INDEX(A_Aufgaben,(R$5-Arbeitszeit!$A$6+1),(2*(ROW()-ROW(A_Aufgabendatum))-1))),"")</f>
        <v>0</v>
      </c>
      <c r="S23" s="545">
        <f>IF(S$5&gt;0,(INDEX(A_Aufgaben,(S$5-Arbeitszeit!$A$6+1),(2*(ROW()-ROW(A_Aufgabendatum))-1))),"")</f>
        <v>0</v>
      </c>
      <c r="T23" s="546">
        <f>IF(T$5&gt;0,(INDEX(A_Aufgaben,(T$5-Arbeitszeit!$A$6+1),(2*(ROW()-ROW(A_Aufgabendatum))-1))),"")</f>
        <v>0</v>
      </c>
      <c r="U23" s="545">
        <f>IF(U$5&gt;0,(INDEX(A_Aufgaben,(U$5-Arbeitszeit!$A$6+1),(2*(ROW()-ROW(A_Aufgabendatum))-1))),"")</f>
        <v>0</v>
      </c>
      <c r="V23" s="546">
        <f>IF(V$5&gt;0,(INDEX(A_Aufgaben,(V$5-Arbeitszeit!$A$6+1),(2*(ROW()-ROW(A_Aufgabendatum))-1))),"")</f>
        <v>0</v>
      </c>
      <c r="W23" s="545">
        <f>IF(W$5&gt;0,(INDEX(A_Aufgaben,(W$5-Arbeitszeit!$A$6+1),(2*(ROW()-ROW(A_Aufgabendatum))-1))),"")</f>
        <v>0</v>
      </c>
      <c r="X23" s="546">
        <f>IF(X$5&gt;0,(INDEX(A_Aufgaben,(X$5-Arbeitszeit!$A$6+1),(2*(ROW()-ROW(A_Aufgabendatum))-1))),"")</f>
        <v>0</v>
      </c>
      <c r="Y23" s="545">
        <f>IF(Y$5&gt;0,(INDEX(A_Aufgaben,(Y$5-Arbeitszeit!$A$6+1),(2*(ROW()-ROW(A_Aufgabendatum))-1))),"")</f>
        <v>0</v>
      </c>
      <c r="Z23" s="546">
        <f>IF(Z$5&gt;0,(INDEX(A_Aufgaben,(Z$5-Arbeitszeit!$A$6+1),(2*(ROW()-ROW(A_Aufgabendatum))-1))),"")</f>
        <v>0</v>
      </c>
      <c r="AA23" s="545">
        <f>IF(AA$5&gt;0,(INDEX(A_Aufgaben,(AA$5-Arbeitszeit!$A$6+1),(2*(ROW()-ROW(A_Aufgabendatum))-1))),"")</f>
        <v>0</v>
      </c>
      <c r="AB23" s="546">
        <f>IF(AB$5&gt;0,(INDEX(A_Aufgaben,(AB$5-Arbeitszeit!$A$6+1),(2*(ROW()-ROW(A_Aufgabendatum))-1))),"")</f>
        <v>0</v>
      </c>
      <c r="AC23" s="545">
        <f>IF(AC$5&gt;0,(INDEX(A_Aufgaben,(AC$5-Arbeitszeit!$A$6+1),(2*(ROW()-ROW(A_Aufgabendatum))-1))),"")</f>
        <v>0</v>
      </c>
      <c r="AD23" s="546">
        <f>IF(AD$5&gt;0,(INDEX(A_Aufgaben,(AD$5-Arbeitszeit!$A$6+1),(2*(ROW()-ROW(A_Aufgabendatum))-1))),"")</f>
        <v>0</v>
      </c>
      <c r="AE23" s="545">
        <f>IF(AE$5&gt;0,(INDEX(A_Aufgaben,(AE$5-Arbeitszeit!$A$6+1),(2*(ROW()-ROW(A_Aufgabendatum))-1))),"")</f>
        <v>0</v>
      </c>
      <c r="AF23" s="546">
        <f>IF(AF$5&gt;0,(INDEX(A_Aufgaben,(AF$5-Arbeitszeit!$A$6+1),(2*(ROW()-ROW(A_Aufgabendatum))-1))),"")</f>
        <v>0</v>
      </c>
      <c r="AG23" s="545">
        <f>IF(AG$5&gt;0,(INDEX(A_Aufgaben,(AG$5-Arbeitszeit!$A$6+1),(2*(ROW()-ROW(A_Aufgabendatum))-1))),"")</f>
        <v>0</v>
      </c>
      <c r="AH23" s="554">
        <f t="shared" si="1"/>
        <v>0</v>
      </c>
      <c r="AI23" s="3">
        <f t="shared" si="2"/>
        <v>0</v>
      </c>
    </row>
    <row r="24" spans="1:35">
      <c r="A24">
        <f t="shared" si="3"/>
        <v>0</v>
      </c>
      <c r="B24" s="544" t="str">
        <f>Aufgaben!AQ3</f>
        <v>Aufgabe 16</v>
      </c>
      <c r="C24" s="545">
        <f>IF(C$5&gt;0,(INDEX(A_Aufgaben,(C$5-Arbeitszeit!$A$6+1),(2*(ROW()-ROW(A_Aufgabendatum))-1))),"")</f>
        <v>0</v>
      </c>
      <c r="D24" s="546">
        <f>IF(D$5&gt;0,(INDEX(A_Aufgaben,(D$5-Arbeitszeit!$A$6+1),(2*(ROW()-ROW(A_Aufgabendatum))-1))),"")</f>
        <v>0</v>
      </c>
      <c r="E24" s="545">
        <f>IF(E$5&gt;0,(INDEX(A_Aufgaben,(E$5-Arbeitszeit!$A$6+1),(2*(ROW()-ROW(A_Aufgabendatum))-1))),"")</f>
        <v>0</v>
      </c>
      <c r="F24" s="546">
        <f>IF(F$5&gt;0,(INDEX(A_Aufgaben,(F$5-Arbeitszeit!$A$6+1),(2*(ROW()-ROW(A_Aufgabendatum))-1))),"")</f>
        <v>0</v>
      </c>
      <c r="G24" s="545">
        <f>IF(G$5&gt;0,(INDEX(A_Aufgaben,(G$5-Arbeitszeit!$A$6+1),(2*(ROW()-ROW(A_Aufgabendatum))-1))),"")</f>
        <v>0</v>
      </c>
      <c r="H24" s="546">
        <f>IF(H$5&gt;0,(INDEX(A_Aufgaben,(H$5-Arbeitszeit!$A$6+1),(2*(ROW()-ROW(A_Aufgabendatum))-1))),"")</f>
        <v>0</v>
      </c>
      <c r="I24" s="545">
        <f>IF(I$5&gt;0,(INDEX(A_Aufgaben,(I$5-Arbeitszeit!$A$6+1),(2*(ROW()-ROW(A_Aufgabendatum))-1))),"")</f>
        <v>0</v>
      </c>
      <c r="J24" s="546">
        <f>IF(J$5&gt;0,(INDEX(A_Aufgaben,(J$5-Arbeitszeit!$A$6+1),(2*(ROW()-ROW(A_Aufgabendatum))-1))),"")</f>
        <v>0</v>
      </c>
      <c r="K24" s="545">
        <f>IF(K$5&gt;0,(INDEX(A_Aufgaben,(K$5-Arbeitszeit!$A$6+1),(2*(ROW()-ROW(A_Aufgabendatum))-1))),"")</f>
        <v>0</v>
      </c>
      <c r="L24" s="546">
        <f>IF(L$5&gt;0,(INDEX(A_Aufgaben,(L$5-Arbeitszeit!$A$6+1),(2*(ROW()-ROW(A_Aufgabendatum))-1))),"")</f>
        <v>0</v>
      </c>
      <c r="M24" s="545">
        <f>IF(M$5&gt;0,(INDEX(A_Aufgaben,(M$5-Arbeitszeit!$A$6+1),(2*(ROW()-ROW(A_Aufgabendatum))-1))),"")</f>
        <v>0</v>
      </c>
      <c r="N24" s="546">
        <f>IF(N$5&gt;0,(INDEX(A_Aufgaben,(N$5-Arbeitszeit!$A$6+1),(2*(ROW()-ROW(A_Aufgabendatum))-1))),"")</f>
        <v>0</v>
      </c>
      <c r="O24" s="545">
        <f>IF(O$5&gt;0,(INDEX(A_Aufgaben,(O$5-Arbeitszeit!$A$6+1),(2*(ROW()-ROW(A_Aufgabendatum))-1))),"")</f>
        <v>0</v>
      </c>
      <c r="P24" s="546">
        <f>IF(P$5&gt;0,(INDEX(A_Aufgaben,(P$5-Arbeitszeit!$A$6+1),(2*(ROW()-ROW(A_Aufgabendatum))-1))),"")</f>
        <v>0</v>
      </c>
      <c r="Q24" s="545">
        <f>IF(Q$5&gt;0,(INDEX(A_Aufgaben,(Q$5-Arbeitszeit!$A$6+1),(2*(ROW()-ROW(A_Aufgabendatum))-1))),"")</f>
        <v>0</v>
      </c>
      <c r="R24" s="546">
        <f>IF(R$5&gt;0,(INDEX(A_Aufgaben,(R$5-Arbeitszeit!$A$6+1),(2*(ROW()-ROW(A_Aufgabendatum))-1))),"")</f>
        <v>0</v>
      </c>
      <c r="S24" s="545">
        <f>IF(S$5&gt;0,(INDEX(A_Aufgaben,(S$5-Arbeitszeit!$A$6+1),(2*(ROW()-ROW(A_Aufgabendatum))-1))),"")</f>
        <v>0</v>
      </c>
      <c r="T24" s="546">
        <f>IF(T$5&gt;0,(INDEX(A_Aufgaben,(T$5-Arbeitszeit!$A$6+1),(2*(ROW()-ROW(A_Aufgabendatum))-1))),"")</f>
        <v>0</v>
      </c>
      <c r="U24" s="545">
        <f>IF(U$5&gt;0,(INDEX(A_Aufgaben,(U$5-Arbeitszeit!$A$6+1),(2*(ROW()-ROW(A_Aufgabendatum))-1))),"")</f>
        <v>0</v>
      </c>
      <c r="V24" s="546">
        <f>IF(V$5&gt;0,(INDEX(A_Aufgaben,(V$5-Arbeitszeit!$A$6+1),(2*(ROW()-ROW(A_Aufgabendatum))-1))),"")</f>
        <v>0</v>
      </c>
      <c r="W24" s="545">
        <f>IF(W$5&gt;0,(INDEX(A_Aufgaben,(W$5-Arbeitszeit!$A$6+1),(2*(ROW()-ROW(A_Aufgabendatum))-1))),"")</f>
        <v>0</v>
      </c>
      <c r="X24" s="546">
        <f>IF(X$5&gt;0,(INDEX(A_Aufgaben,(X$5-Arbeitszeit!$A$6+1),(2*(ROW()-ROW(A_Aufgabendatum))-1))),"")</f>
        <v>0</v>
      </c>
      <c r="Y24" s="545">
        <f>IF(Y$5&gt;0,(INDEX(A_Aufgaben,(Y$5-Arbeitszeit!$A$6+1),(2*(ROW()-ROW(A_Aufgabendatum))-1))),"")</f>
        <v>0</v>
      </c>
      <c r="Z24" s="546">
        <f>IF(Z$5&gt;0,(INDEX(A_Aufgaben,(Z$5-Arbeitszeit!$A$6+1),(2*(ROW()-ROW(A_Aufgabendatum))-1))),"")</f>
        <v>0</v>
      </c>
      <c r="AA24" s="545">
        <f>IF(AA$5&gt;0,(INDEX(A_Aufgaben,(AA$5-Arbeitszeit!$A$6+1),(2*(ROW()-ROW(A_Aufgabendatum))-1))),"")</f>
        <v>0</v>
      </c>
      <c r="AB24" s="546">
        <f>IF(AB$5&gt;0,(INDEX(A_Aufgaben,(AB$5-Arbeitszeit!$A$6+1),(2*(ROW()-ROW(A_Aufgabendatum))-1))),"")</f>
        <v>0</v>
      </c>
      <c r="AC24" s="545">
        <f>IF(AC$5&gt;0,(INDEX(A_Aufgaben,(AC$5-Arbeitszeit!$A$6+1),(2*(ROW()-ROW(A_Aufgabendatum))-1))),"")</f>
        <v>0</v>
      </c>
      <c r="AD24" s="546">
        <f>IF(AD$5&gt;0,(INDEX(A_Aufgaben,(AD$5-Arbeitszeit!$A$6+1),(2*(ROW()-ROW(A_Aufgabendatum))-1))),"")</f>
        <v>0</v>
      </c>
      <c r="AE24" s="545">
        <f>IF(AE$5&gt;0,(INDEX(A_Aufgaben,(AE$5-Arbeitszeit!$A$6+1),(2*(ROW()-ROW(A_Aufgabendatum))-1))),"")</f>
        <v>0</v>
      </c>
      <c r="AF24" s="546">
        <f>IF(AF$5&gt;0,(INDEX(A_Aufgaben,(AF$5-Arbeitszeit!$A$6+1),(2*(ROW()-ROW(A_Aufgabendatum))-1))),"")</f>
        <v>0</v>
      </c>
      <c r="AG24" s="545">
        <f>IF(AG$5&gt;0,(INDEX(A_Aufgaben,(AG$5-Arbeitszeit!$A$6+1),(2*(ROW()-ROW(A_Aufgabendatum))-1))),"")</f>
        <v>0</v>
      </c>
      <c r="AH24" s="554">
        <f t="shared" si="1"/>
        <v>0</v>
      </c>
      <c r="AI24" s="3">
        <f t="shared" si="2"/>
        <v>0</v>
      </c>
    </row>
    <row r="25" spans="1:35">
      <c r="A25">
        <f t="shared" si="3"/>
        <v>0</v>
      </c>
      <c r="B25" s="544" t="str">
        <f>Aufgaben!AS3</f>
        <v>Aufgabe 17</v>
      </c>
      <c r="C25" s="545">
        <f>IF(C$5&gt;0,(INDEX(A_Aufgaben,(C$5-Arbeitszeit!$A$6+1),(2*(ROW()-ROW(A_Aufgabendatum))-1))),"")</f>
        <v>0</v>
      </c>
      <c r="D25" s="546">
        <f>IF(D$5&gt;0,(INDEX(A_Aufgaben,(D$5-Arbeitszeit!$A$6+1),(2*(ROW()-ROW(A_Aufgabendatum))-1))),"")</f>
        <v>0</v>
      </c>
      <c r="E25" s="545">
        <f>IF(E$5&gt;0,(INDEX(A_Aufgaben,(E$5-Arbeitszeit!$A$6+1),(2*(ROW()-ROW(A_Aufgabendatum))-1))),"")</f>
        <v>0</v>
      </c>
      <c r="F25" s="546">
        <f>IF(F$5&gt;0,(INDEX(A_Aufgaben,(F$5-Arbeitszeit!$A$6+1),(2*(ROW()-ROW(A_Aufgabendatum))-1))),"")</f>
        <v>0</v>
      </c>
      <c r="G25" s="545">
        <f>IF(G$5&gt;0,(INDEX(A_Aufgaben,(G$5-Arbeitszeit!$A$6+1),(2*(ROW()-ROW(A_Aufgabendatum))-1))),"")</f>
        <v>0</v>
      </c>
      <c r="H25" s="546">
        <f>IF(H$5&gt;0,(INDEX(A_Aufgaben,(H$5-Arbeitszeit!$A$6+1),(2*(ROW()-ROW(A_Aufgabendatum))-1))),"")</f>
        <v>0</v>
      </c>
      <c r="I25" s="545">
        <f>IF(I$5&gt;0,(INDEX(A_Aufgaben,(I$5-Arbeitszeit!$A$6+1),(2*(ROW()-ROW(A_Aufgabendatum))-1))),"")</f>
        <v>0</v>
      </c>
      <c r="J25" s="546">
        <f>IF(J$5&gt;0,(INDEX(A_Aufgaben,(J$5-Arbeitszeit!$A$6+1),(2*(ROW()-ROW(A_Aufgabendatum))-1))),"")</f>
        <v>0</v>
      </c>
      <c r="K25" s="545">
        <f>IF(K$5&gt;0,(INDEX(A_Aufgaben,(K$5-Arbeitszeit!$A$6+1),(2*(ROW()-ROW(A_Aufgabendatum))-1))),"")</f>
        <v>0</v>
      </c>
      <c r="L25" s="546">
        <f>IF(L$5&gt;0,(INDEX(A_Aufgaben,(L$5-Arbeitszeit!$A$6+1),(2*(ROW()-ROW(A_Aufgabendatum))-1))),"")</f>
        <v>0</v>
      </c>
      <c r="M25" s="545">
        <f>IF(M$5&gt;0,(INDEX(A_Aufgaben,(M$5-Arbeitszeit!$A$6+1),(2*(ROW()-ROW(A_Aufgabendatum))-1))),"")</f>
        <v>0</v>
      </c>
      <c r="N25" s="546">
        <f>IF(N$5&gt;0,(INDEX(A_Aufgaben,(N$5-Arbeitszeit!$A$6+1),(2*(ROW()-ROW(A_Aufgabendatum))-1))),"")</f>
        <v>0</v>
      </c>
      <c r="O25" s="545">
        <f>IF(O$5&gt;0,(INDEX(A_Aufgaben,(O$5-Arbeitszeit!$A$6+1),(2*(ROW()-ROW(A_Aufgabendatum))-1))),"")</f>
        <v>0</v>
      </c>
      <c r="P25" s="546">
        <f>IF(P$5&gt;0,(INDEX(A_Aufgaben,(P$5-Arbeitszeit!$A$6+1),(2*(ROW()-ROW(A_Aufgabendatum))-1))),"")</f>
        <v>0</v>
      </c>
      <c r="Q25" s="545">
        <f>IF(Q$5&gt;0,(INDEX(A_Aufgaben,(Q$5-Arbeitszeit!$A$6+1),(2*(ROW()-ROW(A_Aufgabendatum))-1))),"")</f>
        <v>0</v>
      </c>
      <c r="R25" s="546">
        <f>IF(R$5&gt;0,(INDEX(A_Aufgaben,(R$5-Arbeitszeit!$A$6+1),(2*(ROW()-ROW(A_Aufgabendatum))-1))),"")</f>
        <v>0</v>
      </c>
      <c r="S25" s="545">
        <f>IF(S$5&gt;0,(INDEX(A_Aufgaben,(S$5-Arbeitszeit!$A$6+1),(2*(ROW()-ROW(A_Aufgabendatum))-1))),"")</f>
        <v>0</v>
      </c>
      <c r="T25" s="546">
        <f>IF(T$5&gt;0,(INDEX(A_Aufgaben,(T$5-Arbeitszeit!$A$6+1),(2*(ROW()-ROW(A_Aufgabendatum))-1))),"")</f>
        <v>0</v>
      </c>
      <c r="U25" s="545">
        <f>IF(U$5&gt;0,(INDEX(A_Aufgaben,(U$5-Arbeitszeit!$A$6+1),(2*(ROW()-ROW(A_Aufgabendatum))-1))),"")</f>
        <v>0</v>
      </c>
      <c r="V25" s="546">
        <f>IF(V$5&gt;0,(INDEX(A_Aufgaben,(V$5-Arbeitszeit!$A$6+1),(2*(ROW()-ROW(A_Aufgabendatum))-1))),"")</f>
        <v>0</v>
      </c>
      <c r="W25" s="545">
        <f>IF(W$5&gt;0,(INDEX(A_Aufgaben,(W$5-Arbeitszeit!$A$6+1),(2*(ROW()-ROW(A_Aufgabendatum))-1))),"")</f>
        <v>0</v>
      </c>
      <c r="X25" s="546">
        <f>IF(X$5&gt;0,(INDEX(A_Aufgaben,(X$5-Arbeitszeit!$A$6+1),(2*(ROW()-ROW(A_Aufgabendatum))-1))),"")</f>
        <v>0</v>
      </c>
      <c r="Y25" s="545">
        <f>IF(Y$5&gt;0,(INDEX(A_Aufgaben,(Y$5-Arbeitszeit!$A$6+1),(2*(ROW()-ROW(A_Aufgabendatum))-1))),"")</f>
        <v>0</v>
      </c>
      <c r="Z25" s="546">
        <f>IF(Z$5&gt;0,(INDEX(A_Aufgaben,(Z$5-Arbeitszeit!$A$6+1),(2*(ROW()-ROW(A_Aufgabendatum))-1))),"")</f>
        <v>0</v>
      </c>
      <c r="AA25" s="545">
        <f>IF(AA$5&gt;0,(INDEX(A_Aufgaben,(AA$5-Arbeitszeit!$A$6+1),(2*(ROW()-ROW(A_Aufgabendatum))-1))),"")</f>
        <v>0</v>
      </c>
      <c r="AB25" s="546">
        <f>IF(AB$5&gt;0,(INDEX(A_Aufgaben,(AB$5-Arbeitszeit!$A$6+1),(2*(ROW()-ROW(A_Aufgabendatum))-1))),"")</f>
        <v>0</v>
      </c>
      <c r="AC25" s="545">
        <f>IF(AC$5&gt;0,(INDEX(A_Aufgaben,(AC$5-Arbeitszeit!$A$6+1),(2*(ROW()-ROW(A_Aufgabendatum))-1))),"")</f>
        <v>0</v>
      </c>
      <c r="AD25" s="546">
        <f>IF(AD$5&gt;0,(INDEX(A_Aufgaben,(AD$5-Arbeitszeit!$A$6+1),(2*(ROW()-ROW(A_Aufgabendatum))-1))),"")</f>
        <v>0</v>
      </c>
      <c r="AE25" s="545">
        <f>IF(AE$5&gt;0,(INDEX(A_Aufgaben,(AE$5-Arbeitszeit!$A$6+1),(2*(ROW()-ROW(A_Aufgabendatum))-1))),"")</f>
        <v>0</v>
      </c>
      <c r="AF25" s="546">
        <f>IF(AF$5&gt;0,(INDEX(A_Aufgaben,(AF$5-Arbeitszeit!$A$6+1),(2*(ROW()-ROW(A_Aufgabendatum))-1))),"")</f>
        <v>0</v>
      </c>
      <c r="AG25" s="545">
        <f>IF(AG$5&gt;0,(INDEX(A_Aufgaben,(AG$5-Arbeitszeit!$A$6+1),(2*(ROW()-ROW(A_Aufgabendatum))-1))),"")</f>
        <v>0</v>
      </c>
      <c r="AH25" s="554">
        <f t="shared" si="1"/>
        <v>0</v>
      </c>
      <c r="AI25" s="3">
        <f t="shared" si="2"/>
        <v>0</v>
      </c>
    </row>
    <row r="26" spans="1:35">
      <c r="A26">
        <f t="shared" si="3"/>
        <v>0</v>
      </c>
      <c r="B26" s="544" t="str">
        <f>Aufgaben!AU3</f>
        <v>Aufgabe 18</v>
      </c>
      <c r="C26" s="545">
        <f>IF(C$5&gt;0,(INDEX(A_Aufgaben,(C$5-Arbeitszeit!$A$6+1),(2*(ROW()-ROW(A_Aufgabendatum))-1))),"")</f>
        <v>0</v>
      </c>
      <c r="D26" s="546">
        <f>IF(D$5&gt;0,(INDEX(A_Aufgaben,(D$5-Arbeitszeit!$A$6+1),(2*(ROW()-ROW(A_Aufgabendatum))-1))),"")</f>
        <v>0</v>
      </c>
      <c r="E26" s="545">
        <f>IF(E$5&gt;0,(INDEX(A_Aufgaben,(E$5-Arbeitszeit!$A$6+1),(2*(ROW()-ROW(A_Aufgabendatum))-1))),"")</f>
        <v>0</v>
      </c>
      <c r="F26" s="546">
        <f>IF(F$5&gt;0,(INDEX(A_Aufgaben,(F$5-Arbeitszeit!$A$6+1),(2*(ROW()-ROW(A_Aufgabendatum))-1))),"")</f>
        <v>0</v>
      </c>
      <c r="G26" s="545">
        <f>IF(G$5&gt;0,(INDEX(A_Aufgaben,(G$5-Arbeitszeit!$A$6+1),(2*(ROW()-ROW(A_Aufgabendatum))-1))),"")</f>
        <v>0</v>
      </c>
      <c r="H26" s="546">
        <f>IF(H$5&gt;0,(INDEX(A_Aufgaben,(H$5-Arbeitszeit!$A$6+1),(2*(ROW()-ROW(A_Aufgabendatum))-1))),"")</f>
        <v>0</v>
      </c>
      <c r="I26" s="545">
        <f>IF(I$5&gt;0,(INDEX(A_Aufgaben,(I$5-Arbeitszeit!$A$6+1),(2*(ROW()-ROW(A_Aufgabendatum))-1))),"")</f>
        <v>0</v>
      </c>
      <c r="J26" s="546">
        <f>IF(J$5&gt;0,(INDEX(A_Aufgaben,(J$5-Arbeitszeit!$A$6+1),(2*(ROW()-ROW(A_Aufgabendatum))-1))),"")</f>
        <v>0</v>
      </c>
      <c r="K26" s="545">
        <f>IF(K$5&gt;0,(INDEX(A_Aufgaben,(K$5-Arbeitszeit!$A$6+1),(2*(ROW()-ROW(A_Aufgabendatum))-1))),"")</f>
        <v>0</v>
      </c>
      <c r="L26" s="546">
        <f>IF(L$5&gt;0,(INDEX(A_Aufgaben,(L$5-Arbeitszeit!$A$6+1),(2*(ROW()-ROW(A_Aufgabendatum))-1))),"")</f>
        <v>0</v>
      </c>
      <c r="M26" s="545">
        <f>IF(M$5&gt;0,(INDEX(A_Aufgaben,(M$5-Arbeitszeit!$A$6+1),(2*(ROW()-ROW(A_Aufgabendatum))-1))),"")</f>
        <v>0</v>
      </c>
      <c r="N26" s="546">
        <f>IF(N$5&gt;0,(INDEX(A_Aufgaben,(N$5-Arbeitszeit!$A$6+1),(2*(ROW()-ROW(A_Aufgabendatum))-1))),"")</f>
        <v>0</v>
      </c>
      <c r="O26" s="545">
        <f>IF(O$5&gt;0,(INDEX(A_Aufgaben,(O$5-Arbeitszeit!$A$6+1),(2*(ROW()-ROW(A_Aufgabendatum))-1))),"")</f>
        <v>0</v>
      </c>
      <c r="P26" s="546">
        <f>IF(P$5&gt;0,(INDEX(A_Aufgaben,(P$5-Arbeitszeit!$A$6+1),(2*(ROW()-ROW(A_Aufgabendatum))-1))),"")</f>
        <v>0</v>
      </c>
      <c r="Q26" s="545">
        <f>IF(Q$5&gt;0,(INDEX(A_Aufgaben,(Q$5-Arbeitszeit!$A$6+1),(2*(ROW()-ROW(A_Aufgabendatum))-1))),"")</f>
        <v>0</v>
      </c>
      <c r="R26" s="546">
        <f>IF(R$5&gt;0,(INDEX(A_Aufgaben,(R$5-Arbeitszeit!$A$6+1),(2*(ROW()-ROW(A_Aufgabendatum))-1))),"")</f>
        <v>0</v>
      </c>
      <c r="S26" s="545">
        <f>IF(S$5&gt;0,(INDEX(A_Aufgaben,(S$5-Arbeitszeit!$A$6+1),(2*(ROW()-ROW(A_Aufgabendatum))-1))),"")</f>
        <v>0</v>
      </c>
      <c r="T26" s="546">
        <f>IF(T$5&gt;0,(INDEX(A_Aufgaben,(T$5-Arbeitszeit!$A$6+1),(2*(ROW()-ROW(A_Aufgabendatum))-1))),"")</f>
        <v>0</v>
      </c>
      <c r="U26" s="545">
        <f>IF(U$5&gt;0,(INDEX(A_Aufgaben,(U$5-Arbeitszeit!$A$6+1),(2*(ROW()-ROW(A_Aufgabendatum))-1))),"")</f>
        <v>0</v>
      </c>
      <c r="V26" s="546">
        <f>IF(V$5&gt;0,(INDEX(A_Aufgaben,(V$5-Arbeitszeit!$A$6+1),(2*(ROW()-ROW(A_Aufgabendatum))-1))),"")</f>
        <v>0</v>
      </c>
      <c r="W26" s="545">
        <f>IF(W$5&gt;0,(INDEX(A_Aufgaben,(W$5-Arbeitszeit!$A$6+1),(2*(ROW()-ROW(A_Aufgabendatum))-1))),"")</f>
        <v>0</v>
      </c>
      <c r="X26" s="546">
        <f>IF(X$5&gt;0,(INDEX(A_Aufgaben,(X$5-Arbeitszeit!$A$6+1),(2*(ROW()-ROW(A_Aufgabendatum))-1))),"")</f>
        <v>0</v>
      </c>
      <c r="Y26" s="545">
        <f>IF(Y$5&gt;0,(INDEX(A_Aufgaben,(Y$5-Arbeitszeit!$A$6+1),(2*(ROW()-ROW(A_Aufgabendatum))-1))),"")</f>
        <v>0</v>
      </c>
      <c r="Z26" s="546">
        <f>IF(Z$5&gt;0,(INDEX(A_Aufgaben,(Z$5-Arbeitszeit!$A$6+1),(2*(ROW()-ROW(A_Aufgabendatum))-1))),"")</f>
        <v>0</v>
      </c>
      <c r="AA26" s="545">
        <f>IF(AA$5&gt;0,(INDEX(A_Aufgaben,(AA$5-Arbeitszeit!$A$6+1),(2*(ROW()-ROW(A_Aufgabendatum))-1))),"")</f>
        <v>0</v>
      </c>
      <c r="AB26" s="546">
        <f>IF(AB$5&gt;0,(INDEX(A_Aufgaben,(AB$5-Arbeitszeit!$A$6+1),(2*(ROW()-ROW(A_Aufgabendatum))-1))),"")</f>
        <v>0</v>
      </c>
      <c r="AC26" s="545">
        <f>IF(AC$5&gt;0,(INDEX(A_Aufgaben,(AC$5-Arbeitszeit!$A$6+1),(2*(ROW()-ROW(A_Aufgabendatum))-1))),"")</f>
        <v>0</v>
      </c>
      <c r="AD26" s="546">
        <f>IF(AD$5&gt;0,(INDEX(A_Aufgaben,(AD$5-Arbeitszeit!$A$6+1),(2*(ROW()-ROW(A_Aufgabendatum))-1))),"")</f>
        <v>0</v>
      </c>
      <c r="AE26" s="545">
        <f>IF(AE$5&gt;0,(INDEX(A_Aufgaben,(AE$5-Arbeitszeit!$A$6+1),(2*(ROW()-ROW(A_Aufgabendatum))-1))),"")</f>
        <v>0</v>
      </c>
      <c r="AF26" s="546">
        <f>IF(AF$5&gt;0,(INDEX(A_Aufgaben,(AF$5-Arbeitszeit!$A$6+1),(2*(ROW()-ROW(A_Aufgabendatum))-1))),"")</f>
        <v>0</v>
      </c>
      <c r="AG26" s="545">
        <f>IF(AG$5&gt;0,(INDEX(A_Aufgaben,(AG$5-Arbeitszeit!$A$6+1),(2*(ROW()-ROW(A_Aufgabendatum))-1))),"")</f>
        <v>0</v>
      </c>
      <c r="AH26" s="554">
        <f t="shared" si="1"/>
        <v>0</v>
      </c>
      <c r="AI26" s="3">
        <f t="shared" si="2"/>
        <v>0</v>
      </c>
    </row>
    <row r="27" spans="1:35">
      <c r="A27">
        <f t="shared" si="3"/>
        <v>0</v>
      </c>
      <c r="B27" s="544" t="str">
        <f>Aufgaben!AW3</f>
        <v>Aufgabe 19</v>
      </c>
      <c r="C27" s="545">
        <f>IF(C$5&gt;0,(INDEX(A_Aufgaben,(C$5-Arbeitszeit!$A$6+1),(2*(ROW()-ROW(A_Aufgabendatum))-1))),"")</f>
        <v>0</v>
      </c>
      <c r="D27" s="546">
        <f>IF(D$5&gt;0,(INDEX(A_Aufgaben,(D$5-Arbeitszeit!$A$6+1),(2*(ROW()-ROW(A_Aufgabendatum))-1))),"")</f>
        <v>0</v>
      </c>
      <c r="E27" s="545">
        <f>IF(E$5&gt;0,(INDEX(A_Aufgaben,(E$5-Arbeitszeit!$A$6+1),(2*(ROW()-ROW(A_Aufgabendatum))-1))),"")</f>
        <v>0</v>
      </c>
      <c r="F27" s="546">
        <f>IF(F$5&gt;0,(INDEX(A_Aufgaben,(F$5-Arbeitszeit!$A$6+1),(2*(ROW()-ROW(A_Aufgabendatum))-1))),"")</f>
        <v>0</v>
      </c>
      <c r="G27" s="545">
        <f>IF(G$5&gt;0,(INDEX(A_Aufgaben,(G$5-Arbeitszeit!$A$6+1),(2*(ROW()-ROW(A_Aufgabendatum))-1))),"")</f>
        <v>0</v>
      </c>
      <c r="H27" s="546">
        <f>IF(H$5&gt;0,(INDEX(A_Aufgaben,(H$5-Arbeitszeit!$A$6+1),(2*(ROW()-ROW(A_Aufgabendatum))-1))),"")</f>
        <v>0</v>
      </c>
      <c r="I27" s="545">
        <f>IF(I$5&gt;0,(INDEX(A_Aufgaben,(I$5-Arbeitszeit!$A$6+1),(2*(ROW()-ROW(A_Aufgabendatum))-1))),"")</f>
        <v>0</v>
      </c>
      <c r="J27" s="546">
        <f>IF(J$5&gt;0,(INDEX(A_Aufgaben,(J$5-Arbeitszeit!$A$6+1),(2*(ROW()-ROW(A_Aufgabendatum))-1))),"")</f>
        <v>0</v>
      </c>
      <c r="K27" s="545">
        <f>IF(K$5&gt;0,(INDEX(A_Aufgaben,(K$5-Arbeitszeit!$A$6+1),(2*(ROW()-ROW(A_Aufgabendatum))-1))),"")</f>
        <v>0</v>
      </c>
      <c r="L27" s="546">
        <f>IF(L$5&gt;0,(INDEX(A_Aufgaben,(L$5-Arbeitszeit!$A$6+1),(2*(ROW()-ROW(A_Aufgabendatum))-1))),"")</f>
        <v>0</v>
      </c>
      <c r="M27" s="545">
        <f>IF(M$5&gt;0,(INDEX(A_Aufgaben,(M$5-Arbeitszeit!$A$6+1),(2*(ROW()-ROW(A_Aufgabendatum))-1))),"")</f>
        <v>0</v>
      </c>
      <c r="N27" s="546">
        <f>IF(N$5&gt;0,(INDEX(A_Aufgaben,(N$5-Arbeitszeit!$A$6+1),(2*(ROW()-ROW(A_Aufgabendatum))-1))),"")</f>
        <v>0</v>
      </c>
      <c r="O27" s="545">
        <f>IF(O$5&gt;0,(INDEX(A_Aufgaben,(O$5-Arbeitszeit!$A$6+1),(2*(ROW()-ROW(A_Aufgabendatum))-1))),"")</f>
        <v>0</v>
      </c>
      <c r="P27" s="546">
        <f>IF(P$5&gt;0,(INDEX(A_Aufgaben,(P$5-Arbeitszeit!$A$6+1),(2*(ROW()-ROW(A_Aufgabendatum))-1))),"")</f>
        <v>0</v>
      </c>
      <c r="Q27" s="545">
        <f>IF(Q$5&gt;0,(INDEX(A_Aufgaben,(Q$5-Arbeitszeit!$A$6+1),(2*(ROW()-ROW(A_Aufgabendatum))-1))),"")</f>
        <v>0</v>
      </c>
      <c r="R27" s="546">
        <f>IF(R$5&gt;0,(INDEX(A_Aufgaben,(R$5-Arbeitszeit!$A$6+1),(2*(ROW()-ROW(A_Aufgabendatum))-1))),"")</f>
        <v>0</v>
      </c>
      <c r="S27" s="545">
        <f>IF(S$5&gt;0,(INDEX(A_Aufgaben,(S$5-Arbeitszeit!$A$6+1),(2*(ROW()-ROW(A_Aufgabendatum))-1))),"")</f>
        <v>0</v>
      </c>
      <c r="T27" s="546">
        <f>IF(T$5&gt;0,(INDEX(A_Aufgaben,(T$5-Arbeitszeit!$A$6+1),(2*(ROW()-ROW(A_Aufgabendatum))-1))),"")</f>
        <v>0</v>
      </c>
      <c r="U27" s="545">
        <f>IF(U$5&gt;0,(INDEX(A_Aufgaben,(U$5-Arbeitszeit!$A$6+1),(2*(ROW()-ROW(A_Aufgabendatum))-1))),"")</f>
        <v>0</v>
      </c>
      <c r="V27" s="546">
        <f>IF(V$5&gt;0,(INDEX(A_Aufgaben,(V$5-Arbeitszeit!$A$6+1),(2*(ROW()-ROW(A_Aufgabendatum))-1))),"")</f>
        <v>0</v>
      </c>
      <c r="W27" s="545">
        <f>IF(W$5&gt;0,(INDEX(A_Aufgaben,(W$5-Arbeitszeit!$A$6+1),(2*(ROW()-ROW(A_Aufgabendatum))-1))),"")</f>
        <v>0</v>
      </c>
      <c r="X27" s="546">
        <f>IF(X$5&gt;0,(INDEX(A_Aufgaben,(X$5-Arbeitszeit!$A$6+1),(2*(ROW()-ROW(A_Aufgabendatum))-1))),"")</f>
        <v>0</v>
      </c>
      <c r="Y27" s="545">
        <f>IF(Y$5&gt;0,(INDEX(A_Aufgaben,(Y$5-Arbeitszeit!$A$6+1),(2*(ROW()-ROW(A_Aufgabendatum))-1))),"")</f>
        <v>0</v>
      </c>
      <c r="Z27" s="546">
        <f>IF(Z$5&gt;0,(INDEX(A_Aufgaben,(Z$5-Arbeitszeit!$A$6+1),(2*(ROW()-ROW(A_Aufgabendatum))-1))),"")</f>
        <v>0</v>
      </c>
      <c r="AA27" s="545">
        <f>IF(AA$5&gt;0,(INDEX(A_Aufgaben,(AA$5-Arbeitszeit!$A$6+1),(2*(ROW()-ROW(A_Aufgabendatum))-1))),"")</f>
        <v>0</v>
      </c>
      <c r="AB27" s="546">
        <f>IF(AB$5&gt;0,(INDEX(A_Aufgaben,(AB$5-Arbeitszeit!$A$6+1),(2*(ROW()-ROW(A_Aufgabendatum))-1))),"")</f>
        <v>0</v>
      </c>
      <c r="AC27" s="545">
        <f>IF(AC$5&gt;0,(INDEX(A_Aufgaben,(AC$5-Arbeitszeit!$A$6+1),(2*(ROW()-ROW(A_Aufgabendatum))-1))),"")</f>
        <v>0</v>
      </c>
      <c r="AD27" s="546">
        <f>IF(AD$5&gt;0,(INDEX(A_Aufgaben,(AD$5-Arbeitszeit!$A$6+1),(2*(ROW()-ROW(A_Aufgabendatum))-1))),"")</f>
        <v>0</v>
      </c>
      <c r="AE27" s="545">
        <f>IF(AE$5&gt;0,(INDEX(A_Aufgaben,(AE$5-Arbeitszeit!$A$6+1),(2*(ROW()-ROW(A_Aufgabendatum))-1))),"")</f>
        <v>0</v>
      </c>
      <c r="AF27" s="546">
        <f>IF(AF$5&gt;0,(INDEX(A_Aufgaben,(AF$5-Arbeitszeit!$A$6+1),(2*(ROW()-ROW(A_Aufgabendatum))-1))),"")</f>
        <v>0</v>
      </c>
      <c r="AG27" s="545">
        <f>IF(AG$5&gt;0,(INDEX(A_Aufgaben,(AG$5-Arbeitszeit!$A$6+1),(2*(ROW()-ROW(A_Aufgabendatum))-1))),"")</f>
        <v>0</v>
      </c>
      <c r="AH27" s="554">
        <f t="shared" si="1"/>
        <v>0</v>
      </c>
      <c r="AI27" s="3">
        <f t="shared" si="2"/>
        <v>0</v>
      </c>
    </row>
    <row r="28" spans="1:35" ht="5.0999999999999996" customHeight="1">
      <c r="D28" s="555"/>
      <c r="F28" s="555"/>
      <c r="H28" s="555"/>
      <c r="J28" s="555"/>
      <c r="L28" s="555"/>
      <c r="N28" s="555"/>
      <c r="P28" s="555"/>
      <c r="R28" s="555"/>
      <c r="T28" s="555"/>
      <c r="V28" s="555"/>
      <c r="X28" s="555"/>
      <c r="Z28" s="555"/>
      <c r="AB28" s="555"/>
      <c r="AD28" s="555"/>
      <c r="AF28" s="555"/>
      <c r="AH28" s="556"/>
    </row>
    <row r="29" spans="1:35">
      <c r="B29" s="570" t="s">
        <v>86</v>
      </c>
      <c r="C29" s="548">
        <f>SUM(C6:C28)</f>
        <v>0</v>
      </c>
      <c r="D29" s="549">
        <f t="shared" ref="D29:AH29" si="4">SUM(D6:D28)</f>
        <v>0</v>
      </c>
      <c r="E29" s="548">
        <f t="shared" si="4"/>
        <v>0</v>
      </c>
      <c r="F29" s="549">
        <f t="shared" si="4"/>
        <v>0</v>
      </c>
      <c r="G29" s="548">
        <f t="shared" si="4"/>
        <v>0</v>
      </c>
      <c r="H29" s="549">
        <f t="shared" si="4"/>
        <v>0</v>
      </c>
      <c r="I29" s="548">
        <f t="shared" si="4"/>
        <v>0</v>
      </c>
      <c r="J29" s="549">
        <f t="shared" si="4"/>
        <v>0</v>
      </c>
      <c r="K29" s="548">
        <f t="shared" si="4"/>
        <v>0</v>
      </c>
      <c r="L29" s="549">
        <f t="shared" si="4"/>
        <v>0</v>
      </c>
      <c r="M29" s="548">
        <f t="shared" si="4"/>
        <v>0</v>
      </c>
      <c r="N29" s="549">
        <f t="shared" si="4"/>
        <v>0</v>
      </c>
      <c r="O29" s="548">
        <f t="shared" si="4"/>
        <v>0</v>
      </c>
      <c r="P29" s="549">
        <f t="shared" si="4"/>
        <v>0</v>
      </c>
      <c r="Q29" s="548">
        <f t="shared" si="4"/>
        <v>0</v>
      </c>
      <c r="R29" s="549">
        <f t="shared" si="4"/>
        <v>0</v>
      </c>
      <c r="S29" s="548">
        <f t="shared" si="4"/>
        <v>0</v>
      </c>
      <c r="T29" s="549">
        <f t="shared" si="4"/>
        <v>0</v>
      </c>
      <c r="U29" s="548">
        <f t="shared" si="4"/>
        <v>0</v>
      </c>
      <c r="V29" s="549">
        <f t="shared" si="4"/>
        <v>0</v>
      </c>
      <c r="W29" s="548">
        <f t="shared" si="4"/>
        <v>0</v>
      </c>
      <c r="X29" s="549">
        <f t="shared" si="4"/>
        <v>0</v>
      </c>
      <c r="Y29" s="548">
        <f t="shared" si="4"/>
        <v>0</v>
      </c>
      <c r="Z29" s="549">
        <f t="shared" si="4"/>
        <v>0</v>
      </c>
      <c r="AA29" s="548">
        <f t="shared" si="4"/>
        <v>0</v>
      </c>
      <c r="AB29" s="549">
        <f t="shared" si="4"/>
        <v>0</v>
      </c>
      <c r="AC29" s="548">
        <f t="shared" si="4"/>
        <v>0</v>
      </c>
      <c r="AD29" s="549">
        <f t="shared" si="4"/>
        <v>0</v>
      </c>
      <c r="AE29" s="548">
        <f t="shared" si="4"/>
        <v>0</v>
      </c>
      <c r="AF29" s="549">
        <f t="shared" si="4"/>
        <v>0</v>
      </c>
      <c r="AG29" s="548">
        <f t="shared" si="4"/>
        <v>0</v>
      </c>
      <c r="AH29" s="571">
        <f t="shared" si="4"/>
        <v>0</v>
      </c>
      <c r="AI29" s="598"/>
    </row>
    <row r="30" spans="1:35">
      <c r="C30" s="572" t="str">
        <f>IF(C29&gt;0,1,"")</f>
        <v/>
      </c>
      <c r="D30" s="572" t="str">
        <f t="shared" ref="D30:AG30" si="5">IF(D29&gt;0,1,"")</f>
        <v/>
      </c>
      <c r="E30" s="572" t="str">
        <f t="shared" si="5"/>
        <v/>
      </c>
      <c r="F30" s="572" t="str">
        <f t="shared" si="5"/>
        <v/>
      </c>
      <c r="G30" s="572" t="str">
        <f t="shared" si="5"/>
        <v/>
      </c>
      <c r="H30" s="572" t="str">
        <f t="shared" si="5"/>
        <v/>
      </c>
      <c r="I30" s="572" t="str">
        <f t="shared" si="5"/>
        <v/>
      </c>
      <c r="J30" s="572" t="str">
        <f t="shared" si="5"/>
        <v/>
      </c>
      <c r="K30" s="572" t="str">
        <f t="shared" si="5"/>
        <v/>
      </c>
      <c r="L30" s="572" t="str">
        <f t="shared" si="5"/>
        <v/>
      </c>
      <c r="M30" s="572" t="str">
        <f t="shared" si="5"/>
        <v/>
      </c>
      <c r="N30" s="572" t="str">
        <f t="shared" si="5"/>
        <v/>
      </c>
      <c r="O30" s="572" t="str">
        <f t="shared" si="5"/>
        <v/>
      </c>
      <c r="P30" s="572" t="str">
        <f t="shared" si="5"/>
        <v/>
      </c>
      <c r="Q30" s="572" t="str">
        <f t="shared" si="5"/>
        <v/>
      </c>
      <c r="R30" s="572" t="str">
        <f t="shared" si="5"/>
        <v/>
      </c>
      <c r="S30" s="572" t="str">
        <f t="shared" si="5"/>
        <v/>
      </c>
      <c r="T30" s="572" t="str">
        <f t="shared" si="5"/>
        <v/>
      </c>
      <c r="U30" s="572" t="str">
        <f t="shared" si="5"/>
        <v/>
      </c>
      <c r="V30" s="572" t="str">
        <f t="shared" si="5"/>
        <v/>
      </c>
      <c r="W30" s="572" t="str">
        <f t="shared" si="5"/>
        <v/>
      </c>
      <c r="X30" s="572" t="str">
        <f t="shared" si="5"/>
        <v/>
      </c>
      <c r="Y30" s="572" t="str">
        <f t="shared" si="5"/>
        <v/>
      </c>
      <c r="Z30" s="572" t="str">
        <f t="shared" si="5"/>
        <v/>
      </c>
      <c r="AA30" s="572" t="str">
        <f t="shared" si="5"/>
        <v/>
      </c>
      <c r="AB30" s="572" t="str">
        <f t="shared" si="5"/>
        <v/>
      </c>
      <c r="AC30" s="572" t="str">
        <f t="shared" si="5"/>
        <v/>
      </c>
      <c r="AD30" s="572" t="str">
        <f t="shared" si="5"/>
        <v/>
      </c>
      <c r="AE30" s="572" t="str">
        <f t="shared" si="5"/>
        <v/>
      </c>
      <c r="AF30" s="572" t="str">
        <f t="shared" si="5"/>
        <v/>
      </c>
      <c r="AG30" s="572" t="str">
        <f t="shared" si="5"/>
        <v/>
      </c>
      <c r="AH30" s="557">
        <f>SUM(C30:AG30)</f>
        <v>0</v>
      </c>
      <c r="AI30" s="557"/>
    </row>
    <row r="31" spans="1:35">
      <c r="B31" s="573" t="s">
        <v>206</v>
      </c>
      <c r="C31" s="317"/>
    </row>
    <row r="32" spans="1:35" ht="5.0999999999999996" customHeight="1">
      <c r="C32" s="572">
        <f>C3</f>
        <v>42399</v>
      </c>
      <c r="D32" s="317"/>
    </row>
    <row r="33" spans="1:36" hidden="1">
      <c r="B33" s="551"/>
      <c r="C33" s="552"/>
    </row>
    <row r="34" spans="1:36" hidden="1" outlineLevel="1">
      <c r="B34" s="568"/>
      <c r="C34" s="568">
        <f>IF(A_Monatsende&lt;=A_Aufgabenende,A_Monatsende,0)</f>
        <v>0</v>
      </c>
      <c r="D34" s="568">
        <f t="shared" ref="D34:AG34" si="6">IF(AND(C34&gt;0,C34+1&lt;=A_Aufgabenende),C34+1,0)</f>
        <v>0</v>
      </c>
      <c r="E34" s="568">
        <f t="shared" si="6"/>
        <v>0</v>
      </c>
      <c r="F34" s="568">
        <f t="shared" si="6"/>
        <v>0</v>
      </c>
      <c r="G34" s="568">
        <f t="shared" si="6"/>
        <v>0</v>
      </c>
      <c r="H34" s="568">
        <f t="shared" si="6"/>
        <v>0</v>
      </c>
      <c r="I34" s="568">
        <f t="shared" si="6"/>
        <v>0</v>
      </c>
      <c r="J34" s="568">
        <f t="shared" si="6"/>
        <v>0</v>
      </c>
      <c r="K34" s="568">
        <f t="shared" si="6"/>
        <v>0</v>
      </c>
      <c r="L34" s="568">
        <f t="shared" si="6"/>
        <v>0</v>
      </c>
      <c r="M34" s="568">
        <f t="shared" si="6"/>
        <v>0</v>
      </c>
      <c r="N34" s="568">
        <f t="shared" si="6"/>
        <v>0</v>
      </c>
      <c r="O34" s="568">
        <f t="shared" si="6"/>
        <v>0</v>
      </c>
      <c r="P34" s="568">
        <f t="shared" si="6"/>
        <v>0</v>
      </c>
      <c r="Q34" s="568">
        <f t="shared" si="6"/>
        <v>0</v>
      </c>
      <c r="R34" s="568">
        <f t="shared" si="6"/>
        <v>0</v>
      </c>
      <c r="S34" s="568">
        <f t="shared" si="6"/>
        <v>0</v>
      </c>
      <c r="T34" s="568">
        <f t="shared" si="6"/>
        <v>0</v>
      </c>
      <c r="U34" s="568">
        <f t="shared" si="6"/>
        <v>0</v>
      </c>
      <c r="V34" s="568">
        <f t="shared" si="6"/>
        <v>0</v>
      </c>
      <c r="W34" s="568">
        <f t="shared" si="6"/>
        <v>0</v>
      </c>
      <c r="X34" s="568">
        <f t="shared" si="6"/>
        <v>0</v>
      </c>
      <c r="Y34" s="568">
        <f t="shared" si="6"/>
        <v>0</v>
      </c>
      <c r="Z34" s="568">
        <f t="shared" si="6"/>
        <v>0</v>
      </c>
      <c r="AA34" s="568">
        <f t="shared" si="6"/>
        <v>0</v>
      </c>
      <c r="AB34" s="568">
        <f t="shared" si="6"/>
        <v>0</v>
      </c>
      <c r="AC34" s="568">
        <f t="shared" si="6"/>
        <v>0</v>
      </c>
      <c r="AD34" s="568">
        <f t="shared" si="6"/>
        <v>0</v>
      </c>
      <c r="AE34" s="568">
        <f t="shared" si="6"/>
        <v>0</v>
      </c>
      <c r="AF34" s="568">
        <f t="shared" si="6"/>
        <v>0</v>
      </c>
      <c r="AG34" s="568">
        <f t="shared" si="6"/>
        <v>0</v>
      </c>
      <c r="AH34" s="569" t="s">
        <v>87</v>
      </c>
      <c r="AJ34" s="574" t="s">
        <v>77</v>
      </c>
    </row>
    <row r="35" spans="1:36" hidden="1" outlineLevel="1">
      <c r="A35">
        <f>A6</f>
        <v>0</v>
      </c>
      <c r="B35" s="544" t="str">
        <f>B6</f>
        <v>Urlaub</v>
      </c>
      <c r="C35" s="547" t="str">
        <f>IF(C$34&gt;0,(INDEX(A_Aufgaben,(C$34-Arbeitszeit!$A$6+1),(2*(ROW()-ROW(A_Endedatum))-1))),"")</f>
        <v/>
      </c>
      <c r="D35" s="546" t="str">
        <f>IF(D$34&gt;0,(INDEX(A_Aufgaben,(D$34-Arbeitszeit!$A$6+1),(2*(ROW()-ROW(A_Endedatum))-1))),"")</f>
        <v/>
      </c>
      <c r="E35" s="545" t="str">
        <f>IF(E$34&gt;0,(INDEX(A_Aufgaben,(E$34-Arbeitszeit!$A$6+1),(2*(ROW()-ROW(A_Endedatum))-1))),"")</f>
        <v/>
      </c>
      <c r="F35" s="546" t="str">
        <f>IF(F$34&gt;0,(INDEX(A_Aufgaben,(F$34-Arbeitszeit!$A$6+1),(2*(ROW()-ROW(A_Endedatum))-1))),"")</f>
        <v/>
      </c>
      <c r="G35" s="545" t="str">
        <f>IF(G$34&gt;0,(INDEX(A_Aufgaben,(G$34-Arbeitszeit!$A$6+1),(2*(ROW()-ROW(A_Endedatum))-1))),"")</f>
        <v/>
      </c>
      <c r="H35" s="546" t="str">
        <f>IF(H$34&gt;0,(INDEX(A_Aufgaben,(H$34-Arbeitszeit!$A$6+1),(2*(ROW()-ROW(A_Endedatum))-1))),"")</f>
        <v/>
      </c>
      <c r="I35" s="545" t="str">
        <f>IF(I$34&gt;0,(INDEX(A_Aufgaben,(I$34-Arbeitszeit!$A$6+1),(2*(ROW()-ROW(A_Endedatum))-1))),"")</f>
        <v/>
      </c>
      <c r="J35" s="546" t="str">
        <f>IF(J$34&gt;0,(INDEX(A_Aufgaben,(J$34-Arbeitszeit!$A$6+1),(2*(ROW()-ROW(A_Endedatum))-1))),"")</f>
        <v/>
      </c>
      <c r="K35" s="545" t="str">
        <f>IF(K$34&gt;0,(INDEX(A_Aufgaben,(K$34-Arbeitszeit!$A$6+1),(2*(ROW()-ROW(A_Endedatum))-1))),"")</f>
        <v/>
      </c>
      <c r="L35" s="546" t="str">
        <f>IF(L$34&gt;0,(INDEX(A_Aufgaben,(L$34-Arbeitszeit!$A$6+1),(2*(ROW()-ROW(A_Endedatum))-1))),"")</f>
        <v/>
      </c>
      <c r="M35" s="545" t="str">
        <f>IF(M$34&gt;0,(INDEX(A_Aufgaben,(M$34-Arbeitszeit!$A$6+1),(2*(ROW()-ROW(A_Endedatum))-1))),"")</f>
        <v/>
      </c>
      <c r="N35" s="546" t="str">
        <f>IF(N$34&gt;0,(INDEX(A_Aufgaben,(N$34-Arbeitszeit!$A$6+1),(2*(ROW()-ROW(A_Endedatum))-1))),"")</f>
        <v/>
      </c>
      <c r="O35" s="545" t="str">
        <f>IF(O$34&gt;0,(INDEX(A_Aufgaben,(O$34-Arbeitszeit!$A$6+1),(2*(ROW()-ROW(A_Endedatum))-1))),"")</f>
        <v/>
      </c>
      <c r="P35" s="546" t="str">
        <f>IF(P$34&gt;0,(INDEX(A_Aufgaben,(P$34-Arbeitszeit!$A$6+1),(2*(ROW()-ROW(A_Endedatum))-1))),"")</f>
        <v/>
      </c>
      <c r="Q35" s="545" t="str">
        <f>IF(Q$34&gt;0,(INDEX(A_Aufgaben,(Q$34-Arbeitszeit!$A$6+1),(2*(ROW()-ROW(A_Endedatum))-1))),"")</f>
        <v/>
      </c>
      <c r="R35" s="546" t="str">
        <f>IF(R$34&gt;0,(INDEX(A_Aufgaben,(R$34-Arbeitszeit!$A$6+1),(2*(ROW()-ROW(A_Endedatum))-1))),"")</f>
        <v/>
      </c>
      <c r="S35" s="545" t="str">
        <f>IF(S$34&gt;0,(INDEX(A_Aufgaben,(S$34-Arbeitszeit!$A$6+1),(2*(ROW()-ROW(A_Endedatum))-1))),"")</f>
        <v/>
      </c>
      <c r="T35" s="546" t="str">
        <f>IF(T$34&gt;0,(INDEX(A_Aufgaben,(T$34-Arbeitszeit!$A$6+1),(2*(ROW()-ROW(A_Endedatum))-1))),"")</f>
        <v/>
      </c>
      <c r="U35" s="545" t="str">
        <f>IF(U$34&gt;0,(INDEX(A_Aufgaben,(U$34-Arbeitszeit!$A$6+1),(2*(ROW()-ROW(A_Endedatum))-1))),"")</f>
        <v/>
      </c>
      <c r="V35" s="546" t="str">
        <f>IF(V$34&gt;0,(INDEX(A_Aufgaben,(V$34-Arbeitszeit!$A$6+1),(2*(ROW()-ROW(A_Endedatum))-1))),"")</f>
        <v/>
      </c>
      <c r="W35" s="545" t="str">
        <f>IF(W$34&gt;0,(INDEX(A_Aufgaben,(W$34-Arbeitszeit!$A$6+1),(2*(ROW()-ROW(A_Endedatum))-1))),"")</f>
        <v/>
      </c>
      <c r="X35" s="546" t="str">
        <f>IF(X$34&gt;0,(INDEX(A_Aufgaben,(X$34-Arbeitszeit!$A$6+1),(2*(ROW()-ROW(A_Endedatum))-1))),"")</f>
        <v/>
      </c>
      <c r="Y35" s="545" t="str">
        <f>IF(Y$34&gt;0,(INDEX(A_Aufgaben,(Y$34-Arbeitszeit!$A$6+1),(2*(ROW()-ROW(A_Endedatum))-1))),"")</f>
        <v/>
      </c>
      <c r="Z35" s="546" t="str">
        <f>IF(Z$34&gt;0,(INDEX(A_Aufgaben,(Z$34-Arbeitszeit!$A$6+1),(2*(ROW()-ROW(A_Endedatum))-1))),"")</f>
        <v/>
      </c>
      <c r="AA35" s="545" t="str">
        <f>IF(AA$34&gt;0,(INDEX(A_Aufgaben,(AA$34-Arbeitszeit!$A$6+1),(2*(ROW()-ROW(A_Endedatum))-1))),"")</f>
        <v/>
      </c>
      <c r="AB35" s="546" t="str">
        <f>IF(AB$34&gt;0,(INDEX(A_Aufgaben,(AB$34-Arbeitszeit!$A$6+1),(2*(ROW()-ROW(A_Endedatum))-1))),"")</f>
        <v/>
      </c>
      <c r="AC35" s="545" t="str">
        <f>IF(AC$34&gt;0,(INDEX(A_Aufgaben,(AC$34-Arbeitszeit!$A$6+1),(2*(ROW()-ROW(A_Endedatum))-1))),"")</f>
        <v/>
      </c>
      <c r="AD35" s="546" t="str">
        <f>IF(AD$34&gt;0,(INDEX(A_Aufgaben,(AD$34-Arbeitszeit!$A$6+1),(2*(ROW()-ROW(A_Endedatum))-1))),"")</f>
        <v/>
      </c>
      <c r="AE35" s="545" t="str">
        <f>IF(AE$34&gt;0,(INDEX(A_Aufgaben,(AE$34-Arbeitszeit!$A$6+1),(2*(ROW()-ROW(A_Endedatum))-1))),"")</f>
        <v/>
      </c>
      <c r="AF35" s="546" t="str">
        <f>IF(AF$34&gt;0,(INDEX(A_Aufgaben,(AF$34-Arbeitszeit!$A$6+1),(2*(ROW()-ROW(A_Endedatum))-1))),"")</f>
        <v/>
      </c>
      <c r="AG35" s="545" t="str">
        <f>IF(AG$34&gt;0,(INDEX(A_Aufgaben,(AG$34-Arbeitszeit!$A$6+1),(2*(ROW()-ROW(A_Endedatum))-1))),"")</f>
        <v/>
      </c>
      <c r="AH35" s="554">
        <f t="shared" ref="AH35:AH56" si="7">SUM(C35:AG35)</f>
        <v>0</v>
      </c>
      <c r="AI35" s="3">
        <f t="shared" ref="AI35:AI56" si="8">COUNTIF(C35:AG35,"&gt;0")</f>
        <v>0</v>
      </c>
      <c r="AJ35" s="575">
        <f>AH6+AH35</f>
        <v>0</v>
      </c>
    </row>
    <row r="36" spans="1:36" hidden="1" outlineLevel="1">
      <c r="A36">
        <f t="shared" ref="A36:A56" si="9">A7</f>
        <v>0</v>
      </c>
      <c r="B36" s="544" t="str">
        <f t="shared" ref="B36:B56" si="10">B7</f>
        <v>Krank</v>
      </c>
      <c r="C36" s="545" t="str">
        <f>IF(C$34&gt;0,(INDEX(A_Aufgaben,(C$34-Arbeitszeit!$A$6+1),(2*(ROW()-ROW(A_Endedatum))-1))),"")</f>
        <v/>
      </c>
      <c r="D36" s="546" t="str">
        <f>IF(D$34&gt;0,(INDEX(A_Aufgaben,(D$34-Arbeitszeit!$A$6+1),(2*(ROW()-ROW(A_Endedatum))-1))),"")</f>
        <v/>
      </c>
      <c r="E36" s="545" t="str">
        <f>IF(E$34&gt;0,(INDEX(A_Aufgaben,(E$34-Arbeitszeit!$A$6+1),(2*(ROW()-ROW(A_Endedatum))-1))),"")</f>
        <v/>
      </c>
      <c r="F36" s="546" t="str">
        <f>IF(F$34&gt;0,(INDEX(A_Aufgaben,(F$34-Arbeitszeit!$A$6+1),(2*(ROW()-ROW(A_Endedatum))-1))),"")</f>
        <v/>
      </c>
      <c r="G36" s="545" t="str">
        <f>IF(G$34&gt;0,(INDEX(A_Aufgaben,(G$34-Arbeitszeit!$A$6+1),(2*(ROW()-ROW(A_Endedatum))-1))),"")</f>
        <v/>
      </c>
      <c r="H36" s="546" t="str">
        <f>IF(H$34&gt;0,(INDEX(A_Aufgaben,(H$34-Arbeitszeit!$A$6+1),(2*(ROW()-ROW(A_Endedatum))-1))),"")</f>
        <v/>
      </c>
      <c r="I36" s="545" t="str">
        <f>IF(I$34&gt;0,(INDEX(A_Aufgaben,(I$34-Arbeitszeit!$A$6+1),(2*(ROW()-ROW(A_Endedatum))-1))),"")</f>
        <v/>
      </c>
      <c r="J36" s="546" t="str">
        <f>IF(J$34&gt;0,(INDEX(A_Aufgaben,(J$34-Arbeitszeit!$A$6+1),(2*(ROW()-ROW(A_Endedatum))-1))),"")</f>
        <v/>
      </c>
      <c r="K36" s="545" t="str">
        <f>IF(K$34&gt;0,(INDEX(A_Aufgaben,(K$34-Arbeitszeit!$A$6+1),(2*(ROW()-ROW(A_Endedatum))-1))),"")</f>
        <v/>
      </c>
      <c r="L36" s="546" t="str">
        <f>IF(L$34&gt;0,(INDEX(A_Aufgaben,(L$34-Arbeitszeit!$A$6+1),(2*(ROW()-ROW(A_Endedatum))-1))),"")</f>
        <v/>
      </c>
      <c r="M36" s="545" t="str">
        <f>IF(M$34&gt;0,(INDEX(A_Aufgaben,(M$34-Arbeitszeit!$A$6+1),(2*(ROW()-ROW(A_Endedatum))-1))),"")</f>
        <v/>
      </c>
      <c r="N36" s="546" t="str">
        <f>IF(N$34&gt;0,(INDEX(A_Aufgaben,(N$34-Arbeitszeit!$A$6+1),(2*(ROW()-ROW(A_Endedatum))-1))),"")</f>
        <v/>
      </c>
      <c r="O36" s="545" t="str">
        <f>IF(O$34&gt;0,(INDEX(A_Aufgaben,(O$34-Arbeitszeit!$A$6+1),(2*(ROW()-ROW(A_Endedatum))-1))),"")</f>
        <v/>
      </c>
      <c r="P36" s="546" t="str">
        <f>IF(P$34&gt;0,(INDEX(A_Aufgaben,(P$34-Arbeitszeit!$A$6+1),(2*(ROW()-ROW(A_Endedatum))-1))),"")</f>
        <v/>
      </c>
      <c r="Q36" s="545" t="str">
        <f>IF(Q$34&gt;0,(INDEX(A_Aufgaben,(Q$34-Arbeitszeit!$A$6+1),(2*(ROW()-ROW(A_Endedatum))-1))),"")</f>
        <v/>
      </c>
      <c r="R36" s="546" t="str">
        <f>IF(R$34&gt;0,(INDEX(A_Aufgaben,(R$34-Arbeitszeit!$A$6+1),(2*(ROW()-ROW(A_Endedatum))-1))),"")</f>
        <v/>
      </c>
      <c r="S36" s="545" t="str">
        <f>IF(S$34&gt;0,(INDEX(A_Aufgaben,(S$34-Arbeitszeit!$A$6+1),(2*(ROW()-ROW(A_Endedatum))-1))),"")</f>
        <v/>
      </c>
      <c r="T36" s="546" t="str">
        <f>IF(T$34&gt;0,(INDEX(A_Aufgaben,(T$34-Arbeitszeit!$A$6+1),(2*(ROW()-ROW(A_Endedatum))-1))),"")</f>
        <v/>
      </c>
      <c r="U36" s="545" t="str">
        <f>IF(U$34&gt;0,(INDEX(A_Aufgaben,(U$34-Arbeitszeit!$A$6+1),(2*(ROW()-ROW(A_Endedatum))-1))),"")</f>
        <v/>
      </c>
      <c r="V36" s="546" t="str">
        <f>IF(V$34&gt;0,(INDEX(A_Aufgaben,(V$34-Arbeitszeit!$A$6+1),(2*(ROW()-ROW(A_Endedatum))-1))),"")</f>
        <v/>
      </c>
      <c r="W36" s="545" t="str">
        <f>IF(W$34&gt;0,(INDEX(A_Aufgaben,(W$34-Arbeitszeit!$A$6+1),(2*(ROW()-ROW(A_Endedatum))-1))),"")</f>
        <v/>
      </c>
      <c r="X36" s="546" t="str">
        <f>IF(X$34&gt;0,(INDEX(A_Aufgaben,(X$34-Arbeitszeit!$A$6+1),(2*(ROW()-ROW(A_Endedatum))-1))),"")</f>
        <v/>
      </c>
      <c r="Y36" s="545" t="str">
        <f>IF(Y$34&gt;0,(INDEX(A_Aufgaben,(Y$34-Arbeitszeit!$A$6+1),(2*(ROW()-ROW(A_Endedatum))-1))),"")</f>
        <v/>
      </c>
      <c r="Z36" s="546" t="str">
        <f>IF(Z$34&gt;0,(INDEX(A_Aufgaben,(Z$34-Arbeitszeit!$A$6+1),(2*(ROW()-ROW(A_Endedatum))-1))),"")</f>
        <v/>
      </c>
      <c r="AA36" s="545" t="str">
        <f>IF(AA$34&gt;0,(INDEX(A_Aufgaben,(AA$34-Arbeitszeit!$A$6+1),(2*(ROW()-ROW(A_Endedatum))-1))),"")</f>
        <v/>
      </c>
      <c r="AB36" s="546" t="str">
        <f>IF(AB$34&gt;0,(INDEX(A_Aufgaben,(AB$34-Arbeitszeit!$A$6+1),(2*(ROW()-ROW(A_Endedatum))-1))),"")</f>
        <v/>
      </c>
      <c r="AC36" s="545" t="str">
        <f>IF(AC$34&gt;0,(INDEX(A_Aufgaben,(AC$34-Arbeitszeit!$A$6+1),(2*(ROW()-ROW(A_Endedatum))-1))),"")</f>
        <v/>
      </c>
      <c r="AD36" s="546" t="str">
        <f>IF(AD$34&gt;0,(INDEX(A_Aufgaben,(AD$34-Arbeitszeit!$A$6+1),(2*(ROW()-ROW(A_Endedatum))-1))),"")</f>
        <v/>
      </c>
      <c r="AE36" s="545" t="str">
        <f>IF(AE$34&gt;0,(INDEX(A_Aufgaben,(AE$34-Arbeitszeit!$A$6+1),(2*(ROW()-ROW(A_Endedatum))-1))),"")</f>
        <v/>
      </c>
      <c r="AF36" s="546" t="str">
        <f>IF(AF$34&gt;0,(INDEX(A_Aufgaben,(AF$34-Arbeitszeit!$A$6+1),(2*(ROW()-ROW(A_Endedatum))-1))),"")</f>
        <v/>
      </c>
      <c r="AG36" s="545" t="str">
        <f>IF(AG$34&gt;0,(INDEX(A_Aufgaben,(AG$34-Arbeitszeit!$A$6+1),(2*(ROW()-ROW(A_Endedatum))-1))),"")</f>
        <v/>
      </c>
      <c r="AH36" s="554">
        <f t="shared" si="7"/>
        <v>0</v>
      </c>
      <c r="AI36" s="3">
        <f t="shared" si="8"/>
        <v>0</v>
      </c>
      <c r="AJ36" s="575">
        <f t="shared" ref="AJ36:AJ56" si="11">AH7+AH36</f>
        <v>0</v>
      </c>
    </row>
    <row r="37" spans="1:36" hidden="1" outlineLevel="1">
      <c r="A37">
        <f t="shared" si="9"/>
        <v>0</v>
      </c>
      <c r="B37" s="544" t="str">
        <f t="shared" si="10"/>
        <v>Allgemein</v>
      </c>
      <c r="C37" s="545" t="str">
        <f>IF(C$34&gt;0,(INDEX(A_Aufgaben,(C$34-Arbeitszeit!$A$6+1),(2*(ROW()-ROW(A_Endedatum))-1))),"")</f>
        <v/>
      </c>
      <c r="D37" s="546" t="str">
        <f>IF(D$34&gt;0,(INDEX(A_Aufgaben,(D$34-Arbeitszeit!$A$6+1),(2*(ROW()-ROW(A_Endedatum))-1))),"")</f>
        <v/>
      </c>
      <c r="E37" s="545" t="str">
        <f>IF(E$34&gt;0,(INDEX(A_Aufgaben,(E$34-Arbeitszeit!$A$6+1),(2*(ROW()-ROW(A_Endedatum))-1))),"")</f>
        <v/>
      </c>
      <c r="F37" s="546" t="str">
        <f>IF(F$34&gt;0,(INDEX(A_Aufgaben,(F$34-Arbeitszeit!$A$6+1),(2*(ROW()-ROW(A_Endedatum))-1))),"")</f>
        <v/>
      </c>
      <c r="G37" s="545" t="str">
        <f>IF(G$34&gt;0,(INDEX(A_Aufgaben,(G$34-Arbeitszeit!$A$6+1),(2*(ROW()-ROW(A_Endedatum))-1))),"")</f>
        <v/>
      </c>
      <c r="H37" s="546" t="str">
        <f>IF(H$34&gt;0,(INDEX(A_Aufgaben,(H$34-Arbeitszeit!$A$6+1),(2*(ROW()-ROW(A_Endedatum))-1))),"")</f>
        <v/>
      </c>
      <c r="I37" s="545" t="str">
        <f>IF(I$34&gt;0,(INDEX(A_Aufgaben,(I$34-Arbeitszeit!$A$6+1),(2*(ROW()-ROW(A_Endedatum))-1))),"")</f>
        <v/>
      </c>
      <c r="J37" s="546" t="str">
        <f>IF(J$34&gt;0,(INDEX(A_Aufgaben,(J$34-Arbeitszeit!$A$6+1),(2*(ROW()-ROW(A_Endedatum))-1))),"")</f>
        <v/>
      </c>
      <c r="K37" s="545" t="str">
        <f>IF(K$34&gt;0,(INDEX(A_Aufgaben,(K$34-Arbeitszeit!$A$6+1),(2*(ROW()-ROW(A_Endedatum))-1))),"")</f>
        <v/>
      </c>
      <c r="L37" s="546" t="str">
        <f>IF(L$34&gt;0,(INDEX(A_Aufgaben,(L$34-Arbeitszeit!$A$6+1),(2*(ROW()-ROW(A_Endedatum))-1))),"")</f>
        <v/>
      </c>
      <c r="M37" s="545" t="str">
        <f>IF(M$34&gt;0,(INDEX(A_Aufgaben,(M$34-Arbeitszeit!$A$6+1),(2*(ROW()-ROW(A_Endedatum))-1))),"")</f>
        <v/>
      </c>
      <c r="N37" s="546" t="str">
        <f>IF(N$34&gt;0,(INDEX(A_Aufgaben,(N$34-Arbeitszeit!$A$6+1),(2*(ROW()-ROW(A_Endedatum))-1))),"")</f>
        <v/>
      </c>
      <c r="O37" s="545" t="str">
        <f>IF(O$34&gt;0,(INDEX(A_Aufgaben,(O$34-Arbeitszeit!$A$6+1),(2*(ROW()-ROW(A_Endedatum))-1))),"")</f>
        <v/>
      </c>
      <c r="P37" s="546" t="str">
        <f>IF(P$34&gt;0,(INDEX(A_Aufgaben,(P$34-Arbeitszeit!$A$6+1),(2*(ROW()-ROW(A_Endedatum))-1))),"")</f>
        <v/>
      </c>
      <c r="Q37" s="545" t="str">
        <f>IF(Q$34&gt;0,(INDEX(A_Aufgaben,(Q$34-Arbeitszeit!$A$6+1),(2*(ROW()-ROW(A_Endedatum))-1))),"")</f>
        <v/>
      </c>
      <c r="R37" s="546" t="str">
        <f>IF(R$34&gt;0,(INDEX(A_Aufgaben,(R$34-Arbeitszeit!$A$6+1),(2*(ROW()-ROW(A_Endedatum))-1))),"")</f>
        <v/>
      </c>
      <c r="S37" s="545" t="str">
        <f>IF(S$34&gt;0,(INDEX(A_Aufgaben,(S$34-Arbeitszeit!$A$6+1),(2*(ROW()-ROW(A_Endedatum))-1))),"")</f>
        <v/>
      </c>
      <c r="T37" s="546" t="str">
        <f>IF(T$34&gt;0,(INDEX(A_Aufgaben,(T$34-Arbeitszeit!$A$6+1),(2*(ROW()-ROW(A_Endedatum))-1))),"")</f>
        <v/>
      </c>
      <c r="U37" s="545" t="str">
        <f>IF(U$34&gt;0,(INDEX(A_Aufgaben,(U$34-Arbeitszeit!$A$6+1),(2*(ROW()-ROW(A_Endedatum))-1))),"")</f>
        <v/>
      </c>
      <c r="V37" s="546" t="str">
        <f>IF(V$34&gt;0,(INDEX(A_Aufgaben,(V$34-Arbeitszeit!$A$6+1),(2*(ROW()-ROW(A_Endedatum))-1))),"")</f>
        <v/>
      </c>
      <c r="W37" s="545" t="str">
        <f>IF(W$34&gt;0,(INDEX(A_Aufgaben,(W$34-Arbeitszeit!$A$6+1),(2*(ROW()-ROW(A_Endedatum))-1))),"")</f>
        <v/>
      </c>
      <c r="X37" s="546" t="str">
        <f>IF(X$34&gt;0,(INDEX(A_Aufgaben,(X$34-Arbeitszeit!$A$6+1),(2*(ROW()-ROW(A_Endedatum))-1))),"")</f>
        <v/>
      </c>
      <c r="Y37" s="545" t="str">
        <f>IF(Y$34&gt;0,(INDEX(A_Aufgaben,(Y$34-Arbeitszeit!$A$6+1),(2*(ROW()-ROW(A_Endedatum))-1))),"")</f>
        <v/>
      </c>
      <c r="Z37" s="546" t="str">
        <f>IF(Z$34&gt;0,(INDEX(A_Aufgaben,(Z$34-Arbeitszeit!$A$6+1),(2*(ROW()-ROW(A_Endedatum))-1))),"")</f>
        <v/>
      </c>
      <c r="AA37" s="545" t="str">
        <f>IF(AA$34&gt;0,(INDEX(A_Aufgaben,(AA$34-Arbeitszeit!$A$6+1),(2*(ROW()-ROW(A_Endedatum))-1))),"")</f>
        <v/>
      </c>
      <c r="AB37" s="546" t="str">
        <f>IF(AB$34&gt;0,(INDEX(A_Aufgaben,(AB$34-Arbeitszeit!$A$6+1),(2*(ROW()-ROW(A_Endedatum))-1))),"")</f>
        <v/>
      </c>
      <c r="AC37" s="545" t="str">
        <f>IF(AC$34&gt;0,(INDEX(A_Aufgaben,(AC$34-Arbeitszeit!$A$6+1),(2*(ROW()-ROW(A_Endedatum))-1))),"")</f>
        <v/>
      </c>
      <c r="AD37" s="546" t="str">
        <f>IF(AD$34&gt;0,(INDEX(A_Aufgaben,(AD$34-Arbeitszeit!$A$6+1),(2*(ROW()-ROW(A_Endedatum))-1))),"")</f>
        <v/>
      </c>
      <c r="AE37" s="545" t="str">
        <f>IF(AE$34&gt;0,(INDEX(A_Aufgaben,(AE$34-Arbeitszeit!$A$6+1),(2*(ROW()-ROW(A_Endedatum))-1))),"")</f>
        <v/>
      </c>
      <c r="AF37" s="546" t="str">
        <f>IF(AF$34&gt;0,(INDEX(A_Aufgaben,(AF$34-Arbeitszeit!$A$6+1),(2*(ROW()-ROW(A_Endedatum))-1))),"")</f>
        <v/>
      </c>
      <c r="AG37" s="545" t="str">
        <f>IF(AG$34&gt;0,(INDEX(A_Aufgaben,(AG$34-Arbeitszeit!$A$6+1),(2*(ROW()-ROW(A_Endedatum))-1))),"")</f>
        <v/>
      </c>
      <c r="AH37" s="554">
        <f t="shared" si="7"/>
        <v>0</v>
      </c>
      <c r="AI37" s="3">
        <f t="shared" si="8"/>
        <v>0</v>
      </c>
      <c r="AJ37" s="575">
        <f t="shared" si="11"/>
        <v>0</v>
      </c>
    </row>
    <row r="38" spans="1:36" hidden="1" outlineLevel="1">
      <c r="A38">
        <f t="shared" si="9"/>
        <v>0</v>
      </c>
      <c r="B38" s="544" t="str">
        <f t="shared" si="10"/>
        <v>Aufgabe 01</v>
      </c>
      <c r="C38" s="545" t="str">
        <f>IF(C$34&gt;0,(INDEX(A_Aufgaben,(C$34-Arbeitszeit!$A$6+1),(2*(ROW()-ROW(A_Endedatum))-1))),"")</f>
        <v/>
      </c>
      <c r="D38" s="546" t="str">
        <f>IF(D$34&gt;0,(INDEX(A_Aufgaben,(D$34-Arbeitszeit!$A$6+1),(2*(ROW()-ROW(A_Endedatum))-1))),"")</f>
        <v/>
      </c>
      <c r="E38" s="545" t="str">
        <f>IF(E$34&gt;0,(INDEX(A_Aufgaben,(E$34-Arbeitszeit!$A$6+1),(2*(ROW()-ROW(A_Endedatum))-1))),"")</f>
        <v/>
      </c>
      <c r="F38" s="546" t="str">
        <f>IF(F$34&gt;0,(INDEX(A_Aufgaben,(F$34-Arbeitszeit!$A$6+1),(2*(ROW()-ROW(A_Endedatum))-1))),"")</f>
        <v/>
      </c>
      <c r="G38" s="545" t="str">
        <f>IF(G$34&gt;0,(INDEX(A_Aufgaben,(G$34-Arbeitszeit!$A$6+1),(2*(ROW()-ROW(A_Endedatum))-1))),"")</f>
        <v/>
      </c>
      <c r="H38" s="546" t="str">
        <f>IF(H$34&gt;0,(INDEX(A_Aufgaben,(H$34-Arbeitszeit!$A$6+1),(2*(ROW()-ROW(A_Endedatum))-1))),"")</f>
        <v/>
      </c>
      <c r="I38" s="545" t="str">
        <f>IF(I$34&gt;0,(INDEX(A_Aufgaben,(I$34-Arbeitszeit!$A$6+1),(2*(ROW()-ROW(A_Endedatum))-1))),"")</f>
        <v/>
      </c>
      <c r="J38" s="546" t="str">
        <f>IF(J$34&gt;0,(INDEX(A_Aufgaben,(J$34-Arbeitszeit!$A$6+1),(2*(ROW()-ROW(A_Endedatum))-1))),"")</f>
        <v/>
      </c>
      <c r="K38" s="545" t="str">
        <f>IF(K$34&gt;0,(INDEX(A_Aufgaben,(K$34-Arbeitszeit!$A$6+1),(2*(ROW()-ROW(A_Endedatum))-1))),"")</f>
        <v/>
      </c>
      <c r="L38" s="546" t="str">
        <f>IF(L$34&gt;0,(INDEX(A_Aufgaben,(L$34-Arbeitszeit!$A$6+1),(2*(ROW()-ROW(A_Endedatum))-1))),"")</f>
        <v/>
      </c>
      <c r="M38" s="545" t="str">
        <f>IF(M$34&gt;0,(INDEX(A_Aufgaben,(M$34-Arbeitszeit!$A$6+1),(2*(ROW()-ROW(A_Endedatum))-1))),"")</f>
        <v/>
      </c>
      <c r="N38" s="546" t="str">
        <f>IF(N$34&gt;0,(INDEX(A_Aufgaben,(N$34-Arbeitszeit!$A$6+1),(2*(ROW()-ROW(A_Endedatum))-1))),"")</f>
        <v/>
      </c>
      <c r="O38" s="545" t="str">
        <f>IF(O$34&gt;0,(INDEX(A_Aufgaben,(O$34-Arbeitszeit!$A$6+1),(2*(ROW()-ROW(A_Endedatum))-1))),"")</f>
        <v/>
      </c>
      <c r="P38" s="546" t="str">
        <f>IF(P$34&gt;0,(INDEX(A_Aufgaben,(P$34-Arbeitszeit!$A$6+1),(2*(ROW()-ROW(A_Endedatum))-1))),"")</f>
        <v/>
      </c>
      <c r="Q38" s="545" t="str">
        <f>IF(Q$34&gt;0,(INDEX(A_Aufgaben,(Q$34-Arbeitszeit!$A$6+1),(2*(ROW()-ROW(A_Endedatum))-1))),"")</f>
        <v/>
      </c>
      <c r="R38" s="546" t="str">
        <f>IF(R$34&gt;0,(INDEX(A_Aufgaben,(R$34-Arbeitszeit!$A$6+1),(2*(ROW()-ROW(A_Endedatum))-1))),"")</f>
        <v/>
      </c>
      <c r="S38" s="545" t="str">
        <f>IF(S$34&gt;0,(INDEX(A_Aufgaben,(S$34-Arbeitszeit!$A$6+1),(2*(ROW()-ROW(A_Endedatum))-1))),"")</f>
        <v/>
      </c>
      <c r="T38" s="546" t="str">
        <f>IF(T$34&gt;0,(INDEX(A_Aufgaben,(T$34-Arbeitszeit!$A$6+1),(2*(ROW()-ROW(A_Endedatum))-1))),"")</f>
        <v/>
      </c>
      <c r="U38" s="545" t="str">
        <f>IF(U$34&gt;0,(INDEX(A_Aufgaben,(U$34-Arbeitszeit!$A$6+1),(2*(ROW()-ROW(A_Endedatum))-1))),"")</f>
        <v/>
      </c>
      <c r="V38" s="546" t="str">
        <f>IF(V$34&gt;0,(INDEX(A_Aufgaben,(V$34-Arbeitszeit!$A$6+1),(2*(ROW()-ROW(A_Endedatum))-1))),"")</f>
        <v/>
      </c>
      <c r="W38" s="545" t="str">
        <f>IF(W$34&gt;0,(INDEX(A_Aufgaben,(W$34-Arbeitszeit!$A$6+1),(2*(ROW()-ROW(A_Endedatum))-1))),"")</f>
        <v/>
      </c>
      <c r="X38" s="546" t="str">
        <f>IF(X$34&gt;0,(INDEX(A_Aufgaben,(X$34-Arbeitszeit!$A$6+1),(2*(ROW()-ROW(A_Endedatum))-1))),"")</f>
        <v/>
      </c>
      <c r="Y38" s="545" t="str">
        <f>IF(Y$34&gt;0,(INDEX(A_Aufgaben,(Y$34-Arbeitszeit!$A$6+1),(2*(ROW()-ROW(A_Endedatum))-1))),"")</f>
        <v/>
      </c>
      <c r="Z38" s="546" t="str">
        <f>IF(Z$34&gt;0,(INDEX(A_Aufgaben,(Z$34-Arbeitszeit!$A$6+1),(2*(ROW()-ROW(A_Endedatum))-1))),"")</f>
        <v/>
      </c>
      <c r="AA38" s="545" t="str">
        <f>IF(AA$34&gt;0,(INDEX(A_Aufgaben,(AA$34-Arbeitszeit!$A$6+1),(2*(ROW()-ROW(A_Endedatum))-1))),"")</f>
        <v/>
      </c>
      <c r="AB38" s="546" t="str">
        <f>IF(AB$34&gt;0,(INDEX(A_Aufgaben,(AB$34-Arbeitszeit!$A$6+1),(2*(ROW()-ROW(A_Endedatum))-1))),"")</f>
        <v/>
      </c>
      <c r="AC38" s="545" t="str">
        <f>IF(AC$34&gt;0,(INDEX(A_Aufgaben,(AC$34-Arbeitszeit!$A$6+1),(2*(ROW()-ROW(A_Endedatum))-1))),"")</f>
        <v/>
      </c>
      <c r="AD38" s="546" t="str">
        <f>IF(AD$34&gt;0,(INDEX(A_Aufgaben,(AD$34-Arbeitszeit!$A$6+1),(2*(ROW()-ROW(A_Endedatum))-1))),"")</f>
        <v/>
      </c>
      <c r="AE38" s="545" t="str">
        <f>IF(AE$34&gt;0,(INDEX(A_Aufgaben,(AE$34-Arbeitszeit!$A$6+1),(2*(ROW()-ROW(A_Endedatum))-1))),"")</f>
        <v/>
      </c>
      <c r="AF38" s="546" t="str">
        <f>IF(AF$34&gt;0,(INDEX(A_Aufgaben,(AF$34-Arbeitszeit!$A$6+1),(2*(ROW()-ROW(A_Endedatum))-1))),"")</f>
        <v/>
      </c>
      <c r="AG38" s="545" t="str">
        <f>IF(AG$34&gt;0,(INDEX(A_Aufgaben,(AG$34-Arbeitszeit!$A$6+1),(2*(ROW()-ROW(A_Endedatum))-1))),"")</f>
        <v/>
      </c>
      <c r="AH38" s="554">
        <f t="shared" si="7"/>
        <v>0</v>
      </c>
      <c r="AI38" s="3">
        <f t="shared" si="8"/>
        <v>0</v>
      </c>
      <c r="AJ38" s="575">
        <f t="shared" si="11"/>
        <v>0</v>
      </c>
    </row>
    <row r="39" spans="1:36" hidden="1" outlineLevel="1">
      <c r="A39">
        <f t="shared" si="9"/>
        <v>0</v>
      </c>
      <c r="B39" s="544" t="str">
        <f t="shared" si="10"/>
        <v>Aufgabe 02</v>
      </c>
      <c r="C39" s="545" t="str">
        <f>IF(C$34&gt;0,(INDEX(A_Aufgaben,(C$34-Arbeitszeit!$A$6+1),(2*(ROW()-ROW(A_Endedatum))-1))),"")</f>
        <v/>
      </c>
      <c r="D39" s="546" t="str">
        <f>IF(D$34&gt;0,(INDEX(A_Aufgaben,(D$34-Arbeitszeit!$A$6+1),(2*(ROW()-ROW(A_Endedatum))-1))),"")</f>
        <v/>
      </c>
      <c r="E39" s="545" t="str">
        <f>IF(E$34&gt;0,(INDEX(A_Aufgaben,(E$34-Arbeitszeit!$A$6+1),(2*(ROW()-ROW(A_Endedatum))-1))),"")</f>
        <v/>
      </c>
      <c r="F39" s="546" t="str">
        <f>IF(F$34&gt;0,(INDEX(A_Aufgaben,(F$34-Arbeitszeit!$A$6+1),(2*(ROW()-ROW(A_Endedatum))-1))),"")</f>
        <v/>
      </c>
      <c r="G39" s="545" t="str">
        <f>IF(G$34&gt;0,(INDEX(A_Aufgaben,(G$34-Arbeitszeit!$A$6+1),(2*(ROW()-ROW(A_Endedatum))-1))),"")</f>
        <v/>
      </c>
      <c r="H39" s="546" t="str">
        <f>IF(H$34&gt;0,(INDEX(A_Aufgaben,(H$34-Arbeitszeit!$A$6+1),(2*(ROW()-ROW(A_Endedatum))-1))),"")</f>
        <v/>
      </c>
      <c r="I39" s="545" t="str">
        <f>IF(I$34&gt;0,(INDEX(A_Aufgaben,(I$34-Arbeitszeit!$A$6+1),(2*(ROW()-ROW(A_Endedatum))-1))),"")</f>
        <v/>
      </c>
      <c r="J39" s="546" t="str">
        <f>IF(J$34&gt;0,(INDEX(A_Aufgaben,(J$34-Arbeitszeit!$A$6+1),(2*(ROW()-ROW(A_Endedatum))-1))),"")</f>
        <v/>
      </c>
      <c r="K39" s="545" t="str">
        <f>IF(K$34&gt;0,(INDEX(A_Aufgaben,(K$34-Arbeitszeit!$A$6+1),(2*(ROW()-ROW(A_Endedatum))-1))),"")</f>
        <v/>
      </c>
      <c r="L39" s="546" t="str">
        <f>IF(L$34&gt;0,(INDEX(A_Aufgaben,(L$34-Arbeitszeit!$A$6+1),(2*(ROW()-ROW(A_Endedatum))-1))),"")</f>
        <v/>
      </c>
      <c r="M39" s="545" t="str">
        <f>IF(M$34&gt;0,(INDEX(A_Aufgaben,(M$34-Arbeitszeit!$A$6+1),(2*(ROW()-ROW(A_Endedatum))-1))),"")</f>
        <v/>
      </c>
      <c r="N39" s="546" t="str">
        <f>IF(N$34&gt;0,(INDEX(A_Aufgaben,(N$34-Arbeitszeit!$A$6+1),(2*(ROW()-ROW(A_Endedatum))-1))),"")</f>
        <v/>
      </c>
      <c r="O39" s="545" t="str">
        <f>IF(O$34&gt;0,(INDEX(A_Aufgaben,(O$34-Arbeitszeit!$A$6+1),(2*(ROW()-ROW(A_Endedatum))-1))),"")</f>
        <v/>
      </c>
      <c r="P39" s="546" t="str">
        <f>IF(P$34&gt;0,(INDEX(A_Aufgaben,(P$34-Arbeitszeit!$A$6+1),(2*(ROW()-ROW(A_Endedatum))-1))),"")</f>
        <v/>
      </c>
      <c r="Q39" s="545" t="str">
        <f>IF(Q$34&gt;0,(INDEX(A_Aufgaben,(Q$34-Arbeitszeit!$A$6+1),(2*(ROW()-ROW(A_Endedatum))-1))),"")</f>
        <v/>
      </c>
      <c r="R39" s="546" t="str">
        <f>IF(R$34&gt;0,(INDEX(A_Aufgaben,(R$34-Arbeitszeit!$A$6+1),(2*(ROW()-ROW(A_Endedatum))-1))),"")</f>
        <v/>
      </c>
      <c r="S39" s="545" t="str">
        <f>IF(S$34&gt;0,(INDEX(A_Aufgaben,(S$34-Arbeitszeit!$A$6+1),(2*(ROW()-ROW(A_Endedatum))-1))),"")</f>
        <v/>
      </c>
      <c r="T39" s="546" t="str">
        <f>IF(T$34&gt;0,(INDEX(A_Aufgaben,(T$34-Arbeitszeit!$A$6+1),(2*(ROW()-ROW(A_Endedatum))-1))),"")</f>
        <v/>
      </c>
      <c r="U39" s="545" t="str">
        <f>IF(U$34&gt;0,(INDEX(A_Aufgaben,(U$34-Arbeitszeit!$A$6+1),(2*(ROW()-ROW(A_Endedatum))-1))),"")</f>
        <v/>
      </c>
      <c r="V39" s="546" t="str">
        <f>IF(V$34&gt;0,(INDEX(A_Aufgaben,(V$34-Arbeitszeit!$A$6+1),(2*(ROW()-ROW(A_Endedatum))-1))),"")</f>
        <v/>
      </c>
      <c r="W39" s="545" t="str">
        <f>IF(W$34&gt;0,(INDEX(A_Aufgaben,(W$34-Arbeitszeit!$A$6+1),(2*(ROW()-ROW(A_Endedatum))-1))),"")</f>
        <v/>
      </c>
      <c r="X39" s="546" t="str">
        <f>IF(X$34&gt;0,(INDEX(A_Aufgaben,(X$34-Arbeitszeit!$A$6+1),(2*(ROW()-ROW(A_Endedatum))-1))),"")</f>
        <v/>
      </c>
      <c r="Y39" s="545" t="str">
        <f>IF(Y$34&gt;0,(INDEX(A_Aufgaben,(Y$34-Arbeitszeit!$A$6+1),(2*(ROW()-ROW(A_Endedatum))-1))),"")</f>
        <v/>
      </c>
      <c r="Z39" s="546" t="str">
        <f>IF(Z$34&gt;0,(INDEX(A_Aufgaben,(Z$34-Arbeitszeit!$A$6+1),(2*(ROW()-ROW(A_Endedatum))-1))),"")</f>
        <v/>
      </c>
      <c r="AA39" s="545" t="str">
        <f>IF(AA$34&gt;0,(INDEX(A_Aufgaben,(AA$34-Arbeitszeit!$A$6+1),(2*(ROW()-ROW(A_Endedatum))-1))),"")</f>
        <v/>
      </c>
      <c r="AB39" s="546" t="str">
        <f>IF(AB$34&gt;0,(INDEX(A_Aufgaben,(AB$34-Arbeitszeit!$A$6+1),(2*(ROW()-ROW(A_Endedatum))-1))),"")</f>
        <v/>
      </c>
      <c r="AC39" s="545" t="str">
        <f>IF(AC$34&gt;0,(INDEX(A_Aufgaben,(AC$34-Arbeitszeit!$A$6+1),(2*(ROW()-ROW(A_Endedatum))-1))),"")</f>
        <v/>
      </c>
      <c r="AD39" s="546" t="str">
        <f>IF(AD$34&gt;0,(INDEX(A_Aufgaben,(AD$34-Arbeitszeit!$A$6+1),(2*(ROW()-ROW(A_Endedatum))-1))),"")</f>
        <v/>
      </c>
      <c r="AE39" s="545" t="str">
        <f>IF(AE$34&gt;0,(INDEX(A_Aufgaben,(AE$34-Arbeitszeit!$A$6+1),(2*(ROW()-ROW(A_Endedatum))-1))),"")</f>
        <v/>
      </c>
      <c r="AF39" s="546" t="str">
        <f>IF(AF$34&gt;0,(INDEX(A_Aufgaben,(AF$34-Arbeitszeit!$A$6+1),(2*(ROW()-ROW(A_Endedatum))-1))),"")</f>
        <v/>
      </c>
      <c r="AG39" s="545" t="str">
        <f>IF(AG$34&gt;0,(INDEX(A_Aufgaben,(AG$34-Arbeitszeit!$A$6+1),(2*(ROW()-ROW(A_Endedatum))-1))),"")</f>
        <v/>
      </c>
      <c r="AH39" s="554">
        <f t="shared" si="7"/>
        <v>0</v>
      </c>
      <c r="AI39" s="3">
        <f t="shared" si="8"/>
        <v>0</v>
      </c>
      <c r="AJ39" s="575">
        <f t="shared" si="11"/>
        <v>0</v>
      </c>
    </row>
    <row r="40" spans="1:36" hidden="1" outlineLevel="1">
      <c r="A40">
        <f t="shared" si="9"/>
        <v>0</v>
      </c>
      <c r="B40" s="544" t="str">
        <f t="shared" si="10"/>
        <v>Aufgabe 03</v>
      </c>
      <c r="C40" s="545" t="str">
        <f>IF(C$34&gt;0,(INDEX(A_Aufgaben,(C$34-Arbeitszeit!$A$6+1),(2*(ROW()-ROW(A_Endedatum))-1))),"")</f>
        <v/>
      </c>
      <c r="D40" s="546" t="str">
        <f>IF(D$34&gt;0,(INDEX(A_Aufgaben,(D$34-Arbeitszeit!$A$6+1),(2*(ROW()-ROW(A_Endedatum))-1))),"")</f>
        <v/>
      </c>
      <c r="E40" s="545" t="str">
        <f>IF(E$34&gt;0,(INDEX(A_Aufgaben,(E$34-Arbeitszeit!$A$6+1),(2*(ROW()-ROW(A_Endedatum))-1))),"")</f>
        <v/>
      </c>
      <c r="F40" s="546" t="str">
        <f>IF(F$34&gt;0,(INDEX(A_Aufgaben,(F$34-Arbeitszeit!$A$6+1),(2*(ROW()-ROW(A_Endedatum))-1))),"")</f>
        <v/>
      </c>
      <c r="G40" s="545" t="str">
        <f>IF(G$34&gt;0,(INDEX(A_Aufgaben,(G$34-Arbeitszeit!$A$6+1),(2*(ROW()-ROW(A_Endedatum))-1))),"")</f>
        <v/>
      </c>
      <c r="H40" s="546" t="str">
        <f>IF(H$34&gt;0,(INDEX(A_Aufgaben,(H$34-Arbeitszeit!$A$6+1),(2*(ROW()-ROW(A_Endedatum))-1))),"")</f>
        <v/>
      </c>
      <c r="I40" s="545" t="str">
        <f>IF(I$34&gt;0,(INDEX(A_Aufgaben,(I$34-Arbeitszeit!$A$6+1),(2*(ROW()-ROW(A_Endedatum))-1))),"")</f>
        <v/>
      </c>
      <c r="J40" s="546" t="str">
        <f>IF(J$34&gt;0,(INDEX(A_Aufgaben,(J$34-Arbeitszeit!$A$6+1),(2*(ROW()-ROW(A_Endedatum))-1))),"")</f>
        <v/>
      </c>
      <c r="K40" s="545" t="str">
        <f>IF(K$34&gt;0,(INDEX(A_Aufgaben,(K$34-Arbeitszeit!$A$6+1),(2*(ROW()-ROW(A_Endedatum))-1))),"")</f>
        <v/>
      </c>
      <c r="L40" s="546" t="str">
        <f>IF(L$34&gt;0,(INDEX(A_Aufgaben,(L$34-Arbeitszeit!$A$6+1),(2*(ROW()-ROW(A_Endedatum))-1))),"")</f>
        <v/>
      </c>
      <c r="M40" s="545" t="str">
        <f>IF(M$34&gt;0,(INDEX(A_Aufgaben,(M$34-Arbeitszeit!$A$6+1),(2*(ROW()-ROW(A_Endedatum))-1))),"")</f>
        <v/>
      </c>
      <c r="N40" s="546" t="str">
        <f>IF(N$34&gt;0,(INDEX(A_Aufgaben,(N$34-Arbeitszeit!$A$6+1),(2*(ROW()-ROW(A_Endedatum))-1))),"")</f>
        <v/>
      </c>
      <c r="O40" s="545" t="str">
        <f>IF(O$34&gt;0,(INDEX(A_Aufgaben,(O$34-Arbeitszeit!$A$6+1),(2*(ROW()-ROW(A_Endedatum))-1))),"")</f>
        <v/>
      </c>
      <c r="P40" s="546" t="str">
        <f>IF(P$34&gt;0,(INDEX(A_Aufgaben,(P$34-Arbeitszeit!$A$6+1),(2*(ROW()-ROW(A_Endedatum))-1))),"")</f>
        <v/>
      </c>
      <c r="Q40" s="545" t="str">
        <f>IF(Q$34&gt;0,(INDEX(A_Aufgaben,(Q$34-Arbeitszeit!$A$6+1),(2*(ROW()-ROW(A_Endedatum))-1))),"")</f>
        <v/>
      </c>
      <c r="R40" s="546" t="str">
        <f>IF(R$34&gt;0,(INDEX(A_Aufgaben,(R$34-Arbeitszeit!$A$6+1),(2*(ROW()-ROW(A_Endedatum))-1))),"")</f>
        <v/>
      </c>
      <c r="S40" s="545" t="str">
        <f>IF(S$34&gt;0,(INDEX(A_Aufgaben,(S$34-Arbeitszeit!$A$6+1),(2*(ROW()-ROW(A_Endedatum))-1))),"")</f>
        <v/>
      </c>
      <c r="T40" s="546" t="str">
        <f>IF(T$34&gt;0,(INDEX(A_Aufgaben,(T$34-Arbeitszeit!$A$6+1),(2*(ROW()-ROW(A_Endedatum))-1))),"")</f>
        <v/>
      </c>
      <c r="U40" s="545" t="str">
        <f>IF(U$34&gt;0,(INDEX(A_Aufgaben,(U$34-Arbeitszeit!$A$6+1),(2*(ROW()-ROW(A_Endedatum))-1))),"")</f>
        <v/>
      </c>
      <c r="V40" s="546" t="str">
        <f>IF(V$34&gt;0,(INDEX(A_Aufgaben,(V$34-Arbeitszeit!$A$6+1),(2*(ROW()-ROW(A_Endedatum))-1))),"")</f>
        <v/>
      </c>
      <c r="W40" s="545" t="str">
        <f>IF(W$34&gt;0,(INDEX(A_Aufgaben,(W$34-Arbeitszeit!$A$6+1),(2*(ROW()-ROW(A_Endedatum))-1))),"")</f>
        <v/>
      </c>
      <c r="X40" s="546" t="str">
        <f>IF(X$34&gt;0,(INDEX(A_Aufgaben,(X$34-Arbeitszeit!$A$6+1),(2*(ROW()-ROW(A_Endedatum))-1))),"")</f>
        <v/>
      </c>
      <c r="Y40" s="545" t="str">
        <f>IF(Y$34&gt;0,(INDEX(A_Aufgaben,(Y$34-Arbeitszeit!$A$6+1),(2*(ROW()-ROW(A_Endedatum))-1))),"")</f>
        <v/>
      </c>
      <c r="Z40" s="546" t="str">
        <f>IF(Z$34&gt;0,(INDEX(A_Aufgaben,(Z$34-Arbeitszeit!$A$6+1),(2*(ROW()-ROW(A_Endedatum))-1))),"")</f>
        <v/>
      </c>
      <c r="AA40" s="545" t="str">
        <f>IF(AA$34&gt;0,(INDEX(A_Aufgaben,(AA$34-Arbeitszeit!$A$6+1),(2*(ROW()-ROW(A_Endedatum))-1))),"")</f>
        <v/>
      </c>
      <c r="AB40" s="546" t="str">
        <f>IF(AB$34&gt;0,(INDEX(A_Aufgaben,(AB$34-Arbeitszeit!$A$6+1),(2*(ROW()-ROW(A_Endedatum))-1))),"")</f>
        <v/>
      </c>
      <c r="AC40" s="545" t="str">
        <f>IF(AC$34&gt;0,(INDEX(A_Aufgaben,(AC$34-Arbeitszeit!$A$6+1),(2*(ROW()-ROW(A_Endedatum))-1))),"")</f>
        <v/>
      </c>
      <c r="AD40" s="546" t="str">
        <f>IF(AD$34&gt;0,(INDEX(A_Aufgaben,(AD$34-Arbeitszeit!$A$6+1),(2*(ROW()-ROW(A_Endedatum))-1))),"")</f>
        <v/>
      </c>
      <c r="AE40" s="545" t="str">
        <f>IF(AE$34&gt;0,(INDEX(A_Aufgaben,(AE$34-Arbeitszeit!$A$6+1),(2*(ROW()-ROW(A_Endedatum))-1))),"")</f>
        <v/>
      </c>
      <c r="AF40" s="546" t="str">
        <f>IF(AF$34&gt;0,(INDEX(A_Aufgaben,(AF$34-Arbeitszeit!$A$6+1),(2*(ROW()-ROW(A_Endedatum))-1))),"")</f>
        <v/>
      </c>
      <c r="AG40" s="545" t="str">
        <f>IF(AG$34&gt;0,(INDEX(A_Aufgaben,(AG$34-Arbeitszeit!$A$6+1),(2*(ROW()-ROW(A_Endedatum))-1))),"")</f>
        <v/>
      </c>
      <c r="AH40" s="554">
        <f t="shared" si="7"/>
        <v>0</v>
      </c>
      <c r="AI40" s="3">
        <f t="shared" si="8"/>
        <v>0</v>
      </c>
      <c r="AJ40" s="575">
        <f t="shared" si="11"/>
        <v>0</v>
      </c>
    </row>
    <row r="41" spans="1:36" hidden="1" outlineLevel="1">
      <c r="A41">
        <f t="shared" si="9"/>
        <v>0</v>
      </c>
      <c r="B41" s="544" t="str">
        <f t="shared" si="10"/>
        <v>Aufgabe 04</v>
      </c>
      <c r="C41" s="545" t="str">
        <f>IF(C$34&gt;0,(INDEX(A_Aufgaben,(C$34-Arbeitszeit!$A$6+1),(2*(ROW()-ROW(A_Endedatum))-1))),"")</f>
        <v/>
      </c>
      <c r="D41" s="546" t="str">
        <f>IF(D$34&gt;0,(INDEX(A_Aufgaben,(D$34-Arbeitszeit!$A$6+1),(2*(ROW()-ROW(A_Endedatum))-1))),"")</f>
        <v/>
      </c>
      <c r="E41" s="545" t="str">
        <f>IF(E$34&gt;0,(INDEX(A_Aufgaben,(E$34-Arbeitszeit!$A$6+1),(2*(ROW()-ROW(A_Endedatum))-1))),"")</f>
        <v/>
      </c>
      <c r="F41" s="546" t="str">
        <f>IF(F$34&gt;0,(INDEX(A_Aufgaben,(F$34-Arbeitszeit!$A$6+1),(2*(ROW()-ROW(A_Endedatum))-1))),"")</f>
        <v/>
      </c>
      <c r="G41" s="545" t="str">
        <f>IF(G$34&gt;0,(INDEX(A_Aufgaben,(G$34-Arbeitszeit!$A$6+1),(2*(ROW()-ROW(A_Endedatum))-1))),"")</f>
        <v/>
      </c>
      <c r="H41" s="546" t="str">
        <f>IF(H$34&gt;0,(INDEX(A_Aufgaben,(H$34-Arbeitszeit!$A$6+1),(2*(ROW()-ROW(A_Endedatum))-1))),"")</f>
        <v/>
      </c>
      <c r="I41" s="545" t="str">
        <f>IF(I$34&gt;0,(INDEX(A_Aufgaben,(I$34-Arbeitszeit!$A$6+1),(2*(ROW()-ROW(A_Endedatum))-1))),"")</f>
        <v/>
      </c>
      <c r="J41" s="546" t="str">
        <f>IF(J$34&gt;0,(INDEX(A_Aufgaben,(J$34-Arbeitszeit!$A$6+1),(2*(ROW()-ROW(A_Endedatum))-1))),"")</f>
        <v/>
      </c>
      <c r="K41" s="545" t="str">
        <f>IF(K$34&gt;0,(INDEX(A_Aufgaben,(K$34-Arbeitszeit!$A$6+1),(2*(ROW()-ROW(A_Endedatum))-1))),"")</f>
        <v/>
      </c>
      <c r="L41" s="546" t="str">
        <f>IF(L$34&gt;0,(INDEX(A_Aufgaben,(L$34-Arbeitszeit!$A$6+1),(2*(ROW()-ROW(A_Endedatum))-1))),"")</f>
        <v/>
      </c>
      <c r="M41" s="545" t="str">
        <f>IF(M$34&gt;0,(INDEX(A_Aufgaben,(M$34-Arbeitszeit!$A$6+1),(2*(ROW()-ROW(A_Endedatum))-1))),"")</f>
        <v/>
      </c>
      <c r="N41" s="546" t="str">
        <f>IF(N$34&gt;0,(INDEX(A_Aufgaben,(N$34-Arbeitszeit!$A$6+1),(2*(ROW()-ROW(A_Endedatum))-1))),"")</f>
        <v/>
      </c>
      <c r="O41" s="545" t="str">
        <f>IF(O$34&gt;0,(INDEX(A_Aufgaben,(O$34-Arbeitszeit!$A$6+1),(2*(ROW()-ROW(A_Endedatum))-1))),"")</f>
        <v/>
      </c>
      <c r="P41" s="546" t="str">
        <f>IF(P$34&gt;0,(INDEX(A_Aufgaben,(P$34-Arbeitszeit!$A$6+1),(2*(ROW()-ROW(A_Endedatum))-1))),"")</f>
        <v/>
      </c>
      <c r="Q41" s="545" t="str">
        <f>IF(Q$34&gt;0,(INDEX(A_Aufgaben,(Q$34-Arbeitszeit!$A$6+1),(2*(ROW()-ROW(A_Endedatum))-1))),"")</f>
        <v/>
      </c>
      <c r="R41" s="546" t="str">
        <f>IF(R$34&gt;0,(INDEX(A_Aufgaben,(R$34-Arbeitszeit!$A$6+1),(2*(ROW()-ROW(A_Endedatum))-1))),"")</f>
        <v/>
      </c>
      <c r="S41" s="545" t="str">
        <f>IF(S$34&gt;0,(INDEX(A_Aufgaben,(S$34-Arbeitszeit!$A$6+1),(2*(ROW()-ROW(A_Endedatum))-1))),"")</f>
        <v/>
      </c>
      <c r="T41" s="546" t="str">
        <f>IF(T$34&gt;0,(INDEX(A_Aufgaben,(T$34-Arbeitszeit!$A$6+1),(2*(ROW()-ROW(A_Endedatum))-1))),"")</f>
        <v/>
      </c>
      <c r="U41" s="545" t="str">
        <f>IF(U$34&gt;0,(INDEX(A_Aufgaben,(U$34-Arbeitszeit!$A$6+1),(2*(ROW()-ROW(A_Endedatum))-1))),"")</f>
        <v/>
      </c>
      <c r="V41" s="546" t="str">
        <f>IF(V$34&gt;0,(INDEX(A_Aufgaben,(V$34-Arbeitszeit!$A$6+1),(2*(ROW()-ROW(A_Endedatum))-1))),"")</f>
        <v/>
      </c>
      <c r="W41" s="545" t="str">
        <f>IF(W$34&gt;0,(INDEX(A_Aufgaben,(W$34-Arbeitszeit!$A$6+1),(2*(ROW()-ROW(A_Endedatum))-1))),"")</f>
        <v/>
      </c>
      <c r="X41" s="546" t="str">
        <f>IF(X$34&gt;0,(INDEX(A_Aufgaben,(X$34-Arbeitszeit!$A$6+1),(2*(ROW()-ROW(A_Endedatum))-1))),"")</f>
        <v/>
      </c>
      <c r="Y41" s="545" t="str">
        <f>IF(Y$34&gt;0,(INDEX(A_Aufgaben,(Y$34-Arbeitszeit!$A$6+1),(2*(ROW()-ROW(A_Endedatum))-1))),"")</f>
        <v/>
      </c>
      <c r="Z41" s="546" t="str">
        <f>IF(Z$34&gt;0,(INDEX(A_Aufgaben,(Z$34-Arbeitszeit!$A$6+1),(2*(ROW()-ROW(A_Endedatum))-1))),"")</f>
        <v/>
      </c>
      <c r="AA41" s="545" t="str">
        <f>IF(AA$34&gt;0,(INDEX(A_Aufgaben,(AA$34-Arbeitszeit!$A$6+1),(2*(ROW()-ROW(A_Endedatum))-1))),"")</f>
        <v/>
      </c>
      <c r="AB41" s="546" t="str">
        <f>IF(AB$34&gt;0,(INDEX(A_Aufgaben,(AB$34-Arbeitszeit!$A$6+1),(2*(ROW()-ROW(A_Endedatum))-1))),"")</f>
        <v/>
      </c>
      <c r="AC41" s="545" t="str">
        <f>IF(AC$34&gt;0,(INDEX(A_Aufgaben,(AC$34-Arbeitszeit!$A$6+1),(2*(ROW()-ROW(A_Endedatum))-1))),"")</f>
        <v/>
      </c>
      <c r="AD41" s="546" t="str">
        <f>IF(AD$34&gt;0,(INDEX(A_Aufgaben,(AD$34-Arbeitszeit!$A$6+1),(2*(ROW()-ROW(A_Endedatum))-1))),"")</f>
        <v/>
      </c>
      <c r="AE41" s="545" t="str">
        <f>IF(AE$34&gt;0,(INDEX(A_Aufgaben,(AE$34-Arbeitszeit!$A$6+1),(2*(ROW()-ROW(A_Endedatum))-1))),"")</f>
        <v/>
      </c>
      <c r="AF41" s="546" t="str">
        <f>IF(AF$34&gt;0,(INDEX(A_Aufgaben,(AF$34-Arbeitszeit!$A$6+1),(2*(ROW()-ROW(A_Endedatum))-1))),"")</f>
        <v/>
      </c>
      <c r="AG41" s="545" t="str">
        <f>IF(AG$34&gt;0,(INDEX(A_Aufgaben,(AG$34-Arbeitszeit!$A$6+1),(2*(ROW()-ROW(A_Endedatum))-1))),"")</f>
        <v/>
      </c>
      <c r="AH41" s="554">
        <f t="shared" si="7"/>
        <v>0</v>
      </c>
      <c r="AI41" s="3">
        <f t="shared" si="8"/>
        <v>0</v>
      </c>
      <c r="AJ41" s="575">
        <f t="shared" si="11"/>
        <v>0</v>
      </c>
    </row>
    <row r="42" spans="1:36" hidden="1" outlineLevel="1">
      <c r="A42">
        <f t="shared" si="9"/>
        <v>0</v>
      </c>
      <c r="B42" s="544" t="str">
        <f t="shared" si="10"/>
        <v>Aufgabe 05</v>
      </c>
      <c r="C42" s="545" t="str">
        <f>IF(C$34&gt;0,(INDEX(A_Aufgaben,(C$34-Arbeitszeit!$A$6+1),(2*(ROW()-ROW(A_Endedatum))-1))),"")</f>
        <v/>
      </c>
      <c r="D42" s="546" t="str">
        <f>IF(D$34&gt;0,(INDEX(A_Aufgaben,(D$34-Arbeitszeit!$A$6+1),(2*(ROW()-ROW(A_Endedatum))-1))),"")</f>
        <v/>
      </c>
      <c r="E42" s="545" t="str">
        <f>IF(E$34&gt;0,(INDEX(A_Aufgaben,(E$34-Arbeitszeit!$A$6+1),(2*(ROW()-ROW(A_Endedatum))-1))),"")</f>
        <v/>
      </c>
      <c r="F42" s="546" t="str">
        <f>IF(F$34&gt;0,(INDEX(A_Aufgaben,(F$34-Arbeitszeit!$A$6+1),(2*(ROW()-ROW(A_Endedatum))-1))),"")</f>
        <v/>
      </c>
      <c r="G42" s="545" t="str">
        <f>IF(G$34&gt;0,(INDEX(A_Aufgaben,(G$34-Arbeitszeit!$A$6+1),(2*(ROW()-ROW(A_Endedatum))-1))),"")</f>
        <v/>
      </c>
      <c r="H42" s="546" t="str">
        <f>IF(H$34&gt;0,(INDEX(A_Aufgaben,(H$34-Arbeitszeit!$A$6+1),(2*(ROW()-ROW(A_Endedatum))-1))),"")</f>
        <v/>
      </c>
      <c r="I42" s="545" t="str">
        <f>IF(I$34&gt;0,(INDEX(A_Aufgaben,(I$34-Arbeitszeit!$A$6+1),(2*(ROW()-ROW(A_Endedatum))-1))),"")</f>
        <v/>
      </c>
      <c r="J42" s="546" t="str">
        <f>IF(J$34&gt;0,(INDEX(A_Aufgaben,(J$34-Arbeitszeit!$A$6+1),(2*(ROW()-ROW(A_Endedatum))-1))),"")</f>
        <v/>
      </c>
      <c r="K42" s="545" t="str">
        <f>IF(K$34&gt;0,(INDEX(A_Aufgaben,(K$34-Arbeitszeit!$A$6+1),(2*(ROW()-ROW(A_Endedatum))-1))),"")</f>
        <v/>
      </c>
      <c r="L42" s="546" t="str">
        <f>IF(L$34&gt;0,(INDEX(A_Aufgaben,(L$34-Arbeitszeit!$A$6+1),(2*(ROW()-ROW(A_Endedatum))-1))),"")</f>
        <v/>
      </c>
      <c r="M42" s="545" t="str">
        <f>IF(M$34&gt;0,(INDEX(A_Aufgaben,(M$34-Arbeitszeit!$A$6+1),(2*(ROW()-ROW(A_Endedatum))-1))),"")</f>
        <v/>
      </c>
      <c r="N42" s="546" t="str">
        <f>IF(N$34&gt;0,(INDEX(A_Aufgaben,(N$34-Arbeitszeit!$A$6+1),(2*(ROW()-ROW(A_Endedatum))-1))),"")</f>
        <v/>
      </c>
      <c r="O42" s="545" t="str">
        <f>IF(O$34&gt;0,(INDEX(A_Aufgaben,(O$34-Arbeitszeit!$A$6+1),(2*(ROW()-ROW(A_Endedatum))-1))),"")</f>
        <v/>
      </c>
      <c r="P42" s="546" t="str">
        <f>IF(P$34&gt;0,(INDEX(A_Aufgaben,(P$34-Arbeitszeit!$A$6+1),(2*(ROW()-ROW(A_Endedatum))-1))),"")</f>
        <v/>
      </c>
      <c r="Q42" s="545" t="str">
        <f>IF(Q$34&gt;0,(INDEX(A_Aufgaben,(Q$34-Arbeitszeit!$A$6+1),(2*(ROW()-ROW(A_Endedatum))-1))),"")</f>
        <v/>
      </c>
      <c r="R42" s="546" t="str">
        <f>IF(R$34&gt;0,(INDEX(A_Aufgaben,(R$34-Arbeitszeit!$A$6+1),(2*(ROW()-ROW(A_Endedatum))-1))),"")</f>
        <v/>
      </c>
      <c r="S42" s="545" t="str">
        <f>IF(S$34&gt;0,(INDEX(A_Aufgaben,(S$34-Arbeitszeit!$A$6+1),(2*(ROW()-ROW(A_Endedatum))-1))),"")</f>
        <v/>
      </c>
      <c r="T42" s="546" t="str">
        <f>IF(T$34&gt;0,(INDEX(A_Aufgaben,(T$34-Arbeitszeit!$A$6+1),(2*(ROW()-ROW(A_Endedatum))-1))),"")</f>
        <v/>
      </c>
      <c r="U42" s="545" t="str">
        <f>IF(U$34&gt;0,(INDEX(A_Aufgaben,(U$34-Arbeitszeit!$A$6+1),(2*(ROW()-ROW(A_Endedatum))-1))),"")</f>
        <v/>
      </c>
      <c r="V42" s="546" t="str">
        <f>IF(V$34&gt;0,(INDEX(A_Aufgaben,(V$34-Arbeitszeit!$A$6+1),(2*(ROW()-ROW(A_Endedatum))-1))),"")</f>
        <v/>
      </c>
      <c r="W42" s="545" t="str">
        <f>IF(W$34&gt;0,(INDEX(A_Aufgaben,(W$34-Arbeitszeit!$A$6+1),(2*(ROW()-ROW(A_Endedatum))-1))),"")</f>
        <v/>
      </c>
      <c r="X42" s="546" t="str">
        <f>IF(X$34&gt;0,(INDEX(A_Aufgaben,(X$34-Arbeitszeit!$A$6+1),(2*(ROW()-ROW(A_Endedatum))-1))),"")</f>
        <v/>
      </c>
      <c r="Y42" s="545" t="str">
        <f>IF(Y$34&gt;0,(INDEX(A_Aufgaben,(Y$34-Arbeitszeit!$A$6+1),(2*(ROW()-ROW(A_Endedatum))-1))),"")</f>
        <v/>
      </c>
      <c r="Z42" s="546" t="str">
        <f>IF(Z$34&gt;0,(INDEX(A_Aufgaben,(Z$34-Arbeitszeit!$A$6+1),(2*(ROW()-ROW(A_Endedatum))-1))),"")</f>
        <v/>
      </c>
      <c r="AA42" s="545" t="str">
        <f>IF(AA$34&gt;0,(INDEX(A_Aufgaben,(AA$34-Arbeitszeit!$A$6+1),(2*(ROW()-ROW(A_Endedatum))-1))),"")</f>
        <v/>
      </c>
      <c r="AB42" s="546" t="str">
        <f>IF(AB$34&gt;0,(INDEX(A_Aufgaben,(AB$34-Arbeitszeit!$A$6+1),(2*(ROW()-ROW(A_Endedatum))-1))),"")</f>
        <v/>
      </c>
      <c r="AC42" s="545" t="str">
        <f>IF(AC$34&gt;0,(INDEX(A_Aufgaben,(AC$34-Arbeitszeit!$A$6+1),(2*(ROW()-ROW(A_Endedatum))-1))),"")</f>
        <v/>
      </c>
      <c r="AD42" s="546" t="str">
        <f>IF(AD$34&gt;0,(INDEX(A_Aufgaben,(AD$34-Arbeitszeit!$A$6+1),(2*(ROW()-ROW(A_Endedatum))-1))),"")</f>
        <v/>
      </c>
      <c r="AE42" s="545" t="str">
        <f>IF(AE$34&gt;0,(INDEX(A_Aufgaben,(AE$34-Arbeitszeit!$A$6+1),(2*(ROW()-ROW(A_Endedatum))-1))),"")</f>
        <v/>
      </c>
      <c r="AF42" s="546" t="str">
        <f>IF(AF$34&gt;0,(INDEX(A_Aufgaben,(AF$34-Arbeitszeit!$A$6+1),(2*(ROW()-ROW(A_Endedatum))-1))),"")</f>
        <v/>
      </c>
      <c r="AG42" s="545" t="str">
        <f>IF(AG$34&gt;0,(INDEX(A_Aufgaben,(AG$34-Arbeitszeit!$A$6+1),(2*(ROW()-ROW(A_Endedatum))-1))),"")</f>
        <v/>
      </c>
      <c r="AH42" s="554">
        <f t="shared" si="7"/>
        <v>0</v>
      </c>
      <c r="AI42" s="3">
        <f t="shared" si="8"/>
        <v>0</v>
      </c>
      <c r="AJ42" s="575">
        <f t="shared" si="11"/>
        <v>0</v>
      </c>
    </row>
    <row r="43" spans="1:36" hidden="1" outlineLevel="1">
      <c r="A43">
        <f t="shared" si="9"/>
        <v>0</v>
      </c>
      <c r="B43" s="544" t="str">
        <f t="shared" si="10"/>
        <v>Aufgabe 06</v>
      </c>
      <c r="C43" s="545" t="str">
        <f>IF(C$34&gt;0,(INDEX(A_Aufgaben,(C$34-Arbeitszeit!$A$6+1),(2*(ROW()-ROW(A_Endedatum))-1))),"")</f>
        <v/>
      </c>
      <c r="D43" s="546" t="str">
        <f>IF(D$34&gt;0,(INDEX(A_Aufgaben,(D$34-Arbeitszeit!$A$6+1),(2*(ROW()-ROW(A_Endedatum))-1))),"")</f>
        <v/>
      </c>
      <c r="E43" s="545" t="str">
        <f>IF(E$34&gt;0,(INDEX(A_Aufgaben,(E$34-Arbeitszeit!$A$6+1),(2*(ROW()-ROW(A_Endedatum))-1))),"")</f>
        <v/>
      </c>
      <c r="F43" s="546" t="str">
        <f>IF(F$34&gt;0,(INDEX(A_Aufgaben,(F$34-Arbeitszeit!$A$6+1),(2*(ROW()-ROW(A_Endedatum))-1))),"")</f>
        <v/>
      </c>
      <c r="G43" s="545" t="str">
        <f>IF(G$34&gt;0,(INDEX(A_Aufgaben,(G$34-Arbeitszeit!$A$6+1),(2*(ROW()-ROW(A_Endedatum))-1))),"")</f>
        <v/>
      </c>
      <c r="H43" s="546" t="str">
        <f>IF(H$34&gt;0,(INDEX(A_Aufgaben,(H$34-Arbeitszeit!$A$6+1),(2*(ROW()-ROW(A_Endedatum))-1))),"")</f>
        <v/>
      </c>
      <c r="I43" s="545" t="str">
        <f>IF(I$34&gt;0,(INDEX(A_Aufgaben,(I$34-Arbeitszeit!$A$6+1),(2*(ROW()-ROW(A_Endedatum))-1))),"")</f>
        <v/>
      </c>
      <c r="J43" s="546" t="str">
        <f>IF(J$34&gt;0,(INDEX(A_Aufgaben,(J$34-Arbeitszeit!$A$6+1),(2*(ROW()-ROW(A_Endedatum))-1))),"")</f>
        <v/>
      </c>
      <c r="K43" s="545" t="str">
        <f>IF(K$34&gt;0,(INDEX(A_Aufgaben,(K$34-Arbeitszeit!$A$6+1),(2*(ROW()-ROW(A_Endedatum))-1))),"")</f>
        <v/>
      </c>
      <c r="L43" s="546" t="str">
        <f>IF(L$34&gt;0,(INDEX(A_Aufgaben,(L$34-Arbeitszeit!$A$6+1),(2*(ROW()-ROW(A_Endedatum))-1))),"")</f>
        <v/>
      </c>
      <c r="M43" s="545" t="str">
        <f>IF(M$34&gt;0,(INDEX(A_Aufgaben,(M$34-Arbeitszeit!$A$6+1),(2*(ROW()-ROW(A_Endedatum))-1))),"")</f>
        <v/>
      </c>
      <c r="N43" s="546" t="str">
        <f>IF(N$34&gt;0,(INDEX(A_Aufgaben,(N$34-Arbeitszeit!$A$6+1),(2*(ROW()-ROW(A_Endedatum))-1))),"")</f>
        <v/>
      </c>
      <c r="O43" s="545" t="str">
        <f>IF(O$34&gt;0,(INDEX(A_Aufgaben,(O$34-Arbeitszeit!$A$6+1),(2*(ROW()-ROW(A_Endedatum))-1))),"")</f>
        <v/>
      </c>
      <c r="P43" s="546" t="str">
        <f>IF(P$34&gt;0,(INDEX(A_Aufgaben,(P$34-Arbeitszeit!$A$6+1),(2*(ROW()-ROW(A_Endedatum))-1))),"")</f>
        <v/>
      </c>
      <c r="Q43" s="545" t="str">
        <f>IF(Q$34&gt;0,(INDEX(A_Aufgaben,(Q$34-Arbeitszeit!$A$6+1),(2*(ROW()-ROW(A_Endedatum))-1))),"")</f>
        <v/>
      </c>
      <c r="R43" s="546" t="str">
        <f>IF(R$34&gt;0,(INDEX(A_Aufgaben,(R$34-Arbeitszeit!$A$6+1),(2*(ROW()-ROW(A_Endedatum))-1))),"")</f>
        <v/>
      </c>
      <c r="S43" s="545" t="str">
        <f>IF(S$34&gt;0,(INDEX(A_Aufgaben,(S$34-Arbeitszeit!$A$6+1),(2*(ROW()-ROW(A_Endedatum))-1))),"")</f>
        <v/>
      </c>
      <c r="T43" s="546" t="str">
        <f>IF(T$34&gt;0,(INDEX(A_Aufgaben,(T$34-Arbeitszeit!$A$6+1),(2*(ROW()-ROW(A_Endedatum))-1))),"")</f>
        <v/>
      </c>
      <c r="U43" s="545" t="str">
        <f>IF(U$34&gt;0,(INDEX(A_Aufgaben,(U$34-Arbeitszeit!$A$6+1),(2*(ROW()-ROW(A_Endedatum))-1))),"")</f>
        <v/>
      </c>
      <c r="V43" s="546" t="str">
        <f>IF(V$34&gt;0,(INDEX(A_Aufgaben,(V$34-Arbeitszeit!$A$6+1),(2*(ROW()-ROW(A_Endedatum))-1))),"")</f>
        <v/>
      </c>
      <c r="W43" s="545" t="str">
        <f>IF(W$34&gt;0,(INDEX(A_Aufgaben,(W$34-Arbeitszeit!$A$6+1),(2*(ROW()-ROW(A_Endedatum))-1))),"")</f>
        <v/>
      </c>
      <c r="X43" s="546" t="str">
        <f>IF(X$34&gt;0,(INDEX(A_Aufgaben,(X$34-Arbeitszeit!$A$6+1),(2*(ROW()-ROW(A_Endedatum))-1))),"")</f>
        <v/>
      </c>
      <c r="Y43" s="545" t="str">
        <f>IF(Y$34&gt;0,(INDEX(A_Aufgaben,(Y$34-Arbeitszeit!$A$6+1),(2*(ROW()-ROW(A_Endedatum))-1))),"")</f>
        <v/>
      </c>
      <c r="Z43" s="546" t="str">
        <f>IF(Z$34&gt;0,(INDEX(A_Aufgaben,(Z$34-Arbeitszeit!$A$6+1),(2*(ROW()-ROW(A_Endedatum))-1))),"")</f>
        <v/>
      </c>
      <c r="AA43" s="545" t="str">
        <f>IF(AA$34&gt;0,(INDEX(A_Aufgaben,(AA$34-Arbeitszeit!$A$6+1),(2*(ROW()-ROW(A_Endedatum))-1))),"")</f>
        <v/>
      </c>
      <c r="AB43" s="546" t="str">
        <f>IF(AB$34&gt;0,(INDEX(A_Aufgaben,(AB$34-Arbeitszeit!$A$6+1),(2*(ROW()-ROW(A_Endedatum))-1))),"")</f>
        <v/>
      </c>
      <c r="AC43" s="545" t="str">
        <f>IF(AC$34&gt;0,(INDEX(A_Aufgaben,(AC$34-Arbeitszeit!$A$6+1),(2*(ROW()-ROW(A_Endedatum))-1))),"")</f>
        <v/>
      </c>
      <c r="AD43" s="546" t="str">
        <f>IF(AD$34&gt;0,(INDEX(A_Aufgaben,(AD$34-Arbeitszeit!$A$6+1),(2*(ROW()-ROW(A_Endedatum))-1))),"")</f>
        <v/>
      </c>
      <c r="AE43" s="545" t="str">
        <f>IF(AE$34&gt;0,(INDEX(A_Aufgaben,(AE$34-Arbeitszeit!$A$6+1),(2*(ROW()-ROW(A_Endedatum))-1))),"")</f>
        <v/>
      </c>
      <c r="AF43" s="546" t="str">
        <f>IF(AF$34&gt;0,(INDEX(A_Aufgaben,(AF$34-Arbeitszeit!$A$6+1),(2*(ROW()-ROW(A_Endedatum))-1))),"")</f>
        <v/>
      </c>
      <c r="AG43" s="545" t="str">
        <f>IF(AG$34&gt;0,(INDEX(A_Aufgaben,(AG$34-Arbeitszeit!$A$6+1),(2*(ROW()-ROW(A_Endedatum))-1))),"")</f>
        <v/>
      </c>
      <c r="AH43" s="554">
        <f t="shared" si="7"/>
        <v>0</v>
      </c>
      <c r="AI43" s="3">
        <f t="shared" si="8"/>
        <v>0</v>
      </c>
      <c r="AJ43" s="575">
        <f t="shared" si="11"/>
        <v>0</v>
      </c>
    </row>
    <row r="44" spans="1:36" hidden="1" outlineLevel="1">
      <c r="A44">
        <f t="shared" si="9"/>
        <v>0</v>
      </c>
      <c r="B44" s="544" t="str">
        <f t="shared" si="10"/>
        <v>Aufgabe 07</v>
      </c>
      <c r="C44" s="545" t="str">
        <f>IF(C$34&gt;0,(INDEX(A_Aufgaben,(C$34-Arbeitszeit!$A$6+1),(2*(ROW()-ROW(A_Endedatum))-1))),"")</f>
        <v/>
      </c>
      <c r="D44" s="546" t="str">
        <f>IF(D$34&gt;0,(INDEX(A_Aufgaben,(D$34-Arbeitszeit!$A$6+1),(2*(ROW()-ROW(A_Endedatum))-1))),"")</f>
        <v/>
      </c>
      <c r="E44" s="545" t="str">
        <f>IF(E$34&gt;0,(INDEX(A_Aufgaben,(E$34-Arbeitszeit!$A$6+1),(2*(ROW()-ROW(A_Endedatum))-1))),"")</f>
        <v/>
      </c>
      <c r="F44" s="546" t="str">
        <f>IF(F$34&gt;0,(INDEX(A_Aufgaben,(F$34-Arbeitszeit!$A$6+1),(2*(ROW()-ROW(A_Endedatum))-1))),"")</f>
        <v/>
      </c>
      <c r="G44" s="545" t="str">
        <f>IF(G$34&gt;0,(INDEX(A_Aufgaben,(G$34-Arbeitszeit!$A$6+1),(2*(ROW()-ROW(A_Endedatum))-1))),"")</f>
        <v/>
      </c>
      <c r="H44" s="546" t="str">
        <f>IF(H$34&gt;0,(INDEX(A_Aufgaben,(H$34-Arbeitszeit!$A$6+1),(2*(ROW()-ROW(A_Endedatum))-1))),"")</f>
        <v/>
      </c>
      <c r="I44" s="545" t="str">
        <f>IF(I$34&gt;0,(INDEX(A_Aufgaben,(I$34-Arbeitszeit!$A$6+1),(2*(ROW()-ROW(A_Endedatum))-1))),"")</f>
        <v/>
      </c>
      <c r="J44" s="546" t="str">
        <f>IF(J$34&gt;0,(INDEX(A_Aufgaben,(J$34-Arbeitszeit!$A$6+1),(2*(ROW()-ROW(A_Endedatum))-1))),"")</f>
        <v/>
      </c>
      <c r="K44" s="545" t="str">
        <f>IF(K$34&gt;0,(INDEX(A_Aufgaben,(K$34-Arbeitszeit!$A$6+1),(2*(ROW()-ROW(A_Endedatum))-1))),"")</f>
        <v/>
      </c>
      <c r="L44" s="546" t="str">
        <f>IF(L$34&gt;0,(INDEX(A_Aufgaben,(L$34-Arbeitszeit!$A$6+1),(2*(ROW()-ROW(A_Endedatum))-1))),"")</f>
        <v/>
      </c>
      <c r="M44" s="545" t="str">
        <f>IF(M$34&gt;0,(INDEX(A_Aufgaben,(M$34-Arbeitszeit!$A$6+1),(2*(ROW()-ROW(A_Endedatum))-1))),"")</f>
        <v/>
      </c>
      <c r="N44" s="546" t="str">
        <f>IF(N$34&gt;0,(INDEX(A_Aufgaben,(N$34-Arbeitszeit!$A$6+1),(2*(ROW()-ROW(A_Endedatum))-1))),"")</f>
        <v/>
      </c>
      <c r="O44" s="545" t="str">
        <f>IF(O$34&gt;0,(INDEX(A_Aufgaben,(O$34-Arbeitszeit!$A$6+1),(2*(ROW()-ROW(A_Endedatum))-1))),"")</f>
        <v/>
      </c>
      <c r="P44" s="546" t="str">
        <f>IF(P$34&gt;0,(INDEX(A_Aufgaben,(P$34-Arbeitszeit!$A$6+1),(2*(ROW()-ROW(A_Endedatum))-1))),"")</f>
        <v/>
      </c>
      <c r="Q44" s="545" t="str">
        <f>IF(Q$34&gt;0,(INDEX(A_Aufgaben,(Q$34-Arbeitszeit!$A$6+1),(2*(ROW()-ROW(A_Endedatum))-1))),"")</f>
        <v/>
      </c>
      <c r="R44" s="546" t="str">
        <f>IF(R$34&gt;0,(INDEX(A_Aufgaben,(R$34-Arbeitszeit!$A$6+1),(2*(ROW()-ROW(A_Endedatum))-1))),"")</f>
        <v/>
      </c>
      <c r="S44" s="545" t="str">
        <f>IF(S$34&gt;0,(INDEX(A_Aufgaben,(S$34-Arbeitszeit!$A$6+1),(2*(ROW()-ROW(A_Endedatum))-1))),"")</f>
        <v/>
      </c>
      <c r="T44" s="546" t="str">
        <f>IF(T$34&gt;0,(INDEX(A_Aufgaben,(T$34-Arbeitszeit!$A$6+1),(2*(ROW()-ROW(A_Endedatum))-1))),"")</f>
        <v/>
      </c>
      <c r="U44" s="545" t="str">
        <f>IF(U$34&gt;0,(INDEX(A_Aufgaben,(U$34-Arbeitszeit!$A$6+1),(2*(ROW()-ROW(A_Endedatum))-1))),"")</f>
        <v/>
      </c>
      <c r="V44" s="546" t="str">
        <f>IF(V$34&gt;0,(INDEX(A_Aufgaben,(V$34-Arbeitszeit!$A$6+1),(2*(ROW()-ROW(A_Endedatum))-1))),"")</f>
        <v/>
      </c>
      <c r="W44" s="545" t="str">
        <f>IF(W$34&gt;0,(INDEX(A_Aufgaben,(W$34-Arbeitszeit!$A$6+1),(2*(ROW()-ROW(A_Endedatum))-1))),"")</f>
        <v/>
      </c>
      <c r="X44" s="546" t="str">
        <f>IF(X$34&gt;0,(INDEX(A_Aufgaben,(X$34-Arbeitszeit!$A$6+1),(2*(ROW()-ROW(A_Endedatum))-1))),"")</f>
        <v/>
      </c>
      <c r="Y44" s="545" t="str">
        <f>IF(Y$34&gt;0,(INDEX(A_Aufgaben,(Y$34-Arbeitszeit!$A$6+1),(2*(ROW()-ROW(A_Endedatum))-1))),"")</f>
        <v/>
      </c>
      <c r="Z44" s="546" t="str">
        <f>IF(Z$34&gt;0,(INDEX(A_Aufgaben,(Z$34-Arbeitszeit!$A$6+1),(2*(ROW()-ROW(A_Endedatum))-1))),"")</f>
        <v/>
      </c>
      <c r="AA44" s="545" t="str">
        <f>IF(AA$34&gt;0,(INDEX(A_Aufgaben,(AA$34-Arbeitszeit!$A$6+1),(2*(ROW()-ROW(A_Endedatum))-1))),"")</f>
        <v/>
      </c>
      <c r="AB44" s="546" t="str">
        <f>IF(AB$34&gt;0,(INDEX(A_Aufgaben,(AB$34-Arbeitszeit!$A$6+1),(2*(ROW()-ROW(A_Endedatum))-1))),"")</f>
        <v/>
      </c>
      <c r="AC44" s="545" t="str">
        <f>IF(AC$34&gt;0,(INDEX(A_Aufgaben,(AC$34-Arbeitszeit!$A$6+1),(2*(ROW()-ROW(A_Endedatum))-1))),"")</f>
        <v/>
      </c>
      <c r="AD44" s="546" t="str">
        <f>IF(AD$34&gt;0,(INDEX(A_Aufgaben,(AD$34-Arbeitszeit!$A$6+1),(2*(ROW()-ROW(A_Endedatum))-1))),"")</f>
        <v/>
      </c>
      <c r="AE44" s="545" t="str">
        <f>IF(AE$34&gt;0,(INDEX(A_Aufgaben,(AE$34-Arbeitszeit!$A$6+1),(2*(ROW()-ROW(A_Endedatum))-1))),"")</f>
        <v/>
      </c>
      <c r="AF44" s="546" t="str">
        <f>IF(AF$34&gt;0,(INDEX(A_Aufgaben,(AF$34-Arbeitszeit!$A$6+1),(2*(ROW()-ROW(A_Endedatum))-1))),"")</f>
        <v/>
      </c>
      <c r="AG44" s="545" t="str">
        <f>IF(AG$34&gt;0,(INDEX(A_Aufgaben,(AG$34-Arbeitszeit!$A$6+1),(2*(ROW()-ROW(A_Endedatum))-1))),"")</f>
        <v/>
      </c>
      <c r="AH44" s="554">
        <f t="shared" si="7"/>
        <v>0</v>
      </c>
      <c r="AI44" s="3">
        <f t="shared" si="8"/>
        <v>0</v>
      </c>
      <c r="AJ44" s="575">
        <f t="shared" si="11"/>
        <v>0</v>
      </c>
    </row>
    <row r="45" spans="1:36" hidden="1" outlineLevel="1">
      <c r="A45">
        <f t="shared" si="9"/>
        <v>0</v>
      </c>
      <c r="B45" s="544" t="str">
        <f t="shared" si="10"/>
        <v>Aufgabe 08</v>
      </c>
      <c r="C45" s="545" t="str">
        <f>IF(C$34&gt;0,(INDEX(A_Aufgaben,(C$34-Arbeitszeit!$A$6+1),(2*(ROW()-ROW(A_Endedatum))-1))),"")</f>
        <v/>
      </c>
      <c r="D45" s="546" t="str">
        <f>IF(D$34&gt;0,(INDEX(A_Aufgaben,(D$34-Arbeitszeit!$A$6+1),(2*(ROW()-ROW(A_Endedatum))-1))),"")</f>
        <v/>
      </c>
      <c r="E45" s="545" t="str">
        <f>IF(E$34&gt;0,(INDEX(A_Aufgaben,(E$34-Arbeitszeit!$A$6+1),(2*(ROW()-ROW(A_Endedatum))-1))),"")</f>
        <v/>
      </c>
      <c r="F45" s="546" t="str">
        <f>IF(F$34&gt;0,(INDEX(A_Aufgaben,(F$34-Arbeitszeit!$A$6+1),(2*(ROW()-ROW(A_Endedatum))-1))),"")</f>
        <v/>
      </c>
      <c r="G45" s="545" t="str">
        <f>IF(G$34&gt;0,(INDEX(A_Aufgaben,(G$34-Arbeitszeit!$A$6+1),(2*(ROW()-ROW(A_Endedatum))-1))),"")</f>
        <v/>
      </c>
      <c r="H45" s="546" t="str">
        <f>IF(H$34&gt;0,(INDEX(A_Aufgaben,(H$34-Arbeitszeit!$A$6+1),(2*(ROW()-ROW(A_Endedatum))-1))),"")</f>
        <v/>
      </c>
      <c r="I45" s="545" t="str">
        <f>IF(I$34&gt;0,(INDEX(A_Aufgaben,(I$34-Arbeitszeit!$A$6+1),(2*(ROW()-ROW(A_Endedatum))-1))),"")</f>
        <v/>
      </c>
      <c r="J45" s="546" t="str">
        <f>IF(J$34&gt;0,(INDEX(A_Aufgaben,(J$34-Arbeitszeit!$A$6+1),(2*(ROW()-ROW(A_Endedatum))-1))),"")</f>
        <v/>
      </c>
      <c r="K45" s="545" t="str">
        <f>IF(K$34&gt;0,(INDEX(A_Aufgaben,(K$34-Arbeitszeit!$A$6+1),(2*(ROW()-ROW(A_Endedatum))-1))),"")</f>
        <v/>
      </c>
      <c r="L45" s="546" t="str">
        <f>IF(L$34&gt;0,(INDEX(A_Aufgaben,(L$34-Arbeitszeit!$A$6+1),(2*(ROW()-ROW(A_Endedatum))-1))),"")</f>
        <v/>
      </c>
      <c r="M45" s="545" t="str">
        <f>IF(M$34&gt;0,(INDEX(A_Aufgaben,(M$34-Arbeitszeit!$A$6+1),(2*(ROW()-ROW(A_Endedatum))-1))),"")</f>
        <v/>
      </c>
      <c r="N45" s="546" t="str">
        <f>IF(N$34&gt;0,(INDEX(A_Aufgaben,(N$34-Arbeitszeit!$A$6+1),(2*(ROW()-ROW(A_Endedatum))-1))),"")</f>
        <v/>
      </c>
      <c r="O45" s="545" t="str">
        <f>IF(O$34&gt;0,(INDEX(A_Aufgaben,(O$34-Arbeitszeit!$A$6+1),(2*(ROW()-ROW(A_Endedatum))-1))),"")</f>
        <v/>
      </c>
      <c r="P45" s="546" t="str">
        <f>IF(P$34&gt;0,(INDEX(A_Aufgaben,(P$34-Arbeitszeit!$A$6+1),(2*(ROW()-ROW(A_Endedatum))-1))),"")</f>
        <v/>
      </c>
      <c r="Q45" s="545" t="str">
        <f>IF(Q$34&gt;0,(INDEX(A_Aufgaben,(Q$34-Arbeitszeit!$A$6+1),(2*(ROW()-ROW(A_Endedatum))-1))),"")</f>
        <v/>
      </c>
      <c r="R45" s="546" t="str">
        <f>IF(R$34&gt;0,(INDEX(A_Aufgaben,(R$34-Arbeitszeit!$A$6+1),(2*(ROW()-ROW(A_Endedatum))-1))),"")</f>
        <v/>
      </c>
      <c r="S45" s="545" t="str">
        <f>IF(S$34&gt;0,(INDEX(A_Aufgaben,(S$34-Arbeitszeit!$A$6+1),(2*(ROW()-ROW(A_Endedatum))-1))),"")</f>
        <v/>
      </c>
      <c r="T45" s="546" t="str">
        <f>IF(T$34&gt;0,(INDEX(A_Aufgaben,(T$34-Arbeitszeit!$A$6+1),(2*(ROW()-ROW(A_Endedatum))-1))),"")</f>
        <v/>
      </c>
      <c r="U45" s="545" t="str">
        <f>IF(U$34&gt;0,(INDEX(A_Aufgaben,(U$34-Arbeitszeit!$A$6+1),(2*(ROW()-ROW(A_Endedatum))-1))),"")</f>
        <v/>
      </c>
      <c r="V45" s="546" t="str">
        <f>IF(V$34&gt;0,(INDEX(A_Aufgaben,(V$34-Arbeitszeit!$A$6+1),(2*(ROW()-ROW(A_Endedatum))-1))),"")</f>
        <v/>
      </c>
      <c r="W45" s="545" t="str">
        <f>IF(W$34&gt;0,(INDEX(A_Aufgaben,(W$34-Arbeitszeit!$A$6+1),(2*(ROW()-ROW(A_Endedatum))-1))),"")</f>
        <v/>
      </c>
      <c r="X45" s="546" t="str">
        <f>IF(X$34&gt;0,(INDEX(A_Aufgaben,(X$34-Arbeitszeit!$A$6+1),(2*(ROW()-ROW(A_Endedatum))-1))),"")</f>
        <v/>
      </c>
      <c r="Y45" s="545" t="str">
        <f>IF(Y$34&gt;0,(INDEX(A_Aufgaben,(Y$34-Arbeitszeit!$A$6+1),(2*(ROW()-ROW(A_Endedatum))-1))),"")</f>
        <v/>
      </c>
      <c r="Z45" s="546" t="str">
        <f>IF(Z$34&gt;0,(INDEX(A_Aufgaben,(Z$34-Arbeitszeit!$A$6+1),(2*(ROW()-ROW(A_Endedatum))-1))),"")</f>
        <v/>
      </c>
      <c r="AA45" s="545" t="str">
        <f>IF(AA$34&gt;0,(INDEX(A_Aufgaben,(AA$34-Arbeitszeit!$A$6+1),(2*(ROW()-ROW(A_Endedatum))-1))),"")</f>
        <v/>
      </c>
      <c r="AB45" s="546" t="str">
        <f>IF(AB$34&gt;0,(INDEX(A_Aufgaben,(AB$34-Arbeitszeit!$A$6+1),(2*(ROW()-ROW(A_Endedatum))-1))),"")</f>
        <v/>
      </c>
      <c r="AC45" s="545" t="str">
        <f>IF(AC$34&gt;0,(INDEX(A_Aufgaben,(AC$34-Arbeitszeit!$A$6+1),(2*(ROW()-ROW(A_Endedatum))-1))),"")</f>
        <v/>
      </c>
      <c r="AD45" s="546" t="str">
        <f>IF(AD$34&gt;0,(INDEX(A_Aufgaben,(AD$34-Arbeitszeit!$A$6+1),(2*(ROW()-ROW(A_Endedatum))-1))),"")</f>
        <v/>
      </c>
      <c r="AE45" s="545" t="str">
        <f>IF(AE$34&gt;0,(INDEX(A_Aufgaben,(AE$34-Arbeitszeit!$A$6+1),(2*(ROW()-ROW(A_Endedatum))-1))),"")</f>
        <v/>
      </c>
      <c r="AF45" s="546" t="str">
        <f>IF(AF$34&gt;0,(INDEX(A_Aufgaben,(AF$34-Arbeitszeit!$A$6+1),(2*(ROW()-ROW(A_Endedatum))-1))),"")</f>
        <v/>
      </c>
      <c r="AG45" s="545" t="str">
        <f>IF(AG$34&gt;0,(INDEX(A_Aufgaben,(AG$34-Arbeitszeit!$A$6+1),(2*(ROW()-ROW(A_Endedatum))-1))),"")</f>
        <v/>
      </c>
      <c r="AH45" s="554">
        <f t="shared" si="7"/>
        <v>0</v>
      </c>
      <c r="AI45" s="3">
        <f t="shared" si="8"/>
        <v>0</v>
      </c>
      <c r="AJ45" s="575">
        <f t="shared" si="11"/>
        <v>0</v>
      </c>
    </row>
    <row r="46" spans="1:36" hidden="1" outlineLevel="1">
      <c r="A46">
        <f t="shared" si="9"/>
        <v>0</v>
      </c>
      <c r="B46" s="544" t="str">
        <f t="shared" si="10"/>
        <v>Aufgabe 09</v>
      </c>
      <c r="C46" s="545" t="str">
        <f>IF(C$34&gt;0,(INDEX(A_Aufgaben,(C$34-Arbeitszeit!$A$6+1),(2*(ROW()-ROW(A_Endedatum))-1))),"")</f>
        <v/>
      </c>
      <c r="D46" s="546" t="str">
        <f>IF(D$34&gt;0,(INDEX(A_Aufgaben,(D$34-Arbeitszeit!$A$6+1),(2*(ROW()-ROW(A_Endedatum))-1))),"")</f>
        <v/>
      </c>
      <c r="E46" s="545" t="str">
        <f>IF(E$34&gt;0,(INDEX(A_Aufgaben,(E$34-Arbeitszeit!$A$6+1),(2*(ROW()-ROW(A_Endedatum))-1))),"")</f>
        <v/>
      </c>
      <c r="F46" s="546" t="str">
        <f>IF(F$34&gt;0,(INDEX(A_Aufgaben,(F$34-Arbeitszeit!$A$6+1),(2*(ROW()-ROW(A_Endedatum))-1))),"")</f>
        <v/>
      </c>
      <c r="G46" s="545" t="str">
        <f>IF(G$34&gt;0,(INDEX(A_Aufgaben,(G$34-Arbeitszeit!$A$6+1),(2*(ROW()-ROW(A_Endedatum))-1))),"")</f>
        <v/>
      </c>
      <c r="H46" s="546" t="str">
        <f>IF(H$34&gt;0,(INDEX(A_Aufgaben,(H$34-Arbeitszeit!$A$6+1),(2*(ROW()-ROW(A_Endedatum))-1))),"")</f>
        <v/>
      </c>
      <c r="I46" s="545" t="str">
        <f>IF(I$34&gt;0,(INDEX(A_Aufgaben,(I$34-Arbeitszeit!$A$6+1),(2*(ROW()-ROW(A_Endedatum))-1))),"")</f>
        <v/>
      </c>
      <c r="J46" s="546" t="str">
        <f>IF(J$34&gt;0,(INDEX(A_Aufgaben,(J$34-Arbeitszeit!$A$6+1),(2*(ROW()-ROW(A_Endedatum))-1))),"")</f>
        <v/>
      </c>
      <c r="K46" s="545" t="str">
        <f>IF(K$34&gt;0,(INDEX(A_Aufgaben,(K$34-Arbeitszeit!$A$6+1),(2*(ROW()-ROW(A_Endedatum))-1))),"")</f>
        <v/>
      </c>
      <c r="L46" s="546" t="str">
        <f>IF(L$34&gt;0,(INDEX(A_Aufgaben,(L$34-Arbeitszeit!$A$6+1),(2*(ROW()-ROW(A_Endedatum))-1))),"")</f>
        <v/>
      </c>
      <c r="M46" s="545" t="str">
        <f>IF(M$34&gt;0,(INDEX(A_Aufgaben,(M$34-Arbeitszeit!$A$6+1),(2*(ROW()-ROW(A_Endedatum))-1))),"")</f>
        <v/>
      </c>
      <c r="N46" s="546" t="str">
        <f>IF(N$34&gt;0,(INDEX(A_Aufgaben,(N$34-Arbeitszeit!$A$6+1),(2*(ROW()-ROW(A_Endedatum))-1))),"")</f>
        <v/>
      </c>
      <c r="O46" s="545" t="str">
        <f>IF(O$34&gt;0,(INDEX(A_Aufgaben,(O$34-Arbeitszeit!$A$6+1),(2*(ROW()-ROW(A_Endedatum))-1))),"")</f>
        <v/>
      </c>
      <c r="P46" s="546" t="str">
        <f>IF(P$34&gt;0,(INDEX(A_Aufgaben,(P$34-Arbeitszeit!$A$6+1),(2*(ROW()-ROW(A_Endedatum))-1))),"")</f>
        <v/>
      </c>
      <c r="Q46" s="545" t="str">
        <f>IF(Q$34&gt;0,(INDEX(A_Aufgaben,(Q$34-Arbeitszeit!$A$6+1),(2*(ROW()-ROW(A_Endedatum))-1))),"")</f>
        <v/>
      </c>
      <c r="R46" s="546" t="str">
        <f>IF(R$34&gt;0,(INDEX(A_Aufgaben,(R$34-Arbeitszeit!$A$6+1),(2*(ROW()-ROW(A_Endedatum))-1))),"")</f>
        <v/>
      </c>
      <c r="S46" s="545" t="str">
        <f>IF(S$34&gt;0,(INDEX(A_Aufgaben,(S$34-Arbeitszeit!$A$6+1),(2*(ROW()-ROW(A_Endedatum))-1))),"")</f>
        <v/>
      </c>
      <c r="T46" s="546" t="str">
        <f>IF(T$34&gt;0,(INDEX(A_Aufgaben,(T$34-Arbeitszeit!$A$6+1),(2*(ROW()-ROW(A_Endedatum))-1))),"")</f>
        <v/>
      </c>
      <c r="U46" s="545" t="str">
        <f>IF(U$34&gt;0,(INDEX(A_Aufgaben,(U$34-Arbeitszeit!$A$6+1),(2*(ROW()-ROW(A_Endedatum))-1))),"")</f>
        <v/>
      </c>
      <c r="V46" s="546" t="str">
        <f>IF(V$34&gt;0,(INDEX(A_Aufgaben,(V$34-Arbeitszeit!$A$6+1),(2*(ROW()-ROW(A_Endedatum))-1))),"")</f>
        <v/>
      </c>
      <c r="W46" s="545" t="str">
        <f>IF(W$34&gt;0,(INDEX(A_Aufgaben,(W$34-Arbeitszeit!$A$6+1),(2*(ROW()-ROW(A_Endedatum))-1))),"")</f>
        <v/>
      </c>
      <c r="X46" s="546" t="str">
        <f>IF(X$34&gt;0,(INDEX(A_Aufgaben,(X$34-Arbeitszeit!$A$6+1),(2*(ROW()-ROW(A_Endedatum))-1))),"")</f>
        <v/>
      </c>
      <c r="Y46" s="545" t="str">
        <f>IF(Y$34&gt;0,(INDEX(A_Aufgaben,(Y$34-Arbeitszeit!$A$6+1),(2*(ROW()-ROW(A_Endedatum))-1))),"")</f>
        <v/>
      </c>
      <c r="Z46" s="546" t="str">
        <f>IF(Z$34&gt;0,(INDEX(A_Aufgaben,(Z$34-Arbeitszeit!$A$6+1),(2*(ROW()-ROW(A_Endedatum))-1))),"")</f>
        <v/>
      </c>
      <c r="AA46" s="545" t="str">
        <f>IF(AA$34&gt;0,(INDEX(A_Aufgaben,(AA$34-Arbeitszeit!$A$6+1),(2*(ROW()-ROW(A_Endedatum))-1))),"")</f>
        <v/>
      </c>
      <c r="AB46" s="546" t="str">
        <f>IF(AB$34&gt;0,(INDEX(A_Aufgaben,(AB$34-Arbeitszeit!$A$6+1),(2*(ROW()-ROW(A_Endedatum))-1))),"")</f>
        <v/>
      </c>
      <c r="AC46" s="545" t="str">
        <f>IF(AC$34&gt;0,(INDEX(A_Aufgaben,(AC$34-Arbeitszeit!$A$6+1),(2*(ROW()-ROW(A_Endedatum))-1))),"")</f>
        <v/>
      </c>
      <c r="AD46" s="546" t="str">
        <f>IF(AD$34&gt;0,(INDEX(A_Aufgaben,(AD$34-Arbeitszeit!$A$6+1),(2*(ROW()-ROW(A_Endedatum))-1))),"")</f>
        <v/>
      </c>
      <c r="AE46" s="545" t="str">
        <f>IF(AE$34&gt;0,(INDEX(A_Aufgaben,(AE$34-Arbeitszeit!$A$6+1),(2*(ROW()-ROW(A_Endedatum))-1))),"")</f>
        <v/>
      </c>
      <c r="AF46" s="546" t="str">
        <f>IF(AF$34&gt;0,(INDEX(A_Aufgaben,(AF$34-Arbeitszeit!$A$6+1),(2*(ROW()-ROW(A_Endedatum))-1))),"")</f>
        <v/>
      </c>
      <c r="AG46" s="545" t="str">
        <f>IF(AG$34&gt;0,(INDEX(A_Aufgaben,(AG$34-Arbeitszeit!$A$6+1),(2*(ROW()-ROW(A_Endedatum))-1))),"")</f>
        <v/>
      </c>
      <c r="AH46" s="554">
        <f t="shared" si="7"/>
        <v>0</v>
      </c>
      <c r="AI46" s="3">
        <f t="shared" si="8"/>
        <v>0</v>
      </c>
      <c r="AJ46" s="575">
        <f t="shared" si="11"/>
        <v>0</v>
      </c>
    </row>
    <row r="47" spans="1:36" hidden="1" outlineLevel="1">
      <c r="A47">
        <f t="shared" si="9"/>
        <v>0</v>
      </c>
      <c r="B47" s="544" t="str">
        <f t="shared" si="10"/>
        <v>Aufgabe 10</v>
      </c>
      <c r="C47" s="545" t="str">
        <f>IF(C$34&gt;0,(INDEX(A_Aufgaben,(C$34-Arbeitszeit!$A$6+1),(2*(ROW()-ROW(A_Endedatum))-1))),"")</f>
        <v/>
      </c>
      <c r="D47" s="546" t="str">
        <f>IF(D$34&gt;0,(INDEX(A_Aufgaben,(D$34-Arbeitszeit!$A$6+1),(2*(ROW()-ROW(A_Endedatum))-1))),"")</f>
        <v/>
      </c>
      <c r="E47" s="545" t="str">
        <f>IF(E$34&gt;0,(INDEX(A_Aufgaben,(E$34-Arbeitszeit!$A$6+1),(2*(ROW()-ROW(A_Endedatum))-1))),"")</f>
        <v/>
      </c>
      <c r="F47" s="546" t="str">
        <f>IF(F$34&gt;0,(INDEX(A_Aufgaben,(F$34-Arbeitszeit!$A$6+1),(2*(ROW()-ROW(A_Endedatum))-1))),"")</f>
        <v/>
      </c>
      <c r="G47" s="545" t="str">
        <f>IF(G$34&gt;0,(INDEX(A_Aufgaben,(G$34-Arbeitszeit!$A$6+1),(2*(ROW()-ROW(A_Endedatum))-1))),"")</f>
        <v/>
      </c>
      <c r="H47" s="546" t="str">
        <f>IF(H$34&gt;0,(INDEX(A_Aufgaben,(H$34-Arbeitszeit!$A$6+1),(2*(ROW()-ROW(A_Endedatum))-1))),"")</f>
        <v/>
      </c>
      <c r="I47" s="545" t="str">
        <f>IF(I$34&gt;0,(INDEX(A_Aufgaben,(I$34-Arbeitszeit!$A$6+1),(2*(ROW()-ROW(A_Endedatum))-1))),"")</f>
        <v/>
      </c>
      <c r="J47" s="546" t="str">
        <f>IF(J$34&gt;0,(INDEX(A_Aufgaben,(J$34-Arbeitszeit!$A$6+1),(2*(ROW()-ROW(A_Endedatum))-1))),"")</f>
        <v/>
      </c>
      <c r="K47" s="545" t="str">
        <f>IF(K$34&gt;0,(INDEX(A_Aufgaben,(K$34-Arbeitszeit!$A$6+1),(2*(ROW()-ROW(A_Endedatum))-1))),"")</f>
        <v/>
      </c>
      <c r="L47" s="546" t="str">
        <f>IF(L$34&gt;0,(INDEX(A_Aufgaben,(L$34-Arbeitszeit!$A$6+1),(2*(ROW()-ROW(A_Endedatum))-1))),"")</f>
        <v/>
      </c>
      <c r="M47" s="545" t="str">
        <f>IF(M$34&gt;0,(INDEX(A_Aufgaben,(M$34-Arbeitszeit!$A$6+1),(2*(ROW()-ROW(A_Endedatum))-1))),"")</f>
        <v/>
      </c>
      <c r="N47" s="546" t="str">
        <f>IF(N$34&gt;0,(INDEX(A_Aufgaben,(N$34-Arbeitszeit!$A$6+1),(2*(ROW()-ROW(A_Endedatum))-1))),"")</f>
        <v/>
      </c>
      <c r="O47" s="545" t="str">
        <f>IF(O$34&gt;0,(INDEX(A_Aufgaben,(O$34-Arbeitszeit!$A$6+1),(2*(ROW()-ROW(A_Endedatum))-1))),"")</f>
        <v/>
      </c>
      <c r="P47" s="546" t="str">
        <f>IF(P$34&gt;0,(INDEX(A_Aufgaben,(P$34-Arbeitszeit!$A$6+1),(2*(ROW()-ROW(A_Endedatum))-1))),"")</f>
        <v/>
      </c>
      <c r="Q47" s="545" t="str">
        <f>IF(Q$34&gt;0,(INDEX(A_Aufgaben,(Q$34-Arbeitszeit!$A$6+1),(2*(ROW()-ROW(A_Endedatum))-1))),"")</f>
        <v/>
      </c>
      <c r="R47" s="546" t="str">
        <f>IF(R$34&gt;0,(INDEX(A_Aufgaben,(R$34-Arbeitszeit!$A$6+1),(2*(ROW()-ROW(A_Endedatum))-1))),"")</f>
        <v/>
      </c>
      <c r="S47" s="545" t="str">
        <f>IF(S$34&gt;0,(INDEX(A_Aufgaben,(S$34-Arbeitszeit!$A$6+1),(2*(ROW()-ROW(A_Endedatum))-1))),"")</f>
        <v/>
      </c>
      <c r="T47" s="546" t="str">
        <f>IF(T$34&gt;0,(INDEX(A_Aufgaben,(T$34-Arbeitszeit!$A$6+1),(2*(ROW()-ROW(A_Endedatum))-1))),"")</f>
        <v/>
      </c>
      <c r="U47" s="545" t="str">
        <f>IF(U$34&gt;0,(INDEX(A_Aufgaben,(U$34-Arbeitszeit!$A$6+1),(2*(ROW()-ROW(A_Endedatum))-1))),"")</f>
        <v/>
      </c>
      <c r="V47" s="546" t="str">
        <f>IF(V$34&gt;0,(INDEX(A_Aufgaben,(V$34-Arbeitszeit!$A$6+1),(2*(ROW()-ROW(A_Endedatum))-1))),"")</f>
        <v/>
      </c>
      <c r="W47" s="545" t="str">
        <f>IF(W$34&gt;0,(INDEX(A_Aufgaben,(W$34-Arbeitszeit!$A$6+1),(2*(ROW()-ROW(A_Endedatum))-1))),"")</f>
        <v/>
      </c>
      <c r="X47" s="546" t="str">
        <f>IF(X$34&gt;0,(INDEX(A_Aufgaben,(X$34-Arbeitszeit!$A$6+1),(2*(ROW()-ROW(A_Endedatum))-1))),"")</f>
        <v/>
      </c>
      <c r="Y47" s="545" t="str">
        <f>IF(Y$34&gt;0,(INDEX(A_Aufgaben,(Y$34-Arbeitszeit!$A$6+1),(2*(ROW()-ROW(A_Endedatum))-1))),"")</f>
        <v/>
      </c>
      <c r="Z47" s="546" t="str">
        <f>IF(Z$34&gt;0,(INDEX(A_Aufgaben,(Z$34-Arbeitszeit!$A$6+1),(2*(ROW()-ROW(A_Endedatum))-1))),"")</f>
        <v/>
      </c>
      <c r="AA47" s="545" t="str">
        <f>IF(AA$34&gt;0,(INDEX(A_Aufgaben,(AA$34-Arbeitszeit!$A$6+1),(2*(ROW()-ROW(A_Endedatum))-1))),"")</f>
        <v/>
      </c>
      <c r="AB47" s="546" t="str">
        <f>IF(AB$34&gt;0,(INDEX(A_Aufgaben,(AB$34-Arbeitszeit!$A$6+1),(2*(ROW()-ROW(A_Endedatum))-1))),"")</f>
        <v/>
      </c>
      <c r="AC47" s="545" t="str">
        <f>IF(AC$34&gt;0,(INDEX(A_Aufgaben,(AC$34-Arbeitszeit!$A$6+1),(2*(ROW()-ROW(A_Endedatum))-1))),"")</f>
        <v/>
      </c>
      <c r="AD47" s="546" t="str">
        <f>IF(AD$34&gt;0,(INDEX(A_Aufgaben,(AD$34-Arbeitszeit!$A$6+1),(2*(ROW()-ROW(A_Endedatum))-1))),"")</f>
        <v/>
      </c>
      <c r="AE47" s="545" t="str">
        <f>IF(AE$34&gt;0,(INDEX(A_Aufgaben,(AE$34-Arbeitszeit!$A$6+1),(2*(ROW()-ROW(A_Endedatum))-1))),"")</f>
        <v/>
      </c>
      <c r="AF47" s="546" t="str">
        <f>IF(AF$34&gt;0,(INDEX(A_Aufgaben,(AF$34-Arbeitszeit!$A$6+1),(2*(ROW()-ROW(A_Endedatum))-1))),"")</f>
        <v/>
      </c>
      <c r="AG47" s="545" t="str">
        <f>IF(AG$34&gt;0,(INDEX(A_Aufgaben,(AG$34-Arbeitszeit!$A$6+1),(2*(ROW()-ROW(A_Endedatum))-1))),"")</f>
        <v/>
      </c>
      <c r="AH47" s="554">
        <f t="shared" si="7"/>
        <v>0</v>
      </c>
      <c r="AI47" s="3">
        <f t="shared" si="8"/>
        <v>0</v>
      </c>
      <c r="AJ47" s="575">
        <f t="shared" si="11"/>
        <v>0</v>
      </c>
    </row>
    <row r="48" spans="1:36" hidden="1" outlineLevel="1">
      <c r="A48">
        <f t="shared" si="9"/>
        <v>0</v>
      </c>
      <c r="B48" s="544" t="str">
        <f t="shared" si="10"/>
        <v>Aufgabe 11</v>
      </c>
      <c r="C48" s="545" t="str">
        <f>IF(C$34&gt;0,(INDEX(A_Aufgaben,(C$34-Arbeitszeit!$A$6+1),(2*(ROW()-ROW(A_Endedatum))-1))),"")</f>
        <v/>
      </c>
      <c r="D48" s="546" t="str">
        <f>IF(D$34&gt;0,(INDEX(A_Aufgaben,(D$34-Arbeitszeit!$A$6+1),(2*(ROW()-ROW(A_Endedatum))-1))),"")</f>
        <v/>
      </c>
      <c r="E48" s="545" t="str">
        <f>IF(E$34&gt;0,(INDEX(A_Aufgaben,(E$34-Arbeitszeit!$A$6+1),(2*(ROW()-ROW(A_Endedatum))-1))),"")</f>
        <v/>
      </c>
      <c r="F48" s="546" t="str">
        <f>IF(F$34&gt;0,(INDEX(A_Aufgaben,(F$34-Arbeitszeit!$A$6+1),(2*(ROW()-ROW(A_Endedatum))-1))),"")</f>
        <v/>
      </c>
      <c r="G48" s="545" t="str">
        <f>IF(G$34&gt;0,(INDEX(A_Aufgaben,(G$34-Arbeitszeit!$A$6+1),(2*(ROW()-ROW(A_Endedatum))-1))),"")</f>
        <v/>
      </c>
      <c r="H48" s="546" t="str">
        <f>IF(H$34&gt;0,(INDEX(A_Aufgaben,(H$34-Arbeitszeit!$A$6+1),(2*(ROW()-ROW(A_Endedatum))-1))),"")</f>
        <v/>
      </c>
      <c r="I48" s="545" t="str">
        <f>IF(I$34&gt;0,(INDEX(A_Aufgaben,(I$34-Arbeitszeit!$A$6+1),(2*(ROW()-ROW(A_Endedatum))-1))),"")</f>
        <v/>
      </c>
      <c r="J48" s="546" t="str">
        <f>IF(J$34&gt;0,(INDEX(A_Aufgaben,(J$34-Arbeitszeit!$A$6+1),(2*(ROW()-ROW(A_Endedatum))-1))),"")</f>
        <v/>
      </c>
      <c r="K48" s="545" t="str">
        <f>IF(K$34&gt;0,(INDEX(A_Aufgaben,(K$34-Arbeitszeit!$A$6+1),(2*(ROW()-ROW(A_Endedatum))-1))),"")</f>
        <v/>
      </c>
      <c r="L48" s="546" t="str">
        <f>IF(L$34&gt;0,(INDEX(A_Aufgaben,(L$34-Arbeitszeit!$A$6+1),(2*(ROW()-ROW(A_Endedatum))-1))),"")</f>
        <v/>
      </c>
      <c r="M48" s="545" t="str">
        <f>IF(M$34&gt;0,(INDEX(A_Aufgaben,(M$34-Arbeitszeit!$A$6+1),(2*(ROW()-ROW(A_Endedatum))-1))),"")</f>
        <v/>
      </c>
      <c r="N48" s="546" t="str">
        <f>IF(N$34&gt;0,(INDEX(A_Aufgaben,(N$34-Arbeitszeit!$A$6+1),(2*(ROW()-ROW(A_Endedatum))-1))),"")</f>
        <v/>
      </c>
      <c r="O48" s="545" t="str">
        <f>IF(O$34&gt;0,(INDEX(A_Aufgaben,(O$34-Arbeitszeit!$A$6+1),(2*(ROW()-ROW(A_Endedatum))-1))),"")</f>
        <v/>
      </c>
      <c r="P48" s="546" t="str">
        <f>IF(P$34&gt;0,(INDEX(A_Aufgaben,(P$34-Arbeitszeit!$A$6+1),(2*(ROW()-ROW(A_Endedatum))-1))),"")</f>
        <v/>
      </c>
      <c r="Q48" s="545" t="str">
        <f>IF(Q$34&gt;0,(INDEX(A_Aufgaben,(Q$34-Arbeitszeit!$A$6+1),(2*(ROW()-ROW(A_Endedatum))-1))),"")</f>
        <v/>
      </c>
      <c r="R48" s="546" t="str">
        <f>IF(R$34&gt;0,(INDEX(A_Aufgaben,(R$34-Arbeitszeit!$A$6+1),(2*(ROW()-ROW(A_Endedatum))-1))),"")</f>
        <v/>
      </c>
      <c r="S48" s="545" t="str">
        <f>IF(S$34&gt;0,(INDEX(A_Aufgaben,(S$34-Arbeitszeit!$A$6+1),(2*(ROW()-ROW(A_Endedatum))-1))),"")</f>
        <v/>
      </c>
      <c r="T48" s="546" t="str">
        <f>IF(T$34&gt;0,(INDEX(A_Aufgaben,(T$34-Arbeitszeit!$A$6+1),(2*(ROW()-ROW(A_Endedatum))-1))),"")</f>
        <v/>
      </c>
      <c r="U48" s="545" t="str">
        <f>IF(U$34&gt;0,(INDEX(A_Aufgaben,(U$34-Arbeitszeit!$A$6+1),(2*(ROW()-ROW(A_Endedatum))-1))),"")</f>
        <v/>
      </c>
      <c r="V48" s="546" t="str">
        <f>IF(V$34&gt;0,(INDEX(A_Aufgaben,(V$34-Arbeitszeit!$A$6+1),(2*(ROW()-ROW(A_Endedatum))-1))),"")</f>
        <v/>
      </c>
      <c r="W48" s="545" t="str">
        <f>IF(W$34&gt;0,(INDEX(A_Aufgaben,(W$34-Arbeitszeit!$A$6+1),(2*(ROW()-ROW(A_Endedatum))-1))),"")</f>
        <v/>
      </c>
      <c r="X48" s="546" t="str">
        <f>IF(X$34&gt;0,(INDEX(A_Aufgaben,(X$34-Arbeitszeit!$A$6+1),(2*(ROW()-ROW(A_Endedatum))-1))),"")</f>
        <v/>
      </c>
      <c r="Y48" s="545" t="str">
        <f>IF(Y$34&gt;0,(INDEX(A_Aufgaben,(Y$34-Arbeitszeit!$A$6+1),(2*(ROW()-ROW(A_Endedatum))-1))),"")</f>
        <v/>
      </c>
      <c r="Z48" s="546" t="str">
        <f>IF(Z$34&gt;0,(INDEX(A_Aufgaben,(Z$34-Arbeitszeit!$A$6+1),(2*(ROW()-ROW(A_Endedatum))-1))),"")</f>
        <v/>
      </c>
      <c r="AA48" s="545" t="str">
        <f>IF(AA$34&gt;0,(INDEX(A_Aufgaben,(AA$34-Arbeitszeit!$A$6+1),(2*(ROW()-ROW(A_Endedatum))-1))),"")</f>
        <v/>
      </c>
      <c r="AB48" s="546" t="str">
        <f>IF(AB$34&gt;0,(INDEX(A_Aufgaben,(AB$34-Arbeitszeit!$A$6+1),(2*(ROW()-ROW(A_Endedatum))-1))),"")</f>
        <v/>
      </c>
      <c r="AC48" s="545" t="str">
        <f>IF(AC$34&gt;0,(INDEX(A_Aufgaben,(AC$34-Arbeitszeit!$A$6+1),(2*(ROW()-ROW(A_Endedatum))-1))),"")</f>
        <v/>
      </c>
      <c r="AD48" s="546" t="str">
        <f>IF(AD$34&gt;0,(INDEX(A_Aufgaben,(AD$34-Arbeitszeit!$A$6+1),(2*(ROW()-ROW(A_Endedatum))-1))),"")</f>
        <v/>
      </c>
      <c r="AE48" s="545" t="str">
        <f>IF(AE$34&gt;0,(INDEX(A_Aufgaben,(AE$34-Arbeitszeit!$A$6+1),(2*(ROW()-ROW(A_Endedatum))-1))),"")</f>
        <v/>
      </c>
      <c r="AF48" s="546" t="str">
        <f>IF(AF$34&gt;0,(INDEX(A_Aufgaben,(AF$34-Arbeitszeit!$A$6+1),(2*(ROW()-ROW(A_Endedatum))-1))),"")</f>
        <v/>
      </c>
      <c r="AG48" s="545" t="str">
        <f>IF(AG$34&gt;0,(INDEX(A_Aufgaben,(AG$34-Arbeitszeit!$A$6+1),(2*(ROW()-ROW(A_Endedatum))-1))),"")</f>
        <v/>
      </c>
      <c r="AH48" s="554">
        <f t="shared" si="7"/>
        <v>0</v>
      </c>
      <c r="AI48" s="3">
        <f t="shared" si="8"/>
        <v>0</v>
      </c>
      <c r="AJ48" s="575">
        <f t="shared" si="11"/>
        <v>0</v>
      </c>
    </row>
    <row r="49" spans="1:36" hidden="1" outlineLevel="1">
      <c r="A49">
        <f t="shared" si="9"/>
        <v>0</v>
      </c>
      <c r="B49" s="544" t="str">
        <f t="shared" si="10"/>
        <v>Aufgabe 12</v>
      </c>
      <c r="C49" s="545" t="str">
        <f>IF(C$34&gt;0,(INDEX(A_Aufgaben,(C$34-Arbeitszeit!$A$6+1),(2*(ROW()-ROW(A_Endedatum))-1))),"")</f>
        <v/>
      </c>
      <c r="D49" s="546" t="str">
        <f>IF(D$34&gt;0,(INDEX(A_Aufgaben,(D$34-Arbeitszeit!$A$6+1),(2*(ROW()-ROW(A_Endedatum))-1))),"")</f>
        <v/>
      </c>
      <c r="E49" s="545" t="str">
        <f>IF(E$34&gt;0,(INDEX(A_Aufgaben,(E$34-Arbeitszeit!$A$6+1),(2*(ROW()-ROW(A_Endedatum))-1))),"")</f>
        <v/>
      </c>
      <c r="F49" s="546" t="str">
        <f>IF(F$34&gt;0,(INDEX(A_Aufgaben,(F$34-Arbeitszeit!$A$6+1),(2*(ROW()-ROW(A_Endedatum))-1))),"")</f>
        <v/>
      </c>
      <c r="G49" s="545" t="str">
        <f>IF(G$34&gt;0,(INDEX(A_Aufgaben,(G$34-Arbeitszeit!$A$6+1),(2*(ROW()-ROW(A_Endedatum))-1))),"")</f>
        <v/>
      </c>
      <c r="H49" s="546" t="str">
        <f>IF(H$34&gt;0,(INDEX(A_Aufgaben,(H$34-Arbeitszeit!$A$6+1),(2*(ROW()-ROW(A_Endedatum))-1))),"")</f>
        <v/>
      </c>
      <c r="I49" s="545" t="str">
        <f>IF(I$34&gt;0,(INDEX(A_Aufgaben,(I$34-Arbeitszeit!$A$6+1),(2*(ROW()-ROW(A_Endedatum))-1))),"")</f>
        <v/>
      </c>
      <c r="J49" s="546" t="str">
        <f>IF(J$34&gt;0,(INDEX(A_Aufgaben,(J$34-Arbeitszeit!$A$6+1),(2*(ROW()-ROW(A_Endedatum))-1))),"")</f>
        <v/>
      </c>
      <c r="K49" s="545" t="str">
        <f>IF(K$34&gt;0,(INDEX(A_Aufgaben,(K$34-Arbeitszeit!$A$6+1),(2*(ROW()-ROW(A_Endedatum))-1))),"")</f>
        <v/>
      </c>
      <c r="L49" s="546" t="str">
        <f>IF(L$34&gt;0,(INDEX(A_Aufgaben,(L$34-Arbeitszeit!$A$6+1),(2*(ROW()-ROW(A_Endedatum))-1))),"")</f>
        <v/>
      </c>
      <c r="M49" s="545" t="str">
        <f>IF(M$34&gt;0,(INDEX(A_Aufgaben,(M$34-Arbeitszeit!$A$6+1),(2*(ROW()-ROW(A_Endedatum))-1))),"")</f>
        <v/>
      </c>
      <c r="N49" s="546" t="str">
        <f>IF(N$34&gt;0,(INDEX(A_Aufgaben,(N$34-Arbeitszeit!$A$6+1),(2*(ROW()-ROW(A_Endedatum))-1))),"")</f>
        <v/>
      </c>
      <c r="O49" s="545" t="str">
        <f>IF(O$34&gt;0,(INDEX(A_Aufgaben,(O$34-Arbeitszeit!$A$6+1),(2*(ROW()-ROW(A_Endedatum))-1))),"")</f>
        <v/>
      </c>
      <c r="P49" s="546" t="str">
        <f>IF(P$34&gt;0,(INDEX(A_Aufgaben,(P$34-Arbeitszeit!$A$6+1),(2*(ROW()-ROW(A_Endedatum))-1))),"")</f>
        <v/>
      </c>
      <c r="Q49" s="545" t="str">
        <f>IF(Q$34&gt;0,(INDEX(A_Aufgaben,(Q$34-Arbeitszeit!$A$6+1),(2*(ROW()-ROW(A_Endedatum))-1))),"")</f>
        <v/>
      </c>
      <c r="R49" s="546" t="str">
        <f>IF(R$34&gt;0,(INDEX(A_Aufgaben,(R$34-Arbeitszeit!$A$6+1),(2*(ROW()-ROW(A_Endedatum))-1))),"")</f>
        <v/>
      </c>
      <c r="S49" s="545" t="str">
        <f>IF(S$34&gt;0,(INDEX(A_Aufgaben,(S$34-Arbeitszeit!$A$6+1),(2*(ROW()-ROW(A_Endedatum))-1))),"")</f>
        <v/>
      </c>
      <c r="T49" s="546" t="str">
        <f>IF(T$34&gt;0,(INDEX(A_Aufgaben,(T$34-Arbeitszeit!$A$6+1),(2*(ROW()-ROW(A_Endedatum))-1))),"")</f>
        <v/>
      </c>
      <c r="U49" s="545" t="str">
        <f>IF(U$34&gt;0,(INDEX(A_Aufgaben,(U$34-Arbeitszeit!$A$6+1),(2*(ROW()-ROW(A_Endedatum))-1))),"")</f>
        <v/>
      </c>
      <c r="V49" s="546" t="str">
        <f>IF(V$34&gt;0,(INDEX(A_Aufgaben,(V$34-Arbeitszeit!$A$6+1),(2*(ROW()-ROW(A_Endedatum))-1))),"")</f>
        <v/>
      </c>
      <c r="W49" s="545" t="str">
        <f>IF(W$34&gt;0,(INDEX(A_Aufgaben,(W$34-Arbeitszeit!$A$6+1),(2*(ROW()-ROW(A_Endedatum))-1))),"")</f>
        <v/>
      </c>
      <c r="X49" s="546" t="str">
        <f>IF(X$34&gt;0,(INDEX(A_Aufgaben,(X$34-Arbeitszeit!$A$6+1),(2*(ROW()-ROW(A_Endedatum))-1))),"")</f>
        <v/>
      </c>
      <c r="Y49" s="545" t="str">
        <f>IF(Y$34&gt;0,(INDEX(A_Aufgaben,(Y$34-Arbeitszeit!$A$6+1),(2*(ROW()-ROW(A_Endedatum))-1))),"")</f>
        <v/>
      </c>
      <c r="Z49" s="546" t="str">
        <f>IF(Z$34&gt;0,(INDEX(A_Aufgaben,(Z$34-Arbeitszeit!$A$6+1),(2*(ROW()-ROW(A_Endedatum))-1))),"")</f>
        <v/>
      </c>
      <c r="AA49" s="545" t="str">
        <f>IF(AA$34&gt;0,(INDEX(A_Aufgaben,(AA$34-Arbeitszeit!$A$6+1),(2*(ROW()-ROW(A_Endedatum))-1))),"")</f>
        <v/>
      </c>
      <c r="AB49" s="546" t="str">
        <f>IF(AB$34&gt;0,(INDEX(A_Aufgaben,(AB$34-Arbeitszeit!$A$6+1),(2*(ROW()-ROW(A_Endedatum))-1))),"")</f>
        <v/>
      </c>
      <c r="AC49" s="545" t="str">
        <f>IF(AC$34&gt;0,(INDEX(A_Aufgaben,(AC$34-Arbeitszeit!$A$6+1),(2*(ROW()-ROW(A_Endedatum))-1))),"")</f>
        <v/>
      </c>
      <c r="AD49" s="546" t="str">
        <f>IF(AD$34&gt;0,(INDEX(A_Aufgaben,(AD$34-Arbeitszeit!$A$6+1),(2*(ROW()-ROW(A_Endedatum))-1))),"")</f>
        <v/>
      </c>
      <c r="AE49" s="545" t="str">
        <f>IF(AE$34&gt;0,(INDEX(A_Aufgaben,(AE$34-Arbeitszeit!$A$6+1),(2*(ROW()-ROW(A_Endedatum))-1))),"")</f>
        <v/>
      </c>
      <c r="AF49" s="546" t="str">
        <f>IF(AF$34&gt;0,(INDEX(A_Aufgaben,(AF$34-Arbeitszeit!$A$6+1),(2*(ROW()-ROW(A_Endedatum))-1))),"")</f>
        <v/>
      </c>
      <c r="AG49" s="545" t="str">
        <f>IF(AG$34&gt;0,(INDEX(A_Aufgaben,(AG$34-Arbeitszeit!$A$6+1),(2*(ROW()-ROW(A_Endedatum))-1))),"")</f>
        <v/>
      </c>
      <c r="AH49" s="554">
        <f t="shared" si="7"/>
        <v>0</v>
      </c>
      <c r="AI49" s="3">
        <f t="shared" si="8"/>
        <v>0</v>
      </c>
      <c r="AJ49" s="575">
        <f t="shared" si="11"/>
        <v>0</v>
      </c>
    </row>
    <row r="50" spans="1:36" hidden="1" outlineLevel="1">
      <c r="A50">
        <f t="shared" si="9"/>
        <v>0</v>
      </c>
      <c r="B50" s="544" t="str">
        <f t="shared" si="10"/>
        <v>Aufgabe 13</v>
      </c>
      <c r="C50" s="545" t="str">
        <f>IF(C$34&gt;0,(INDEX(A_Aufgaben,(C$34-Arbeitszeit!$A$6+1),(2*(ROW()-ROW(A_Endedatum))-1))),"")</f>
        <v/>
      </c>
      <c r="D50" s="546" t="str">
        <f>IF(D$34&gt;0,(INDEX(A_Aufgaben,(D$34-Arbeitszeit!$A$6+1),(2*(ROW()-ROW(A_Endedatum))-1))),"")</f>
        <v/>
      </c>
      <c r="E50" s="545" t="str">
        <f>IF(E$34&gt;0,(INDEX(A_Aufgaben,(E$34-Arbeitszeit!$A$6+1),(2*(ROW()-ROW(A_Endedatum))-1))),"")</f>
        <v/>
      </c>
      <c r="F50" s="546" t="str">
        <f>IF(F$34&gt;0,(INDEX(A_Aufgaben,(F$34-Arbeitszeit!$A$6+1),(2*(ROW()-ROW(A_Endedatum))-1))),"")</f>
        <v/>
      </c>
      <c r="G50" s="545" t="str">
        <f>IF(G$34&gt;0,(INDEX(A_Aufgaben,(G$34-Arbeitszeit!$A$6+1),(2*(ROW()-ROW(A_Endedatum))-1))),"")</f>
        <v/>
      </c>
      <c r="H50" s="546" t="str">
        <f>IF(H$34&gt;0,(INDEX(A_Aufgaben,(H$34-Arbeitszeit!$A$6+1),(2*(ROW()-ROW(A_Endedatum))-1))),"")</f>
        <v/>
      </c>
      <c r="I50" s="545" t="str">
        <f>IF(I$34&gt;0,(INDEX(A_Aufgaben,(I$34-Arbeitszeit!$A$6+1),(2*(ROW()-ROW(A_Endedatum))-1))),"")</f>
        <v/>
      </c>
      <c r="J50" s="546" t="str">
        <f>IF(J$34&gt;0,(INDEX(A_Aufgaben,(J$34-Arbeitszeit!$A$6+1),(2*(ROW()-ROW(A_Endedatum))-1))),"")</f>
        <v/>
      </c>
      <c r="K50" s="545" t="str">
        <f>IF(K$34&gt;0,(INDEX(A_Aufgaben,(K$34-Arbeitszeit!$A$6+1),(2*(ROW()-ROW(A_Endedatum))-1))),"")</f>
        <v/>
      </c>
      <c r="L50" s="546" t="str">
        <f>IF(L$34&gt;0,(INDEX(A_Aufgaben,(L$34-Arbeitszeit!$A$6+1),(2*(ROW()-ROW(A_Endedatum))-1))),"")</f>
        <v/>
      </c>
      <c r="M50" s="545" t="str">
        <f>IF(M$34&gt;0,(INDEX(A_Aufgaben,(M$34-Arbeitszeit!$A$6+1),(2*(ROW()-ROW(A_Endedatum))-1))),"")</f>
        <v/>
      </c>
      <c r="N50" s="546" t="str">
        <f>IF(N$34&gt;0,(INDEX(A_Aufgaben,(N$34-Arbeitszeit!$A$6+1),(2*(ROW()-ROW(A_Endedatum))-1))),"")</f>
        <v/>
      </c>
      <c r="O50" s="545" t="str">
        <f>IF(O$34&gt;0,(INDEX(A_Aufgaben,(O$34-Arbeitszeit!$A$6+1),(2*(ROW()-ROW(A_Endedatum))-1))),"")</f>
        <v/>
      </c>
      <c r="P50" s="546" t="str">
        <f>IF(P$34&gt;0,(INDEX(A_Aufgaben,(P$34-Arbeitszeit!$A$6+1),(2*(ROW()-ROW(A_Endedatum))-1))),"")</f>
        <v/>
      </c>
      <c r="Q50" s="545" t="str">
        <f>IF(Q$34&gt;0,(INDEX(A_Aufgaben,(Q$34-Arbeitszeit!$A$6+1),(2*(ROW()-ROW(A_Endedatum))-1))),"")</f>
        <v/>
      </c>
      <c r="R50" s="546" t="str">
        <f>IF(R$34&gt;0,(INDEX(A_Aufgaben,(R$34-Arbeitszeit!$A$6+1),(2*(ROW()-ROW(A_Endedatum))-1))),"")</f>
        <v/>
      </c>
      <c r="S50" s="545" t="str">
        <f>IF(S$34&gt;0,(INDEX(A_Aufgaben,(S$34-Arbeitszeit!$A$6+1),(2*(ROW()-ROW(A_Endedatum))-1))),"")</f>
        <v/>
      </c>
      <c r="T50" s="546" t="str">
        <f>IF(T$34&gt;0,(INDEX(A_Aufgaben,(T$34-Arbeitszeit!$A$6+1),(2*(ROW()-ROW(A_Endedatum))-1))),"")</f>
        <v/>
      </c>
      <c r="U50" s="545" t="str">
        <f>IF(U$34&gt;0,(INDEX(A_Aufgaben,(U$34-Arbeitszeit!$A$6+1),(2*(ROW()-ROW(A_Endedatum))-1))),"")</f>
        <v/>
      </c>
      <c r="V50" s="546" t="str">
        <f>IF(V$34&gt;0,(INDEX(A_Aufgaben,(V$34-Arbeitszeit!$A$6+1),(2*(ROW()-ROW(A_Endedatum))-1))),"")</f>
        <v/>
      </c>
      <c r="W50" s="545" t="str">
        <f>IF(W$34&gt;0,(INDEX(A_Aufgaben,(W$34-Arbeitszeit!$A$6+1),(2*(ROW()-ROW(A_Endedatum))-1))),"")</f>
        <v/>
      </c>
      <c r="X50" s="546" t="str">
        <f>IF(X$34&gt;0,(INDEX(A_Aufgaben,(X$34-Arbeitszeit!$A$6+1),(2*(ROW()-ROW(A_Endedatum))-1))),"")</f>
        <v/>
      </c>
      <c r="Y50" s="545" t="str">
        <f>IF(Y$34&gt;0,(INDEX(A_Aufgaben,(Y$34-Arbeitszeit!$A$6+1),(2*(ROW()-ROW(A_Endedatum))-1))),"")</f>
        <v/>
      </c>
      <c r="Z50" s="546" t="str">
        <f>IF(Z$34&gt;0,(INDEX(A_Aufgaben,(Z$34-Arbeitszeit!$A$6+1),(2*(ROW()-ROW(A_Endedatum))-1))),"")</f>
        <v/>
      </c>
      <c r="AA50" s="545" t="str">
        <f>IF(AA$34&gt;0,(INDEX(A_Aufgaben,(AA$34-Arbeitszeit!$A$6+1),(2*(ROW()-ROW(A_Endedatum))-1))),"")</f>
        <v/>
      </c>
      <c r="AB50" s="546" t="str">
        <f>IF(AB$34&gt;0,(INDEX(A_Aufgaben,(AB$34-Arbeitszeit!$A$6+1),(2*(ROW()-ROW(A_Endedatum))-1))),"")</f>
        <v/>
      </c>
      <c r="AC50" s="545" t="str">
        <f>IF(AC$34&gt;0,(INDEX(A_Aufgaben,(AC$34-Arbeitszeit!$A$6+1),(2*(ROW()-ROW(A_Endedatum))-1))),"")</f>
        <v/>
      </c>
      <c r="AD50" s="546" t="str">
        <f>IF(AD$34&gt;0,(INDEX(A_Aufgaben,(AD$34-Arbeitszeit!$A$6+1),(2*(ROW()-ROW(A_Endedatum))-1))),"")</f>
        <v/>
      </c>
      <c r="AE50" s="545" t="str">
        <f>IF(AE$34&gt;0,(INDEX(A_Aufgaben,(AE$34-Arbeitszeit!$A$6+1),(2*(ROW()-ROW(A_Endedatum))-1))),"")</f>
        <v/>
      </c>
      <c r="AF50" s="546" t="str">
        <f>IF(AF$34&gt;0,(INDEX(A_Aufgaben,(AF$34-Arbeitszeit!$A$6+1),(2*(ROW()-ROW(A_Endedatum))-1))),"")</f>
        <v/>
      </c>
      <c r="AG50" s="545" t="str">
        <f>IF(AG$34&gt;0,(INDEX(A_Aufgaben,(AG$34-Arbeitszeit!$A$6+1),(2*(ROW()-ROW(A_Endedatum))-1))),"")</f>
        <v/>
      </c>
      <c r="AH50" s="554">
        <f t="shared" si="7"/>
        <v>0</v>
      </c>
      <c r="AI50" s="3">
        <f t="shared" si="8"/>
        <v>0</v>
      </c>
      <c r="AJ50" s="575">
        <f t="shared" si="11"/>
        <v>0</v>
      </c>
    </row>
    <row r="51" spans="1:36" hidden="1" outlineLevel="1">
      <c r="A51">
        <f t="shared" si="9"/>
        <v>0</v>
      </c>
      <c r="B51" s="544" t="str">
        <f t="shared" si="10"/>
        <v>Aufgabe 14</v>
      </c>
      <c r="C51" s="545" t="str">
        <f>IF(C$34&gt;0,(INDEX(A_Aufgaben,(C$34-Arbeitszeit!$A$6+1),(2*(ROW()-ROW(A_Endedatum))-1))),"")</f>
        <v/>
      </c>
      <c r="D51" s="546" t="str">
        <f>IF(D$34&gt;0,(INDEX(A_Aufgaben,(D$34-Arbeitszeit!$A$6+1),(2*(ROW()-ROW(A_Endedatum))-1))),"")</f>
        <v/>
      </c>
      <c r="E51" s="545" t="str">
        <f>IF(E$34&gt;0,(INDEX(A_Aufgaben,(E$34-Arbeitszeit!$A$6+1),(2*(ROW()-ROW(A_Endedatum))-1))),"")</f>
        <v/>
      </c>
      <c r="F51" s="546" t="str">
        <f>IF(F$34&gt;0,(INDEX(A_Aufgaben,(F$34-Arbeitszeit!$A$6+1),(2*(ROW()-ROW(A_Endedatum))-1))),"")</f>
        <v/>
      </c>
      <c r="G51" s="545" t="str">
        <f>IF(G$34&gt;0,(INDEX(A_Aufgaben,(G$34-Arbeitszeit!$A$6+1),(2*(ROW()-ROW(A_Endedatum))-1))),"")</f>
        <v/>
      </c>
      <c r="H51" s="546" t="str">
        <f>IF(H$34&gt;0,(INDEX(A_Aufgaben,(H$34-Arbeitszeit!$A$6+1),(2*(ROW()-ROW(A_Endedatum))-1))),"")</f>
        <v/>
      </c>
      <c r="I51" s="545" t="str">
        <f>IF(I$34&gt;0,(INDEX(A_Aufgaben,(I$34-Arbeitszeit!$A$6+1),(2*(ROW()-ROW(A_Endedatum))-1))),"")</f>
        <v/>
      </c>
      <c r="J51" s="546" t="str">
        <f>IF(J$34&gt;0,(INDEX(A_Aufgaben,(J$34-Arbeitszeit!$A$6+1),(2*(ROW()-ROW(A_Endedatum))-1))),"")</f>
        <v/>
      </c>
      <c r="K51" s="545" t="str">
        <f>IF(K$34&gt;0,(INDEX(A_Aufgaben,(K$34-Arbeitszeit!$A$6+1),(2*(ROW()-ROW(A_Endedatum))-1))),"")</f>
        <v/>
      </c>
      <c r="L51" s="546" t="str">
        <f>IF(L$34&gt;0,(INDEX(A_Aufgaben,(L$34-Arbeitszeit!$A$6+1),(2*(ROW()-ROW(A_Endedatum))-1))),"")</f>
        <v/>
      </c>
      <c r="M51" s="545" t="str">
        <f>IF(M$34&gt;0,(INDEX(A_Aufgaben,(M$34-Arbeitszeit!$A$6+1),(2*(ROW()-ROW(A_Endedatum))-1))),"")</f>
        <v/>
      </c>
      <c r="N51" s="546" t="str">
        <f>IF(N$34&gt;0,(INDEX(A_Aufgaben,(N$34-Arbeitszeit!$A$6+1),(2*(ROW()-ROW(A_Endedatum))-1))),"")</f>
        <v/>
      </c>
      <c r="O51" s="545" t="str">
        <f>IF(O$34&gt;0,(INDEX(A_Aufgaben,(O$34-Arbeitszeit!$A$6+1),(2*(ROW()-ROW(A_Endedatum))-1))),"")</f>
        <v/>
      </c>
      <c r="P51" s="546" t="str">
        <f>IF(P$34&gt;0,(INDEX(A_Aufgaben,(P$34-Arbeitszeit!$A$6+1),(2*(ROW()-ROW(A_Endedatum))-1))),"")</f>
        <v/>
      </c>
      <c r="Q51" s="545" t="str">
        <f>IF(Q$34&gt;0,(INDEX(A_Aufgaben,(Q$34-Arbeitszeit!$A$6+1),(2*(ROW()-ROW(A_Endedatum))-1))),"")</f>
        <v/>
      </c>
      <c r="R51" s="546" t="str">
        <f>IF(R$34&gt;0,(INDEX(A_Aufgaben,(R$34-Arbeitszeit!$A$6+1),(2*(ROW()-ROW(A_Endedatum))-1))),"")</f>
        <v/>
      </c>
      <c r="S51" s="545" t="str">
        <f>IF(S$34&gt;0,(INDEX(A_Aufgaben,(S$34-Arbeitszeit!$A$6+1),(2*(ROW()-ROW(A_Endedatum))-1))),"")</f>
        <v/>
      </c>
      <c r="T51" s="546" t="str">
        <f>IF(T$34&gt;0,(INDEX(A_Aufgaben,(T$34-Arbeitszeit!$A$6+1),(2*(ROW()-ROW(A_Endedatum))-1))),"")</f>
        <v/>
      </c>
      <c r="U51" s="545" t="str">
        <f>IF(U$34&gt;0,(INDEX(A_Aufgaben,(U$34-Arbeitszeit!$A$6+1),(2*(ROW()-ROW(A_Endedatum))-1))),"")</f>
        <v/>
      </c>
      <c r="V51" s="546" t="str">
        <f>IF(V$34&gt;0,(INDEX(A_Aufgaben,(V$34-Arbeitszeit!$A$6+1),(2*(ROW()-ROW(A_Endedatum))-1))),"")</f>
        <v/>
      </c>
      <c r="W51" s="545" t="str">
        <f>IF(W$34&gt;0,(INDEX(A_Aufgaben,(W$34-Arbeitszeit!$A$6+1),(2*(ROW()-ROW(A_Endedatum))-1))),"")</f>
        <v/>
      </c>
      <c r="X51" s="546" t="str">
        <f>IF(X$34&gt;0,(INDEX(A_Aufgaben,(X$34-Arbeitszeit!$A$6+1),(2*(ROW()-ROW(A_Endedatum))-1))),"")</f>
        <v/>
      </c>
      <c r="Y51" s="545" t="str">
        <f>IF(Y$34&gt;0,(INDEX(A_Aufgaben,(Y$34-Arbeitszeit!$A$6+1),(2*(ROW()-ROW(A_Endedatum))-1))),"")</f>
        <v/>
      </c>
      <c r="Z51" s="546" t="str">
        <f>IF(Z$34&gt;0,(INDEX(A_Aufgaben,(Z$34-Arbeitszeit!$A$6+1),(2*(ROW()-ROW(A_Endedatum))-1))),"")</f>
        <v/>
      </c>
      <c r="AA51" s="545" t="str">
        <f>IF(AA$34&gt;0,(INDEX(A_Aufgaben,(AA$34-Arbeitszeit!$A$6+1),(2*(ROW()-ROW(A_Endedatum))-1))),"")</f>
        <v/>
      </c>
      <c r="AB51" s="546" t="str">
        <f>IF(AB$34&gt;0,(INDEX(A_Aufgaben,(AB$34-Arbeitszeit!$A$6+1),(2*(ROW()-ROW(A_Endedatum))-1))),"")</f>
        <v/>
      </c>
      <c r="AC51" s="545" t="str">
        <f>IF(AC$34&gt;0,(INDEX(A_Aufgaben,(AC$34-Arbeitszeit!$A$6+1),(2*(ROW()-ROW(A_Endedatum))-1))),"")</f>
        <v/>
      </c>
      <c r="AD51" s="546" t="str">
        <f>IF(AD$34&gt;0,(INDEX(A_Aufgaben,(AD$34-Arbeitszeit!$A$6+1),(2*(ROW()-ROW(A_Endedatum))-1))),"")</f>
        <v/>
      </c>
      <c r="AE51" s="545" t="str">
        <f>IF(AE$34&gt;0,(INDEX(A_Aufgaben,(AE$34-Arbeitszeit!$A$6+1),(2*(ROW()-ROW(A_Endedatum))-1))),"")</f>
        <v/>
      </c>
      <c r="AF51" s="546" t="str">
        <f>IF(AF$34&gt;0,(INDEX(A_Aufgaben,(AF$34-Arbeitszeit!$A$6+1),(2*(ROW()-ROW(A_Endedatum))-1))),"")</f>
        <v/>
      </c>
      <c r="AG51" s="545" t="str">
        <f>IF(AG$34&gt;0,(INDEX(A_Aufgaben,(AG$34-Arbeitszeit!$A$6+1),(2*(ROW()-ROW(A_Endedatum))-1))),"")</f>
        <v/>
      </c>
      <c r="AH51" s="554">
        <f t="shared" si="7"/>
        <v>0</v>
      </c>
      <c r="AI51" s="3">
        <f t="shared" si="8"/>
        <v>0</v>
      </c>
      <c r="AJ51" s="575">
        <f t="shared" si="11"/>
        <v>0</v>
      </c>
    </row>
    <row r="52" spans="1:36" hidden="1" outlineLevel="1">
      <c r="A52">
        <f t="shared" si="9"/>
        <v>0</v>
      </c>
      <c r="B52" s="544" t="str">
        <f t="shared" si="10"/>
        <v>Aufgabe 15</v>
      </c>
      <c r="C52" s="545" t="str">
        <f>IF(C$34&gt;0,(INDEX(A_Aufgaben,(C$34-Arbeitszeit!$A$6+1),(2*(ROW()-ROW(A_Endedatum))-1))),"")</f>
        <v/>
      </c>
      <c r="D52" s="546" t="str">
        <f>IF(D$34&gt;0,(INDEX(A_Aufgaben,(D$34-Arbeitszeit!$A$6+1),(2*(ROW()-ROW(A_Endedatum))-1))),"")</f>
        <v/>
      </c>
      <c r="E52" s="545" t="str">
        <f>IF(E$34&gt;0,(INDEX(A_Aufgaben,(E$34-Arbeitszeit!$A$6+1),(2*(ROW()-ROW(A_Endedatum))-1))),"")</f>
        <v/>
      </c>
      <c r="F52" s="546" t="str">
        <f>IF(F$34&gt;0,(INDEX(A_Aufgaben,(F$34-Arbeitszeit!$A$6+1),(2*(ROW()-ROW(A_Endedatum))-1))),"")</f>
        <v/>
      </c>
      <c r="G52" s="545" t="str">
        <f>IF(G$34&gt;0,(INDEX(A_Aufgaben,(G$34-Arbeitszeit!$A$6+1),(2*(ROW()-ROW(A_Endedatum))-1))),"")</f>
        <v/>
      </c>
      <c r="H52" s="546" t="str">
        <f>IF(H$34&gt;0,(INDEX(A_Aufgaben,(H$34-Arbeitszeit!$A$6+1),(2*(ROW()-ROW(A_Endedatum))-1))),"")</f>
        <v/>
      </c>
      <c r="I52" s="545" t="str">
        <f>IF(I$34&gt;0,(INDEX(A_Aufgaben,(I$34-Arbeitszeit!$A$6+1),(2*(ROW()-ROW(A_Endedatum))-1))),"")</f>
        <v/>
      </c>
      <c r="J52" s="546" t="str">
        <f>IF(J$34&gt;0,(INDEX(A_Aufgaben,(J$34-Arbeitszeit!$A$6+1),(2*(ROW()-ROW(A_Endedatum))-1))),"")</f>
        <v/>
      </c>
      <c r="K52" s="545" t="str">
        <f>IF(K$34&gt;0,(INDEX(A_Aufgaben,(K$34-Arbeitszeit!$A$6+1),(2*(ROW()-ROW(A_Endedatum))-1))),"")</f>
        <v/>
      </c>
      <c r="L52" s="546" t="str">
        <f>IF(L$34&gt;0,(INDEX(A_Aufgaben,(L$34-Arbeitszeit!$A$6+1),(2*(ROW()-ROW(A_Endedatum))-1))),"")</f>
        <v/>
      </c>
      <c r="M52" s="545" t="str">
        <f>IF(M$34&gt;0,(INDEX(A_Aufgaben,(M$34-Arbeitszeit!$A$6+1),(2*(ROW()-ROW(A_Endedatum))-1))),"")</f>
        <v/>
      </c>
      <c r="N52" s="546" t="str">
        <f>IF(N$34&gt;0,(INDEX(A_Aufgaben,(N$34-Arbeitszeit!$A$6+1),(2*(ROW()-ROW(A_Endedatum))-1))),"")</f>
        <v/>
      </c>
      <c r="O52" s="545" t="str">
        <f>IF(O$34&gt;0,(INDEX(A_Aufgaben,(O$34-Arbeitszeit!$A$6+1),(2*(ROW()-ROW(A_Endedatum))-1))),"")</f>
        <v/>
      </c>
      <c r="P52" s="546" t="str">
        <f>IF(P$34&gt;0,(INDEX(A_Aufgaben,(P$34-Arbeitszeit!$A$6+1),(2*(ROW()-ROW(A_Endedatum))-1))),"")</f>
        <v/>
      </c>
      <c r="Q52" s="545" t="str">
        <f>IF(Q$34&gt;0,(INDEX(A_Aufgaben,(Q$34-Arbeitszeit!$A$6+1),(2*(ROW()-ROW(A_Endedatum))-1))),"")</f>
        <v/>
      </c>
      <c r="R52" s="546" t="str">
        <f>IF(R$34&gt;0,(INDEX(A_Aufgaben,(R$34-Arbeitszeit!$A$6+1),(2*(ROW()-ROW(A_Endedatum))-1))),"")</f>
        <v/>
      </c>
      <c r="S52" s="545" t="str">
        <f>IF(S$34&gt;0,(INDEX(A_Aufgaben,(S$34-Arbeitszeit!$A$6+1),(2*(ROW()-ROW(A_Endedatum))-1))),"")</f>
        <v/>
      </c>
      <c r="T52" s="546" t="str">
        <f>IF(T$34&gt;0,(INDEX(A_Aufgaben,(T$34-Arbeitszeit!$A$6+1),(2*(ROW()-ROW(A_Endedatum))-1))),"")</f>
        <v/>
      </c>
      <c r="U52" s="545" t="str">
        <f>IF(U$34&gt;0,(INDEX(A_Aufgaben,(U$34-Arbeitszeit!$A$6+1),(2*(ROW()-ROW(A_Endedatum))-1))),"")</f>
        <v/>
      </c>
      <c r="V52" s="546" t="str">
        <f>IF(V$34&gt;0,(INDEX(A_Aufgaben,(V$34-Arbeitszeit!$A$6+1),(2*(ROW()-ROW(A_Endedatum))-1))),"")</f>
        <v/>
      </c>
      <c r="W52" s="545" t="str">
        <f>IF(W$34&gt;0,(INDEX(A_Aufgaben,(W$34-Arbeitszeit!$A$6+1),(2*(ROW()-ROW(A_Endedatum))-1))),"")</f>
        <v/>
      </c>
      <c r="X52" s="546" t="str">
        <f>IF(X$34&gt;0,(INDEX(A_Aufgaben,(X$34-Arbeitszeit!$A$6+1),(2*(ROW()-ROW(A_Endedatum))-1))),"")</f>
        <v/>
      </c>
      <c r="Y52" s="545" t="str">
        <f>IF(Y$34&gt;0,(INDEX(A_Aufgaben,(Y$34-Arbeitszeit!$A$6+1),(2*(ROW()-ROW(A_Endedatum))-1))),"")</f>
        <v/>
      </c>
      <c r="Z52" s="546" t="str">
        <f>IF(Z$34&gt;0,(INDEX(A_Aufgaben,(Z$34-Arbeitszeit!$A$6+1),(2*(ROW()-ROW(A_Endedatum))-1))),"")</f>
        <v/>
      </c>
      <c r="AA52" s="545" t="str">
        <f>IF(AA$34&gt;0,(INDEX(A_Aufgaben,(AA$34-Arbeitszeit!$A$6+1),(2*(ROW()-ROW(A_Endedatum))-1))),"")</f>
        <v/>
      </c>
      <c r="AB52" s="546" t="str">
        <f>IF(AB$34&gt;0,(INDEX(A_Aufgaben,(AB$34-Arbeitszeit!$A$6+1),(2*(ROW()-ROW(A_Endedatum))-1))),"")</f>
        <v/>
      </c>
      <c r="AC52" s="545" t="str">
        <f>IF(AC$34&gt;0,(INDEX(A_Aufgaben,(AC$34-Arbeitszeit!$A$6+1),(2*(ROW()-ROW(A_Endedatum))-1))),"")</f>
        <v/>
      </c>
      <c r="AD52" s="546" t="str">
        <f>IF(AD$34&gt;0,(INDEX(A_Aufgaben,(AD$34-Arbeitszeit!$A$6+1),(2*(ROW()-ROW(A_Endedatum))-1))),"")</f>
        <v/>
      </c>
      <c r="AE52" s="545" t="str">
        <f>IF(AE$34&gt;0,(INDEX(A_Aufgaben,(AE$34-Arbeitszeit!$A$6+1),(2*(ROW()-ROW(A_Endedatum))-1))),"")</f>
        <v/>
      </c>
      <c r="AF52" s="546" t="str">
        <f>IF(AF$34&gt;0,(INDEX(A_Aufgaben,(AF$34-Arbeitszeit!$A$6+1),(2*(ROW()-ROW(A_Endedatum))-1))),"")</f>
        <v/>
      </c>
      <c r="AG52" s="545" t="str">
        <f>IF(AG$34&gt;0,(INDEX(A_Aufgaben,(AG$34-Arbeitszeit!$A$6+1),(2*(ROW()-ROW(A_Endedatum))-1))),"")</f>
        <v/>
      </c>
      <c r="AH52" s="554">
        <f t="shared" si="7"/>
        <v>0</v>
      </c>
      <c r="AI52" s="3">
        <f t="shared" si="8"/>
        <v>0</v>
      </c>
      <c r="AJ52" s="575">
        <f t="shared" si="11"/>
        <v>0</v>
      </c>
    </row>
    <row r="53" spans="1:36" hidden="1" outlineLevel="1">
      <c r="A53">
        <f t="shared" si="9"/>
        <v>0</v>
      </c>
      <c r="B53" s="544" t="str">
        <f t="shared" si="10"/>
        <v>Aufgabe 16</v>
      </c>
      <c r="C53" s="545" t="str">
        <f>IF(C$34&gt;0,(INDEX(A_Aufgaben,(C$34-Arbeitszeit!$A$6+1),(2*(ROW()-ROW(A_Endedatum))-1))),"")</f>
        <v/>
      </c>
      <c r="D53" s="546" t="str">
        <f>IF(D$34&gt;0,(INDEX(A_Aufgaben,(D$34-Arbeitszeit!$A$6+1),(2*(ROW()-ROW(A_Endedatum))-1))),"")</f>
        <v/>
      </c>
      <c r="E53" s="545" t="str">
        <f>IF(E$34&gt;0,(INDEX(A_Aufgaben,(E$34-Arbeitszeit!$A$6+1),(2*(ROW()-ROW(A_Endedatum))-1))),"")</f>
        <v/>
      </c>
      <c r="F53" s="546" t="str">
        <f>IF(F$34&gt;0,(INDEX(A_Aufgaben,(F$34-Arbeitszeit!$A$6+1),(2*(ROW()-ROW(A_Endedatum))-1))),"")</f>
        <v/>
      </c>
      <c r="G53" s="545" t="str">
        <f>IF(G$34&gt;0,(INDEX(A_Aufgaben,(G$34-Arbeitszeit!$A$6+1),(2*(ROW()-ROW(A_Endedatum))-1))),"")</f>
        <v/>
      </c>
      <c r="H53" s="546" t="str">
        <f>IF(H$34&gt;0,(INDEX(A_Aufgaben,(H$34-Arbeitszeit!$A$6+1),(2*(ROW()-ROW(A_Endedatum))-1))),"")</f>
        <v/>
      </c>
      <c r="I53" s="545" t="str">
        <f>IF(I$34&gt;0,(INDEX(A_Aufgaben,(I$34-Arbeitszeit!$A$6+1),(2*(ROW()-ROW(A_Endedatum))-1))),"")</f>
        <v/>
      </c>
      <c r="J53" s="546" t="str">
        <f>IF(J$34&gt;0,(INDEX(A_Aufgaben,(J$34-Arbeitszeit!$A$6+1),(2*(ROW()-ROW(A_Endedatum))-1))),"")</f>
        <v/>
      </c>
      <c r="K53" s="545" t="str">
        <f>IF(K$34&gt;0,(INDEX(A_Aufgaben,(K$34-Arbeitszeit!$A$6+1),(2*(ROW()-ROW(A_Endedatum))-1))),"")</f>
        <v/>
      </c>
      <c r="L53" s="546" t="str">
        <f>IF(L$34&gt;0,(INDEX(A_Aufgaben,(L$34-Arbeitszeit!$A$6+1),(2*(ROW()-ROW(A_Endedatum))-1))),"")</f>
        <v/>
      </c>
      <c r="M53" s="545" t="str">
        <f>IF(M$34&gt;0,(INDEX(A_Aufgaben,(M$34-Arbeitszeit!$A$6+1),(2*(ROW()-ROW(A_Endedatum))-1))),"")</f>
        <v/>
      </c>
      <c r="N53" s="546" t="str">
        <f>IF(N$34&gt;0,(INDEX(A_Aufgaben,(N$34-Arbeitszeit!$A$6+1),(2*(ROW()-ROW(A_Endedatum))-1))),"")</f>
        <v/>
      </c>
      <c r="O53" s="545" t="str">
        <f>IF(O$34&gt;0,(INDEX(A_Aufgaben,(O$34-Arbeitszeit!$A$6+1),(2*(ROW()-ROW(A_Endedatum))-1))),"")</f>
        <v/>
      </c>
      <c r="P53" s="546" t="str">
        <f>IF(P$34&gt;0,(INDEX(A_Aufgaben,(P$34-Arbeitszeit!$A$6+1),(2*(ROW()-ROW(A_Endedatum))-1))),"")</f>
        <v/>
      </c>
      <c r="Q53" s="545" t="str">
        <f>IF(Q$34&gt;0,(INDEX(A_Aufgaben,(Q$34-Arbeitszeit!$A$6+1),(2*(ROW()-ROW(A_Endedatum))-1))),"")</f>
        <v/>
      </c>
      <c r="R53" s="546" t="str">
        <f>IF(R$34&gt;0,(INDEX(A_Aufgaben,(R$34-Arbeitszeit!$A$6+1),(2*(ROW()-ROW(A_Endedatum))-1))),"")</f>
        <v/>
      </c>
      <c r="S53" s="545" t="str">
        <f>IF(S$34&gt;0,(INDEX(A_Aufgaben,(S$34-Arbeitszeit!$A$6+1),(2*(ROW()-ROW(A_Endedatum))-1))),"")</f>
        <v/>
      </c>
      <c r="T53" s="546" t="str">
        <f>IF(T$34&gt;0,(INDEX(A_Aufgaben,(T$34-Arbeitszeit!$A$6+1),(2*(ROW()-ROW(A_Endedatum))-1))),"")</f>
        <v/>
      </c>
      <c r="U53" s="545" t="str">
        <f>IF(U$34&gt;0,(INDEX(A_Aufgaben,(U$34-Arbeitszeit!$A$6+1),(2*(ROW()-ROW(A_Endedatum))-1))),"")</f>
        <v/>
      </c>
      <c r="V53" s="546" t="str">
        <f>IF(V$34&gt;0,(INDEX(A_Aufgaben,(V$34-Arbeitszeit!$A$6+1),(2*(ROW()-ROW(A_Endedatum))-1))),"")</f>
        <v/>
      </c>
      <c r="W53" s="545" t="str">
        <f>IF(W$34&gt;0,(INDEX(A_Aufgaben,(W$34-Arbeitszeit!$A$6+1),(2*(ROW()-ROW(A_Endedatum))-1))),"")</f>
        <v/>
      </c>
      <c r="X53" s="546" t="str">
        <f>IF(X$34&gt;0,(INDEX(A_Aufgaben,(X$34-Arbeitszeit!$A$6+1),(2*(ROW()-ROW(A_Endedatum))-1))),"")</f>
        <v/>
      </c>
      <c r="Y53" s="545" t="str">
        <f>IF(Y$34&gt;0,(INDEX(A_Aufgaben,(Y$34-Arbeitszeit!$A$6+1),(2*(ROW()-ROW(A_Endedatum))-1))),"")</f>
        <v/>
      </c>
      <c r="Z53" s="546" t="str">
        <f>IF(Z$34&gt;0,(INDEX(A_Aufgaben,(Z$34-Arbeitszeit!$A$6+1),(2*(ROW()-ROW(A_Endedatum))-1))),"")</f>
        <v/>
      </c>
      <c r="AA53" s="545" t="str">
        <f>IF(AA$34&gt;0,(INDEX(A_Aufgaben,(AA$34-Arbeitszeit!$A$6+1),(2*(ROW()-ROW(A_Endedatum))-1))),"")</f>
        <v/>
      </c>
      <c r="AB53" s="546" t="str">
        <f>IF(AB$34&gt;0,(INDEX(A_Aufgaben,(AB$34-Arbeitszeit!$A$6+1),(2*(ROW()-ROW(A_Endedatum))-1))),"")</f>
        <v/>
      </c>
      <c r="AC53" s="545" t="str">
        <f>IF(AC$34&gt;0,(INDEX(A_Aufgaben,(AC$34-Arbeitszeit!$A$6+1),(2*(ROW()-ROW(A_Endedatum))-1))),"")</f>
        <v/>
      </c>
      <c r="AD53" s="546" t="str">
        <f>IF(AD$34&gt;0,(INDEX(A_Aufgaben,(AD$34-Arbeitszeit!$A$6+1),(2*(ROW()-ROW(A_Endedatum))-1))),"")</f>
        <v/>
      </c>
      <c r="AE53" s="545" t="str">
        <f>IF(AE$34&gt;0,(INDEX(A_Aufgaben,(AE$34-Arbeitszeit!$A$6+1),(2*(ROW()-ROW(A_Endedatum))-1))),"")</f>
        <v/>
      </c>
      <c r="AF53" s="546" t="str">
        <f>IF(AF$34&gt;0,(INDEX(A_Aufgaben,(AF$34-Arbeitszeit!$A$6+1),(2*(ROW()-ROW(A_Endedatum))-1))),"")</f>
        <v/>
      </c>
      <c r="AG53" s="545" t="str">
        <f>IF(AG$34&gt;0,(INDEX(A_Aufgaben,(AG$34-Arbeitszeit!$A$6+1),(2*(ROW()-ROW(A_Endedatum))-1))),"")</f>
        <v/>
      </c>
      <c r="AH53" s="554">
        <f t="shared" si="7"/>
        <v>0</v>
      </c>
      <c r="AI53" s="3">
        <f t="shared" si="8"/>
        <v>0</v>
      </c>
      <c r="AJ53" s="575">
        <f t="shared" si="11"/>
        <v>0</v>
      </c>
    </row>
    <row r="54" spans="1:36" hidden="1" outlineLevel="1">
      <c r="A54">
        <f t="shared" si="9"/>
        <v>0</v>
      </c>
      <c r="B54" s="544" t="str">
        <f t="shared" si="10"/>
        <v>Aufgabe 17</v>
      </c>
      <c r="C54" s="545" t="str">
        <f>IF(C$34&gt;0,(INDEX(A_Aufgaben,(C$34-Arbeitszeit!$A$6+1),(2*(ROW()-ROW(A_Endedatum))-1))),"")</f>
        <v/>
      </c>
      <c r="D54" s="546" t="str">
        <f>IF(D$34&gt;0,(INDEX(A_Aufgaben,(D$34-Arbeitszeit!$A$6+1),(2*(ROW()-ROW(A_Endedatum))-1))),"")</f>
        <v/>
      </c>
      <c r="E54" s="545" t="str">
        <f>IF(E$34&gt;0,(INDEX(A_Aufgaben,(E$34-Arbeitszeit!$A$6+1),(2*(ROW()-ROW(A_Endedatum))-1))),"")</f>
        <v/>
      </c>
      <c r="F54" s="546" t="str">
        <f>IF(F$34&gt;0,(INDEX(A_Aufgaben,(F$34-Arbeitszeit!$A$6+1),(2*(ROW()-ROW(A_Endedatum))-1))),"")</f>
        <v/>
      </c>
      <c r="G54" s="545" t="str">
        <f>IF(G$34&gt;0,(INDEX(A_Aufgaben,(G$34-Arbeitszeit!$A$6+1),(2*(ROW()-ROW(A_Endedatum))-1))),"")</f>
        <v/>
      </c>
      <c r="H54" s="546" t="str">
        <f>IF(H$34&gt;0,(INDEX(A_Aufgaben,(H$34-Arbeitszeit!$A$6+1),(2*(ROW()-ROW(A_Endedatum))-1))),"")</f>
        <v/>
      </c>
      <c r="I54" s="545" t="str">
        <f>IF(I$34&gt;0,(INDEX(A_Aufgaben,(I$34-Arbeitszeit!$A$6+1),(2*(ROW()-ROW(A_Endedatum))-1))),"")</f>
        <v/>
      </c>
      <c r="J54" s="546" t="str">
        <f>IF(J$34&gt;0,(INDEX(A_Aufgaben,(J$34-Arbeitszeit!$A$6+1),(2*(ROW()-ROW(A_Endedatum))-1))),"")</f>
        <v/>
      </c>
      <c r="K54" s="545" t="str">
        <f>IF(K$34&gt;0,(INDEX(A_Aufgaben,(K$34-Arbeitszeit!$A$6+1),(2*(ROW()-ROW(A_Endedatum))-1))),"")</f>
        <v/>
      </c>
      <c r="L54" s="546" t="str">
        <f>IF(L$34&gt;0,(INDEX(A_Aufgaben,(L$34-Arbeitszeit!$A$6+1),(2*(ROW()-ROW(A_Endedatum))-1))),"")</f>
        <v/>
      </c>
      <c r="M54" s="545" t="str">
        <f>IF(M$34&gt;0,(INDEX(A_Aufgaben,(M$34-Arbeitszeit!$A$6+1),(2*(ROW()-ROW(A_Endedatum))-1))),"")</f>
        <v/>
      </c>
      <c r="N54" s="546" t="str">
        <f>IF(N$34&gt;0,(INDEX(A_Aufgaben,(N$34-Arbeitszeit!$A$6+1),(2*(ROW()-ROW(A_Endedatum))-1))),"")</f>
        <v/>
      </c>
      <c r="O54" s="545" t="str">
        <f>IF(O$34&gt;0,(INDEX(A_Aufgaben,(O$34-Arbeitszeit!$A$6+1),(2*(ROW()-ROW(A_Endedatum))-1))),"")</f>
        <v/>
      </c>
      <c r="P54" s="546" t="str">
        <f>IF(P$34&gt;0,(INDEX(A_Aufgaben,(P$34-Arbeitszeit!$A$6+1),(2*(ROW()-ROW(A_Endedatum))-1))),"")</f>
        <v/>
      </c>
      <c r="Q54" s="545" t="str">
        <f>IF(Q$34&gt;0,(INDEX(A_Aufgaben,(Q$34-Arbeitszeit!$A$6+1),(2*(ROW()-ROW(A_Endedatum))-1))),"")</f>
        <v/>
      </c>
      <c r="R54" s="546" t="str">
        <f>IF(R$34&gt;0,(INDEX(A_Aufgaben,(R$34-Arbeitszeit!$A$6+1),(2*(ROW()-ROW(A_Endedatum))-1))),"")</f>
        <v/>
      </c>
      <c r="S54" s="545" t="str">
        <f>IF(S$34&gt;0,(INDEX(A_Aufgaben,(S$34-Arbeitszeit!$A$6+1),(2*(ROW()-ROW(A_Endedatum))-1))),"")</f>
        <v/>
      </c>
      <c r="T54" s="546" t="str">
        <f>IF(T$34&gt;0,(INDEX(A_Aufgaben,(T$34-Arbeitszeit!$A$6+1),(2*(ROW()-ROW(A_Endedatum))-1))),"")</f>
        <v/>
      </c>
      <c r="U54" s="545" t="str">
        <f>IF(U$34&gt;0,(INDEX(A_Aufgaben,(U$34-Arbeitszeit!$A$6+1),(2*(ROW()-ROW(A_Endedatum))-1))),"")</f>
        <v/>
      </c>
      <c r="V54" s="546" t="str">
        <f>IF(V$34&gt;0,(INDEX(A_Aufgaben,(V$34-Arbeitszeit!$A$6+1),(2*(ROW()-ROW(A_Endedatum))-1))),"")</f>
        <v/>
      </c>
      <c r="W54" s="545" t="str">
        <f>IF(W$34&gt;0,(INDEX(A_Aufgaben,(W$34-Arbeitszeit!$A$6+1),(2*(ROW()-ROW(A_Endedatum))-1))),"")</f>
        <v/>
      </c>
      <c r="X54" s="546" t="str">
        <f>IF(X$34&gt;0,(INDEX(A_Aufgaben,(X$34-Arbeitszeit!$A$6+1),(2*(ROW()-ROW(A_Endedatum))-1))),"")</f>
        <v/>
      </c>
      <c r="Y54" s="545" t="str">
        <f>IF(Y$34&gt;0,(INDEX(A_Aufgaben,(Y$34-Arbeitszeit!$A$6+1),(2*(ROW()-ROW(A_Endedatum))-1))),"")</f>
        <v/>
      </c>
      <c r="Z54" s="546" t="str">
        <f>IF(Z$34&gt;0,(INDEX(A_Aufgaben,(Z$34-Arbeitszeit!$A$6+1),(2*(ROW()-ROW(A_Endedatum))-1))),"")</f>
        <v/>
      </c>
      <c r="AA54" s="545" t="str">
        <f>IF(AA$34&gt;0,(INDEX(A_Aufgaben,(AA$34-Arbeitszeit!$A$6+1),(2*(ROW()-ROW(A_Endedatum))-1))),"")</f>
        <v/>
      </c>
      <c r="AB54" s="546" t="str">
        <f>IF(AB$34&gt;0,(INDEX(A_Aufgaben,(AB$34-Arbeitszeit!$A$6+1),(2*(ROW()-ROW(A_Endedatum))-1))),"")</f>
        <v/>
      </c>
      <c r="AC54" s="545" t="str">
        <f>IF(AC$34&gt;0,(INDEX(A_Aufgaben,(AC$34-Arbeitszeit!$A$6+1),(2*(ROW()-ROW(A_Endedatum))-1))),"")</f>
        <v/>
      </c>
      <c r="AD54" s="546" t="str">
        <f>IF(AD$34&gt;0,(INDEX(A_Aufgaben,(AD$34-Arbeitszeit!$A$6+1),(2*(ROW()-ROW(A_Endedatum))-1))),"")</f>
        <v/>
      </c>
      <c r="AE54" s="545" t="str">
        <f>IF(AE$34&gt;0,(INDEX(A_Aufgaben,(AE$34-Arbeitszeit!$A$6+1),(2*(ROW()-ROW(A_Endedatum))-1))),"")</f>
        <v/>
      </c>
      <c r="AF54" s="546" t="str">
        <f>IF(AF$34&gt;0,(INDEX(A_Aufgaben,(AF$34-Arbeitszeit!$A$6+1),(2*(ROW()-ROW(A_Endedatum))-1))),"")</f>
        <v/>
      </c>
      <c r="AG54" s="545" t="str">
        <f>IF(AG$34&gt;0,(INDEX(A_Aufgaben,(AG$34-Arbeitszeit!$A$6+1),(2*(ROW()-ROW(A_Endedatum))-1))),"")</f>
        <v/>
      </c>
      <c r="AH54" s="554">
        <f t="shared" si="7"/>
        <v>0</v>
      </c>
      <c r="AI54" s="3">
        <f t="shared" si="8"/>
        <v>0</v>
      </c>
      <c r="AJ54" s="575">
        <f t="shared" si="11"/>
        <v>0</v>
      </c>
    </row>
    <row r="55" spans="1:36" hidden="1" outlineLevel="1">
      <c r="A55">
        <f t="shared" si="9"/>
        <v>0</v>
      </c>
      <c r="B55" s="544" t="str">
        <f t="shared" si="10"/>
        <v>Aufgabe 18</v>
      </c>
      <c r="C55" s="545" t="str">
        <f>IF(C$34&gt;0,(INDEX(A_Aufgaben,(C$34-Arbeitszeit!$A$6+1),(2*(ROW()-ROW(A_Endedatum))-1))),"")</f>
        <v/>
      </c>
      <c r="D55" s="546" t="str">
        <f>IF(D$34&gt;0,(INDEX(A_Aufgaben,(D$34-Arbeitszeit!$A$6+1),(2*(ROW()-ROW(A_Endedatum))-1))),"")</f>
        <v/>
      </c>
      <c r="E55" s="545" t="str">
        <f>IF(E$34&gt;0,(INDEX(A_Aufgaben,(E$34-Arbeitszeit!$A$6+1),(2*(ROW()-ROW(A_Endedatum))-1))),"")</f>
        <v/>
      </c>
      <c r="F55" s="546" t="str">
        <f>IF(F$34&gt;0,(INDEX(A_Aufgaben,(F$34-Arbeitszeit!$A$6+1),(2*(ROW()-ROW(A_Endedatum))-1))),"")</f>
        <v/>
      </c>
      <c r="G55" s="545" t="str">
        <f>IF(G$34&gt;0,(INDEX(A_Aufgaben,(G$34-Arbeitszeit!$A$6+1),(2*(ROW()-ROW(A_Endedatum))-1))),"")</f>
        <v/>
      </c>
      <c r="H55" s="546" t="str">
        <f>IF(H$34&gt;0,(INDEX(A_Aufgaben,(H$34-Arbeitszeit!$A$6+1),(2*(ROW()-ROW(A_Endedatum))-1))),"")</f>
        <v/>
      </c>
      <c r="I55" s="545" t="str">
        <f>IF(I$34&gt;0,(INDEX(A_Aufgaben,(I$34-Arbeitszeit!$A$6+1),(2*(ROW()-ROW(A_Endedatum))-1))),"")</f>
        <v/>
      </c>
      <c r="J55" s="546" t="str">
        <f>IF(J$34&gt;0,(INDEX(A_Aufgaben,(J$34-Arbeitszeit!$A$6+1),(2*(ROW()-ROW(A_Endedatum))-1))),"")</f>
        <v/>
      </c>
      <c r="K55" s="545" t="str">
        <f>IF(K$34&gt;0,(INDEX(A_Aufgaben,(K$34-Arbeitszeit!$A$6+1),(2*(ROW()-ROW(A_Endedatum))-1))),"")</f>
        <v/>
      </c>
      <c r="L55" s="546" t="str">
        <f>IF(L$34&gt;0,(INDEX(A_Aufgaben,(L$34-Arbeitszeit!$A$6+1),(2*(ROW()-ROW(A_Endedatum))-1))),"")</f>
        <v/>
      </c>
      <c r="M55" s="545" t="str">
        <f>IF(M$34&gt;0,(INDEX(A_Aufgaben,(M$34-Arbeitszeit!$A$6+1),(2*(ROW()-ROW(A_Endedatum))-1))),"")</f>
        <v/>
      </c>
      <c r="N55" s="546" t="str">
        <f>IF(N$34&gt;0,(INDEX(A_Aufgaben,(N$34-Arbeitszeit!$A$6+1),(2*(ROW()-ROW(A_Endedatum))-1))),"")</f>
        <v/>
      </c>
      <c r="O55" s="545" t="str">
        <f>IF(O$34&gt;0,(INDEX(A_Aufgaben,(O$34-Arbeitszeit!$A$6+1),(2*(ROW()-ROW(A_Endedatum))-1))),"")</f>
        <v/>
      </c>
      <c r="P55" s="546" t="str">
        <f>IF(P$34&gt;0,(INDEX(A_Aufgaben,(P$34-Arbeitszeit!$A$6+1),(2*(ROW()-ROW(A_Endedatum))-1))),"")</f>
        <v/>
      </c>
      <c r="Q55" s="545" t="str">
        <f>IF(Q$34&gt;0,(INDEX(A_Aufgaben,(Q$34-Arbeitszeit!$A$6+1),(2*(ROW()-ROW(A_Endedatum))-1))),"")</f>
        <v/>
      </c>
      <c r="R55" s="546" t="str">
        <f>IF(R$34&gt;0,(INDEX(A_Aufgaben,(R$34-Arbeitszeit!$A$6+1),(2*(ROW()-ROW(A_Endedatum))-1))),"")</f>
        <v/>
      </c>
      <c r="S55" s="545" t="str">
        <f>IF(S$34&gt;0,(INDEX(A_Aufgaben,(S$34-Arbeitszeit!$A$6+1),(2*(ROW()-ROW(A_Endedatum))-1))),"")</f>
        <v/>
      </c>
      <c r="T55" s="546" t="str">
        <f>IF(T$34&gt;0,(INDEX(A_Aufgaben,(T$34-Arbeitszeit!$A$6+1),(2*(ROW()-ROW(A_Endedatum))-1))),"")</f>
        <v/>
      </c>
      <c r="U55" s="545" t="str">
        <f>IF(U$34&gt;0,(INDEX(A_Aufgaben,(U$34-Arbeitszeit!$A$6+1),(2*(ROW()-ROW(A_Endedatum))-1))),"")</f>
        <v/>
      </c>
      <c r="V55" s="546" t="str">
        <f>IF(V$34&gt;0,(INDEX(A_Aufgaben,(V$34-Arbeitszeit!$A$6+1),(2*(ROW()-ROW(A_Endedatum))-1))),"")</f>
        <v/>
      </c>
      <c r="W55" s="545" t="str">
        <f>IF(W$34&gt;0,(INDEX(A_Aufgaben,(W$34-Arbeitszeit!$A$6+1),(2*(ROW()-ROW(A_Endedatum))-1))),"")</f>
        <v/>
      </c>
      <c r="X55" s="546" t="str">
        <f>IF(X$34&gt;0,(INDEX(A_Aufgaben,(X$34-Arbeitszeit!$A$6+1),(2*(ROW()-ROW(A_Endedatum))-1))),"")</f>
        <v/>
      </c>
      <c r="Y55" s="545" t="str">
        <f>IF(Y$34&gt;0,(INDEX(A_Aufgaben,(Y$34-Arbeitszeit!$A$6+1),(2*(ROW()-ROW(A_Endedatum))-1))),"")</f>
        <v/>
      </c>
      <c r="Z55" s="546" t="str">
        <f>IF(Z$34&gt;0,(INDEX(A_Aufgaben,(Z$34-Arbeitszeit!$A$6+1),(2*(ROW()-ROW(A_Endedatum))-1))),"")</f>
        <v/>
      </c>
      <c r="AA55" s="545" t="str">
        <f>IF(AA$34&gt;0,(INDEX(A_Aufgaben,(AA$34-Arbeitszeit!$A$6+1),(2*(ROW()-ROW(A_Endedatum))-1))),"")</f>
        <v/>
      </c>
      <c r="AB55" s="546" t="str">
        <f>IF(AB$34&gt;0,(INDEX(A_Aufgaben,(AB$34-Arbeitszeit!$A$6+1),(2*(ROW()-ROW(A_Endedatum))-1))),"")</f>
        <v/>
      </c>
      <c r="AC55" s="545" t="str">
        <f>IF(AC$34&gt;0,(INDEX(A_Aufgaben,(AC$34-Arbeitszeit!$A$6+1),(2*(ROW()-ROW(A_Endedatum))-1))),"")</f>
        <v/>
      </c>
      <c r="AD55" s="546" t="str">
        <f>IF(AD$34&gt;0,(INDEX(A_Aufgaben,(AD$34-Arbeitszeit!$A$6+1),(2*(ROW()-ROW(A_Endedatum))-1))),"")</f>
        <v/>
      </c>
      <c r="AE55" s="545" t="str">
        <f>IF(AE$34&gt;0,(INDEX(A_Aufgaben,(AE$34-Arbeitszeit!$A$6+1),(2*(ROW()-ROW(A_Endedatum))-1))),"")</f>
        <v/>
      </c>
      <c r="AF55" s="546" t="str">
        <f>IF(AF$34&gt;0,(INDEX(A_Aufgaben,(AF$34-Arbeitszeit!$A$6+1),(2*(ROW()-ROW(A_Endedatum))-1))),"")</f>
        <v/>
      </c>
      <c r="AG55" s="545" t="str">
        <f>IF(AG$34&gt;0,(INDEX(A_Aufgaben,(AG$34-Arbeitszeit!$A$6+1),(2*(ROW()-ROW(A_Endedatum))-1))),"")</f>
        <v/>
      </c>
      <c r="AH55" s="554">
        <f t="shared" si="7"/>
        <v>0</v>
      </c>
      <c r="AI55" s="3">
        <f t="shared" si="8"/>
        <v>0</v>
      </c>
      <c r="AJ55" s="575">
        <f t="shared" si="11"/>
        <v>0</v>
      </c>
    </row>
    <row r="56" spans="1:36" hidden="1" outlineLevel="1">
      <c r="A56">
        <f t="shared" si="9"/>
        <v>0</v>
      </c>
      <c r="B56" s="544" t="str">
        <f t="shared" si="10"/>
        <v>Aufgabe 19</v>
      </c>
      <c r="C56" s="545" t="str">
        <f>IF(C$34&gt;0,(INDEX(A_Aufgaben,(C$34-Arbeitszeit!$A$6+1),(2*(ROW()-ROW(A_Endedatum))-1))),"")</f>
        <v/>
      </c>
      <c r="D56" s="546" t="str">
        <f>IF(D$34&gt;0,(INDEX(A_Aufgaben,(D$34-Arbeitszeit!$A$6+1),(2*(ROW()-ROW(A_Endedatum))-1))),"")</f>
        <v/>
      </c>
      <c r="E56" s="545" t="str">
        <f>IF(E$34&gt;0,(INDEX(A_Aufgaben,(E$34-Arbeitszeit!$A$6+1),(2*(ROW()-ROW(A_Endedatum))-1))),"")</f>
        <v/>
      </c>
      <c r="F56" s="546" t="str">
        <f>IF(F$34&gt;0,(INDEX(A_Aufgaben,(F$34-Arbeitszeit!$A$6+1),(2*(ROW()-ROW(A_Endedatum))-1))),"")</f>
        <v/>
      </c>
      <c r="G56" s="545" t="str">
        <f>IF(G$34&gt;0,(INDEX(A_Aufgaben,(G$34-Arbeitszeit!$A$6+1),(2*(ROW()-ROW(A_Endedatum))-1))),"")</f>
        <v/>
      </c>
      <c r="H56" s="546" t="str">
        <f>IF(H$34&gt;0,(INDEX(A_Aufgaben,(H$34-Arbeitszeit!$A$6+1),(2*(ROW()-ROW(A_Endedatum))-1))),"")</f>
        <v/>
      </c>
      <c r="I56" s="545" t="str">
        <f>IF(I$34&gt;0,(INDEX(A_Aufgaben,(I$34-Arbeitszeit!$A$6+1),(2*(ROW()-ROW(A_Endedatum))-1))),"")</f>
        <v/>
      </c>
      <c r="J56" s="546" t="str">
        <f>IF(J$34&gt;0,(INDEX(A_Aufgaben,(J$34-Arbeitszeit!$A$6+1),(2*(ROW()-ROW(A_Endedatum))-1))),"")</f>
        <v/>
      </c>
      <c r="K56" s="545" t="str">
        <f>IF(K$34&gt;0,(INDEX(A_Aufgaben,(K$34-Arbeitszeit!$A$6+1),(2*(ROW()-ROW(A_Endedatum))-1))),"")</f>
        <v/>
      </c>
      <c r="L56" s="546" t="str">
        <f>IF(L$34&gt;0,(INDEX(A_Aufgaben,(L$34-Arbeitszeit!$A$6+1),(2*(ROW()-ROW(A_Endedatum))-1))),"")</f>
        <v/>
      </c>
      <c r="M56" s="545" t="str">
        <f>IF(M$34&gt;0,(INDEX(A_Aufgaben,(M$34-Arbeitszeit!$A$6+1),(2*(ROW()-ROW(A_Endedatum))-1))),"")</f>
        <v/>
      </c>
      <c r="N56" s="546" t="str">
        <f>IF(N$34&gt;0,(INDEX(A_Aufgaben,(N$34-Arbeitszeit!$A$6+1),(2*(ROW()-ROW(A_Endedatum))-1))),"")</f>
        <v/>
      </c>
      <c r="O56" s="545" t="str">
        <f>IF(O$34&gt;0,(INDEX(A_Aufgaben,(O$34-Arbeitszeit!$A$6+1),(2*(ROW()-ROW(A_Endedatum))-1))),"")</f>
        <v/>
      </c>
      <c r="P56" s="546" t="str">
        <f>IF(P$34&gt;0,(INDEX(A_Aufgaben,(P$34-Arbeitszeit!$A$6+1),(2*(ROW()-ROW(A_Endedatum))-1))),"")</f>
        <v/>
      </c>
      <c r="Q56" s="545" t="str">
        <f>IF(Q$34&gt;0,(INDEX(A_Aufgaben,(Q$34-Arbeitszeit!$A$6+1),(2*(ROW()-ROW(A_Endedatum))-1))),"")</f>
        <v/>
      </c>
      <c r="R56" s="546" t="str">
        <f>IF(R$34&gt;0,(INDEX(A_Aufgaben,(R$34-Arbeitszeit!$A$6+1),(2*(ROW()-ROW(A_Endedatum))-1))),"")</f>
        <v/>
      </c>
      <c r="S56" s="545" t="str">
        <f>IF(S$34&gt;0,(INDEX(A_Aufgaben,(S$34-Arbeitszeit!$A$6+1),(2*(ROW()-ROW(A_Endedatum))-1))),"")</f>
        <v/>
      </c>
      <c r="T56" s="546" t="str">
        <f>IF(T$34&gt;0,(INDEX(A_Aufgaben,(T$34-Arbeitszeit!$A$6+1),(2*(ROW()-ROW(A_Endedatum))-1))),"")</f>
        <v/>
      </c>
      <c r="U56" s="545" t="str">
        <f>IF(U$34&gt;0,(INDEX(A_Aufgaben,(U$34-Arbeitszeit!$A$6+1),(2*(ROW()-ROW(A_Endedatum))-1))),"")</f>
        <v/>
      </c>
      <c r="V56" s="546" t="str">
        <f>IF(V$34&gt;0,(INDEX(A_Aufgaben,(V$34-Arbeitszeit!$A$6+1),(2*(ROW()-ROW(A_Endedatum))-1))),"")</f>
        <v/>
      </c>
      <c r="W56" s="545" t="str">
        <f>IF(W$34&gt;0,(INDEX(A_Aufgaben,(W$34-Arbeitszeit!$A$6+1),(2*(ROW()-ROW(A_Endedatum))-1))),"")</f>
        <v/>
      </c>
      <c r="X56" s="546" t="str">
        <f>IF(X$34&gt;0,(INDEX(A_Aufgaben,(X$34-Arbeitszeit!$A$6+1),(2*(ROW()-ROW(A_Endedatum))-1))),"")</f>
        <v/>
      </c>
      <c r="Y56" s="545" t="str">
        <f>IF(Y$34&gt;0,(INDEX(A_Aufgaben,(Y$34-Arbeitszeit!$A$6+1),(2*(ROW()-ROW(A_Endedatum))-1))),"")</f>
        <v/>
      </c>
      <c r="Z56" s="546" t="str">
        <f>IF(Z$34&gt;0,(INDEX(A_Aufgaben,(Z$34-Arbeitszeit!$A$6+1),(2*(ROW()-ROW(A_Endedatum))-1))),"")</f>
        <v/>
      </c>
      <c r="AA56" s="545" t="str">
        <f>IF(AA$34&gt;0,(INDEX(A_Aufgaben,(AA$34-Arbeitszeit!$A$6+1),(2*(ROW()-ROW(A_Endedatum))-1))),"")</f>
        <v/>
      </c>
      <c r="AB56" s="546" t="str">
        <f>IF(AB$34&gt;0,(INDEX(A_Aufgaben,(AB$34-Arbeitszeit!$A$6+1),(2*(ROW()-ROW(A_Endedatum))-1))),"")</f>
        <v/>
      </c>
      <c r="AC56" s="545" t="str">
        <f>IF(AC$34&gt;0,(INDEX(A_Aufgaben,(AC$34-Arbeitszeit!$A$6+1),(2*(ROW()-ROW(A_Endedatum))-1))),"")</f>
        <v/>
      </c>
      <c r="AD56" s="546" t="str">
        <f>IF(AD$34&gt;0,(INDEX(A_Aufgaben,(AD$34-Arbeitszeit!$A$6+1),(2*(ROW()-ROW(A_Endedatum))-1))),"")</f>
        <v/>
      </c>
      <c r="AE56" s="545" t="str">
        <f>IF(AE$34&gt;0,(INDEX(A_Aufgaben,(AE$34-Arbeitszeit!$A$6+1),(2*(ROW()-ROW(A_Endedatum))-1))),"")</f>
        <v/>
      </c>
      <c r="AF56" s="546" t="str">
        <f>IF(AF$34&gt;0,(INDEX(A_Aufgaben,(AF$34-Arbeitszeit!$A$6+1),(2*(ROW()-ROW(A_Endedatum))-1))),"")</f>
        <v/>
      </c>
      <c r="AG56" s="545" t="str">
        <f>IF(AG$34&gt;0,(INDEX(A_Aufgaben,(AG$34-Arbeitszeit!$A$6+1),(2*(ROW()-ROW(A_Endedatum))-1))),"")</f>
        <v/>
      </c>
      <c r="AH56" s="554">
        <f t="shared" si="7"/>
        <v>0</v>
      </c>
      <c r="AI56" s="3">
        <f t="shared" si="8"/>
        <v>0</v>
      </c>
      <c r="AJ56" s="575">
        <f t="shared" si="11"/>
        <v>0</v>
      </c>
    </row>
    <row r="57" spans="1:36" hidden="1" outlineLevel="1">
      <c r="D57" s="555"/>
      <c r="F57" s="555"/>
      <c r="H57" s="555"/>
      <c r="J57" s="555"/>
      <c r="L57" s="555"/>
      <c r="N57" s="555"/>
      <c r="P57" s="555"/>
      <c r="R57" s="555"/>
      <c r="T57" s="555"/>
      <c r="V57" s="555"/>
      <c r="X57" s="555"/>
      <c r="Z57" s="555"/>
      <c r="AB57" s="555"/>
      <c r="AD57" s="555"/>
      <c r="AF57" s="555"/>
      <c r="AH57" s="556"/>
      <c r="AJ57" s="576"/>
    </row>
    <row r="58" spans="1:36" collapsed="1">
      <c r="B58" s="570" t="s">
        <v>86</v>
      </c>
      <c r="C58" s="548">
        <f>SUM(C35:C57)</f>
        <v>0</v>
      </c>
      <c r="D58" s="549">
        <f t="shared" ref="D58:AH58" si="12">SUM(D35:D57)</f>
        <v>0</v>
      </c>
      <c r="E58" s="548">
        <f t="shared" si="12"/>
        <v>0</v>
      </c>
      <c r="F58" s="549">
        <f t="shared" si="12"/>
        <v>0</v>
      </c>
      <c r="G58" s="548">
        <f t="shared" si="12"/>
        <v>0</v>
      </c>
      <c r="H58" s="549">
        <f t="shared" si="12"/>
        <v>0</v>
      </c>
      <c r="I58" s="548">
        <f t="shared" si="12"/>
        <v>0</v>
      </c>
      <c r="J58" s="549">
        <f t="shared" si="12"/>
        <v>0</v>
      </c>
      <c r="K58" s="548">
        <f t="shared" si="12"/>
        <v>0</v>
      </c>
      <c r="L58" s="549">
        <f t="shared" si="12"/>
        <v>0</v>
      </c>
      <c r="M58" s="548">
        <f t="shared" si="12"/>
        <v>0</v>
      </c>
      <c r="N58" s="549">
        <f t="shared" si="12"/>
        <v>0</v>
      </c>
      <c r="O58" s="548">
        <f t="shared" si="12"/>
        <v>0</v>
      </c>
      <c r="P58" s="549">
        <f t="shared" si="12"/>
        <v>0</v>
      </c>
      <c r="Q58" s="548">
        <f t="shared" si="12"/>
        <v>0</v>
      </c>
      <c r="R58" s="549">
        <f t="shared" si="12"/>
        <v>0</v>
      </c>
      <c r="S58" s="548">
        <f t="shared" si="12"/>
        <v>0</v>
      </c>
      <c r="T58" s="549">
        <f t="shared" si="12"/>
        <v>0</v>
      </c>
      <c r="U58" s="548">
        <f t="shared" si="12"/>
        <v>0</v>
      </c>
      <c r="V58" s="549">
        <f t="shared" si="12"/>
        <v>0</v>
      </c>
      <c r="W58" s="548">
        <f t="shared" si="12"/>
        <v>0</v>
      </c>
      <c r="X58" s="549">
        <f t="shared" si="12"/>
        <v>0</v>
      </c>
      <c r="Y58" s="548">
        <f t="shared" si="12"/>
        <v>0</v>
      </c>
      <c r="Z58" s="549">
        <f t="shared" si="12"/>
        <v>0</v>
      </c>
      <c r="AA58" s="548">
        <f t="shared" si="12"/>
        <v>0</v>
      </c>
      <c r="AB58" s="549">
        <f t="shared" si="12"/>
        <v>0</v>
      </c>
      <c r="AC58" s="548">
        <f t="shared" si="12"/>
        <v>0</v>
      </c>
      <c r="AD58" s="549">
        <f t="shared" si="12"/>
        <v>0</v>
      </c>
      <c r="AE58" s="548">
        <f t="shared" si="12"/>
        <v>0</v>
      </c>
      <c r="AF58" s="549">
        <f t="shared" si="12"/>
        <v>0</v>
      </c>
      <c r="AG58" s="548">
        <f t="shared" si="12"/>
        <v>0</v>
      </c>
      <c r="AH58" s="571">
        <f t="shared" si="12"/>
        <v>0</v>
      </c>
      <c r="AJ58" s="577">
        <f>SUM(AJ35:AJ57)</f>
        <v>0</v>
      </c>
    </row>
    <row r="59" spans="1:36">
      <c r="C59" s="572" t="str">
        <f>IF(C58&gt;0,1,"")</f>
        <v/>
      </c>
      <c r="D59" s="572" t="str">
        <f t="shared" ref="D59:AG59" si="13">IF(D58&gt;0,1,"")</f>
        <v/>
      </c>
      <c r="E59" s="572" t="str">
        <f t="shared" si="13"/>
        <v/>
      </c>
      <c r="F59" s="572" t="str">
        <f t="shared" si="13"/>
        <v/>
      </c>
      <c r="G59" s="572" t="str">
        <f t="shared" si="13"/>
        <v/>
      </c>
      <c r="H59" s="572" t="str">
        <f t="shared" si="13"/>
        <v/>
      </c>
      <c r="I59" s="572" t="str">
        <f t="shared" si="13"/>
        <v/>
      </c>
      <c r="J59" s="572" t="str">
        <f t="shared" si="13"/>
        <v/>
      </c>
      <c r="K59" s="572" t="str">
        <f t="shared" si="13"/>
        <v/>
      </c>
      <c r="L59" s="572" t="str">
        <f t="shared" si="13"/>
        <v/>
      </c>
      <c r="M59" s="572" t="str">
        <f t="shared" si="13"/>
        <v/>
      </c>
      <c r="N59" s="572" t="str">
        <f t="shared" si="13"/>
        <v/>
      </c>
      <c r="O59" s="572" t="str">
        <f t="shared" si="13"/>
        <v/>
      </c>
      <c r="P59" s="572" t="str">
        <f t="shared" si="13"/>
        <v/>
      </c>
      <c r="Q59" s="572" t="str">
        <f t="shared" si="13"/>
        <v/>
      </c>
      <c r="R59" s="572" t="str">
        <f t="shared" si="13"/>
        <v/>
      </c>
      <c r="S59" s="572" t="str">
        <f t="shared" si="13"/>
        <v/>
      </c>
      <c r="T59" s="572" t="str">
        <f t="shared" si="13"/>
        <v/>
      </c>
      <c r="U59" s="572" t="str">
        <f t="shared" si="13"/>
        <v/>
      </c>
      <c r="V59" s="572" t="str">
        <f t="shared" si="13"/>
        <v/>
      </c>
      <c r="W59" s="572" t="str">
        <f t="shared" si="13"/>
        <v/>
      </c>
      <c r="X59" s="572" t="str">
        <f t="shared" si="13"/>
        <v/>
      </c>
      <c r="Y59" s="572" t="str">
        <f t="shared" si="13"/>
        <v/>
      </c>
      <c r="Z59" s="572" t="str">
        <f t="shared" si="13"/>
        <v/>
      </c>
      <c r="AA59" s="572" t="str">
        <f t="shared" si="13"/>
        <v/>
      </c>
      <c r="AB59" s="572" t="str">
        <f t="shared" si="13"/>
        <v/>
      </c>
      <c r="AC59" s="572" t="str">
        <f t="shared" si="13"/>
        <v/>
      </c>
      <c r="AD59" s="572" t="str">
        <f t="shared" si="13"/>
        <v/>
      </c>
      <c r="AE59" s="572" t="str">
        <f t="shared" si="13"/>
        <v/>
      </c>
      <c r="AF59" s="572" t="str">
        <f t="shared" si="13"/>
        <v/>
      </c>
      <c r="AG59" s="572" t="str">
        <f t="shared" si="13"/>
        <v/>
      </c>
      <c r="AH59" s="557">
        <f>SUM(C59:AG59)</f>
        <v>0</v>
      </c>
      <c r="AJ59" s="557">
        <f>SUM(D59:AH59)</f>
        <v>0</v>
      </c>
    </row>
  </sheetData>
  <phoneticPr fontId="54" type="noConversion"/>
  <conditionalFormatting sqref="C34:AG34">
    <cfRule type="expression" dxfId="63" priority="1" stopIfTrue="1">
      <formula>WEEKDAY(C34,2)&gt;5</formula>
    </cfRule>
  </conditionalFormatting>
  <conditionalFormatting sqref="C5:AG5">
    <cfRule type="expression" dxfId="62"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AZ375"/>
  <sheetViews>
    <sheetView showZeros="0" zoomScale="90" zoomScaleNormal="100" workbookViewId="0">
      <pane xSplit="6" ySplit="3" topLeftCell="G4" activePane="bottomRight" state="frozenSplit"/>
      <selection pane="topRight" activeCell="E1" sqref="E1"/>
      <selection pane="bottomLeft" activeCell="A4" sqref="A4"/>
      <selection pane="bottomRight" activeCell="E4" sqref="E4"/>
    </sheetView>
  </sheetViews>
  <sheetFormatPr baseColWidth="10" defaultColWidth="11.5703125" defaultRowHeight="12.75"/>
  <cols>
    <col min="1" max="1" width="10.42578125" style="10" customWidth="1"/>
    <col min="2" max="2" width="3.5703125" style="10" customWidth="1"/>
    <col min="3" max="3" width="3.7109375" style="10" customWidth="1"/>
    <col min="4" max="4" width="4.85546875" style="10" customWidth="1"/>
    <col min="5" max="5" width="6.5703125" customWidth="1"/>
    <col min="6" max="6" width="6.7109375" style="10" customWidth="1"/>
    <col min="7" max="7" width="11.7109375" customWidth="1"/>
    <col min="8" max="8" width="30.7109375" hidden="1" customWidth="1"/>
    <col min="9" max="9" width="11.7109375" customWidth="1"/>
    <col min="10" max="10" width="30.7109375" hidden="1" customWidth="1"/>
    <col min="11" max="11" width="11.85546875" style="24" customWidth="1"/>
    <col min="12" max="12" width="100.7109375" style="360" hidden="1" customWidth="1"/>
    <col min="13" max="13" width="11.7109375" style="60" customWidth="1"/>
    <col min="14" max="14" width="100.7109375" style="24" hidden="1" customWidth="1"/>
    <col min="15" max="15" width="11.7109375" style="24" customWidth="1"/>
    <col min="16" max="16" width="100.7109375" style="24" hidden="1" customWidth="1"/>
    <col min="17" max="17" width="11.7109375" style="24" customWidth="1"/>
    <col min="18" max="18" width="100.7109375" style="24" hidden="1" customWidth="1"/>
    <col min="19" max="19" width="11.7109375" style="24" customWidth="1"/>
    <col min="20" max="20" width="100.7109375" style="24" hidden="1" customWidth="1"/>
    <col min="21" max="21" width="11.7109375" style="24" customWidth="1"/>
    <col min="22" max="22" width="100.7109375" style="24" hidden="1" customWidth="1"/>
    <col min="23" max="23" width="11.7109375" style="24" customWidth="1"/>
    <col min="24" max="24" width="100.7109375" style="24" hidden="1" customWidth="1"/>
    <col min="25" max="25" width="11.7109375" style="24" customWidth="1"/>
    <col min="26" max="26" width="100.7109375" style="24" hidden="1" customWidth="1"/>
    <col min="27" max="27" width="11.7109375" style="24" customWidth="1"/>
    <col min="28" max="28" width="100.7109375" style="24" hidden="1" customWidth="1"/>
    <col min="29" max="29" width="11.7109375" style="62" customWidth="1"/>
    <col min="30" max="30" width="100.7109375" style="24" hidden="1" customWidth="1"/>
    <col min="31" max="31" width="11.7109375" style="24" customWidth="1"/>
    <col min="32" max="32" width="100.7109375" style="101" hidden="1" customWidth="1"/>
    <col min="33" max="33" width="11.7109375" style="24" customWidth="1"/>
    <col min="34" max="34" width="100.7109375" style="101" hidden="1" customWidth="1"/>
    <col min="35" max="35" width="11.7109375" style="24" customWidth="1"/>
    <col min="36" max="36" width="100.7109375" style="101" hidden="1" customWidth="1"/>
    <col min="37" max="37" width="11.7109375" style="24" customWidth="1"/>
    <col min="38" max="38" width="100.7109375" style="101" hidden="1" customWidth="1"/>
    <col min="39" max="39" width="11.7109375" style="513" customWidth="1"/>
    <col min="40" max="40" width="100.7109375" style="101" hidden="1" customWidth="1"/>
    <col min="41" max="41" width="11.7109375" style="24" customWidth="1"/>
    <col min="42" max="42" width="100.7109375" style="101" hidden="1" customWidth="1"/>
    <col min="43" max="43" width="11.7109375" style="513" customWidth="1"/>
    <col min="44" max="44" width="100.7109375" style="101" hidden="1" customWidth="1"/>
    <col min="45" max="45" width="11.7109375" style="101" customWidth="1"/>
    <col min="46" max="46" width="100.7109375" style="101" hidden="1" customWidth="1"/>
    <col min="47" max="47" width="11.7109375" style="513" customWidth="1"/>
    <col min="48" max="48" width="100.7109375" style="101" hidden="1" customWidth="1"/>
    <col min="49" max="49" width="11.7109375" style="101" customWidth="1"/>
    <col min="50" max="50" width="100.7109375" style="101" hidden="1" customWidth="1"/>
    <col min="51" max="51" width="26.28515625" customWidth="1"/>
    <col min="52" max="52" width="0" hidden="1" customWidth="1"/>
  </cols>
  <sheetData>
    <row r="1" spans="1:52" s="151" customFormat="1" ht="43.5" customHeight="1">
      <c r="A1" s="619">
        <f>Arbeitszeit!xJahr</f>
        <v>42369</v>
      </c>
      <c r="B1" s="619"/>
      <c r="C1" s="389" t="s">
        <v>146</v>
      </c>
      <c r="D1" s="619">
        <f>Arbeitszeit!xJahrEnd</f>
        <v>42734</v>
      </c>
      <c r="E1" s="619"/>
      <c r="F1" s="373"/>
      <c r="G1" s="416">
        <v>1</v>
      </c>
      <c r="H1" s="416">
        <f>G1</f>
        <v>1</v>
      </c>
      <c r="I1" s="416">
        <v>2</v>
      </c>
      <c r="J1" s="416">
        <f>I1</f>
        <v>2</v>
      </c>
      <c r="K1" s="416">
        <v>3</v>
      </c>
      <c r="L1" s="416">
        <f>K1</f>
        <v>3</v>
      </c>
      <c r="M1" s="416">
        <v>4</v>
      </c>
      <c r="N1" s="416">
        <f>M1</f>
        <v>4</v>
      </c>
      <c r="O1" s="416">
        <v>5</v>
      </c>
      <c r="P1" s="416">
        <f>O1</f>
        <v>5</v>
      </c>
      <c r="Q1" s="416">
        <v>6</v>
      </c>
      <c r="R1" s="416">
        <f>Q1</f>
        <v>6</v>
      </c>
      <c r="S1" s="416">
        <v>7</v>
      </c>
      <c r="T1" s="416">
        <f>S1</f>
        <v>7</v>
      </c>
      <c r="U1" s="416">
        <v>8</v>
      </c>
      <c r="V1" s="416">
        <f>U1</f>
        <v>8</v>
      </c>
      <c r="W1" s="416">
        <v>9</v>
      </c>
      <c r="X1" s="416">
        <f>W1</f>
        <v>9</v>
      </c>
      <c r="Y1" s="416">
        <v>10</v>
      </c>
      <c r="Z1" s="416">
        <f>Y1</f>
        <v>10</v>
      </c>
      <c r="AA1" s="416">
        <v>11</v>
      </c>
      <c r="AB1" s="416">
        <f>AA1</f>
        <v>11</v>
      </c>
      <c r="AC1" s="416">
        <v>12</v>
      </c>
      <c r="AD1" s="416">
        <f>AC1</f>
        <v>12</v>
      </c>
      <c r="AE1" s="416">
        <v>13</v>
      </c>
      <c r="AF1" s="416">
        <f>AE1</f>
        <v>13</v>
      </c>
      <c r="AG1" s="416">
        <v>14</v>
      </c>
      <c r="AH1" s="416">
        <f>AG1</f>
        <v>14</v>
      </c>
      <c r="AI1" s="416">
        <v>15</v>
      </c>
      <c r="AJ1" s="416">
        <f>AI1</f>
        <v>15</v>
      </c>
      <c r="AK1" s="416">
        <v>16</v>
      </c>
      <c r="AL1" s="416">
        <f>AK1</f>
        <v>16</v>
      </c>
      <c r="AM1" s="512">
        <v>17</v>
      </c>
      <c r="AN1" s="416">
        <f>AM1</f>
        <v>17</v>
      </c>
      <c r="AO1" s="416">
        <v>18</v>
      </c>
      <c r="AP1" s="416">
        <f>AO1</f>
        <v>18</v>
      </c>
      <c r="AQ1" s="416">
        <v>19</v>
      </c>
      <c r="AR1" s="416">
        <f>AQ1</f>
        <v>19</v>
      </c>
      <c r="AS1" s="416">
        <v>20</v>
      </c>
      <c r="AT1" s="416">
        <f>AS1</f>
        <v>20</v>
      </c>
      <c r="AU1" s="416">
        <v>21</v>
      </c>
      <c r="AV1" s="390">
        <f>AU1</f>
        <v>21</v>
      </c>
      <c r="AW1" s="416">
        <v>22</v>
      </c>
      <c r="AX1" s="390">
        <f>AW1</f>
        <v>22</v>
      </c>
      <c r="AY1" s="414" t="s">
        <v>18</v>
      </c>
    </row>
    <row r="2" spans="1:52" s="75" customFormat="1" ht="17.25" customHeight="1" thickBot="1">
      <c r="A2" s="620" t="s">
        <v>52</v>
      </c>
      <c r="B2" s="620"/>
      <c r="C2" s="620"/>
      <c r="D2" s="620"/>
      <c r="E2" s="620"/>
      <c r="F2" s="621"/>
      <c r="G2" s="521">
        <f>SUM(G4:G372)</f>
        <v>0</v>
      </c>
      <c r="H2" s="521"/>
      <c r="I2" s="521">
        <f>SUM(I4:I372)</f>
        <v>0</v>
      </c>
      <c r="J2" s="521"/>
      <c r="K2" s="521">
        <f>SUM(K4:K372)</f>
        <v>0</v>
      </c>
      <c r="L2" s="391"/>
      <c r="M2" s="521">
        <f>SUM(M4:M372)</f>
        <v>0</v>
      </c>
      <c r="N2" s="522"/>
      <c r="O2" s="521">
        <f>SUM(O4:O372)</f>
        <v>0</v>
      </c>
      <c r="P2" s="522"/>
      <c r="Q2" s="521">
        <f>SUM(Q4:Q372)</f>
        <v>0</v>
      </c>
      <c r="R2" s="522"/>
      <c r="S2" s="521">
        <f>SUM(S4:S372)</f>
        <v>0</v>
      </c>
      <c r="T2" s="522"/>
      <c r="U2" s="521">
        <f>SUM(U4:U372)</f>
        <v>0</v>
      </c>
      <c r="V2" s="522"/>
      <c r="W2" s="521">
        <f>SUM(W4:W372)</f>
        <v>0</v>
      </c>
      <c r="X2" s="522"/>
      <c r="Y2" s="521">
        <f>SUM(Y4:Y372)</f>
        <v>0</v>
      </c>
      <c r="Z2" s="522"/>
      <c r="AA2" s="521">
        <f>SUM(AA4:AA372)</f>
        <v>0</v>
      </c>
      <c r="AB2" s="522"/>
      <c r="AC2" s="521">
        <f>SUM(AC4:AC372)</f>
        <v>0</v>
      </c>
      <c r="AD2" s="522"/>
      <c r="AE2" s="521">
        <f>SUM(AE4:AE372)</f>
        <v>0</v>
      </c>
      <c r="AF2" s="391"/>
      <c r="AG2" s="521">
        <f>SUM(AG4:AG372)</f>
        <v>0</v>
      </c>
      <c r="AH2" s="391"/>
      <c r="AI2" s="521">
        <f>SUM(AI4:AI372)</f>
        <v>0</v>
      </c>
      <c r="AJ2" s="391"/>
      <c r="AK2" s="521">
        <f>SUM(AK4:AK372)</f>
        <v>0</v>
      </c>
      <c r="AL2" s="391"/>
      <c r="AM2" s="521">
        <f>SUM(AM4:AM372)</f>
        <v>0</v>
      </c>
      <c r="AN2" s="391"/>
      <c r="AO2" s="521">
        <f>SUM(AO4:AO372)</f>
        <v>0</v>
      </c>
      <c r="AP2" s="391"/>
      <c r="AQ2" s="521">
        <f>SUM(AQ4:AQ372)</f>
        <v>0</v>
      </c>
      <c r="AR2" s="391"/>
      <c r="AS2" s="521">
        <f>SUM(AS4:AS372)</f>
        <v>0</v>
      </c>
      <c r="AT2" s="391"/>
      <c r="AU2" s="521">
        <f>SUM(AU4:AU372)</f>
        <v>0</v>
      </c>
      <c r="AV2" s="391"/>
      <c r="AW2" s="521">
        <f>SUM(AW4:AW372)</f>
        <v>0</v>
      </c>
      <c r="AX2" s="391"/>
      <c r="AY2" s="392"/>
    </row>
    <row r="3" spans="1:52" s="347" customFormat="1" ht="26.25" customHeight="1" thickTop="1">
      <c r="A3" s="346" t="s">
        <v>168</v>
      </c>
      <c r="B3" s="348" t="s">
        <v>41</v>
      </c>
      <c r="C3" s="348" t="s">
        <v>22</v>
      </c>
      <c r="D3" s="349" t="s">
        <v>23</v>
      </c>
      <c r="E3" s="353" t="s">
        <v>132</v>
      </c>
      <c r="F3" s="354" t="s">
        <v>133</v>
      </c>
      <c r="G3" s="355" t="str">
        <f>INDEX(g_NameAufgaben,G$1)</f>
        <v>Urlaub</v>
      </c>
      <c r="H3" s="358" t="str">
        <f>G3 &amp; " - " &amp;$AY$1</f>
        <v>Urlaub - Bemerkung</v>
      </c>
      <c r="I3" s="355" t="str">
        <f>INDEX(g_NameAufgaben,I$1)</f>
        <v>Krank</v>
      </c>
      <c r="J3" s="358" t="str">
        <f>I3 &amp; " - " &amp;$AY$1</f>
        <v>Krank - Bemerkung</v>
      </c>
      <c r="K3" s="357" t="str">
        <f>INDEX(g_NameAufgaben,K$1)</f>
        <v>Allgemein</v>
      </c>
      <c r="L3" s="361" t="str">
        <f>K3 &amp; "-" &amp;$AY$1</f>
        <v>Allgemein-Bemerkung</v>
      </c>
      <c r="M3" s="356" t="str">
        <f>INDEX(g_NameAufgaben,M$1)</f>
        <v>Aufgabe 01</v>
      </c>
      <c r="N3" s="362" t="str">
        <f>M3 &amp; " - " &amp;$AY$1</f>
        <v>Aufgabe 01 - Bemerkung</v>
      </c>
      <c r="O3" s="356" t="str">
        <f>INDEX(g_NameAufgaben,O$1)</f>
        <v>Aufgabe 02</v>
      </c>
      <c r="P3" s="362" t="str">
        <f>O3 &amp; " - " &amp;$AY$1</f>
        <v>Aufgabe 02 - Bemerkung</v>
      </c>
      <c r="Q3" s="356" t="str">
        <f>INDEX(g_NameAufgaben,Q$1)</f>
        <v>Aufgabe 03</v>
      </c>
      <c r="R3" s="362" t="str">
        <f>Q3 &amp; " - " &amp;$AY$1</f>
        <v>Aufgabe 03 - Bemerkung</v>
      </c>
      <c r="S3" s="356" t="str">
        <f>INDEX(g_NameAufgaben,S$1)</f>
        <v>Aufgabe 04</v>
      </c>
      <c r="T3" s="362" t="str">
        <f>S3 &amp; " - " &amp;$AY$1</f>
        <v>Aufgabe 04 - Bemerkung</v>
      </c>
      <c r="U3" s="356" t="str">
        <f>INDEX(g_NameAufgaben,U$1)</f>
        <v>Aufgabe 05</v>
      </c>
      <c r="V3" s="362" t="str">
        <f>U3 &amp; " - " &amp;$AY$1</f>
        <v>Aufgabe 05 - Bemerkung</v>
      </c>
      <c r="W3" s="356" t="str">
        <f>INDEX(g_NameAufgaben,W$1)</f>
        <v>Aufgabe 06</v>
      </c>
      <c r="X3" s="362" t="str">
        <f>W3 &amp; " - " &amp;$AY$1</f>
        <v>Aufgabe 06 - Bemerkung</v>
      </c>
      <c r="Y3" s="356" t="str">
        <f>INDEX(g_NameAufgaben,Y$1)</f>
        <v>Aufgabe 07</v>
      </c>
      <c r="Z3" s="362" t="str">
        <f>Y3 &amp; " - " &amp;$AY$1</f>
        <v>Aufgabe 07 - Bemerkung</v>
      </c>
      <c r="AA3" s="356" t="str">
        <f>INDEX(g_NameAufgaben,AA$1)</f>
        <v>Aufgabe 08</v>
      </c>
      <c r="AB3" s="362" t="str">
        <f>AA3 &amp; " - " &amp;$AY$1</f>
        <v>Aufgabe 08 - Bemerkung</v>
      </c>
      <c r="AC3" s="356" t="str">
        <f>INDEX(g_NameAufgaben,AC$1)</f>
        <v>Aufgabe 09</v>
      </c>
      <c r="AD3" s="362" t="str">
        <f>AC3 &amp; " - " &amp;$AY$1</f>
        <v>Aufgabe 09 - Bemerkung</v>
      </c>
      <c r="AE3" s="356" t="str">
        <f>INDEX(g_NameAufgaben,AE$1)</f>
        <v>Aufgabe 10</v>
      </c>
      <c r="AF3" s="362" t="str">
        <f>AE3 &amp; " - " &amp;$AY$1</f>
        <v>Aufgabe 10 - Bemerkung</v>
      </c>
      <c r="AG3" s="356" t="str">
        <f>INDEX(g_NameAufgaben,AG$1)</f>
        <v>Aufgabe 11</v>
      </c>
      <c r="AH3" s="362" t="str">
        <f>AG3 &amp; " - " &amp;$AY$1</f>
        <v>Aufgabe 11 - Bemerkung</v>
      </c>
      <c r="AI3" s="356" t="str">
        <f>INDEX(g_NameAufgaben,AI$1)</f>
        <v>Aufgabe 12</v>
      </c>
      <c r="AJ3" s="362" t="str">
        <f>AI3 &amp; " - " &amp;$AY$1</f>
        <v>Aufgabe 12 - Bemerkung</v>
      </c>
      <c r="AK3" s="356" t="str">
        <f>INDEX(g_NameAufgaben,AK$1)</f>
        <v>Aufgabe 13</v>
      </c>
      <c r="AL3" s="362" t="str">
        <f>AK3 &amp; " - " &amp;$AY$1</f>
        <v>Aufgabe 13 - Bemerkung</v>
      </c>
      <c r="AM3" s="356" t="str">
        <f>INDEX(g_NameAufgaben,AM$1)</f>
        <v>Aufgabe 14</v>
      </c>
      <c r="AN3" s="362" t="str">
        <f>AM3 &amp; " - " &amp;$AY$1</f>
        <v>Aufgabe 14 - Bemerkung</v>
      </c>
      <c r="AO3" s="356" t="str">
        <f>INDEX(g_NameAufgaben,AO$1)</f>
        <v>Aufgabe 15</v>
      </c>
      <c r="AP3" s="362" t="str">
        <f>AO3 &amp; " - " &amp;$AY$1</f>
        <v>Aufgabe 15 - Bemerkung</v>
      </c>
      <c r="AQ3" s="356" t="str">
        <f>INDEX(g_NameAufgaben,AQ$1)</f>
        <v>Aufgabe 16</v>
      </c>
      <c r="AR3" s="362" t="str">
        <f>AQ3 &amp; " - " &amp;$AY$1</f>
        <v>Aufgabe 16 - Bemerkung</v>
      </c>
      <c r="AS3" s="356" t="str">
        <f>INDEX(g_NameAufgaben,AS$1)</f>
        <v>Aufgabe 17</v>
      </c>
      <c r="AT3" s="362" t="str">
        <f>AS3 &amp; " - " &amp;$AY$1</f>
        <v>Aufgabe 17 - Bemerkung</v>
      </c>
      <c r="AU3" s="356" t="str">
        <f>INDEX(g_NameAufgaben,AU$1)</f>
        <v>Aufgabe 18</v>
      </c>
      <c r="AV3" s="362" t="str">
        <f>AU3 &amp; " - " &amp;$AY$1</f>
        <v>Aufgabe 18 - Bemerkung</v>
      </c>
      <c r="AW3" s="356" t="str">
        <f>INDEX(g_NameAufgaben,AW$1)</f>
        <v>Aufgabe 19</v>
      </c>
      <c r="AX3" s="362" t="str">
        <f>AW3 &amp; " - " &amp;$AY$1</f>
        <v>Aufgabe 19 - Bemerkung</v>
      </c>
      <c r="AY3" s="415" t="s">
        <v>56</v>
      </c>
    </row>
    <row r="4" spans="1:52">
      <c r="A4" s="350" t="s">
        <v>131</v>
      </c>
      <c r="B4" s="350"/>
      <c r="C4" s="351"/>
      <c r="D4" s="351"/>
      <c r="E4" s="592">
        <f>Einstellungen!H10</f>
        <v>0</v>
      </c>
      <c r="F4" s="352">
        <f>ROUND(E4-SUM(K4:AW4),1)</f>
        <v>0</v>
      </c>
      <c r="G4" s="155">
        <f>IF(Arbeitszeit!F5=Urlaub,B_WorkTime*24,)</f>
        <v>0</v>
      </c>
      <c r="H4" s="153"/>
      <c r="I4" s="155">
        <f>IF(Arbeitszeit!F5=Krank,B_WorkTime*24,)</f>
        <v>0</v>
      </c>
      <c r="J4" s="153"/>
      <c r="K4" s="156"/>
      <c r="L4" s="157"/>
      <c r="M4" s="581"/>
      <c r="N4" s="582"/>
      <c r="O4" s="581"/>
      <c r="P4" s="582"/>
      <c r="Q4" s="581"/>
      <c r="R4" s="582"/>
      <c r="S4" s="581"/>
      <c r="T4" s="582"/>
      <c r="U4" s="581"/>
      <c r="V4" s="582"/>
      <c r="W4" s="581"/>
      <c r="X4" s="582"/>
      <c r="Y4" s="581"/>
      <c r="Z4" s="582"/>
      <c r="AA4" s="581"/>
      <c r="AB4" s="582"/>
      <c r="AC4" s="581"/>
      <c r="AD4" s="582"/>
      <c r="AE4" s="581"/>
      <c r="AF4" s="583"/>
      <c r="AG4" s="581"/>
      <c r="AH4" s="583"/>
      <c r="AI4" s="581"/>
      <c r="AJ4" s="583"/>
      <c r="AK4" s="581"/>
      <c r="AL4" s="583"/>
      <c r="AM4" s="584"/>
      <c r="AN4" s="583"/>
      <c r="AO4" s="581"/>
      <c r="AP4" s="583"/>
      <c r="AQ4" s="584"/>
      <c r="AR4" s="583"/>
      <c r="AS4" s="583"/>
      <c r="AT4" s="583"/>
      <c r="AU4" s="584"/>
      <c r="AV4" s="583"/>
      <c r="AW4" s="583"/>
      <c r="AX4" s="158"/>
      <c r="AY4" s="154"/>
    </row>
    <row r="5" spans="1:52">
      <c r="A5" s="523">
        <f>Arbeitszeit!A6</f>
        <v>42369</v>
      </c>
      <c r="B5" s="524">
        <f>IF(A5="","",A5)</f>
        <v>42369</v>
      </c>
      <c r="C5" s="191">
        <f>IF(A5="","",NumberOfWeek(A5))</f>
        <v>1</v>
      </c>
      <c r="D5" s="190">
        <f>IF(A5="","",DATE(YEAR(A5),MONTH(A5),1))</f>
        <v>42369</v>
      </c>
      <c r="E5" s="593">
        <f>Arbeitszeit!V6*24</f>
        <v>0</v>
      </c>
      <c r="F5" s="352">
        <f>ROUND(E5-SUM(K5:AW5),1)</f>
        <v>0</v>
      </c>
      <c r="G5" s="155">
        <f>IF(Arbeitszeit!F6=Urlaub,B_WorkTime*24,)</f>
        <v>0</v>
      </c>
      <c r="H5" s="153"/>
      <c r="I5" s="155">
        <f>IF(Arbeitszeit!F6=Krank,B_WorkTime*24,)</f>
        <v>0</v>
      </c>
      <c r="J5" s="153"/>
      <c r="K5" s="156"/>
      <c r="L5" s="157"/>
      <c r="M5" s="581"/>
      <c r="N5" s="582"/>
      <c r="O5" s="581"/>
      <c r="P5" s="582"/>
      <c r="Q5" s="581"/>
      <c r="R5" s="582"/>
      <c r="S5" s="581"/>
      <c r="T5" s="582"/>
      <c r="U5" s="581"/>
      <c r="V5" s="582"/>
      <c r="W5" s="581"/>
      <c r="X5" s="582"/>
      <c r="Y5" s="581"/>
      <c r="Z5" s="582"/>
      <c r="AA5" s="581"/>
      <c r="AB5" s="582"/>
      <c r="AC5" s="581"/>
      <c r="AD5" s="582"/>
      <c r="AE5" s="581"/>
      <c r="AF5" s="583"/>
      <c r="AG5" s="581"/>
      <c r="AH5" s="583"/>
      <c r="AI5" s="581"/>
      <c r="AJ5" s="583"/>
      <c r="AK5" s="581"/>
      <c r="AL5" s="583"/>
      <c r="AM5" s="584"/>
      <c r="AN5" s="583"/>
      <c r="AO5" s="581"/>
      <c r="AP5" s="583"/>
      <c r="AQ5" s="584"/>
      <c r="AR5" s="583"/>
      <c r="AS5" s="583"/>
      <c r="AT5" s="583"/>
      <c r="AU5" s="584"/>
      <c r="AV5" s="583"/>
      <c r="AW5" s="583"/>
      <c r="AX5" s="158"/>
      <c r="AY5" s="154"/>
      <c r="AZ5">
        <f ca="1">INDIRECT(ADDRESS(ROW()+1,COLUMN(Arbeitszeit!xDay),,,"Arbeitszeit"))</f>
        <v>8</v>
      </c>
    </row>
    <row r="6" spans="1:52">
      <c r="A6" s="523">
        <f>Arbeitszeit!A7</f>
        <v>42370</v>
      </c>
      <c r="B6" s="524">
        <f t="shared" ref="B6:B69" si="0">IF(A6="","",A6)</f>
        <v>42370</v>
      </c>
      <c r="C6" s="191">
        <f>IF(A6="","",NumberOfWeek(A6))</f>
        <v>1</v>
      </c>
      <c r="D6" s="190">
        <f>IF(A6="","",DATE(YEAR(A6),MONTH(A6),1))</f>
        <v>42369</v>
      </c>
      <c r="E6" s="593">
        <f>Arbeitszeit!V7*24</f>
        <v>0</v>
      </c>
      <c r="F6" s="352">
        <f>ROUND(E6-SUM(K6:AW6),1)</f>
        <v>0</v>
      </c>
      <c r="G6" s="155">
        <f>IF(Arbeitszeit!F7=Urlaub,B_WorkTime*24,)</f>
        <v>0</v>
      </c>
      <c r="H6" s="153"/>
      <c r="I6" s="155">
        <f>IF(Arbeitszeit!F7=Krank,B_WorkTime*24,)</f>
        <v>0</v>
      </c>
      <c r="J6" s="153"/>
      <c r="K6" s="156"/>
      <c r="L6" s="157"/>
      <c r="M6" s="581"/>
      <c r="N6" s="582"/>
      <c r="O6" s="581"/>
      <c r="P6" s="582"/>
      <c r="Q6" s="581"/>
      <c r="R6" s="582"/>
      <c r="S6" s="581"/>
      <c r="T6" s="582"/>
      <c r="U6" s="581"/>
      <c r="V6" s="582"/>
      <c r="W6" s="581"/>
      <c r="X6" s="582"/>
      <c r="Y6" s="581"/>
      <c r="Z6" s="582"/>
      <c r="AA6" s="581"/>
      <c r="AB6" s="582"/>
      <c r="AC6" s="581"/>
      <c r="AD6" s="582"/>
      <c r="AE6" s="581"/>
      <c r="AF6" s="583"/>
      <c r="AG6" s="581"/>
      <c r="AH6" s="583"/>
      <c r="AI6" s="581"/>
      <c r="AJ6" s="583"/>
      <c r="AK6" s="581"/>
      <c r="AL6" s="583"/>
      <c r="AM6" s="584"/>
      <c r="AN6" s="583"/>
      <c r="AO6" s="581"/>
      <c r="AP6" s="583"/>
      <c r="AQ6" s="584"/>
      <c r="AR6" s="583"/>
      <c r="AS6" s="583"/>
      <c r="AT6" s="583"/>
      <c r="AU6" s="584"/>
      <c r="AV6" s="583"/>
      <c r="AW6" s="583"/>
      <c r="AX6" s="158"/>
      <c r="AY6" s="154"/>
      <c r="AZ6">
        <f ca="1">INDIRECT(ADDRESS(ROW()+1,COLUMN(Arbeitszeit!xDay),,,"Arbeitszeit"))</f>
        <v>4</v>
      </c>
    </row>
    <row r="7" spans="1:52">
      <c r="A7" s="523">
        <f>Arbeitszeit!A8</f>
        <v>42371</v>
      </c>
      <c r="B7" s="524">
        <f t="shared" si="0"/>
        <v>42371</v>
      </c>
      <c r="C7" s="191">
        <f t="shared" ref="C7:C70" si="1">IF(A7="","",NumberOfWeek(A7))</f>
        <v>1</v>
      </c>
      <c r="D7" s="190">
        <f t="shared" ref="D7:D70" si="2">IF(A7="","",DATE(YEAR(A7),MONTH(A7),1))</f>
        <v>42369</v>
      </c>
      <c r="E7" s="593">
        <f>Arbeitszeit!V8*24</f>
        <v>0</v>
      </c>
      <c r="F7" s="352">
        <f>ROUND(E7-SUM(K7:AW7),1)</f>
        <v>0</v>
      </c>
      <c r="G7" s="155">
        <f>IF(Arbeitszeit!F8=Urlaub,B_WorkTime*24,)</f>
        <v>0</v>
      </c>
      <c r="H7" s="153"/>
      <c r="I7" s="155">
        <f>IF(Arbeitszeit!F8=Krank,B_WorkTime*24,)</f>
        <v>0</v>
      </c>
      <c r="J7" s="153"/>
      <c r="K7" s="156"/>
      <c r="L7" s="157"/>
      <c r="M7" s="581"/>
      <c r="N7" s="582"/>
      <c r="O7" s="581"/>
      <c r="P7" s="582"/>
      <c r="Q7" s="581"/>
      <c r="R7" s="582"/>
      <c r="S7" s="581"/>
      <c r="T7" s="582"/>
      <c r="U7" s="581"/>
      <c r="V7" s="582"/>
      <c r="W7" s="581"/>
      <c r="X7" s="582"/>
      <c r="Y7" s="581"/>
      <c r="Z7" s="582"/>
      <c r="AA7" s="581"/>
      <c r="AB7" s="582"/>
      <c r="AC7" s="581"/>
      <c r="AD7" s="582"/>
      <c r="AE7" s="581"/>
      <c r="AF7" s="583"/>
      <c r="AG7" s="581"/>
      <c r="AH7" s="583"/>
      <c r="AI7" s="581"/>
      <c r="AJ7" s="583"/>
      <c r="AK7" s="581"/>
      <c r="AL7" s="583"/>
      <c r="AM7" s="584"/>
      <c r="AN7" s="583"/>
      <c r="AO7" s="581"/>
      <c r="AP7" s="583"/>
      <c r="AQ7" s="584"/>
      <c r="AR7" s="583"/>
      <c r="AS7" s="583"/>
      <c r="AT7" s="583"/>
      <c r="AU7" s="584"/>
      <c r="AV7" s="583"/>
      <c r="AW7" s="583"/>
      <c r="AX7" s="158"/>
      <c r="AY7" s="159"/>
      <c r="AZ7">
        <f ca="1">INDIRECT(ADDRESS(ROW()+1,COLUMN(Arbeitszeit!xDay),,,"Arbeitszeit"))</f>
        <v>5</v>
      </c>
    </row>
    <row r="8" spans="1:52">
      <c r="A8" s="523">
        <f>Arbeitszeit!A9</f>
        <v>42372</v>
      </c>
      <c r="B8" s="524">
        <f t="shared" si="0"/>
        <v>42372</v>
      </c>
      <c r="C8" s="191">
        <f t="shared" si="1"/>
        <v>1</v>
      </c>
      <c r="D8" s="190">
        <f t="shared" si="2"/>
        <v>42369</v>
      </c>
      <c r="E8" s="593">
        <f>Arbeitszeit!V9*24</f>
        <v>0</v>
      </c>
      <c r="F8" s="352">
        <f t="shared" ref="F8:F71" si="3">ROUND(E8-SUM(K8:AW8),1)</f>
        <v>0</v>
      </c>
      <c r="G8" s="155">
        <f>IF(Arbeitszeit!F9=Urlaub,B_WorkTime*24,)</f>
        <v>0</v>
      </c>
      <c r="H8" s="153"/>
      <c r="I8" s="155">
        <f>IF(Arbeitszeit!F9=Krank,B_WorkTime*24,)</f>
        <v>0</v>
      </c>
      <c r="J8" s="153"/>
      <c r="K8" s="156"/>
      <c r="L8" s="157"/>
      <c r="M8" s="581"/>
      <c r="N8" s="582"/>
      <c r="O8" s="581"/>
      <c r="P8" s="582"/>
      <c r="Q8" s="581"/>
      <c r="R8" s="582"/>
      <c r="S8" s="581"/>
      <c r="T8" s="582"/>
      <c r="U8" s="581"/>
      <c r="V8" s="582"/>
      <c r="W8" s="581"/>
      <c r="X8" s="582"/>
      <c r="Y8" s="581"/>
      <c r="Z8" s="582"/>
      <c r="AA8" s="581"/>
      <c r="AB8" s="582"/>
      <c r="AC8" s="581"/>
      <c r="AD8" s="582"/>
      <c r="AE8" s="581"/>
      <c r="AF8" s="583"/>
      <c r="AG8" s="581"/>
      <c r="AH8" s="583"/>
      <c r="AI8" s="581"/>
      <c r="AJ8" s="583"/>
      <c r="AK8" s="581"/>
      <c r="AL8" s="583"/>
      <c r="AM8" s="584"/>
      <c r="AN8" s="583"/>
      <c r="AO8" s="581"/>
      <c r="AP8" s="583"/>
      <c r="AQ8" s="584"/>
      <c r="AR8" s="583"/>
      <c r="AS8" s="583"/>
      <c r="AT8" s="583"/>
      <c r="AU8" s="584"/>
      <c r="AV8" s="583"/>
      <c r="AW8" s="583"/>
      <c r="AX8" s="158"/>
      <c r="AY8" s="154"/>
      <c r="AZ8">
        <f ca="1">INDIRECT(ADDRESS(ROW()+1,COLUMN(Arbeitszeit!xDay),,,"Arbeitszeit"))</f>
        <v>6</v>
      </c>
    </row>
    <row r="9" spans="1:52">
      <c r="A9" s="523">
        <f>Arbeitszeit!A10</f>
        <v>42373</v>
      </c>
      <c r="B9" s="524">
        <f t="shared" si="0"/>
        <v>42373</v>
      </c>
      <c r="C9" s="191">
        <f t="shared" si="1"/>
        <v>1</v>
      </c>
      <c r="D9" s="190">
        <f t="shared" si="2"/>
        <v>42369</v>
      </c>
      <c r="E9" s="593">
        <f>Arbeitszeit!V10*24</f>
        <v>0</v>
      </c>
      <c r="F9" s="352">
        <f t="shared" si="3"/>
        <v>0</v>
      </c>
      <c r="G9" s="155">
        <f>IF(Arbeitszeit!F10=Urlaub,B_WorkTime*24,)</f>
        <v>0</v>
      </c>
      <c r="H9" s="153"/>
      <c r="I9" s="155">
        <f>IF(Arbeitszeit!F10=Krank,B_WorkTime*24,)</f>
        <v>0</v>
      </c>
      <c r="J9" s="153"/>
      <c r="K9" s="156"/>
      <c r="L9" s="157"/>
      <c r="M9" s="581"/>
      <c r="N9" s="582"/>
      <c r="O9" s="581"/>
      <c r="P9" s="582"/>
      <c r="Q9" s="581"/>
      <c r="R9" s="582"/>
      <c r="S9" s="581"/>
      <c r="T9" s="582"/>
      <c r="U9" s="581"/>
      <c r="V9" s="582"/>
      <c r="W9" s="581"/>
      <c r="X9" s="582"/>
      <c r="Y9" s="581"/>
      <c r="Z9" s="582"/>
      <c r="AA9" s="581"/>
      <c r="AB9" s="582"/>
      <c r="AC9" s="581"/>
      <c r="AD9" s="582"/>
      <c r="AE9" s="581"/>
      <c r="AF9" s="583"/>
      <c r="AG9" s="581"/>
      <c r="AH9" s="583"/>
      <c r="AI9" s="581"/>
      <c r="AJ9" s="583"/>
      <c r="AK9" s="581"/>
      <c r="AL9" s="583"/>
      <c r="AM9" s="584"/>
      <c r="AN9" s="583"/>
      <c r="AO9" s="581"/>
      <c r="AP9" s="583"/>
      <c r="AQ9" s="584"/>
      <c r="AR9" s="583"/>
      <c r="AS9" s="583"/>
      <c r="AT9" s="583"/>
      <c r="AU9" s="584"/>
      <c r="AV9" s="583"/>
      <c r="AW9" s="583"/>
      <c r="AX9" s="158"/>
      <c r="AY9" s="154"/>
      <c r="AZ9">
        <f ca="1">INDIRECT(ADDRESS(ROW()+1,COLUMN(Arbeitszeit!xDay),,,"Arbeitszeit"))</f>
        <v>7</v>
      </c>
    </row>
    <row r="10" spans="1:52">
      <c r="A10" s="523">
        <f>Arbeitszeit!A11</f>
        <v>42374</v>
      </c>
      <c r="B10" s="524">
        <f t="shared" si="0"/>
        <v>42374</v>
      </c>
      <c r="C10" s="191">
        <f t="shared" si="1"/>
        <v>2</v>
      </c>
      <c r="D10" s="190">
        <f t="shared" si="2"/>
        <v>42369</v>
      </c>
      <c r="E10" s="593">
        <f>Arbeitszeit!V11*24</f>
        <v>0</v>
      </c>
      <c r="F10" s="352">
        <f t="shared" si="3"/>
        <v>0</v>
      </c>
      <c r="G10" s="155">
        <f>IF(Arbeitszeit!F11=Urlaub,B_WorkTime*24,)</f>
        <v>0</v>
      </c>
      <c r="H10" s="153"/>
      <c r="I10" s="155">
        <f>IF(Arbeitszeit!F11=Krank,B_WorkTime*24,)</f>
        <v>0</v>
      </c>
      <c r="J10" s="153"/>
      <c r="K10" s="156"/>
      <c r="L10" s="157"/>
      <c r="M10" s="581"/>
      <c r="N10" s="582"/>
      <c r="O10" s="581"/>
      <c r="P10" s="582"/>
      <c r="Q10" s="581"/>
      <c r="R10" s="582"/>
      <c r="S10" s="581"/>
      <c r="T10" s="582"/>
      <c r="U10" s="581"/>
      <c r="V10" s="582"/>
      <c r="W10" s="581"/>
      <c r="X10" s="582"/>
      <c r="Y10" s="581"/>
      <c r="Z10" s="582"/>
      <c r="AA10" s="581"/>
      <c r="AB10" s="582"/>
      <c r="AC10" s="581"/>
      <c r="AD10" s="582"/>
      <c r="AE10" s="581"/>
      <c r="AF10" s="583"/>
      <c r="AG10" s="581"/>
      <c r="AH10" s="583"/>
      <c r="AI10" s="581"/>
      <c r="AJ10" s="583"/>
      <c r="AK10" s="581"/>
      <c r="AL10" s="583"/>
      <c r="AM10" s="584"/>
      <c r="AN10" s="583"/>
      <c r="AO10" s="581"/>
      <c r="AP10" s="583"/>
      <c r="AQ10" s="584"/>
      <c r="AR10" s="583"/>
      <c r="AS10" s="583"/>
      <c r="AT10" s="583"/>
      <c r="AU10" s="584"/>
      <c r="AV10" s="583"/>
      <c r="AW10" s="583"/>
      <c r="AX10" s="158"/>
      <c r="AY10" s="154"/>
      <c r="AZ10">
        <f ca="1">INDIRECT(ADDRESS(ROW()+1,COLUMN(Arbeitszeit!xDay),,,"Arbeitszeit"))</f>
        <v>8</v>
      </c>
    </row>
    <row r="11" spans="1:52">
      <c r="A11" s="523">
        <f>Arbeitszeit!A12</f>
        <v>42375</v>
      </c>
      <c r="B11" s="524">
        <f t="shared" si="0"/>
        <v>42375</v>
      </c>
      <c r="C11" s="191">
        <f t="shared" si="1"/>
        <v>2</v>
      </c>
      <c r="D11" s="190">
        <f t="shared" si="2"/>
        <v>42369</v>
      </c>
      <c r="E11" s="593">
        <f>Arbeitszeit!V12*24</f>
        <v>0</v>
      </c>
      <c r="F11" s="352">
        <f t="shared" si="3"/>
        <v>0</v>
      </c>
      <c r="G11" s="155">
        <f>IF(Arbeitszeit!F12=Urlaub,B_WorkTime*24,)</f>
        <v>0</v>
      </c>
      <c r="H11" s="153"/>
      <c r="I11" s="155">
        <f>IF(Arbeitszeit!F12=Krank,B_WorkTime*24,)</f>
        <v>0</v>
      </c>
      <c r="J11" s="153"/>
      <c r="K11" s="156"/>
      <c r="L11" s="157"/>
      <c r="M11" s="581"/>
      <c r="N11" s="582"/>
      <c r="O11" s="581"/>
      <c r="P11" s="582"/>
      <c r="Q11" s="581"/>
      <c r="R11" s="582"/>
      <c r="S11" s="581"/>
      <c r="T11" s="582"/>
      <c r="U11" s="581"/>
      <c r="V11" s="582"/>
      <c r="W11" s="581"/>
      <c r="X11" s="582"/>
      <c r="Y11" s="581"/>
      <c r="Z11" s="582"/>
      <c r="AA11" s="581"/>
      <c r="AB11" s="582"/>
      <c r="AC11" s="581"/>
      <c r="AD11" s="582"/>
      <c r="AE11" s="581"/>
      <c r="AF11" s="583"/>
      <c r="AG11" s="581"/>
      <c r="AH11" s="583"/>
      <c r="AI11" s="581"/>
      <c r="AJ11" s="583"/>
      <c r="AK11" s="581"/>
      <c r="AL11" s="583"/>
      <c r="AM11" s="584"/>
      <c r="AN11" s="583"/>
      <c r="AO11" s="581"/>
      <c r="AP11" s="583"/>
      <c r="AQ11" s="584"/>
      <c r="AR11" s="583"/>
      <c r="AS11" s="583"/>
      <c r="AT11" s="583"/>
      <c r="AU11" s="584"/>
      <c r="AV11" s="583"/>
      <c r="AW11" s="583"/>
      <c r="AX11" s="158"/>
      <c r="AY11" s="154"/>
      <c r="AZ11">
        <f ca="1">INDIRECT(ADDRESS(ROW()+1,COLUMN(Arbeitszeit!xDay),,,"Arbeitszeit"))</f>
        <v>2</v>
      </c>
    </row>
    <row r="12" spans="1:52">
      <c r="A12" s="523">
        <f>Arbeitszeit!A13</f>
        <v>42376</v>
      </c>
      <c r="B12" s="524">
        <f t="shared" si="0"/>
        <v>42376</v>
      </c>
      <c r="C12" s="191">
        <f t="shared" si="1"/>
        <v>2</v>
      </c>
      <c r="D12" s="190">
        <f t="shared" si="2"/>
        <v>42369</v>
      </c>
      <c r="E12" s="593">
        <f>Arbeitszeit!V13*24</f>
        <v>0</v>
      </c>
      <c r="F12" s="352">
        <f t="shared" si="3"/>
        <v>0</v>
      </c>
      <c r="G12" s="155">
        <f>IF(Arbeitszeit!F13=Urlaub,B_WorkTime*24,)</f>
        <v>0</v>
      </c>
      <c r="H12" s="153"/>
      <c r="I12" s="155">
        <f>IF(Arbeitszeit!F13=Krank,B_WorkTime*24,)</f>
        <v>0</v>
      </c>
      <c r="J12" s="153"/>
      <c r="K12" s="156"/>
      <c r="L12" s="157"/>
      <c r="M12" s="581"/>
      <c r="N12" s="582"/>
      <c r="O12" s="581"/>
      <c r="P12" s="582"/>
      <c r="Q12" s="581"/>
      <c r="R12" s="582"/>
      <c r="S12" s="581"/>
      <c r="T12" s="582"/>
      <c r="U12" s="581"/>
      <c r="V12" s="582"/>
      <c r="W12" s="581"/>
      <c r="X12" s="582"/>
      <c r="Y12" s="581"/>
      <c r="Z12" s="582"/>
      <c r="AA12" s="581"/>
      <c r="AB12" s="582"/>
      <c r="AC12" s="581"/>
      <c r="AD12" s="582"/>
      <c r="AE12" s="581"/>
      <c r="AF12" s="583"/>
      <c r="AG12" s="581"/>
      <c r="AH12" s="583"/>
      <c r="AI12" s="581"/>
      <c r="AJ12" s="583"/>
      <c r="AK12" s="581"/>
      <c r="AL12" s="583"/>
      <c r="AM12" s="584"/>
      <c r="AN12" s="583"/>
      <c r="AO12" s="581"/>
      <c r="AP12" s="583"/>
      <c r="AQ12" s="584"/>
      <c r="AR12" s="583"/>
      <c r="AS12" s="583"/>
      <c r="AT12" s="583"/>
      <c r="AU12" s="584"/>
      <c r="AV12" s="583"/>
      <c r="AW12" s="583"/>
      <c r="AX12" s="158"/>
      <c r="AY12" s="154"/>
      <c r="AZ12">
        <f ca="1">INDIRECT(ADDRESS(ROW()+1,COLUMN(Arbeitszeit!xDay),,,"Arbeitszeit"))</f>
        <v>3</v>
      </c>
    </row>
    <row r="13" spans="1:52">
      <c r="A13" s="523">
        <f>Arbeitszeit!A14</f>
        <v>42377</v>
      </c>
      <c r="B13" s="524">
        <f t="shared" si="0"/>
        <v>42377</v>
      </c>
      <c r="C13" s="191">
        <f t="shared" si="1"/>
        <v>2</v>
      </c>
      <c r="D13" s="190">
        <f t="shared" si="2"/>
        <v>42369</v>
      </c>
      <c r="E13" s="593">
        <f>Arbeitszeit!V14*24</f>
        <v>0</v>
      </c>
      <c r="F13" s="352">
        <f t="shared" si="3"/>
        <v>0</v>
      </c>
      <c r="G13" s="155">
        <f>IF(Arbeitszeit!F14=Urlaub,B_WorkTime*24,)</f>
        <v>0</v>
      </c>
      <c r="H13" s="153"/>
      <c r="I13" s="155">
        <f>IF(Arbeitszeit!F14=Krank,B_WorkTime*24,)</f>
        <v>0</v>
      </c>
      <c r="J13" s="153"/>
      <c r="K13" s="156"/>
      <c r="L13" s="157"/>
      <c r="M13" s="581"/>
      <c r="N13" s="582"/>
      <c r="O13" s="581"/>
      <c r="P13" s="582"/>
      <c r="Q13" s="581"/>
      <c r="R13" s="582"/>
      <c r="S13" s="581"/>
      <c r="T13" s="582"/>
      <c r="U13" s="581"/>
      <c r="V13" s="582"/>
      <c r="W13" s="581"/>
      <c r="X13" s="582"/>
      <c r="Y13" s="581"/>
      <c r="Z13" s="582"/>
      <c r="AA13" s="581"/>
      <c r="AB13" s="582"/>
      <c r="AC13" s="581"/>
      <c r="AD13" s="582"/>
      <c r="AE13" s="581"/>
      <c r="AF13" s="583"/>
      <c r="AG13" s="581"/>
      <c r="AH13" s="583"/>
      <c r="AI13" s="581"/>
      <c r="AJ13" s="583"/>
      <c r="AK13" s="581"/>
      <c r="AL13" s="583"/>
      <c r="AM13" s="584"/>
      <c r="AN13" s="583"/>
      <c r="AO13" s="581"/>
      <c r="AP13" s="583"/>
      <c r="AQ13" s="584"/>
      <c r="AR13" s="583"/>
      <c r="AS13" s="583"/>
      <c r="AT13" s="583"/>
      <c r="AU13" s="584"/>
      <c r="AV13" s="583"/>
      <c r="AW13" s="583"/>
      <c r="AX13" s="158"/>
      <c r="AY13" s="154"/>
      <c r="AZ13">
        <f ca="1">INDIRECT(ADDRESS(ROW()+1,COLUMN(Arbeitszeit!xDay),,,"Arbeitszeit"))</f>
        <v>4</v>
      </c>
    </row>
    <row r="14" spans="1:52">
      <c r="A14" s="523">
        <f>Arbeitszeit!A15</f>
        <v>42378</v>
      </c>
      <c r="B14" s="524">
        <f t="shared" si="0"/>
        <v>42378</v>
      </c>
      <c r="C14" s="191">
        <f t="shared" si="1"/>
        <v>2</v>
      </c>
      <c r="D14" s="190">
        <f t="shared" si="2"/>
        <v>42369</v>
      </c>
      <c r="E14" s="593">
        <f>Arbeitszeit!V15*24</f>
        <v>0</v>
      </c>
      <c r="F14" s="352">
        <f t="shared" si="3"/>
        <v>0</v>
      </c>
      <c r="G14" s="155">
        <f>IF(Arbeitszeit!F15=Urlaub,B_WorkTime*24,)</f>
        <v>0</v>
      </c>
      <c r="H14" s="153"/>
      <c r="I14" s="155">
        <f>IF(Arbeitszeit!F15=Krank,B_WorkTime*24,)</f>
        <v>0</v>
      </c>
      <c r="J14" s="153"/>
      <c r="K14" s="156"/>
      <c r="L14" s="157"/>
      <c r="M14" s="581"/>
      <c r="N14" s="582"/>
      <c r="O14" s="581"/>
      <c r="P14" s="582"/>
      <c r="Q14" s="581"/>
      <c r="R14" s="582"/>
      <c r="S14" s="581"/>
      <c r="T14" s="582"/>
      <c r="U14" s="581"/>
      <c r="V14" s="582"/>
      <c r="W14" s="581"/>
      <c r="X14" s="582"/>
      <c r="Y14" s="581"/>
      <c r="Z14" s="582"/>
      <c r="AA14" s="581"/>
      <c r="AB14" s="582"/>
      <c r="AC14" s="581"/>
      <c r="AD14" s="582"/>
      <c r="AE14" s="581"/>
      <c r="AF14" s="583"/>
      <c r="AG14" s="581"/>
      <c r="AH14" s="583"/>
      <c r="AI14" s="581"/>
      <c r="AJ14" s="583"/>
      <c r="AK14" s="581"/>
      <c r="AL14" s="583"/>
      <c r="AM14" s="584"/>
      <c r="AN14" s="583"/>
      <c r="AO14" s="581"/>
      <c r="AP14" s="583"/>
      <c r="AQ14" s="584"/>
      <c r="AR14" s="583"/>
      <c r="AS14" s="583"/>
      <c r="AT14" s="583"/>
      <c r="AU14" s="584"/>
      <c r="AV14" s="583"/>
      <c r="AW14" s="583"/>
      <c r="AX14" s="158"/>
      <c r="AY14" s="154"/>
      <c r="AZ14">
        <f ca="1">INDIRECT(ADDRESS(ROW()+1,COLUMN(Arbeitszeit!xDay),,,"Arbeitszeit"))</f>
        <v>5</v>
      </c>
    </row>
    <row r="15" spans="1:52">
      <c r="A15" s="523">
        <f>Arbeitszeit!A16</f>
        <v>42379</v>
      </c>
      <c r="B15" s="524">
        <f t="shared" si="0"/>
        <v>42379</v>
      </c>
      <c r="C15" s="191">
        <f t="shared" si="1"/>
        <v>2</v>
      </c>
      <c r="D15" s="190">
        <f t="shared" si="2"/>
        <v>42369</v>
      </c>
      <c r="E15" s="593">
        <f>Arbeitszeit!V16*24</f>
        <v>0</v>
      </c>
      <c r="F15" s="352">
        <f t="shared" si="3"/>
        <v>0</v>
      </c>
      <c r="G15" s="155">
        <f>IF(Arbeitszeit!F16=Urlaub,B_WorkTime*24,)</f>
        <v>0</v>
      </c>
      <c r="H15" s="153"/>
      <c r="I15" s="155">
        <f>IF(Arbeitszeit!F16=Krank,B_WorkTime*24,)</f>
        <v>0</v>
      </c>
      <c r="J15" s="153"/>
      <c r="K15" s="156"/>
      <c r="L15" s="157"/>
      <c r="M15" s="581"/>
      <c r="N15" s="582"/>
      <c r="O15" s="581"/>
      <c r="P15" s="582"/>
      <c r="Q15" s="581"/>
      <c r="R15" s="582"/>
      <c r="S15" s="581"/>
      <c r="T15" s="582"/>
      <c r="U15" s="581"/>
      <c r="V15" s="582"/>
      <c r="W15" s="581"/>
      <c r="X15" s="582"/>
      <c r="Y15" s="581"/>
      <c r="Z15" s="582"/>
      <c r="AA15" s="581"/>
      <c r="AB15" s="582"/>
      <c r="AC15" s="581"/>
      <c r="AD15" s="582"/>
      <c r="AE15" s="581"/>
      <c r="AF15" s="583"/>
      <c r="AG15" s="581"/>
      <c r="AH15" s="583"/>
      <c r="AI15" s="581"/>
      <c r="AJ15" s="583"/>
      <c r="AK15" s="581"/>
      <c r="AL15" s="583"/>
      <c r="AM15" s="584"/>
      <c r="AN15" s="583"/>
      <c r="AO15" s="581"/>
      <c r="AP15" s="583"/>
      <c r="AQ15" s="584"/>
      <c r="AR15" s="583"/>
      <c r="AS15" s="583"/>
      <c r="AT15" s="583"/>
      <c r="AU15" s="584"/>
      <c r="AV15" s="583"/>
      <c r="AW15" s="583"/>
      <c r="AX15" s="158"/>
      <c r="AY15" s="154"/>
      <c r="AZ15">
        <f ca="1">INDIRECT(ADDRESS(ROW()+1,COLUMN(Arbeitszeit!xDay),,,"Arbeitszeit"))</f>
        <v>6</v>
      </c>
    </row>
    <row r="16" spans="1:52">
      <c r="A16" s="523">
        <f>Arbeitszeit!A17</f>
        <v>42380</v>
      </c>
      <c r="B16" s="524">
        <f t="shared" si="0"/>
        <v>42380</v>
      </c>
      <c r="C16" s="191">
        <f t="shared" si="1"/>
        <v>2</v>
      </c>
      <c r="D16" s="190">
        <f t="shared" si="2"/>
        <v>42369</v>
      </c>
      <c r="E16" s="593">
        <f>Arbeitszeit!V17*24</f>
        <v>0</v>
      </c>
      <c r="F16" s="352">
        <f t="shared" si="3"/>
        <v>0</v>
      </c>
      <c r="G16" s="155">
        <f>IF(Arbeitszeit!F17=Urlaub,B_WorkTime*24,)</f>
        <v>0</v>
      </c>
      <c r="H16" s="153"/>
      <c r="I16" s="155">
        <f>IF(Arbeitszeit!F17=Krank,B_WorkTime*24,)</f>
        <v>0</v>
      </c>
      <c r="J16" s="153"/>
      <c r="K16" s="156"/>
      <c r="L16" s="157"/>
      <c r="M16" s="581"/>
      <c r="N16" s="582"/>
      <c r="O16" s="581"/>
      <c r="P16" s="582"/>
      <c r="Q16" s="581"/>
      <c r="R16" s="582"/>
      <c r="S16" s="581"/>
      <c r="T16" s="582"/>
      <c r="U16" s="581"/>
      <c r="V16" s="582"/>
      <c r="W16" s="581"/>
      <c r="X16" s="582"/>
      <c r="Y16" s="581"/>
      <c r="Z16" s="582"/>
      <c r="AA16" s="581"/>
      <c r="AB16" s="582"/>
      <c r="AC16" s="581"/>
      <c r="AD16" s="582"/>
      <c r="AE16" s="581"/>
      <c r="AF16" s="583"/>
      <c r="AG16" s="581"/>
      <c r="AH16" s="583"/>
      <c r="AI16" s="581"/>
      <c r="AJ16" s="583"/>
      <c r="AK16" s="581"/>
      <c r="AL16" s="583"/>
      <c r="AM16" s="584"/>
      <c r="AN16" s="583"/>
      <c r="AO16" s="581"/>
      <c r="AP16" s="583"/>
      <c r="AQ16" s="584"/>
      <c r="AR16" s="583"/>
      <c r="AS16" s="583"/>
      <c r="AT16" s="583"/>
      <c r="AU16" s="584"/>
      <c r="AV16" s="583"/>
      <c r="AW16" s="583"/>
      <c r="AX16" s="158"/>
      <c r="AY16" s="154"/>
      <c r="AZ16">
        <f ca="1">INDIRECT(ADDRESS(ROW()+1,COLUMN(Arbeitszeit!xDay),,,"Arbeitszeit"))</f>
        <v>7</v>
      </c>
    </row>
    <row r="17" spans="1:52">
      <c r="A17" s="523">
        <f>Arbeitszeit!A18</f>
        <v>42381</v>
      </c>
      <c r="B17" s="524">
        <f t="shared" si="0"/>
        <v>42381</v>
      </c>
      <c r="C17" s="191">
        <f t="shared" si="1"/>
        <v>3</v>
      </c>
      <c r="D17" s="190">
        <f t="shared" si="2"/>
        <v>42369</v>
      </c>
      <c r="E17" s="593">
        <f>Arbeitszeit!V18*24</f>
        <v>0</v>
      </c>
      <c r="F17" s="352">
        <f t="shared" si="3"/>
        <v>0</v>
      </c>
      <c r="G17" s="155">
        <f>IF(Arbeitszeit!F18=Urlaub,B_WorkTime*24,)</f>
        <v>0</v>
      </c>
      <c r="H17" s="153"/>
      <c r="I17" s="155">
        <f>IF(Arbeitszeit!F18=Krank,B_WorkTime*24,)</f>
        <v>0</v>
      </c>
      <c r="J17" s="153"/>
      <c r="K17" s="156"/>
      <c r="L17" s="157"/>
      <c r="M17" s="581"/>
      <c r="N17" s="582"/>
      <c r="O17" s="581"/>
      <c r="P17" s="582"/>
      <c r="Q17" s="581"/>
      <c r="R17" s="582"/>
      <c r="S17" s="581"/>
      <c r="T17" s="582"/>
      <c r="U17" s="581"/>
      <c r="V17" s="582"/>
      <c r="W17" s="581"/>
      <c r="X17" s="582"/>
      <c r="Y17" s="581"/>
      <c r="Z17" s="582"/>
      <c r="AA17" s="581"/>
      <c r="AB17" s="582"/>
      <c r="AC17" s="581"/>
      <c r="AD17" s="582"/>
      <c r="AE17" s="581"/>
      <c r="AF17" s="583"/>
      <c r="AG17" s="581"/>
      <c r="AH17" s="583"/>
      <c r="AI17" s="581"/>
      <c r="AJ17" s="583"/>
      <c r="AK17" s="581"/>
      <c r="AL17" s="583"/>
      <c r="AM17" s="584"/>
      <c r="AN17" s="583"/>
      <c r="AO17" s="581"/>
      <c r="AP17" s="583"/>
      <c r="AQ17" s="584"/>
      <c r="AR17" s="583"/>
      <c r="AS17" s="583"/>
      <c r="AT17" s="583"/>
      <c r="AU17" s="584"/>
      <c r="AV17" s="583"/>
      <c r="AW17" s="583"/>
      <c r="AX17" s="158"/>
      <c r="AY17" s="154"/>
      <c r="AZ17">
        <f ca="1">INDIRECT(ADDRESS(ROW()+1,COLUMN(Arbeitszeit!xDay),,,"Arbeitszeit"))</f>
        <v>1</v>
      </c>
    </row>
    <row r="18" spans="1:52">
      <c r="A18" s="523">
        <f>Arbeitszeit!A19</f>
        <v>42382</v>
      </c>
      <c r="B18" s="524">
        <f t="shared" si="0"/>
        <v>42382</v>
      </c>
      <c r="C18" s="191">
        <f t="shared" si="1"/>
        <v>3</v>
      </c>
      <c r="D18" s="190">
        <f t="shared" si="2"/>
        <v>42369</v>
      </c>
      <c r="E18" s="593">
        <f>Arbeitszeit!V19*24</f>
        <v>0</v>
      </c>
      <c r="F18" s="352">
        <f t="shared" si="3"/>
        <v>0</v>
      </c>
      <c r="G18" s="155">
        <f>IF(Arbeitszeit!F19=Urlaub,B_WorkTime*24,)</f>
        <v>0</v>
      </c>
      <c r="H18" s="153"/>
      <c r="I18" s="155">
        <f>IF(Arbeitszeit!F19=Krank,B_WorkTime*24,)</f>
        <v>0</v>
      </c>
      <c r="J18" s="153"/>
      <c r="K18" s="156"/>
      <c r="L18" s="157"/>
      <c r="M18" s="581"/>
      <c r="N18" s="582"/>
      <c r="O18" s="581"/>
      <c r="P18" s="582"/>
      <c r="Q18" s="581"/>
      <c r="R18" s="582"/>
      <c r="S18" s="581"/>
      <c r="T18" s="582"/>
      <c r="U18" s="581"/>
      <c r="V18" s="582"/>
      <c r="W18" s="581"/>
      <c r="X18" s="582"/>
      <c r="Y18" s="581"/>
      <c r="Z18" s="582"/>
      <c r="AA18" s="581"/>
      <c r="AB18" s="582"/>
      <c r="AC18" s="581"/>
      <c r="AD18" s="582"/>
      <c r="AE18" s="581"/>
      <c r="AF18" s="583"/>
      <c r="AG18" s="581"/>
      <c r="AH18" s="583"/>
      <c r="AI18" s="581"/>
      <c r="AJ18" s="583"/>
      <c r="AK18" s="581"/>
      <c r="AL18" s="583"/>
      <c r="AM18" s="584"/>
      <c r="AN18" s="583"/>
      <c r="AO18" s="581"/>
      <c r="AP18" s="583"/>
      <c r="AQ18" s="584"/>
      <c r="AR18" s="583"/>
      <c r="AS18" s="583"/>
      <c r="AT18" s="583"/>
      <c r="AU18" s="584"/>
      <c r="AV18" s="583"/>
      <c r="AW18" s="583"/>
      <c r="AX18" s="158"/>
      <c r="AY18" s="154"/>
      <c r="AZ18">
        <f ca="1">INDIRECT(ADDRESS(ROW()+1,COLUMN(Arbeitszeit!xDay),,,"Arbeitszeit"))</f>
        <v>2</v>
      </c>
    </row>
    <row r="19" spans="1:52">
      <c r="A19" s="523">
        <f>Arbeitszeit!A20</f>
        <v>42383</v>
      </c>
      <c r="B19" s="524">
        <f t="shared" si="0"/>
        <v>42383</v>
      </c>
      <c r="C19" s="191">
        <f t="shared" si="1"/>
        <v>3</v>
      </c>
      <c r="D19" s="190">
        <f t="shared" si="2"/>
        <v>42369</v>
      </c>
      <c r="E19" s="593">
        <f>Arbeitszeit!V20*24</f>
        <v>0</v>
      </c>
      <c r="F19" s="352">
        <f t="shared" si="3"/>
        <v>0</v>
      </c>
      <c r="G19" s="155">
        <f>IF(Arbeitszeit!F20=Urlaub,B_WorkTime*24,)</f>
        <v>0</v>
      </c>
      <c r="H19" s="153"/>
      <c r="I19" s="155">
        <f>IF(Arbeitszeit!F20=Krank,B_WorkTime*24,)</f>
        <v>0</v>
      </c>
      <c r="J19" s="153"/>
      <c r="K19" s="156"/>
      <c r="L19" s="157"/>
      <c r="M19" s="581"/>
      <c r="N19" s="582"/>
      <c r="O19" s="581"/>
      <c r="P19" s="582"/>
      <c r="Q19" s="581"/>
      <c r="R19" s="582"/>
      <c r="S19" s="581"/>
      <c r="T19" s="582"/>
      <c r="U19" s="581"/>
      <c r="V19" s="582"/>
      <c r="W19" s="581"/>
      <c r="X19" s="582"/>
      <c r="Y19" s="581"/>
      <c r="Z19" s="582"/>
      <c r="AA19" s="581"/>
      <c r="AB19" s="582"/>
      <c r="AC19" s="581"/>
      <c r="AD19" s="582"/>
      <c r="AE19" s="581"/>
      <c r="AF19" s="583"/>
      <c r="AG19" s="581"/>
      <c r="AH19" s="583"/>
      <c r="AI19" s="581"/>
      <c r="AJ19" s="583"/>
      <c r="AK19" s="581"/>
      <c r="AL19" s="583"/>
      <c r="AM19" s="584"/>
      <c r="AN19" s="583"/>
      <c r="AO19" s="581"/>
      <c r="AP19" s="583"/>
      <c r="AQ19" s="584"/>
      <c r="AR19" s="583"/>
      <c r="AS19" s="583"/>
      <c r="AT19" s="583"/>
      <c r="AU19" s="584"/>
      <c r="AV19" s="583"/>
      <c r="AW19" s="583"/>
      <c r="AX19" s="158"/>
      <c r="AY19" s="154"/>
      <c r="AZ19">
        <f ca="1">INDIRECT(ADDRESS(ROW()+1,COLUMN(Arbeitszeit!xDay),,,"Arbeitszeit"))</f>
        <v>3</v>
      </c>
    </row>
    <row r="20" spans="1:52">
      <c r="A20" s="523">
        <f>Arbeitszeit!A21</f>
        <v>42384</v>
      </c>
      <c r="B20" s="524">
        <f t="shared" si="0"/>
        <v>42384</v>
      </c>
      <c r="C20" s="191">
        <f t="shared" si="1"/>
        <v>3</v>
      </c>
      <c r="D20" s="190">
        <f t="shared" si="2"/>
        <v>42369</v>
      </c>
      <c r="E20" s="593">
        <f>Arbeitszeit!V21*24</f>
        <v>0</v>
      </c>
      <c r="F20" s="352">
        <f t="shared" si="3"/>
        <v>0</v>
      </c>
      <c r="G20" s="155">
        <f>IF(Arbeitszeit!F21=Urlaub,B_WorkTime*24,)</f>
        <v>0</v>
      </c>
      <c r="H20" s="153"/>
      <c r="I20" s="155">
        <f>IF(Arbeitszeit!F21=Krank,B_WorkTime*24,)</f>
        <v>0</v>
      </c>
      <c r="J20" s="153"/>
      <c r="K20" s="156"/>
      <c r="L20" s="157"/>
      <c r="M20" s="581"/>
      <c r="N20" s="582"/>
      <c r="O20" s="581"/>
      <c r="P20" s="582"/>
      <c r="Q20" s="581"/>
      <c r="R20" s="582"/>
      <c r="S20" s="581"/>
      <c r="T20" s="582"/>
      <c r="U20" s="581"/>
      <c r="V20" s="582"/>
      <c r="W20" s="581"/>
      <c r="X20" s="582"/>
      <c r="Y20" s="581"/>
      <c r="Z20" s="582"/>
      <c r="AA20" s="581"/>
      <c r="AB20" s="582"/>
      <c r="AC20" s="581"/>
      <c r="AD20" s="582"/>
      <c r="AE20" s="581"/>
      <c r="AF20" s="583"/>
      <c r="AG20" s="581"/>
      <c r="AH20" s="583"/>
      <c r="AI20" s="581"/>
      <c r="AJ20" s="583"/>
      <c r="AK20" s="581"/>
      <c r="AL20" s="583"/>
      <c r="AM20" s="584"/>
      <c r="AN20" s="583"/>
      <c r="AO20" s="581"/>
      <c r="AP20" s="583"/>
      <c r="AQ20" s="584"/>
      <c r="AR20" s="583"/>
      <c r="AS20" s="583"/>
      <c r="AT20" s="583"/>
      <c r="AU20" s="584"/>
      <c r="AV20" s="583"/>
      <c r="AW20" s="583"/>
      <c r="AX20" s="158"/>
      <c r="AY20" s="154"/>
      <c r="AZ20">
        <f ca="1">INDIRECT(ADDRESS(ROW()+1,COLUMN(Arbeitszeit!xDay),,,"Arbeitszeit"))</f>
        <v>4</v>
      </c>
    </row>
    <row r="21" spans="1:52">
      <c r="A21" s="523">
        <f>Arbeitszeit!A22</f>
        <v>42385</v>
      </c>
      <c r="B21" s="524">
        <f t="shared" si="0"/>
        <v>42385</v>
      </c>
      <c r="C21" s="191">
        <f t="shared" si="1"/>
        <v>3</v>
      </c>
      <c r="D21" s="190">
        <f t="shared" si="2"/>
        <v>42369</v>
      </c>
      <c r="E21" s="593">
        <f>Arbeitszeit!V22*24</f>
        <v>0</v>
      </c>
      <c r="F21" s="352">
        <f t="shared" si="3"/>
        <v>0</v>
      </c>
      <c r="G21" s="155">
        <f>IF(Arbeitszeit!F22=Urlaub,B_WorkTime*24,)</f>
        <v>0</v>
      </c>
      <c r="H21" s="153"/>
      <c r="I21" s="155">
        <f>IF(Arbeitszeit!F22=Krank,B_WorkTime*24,)</f>
        <v>0</v>
      </c>
      <c r="J21" s="153"/>
      <c r="K21" s="156"/>
      <c r="L21" s="157"/>
      <c r="M21" s="581"/>
      <c r="N21" s="582"/>
      <c r="O21" s="581"/>
      <c r="P21" s="582"/>
      <c r="Q21" s="581"/>
      <c r="R21" s="582"/>
      <c r="S21" s="581"/>
      <c r="T21" s="582"/>
      <c r="U21" s="581"/>
      <c r="V21" s="582"/>
      <c r="W21" s="581"/>
      <c r="X21" s="582"/>
      <c r="Y21" s="581"/>
      <c r="Z21" s="582"/>
      <c r="AA21" s="581"/>
      <c r="AB21" s="582"/>
      <c r="AC21" s="581"/>
      <c r="AD21" s="582"/>
      <c r="AE21" s="581"/>
      <c r="AF21" s="583"/>
      <c r="AG21" s="581"/>
      <c r="AH21" s="583"/>
      <c r="AI21" s="581"/>
      <c r="AJ21" s="583"/>
      <c r="AK21" s="581"/>
      <c r="AL21" s="583"/>
      <c r="AM21" s="584"/>
      <c r="AN21" s="583"/>
      <c r="AO21" s="581"/>
      <c r="AP21" s="583"/>
      <c r="AQ21" s="584"/>
      <c r="AR21" s="583"/>
      <c r="AS21" s="583"/>
      <c r="AT21" s="583"/>
      <c r="AU21" s="584"/>
      <c r="AV21" s="583"/>
      <c r="AW21" s="583"/>
      <c r="AX21" s="158"/>
      <c r="AY21" s="154"/>
      <c r="AZ21">
        <f ca="1">INDIRECT(ADDRESS(ROW()+1,COLUMN(Arbeitszeit!xDay),,,"Arbeitszeit"))</f>
        <v>5</v>
      </c>
    </row>
    <row r="22" spans="1:52">
      <c r="A22" s="523">
        <f>Arbeitszeit!A23</f>
        <v>42386</v>
      </c>
      <c r="B22" s="524">
        <f t="shared" si="0"/>
        <v>42386</v>
      </c>
      <c r="C22" s="191">
        <f t="shared" si="1"/>
        <v>3</v>
      </c>
      <c r="D22" s="190">
        <f t="shared" si="2"/>
        <v>42369</v>
      </c>
      <c r="E22" s="593">
        <f>Arbeitszeit!V23*24</f>
        <v>0</v>
      </c>
      <c r="F22" s="352">
        <f t="shared" si="3"/>
        <v>0</v>
      </c>
      <c r="G22" s="155">
        <f>IF(Arbeitszeit!F23=Urlaub,B_WorkTime*24,)</f>
        <v>0</v>
      </c>
      <c r="H22" s="153"/>
      <c r="I22" s="155">
        <f>IF(Arbeitszeit!F23=Krank,B_WorkTime*24,)</f>
        <v>0</v>
      </c>
      <c r="J22" s="153"/>
      <c r="K22" s="156"/>
      <c r="L22" s="157"/>
      <c r="M22" s="581"/>
      <c r="N22" s="582"/>
      <c r="O22" s="581"/>
      <c r="P22" s="582"/>
      <c r="Q22" s="581"/>
      <c r="R22" s="582"/>
      <c r="S22" s="581"/>
      <c r="T22" s="582"/>
      <c r="U22" s="581"/>
      <c r="V22" s="582"/>
      <c r="W22" s="581"/>
      <c r="X22" s="582"/>
      <c r="Y22" s="581"/>
      <c r="Z22" s="582"/>
      <c r="AA22" s="581"/>
      <c r="AB22" s="582"/>
      <c r="AC22" s="581"/>
      <c r="AD22" s="582"/>
      <c r="AE22" s="581"/>
      <c r="AF22" s="583"/>
      <c r="AG22" s="581"/>
      <c r="AH22" s="583"/>
      <c r="AI22" s="581"/>
      <c r="AJ22" s="583"/>
      <c r="AK22" s="581"/>
      <c r="AL22" s="583"/>
      <c r="AM22" s="584"/>
      <c r="AN22" s="583"/>
      <c r="AO22" s="581"/>
      <c r="AP22" s="583"/>
      <c r="AQ22" s="584"/>
      <c r="AR22" s="583"/>
      <c r="AS22" s="583"/>
      <c r="AT22" s="583"/>
      <c r="AU22" s="584"/>
      <c r="AV22" s="583"/>
      <c r="AW22" s="583"/>
      <c r="AX22" s="158"/>
      <c r="AY22" s="154"/>
      <c r="AZ22">
        <f ca="1">INDIRECT(ADDRESS(ROW()+1,COLUMN(Arbeitszeit!xDay),,,"Arbeitszeit"))</f>
        <v>6</v>
      </c>
    </row>
    <row r="23" spans="1:52">
      <c r="A23" s="523">
        <f>Arbeitszeit!A24</f>
        <v>42387</v>
      </c>
      <c r="B23" s="524">
        <f t="shared" si="0"/>
        <v>42387</v>
      </c>
      <c r="C23" s="191">
        <f t="shared" si="1"/>
        <v>3</v>
      </c>
      <c r="D23" s="190">
        <f t="shared" si="2"/>
        <v>42369</v>
      </c>
      <c r="E23" s="593">
        <f>Arbeitszeit!V24*24</f>
        <v>0</v>
      </c>
      <c r="F23" s="352">
        <f t="shared" si="3"/>
        <v>0</v>
      </c>
      <c r="G23" s="155">
        <f>IF(Arbeitszeit!F24=Urlaub,B_WorkTime*24,)</f>
        <v>0</v>
      </c>
      <c r="H23" s="153"/>
      <c r="I23" s="155">
        <f>IF(Arbeitszeit!F24=Krank,B_WorkTime*24,)</f>
        <v>0</v>
      </c>
      <c r="J23" s="153"/>
      <c r="K23" s="156"/>
      <c r="L23" s="157"/>
      <c r="M23" s="581"/>
      <c r="N23" s="582"/>
      <c r="O23" s="581"/>
      <c r="P23" s="582"/>
      <c r="Q23" s="581"/>
      <c r="R23" s="582"/>
      <c r="S23" s="581"/>
      <c r="T23" s="582"/>
      <c r="U23" s="581"/>
      <c r="V23" s="582"/>
      <c r="W23" s="581"/>
      <c r="X23" s="582"/>
      <c r="Y23" s="581"/>
      <c r="Z23" s="582"/>
      <c r="AA23" s="581"/>
      <c r="AB23" s="582"/>
      <c r="AC23" s="581"/>
      <c r="AD23" s="582"/>
      <c r="AE23" s="581"/>
      <c r="AF23" s="583"/>
      <c r="AG23" s="581"/>
      <c r="AH23" s="583"/>
      <c r="AI23" s="581"/>
      <c r="AJ23" s="583"/>
      <c r="AK23" s="581"/>
      <c r="AL23" s="583"/>
      <c r="AM23" s="584"/>
      <c r="AN23" s="583"/>
      <c r="AO23" s="581"/>
      <c r="AP23" s="583"/>
      <c r="AQ23" s="584"/>
      <c r="AR23" s="583"/>
      <c r="AS23" s="583"/>
      <c r="AT23" s="583"/>
      <c r="AU23" s="584"/>
      <c r="AV23" s="583"/>
      <c r="AW23" s="583"/>
      <c r="AX23" s="158"/>
      <c r="AY23" s="154"/>
      <c r="AZ23">
        <f ca="1">INDIRECT(ADDRESS(ROW()+1,COLUMN(Arbeitszeit!xDay),,,"Arbeitszeit"))</f>
        <v>7</v>
      </c>
    </row>
    <row r="24" spans="1:52">
      <c r="A24" s="523">
        <f>Arbeitszeit!A25</f>
        <v>42388</v>
      </c>
      <c r="B24" s="524">
        <f t="shared" si="0"/>
        <v>42388</v>
      </c>
      <c r="C24" s="191">
        <f t="shared" si="1"/>
        <v>4</v>
      </c>
      <c r="D24" s="190">
        <f t="shared" si="2"/>
        <v>42369</v>
      </c>
      <c r="E24" s="593">
        <f>Arbeitszeit!V25*24</f>
        <v>0</v>
      </c>
      <c r="F24" s="352">
        <f t="shared" si="3"/>
        <v>0</v>
      </c>
      <c r="G24" s="155">
        <f>IF(Arbeitszeit!F25=Urlaub,B_WorkTime*24,)</f>
        <v>0</v>
      </c>
      <c r="H24" s="153"/>
      <c r="I24" s="155">
        <f>IF(Arbeitszeit!F25=Krank,B_WorkTime*24,)</f>
        <v>0</v>
      </c>
      <c r="J24" s="153"/>
      <c r="K24" s="156"/>
      <c r="L24" s="157"/>
      <c r="M24" s="581"/>
      <c r="N24" s="582"/>
      <c r="O24" s="581"/>
      <c r="P24" s="582"/>
      <c r="Q24" s="581"/>
      <c r="R24" s="582"/>
      <c r="S24" s="581"/>
      <c r="T24" s="582"/>
      <c r="U24" s="581"/>
      <c r="V24" s="582"/>
      <c r="W24" s="581"/>
      <c r="X24" s="582"/>
      <c r="Y24" s="581"/>
      <c r="Z24" s="582"/>
      <c r="AA24" s="581"/>
      <c r="AB24" s="582"/>
      <c r="AC24" s="581"/>
      <c r="AD24" s="582"/>
      <c r="AE24" s="581"/>
      <c r="AF24" s="583"/>
      <c r="AG24" s="581"/>
      <c r="AH24" s="583"/>
      <c r="AI24" s="581"/>
      <c r="AJ24" s="583"/>
      <c r="AK24" s="581"/>
      <c r="AL24" s="583"/>
      <c r="AM24" s="584"/>
      <c r="AN24" s="583"/>
      <c r="AO24" s="581"/>
      <c r="AP24" s="583"/>
      <c r="AQ24" s="584"/>
      <c r="AR24" s="583"/>
      <c r="AS24" s="583"/>
      <c r="AT24" s="583"/>
      <c r="AU24" s="584"/>
      <c r="AV24" s="583"/>
      <c r="AW24" s="583"/>
      <c r="AX24" s="158"/>
      <c r="AY24" s="154"/>
      <c r="AZ24">
        <f ca="1">INDIRECT(ADDRESS(ROW()+1,COLUMN(Arbeitszeit!xDay),,,"Arbeitszeit"))</f>
        <v>1</v>
      </c>
    </row>
    <row r="25" spans="1:52">
      <c r="A25" s="523">
        <f>Arbeitszeit!A26</f>
        <v>42389</v>
      </c>
      <c r="B25" s="524">
        <f t="shared" si="0"/>
        <v>42389</v>
      </c>
      <c r="C25" s="191">
        <f t="shared" si="1"/>
        <v>4</v>
      </c>
      <c r="D25" s="190">
        <f t="shared" si="2"/>
        <v>42369</v>
      </c>
      <c r="E25" s="593">
        <f>Arbeitszeit!V26*24</f>
        <v>0</v>
      </c>
      <c r="F25" s="352">
        <f t="shared" si="3"/>
        <v>0</v>
      </c>
      <c r="G25" s="155">
        <f>IF(Arbeitszeit!F26=Urlaub,B_WorkTime*24,)</f>
        <v>0</v>
      </c>
      <c r="H25" s="153"/>
      <c r="I25" s="155">
        <f>IF(Arbeitszeit!F26=Krank,B_WorkTime*24,)</f>
        <v>0</v>
      </c>
      <c r="J25" s="153"/>
      <c r="K25" s="156"/>
      <c r="L25" s="157"/>
      <c r="M25" s="581"/>
      <c r="N25" s="582"/>
      <c r="O25" s="581"/>
      <c r="P25" s="582"/>
      <c r="Q25" s="581"/>
      <c r="R25" s="582"/>
      <c r="S25" s="581"/>
      <c r="T25" s="582"/>
      <c r="U25" s="581"/>
      <c r="V25" s="582"/>
      <c r="W25" s="581"/>
      <c r="X25" s="582"/>
      <c r="Y25" s="581"/>
      <c r="Z25" s="582"/>
      <c r="AA25" s="581"/>
      <c r="AB25" s="582"/>
      <c r="AC25" s="581"/>
      <c r="AD25" s="582"/>
      <c r="AE25" s="581"/>
      <c r="AF25" s="583"/>
      <c r="AG25" s="581"/>
      <c r="AH25" s="583"/>
      <c r="AI25" s="581"/>
      <c r="AJ25" s="583"/>
      <c r="AK25" s="581"/>
      <c r="AL25" s="583"/>
      <c r="AM25" s="584"/>
      <c r="AN25" s="583"/>
      <c r="AO25" s="581"/>
      <c r="AP25" s="583"/>
      <c r="AQ25" s="584"/>
      <c r="AR25" s="583"/>
      <c r="AS25" s="583"/>
      <c r="AT25" s="583"/>
      <c r="AU25" s="584"/>
      <c r="AV25" s="583"/>
      <c r="AW25" s="583"/>
      <c r="AX25" s="158"/>
      <c r="AY25" s="154"/>
      <c r="AZ25">
        <f ca="1">INDIRECT(ADDRESS(ROW()+1,COLUMN(Arbeitszeit!xDay),,,"Arbeitszeit"))</f>
        <v>2</v>
      </c>
    </row>
    <row r="26" spans="1:52">
      <c r="A26" s="523">
        <f>Arbeitszeit!A27</f>
        <v>42390</v>
      </c>
      <c r="B26" s="524">
        <f t="shared" si="0"/>
        <v>42390</v>
      </c>
      <c r="C26" s="191">
        <f t="shared" si="1"/>
        <v>4</v>
      </c>
      <c r="D26" s="190">
        <f t="shared" si="2"/>
        <v>42369</v>
      </c>
      <c r="E26" s="593">
        <f>Arbeitszeit!V27*24</f>
        <v>0</v>
      </c>
      <c r="F26" s="352">
        <f t="shared" si="3"/>
        <v>0</v>
      </c>
      <c r="G26" s="155">
        <f>IF(Arbeitszeit!F27=Urlaub,B_WorkTime*24,)</f>
        <v>0</v>
      </c>
      <c r="H26" s="153"/>
      <c r="I26" s="155">
        <f>IF(Arbeitszeit!F27=Krank,B_WorkTime*24,)</f>
        <v>0</v>
      </c>
      <c r="J26" s="153"/>
      <c r="K26" s="156"/>
      <c r="L26" s="157"/>
      <c r="M26" s="581"/>
      <c r="N26" s="582"/>
      <c r="O26" s="581"/>
      <c r="P26" s="582"/>
      <c r="Q26" s="581"/>
      <c r="R26" s="582"/>
      <c r="S26" s="581"/>
      <c r="T26" s="582"/>
      <c r="U26" s="581"/>
      <c r="V26" s="582"/>
      <c r="W26" s="581"/>
      <c r="X26" s="582"/>
      <c r="Y26" s="581"/>
      <c r="Z26" s="582"/>
      <c r="AA26" s="581"/>
      <c r="AB26" s="582"/>
      <c r="AC26" s="581"/>
      <c r="AD26" s="582"/>
      <c r="AE26" s="581"/>
      <c r="AF26" s="583"/>
      <c r="AG26" s="581"/>
      <c r="AH26" s="583"/>
      <c r="AI26" s="581"/>
      <c r="AJ26" s="583"/>
      <c r="AK26" s="581"/>
      <c r="AL26" s="583"/>
      <c r="AM26" s="584"/>
      <c r="AN26" s="583"/>
      <c r="AO26" s="581"/>
      <c r="AP26" s="583"/>
      <c r="AQ26" s="584"/>
      <c r="AR26" s="583"/>
      <c r="AS26" s="583"/>
      <c r="AT26" s="583"/>
      <c r="AU26" s="584"/>
      <c r="AV26" s="583"/>
      <c r="AW26" s="583"/>
      <c r="AX26" s="158"/>
      <c r="AY26" s="154"/>
      <c r="AZ26">
        <f ca="1">INDIRECT(ADDRESS(ROW()+1,COLUMN(Arbeitszeit!xDay),,,"Arbeitszeit"))</f>
        <v>3</v>
      </c>
    </row>
    <row r="27" spans="1:52">
      <c r="A27" s="523">
        <f>Arbeitszeit!A28</f>
        <v>42391</v>
      </c>
      <c r="B27" s="524">
        <f t="shared" si="0"/>
        <v>42391</v>
      </c>
      <c r="C27" s="191">
        <f t="shared" si="1"/>
        <v>4</v>
      </c>
      <c r="D27" s="190">
        <f t="shared" si="2"/>
        <v>42369</v>
      </c>
      <c r="E27" s="593">
        <f>Arbeitszeit!V28*24</f>
        <v>0</v>
      </c>
      <c r="F27" s="352">
        <f t="shared" si="3"/>
        <v>0</v>
      </c>
      <c r="G27" s="155">
        <f>IF(Arbeitszeit!F28=Urlaub,B_WorkTime*24,)</f>
        <v>0</v>
      </c>
      <c r="H27" s="153"/>
      <c r="I27" s="155">
        <f>IF(Arbeitszeit!F28=Krank,B_WorkTime*24,)</f>
        <v>0</v>
      </c>
      <c r="J27" s="153"/>
      <c r="K27" s="156"/>
      <c r="L27" s="157"/>
      <c r="M27" s="581"/>
      <c r="N27" s="582"/>
      <c r="O27" s="581"/>
      <c r="P27" s="582"/>
      <c r="Q27" s="581"/>
      <c r="R27" s="582"/>
      <c r="S27" s="581"/>
      <c r="T27" s="582"/>
      <c r="U27" s="581"/>
      <c r="V27" s="582"/>
      <c r="W27" s="581"/>
      <c r="X27" s="582"/>
      <c r="Y27" s="581"/>
      <c r="Z27" s="582"/>
      <c r="AA27" s="581"/>
      <c r="AB27" s="582"/>
      <c r="AC27" s="581"/>
      <c r="AD27" s="582"/>
      <c r="AE27" s="581"/>
      <c r="AF27" s="583"/>
      <c r="AG27" s="581"/>
      <c r="AH27" s="583"/>
      <c r="AI27" s="581"/>
      <c r="AJ27" s="583"/>
      <c r="AK27" s="581"/>
      <c r="AL27" s="583"/>
      <c r="AM27" s="584"/>
      <c r="AN27" s="583"/>
      <c r="AO27" s="581"/>
      <c r="AP27" s="583"/>
      <c r="AQ27" s="584"/>
      <c r="AR27" s="583"/>
      <c r="AS27" s="583"/>
      <c r="AT27" s="583"/>
      <c r="AU27" s="584"/>
      <c r="AV27" s="583"/>
      <c r="AW27" s="583"/>
      <c r="AX27" s="158"/>
      <c r="AY27" s="154"/>
      <c r="AZ27">
        <f ca="1">INDIRECT(ADDRESS(ROW()+1,COLUMN(Arbeitszeit!xDay),,,"Arbeitszeit"))</f>
        <v>4</v>
      </c>
    </row>
    <row r="28" spans="1:52">
      <c r="A28" s="523">
        <f>Arbeitszeit!A29</f>
        <v>42392</v>
      </c>
      <c r="B28" s="524">
        <f t="shared" si="0"/>
        <v>42392</v>
      </c>
      <c r="C28" s="191">
        <f t="shared" si="1"/>
        <v>4</v>
      </c>
      <c r="D28" s="190">
        <f t="shared" si="2"/>
        <v>42369</v>
      </c>
      <c r="E28" s="593">
        <f>Arbeitszeit!V29*24</f>
        <v>0</v>
      </c>
      <c r="F28" s="352">
        <f t="shared" si="3"/>
        <v>0</v>
      </c>
      <c r="G28" s="155">
        <f>IF(Arbeitszeit!F29=Urlaub,B_WorkTime*24,)</f>
        <v>0</v>
      </c>
      <c r="H28" s="153"/>
      <c r="I28" s="155">
        <f>IF(Arbeitszeit!F29=Krank,B_WorkTime*24,)</f>
        <v>0</v>
      </c>
      <c r="J28" s="153"/>
      <c r="K28" s="156"/>
      <c r="L28" s="157"/>
      <c r="M28" s="581"/>
      <c r="N28" s="582"/>
      <c r="O28" s="581"/>
      <c r="P28" s="582"/>
      <c r="Q28" s="581"/>
      <c r="R28" s="582"/>
      <c r="S28" s="581"/>
      <c r="T28" s="582"/>
      <c r="U28" s="581"/>
      <c r="V28" s="582"/>
      <c r="W28" s="581"/>
      <c r="X28" s="582"/>
      <c r="Y28" s="581"/>
      <c r="Z28" s="582"/>
      <c r="AA28" s="581"/>
      <c r="AB28" s="582"/>
      <c r="AC28" s="581"/>
      <c r="AD28" s="582"/>
      <c r="AE28" s="581"/>
      <c r="AF28" s="583"/>
      <c r="AG28" s="581"/>
      <c r="AH28" s="583"/>
      <c r="AI28" s="581"/>
      <c r="AJ28" s="583"/>
      <c r="AK28" s="581"/>
      <c r="AL28" s="583"/>
      <c r="AM28" s="584"/>
      <c r="AN28" s="583"/>
      <c r="AO28" s="581"/>
      <c r="AP28" s="583"/>
      <c r="AQ28" s="584"/>
      <c r="AR28" s="583"/>
      <c r="AS28" s="583"/>
      <c r="AT28" s="583"/>
      <c r="AU28" s="584"/>
      <c r="AV28" s="583"/>
      <c r="AW28" s="583"/>
      <c r="AX28" s="158"/>
      <c r="AY28" s="154"/>
      <c r="AZ28">
        <f ca="1">INDIRECT(ADDRESS(ROW()+1,COLUMN(Arbeitszeit!xDay),,,"Arbeitszeit"))</f>
        <v>5</v>
      </c>
    </row>
    <row r="29" spans="1:52">
      <c r="A29" s="523">
        <f>Arbeitszeit!A30</f>
        <v>42393</v>
      </c>
      <c r="B29" s="524">
        <f t="shared" si="0"/>
        <v>42393</v>
      </c>
      <c r="C29" s="191">
        <f t="shared" si="1"/>
        <v>4</v>
      </c>
      <c r="D29" s="190">
        <f t="shared" si="2"/>
        <v>42369</v>
      </c>
      <c r="E29" s="593">
        <f>Arbeitszeit!V30*24</f>
        <v>0</v>
      </c>
      <c r="F29" s="352">
        <f t="shared" si="3"/>
        <v>0</v>
      </c>
      <c r="G29" s="155">
        <f>IF(Arbeitszeit!F30=Urlaub,B_WorkTime*24,)</f>
        <v>0</v>
      </c>
      <c r="H29" s="153"/>
      <c r="I29" s="155">
        <f>IF(Arbeitszeit!F30=Krank,B_WorkTime*24,)</f>
        <v>0</v>
      </c>
      <c r="J29" s="153"/>
      <c r="K29" s="156"/>
      <c r="L29" s="157"/>
      <c r="M29" s="581"/>
      <c r="N29" s="582"/>
      <c r="O29" s="581"/>
      <c r="P29" s="582"/>
      <c r="Q29" s="581"/>
      <c r="R29" s="582"/>
      <c r="S29" s="581"/>
      <c r="T29" s="582"/>
      <c r="U29" s="581"/>
      <c r="V29" s="582"/>
      <c r="W29" s="581"/>
      <c r="X29" s="582"/>
      <c r="Y29" s="581"/>
      <c r="Z29" s="582"/>
      <c r="AA29" s="581"/>
      <c r="AB29" s="582"/>
      <c r="AC29" s="581"/>
      <c r="AD29" s="582"/>
      <c r="AE29" s="581"/>
      <c r="AF29" s="583"/>
      <c r="AG29" s="581"/>
      <c r="AH29" s="583"/>
      <c r="AI29" s="581"/>
      <c r="AJ29" s="583"/>
      <c r="AK29" s="581"/>
      <c r="AL29" s="583"/>
      <c r="AM29" s="584"/>
      <c r="AN29" s="583"/>
      <c r="AO29" s="581"/>
      <c r="AP29" s="583"/>
      <c r="AQ29" s="584"/>
      <c r="AR29" s="583"/>
      <c r="AS29" s="583"/>
      <c r="AT29" s="583"/>
      <c r="AU29" s="584"/>
      <c r="AV29" s="583"/>
      <c r="AW29" s="583"/>
      <c r="AX29" s="158"/>
      <c r="AY29" s="154"/>
      <c r="AZ29">
        <f ca="1">INDIRECT(ADDRESS(ROW()+1,COLUMN(Arbeitszeit!xDay),,,"Arbeitszeit"))</f>
        <v>6</v>
      </c>
    </row>
    <row r="30" spans="1:52">
      <c r="A30" s="523">
        <f>Arbeitszeit!A31</f>
        <v>42394</v>
      </c>
      <c r="B30" s="524">
        <f t="shared" si="0"/>
        <v>42394</v>
      </c>
      <c r="C30" s="191">
        <f t="shared" si="1"/>
        <v>4</v>
      </c>
      <c r="D30" s="190">
        <f t="shared" si="2"/>
        <v>42369</v>
      </c>
      <c r="E30" s="593">
        <f>Arbeitszeit!V31*24</f>
        <v>0</v>
      </c>
      <c r="F30" s="352">
        <f t="shared" si="3"/>
        <v>0</v>
      </c>
      <c r="G30" s="155">
        <f>IF(Arbeitszeit!F31=Urlaub,B_WorkTime*24,)</f>
        <v>0</v>
      </c>
      <c r="H30" s="153"/>
      <c r="I30" s="155">
        <f>IF(Arbeitszeit!F31=Krank,B_WorkTime*24,)</f>
        <v>0</v>
      </c>
      <c r="J30" s="153"/>
      <c r="K30" s="156"/>
      <c r="L30" s="157"/>
      <c r="M30" s="581"/>
      <c r="N30" s="582"/>
      <c r="O30" s="581"/>
      <c r="P30" s="582"/>
      <c r="Q30" s="581"/>
      <c r="R30" s="582"/>
      <c r="S30" s="581"/>
      <c r="T30" s="582"/>
      <c r="U30" s="581"/>
      <c r="V30" s="582"/>
      <c r="W30" s="581"/>
      <c r="X30" s="582"/>
      <c r="Y30" s="581"/>
      <c r="Z30" s="582"/>
      <c r="AA30" s="581"/>
      <c r="AB30" s="582"/>
      <c r="AC30" s="581"/>
      <c r="AD30" s="582"/>
      <c r="AE30" s="581"/>
      <c r="AF30" s="583"/>
      <c r="AG30" s="581"/>
      <c r="AH30" s="583"/>
      <c r="AI30" s="581"/>
      <c r="AJ30" s="583"/>
      <c r="AK30" s="581"/>
      <c r="AL30" s="583"/>
      <c r="AM30" s="584"/>
      <c r="AN30" s="583"/>
      <c r="AO30" s="581"/>
      <c r="AP30" s="583"/>
      <c r="AQ30" s="584"/>
      <c r="AR30" s="583"/>
      <c r="AS30" s="583"/>
      <c r="AT30" s="583"/>
      <c r="AU30" s="584"/>
      <c r="AV30" s="583"/>
      <c r="AW30" s="583"/>
      <c r="AX30" s="158"/>
      <c r="AY30" s="154"/>
      <c r="AZ30">
        <f ca="1">INDIRECT(ADDRESS(ROW()+1,COLUMN(Arbeitszeit!xDay),,,"Arbeitszeit"))</f>
        <v>7</v>
      </c>
    </row>
    <row r="31" spans="1:52">
      <c r="A31" s="523">
        <f>Arbeitszeit!A32</f>
        <v>42395</v>
      </c>
      <c r="B31" s="524">
        <f t="shared" si="0"/>
        <v>42395</v>
      </c>
      <c r="C31" s="191">
        <f t="shared" si="1"/>
        <v>5</v>
      </c>
      <c r="D31" s="190">
        <f t="shared" si="2"/>
        <v>42369</v>
      </c>
      <c r="E31" s="593">
        <f>Arbeitszeit!V32*24</f>
        <v>0</v>
      </c>
      <c r="F31" s="352">
        <f t="shared" si="3"/>
        <v>0</v>
      </c>
      <c r="G31" s="155">
        <f>IF(Arbeitszeit!F32=Urlaub,B_WorkTime*24,)</f>
        <v>0</v>
      </c>
      <c r="H31" s="153"/>
      <c r="I31" s="155">
        <f>IF(Arbeitszeit!F32=Krank,B_WorkTime*24,)</f>
        <v>0</v>
      </c>
      <c r="J31" s="153"/>
      <c r="K31" s="156"/>
      <c r="L31" s="157"/>
      <c r="M31" s="581"/>
      <c r="N31" s="582"/>
      <c r="O31" s="581"/>
      <c r="P31" s="582"/>
      <c r="Q31" s="581"/>
      <c r="R31" s="582"/>
      <c r="S31" s="581"/>
      <c r="T31" s="582"/>
      <c r="U31" s="581"/>
      <c r="V31" s="582"/>
      <c r="W31" s="581"/>
      <c r="X31" s="582"/>
      <c r="Y31" s="581"/>
      <c r="Z31" s="582"/>
      <c r="AA31" s="581"/>
      <c r="AB31" s="582"/>
      <c r="AC31" s="581"/>
      <c r="AD31" s="582"/>
      <c r="AE31" s="581"/>
      <c r="AF31" s="583"/>
      <c r="AG31" s="581"/>
      <c r="AH31" s="583"/>
      <c r="AI31" s="581"/>
      <c r="AJ31" s="583"/>
      <c r="AK31" s="581"/>
      <c r="AL31" s="583"/>
      <c r="AM31" s="584"/>
      <c r="AN31" s="583"/>
      <c r="AO31" s="581"/>
      <c r="AP31" s="583"/>
      <c r="AQ31" s="584"/>
      <c r="AR31" s="583"/>
      <c r="AS31" s="583"/>
      <c r="AT31" s="583"/>
      <c r="AU31" s="584"/>
      <c r="AV31" s="583"/>
      <c r="AW31" s="583"/>
      <c r="AX31" s="158"/>
      <c r="AY31" s="154"/>
      <c r="AZ31">
        <f ca="1">INDIRECT(ADDRESS(ROW()+1,COLUMN(Arbeitszeit!xDay),,,"Arbeitszeit"))</f>
        <v>1</v>
      </c>
    </row>
    <row r="32" spans="1:52">
      <c r="A32" s="523">
        <f>Arbeitszeit!A33</f>
        <v>42396</v>
      </c>
      <c r="B32" s="524">
        <f t="shared" si="0"/>
        <v>42396</v>
      </c>
      <c r="C32" s="191">
        <f t="shared" si="1"/>
        <v>5</v>
      </c>
      <c r="D32" s="190">
        <f t="shared" si="2"/>
        <v>42369</v>
      </c>
      <c r="E32" s="593">
        <f>Arbeitszeit!V33*24</f>
        <v>0</v>
      </c>
      <c r="F32" s="352">
        <f t="shared" si="3"/>
        <v>0</v>
      </c>
      <c r="G32" s="155">
        <f>IF(Arbeitszeit!F33=Urlaub,B_WorkTime*24,)</f>
        <v>0</v>
      </c>
      <c r="H32" s="153"/>
      <c r="I32" s="155">
        <f>IF(Arbeitszeit!F33=Krank,B_WorkTime*24,)</f>
        <v>0</v>
      </c>
      <c r="J32" s="153"/>
      <c r="K32" s="156"/>
      <c r="L32" s="157"/>
      <c r="M32" s="581"/>
      <c r="N32" s="582"/>
      <c r="O32" s="581"/>
      <c r="P32" s="582"/>
      <c r="Q32" s="581"/>
      <c r="R32" s="582"/>
      <c r="S32" s="581"/>
      <c r="T32" s="582"/>
      <c r="U32" s="581"/>
      <c r="V32" s="582"/>
      <c r="W32" s="581"/>
      <c r="X32" s="582"/>
      <c r="Y32" s="581"/>
      <c r="Z32" s="582"/>
      <c r="AA32" s="581"/>
      <c r="AB32" s="582"/>
      <c r="AC32" s="581"/>
      <c r="AD32" s="582"/>
      <c r="AE32" s="581"/>
      <c r="AF32" s="583"/>
      <c r="AG32" s="581"/>
      <c r="AH32" s="583"/>
      <c r="AI32" s="581"/>
      <c r="AJ32" s="583"/>
      <c r="AK32" s="581"/>
      <c r="AL32" s="583"/>
      <c r="AM32" s="584"/>
      <c r="AN32" s="583"/>
      <c r="AO32" s="581"/>
      <c r="AP32" s="583"/>
      <c r="AQ32" s="584"/>
      <c r="AR32" s="583"/>
      <c r="AS32" s="583"/>
      <c r="AT32" s="583"/>
      <c r="AU32" s="584"/>
      <c r="AV32" s="583"/>
      <c r="AW32" s="583"/>
      <c r="AX32" s="158"/>
      <c r="AY32" s="154"/>
      <c r="AZ32">
        <f ca="1">INDIRECT(ADDRESS(ROW()+1,COLUMN(Arbeitszeit!xDay),,,"Arbeitszeit"))</f>
        <v>2</v>
      </c>
    </row>
    <row r="33" spans="1:52">
      <c r="A33" s="523">
        <f>Arbeitszeit!A34</f>
        <v>42397</v>
      </c>
      <c r="B33" s="524">
        <f t="shared" si="0"/>
        <v>42397</v>
      </c>
      <c r="C33" s="191">
        <f t="shared" si="1"/>
        <v>5</v>
      </c>
      <c r="D33" s="190">
        <f t="shared" si="2"/>
        <v>42369</v>
      </c>
      <c r="E33" s="593">
        <f>Arbeitszeit!V34*24</f>
        <v>0</v>
      </c>
      <c r="F33" s="352">
        <f t="shared" si="3"/>
        <v>0</v>
      </c>
      <c r="G33" s="155">
        <f>IF(Arbeitszeit!F34=Urlaub,B_WorkTime*24,)</f>
        <v>0</v>
      </c>
      <c r="H33" s="153"/>
      <c r="I33" s="155">
        <f>IF(Arbeitszeit!F34=Krank,B_WorkTime*24,)</f>
        <v>0</v>
      </c>
      <c r="J33" s="153"/>
      <c r="K33" s="156"/>
      <c r="L33" s="157"/>
      <c r="M33" s="581"/>
      <c r="N33" s="582"/>
      <c r="O33" s="581"/>
      <c r="P33" s="582"/>
      <c r="Q33" s="581"/>
      <c r="R33" s="582"/>
      <c r="S33" s="581"/>
      <c r="T33" s="582"/>
      <c r="U33" s="581"/>
      <c r="V33" s="582"/>
      <c r="W33" s="581"/>
      <c r="X33" s="582"/>
      <c r="Y33" s="581"/>
      <c r="Z33" s="582"/>
      <c r="AA33" s="581"/>
      <c r="AB33" s="582"/>
      <c r="AC33" s="581"/>
      <c r="AD33" s="582"/>
      <c r="AE33" s="581"/>
      <c r="AF33" s="583"/>
      <c r="AG33" s="581"/>
      <c r="AH33" s="583"/>
      <c r="AI33" s="581"/>
      <c r="AJ33" s="583"/>
      <c r="AK33" s="581"/>
      <c r="AL33" s="583"/>
      <c r="AM33" s="584"/>
      <c r="AN33" s="583"/>
      <c r="AO33" s="581"/>
      <c r="AP33" s="583"/>
      <c r="AQ33" s="584"/>
      <c r="AR33" s="583"/>
      <c r="AS33" s="583"/>
      <c r="AT33" s="583"/>
      <c r="AU33" s="584"/>
      <c r="AV33" s="583"/>
      <c r="AW33" s="583"/>
      <c r="AX33" s="158"/>
      <c r="AY33" s="154"/>
      <c r="AZ33">
        <f ca="1">INDIRECT(ADDRESS(ROW()+1,COLUMN(Arbeitszeit!xDay),,,"Arbeitszeit"))</f>
        <v>3</v>
      </c>
    </row>
    <row r="34" spans="1:52">
      <c r="A34" s="523">
        <f>Arbeitszeit!A35</f>
        <v>42398</v>
      </c>
      <c r="B34" s="524">
        <f t="shared" si="0"/>
        <v>42398</v>
      </c>
      <c r="C34" s="191">
        <f t="shared" si="1"/>
        <v>5</v>
      </c>
      <c r="D34" s="190">
        <f t="shared" si="2"/>
        <v>42369</v>
      </c>
      <c r="E34" s="593">
        <f>Arbeitszeit!V35*24</f>
        <v>0</v>
      </c>
      <c r="F34" s="352">
        <f t="shared" si="3"/>
        <v>0</v>
      </c>
      <c r="G34" s="155">
        <f>IF(Arbeitszeit!F35=Urlaub,B_WorkTime*24,)</f>
        <v>0</v>
      </c>
      <c r="H34" s="153"/>
      <c r="I34" s="155">
        <f>IF(Arbeitszeit!F35=Krank,B_WorkTime*24,)</f>
        <v>0</v>
      </c>
      <c r="J34" s="153"/>
      <c r="K34" s="156"/>
      <c r="L34" s="157"/>
      <c r="M34" s="581"/>
      <c r="N34" s="582"/>
      <c r="O34" s="581"/>
      <c r="P34" s="582"/>
      <c r="Q34" s="581"/>
      <c r="R34" s="582"/>
      <c r="S34" s="581"/>
      <c r="T34" s="582"/>
      <c r="U34" s="581"/>
      <c r="V34" s="582"/>
      <c r="W34" s="581"/>
      <c r="X34" s="582"/>
      <c r="Y34" s="581"/>
      <c r="Z34" s="582"/>
      <c r="AA34" s="581"/>
      <c r="AB34" s="582"/>
      <c r="AC34" s="581"/>
      <c r="AD34" s="582"/>
      <c r="AE34" s="581"/>
      <c r="AF34" s="583"/>
      <c r="AG34" s="581"/>
      <c r="AH34" s="583"/>
      <c r="AI34" s="581"/>
      <c r="AJ34" s="583"/>
      <c r="AK34" s="581"/>
      <c r="AL34" s="583"/>
      <c r="AM34" s="584"/>
      <c r="AN34" s="583"/>
      <c r="AO34" s="581"/>
      <c r="AP34" s="583"/>
      <c r="AQ34" s="584"/>
      <c r="AR34" s="583"/>
      <c r="AS34" s="583"/>
      <c r="AT34" s="583"/>
      <c r="AU34" s="584"/>
      <c r="AV34" s="583"/>
      <c r="AW34" s="583"/>
      <c r="AX34" s="158"/>
      <c r="AY34" s="154"/>
      <c r="AZ34">
        <f ca="1">INDIRECT(ADDRESS(ROW()+1,COLUMN(Arbeitszeit!xDay),,,"Arbeitszeit"))</f>
        <v>4</v>
      </c>
    </row>
    <row r="35" spans="1:52">
      <c r="A35" s="523">
        <f>Arbeitszeit!A36</f>
        <v>42399</v>
      </c>
      <c r="B35" s="524">
        <f t="shared" si="0"/>
        <v>42399</v>
      </c>
      <c r="C35" s="191">
        <f t="shared" si="1"/>
        <v>5</v>
      </c>
      <c r="D35" s="190">
        <f t="shared" si="2"/>
        <v>42369</v>
      </c>
      <c r="E35" s="593">
        <f>Arbeitszeit!V36*24</f>
        <v>0</v>
      </c>
      <c r="F35" s="352">
        <f t="shared" si="3"/>
        <v>0</v>
      </c>
      <c r="G35" s="155">
        <f>IF(Arbeitszeit!F36=Urlaub,B_WorkTime*24,)</f>
        <v>0</v>
      </c>
      <c r="H35" s="153"/>
      <c r="I35" s="155">
        <f>IF(Arbeitszeit!F36=Krank,B_WorkTime*24,)</f>
        <v>0</v>
      </c>
      <c r="J35" s="153"/>
      <c r="K35" s="156"/>
      <c r="L35" s="157"/>
      <c r="M35" s="581"/>
      <c r="N35" s="582"/>
      <c r="O35" s="581"/>
      <c r="P35" s="582"/>
      <c r="Q35" s="581"/>
      <c r="R35" s="582"/>
      <c r="S35" s="581"/>
      <c r="T35" s="582"/>
      <c r="U35" s="581"/>
      <c r="V35" s="582"/>
      <c r="W35" s="581"/>
      <c r="X35" s="582"/>
      <c r="Y35" s="581"/>
      <c r="Z35" s="582"/>
      <c r="AA35" s="581"/>
      <c r="AB35" s="582"/>
      <c r="AC35" s="581"/>
      <c r="AD35" s="582"/>
      <c r="AE35" s="581"/>
      <c r="AF35" s="583"/>
      <c r="AG35" s="581"/>
      <c r="AH35" s="583"/>
      <c r="AI35" s="581"/>
      <c r="AJ35" s="583"/>
      <c r="AK35" s="581"/>
      <c r="AL35" s="583"/>
      <c r="AM35" s="584"/>
      <c r="AN35" s="583"/>
      <c r="AO35" s="581"/>
      <c r="AP35" s="583"/>
      <c r="AQ35" s="584"/>
      <c r="AR35" s="583"/>
      <c r="AS35" s="583"/>
      <c r="AT35" s="583"/>
      <c r="AU35" s="584"/>
      <c r="AV35" s="583"/>
      <c r="AW35" s="583"/>
      <c r="AX35" s="158"/>
      <c r="AY35" s="154"/>
      <c r="AZ35">
        <f ca="1">INDIRECT(ADDRESS(ROW()+1,COLUMN(Arbeitszeit!xDay),,,"Arbeitszeit"))</f>
        <v>5</v>
      </c>
    </row>
    <row r="36" spans="1:52">
      <c r="A36" s="523">
        <f>Arbeitszeit!A37</f>
        <v>42400</v>
      </c>
      <c r="B36" s="524">
        <f t="shared" si="0"/>
        <v>42400</v>
      </c>
      <c r="C36" s="191">
        <f t="shared" si="1"/>
        <v>5</v>
      </c>
      <c r="D36" s="190">
        <f t="shared" si="2"/>
        <v>42400</v>
      </c>
      <c r="E36" s="593">
        <f>Arbeitszeit!V37*24</f>
        <v>0</v>
      </c>
      <c r="F36" s="352">
        <f t="shared" si="3"/>
        <v>0</v>
      </c>
      <c r="G36" s="155">
        <f>IF(Arbeitszeit!F37=Urlaub,B_WorkTime*24,)</f>
        <v>0</v>
      </c>
      <c r="H36" s="153"/>
      <c r="I36" s="155">
        <f>IF(Arbeitszeit!F37=Krank,B_WorkTime*24,)</f>
        <v>0</v>
      </c>
      <c r="J36" s="153"/>
      <c r="K36" s="156"/>
      <c r="L36" s="157"/>
      <c r="M36" s="581"/>
      <c r="N36" s="582"/>
      <c r="O36" s="581"/>
      <c r="P36" s="582"/>
      <c r="Q36" s="581"/>
      <c r="R36" s="582"/>
      <c r="S36" s="581"/>
      <c r="T36" s="582"/>
      <c r="U36" s="581"/>
      <c r="V36" s="582"/>
      <c r="W36" s="581"/>
      <c r="X36" s="582"/>
      <c r="Y36" s="581"/>
      <c r="Z36" s="582"/>
      <c r="AA36" s="581"/>
      <c r="AB36" s="582"/>
      <c r="AC36" s="581"/>
      <c r="AD36" s="582"/>
      <c r="AE36" s="581"/>
      <c r="AF36" s="583"/>
      <c r="AG36" s="581"/>
      <c r="AH36" s="583"/>
      <c r="AI36" s="581"/>
      <c r="AJ36" s="583"/>
      <c r="AK36" s="581"/>
      <c r="AL36" s="583"/>
      <c r="AM36" s="584"/>
      <c r="AN36" s="583"/>
      <c r="AO36" s="581"/>
      <c r="AP36" s="583"/>
      <c r="AQ36" s="584"/>
      <c r="AR36" s="583"/>
      <c r="AS36" s="583"/>
      <c r="AT36" s="583"/>
      <c r="AU36" s="584"/>
      <c r="AV36" s="583"/>
      <c r="AW36" s="583"/>
      <c r="AX36" s="158"/>
      <c r="AY36" s="154"/>
      <c r="AZ36">
        <f ca="1">INDIRECT(ADDRESS(ROW()+1,COLUMN(Arbeitszeit!xDay),,,"Arbeitszeit"))</f>
        <v>6</v>
      </c>
    </row>
    <row r="37" spans="1:52">
      <c r="A37" s="523">
        <f>Arbeitszeit!A38</f>
        <v>42401</v>
      </c>
      <c r="B37" s="524">
        <f t="shared" si="0"/>
        <v>42401</v>
      </c>
      <c r="C37" s="191">
        <f t="shared" si="1"/>
        <v>5</v>
      </c>
      <c r="D37" s="190">
        <f t="shared" si="2"/>
        <v>42400</v>
      </c>
      <c r="E37" s="593">
        <f>Arbeitszeit!V38*24</f>
        <v>0</v>
      </c>
      <c r="F37" s="352">
        <f t="shared" si="3"/>
        <v>0</v>
      </c>
      <c r="G37" s="155">
        <f>IF(Arbeitszeit!F38=Urlaub,B_WorkTime*24,)</f>
        <v>0</v>
      </c>
      <c r="H37" s="153"/>
      <c r="I37" s="155">
        <f>IF(Arbeitszeit!F38=Krank,B_WorkTime*24,)</f>
        <v>0</v>
      </c>
      <c r="J37" s="153"/>
      <c r="K37" s="156"/>
      <c r="L37" s="157"/>
      <c r="M37" s="581"/>
      <c r="N37" s="582"/>
      <c r="O37" s="581"/>
      <c r="P37" s="582"/>
      <c r="Q37" s="581"/>
      <c r="R37" s="582"/>
      <c r="S37" s="581"/>
      <c r="T37" s="582"/>
      <c r="U37" s="581"/>
      <c r="V37" s="582"/>
      <c r="W37" s="581"/>
      <c r="X37" s="582"/>
      <c r="Y37" s="581"/>
      <c r="Z37" s="582"/>
      <c r="AA37" s="581"/>
      <c r="AB37" s="582"/>
      <c r="AC37" s="581"/>
      <c r="AD37" s="582"/>
      <c r="AE37" s="581"/>
      <c r="AF37" s="583"/>
      <c r="AG37" s="581"/>
      <c r="AH37" s="583"/>
      <c r="AI37" s="581"/>
      <c r="AJ37" s="583"/>
      <c r="AK37" s="581"/>
      <c r="AL37" s="583"/>
      <c r="AM37" s="584"/>
      <c r="AN37" s="583"/>
      <c r="AO37" s="581"/>
      <c r="AP37" s="583"/>
      <c r="AQ37" s="584"/>
      <c r="AR37" s="583"/>
      <c r="AS37" s="583"/>
      <c r="AT37" s="583"/>
      <c r="AU37" s="584"/>
      <c r="AV37" s="583"/>
      <c r="AW37" s="583"/>
      <c r="AX37" s="158"/>
      <c r="AY37" s="154"/>
      <c r="AZ37">
        <f ca="1">INDIRECT(ADDRESS(ROW()+1,COLUMN(Arbeitszeit!xDay),,,"Arbeitszeit"))</f>
        <v>7</v>
      </c>
    </row>
    <row r="38" spans="1:52">
      <c r="A38" s="523">
        <f>Arbeitszeit!A39</f>
        <v>42402</v>
      </c>
      <c r="B38" s="524">
        <f t="shared" si="0"/>
        <v>42402</v>
      </c>
      <c r="C38" s="191">
        <f t="shared" si="1"/>
        <v>6</v>
      </c>
      <c r="D38" s="190">
        <f t="shared" si="2"/>
        <v>42400</v>
      </c>
      <c r="E38" s="593">
        <f>Arbeitszeit!V39*24</f>
        <v>0</v>
      </c>
      <c r="F38" s="352">
        <f t="shared" si="3"/>
        <v>0</v>
      </c>
      <c r="G38" s="155">
        <f>IF(Arbeitszeit!F39=Urlaub,B_WorkTime*24,)</f>
        <v>0</v>
      </c>
      <c r="H38" s="153"/>
      <c r="I38" s="155">
        <f>IF(Arbeitszeit!F39=Krank,B_WorkTime*24,)</f>
        <v>0</v>
      </c>
      <c r="J38" s="153"/>
      <c r="K38" s="156"/>
      <c r="L38" s="157"/>
      <c r="M38" s="581"/>
      <c r="N38" s="582"/>
      <c r="O38" s="581"/>
      <c r="P38" s="582"/>
      <c r="Q38" s="581"/>
      <c r="R38" s="582"/>
      <c r="S38" s="581"/>
      <c r="T38" s="582"/>
      <c r="U38" s="581"/>
      <c r="V38" s="582"/>
      <c r="W38" s="581"/>
      <c r="X38" s="582"/>
      <c r="Y38" s="581"/>
      <c r="Z38" s="582"/>
      <c r="AA38" s="581"/>
      <c r="AB38" s="582"/>
      <c r="AC38" s="581"/>
      <c r="AD38" s="582"/>
      <c r="AE38" s="581"/>
      <c r="AF38" s="583"/>
      <c r="AG38" s="581"/>
      <c r="AH38" s="583"/>
      <c r="AI38" s="581"/>
      <c r="AJ38" s="583"/>
      <c r="AK38" s="581"/>
      <c r="AL38" s="583"/>
      <c r="AM38" s="584"/>
      <c r="AN38" s="583"/>
      <c r="AO38" s="581"/>
      <c r="AP38" s="583"/>
      <c r="AQ38" s="584"/>
      <c r="AR38" s="583"/>
      <c r="AS38" s="583"/>
      <c r="AT38" s="583"/>
      <c r="AU38" s="584"/>
      <c r="AV38" s="583"/>
      <c r="AW38" s="583"/>
      <c r="AX38" s="158"/>
      <c r="AY38" s="154"/>
      <c r="AZ38">
        <f ca="1">INDIRECT(ADDRESS(ROW()+1,COLUMN(Arbeitszeit!xDay),,,"Arbeitszeit"))</f>
        <v>1</v>
      </c>
    </row>
    <row r="39" spans="1:52">
      <c r="A39" s="523">
        <f>Arbeitszeit!A40</f>
        <v>42403</v>
      </c>
      <c r="B39" s="524">
        <f t="shared" si="0"/>
        <v>42403</v>
      </c>
      <c r="C39" s="191">
        <f t="shared" si="1"/>
        <v>6</v>
      </c>
      <c r="D39" s="190">
        <f t="shared" si="2"/>
        <v>42400</v>
      </c>
      <c r="E39" s="593">
        <f>Arbeitszeit!V40*24</f>
        <v>0</v>
      </c>
      <c r="F39" s="352">
        <f t="shared" si="3"/>
        <v>0</v>
      </c>
      <c r="G39" s="155">
        <f>IF(Arbeitszeit!F40=Urlaub,B_WorkTime*24,)</f>
        <v>0</v>
      </c>
      <c r="H39" s="153"/>
      <c r="I39" s="155">
        <f>IF(Arbeitszeit!F40=Krank,B_WorkTime*24,)</f>
        <v>0</v>
      </c>
      <c r="J39" s="153"/>
      <c r="K39" s="156"/>
      <c r="L39" s="157"/>
      <c r="M39" s="581"/>
      <c r="N39" s="582"/>
      <c r="O39" s="581"/>
      <c r="P39" s="582"/>
      <c r="Q39" s="581"/>
      <c r="R39" s="582"/>
      <c r="S39" s="581"/>
      <c r="T39" s="582"/>
      <c r="U39" s="581"/>
      <c r="V39" s="582"/>
      <c r="W39" s="581"/>
      <c r="X39" s="582"/>
      <c r="Y39" s="581"/>
      <c r="Z39" s="582"/>
      <c r="AA39" s="581"/>
      <c r="AB39" s="582"/>
      <c r="AC39" s="581"/>
      <c r="AD39" s="582"/>
      <c r="AE39" s="581"/>
      <c r="AF39" s="583"/>
      <c r="AG39" s="581"/>
      <c r="AH39" s="583"/>
      <c r="AI39" s="581"/>
      <c r="AJ39" s="583"/>
      <c r="AK39" s="581"/>
      <c r="AL39" s="583"/>
      <c r="AM39" s="584"/>
      <c r="AN39" s="583"/>
      <c r="AO39" s="581"/>
      <c r="AP39" s="583"/>
      <c r="AQ39" s="584"/>
      <c r="AR39" s="583"/>
      <c r="AS39" s="583"/>
      <c r="AT39" s="583"/>
      <c r="AU39" s="584"/>
      <c r="AV39" s="583"/>
      <c r="AW39" s="583"/>
      <c r="AX39" s="158"/>
      <c r="AY39" s="154"/>
      <c r="AZ39">
        <f ca="1">INDIRECT(ADDRESS(ROW()+1,COLUMN(Arbeitszeit!xDay),,,"Arbeitszeit"))</f>
        <v>2</v>
      </c>
    </row>
    <row r="40" spans="1:52">
      <c r="A40" s="523">
        <f>Arbeitszeit!A41</f>
        <v>42404</v>
      </c>
      <c r="B40" s="524">
        <f t="shared" si="0"/>
        <v>42404</v>
      </c>
      <c r="C40" s="191">
        <f t="shared" si="1"/>
        <v>6</v>
      </c>
      <c r="D40" s="190">
        <f t="shared" si="2"/>
        <v>42400</v>
      </c>
      <c r="E40" s="593">
        <f>Arbeitszeit!V41*24</f>
        <v>0</v>
      </c>
      <c r="F40" s="352">
        <f t="shared" si="3"/>
        <v>0</v>
      </c>
      <c r="G40" s="155">
        <f>IF(Arbeitszeit!F41=Urlaub,B_WorkTime*24,)</f>
        <v>0</v>
      </c>
      <c r="H40" s="153"/>
      <c r="I40" s="155">
        <f>IF(Arbeitszeit!F41=Krank,B_WorkTime*24,)</f>
        <v>0</v>
      </c>
      <c r="J40" s="153"/>
      <c r="K40" s="156"/>
      <c r="L40" s="157"/>
      <c r="M40" s="581"/>
      <c r="N40" s="582"/>
      <c r="O40" s="581"/>
      <c r="P40" s="582"/>
      <c r="Q40" s="581"/>
      <c r="R40" s="582"/>
      <c r="S40" s="581"/>
      <c r="T40" s="582"/>
      <c r="U40" s="581"/>
      <c r="V40" s="582"/>
      <c r="W40" s="581"/>
      <c r="X40" s="582"/>
      <c r="Y40" s="581"/>
      <c r="Z40" s="582"/>
      <c r="AA40" s="581"/>
      <c r="AB40" s="582"/>
      <c r="AC40" s="581"/>
      <c r="AD40" s="582"/>
      <c r="AE40" s="581"/>
      <c r="AF40" s="583"/>
      <c r="AG40" s="581"/>
      <c r="AH40" s="583"/>
      <c r="AI40" s="581"/>
      <c r="AJ40" s="583"/>
      <c r="AK40" s="581"/>
      <c r="AL40" s="583"/>
      <c r="AM40" s="584"/>
      <c r="AN40" s="583"/>
      <c r="AO40" s="581"/>
      <c r="AP40" s="583"/>
      <c r="AQ40" s="584"/>
      <c r="AR40" s="583"/>
      <c r="AS40" s="583"/>
      <c r="AT40" s="583"/>
      <c r="AU40" s="584"/>
      <c r="AV40" s="583"/>
      <c r="AW40" s="583"/>
      <c r="AX40" s="158"/>
      <c r="AY40" s="154"/>
      <c r="AZ40">
        <f ca="1">INDIRECT(ADDRESS(ROW()+1,COLUMN(Arbeitszeit!xDay),,,"Arbeitszeit"))</f>
        <v>3</v>
      </c>
    </row>
    <row r="41" spans="1:52">
      <c r="A41" s="523">
        <f>Arbeitszeit!A42</f>
        <v>42405</v>
      </c>
      <c r="B41" s="524">
        <f t="shared" si="0"/>
        <v>42405</v>
      </c>
      <c r="C41" s="191">
        <f t="shared" si="1"/>
        <v>6</v>
      </c>
      <c r="D41" s="190">
        <f t="shared" si="2"/>
        <v>42400</v>
      </c>
      <c r="E41" s="593">
        <f>Arbeitszeit!V42*24</f>
        <v>0</v>
      </c>
      <c r="F41" s="352">
        <f t="shared" si="3"/>
        <v>0</v>
      </c>
      <c r="G41" s="155">
        <f>IF(Arbeitszeit!F42=Urlaub,B_WorkTime*24,)</f>
        <v>0</v>
      </c>
      <c r="H41" s="153"/>
      <c r="I41" s="155">
        <f>IF(Arbeitszeit!F42=Krank,B_WorkTime*24,)</f>
        <v>0</v>
      </c>
      <c r="J41" s="153"/>
      <c r="K41" s="156"/>
      <c r="L41" s="157"/>
      <c r="M41" s="581"/>
      <c r="N41" s="582"/>
      <c r="O41" s="581"/>
      <c r="P41" s="582"/>
      <c r="Q41" s="581"/>
      <c r="R41" s="582"/>
      <c r="S41" s="581"/>
      <c r="T41" s="582"/>
      <c r="U41" s="581"/>
      <c r="V41" s="582"/>
      <c r="W41" s="581"/>
      <c r="X41" s="582"/>
      <c r="Y41" s="581"/>
      <c r="Z41" s="582"/>
      <c r="AA41" s="581"/>
      <c r="AB41" s="582"/>
      <c r="AC41" s="581"/>
      <c r="AD41" s="582"/>
      <c r="AE41" s="581"/>
      <c r="AF41" s="583"/>
      <c r="AG41" s="581"/>
      <c r="AH41" s="583"/>
      <c r="AI41" s="581"/>
      <c r="AJ41" s="583"/>
      <c r="AK41" s="581"/>
      <c r="AL41" s="583"/>
      <c r="AM41" s="584"/>
      <c r="AN41" s="583"/>
      <c r="AO41" s="581"/>
      <c r="AP41" s="583"/>
      <c r="AQ41" s="584"/>
      <c r="AR41" s="583"/>
      <c r="AS41" s="583"/>
      <c r="AT41" s="583"/>
      <c r="AU41" s="584"/>
      <c r="AV41" s="583"/>
      <c r="AW41" s="583"/>
      <c r="AX41" s="158"/>
      <c r="AY41" s="154"/>
      <c r="AZ41">
        <f ca="1">INDIRECT(ADDRESS(ROW()+1,COLUMN(Arbeitszeit!xDay),,,"Arbeitszeit"))</f>
        <v>4</v>
      </c>
    </row>
    <row r="42" spans="1:52">
      <c r="A42" s="523">
        <f>Arbeitszeit!A43</f>
        <v>42406</v>
      </c>
      <c r="B42" s="524">
        <f t="shared" si="0"/>
        <v>42406</v>
      </c>
      <c r="C42" s="191">
        <f t="shared" si="1"/>
        <v>6</v>
      </c>
      <c r="D42" s="190">
        <f t="shared" si="2"/>
        <v>42400</v>
      </c>
      <c r="E42" s="593">
        <f>Arbeitszeit!V43*24</f>
        <v>0</v>
      </c>
      <c r="F42" s="352">
        <f t="shared" si="3"/>
        <v>0</v>
      </c>
      <c r="G42" s="155">
        <f>IF(Arbeitszeit!F43=Urlaub,B_WorkTime*24,)</f>
        <v>0</v>
      </c>
      <c r="H42" s="153"/>
      <c r="I42" s="155">
        <f>IF(Arbeitszeit!F43=Krank,B_WorkTime*24,)</f>
        <v>0</v>
      </c>
      <c r="J42" s="153"/>
      <c r="K42" s="156"/>
      <c r="L42" s="157"/>
      <c r="M42" s="581"/>
      <c r="N42" s="582"/>
      <c r="O42" s="581"/>
      <c r="P42" s="582"/>
      <c r="Q42" s="581"/>
      <c r="R42" s="582"/>
      <c r="S42" s="581"/>
      <c r="T42" s="582"/>
      <c r="U42" s="581"/>
      <c r="V42" s="582"/>
      <c r="W42" s="581"/>
      <c r="X42" s="582"/>
      <c r="Y42" s="581"/>
      <c r="Z42" s="582"/>
      <c r="AA42" s="581"/>
      <c r="AB42" s="582"/>
      <c r="AC42" s="581"/>
      <c r="AD42" s="582"/>
      <c r="AE42" s="581"/>
      <c r="AF42" s="583"/>
      <c r="AG42" s="581"/>
      <c r="AH42" s="583"/>
      <c r="AI42" s="581"/>
      <c r="AJ42" s="583"/>
      <c r="AK42" s="581"/>
      <c r="AL42" s="583"/>
      <c r="AM42" s="584"/>
      <c r="AN42" s="583"/>
      <c r="AO42" s="581"/>
      <c r="AP42" s="583"/>
      <c r="AQ42" s="584"/>
      <c r="AR42" s="583"/>
      <c r="AS42" s="583"/>
      <c r="AT42" s="583"/>
      <c r="AU42" s="584"/>
      <c r="AV42" s="583"/>
      <c r="AW42" s="583"/>
      <c r="AX42" s="158"/>
      <c r="AY42" s="154"/>
      <c r="AZ42">
        <f ca="1">INDIRECT(ADDRESS(ROW()+1,COLUMN(Arbeitszeit!xDay),,,"Arbeitszeit"))</f>
        <v>5</v>
      </c>
    </row>
    <row r="43" spans="1:52">
      <c r="A43" s="523">
        <f>Arbeitszeit!A44</f>
        <v>42407</v>
      </c>
      <c r="B43" s="524">
        <f t="shared" si="0"/>
        <v>42407</v>
      </c>
      <c r="C43" s="191">
        <f t="shared" si="1"/>
        <v>6</v>
      </c>
      <c r="D43" s="190">
        <f t="shared" si="2"/>
        <v>42400</v>
      </c>
      <c r="E43" s="593">
        <f>Arbeitszeit!V44*24</f>
        <v>0</v>
      </c>
      <c r="F43" s="352">
        <f t="shared" si="3"/>
        <v>0</v>
      </c>
      <c r="G43" s="155">
        <f>IF(Arbeitszeit!F44=Urlaub,B_WorkTime*24,)</f>
        <v>0</v>
      </c>
      <c r="H43" s="153"/>
      <c r="I43" s="155">
        <f>IF(Arbeitszeit!F44=Krank,B_WorkTime*24,)</f>
        <v>0</v>
      </c>
      <c r="J43" s="153"/>
      <c r="K43" s="156"/>
      <c r="L43" s="157"/>
      <c r="M43" s="581"/>
      <c r="N43" s="582"/>
      <c r="O43" s="581"/>
      <c r="P43" s="582"/>
      <c r="Q43" s="581"/>
      <c r="R43" s="582"/>
      <c r="S43" s="581"/>
      <c r="T43" s="582"/>
      <c r="U43" s="581"/>
      <c r="V43" s="582"/>
      <c r="W43" s="581"/>
      <c r="X43" s="582"/>
      <c r="Y43" s="581"/>
      <c r="Z43" s="582"/>
      <c r="AA43" s="581"/>
      <c r="AB43" s="582"/>
      <c r="AC43" s="581"/>
      <c r="AD43" s="582"/>
      <c r="AE43" s="581"/>
      <c r="AF43" s="583"/>
      <c r="AG43" s="581"/>
      <c r="AH43" s="583"/>
      <c r="AI43" s="581"/>
      <c r="AJ43" s="583"/>
      <c r="AK43" s="581"/>
      <c r="AL43" s="583"/>
      <c r="AM43" s="584"/>
      <c r="AN43" s="583"/>
      <c r="AO43" s="581"/>
      <c r="AP43" s="583"/>
      <c r="AQ43" s="584"/>
      <c r="AR43" s="583"/>
      <c r="AS43" s="583"/>
      <c r="AT43" s="583"/>
      <c r="AU43" s="584"/>
      <c r="AV43" s="583"/>
      <c r="AW43" s="583"/>
      <c r="AX43" s="158"/>
      <c r="AY43" s="154"/>
      <c r="AZ43">
        <f ca="1">INDIRECT(ADDRESS(ROW()+1,COLUMN(Arbeitszeit!xDay),,,"Arbeitszeit"))</f>
        <v>6</v>
      </c>
    </row>
    <row r="44" spans="1:52">
      <c r="A44" s="523">
        <f>Arbeitszeit!A45</f>
        <v>42408</v>
      </c>
      <c r="B44" s="524">
        <f t="shared" si="0"/>
        <v>42408</v>
      </c>
      <c r="C44" s="191">
        <f t="shared" si="1"/>
        <v>6</v>
      </c>
      <c r="D44" s="190">
        <f t="shared" si="2"/>
        <v>42400</v>
      </c>
      <c r="E44" s="593">
        <f>Arbeitszeit!V45*24</f>
        <v>0</v>
      </c>
      <c r="F44" s="352">
        <f t="shared" si="3"/>
        <v>0</v>
      </c>
      <c r="G44" s="155">
        <f>IF(Arbeitszeit!F45=Urlaub,B_WorkTime*24,)</f>
        <v>0</v>
      </c>
      <c r="H44" s="153"/>
      <c r="I44" s="155">
        <f>IF(Arbeitszeit!F45=Krank,B_WorkTime*24,)</f>
        <v>0</v>
      </c>
      <c r="J44" s="153"/>
      <c r="K44" s="156"/>
      <c r="L44" s="157"/>
      <c r="M44" s="581"/>
      <c r="N44" s="582"/>
      <c r="O44" s="581"/>
      <c r="P44" s="582"/>
      <c r="Q44" s="581"/>
      <c r="R44" s="582"/>
      <c r="S44" s="581"/>
      <c r="T44" s="582"/>
      <c r="U44" s="581"/>
      <c r="V44" s="582"/>
      <c r="W44" s="581"/>
      <c r="X44" s="582"/>
      <c r="Y44" s="581"/>
      <c r="Z44" s="582"/>
      <c r="AA44" s="581"/>
      <c r="AB44" s="582"/>
      <c r="AC44" s="581"/>
      <c r="AD44" s="582"/>
      <c r="AE44" s="581"/>
      <c r="AF44" s="583"/>
      <c r="AG44" s="581"/>
      <c r="AH44" s="583"/>
      <c r="AI44" s="581"/>
      <c r="AJ44" s="583"/>
      <c r="AK44" s="581"/>
      <c r="AL44" s="583"/>
      <c r="AM44" s="584"/>
      <c r="AN44" s="583"/>
      <c r="AO44" s="581"/>
      <c r="AP44" s="583"/>
      <c r="AQ44" s="584"/>
      <c r="AR44" s="583"/>
      <c r="AS44" s="583"/>
      <c r="AT44" s="583"/>
      <c r="AU44" s="584"/>
      <c r="AV44" s="583"/>
      <c r="AW44" s="583"/>
      <c r="AX44" s="158"/>
      <c r="AY44" s="154"/>
      <c r="AZ44">
        <f ca="1">INDIRECT(ADDRESS(ROW()+1,COLUMN(Arbeitszeit!xDay),,,"Arbeitszeit"))</f>
        <v>7</v>
      </c>
    </row>
    <row r="45" spans="1:52">
      <c r="A45" s="523">
        <f>Arbeitszeit!A46</f>
        <v>42409</v>
      </c>
      <c r="B45" s="524">
        <f t="shared" si="0"/>
        <v>42409</v>
      </c>
      <c r="C45" s="191">
        <f t="shared" si="1"/>
        <v>7</v>
      </c>
      <c r="D45" s="190">
        <f t="shared" si="2"/>
        <v>42400</v>
      </c>
      <c r="E45" s="593">
        <f>Arbeitszeit!V46*24</f>
        <v>0</v>
      </c>
      <c r="F45" s="352">
        <f t="shared" si="3"/>
        <v>0</v>
      </c>
      <c r="G45" s="155">
        <f>IF(Arbeitszeit!F46=Urlaub,B_WorkTime*24,)</f>
        <v>0</v>
      </c>
      <c r="H45" s="153"/>
      <c r="I45" s="155">
        <f>IF(Arbeitszeit!F46=Krank,B_WorkTime*24,)</f>
        <v>0</v>
      </c>
      <c r="J45" s="153"/>
      <c r="K45" s="156"/>
      <c r="L45" s="157"/>
      <c r="M45" s="581"/>
      <c r="N45" s="582"/>
      <c r="O45" s="581"/>
      <c r="P45" s="582"/>
      <c r="Q45" s="581"/>
      <c r="R45" s="582"/>
      <c r="S45" s="581"/>
      <c r="T45" s="582"/>
      <c r="U45" s="581"/>
      <c r="V45" s="582"/>
      <c r="W45" s="581"/>
      <c r="X45" s="582"/>
      <c r="Y45" s="581"/>
      <c r="Z45" s="582"/>
      <c r="AA45" s="581"/>
      <c r="AB45" s="582"/>
      <c r="AC45" s="581"/>
      <c r="AD45" s="582"/>
      <c r="AE45" s="581"/>
      <c r="AF45" s="583"/>
      <c r="AG45" s="581"/>
      <c r="AH45" s="583"/>
      <c r="AI45" s="581"/>
      <c r="AJ45" s="583"/>
      <c r="AK45" s="581"/>
      <c r="AL45" s="583"/>
      <c r="AM45" s="584"/>
      <c r="AN45" s="583"/>
      <c r="AO45" s="581"/>
      <c r="AP45" s="583"/>
      <c r="AQ45" s="584"/>
      <c r="AR45" s="583"/>
      <c r="AS45" s="583"/>
      <c r="AT45" s="583"/>
      <c r="AU45" s="584"/>
      <c r="AV45" s="583"/>
      <c r="AW45" s="583"/>
      <c r="AX45" s="158"/>
      <c r="AY45" s="154"/>
      <c r="AZ45">
        <f ca="1">INDIRECT(ADDRESS(ROW()+1,COLUMN(Arbeitszeit!xDay),,,"Arbeitszeit"))</f>
        <v>1</v>
      </c>
    </row>
    <row r="46" spans="1:52">
      <c r="A46" s="523">
        <f>Arbeitszeit!A47</f>
        <v>42410</v>
      </c>
      <c r="B46" s="524">
        <f t="shared" si="0"/>
        <v>42410</v>
      </c>
      <c r="C46" s="191">
        <f t="shared" si="1"/>
        <v>7</v>
      </c>
      <c r="D46" s="190">
        <f t="shared" si="2"/>
        <v>42400</v>
      </c>
      <c r="E46" s="593">
        <f>Arbeitszeit!V47*24</f>
        <v>0</v>
      </c>
      <c r="F46" s="352">
        <f t="shared" si="3"/>
        <v>0</v>
      </c>
      <c r="G46" s="155">
        <f>IF(Arbeitszeit!F47=Urlaub,B_WorkTime*24,)</f>
        <v>0</v>
      </c>
      <c r="H46" s="153"/>
      <c r="I46" s="155">
        <f>IF(Arbeitszeit!F47=Krank,B_WorkTime*24,)</f>
        <v>0</v>
      </c>
      <c r="J46" s="153"/>
      <c r="K46" s="156"/>
      <c r="L46" s="157"/>
      <c r="M46" s="581"/>
      <c r="N46" s="582"/>
      <c r="O46" s="581"/>
      <c r="P46" s="582"/>
      <c r="Q46" s="581"/>
      <c r="R46" s="582"/>
      <c r="S46" s="581"/>
      <c r="T46" s="582"/>
      <c r="U46" s="581"/>
      <c r="V46" s="582"/>
      <c r="W46" s="581"/>
      <c r="X46" s="582"/>
      <c r="Y46" s="581"/>
      <c r="Z46" s="582"/>
      <c r="AA46" s="581"/>
      <c r="AB46" s="582"/>
      <c r="AC46" s="581"/>
      <c r="AD46" s="582"/>
      <c r="AE46" s="581"/>
      <c r="AF46" s="583"/>
      <c r="AG46" s="581"/>
      <c r="AH46" s="583"/>
      <c r="AI46" s="581"/>
      <c r="AJ46" s="583"/>
      <c r="AK46" s="581"/>
      <c r="AL46" s="583"/>
      <c r="AM46" s="584"/>
      <c r="AN46" s="583"/>
      <c r="AO46" s="581"/>
      <c r="AP46" s="583"/>
      <c r="AQ46" s="584"/>
      <c r="AR46" s="583"/>
      <c r="AS46" s="583"/>
      <c r="AT46" s="583"/>
      <c r="AU46" s="584"/>
      <c r="AV46" s="583"/>
      <c r="AW46" s="583"/>
      <c r="AX46" s="158"/>
      <c r="AY46" s="154"/>
      <c r="AZ46">
        <f ca="1">INDIRECT(ADDRESS(ROW()+1,COLUMN(Arbeitszeit!xDay),,,"Arbeitszeit"))</f>
        <v>2</v>
      </c>
    </row>
    <row r="47" spans="1:52">
      <c r="A47" s="523">
        <f>Arbeitszeit!A48</f>
        <v>42411</v>
      </c>
      <c r="B47" s="524">
        <f t="shared" si="0"/>
        <v>42411</v>
      </c>
      <c r="C47" s="191">
        <f t="shared" si="1"/>
        <v>7</v>
      </c>
      <c r="D47" s="190">
        <f t="shared" si="2"/>
        <v>42400</v>
      </c>
      <c r="E47" s="593">
        <f>Arbeitszeit!V48*24</f>
        <v>0</v>
      </c>
      <c r="F47" s="352">
        <f t="shared" si="3"/>
        <v>0</v>
      </c>
      <c r="G47" s="155">
        <f>IF(Arbeitszeit!F48=Urlaub,B_WorkTime*24,)</f>
        <v>0</v>
      </c>
      <c r="H47" s="153"/>
      <c r="I47" s="155">
        <f>IF(Arbeitszeit!F48=Krank,B_WorkTime*24,)</f>
        <v>0</v>
      </c>
      <c r="J47" s="153"/>
      <c r="K47" s="156"/>
      <c r="L47" s="157"/>
      <c r="M47" s="581"/>
      <c r="N47" s="582"/>
      <c r="O47" s="581"/>
      <c r="P47" s="582"/>
      <c r="Q47" s="581"/>
      <c r="R47" s="582"/>
      <c r="S47" s="581"/>
      <c r="T47" s="582"/>
      <c r="U47" s="581"/>
      <c r="V47" s="582"/>
      <c r="W47" s="581"/>
      <c r="X47" s="582"/>
      <c r="Y47" s="581"/>
      <c r="Z47" s="582"/>
      <c r="AA47" s="581"/>
      <c r="AB47" s="582"/>
      <c r="AC47" s="581"/>
      <c r="AD47" s="582"/>
      <c r="AE47" s="581"/>
      <c r="AF47" s="583"/>
      <c r="AG47" s="581"/>
      <c r="AH47" s="583"/>
      <c r="AI47" s="581"/>
      <c r="AJ47" s="583"/>
      <c r="AK47" s="581"/>
      <c r="AL47" s="583"/>
      <c r="AM47" s="584"/>
      <c r="AN47" s="583"/>
      <c r="AO47" s="581"/>
      <c r="AP47" s="583"/>
      <c r="AQ47" s="584"/>
      <c r="AR47" s="583"/>
      <c r="AS47" s="583"/>
      <c r="AT47" s="583"/>
      <c r="AU47" s="584"/>
      <c r="AV47" s="583"/>
      <c r="AW47" s="583"/>
      <c r="AX47" s="158"/>
      <c r="AY47" s="154"/>
      <c r="AZ47">
        <f ca="1">INDIRECT(ADDRESS(ROW()+1,COLUMN(Arbeitszeit!xDay),,,"Arbeitszeit"))</f>
        <v>3</v>
      </c>
    </row>
    <row r="48" spans="1:52">
      <c r="A48" s="523">
        <f>Arbeitszeit!A49</f>
        <v>42412</v>
      </c>
      <c r="B48" s="524">
        <f t="shared" si="0"/>
        <v>42412</v>
      </c>
      <c r="C48" s="191">
        <f t="shared" si="1"/>
        <v>7</v>
      </c>
      <c r="D48" s="190">
        <f t="shared" si="2"/>
        <v>42400</v>
      </c>
      <c r="E48" s="593">
        <f>Arbeitszeit!V49*24</f>
        <v>0</v>
      </c>
      <c r="F48" s="352">
        <f t="shared" si="3"/>
        <v>0</v>
      </c>
      <c r="G48" s="155">
        <f>IF(Arbeitszeit!F49=Urlaub,B_WorkTime*24,)</f>
        <v>0</v>
      </c>
      <c r="H48" s="153"/>
      <c r="I48" s="155">
        <f>IF(Arbeitszeit!F49=Krank,B_WorkTime*24,)</f>
        <v>0</v>
      </c>
      <c r="J48" s="153"/>
      <c r="K48" s="156"/>
      <c r="L48" s="157"/>
      <c r="M48" s="581"/>
      <c r="N48" s="582"/>
      <c r="O48" s="581"/>
      <c r="P48" s="582"/>
      <c r="Q48" s="581"/>
      <c r="R48" s="582"/>
      <c r="S48" s="581"/>
      <c r="T48" s="582"/>
      <c r="U48" s="581"/>
      <c r="V48" s="582"/>
      <c r="W48" s="581"/>
      <c r="X48" s="582"/>
      <c r="Y48" s="581"/>
      <c r="Z48" s="582"/>
      <c r="AA48" s="581"/>
      <c r="AB48" s="582"/>
      <c r="AC48" s="581"/>
      <c r="AD48" s="582"/>
      <c r="AE48" s="581"/>
      <c r="AF48" s="583"/>
      <c r="AG48" s="581"/>
      <c r="AH48" s="583"/>
      <c r="AI48" s="581"/>
      <c r="AJ48" s="583"/>
      <c r="AK48" s="581"/>
      <c r="AL48" s="583"/>
      <c r="AM48" s="584"/>
      <c r="AN48" s="583"/>
      <c r="AO48" s="581"/>
      <c r="AP48" s="583"/>
      <c r="AQ48" s="584"/>
      <c r="AR48" s="583"/>
      <c r="AS48" s="583"/>
      <c r="AT48" s="583"/>
      <c r="AU48" s="584"/>
      <c r="AV48" s="583"/>
      <c r="AW48" s="583"/>
      <c r="AX48" s="158"/>
      <c r="AY48" s="154"/>
      <c r="AZ48">
        <f ca="1">INDIRECT(ADDRESS(ROW()+1,COLUMN(Arbeitszeit!xDay),,,"Arbeitszeit"))</f>
        <v>4</v>
      </c>
    </row>
    <row r="49" spans="1:52">
      <c r="A49" s="523">
        <f>Arbeitszeit!A50</f>
        <v>42413</v>
      </c>
      <c r="B49" s="524">
        <f t="shared" si="0"/>
        <v>42413</v>
      </c>
      <c r="C49" s="191">
        <f t="shared" si="1"/>
        <v>7</v>
      </c>
      <c r="D49" s="190">
        <f t="shared" si="2"/>
        <v>42400</v>
      </c>
      <c r="E49" s="593">
        <f>Arbeitszeit!V50*24</f>
        <v>0</v>
      </c>
      <c r="F49" s="352">
        <f t="shared" si="3"/>
        <v>0</v>
      </c>
      <c r="G49" s="155">
        <f>IF(Arbeitszeit!F50=Urlaub,B_WorkTime*24,)</f>
        <v>0</v>
      </c>
      <c r="H49" s="153"/>
      <c r="I49" s="155">
        <f>IF(Arbeitszeit!F50=Krank,B_WorkTime*24,)</f>
        <v>0</v>
      </c>
      <c r="J49" s="153"/>
      <c r="K49" s="156"/>
      <c r="L49" s="157"/>
      <c r="M49" s="581"/>
      <c r="N49" s="582"/>
      <c r="O49" s="581"/>
      <c r="P49" s="582"/>
      <c r="Q49" s="581"/>
      <c r="R49" s="582"/>
      <c r="S49" s="581"/>
      <c r="T49" s="582"/>
      <c r="U49" s="581"/>
      <c r="V49" s="582"/>
      <c r="W49" s="581"/>
      <c r="X49" s="582"/>
      <c r="Y49" s="581"/>
      <c r="Z49" s="582"/>
      <c r="AA49" s="581"/>
      <c r="AB49" s="582"/>
      <c r="AC49" s="581"/>
      <c r="AD49" s="582"/>
      <c r="AE49" s="581"/>
      <c r="AF49" s="583"/>
      <c r="AG49" s="581"/>
      <c r="AH49" s="583"/>
      <c r="AI49" s="581"/>
      <c r="AJ49" s="583"/>
      <c r="AK49" s="581"/>
      <c r="AL49" s="583"/>
      <c r="AM49" s="584"/>
      <c r="AN49" s="583"/>
      <c r="AO49" s="581"/>
      <c r="AP49" s="583"/>
      <c r="AQ49" s="584"/>
      <c r="AR49" s="583"/>
      <c r="AS49" s="583"/>
      <c r="AT49" s="583"/>
      <c r="AU49" s="584"/>
      <c r="AV49" s="583"/>
      <c r="AW49" s="583"/>
      <c r="AX49" s="158"/>
      <c r="AY49" s="154"/>
      <c r="AZ49">
        <f ca="1">INDIRECT(ADDRESS(ROW()+1,COLUMN(Arbeitszeit!xDay),,,"Arbeitszeit"))</f>
        <v>5</v>
      </c>
    </row>
    <row r="50" spans="1:52">
      <c r="A50" s="523">
        <f>Arbeitszeit!A51</f>
        <v>42414</v>
      </c>
      <c r="B50" s="524">
        <f t="shared" si="0"/>
        <v>42414</v>
      </c>
      <c r="C50" s="191">
        <f t="shared" si="1"/>
        <v>7</v>
      </c>
      <c r="D50" s="190">
        <f t="shared" si="2"/>
        <v>42400</v>
      </c>
      <c r="E50" s="593">
        <f>Arbeitszeit!V51*24</f>
        <v>0</v>
      </c>
      <c r="F50" s="352">
        <f t="shared" si="3"/>
        <v>0</v>
      </c>
      <c r="G50" s="155">
        <f>IF(Arbeitszeit!F51=Urlaub,B_WorkTime*24,)</f>
        <v>0</v>
      </c>
      <c r="H50" s="153"/>
      <c r="I50" s="155">
        <f>IF(Arbeitszeit!F51=Krank,B_WorkTime*24,)</f>
        <v>0</v>
      </c>
      <c r="J50" s="153"/>
      <c r="K50" s="156"/>
      <c r="L50" s="157"/>
      <c r="M50" s="581"/>
      <c r="N50" s="582"/>
      <c r="O50" s="581"/>
      <c r="P50" s="582"/>
      <c r="Q50" s="581"/>
      <c r="R50" s="582"/>
      <c r="S50" s="581"/>
      <c r="T50" s="582"/>
      <c r="U50" s="581"/>
      <c r="V50" s="582"/>
      <c r="W50" s="581"/>
      <c r="X50" s="582"/>
      <c r="Y50" s="581"/>
      <c r="Z50" s="582"/>
      <c r="AA50" s="581"/>
      <c r="AB50" s="582"/>
      <c r="AC50" s="581"/>
      <c r="AD50" s="582"/>
      <c r="AE50" s="581"/>
      <c r="AF50" s="583"/>
      <c r="AG50" s="581"/>
      <c r="AH50" s="583"/>
      <c r="AI50" s="581"/>
      <c r="AJ50" s="583"/>
      <c r="AK50" s="581"/>
      <c r="AL50" s="583"/>
      <c r="AM50" s="584"/>
      <c r="AN50" s="583"/>
      <c r="AO50" s="581"/>
      <c r="AP50" s="583"/>
      <c r="AQ50" s="584"/>
      <c r="AR50" s="583"/>
      <c r="AS50" s="583"/>
      <c r="AT50" s="583"/>
      <c r="AU50" s="584"/>
      <c r="AV50" s="583"/>
      <c r="AW50" s="583"/>
      <c r="AX50" s="158"/>
      <c r="AY50" s="154"/>
      <c r="AZ50">
        <f ca="1">INDIRECT(ADDRESS(ROW()+1,COLUMN(Arbeitszeit!xDay),,,"Arbeitszeit"))</f>
        <v>6</v>
      </c>
    </row>
    <row r="51" spans="1:52">
      <c r="A51" s="523">
        <f>Arbeitszeit!A52</f>
        <v>42415</v>
      </c>
      <c r="B51" s="524">
        <f t="shared" si="0"/>
        <v>42415</v>
      </c>
      <c r="C51" s="191">
        <f t="shared" si="1"/>
        <v>7</v>
      </c>
      <c r="D51" s="190">
        <f t="shared" si="2"/>
        <v>42400</v>
      </c>
      <c r="E51" s="593">
        <f>Arbeitszeit!V52*24</f>
        <v>0</v>
      </c>
      <c r="F51" s="352">
        <f t="shared" si="3"/>
        <v>0</v>
      </c>
      <c r="G51" s="155">
        <f>IF(Arbeitszeit!F52=Urlaub,B_WorkTime*24,)</f>
        <v>0</v>
      </c>
      <c r="H51" s="153"/>
      <c r="I51" s="155">
        <f>IF(Arbeitszeit!F52=Krank,B_WorkTime*24,)</f>
        <v>0</v>
      </c>
      <c r="J51" s="153"/>
      <c r="K51" s="156"/>
      <c r="L51" s="157"/>
      <c r="M51" s="581"/>
      <c r="N51" s="582"/>
      <c r="O51" s="581"/>
      <c r="P51" s="582"/>
      <c r="Q51" s="581"/>
      <c r="R51" s="582"/>
      <c r="S51" s="581"/>
      <c r="T51" s="582"/>
      <c r="U51" s="581"/>
      <c r="V51" s="582"/>
      <c r="W51" s="581"/>
      <c r="X51" s="582"/>
      <c r="Y51" s="581"/>
      <c r="Z51" s="582"/>
      <c r="AA51" s="581"/>
      <c r="AB51" s="582"/>
      <c r="AC51" s="581"/>
      <c r="AD51" s="582"/>
      <c r="AE51" s="581"/>
      <c r="AF51" s="583"/>
      <c r="AG51" s="581"/>
      <c r="AH51" s="583"/>
      <c r="AI51" s="581"/>
      <c r="AJ51" s="583"/>
      <c r="AK51" s="581"/>
      <c r="AL51" s="583"/>
      <c r="AM51" s="584"/>
      <c r="AN51" s="583"/>
      <c r="AO51" s="581"/>
      <c r="AP51" s="583"/>
      <c r="AQ51" s="584"/>
      <c r="AR51" s="583"/>
      <c r="AS51" s="583"/>
      <c r="AT51" s="583"/>
      <c r="AU51" s="584"/>
      <c r="AV51" s="583"/>
      <c r="AW51" s="583"/>
      <c r="AX51" s="158"/>
      <c r="AY51" s="154"/>
      <c r="AZ51">
        <f ca="1">INDIRECT(ADDRESS(ROW()+1,COLUMN(Arbeitszeit!xDay),,,"Arbeitszeit"))</f>
        <v>7</v>
      </c>
    </row>
    <row r="52" spans="1:52">
      <c r="A52" s="523">
        <f>Arbeitszeit!A53</f>
        <v>42416</v>
      </c>
      <c r="B52" s="524">
        <f t="shared" si="0"/>
        <v>42416</v>
      </c>
      <c r="C52" s="191">
        <f t="shared" si="1"/>
        <v>8</v>
      </c>
      <c r="D52" s="190">
        <f t="shared" si="2"/>
        <v>42400</v>
      </c>
      <c r="E52" s="593">
        <f>Arbeitszeit!V53*24</f>
        <v>0</v>
      </c>
      <c r="F52" s="352">
        <f t="shared" si="3"/>
        <v>0</v>
      </c>
      <c r="G52" s="155">
        <f>IF(Arbeitszeit!F53=Urlaub,B_WorkTime*24,)</f>
        <v>0</v>
      </c>
      <c r="H52" s="153"/>
      <c r="I52" s="155">
        <f>IF(Arbeitszeit!F53=Krank,B_WorkTime*24,)</f>
        <v>0</v>
      </c>
      <c r="J52" s="153"/>
      <c r="K52" s="156"/>
      <c r="L52" s="157"/>
      <c r="M52" s="581"/>
      <c r="N52" s="582"/>
      <c r="O52" s="581"/>
      <c r="P52" s="582"/>
      <c r="Q52" s="581"/>
      <c r="R52" s="582"/>
      <c r="S52" s="581"/>
      <c r="T52" s="582"/>
      <c r="U52" s="581"/>
      <c r="V52" s="582"/>
      <c r="W52" s="581"/>
      <c r="X52" s="582"/>
      <c r="Y52" s="581"/>
      <c r="Z52" s="582"/>
      <c r="AA52" s="581"/>
      <c r="AB52" s="582"/>
      <c r="AC52" s="581"/>
      <c r="AD52" s="582"/>
      <c r="AE52" s="581"/>
      <c r="AF52" s="583"/>
      <c r="AG52" s="581"/>
      <c r="AH52" s="583"/>
      <c r="AI52" s="581"/>
      <c r="AJ52" s="583"/>
      <c r="AK52" s="581"/>
      <c r="AL52" s="583"/>
      <c r="AM52" s="584"/>
      <c r="AN52" s="583"/>
      <c r="AO52" s="581"/>
      <c r="AP52" s="583"/>
      <c r="AQ52" s="584"/>
      <c r="AR52" s="583"/>
      <c r="AS52" s="583"/>
      <c r="AT52" s="583"/>
      <c r="AU52" s="584"/>
      <c r="AV52" s="583"/>
      <c r="AW52" s="583"/>
      <c r="AX52" s="158"/>
      <c r="AY52" s="154"/>
      <c r="AZ52">
        <f ca="1">INDIRECT(ADDRESS(ROW()+1,COLUMN(Arbeitszeit!xDay),,,"Arbeitszeit"))</f>
        <v>1</v>
      </c>
    </row>
    <row r="53" spans="1:52">
      <c r="A53" s="523">
        <f>Arbeitszeit!A54</f>
        <v>42417</v>
      </c>
      <c r="B53" s="524">
        <f t="shared" si="0"/>
        <v>42417</v>
      </c>
      <c r="C53" s="191">
        <f t="shared" si="1"/>
        <v>8</v>
      </c>
      <c r="D53" s="190">
        <f t="shared" si="2"/>
        <v>42400</v>
      </c>
      <c r="E53" s="593">
        <f>Arbeitszeit!V54*24</f>
        <v>0</v>
      </c>
      <c r="F53" s="352">
        <f t="shared" si="3"/>
        <v>0</v>
      </c>
      <c r="G53" s="155">
        <f>IF(Arbeitszeit!F54=Urlaub,B_WorkTime*24,)</f>
        <v>0</v>
      </c>
      <c r="H53" s="153"/>
      <c r="I53" s="155">
        <f>IF(Arbeitszeit!F54=Krank,B_WorkTime*24,)</f>
        <v>0</v>
      </c>
      <c r="J53" s="153"/>
      <c r="K53" s="156"/>
      <c r="L53" s="157"/>
      <c r="M53" s="581"/>
      <c r="N53" s="582"/>
      <c r="O53" s="581"/>
      <c r="P53" s="582"/>
      <c r="Q53" s="581"/>
      <c r="R53" s="582"/>
      <c r="S53" s="581"/>
      <c r="T53" s="582"/>
      <c r="U53" s="581"/>
      <c r="V53" s="582"/>
      <c r="W53" s="581"/>
      <c r="X53" s="582"/>
      <c r="Y53" s="581"/>
      <c r="Z53" s="582"/>
      <c r="AA53" s="581"/>
      <c r="AB53" s="582"/>
      <c r="AC53" s="581"/>
      <c r="AD53" s="582"/>
      <c r="AE53" s="581"/>
      <c r="AF53" s="583"/>
      <c r="AG53" s="581"/>
      <c r="AH53" s="583"/>
      <c r="AI53" s="581"/>
      <c r="AJ53" s="583"/>
      <c r="AK53" s="581"/>
      <c r="AL53" s="583"/>
      <c r="AM53" s="584"/>
      <c r="AN53" s="583"/>
      <c r="AO53" s="581"/>
      <c r="AP53" s="583"/>
      <c r="AQ53" s="584"/>
      <c r="AR53" s="583"/>
      <c r="AS53" s="583"/>
      <c r="AT53" s="583"/>
      <c r="AU53" s="584"/>
      <c r="AV53" s="583"/>
      <c r="AW53" s="583"/>
      <c r="AX53" s="158"/>
      <c r="AY53" s="154"/>
      <c r="AZ53">
        <f ca="1">INDIRECT(ADDRESS(ROW()+1,COLUMN(Arbeitszeit!xDay),,,"Arbeitszeit"))</f>
        <v>2</v>
      </c>
    </row>
    <row r="54" spans="1:52">
      <c r="A54" s="523">
        <f>Arbeitszeit!A55</f>
        <v>42418</v>
      </c>
      <c r="B54" s="524">
        <f t="shared" si="0"/>
        <v>42418</v>
      </c>
      <c r="C54" s="191">
        <f t="shared" si="1"/>
        <v>8</v>
      </c>
      <c r="D54" s="190">
        <f t="shared" si="2"/>
        <v>42400</v>
      </c>
      <c r="E54" s="593">
        <f>Arbeitszeit!V55*24</f>
        <v>0</v>
      </c>
      <c r="F54" s="352">
        <f t="shared" si="3"/>
        <v>0</v>
      </c>
      <c r="G54" s="155">
        <f>IF(Arbeitszeit!F55=Urlaub,B_WorkTime*24,)</f>
        <v>0</v>
      </c>
      <c r="H54" s="153"/>
      <c r="I54" s="155">
        <f>IF(Arbeitszeit!F55=Krank,B_WorkTime*24,)</f>
        <v>0</v>
      </c>
      <c r="J54" s="153"/>
      <c r="K54" s="156"/>
      <c r="L54" s="157"/>
      <c r="M54" s="581"/>
      <c r="N54" s="582"/>
      <c r="O54" s="581"/>
      <c r="P54" s="582"/>
      <c r="Q54" s="581"/>
      <c r="R54" s="582"/>
      <c r="S54" s="581"/>
      <c r="T54" s="582"/>
      <c r="U54" s="581"/>
      <c r="V54" s="582"/>
      <c r="W54" s="581"/>
      <c r="X54" s="582"/>
      <c r="Y54" s="581"/>
      <c r="Z54" s="582"/>
      <c r="AA54" s="581"/>
      <c r="AB54" s="582"/>
      <c r="AC54" s="581"/>
      <c r="AD54" s="582"/>
      <c r="AE54" s="581"/>
      <c r="AF54" s="583"/>
      <c r="AG54" s="581"/>
      <c r="AH54" s="583"/>
      <c r="AI54" s="581"/>
      <c r="AJ54" s="583"/>
      <c r="AK54" s="581"/>
      <c r="AL54" s="583"/>
      <c r="AM54" s="584"/>
      <c r="AN54" s="583"/>
      <c r="AO54" s="581"/>
      <c r="AP54" s="583"/>
      <c r="AQ54" s="584"/>
      <c r="AR54" s="583"/>
      <c r="AS54" s="583"/>
      <c r="AT54" s="583"/>
      <c r="AU54" s="584"/>
      <c r="AV54" s="583"/>
      <c r="AW54" s="583"/>
      <c r="AX54" s="158"/>
      <c r="AY54" s="154"/>
      <c r="AZ54">
        <f ca="1">INDIRECT(ADDRESS(ROW()+1,COLUMN(Arbeitszeit!xDay),,,"Arbeitszeit"))</f>
        <v>3</v>
      </c>
    </row>
    <row r="55" spans="1:52">
      <c r="A55" s="523">
        <f>Arbeitszeit!A56</f>
        <v>42419</v>
      </c>
      <c r="B55" s="524">
        <f t="shared" si="0"/>
        <v>42419</v>
      </c>
      <c r="C55" s="191">
        <f t="shared" si="1"/>
        <v>8</v>
      </c>
      <c r="D55" s="190">
        <f t="shared" si="2"/>
        <v>42400</v>
      </c>
      <c r="E55" s="593">
        <f>Arbeitszeit!V56*24</f>
        <v>0</v>
      </c>
      <c r="F55" s="352">
        <f t="shared" si="3"/>
        <v>0</v>
      </c>
      <c r="G55" s="155">
        <f>IF(Arbeitszeit!F56=Urlaub,B_WorkTime*24,)</f>
        <v>0</v>
      </c>
      <c r="H55" s="153"/>
      <c r="I55" s="155">
        <f>IF(Arbeitszeit!F56=Krank,B_WorkTime*24,)</f>
        <v>0</v>
      </c>
      <c r="J55" s="153"/>
      <c r="K55" s="156"/>
      <c r="L55" s="157"/>
      <c r="M55" s="581"/>
      <c r="N55" s="582"/>
      <c r="O55" s="581"/>
      <c r="P55" s="582"/>
      <c r="Q55" s="581"/>
      <c r="R55" s="582"/>
      <c r="S55" s="581"/>
      <c r="T55" s="582"/>
      <c r="U55" s="581"/>
      <c r="V55" s="582"/>
      <c r="W55" s="581"/>
      <c r="X55" s="582"/>
      <c r="Y55" s="581"/>
      <c r="Z55" s="582"/>
      <c r="AA55" s="581"/>
      <c r="AB55" s="582"/>
      <c r="AC55" s="581"/>
      <c r="AD55" s="582"/>
      <c r="AE55" s="581"/>
      <c r="AF55" s="583"/>
      <c r="AG55" s="581"/>
      <c r="AH55" s="583"/>
      <c r="AI55" s="581"/>
      <c r="AJ55" s="583"/>
      <c r="AK55" s="581"/>
      <c r="AL55" s="583"/>
      <c r="AM55" s="584"/>
      <c r="AN55" s="583"/>
      <c r="AO55" s="581"/>
      <c r="AP55" s="583"/>
      <c r="AQ55" s="584"/>
      <c r="AR55" s="583"/>
      <c r="AS55" s="583"/>
      <c r="AT55" s="583"/>
      <c r="AU55" s="584"/>
      <c r="AV55" s="583"/>
      <c r="AW55" s="583"/>
      <c r="AX55" s="158"/>
      <c r="AY55" s="154"/>
      <c r="AZ55">
        <f ca="1">INDIRECT(ADDRESS(ROW()+1,COLUMN(Arbeitszeit!xDay),,,"Arbeitszeit"))</f>
        <v>4</v>
      </c>
    </row>
    <row r="56" spans="1:52">
      <c r="A56" s="523">
        <f>Arbeitszeit!A57</f>
        <v>42420</v>
      </c>
      <c r="B56" s="524">
        <f t="shared" si="0"/>
        <v>42420</v>
      </c>
      <c r="C56" s="191">
        <f t="shared" si="1"/>
        <v>8</v>
      </c>
      <c r="D56" s="190">
        <f t="shared" si="2"/>
        <v>42400</v>
      </c>
      <c r="E56" s="593">
        <f>Arbeitszeit!V57*24</f>
        <v>0</v>
      </c>
      <c r="F56" s="352">
        <f t="shared" si="3"/>
        <v>0</v>
      </c>
      <c r="G56" s="155">
        <f>IF(Arbeitszeit!F57=Urlaub,B_WorkTime*24,)</f>
        <v>0</v>
      </c>
      <c r="H56" s="153"/>
      <c r="I56" s="155">
        <f>IF(Arbeitszeit!F57=Krank,B_WorkTime*24,)</f>
        <v>0</v>
      </c>
      <c r="J56" s="153"/>
      <c r="K56" s="156"/>
      <c r="L56" s="157"/>
      <c r="M56" s="581"/>
      <c r="N56" s="582"/>
      <c r="O56" s="581"/>
      <c r="P56" s="582"/>
      <c r="Q56" s="581"/>
      <c r="R56" s="582"/>
      <c r="S56" s="581"/>
      <c r="T56" s="582"/>
      <c r="U56" s="581"/>
      <c r="V56" s="582"/>
      <c r="W56" s="581"/>
      <c r="X56" s="582"/>
      <c r="Y56" s="581"/>
      <c r="Z56" s="582"/>
      <c r="AA56" s="581"/>
      <c r="AB56" s="582"/>
      <c r="AC56" s="581"/>
      <c r="AD56" s="582"/>
      <c r="AE56" s="581"/>
      <c r="AF56" s="583"/>
      <c r="AG56" s="581"/>
      <c r="AH56" s="583"/>
      <c r="AI56" s="581"/>
      <c r="AJ56" s="583"/>
      <c r="AK56" s="581"/>
      <c r="AL56" s="583"/>
      <c r="AM56" s="584"/>
      <c r="AN56" s="583"/>
      <c r="AO56" s="581"/>
      <c r="AP56" s="583"/>
      <c r="AQ56" s="584"/>
      <c r="AR56" s="583"/>
      <c r="AS56" s="583"/>
      <c r="AT56" s="583"/>
      <c r="AU56" s="584"/>
      <c r="AV56" s="583"/>
      <c r="AW56" s="583"/>
      <c r="AX56" s="158"/>
      <c r="AY56" s="154"/>
      <c r="AZ56">
        <f ca="1">INDIRECT(ADDRESS(ROW()+1,COLUMN(Arbeitszeit!xDay),,,"Arbeitszeit"))</f>
        <v>5</v>
      </c>
    </row>
    <row r="57" spans="1:52">
      <c r="A57" s="523">
        <f>Arbeitszeit!A58</f>
        <v>42421</v>
      </c>
      <c r="B57" s="524">
        <f t="shared" si="0"/>
        <v>42421</v>
      </c>
      <c r="C57" s="191">
        <f t="shared" si="1"/>
        <v>8</v>
      </c>
      <c r="D57" s="190">
        <f t="shared" si="2"/>
        <v>42400</v>
      </c>
      <c r="E57" s="593">
        <f>Arbeitszeit!V58*24</f>
        <v>0</v>
      </c>
      <c r="F57" s="352">
        <f t="shared" si="3"/>
        <v>0</v>
      </c>
      <c r="G57" s="155">
        <f>IF(Arbeitszeit!F58=Urlaub,B_WorkTime*24,)</f>
        <v>0</v>
      </c>
      <c r="H57" s="153"/>
      <c r="I57" s="155">
        <f>IF(Arbeitszeit!F58=Krank,B_WorkTime*24,)</f>
        <v>0</v>
      </c>
      <c r="J57" s="153"/>
      <c r="K57" s="156"/>
      <c r="L57" s="157"/>
      <c r="M57" s="581"/>
      <c r="N57" s="582"/>
      <c r="O57" s="581"/>
      <c r="P57" s="582"/>
      <c r="Q57" s="581"/>
      <c r="R57" s="582"/>
      <c r="S57" s="581"/>
      <c r="T57" s="582"/>
      <c r="U57" s="581"/>
      <c r="V57" s="582"/>
      <c r="W57" s="581"/>
      <c r="X57" s="582"/>
      <c r="Y57" s="581"/>
      <c r="Z57" s="582"/>
      <c r="AA57" s="581"/>
      <c r="AB57" s="582"/>
      <c r="AC57" s="581"/>
      <c r="AD57" s="582"/>
      <c r="AE57" s="581"/>
      <c r="AF57" s="583"/>
      <c r="AG57" s="581"/>
      <c r="AH57" s="583"/>
      <c r="AI57" s="581"/>
      <c r="AJ57" s="583"/>
      <c r="AK57" s="581"/>
      <c r="AL57" s="583"/>
      <c r="AM57" s="584"/>
      <c r="AN57" s="583"/>
      <c r="AO57" s="581"/>
      <c r="AP57" s="583"/>
      <c r="AQ57" s="584"/>
      <c r="AR57" s="583"/>
      <c r="AS57" s="583"/>
      <c r="AT57" s="583"/>
      <c r="AU57" s="584"/>
      <c r="AV57" s="583"/>
      <c r="AW57" s="583"/>
      <c r="AX57" s="158"/>
      <c r="AY57" s="154"/>
      <c r="AZ57">
        <f ca="1">INDIRECT(ADDRESS(ROW()+1,COLUMN(Arbeitszeit!xDay),,,"Arbeitszeit"))</f>
        <v>6</v>
      </c>
    </row>
    <row r="58" spans="1:52">
      <c r="A58" s="523">
        <f>Arbeitszeit!A59</f>
        <v>42422</v>
      </c>
      <c r="B58" s="524">
        <f t="shared" si="0"/>
        <v>42422</v>
      </c>
      <c r="C58" s="191">
        <f t="shared" si="1"/>
        <v>8</v>
      </c>
      <c r="D58" s="190">
        <f t="shared" si="2"/>
        <v>42400</v>
      </c>
      <c r="E58" s="593">
        <f>Arbeitszeit!V59*24</f>
        <v>0</v>
      </c>
      <c r="F58" s="352">
        <f t="shared" si="3"/>
        <v>0</v>
      </c>
      <c r="G58" s="155">
        <f>IF(Arbeitszeit!F59=Urlaub,B_WorkTime*24,)</f>
        <v>0</v>
      </c>
      <c r="H58" s="153"/>
      <c r="I58" s="155">
        <f>IF(Arbeitszeit!F59=Krank,B_WorkTime*24,)</f>
        <v>0</v>
      </c>
      <c r="J58" s="153"/>
      <c r="K58" s="156"/>
      <c r="L58" s="157"/>
      <c r="M58" s="581"/>
      <c r="N58" s="582"/>
      <c r="O58" s="581"/>
      <c r="P58" s="582"/>
      <c r="Q58" s="581"/>
      <c r="R58" s="582"/>
      <c r="S58" s="581"/>
      <c r="T58" s="582"/>
      <c r="U58" s="581"/>
      <c r="V58" s="582"/>
      <c r="W58" s="581"/>
      <c r="X58" s="582"/>
      <c r="Y58" s="581"/>
      <c r="Z58" s="582"/>
      <c r="AA58" s="581"/>
      <c r="AB58" s="582"/>
      <c r="AC58" s="581"/>
      <c r="AD58" s="582"/>
      <c r="AE58" s="581"/>
      <c r="AF58" s="583"/>
      <c r="AG58" s="581"/>
      <c r="AH58" s="583"/>
      <c r="AI58" s="581"/>
      <c r="AJ58" s="583"/>
      <c r="AK58" s="581"/>
      <c r="AL58" s="583"/>
      <c r="AM58" s="584"/>
      <c r="AN58" s="583"/>
      <c r="AO58" s="581"/>
      <c r="AP58" s="583"/>
      <c r="AQ58" s="584"/>
      <c r="AR58" s="583"/>
      <c r="AS58" s="583"/>
      <c r="AT58" s="583"/>
      <c r="AU58" s="584"/>
      <c r="AV58" s="583"/>
      <c r="AW58" s="583"/>
      <c r="AX58" s="158"/>
      <c r="AY58" s="154"/>
      <c r="AZ58">
        <f ca="1">INDIRECT(ADDRESS(ROW()+1,COLUMN(Arbeitszeit!xDay),,,"Arbeitszeit"))</f>
        <v>7</v>
      </c>
    </row>
    <row r="59" spans="1:52">
      <c r="A59" s="523">
        <f>Arbeitszeit!A60</f>
        <v>42423</v>
      </c>
      <c r="B59" s="524">
        <f t="shared" si="0"/>
        <v>42423</v>
      </c>
      <c r="C59" s="191">
        <f t="shared" si="1"/>
        <v>9</v>
      </c>
      <c r="D59" s="190">
        <f t="shared" si="2"/>
        <v>42400</v>
      </c>
      <c r="E59" s="593">
        <f>Arbeitszeit!V60*24</f>
        <v>0</v>
      </c>
      <c r="F59" s="352">
        <f t="shared" si="3"/>
        <v>0</v>
      </c>
      <c r="G59" s="155">
        <f>IF(Arbeitszeit!F60=Urlaub,B_WorkTime*24,)</f>
        <v>0</v>
      </c>
      <c r="H59" s="153"/>
      <c r="I59" s="155">
        <f>IF(Arbeitszeit!F60=Krank,B_WorkTime*24,)</f>
        <v>0</v>
      </c>
      <c r="J59" s="153"/>
      <c r="K59" s="156"/>
      <c r="L59" s="157"/>
      <c r="M59" s="581"/>
      <c r="N59" s="582"/>
      <c r="O59" s="581"/>
      <c r="P59" s="582"/>
      <c r="Q59" s="581"/>
      <c r="R59" s="582"/>
      <c r="S59" s="581"/>
      <c r="T59" s="582"/>
      <c r="U59" s="581"/>
      <c r="V59" s="582"/>
      <c r="W59" s="581"/>
      <c r="X59" s="582"/>
      <c r="Y59" s="581"/>
      <c r="Z59" s="582"/>
      <c r="AA59" s="581"/>
      <c r="AB59" s="582"/>
      <c r="AC59" s="581"/>
      <c r="AD59" s="582"/>
      <c r="AE59" s="581"/>
      <c r="AF59" s="583"/>
      <c r="AG59" s="581"/>
      <c r="AH59" s="583"/>
      <c r="AI59" s="581"/>
      <c r="AJ59" s="583"/>
      <c r="AK59" s="581"/>
      <c r="AL59" s="583"/>
      <c r="AM59" s="584"/>
      <c r="AN59" s="583"/>
      <c r="AO59" s="581"/>
      <c r="AP59" s="583"/>
      <c r="AQ59" s="584"/>
      <c r="AR59" s="583"/>
      <c r="AS59" s="583"/>
      <c r="AT59" s="583"/>
      <c r="AU59" s="584"/>
      <c r="AV59" s="583"/>
      <c r="AW59" s="583"/>
      <c r="AX59" s="158"/>
      <c r="AY59" s="154"/>
      <c r="AZ59">
        <f ca="1">INDIRECT(ADDRESS(ROW()+1,COLUMN(Arbeitszeit!xDay),,,"Arbeitszeit"))</f>
        <v>1</v>
      </c>
    </row>
    <row r="60" spans="1:52">
      <c r="A60" s="523">
        <f>Arbeitszeit!A61</f>
        <v>42424</v>
      </c>
      <c r="B60" s="524">
        <f t="shared" si="0"/>
        <v>42424</v>
      </c>
      <c r="C60" s="191">
        <f t="shared" si="1"/>
        <v>9</v>
      </c>
      <c r="D60" s="190">
        <f t="shared" si="2"/>
        <v>42400</v>
      </c>
      <c r="E60" s="593">
        <f>Arbeitszeit!V61*24</f>
        <v>0</v>
      </c>
      <c r="F60" s="352">
        <f t="shared" si="3"/>
        <v>0</v>
      </c>
      <c r="G60" s="155">
        <f>IF(Arbeitszeit!F61=Urlaub,B_WorkTime*24,)</f>
        <v>0</v>
      </c>
      <c r="H60" s="153"/>
      <c r="I60" s="155">
        <f>IF(Arbeitszeit!F61=Krank,B_WorkTime*24,)</f>
        <v>0</v>
      </c>
      <c r="J60" s="153"/>
      <c r="K60" s="156"/>
      <c r="L60" s="157"/>
      <c r="M60" s="581"/>
      <c r="N60" s="582"/>
      <c r="O60" s="581"/>
      <c r="P60" s="582"/>
      <c r="Q60" s="581"/>
      <c r="R60" s="582"/>
      <c r="S60" s="581"/>
      <c r="T60" s="582"/>
      <c r="U60" s="581"/>
      <c r="V60" s="582"/>
      <c r="W60" s="581"/>
      <c r="X60" s="582"/>
      <c r="Y60" s="581"/>
      <c r="Z60" s="582"/>
      <c r="AA60" s="581"/>
      <c r="AB60" s="582"/>
      <c r="AC60" s="581"/>
      <c r="AD60" s="582"/>
      <c r="AE60" s="581"/>
      <c r="AF60" s="583"/>
      <c r="AG60" s="581"/>
      <c r="AH60" s="583"/>
      <c r="AI60" s="581"/>
      <c r="AJ60" s="583"/>
      <c r="AK60" s="581"/>
      <c r="AL60" s="583"/>
      <c r="AM60" s="584"/>
      <c r="AN60" s="583"/>
      <c r="AO60" s="581"/>
      <c r="AP60" s="583"/>
      <c r="AQ60" s="584"/>
      <c r="AR60" s="583"/>
      <c r="AS60" s="583"/>
      <c r="AT60" s="583"/>
      <c r="AU60" s="584"/>
      <c r="AV60" s="583"/>
      <c r="AW60" s="583"/>
      <c r="AX60" s="158"/>
      <c r="AY60" s="154"/>
      <c r="AZ60">
        <f ca="1">INDIRECT(ADDRESS(ROW()+1,COLUMN(Arbeitszeit!xDay),,,"Arbeitszeit"))</f>
        <v>2</v>
      </c>
    </row>
    <row r="61" spans="1:52">
      <c r="A61" s="523">
        <f>Arbeitszeit!A62</f>
        <v>42425</v>
      </c>
      <c r="B61" s="524">
        <f t="shared" si="0"/>
        <v>42425</v>
      </c>
      <c r="C61" s="191">
        <f t="shared" si="1"/>
        <v>9</v>
      </c>
      <c r="D61" s="190">
        <f t="shared" si="2"/>
        <v>42400</v>
      </c>
      <c r="E61" s="593">
        <f>Arbeitszeit!V62*24</f>
        <v>0</v>
      </c>
      <c r="F61" s="352">
        <f t="shared" si="3"/>
        <v>0</v>
      </c>
      <c r="G61" s="155">
        <f>IF(Arbeitszeit!F62=Urlaub,B_WorkTime*24,)</f>
        <v>0</v>
      </c>
      <c r="H61" s="153"/>
      <c r="I61" s="155">
        <f>IF(Arbeitszeit!F62=Krank,B_WorkTime*24,)</f>
        <v>0</v>
      </c>
      <c r="J61" s="153"/>
      <c r="K61" s="156"/>
      <c r="L61" s="157"/>
      <c r="M61" s="581"/>
      <c r="N61" s="582"/>
      <c r="O61" s="581"/>
      <c r="P61" s="582"/>
      <c r="Q61" s="581"/>
      <c r="R61" s="582"/>
      <c r="S61" s="581"/>
      <c r="T61" s="582"/>
      <c r="U61" s="581"/>
      <c r="V61" s="582"/>
      <c r="W61" s="581"/>
      <c r="X61" s="582"/>
      <c r="Y61" s="581"/>
      <c r="Z61" s="582"/>
      <c r="AA61" s="581"/>
      <c r="AB61" s="582"/>
      <c r="AC61" s="581"/>
      <c r="AD61" s="582"/>
      <c r="AE61" s="581"/>
      <c r="AF61" s="583"/>
      <c r="AG61" s="581"/>
      <c r="AH61" s="583"/>
      <c r="AI61" s="581"/>
      <c r="AJ61" s="583"/>
      <c r="AK61" s="581"/>
      <c r="AL61" s="583"/>
      <c r="AM61" s="584"/>
      <c r="AN61" s="583"/>
      <c r="AO61" s="581"/>
      <c r="AP61" s="583"/>
      <c r="AQ61" s="584"/>
      <c r="AR61" s="583"/>
      <c r="AS61" s="583"/>
      <c r="AT61" s="583"/>
      <c r="AU61" s="584"/>
      <c r="AV61" s="583"/>
      <c r="AW61" s="583"/>
      <c r="AX61" s="158"/>
      <c r="AY61" s="154"/>
      <c r="AZ61">
        <f ca="1">INDIRECT(ADDRESS(ROW()+1,COLUMN(Arbeitszeit!xDay),,,"Arbeitszeit"))</f>
        <v>3</v>
      </c>
    </row>
    <row r="62" spans="1:52">
      <c r="A62" s="523">
        <f>Arbeitszeit!A63</f>
        <v>42426</v>
      </c>
      <c r="B62" s="524">
        <f t="shared" si="0"/>
        <v>42426</v>
      </c>
      <c r="C62" s="191">
        <f t="shared" si="1"/>
        <v>9</v>
      </c>
      <c r="D62" s="190">
        <f t="shared" si="2"/>
        <v>42400</v>
      </c>
      <c r="E62" s="593">
        <f>Arbeitszeit!V63*24</f>
        <v>0</v>
      </c>
      <c r="F62" s="352">
        <f t="shared" si="3"/>
        <v>0</v>
      </c>
      <c r="G62" s="155">
        <f>IF(Arbeitszeit!F63=Urlaub,B_WorkTime*24,)</f>
        <v>0</v>
      </c>
      <c r="H62" s="153"/>
      <c r="I62" s="155">
        <f>IF(Arbeitszeit!F63=Krank,B_WorkTime*24,)</f>
        <v>0</v>
      </c>
      <c r="J62" s="153"/>
      <c r="K62" s="156"/>
      <c r="L62" s="157"/>
      <c r="M62" s="581"/>
      <c r="N62" s="582"/>
      <c r="O62" s="581"/>
      <c r="P62" s="582"/>
      <c r="Q62" s="581"/>
      <c r="R62" s="582"/>
      <c r="S62" s="581"/>
      <c r="T62" s="582"/>
      <c r="U62" s="581"/>
      <c r="V62" s="582"/>
      <c r="W62" s="581"/>
      <c r="X62" s="582"/>
      <c r="Y62" s="581"/>
      <c r="Z62" s="582"/>
      <c r="AA62" s="581"/>
      <c r="AB62" s="582"/>
      <c r="AC62" s="581"/>
      <c r="AD62" s="582"/>
      <c r="AE62" s="581"/>
      <c r="AF62" s="583"/>
      <c r="AG62" s="581"/>
      <c r="AH62" s="583"/>
      <c r="AI62" s="581"/>
      <c r="AJ62" s="583"/>
      <c r="AK62" s="581"/>
      <c r="AL62" s="583"/>
      <c r="AM62" s="584"/>
      <c r="AN62" s="583"/>
      <c r="AO62" s="581"/>
      <c r="AP62" s="583"/>
      <c r="AQ62" s="584"/>
      <c r="AR62" s="583"/>
      <c r="AS62" s="583"/>
      <c r="AT62" s="583"/>
      <c r="AU62" s="584"/>
      <c r="AV62" s="583"/>
      <c r="AW62" s="583"/>
      <c r="AX62" s="158"/>
      <c r="AY62" s="154"/>
      <c r="AZ62">
        <f ca="1">INDIRECT(ADDRESS(ROW()+1,COLUMN(Arbeitszeit!xDay),,,"Arbeitszeit"))</f>
        <v>4</v>
      </c>
    </row>
    <row r="63" spans="1:52">
      <c r="A63" s="523">
        <f>Arbeitszeit!A64</f>
        <v>42427</v>
      </c>
      <c r="B63" s="524">
        <f t="shared" si="0"/>
        <v>42427</v>
      </c>
      <c r="C63" s="191">
        <f t="shared" si="1"/>
        <v>9</v>
      </c>
      <c r="D63" s="190">
        <f t="shared" si="2"/>
        <v>42400</v>
      </c>
      <c r="E63" s="593">
        <f>Arbeitszeit!V64*24</f>
        <v>0</v>
      </c>
      <c r="F63" s="352">
        <f t="shared" si="3"/>
        <v>0</v>
      </c>
      <c r="G63" s="155">
        <f>IF(Arbeitszeit!F64=Urlaub,B_WorkTime*24,)</f>
        <v>0</v>
      </c>
      <c r="H63" s="153"/>
      <c r="I63" s="155">
        <f>IF(Arbeitszeit!F64=Krank,B_WorkTime*24,)</f>
        <v>0</v>
      </c>
      <c r="J63" s="153"/>
      <c r="K63" s="156"/>
      <c r="L63" s="157"/>
      <c r="M63" s="581"/>
      <c r="N63" s="582"/>
      <c r="O63" s="581"/>
      <c r="P63" s="582"/>
      <c r="Q63" s="581"/>
      <c r="R63" s="582"/>
      <c r="S63" s="581"/>
      <c r="T63" s="582"/>
      <c r="U63" s="581"/>
      <c r="V63" s="582"/>
      <c r="W63" s="581"/>
      <c r="X63" s="582"/>
      <c r="Y63" s="581"/>
      <c r="Z63" s="582"/>
      <c r="AA63" s="581"/>
      <c r="AB63" s="582"/>
      <c r="AC63" s="581"/>
      <c r="AD63" s="582"/>
      <c r="AE63" s="581"/>
      <c r="AF63" s="583"/>
      <c r="AG63" s="581"/>
      <c r="AH63" s="583"/>
      <c r="AI63" s="581"/>
      <c r="AJ63" s="583"/>
      <c r="AK63" s="581"/>
      <c r="AL63" s="583"/>
      <c r="AM63" s="584"/>
      <c r="AN63" s="583"/>
      <c r="AO63" s="581"/>
      <c r="AP63" s="583"/>
      <c r="AQ63" s="584"/>
      <c r="AR63" s="583"/>
      <c r="AS63" s="583"/>
      <c r="AT63" s="583"/>
      <c r="AU63" s="584"/>
      <c r="AV63" s="583"/>
      <c r="AW63" s="583"/>
      <c r="AX63" s="158"/>
      <c r="AY63" s="154"/>
      <c r="AZ63">
        <f ca="1">INDIRECT(ADDRESS(ROW()+1,COLUMN(Arbeitszeit!xDay),,,"Arbeitszeit"))</f>
        <v>5</v>
      </c>
    </row>
    <row r="64" spans="1:52">
      <c r="A64" s="523">
        <f>Arbeitszeit!A65</f>
        <v>42428</v>
      </c>
      <c r="B64" s="524">
        <f t="shared" si="0"/>
        <v>42428</v>
      </c>
      <c r="C64" s="191">
        <f t="shared" si="1"/>
        <v>9</v>
      </c>
      <c r="D64" s="190">
        <f t="shared" si="2"/>
        <v>42400</v>
      </c>
      <c r="E64" s="593">
        <f>Arbeitszeit!V65*24</f>
        <v>0</v>
      </c>
      <c r="F64" s="352">
        <f t="shared" si="3"/>
        <v>0</v>
      </c>
      <c r="G64" s="155">
        <f>IF(Arbeitszeit!F65=Urlaub,B_WorkTime*24,)</f>
        <v>0</v>
      </c>
      <c r="H64" s="153"/>
      <c r="I64" s="155">
        <f>IF(Arbeitszeit!F65=Krank,B_WorkTime*24,)</f>
        <v>0</v>
      </c>
      <c r="J64" s="153"/>
      <c r="K64" s="156"/>
      <c r="L64" s="157"/>
      <c r="M64" s="581"/>
      <c r="N64" s="582"/>
      <c r="O64" s="581"/>
      <c r="P64" s="582"/>
      <c r="Q64" s="581"/>
      <c r="R64" s="582"/>
      <c r="S64" s="581"/>
      <c r="T64" s="582"/>
      <c r="U64" s="581"/>
      <c r="V64" s="582"/>
      <c r="W64" s="581"/>
      <c r="X64" s="582"/>
      <c r="Y64" s="581"/>
      <c r="Z64" s="582"/>
      <c r="AA64" s="581"/>
      <c r="AB64" s="582"/>
      <c r="AC64" s="581"/>
      <c r="AD64" s="582"/>
      <c r="AE64" s="581"/>
      <c r="AF64" s="583"/>
      <c r="AG64" s="581"/>
      <c r="AH64" s="583"/>
      <c r="AI64" s="581"/>
      <c r="AJ64" s="583"/>
      <c r="AK64" s="581"/>
      <c r="AL64" s="583"/>
      <c r="AM64" s="584"/>
      <c r="AN64" s="583"/>
      <c r="AO64" s="581"/>
      <c r="AP64" s="583"/>
      <c r="AQ64" s="584"/>
      <c r="AR64" s="583"/>
      <c r="AS64" s="583"/>
      <c r="AT64" s="583"/>
      <c r="AU64" s="584"/>
      <c r="AV64" s="583"/>
      <c r="AW64" s="583"/>
      <c r="AX64" s="158"/>
      <c r="AY64" s="154"/>
      <c r="AZ64">
        <f ca="1">INDIRECT(ADDRESS(ROW()+1,COLUMN(Arbeitszeit!xDay),,,"Arbeitszeit"))</f>
        <v>6</v>
      </c>
    </row>
    <row r="65" spans="1:52">
      <c r="A65" s="523">
        <f>Arbeitszeit!A66</f>
        <v>42429</v>
      </c>
      <c r="B65" s="524">
        <f t="shared" si="0"/>
        <v>42429</v>
      </c>
      <c r="C65" s="191">
        <f t="shared" si="1"/>
        <v>9</v>
      </c>
      <c r="D65" s="190">
        <f t="shared" si="2"/>
        <v>42429</v>
      </c>
      <c r="E65" s="593">
        <f>Arbeitszeit!V66*24</f>
        <v>0</v>
      </c>
      <c r="F65" s="352">
        <f t="shared" si="3"/>
        <v>0</v>
      </c>
      <c r="G65" s="155">
        <f>IF(Arbeitszeit!F66=Urlaub,B_WorkTime*24,)</f>
        <v>0</v>
      </c>
      <c r="H65" s="153"/>
      <c r="I65" s="155">
        <f>IF(Arbeitszeit!F66=Krank,B_WorkTime*24,)</f>
        <v>0</v>
      </c>
      <c r="J65" s="153"/>
      <c r="K65" s="156"/>
      <c r="L65" s="157"/>
      <c r="M65" s="581"/>
      <c r="N65" s="582"/>
      <c r="O65" s="581"/>
      <c r="P65" s="582"/>
      <c r="Q65" s="581"/>
      <c r="R65" s="582"/>
      <c r="S65" s="581"/>
      <c r="T65" s="582"/>
      <c r="U65" s="581"/>
      <c r="V65" s="582"/>
      <c r="W65" s="581"/>
      <c r="X65" s="582"/>
      <c r="Y65" s="581"/>
      <c r="Z65" s="582"/>
      <c r="AA65" s="581"/>
      <c r="AB65" s="582"/>
      <c r="AC65" s="581"/>
      <c r="AD65" s="582"/>
      <c r="AE65" s="581"/>
      <c r="AF65" s="583"/>
      <c r="AG65" s="581"/>
      <c r="AH65" s="583"/>
      <c r="AI65" s="581"/>
      <c r="AJ65" s="583"/>
      <c r="AK65" s="581"/>
      <c r="AL65" s="583"/>
      <c r="AM65" s="584"/>
      <c r="AN65" s="583"/>
      <c r="AO65" s="581"/>
      <c r="AP65" s="583"/>
      <c r="AQ65" s="584"/>
      <c r="AR65" s="583"/>
      <c r="AS65" s="583"/>
      <c r="AT65" s="583"/>
      <c r="AU65" s="584"/>
      <c r="AV65" s="583"/>
      <c r="AW65" s="583"/>
      <c r="AX65" s="158"/>
      <c r="AY65" s="154"/>
      <c r="AZ65">
        <f ca="1">INDIRECT(ADDRESS(ROW()+1,COLUMN(Arbeitszeit!xDay),,,"Arbeitszeit"))</f>
        <v>7</v>
      </c>
    </row>
    <row r="66" spans="1:52">
      <c r="A66" s="523">
        <f>Arbeitszeit!A67</f>
        <v>42430</v>
      </c>
      <c r="B66" s="524">
        <f t="shared" si="0"/>
        <v>42430</v>
      </c>
      <c r="C66" s="191">
        <f t="shared" si="1"/>
        <v>10</v>
      </c>
      <c r="D66" s="190">
        <f t="shared" si="2"/>
        <v>42429</v>
      </c>
      <c r="E66" s="593">
        <f>Arbeitszeit!V67*24</f>
        <v>0</v>
      </c>
      <c r="F66" s="352">
        <f t="shared" si="3"/>
        <v>0</v>
      </c>
      <c r="G66" s="155">
        <f>IF(Arbeitszeit!F67=Urlaub,B_WorkTime*24,)</f>
        <v>0</v>
      </c>
      <c r="H66" s="153"/>
      <c r="I66" s="155">
        <f>IF(Arbeitszeit!F67=Krank,B_WorkTime*24,)</f>
        <v>0</v>
      </c>
      <c r="J66" s="153"/>
      <c r="K66" s="156"/>
      <c r="L66" s="157"/>
      <c r="M66" s="581"/>
      <c r="N66" s="582"/>
      <c r="O66" s="581"/>
      <c r="P66" s="582"/>
      <c r="Q66" s="581"/>
      <c r="R66" s="582"/>
      <c r="S66" s="581"/>
      <c r="T66" s="582"/>
      <c r="U66" s="581"/>
      <c r="V66" s="582"/>
      <c r="W66" s="581"/>
      <c r="X66" s="582"/>
      <c r="Y66" s="581"/>
      <c r="Z66" s="582"/>
      <c r="AA66" s="581"/>
      <c r="AB66" s="582"/>
      <c r="AC66" s="581"/>
      <c r="AD66" s="582"/>
      <c r="AE66" s="581"/>
      <c r="AF66" s="583"/>
      <c r="AG66" s="581"/>
      <c r="AH66" s="583"/>
      <c r="AI66" s="581"/>
      <c r="AJ66" s="583"/>
      <c r="AK66" s="581"/>
      <c r="AL66" s="583"/>
      <c r="AM66" s="584"/>
      <c r="AN66" s="583"/>
      <c r="AO66" s="581"/>
      <c r="AP66" s="583"/>
      <c r="AQ66" s="584"/>
      <c r="AR66" s="583"/>
      <c r="AS66" s="583"/>
      <c r="AT66" s="583"/>
      <c r="AU66" s="584"/>
      <c r="AV66" s="583"/>
      <c r="AW66" s="583"/>
      <c r="AX66" s="158"/>
      <c r="AY66" s="154"/>
      <c r="AZ66">
        <f ca="1">INDIRECT(ADDRESS(ROW()+1,COLUMN(Arbeitszeit!xDay),,,"Arbeitszeit"))</f>
        <v>1</v>
      </c>
    </row>
    <row r="67" spans="1:52">
      <c r="A67" s="523">
        <f>Arbeitszeit!A68</f>
        <v>42431</v>
      </c>
      <c r="B67" s="524">
        <f t="shared" si="0"/>
        <v>42431</v>
      </c>
      <c r="C67" s="191">
        <f t="shared" si="1"/>
        <v>10</v>
      </c>
      <c r="D67" s="190">
        <f t="shared" si="2"/>
        <v>42429</v>
      </c>
      <c r="E67" s="593">
        <f>Arbeitszeit!V68*24</f>
        <v>0</v>
      </c>
      <c r="F67" s="352">
        <f t="shared" si="3"/>
        <v>0</v>
      </c>
      <c r="G67" s="155">
        <f>IF(Arbeitszeit!F68=Urlaub,B_WorkTime*24,)</f>
        <v>0</v>
      </c>
      <c r="H67" s="153"/>
      <c r="I67" s="155">
        <f>IF(Arbeitszeit!F68=Krank,B_WorkTime*24,)</f>
        <v>0</v>
      </c>
      <c r="J67" s="153"/>
      <c r="K67" s="156"/>
      <c r="L67" s="157"/>
      <c r="M67" s="581"/>
      <c r="N67" s="582"/>
      <c r="O67" s="581"/>
      <c r="P67" s="582"/>
      <c r="Q67" s="581"/>
      <c r="R67" s="582"/>
      <c r="S67" s="581"/>
      <c r="T67" s="582"/>
      <c r="U67" s="581"/>
      <c r="V67" s="582"/>
      <c r="W67" s="581"/>
      <c r="X67" s="582"/>
      <c r="Y67" s="581"/>
      <c r="Z67" s="582"/>
      <c r="AA67" s="581"/>
      <c r="AB67" s="582"/>
      <c r="AC67" s="581"/>
      <c r="AD67" s="582"/>
      <c r="AE67" s="581"/>
      <c r="AF67" s="583"/>
      <c r="AG67" s="581"/>
      <c r="AH67" s="583"/>
      <c r="AI67" s="581"/>
      <c r="AJ67" s="583"/>
      <c r="AK67" s="581"/>
      <c r="AL67" s="583"/>
      <c r="AM67" s="584"/>
      <c r="AN67" s="583"/>
      <c r="AO67" s="581"/>
      <c r="AP67" s="583"/>
      <c r="AQ67" s="584"/>
      <c r="AR67" s="583"/>
      <c r="AS67" s="583"/>
      <c r="AT67" s="583"/>
      <c r="AU67" s="584"/>
      <c r="AV67" s="583"/>
      <c r="AW67" s="583"/>
      <c r="AX67" s="158"/>
      <c r="AY67" s="154"/>
      <c r="AZ67">
        <f ca="1">INDIRECT(ADDRESS(ROW()+1,COLUMN(Arbeitszeit!xDay),,,"Arbeitszeit"))</f>
        <v>2</v>
      </c>
    </row>
    <row r="68" spans="1:52">
      <c r="A68" s="523">
        <f>Arbeitszeit!A69</f>
        <v>42432</v>
      </c>
      <c r="B68" s="524">
        <f t="shared" si="0"/>
        <v>42432</v>
      </c>
      <c r="C68" s="191">
        <f t="shared" si="1"/>
        <v>10</v>
      </c>
      <c r="D68" s="190">
        <f t="shared" si="2"/>
        <v>42429</v>
      </c>
      <c r="E68" s="593">
        <f>Arbeitszeit!V69*24</f>
        <v>0</v>
      </c>
      <c r="F68" s="352">
        <f t="shared" si="3"/>
        <v>0</v>
      </c>
      <c r="G68" s="155">
        <f>IF(Arbeitszeit!F69=Urlaub,B_WorkTime*24,)</f>
        <v>0</v>
      </c>
      <c r="H68" s="153"/>
      <c r="I68" s="155">
        <f>IF(Arbeitszeit!F69=Krank,B_WorkTime*24,)</f>
        <v>0</v>
      </c>
      <c r="J68" s="153"/>
      <c r="K68" s="156"/>
      <c r="L68" s="157"/>
      <c r="M68" s="581"/>
      <c r="N68" s="582"/>
      <c r="O68" s="581"/>
      <c r="P68" s="582"/>
      <c r="Q68" s="581"/>
      <c r="R68" s="582"/>
      <c r="S68" s="581"/>
      <c r="T68" s="582"/>
      <c r="U68" s="581"/>
      <c r="V68" s="582"/>
      <c r="W68" s="581"/>
      <c r="X68" s="582"/>
      <c r="Y68" s="581"/>
      <c r="Z68" s="582"/>
      <c r="AA68" s="581"/>
      <c r="AB68" s="582"/>
      <c r="AC68" s="581"/>
      <c r="AD68" s="582"/>
      <c r="AE68" s="581"/>
      <c r="AF68" s="583"/>
      <c r="AG68" s="581"/>
      <c r="AH68" s="583"/>
      <c r="AI68" s="581"/>
      <c r="AJ68" s="583"/>
      <c r="AK68" s="581"/>
      <c r="AL68" s="583"/>
      <c r="AM68" s="584"/>
      <c r="AN68" s="583"/>
      <c r="AO68" s="581"/>
      <c r="AP68" s="583"/>
      <c r="AQ68" s="584"/>
      <c r="AR68" s="583"/>
      <c r="AS68" s="583"/>
      <c r="AT68" s="583"/>
      <c r="AU68" s="584"/>
      <c r="AV68" s="583"/>
      <c r="AW68" s="583"/>
      <c r="AX68" s="158"/>
      <c r="AY68" s="154"/>
      <c r="AZ68">
        <f ca="1">INDIRECT(ADDRESS(ROW()+1,COLUMN(Arbeitszeit!xDay),,,"Arbeitszeit"))</f>
        <v>3</v>
      </c>
    </row>
    <row r="69" spans="1:52">
      <c r="A69" s="523">
        <f>Arbeitszeit!A70</f>
        <v>42433</v>
      </c>
      <c r="B69" s="524">
        <f t="shared" si="0"/>
        <v>42433</v>
      </c>
      <c r="C69" s="191">
        <f t="shared" si="1"/>
        <v>10</v>
      </c>
      <c r="D69" s="190">
        <f t="shared" si="2"/>
        <v>42429</v>
      </c>
      <c r="E69" s="593">
        <f>Arbeitszeit!V70*24</f>
        <v>0</v>
      </c>
      <c r="F69" s="352">
        <f t="shared" si="3"/>
        <v>0</v>
      </c>
      <c r="G69" s="155">
        <f>IF(Arbeitszeit!F70=Urlaub,B_WorkTime*24,)</f>
        <v>0</v>
      </c>
      <c r="H69" s="153"/>
      <c r="I69" s="155">
        <f>IF(Arbeitszeit!F70=Krank,B_WorkTime*24,)</f>
        <v>0</v>
      </c>
      <c r="J69" s="153"/>
      <c r="K69" s="156"/>
      <c r="L69" s="157"/>
      <c r="M69" s="581"/>
      <c r="N69" s="582"/>
      <c r="O69" s="581"/>
      <c r="P69" s="582"/>
      <c r="Q69" s="581"/>
      <c r="R69" s="582"/>
      <c r="S69" s="581"/>
      <c r="T69" s="582"/>
      <c r="U69" s="581"/>
      <c r="V69" s="582"/>
      <c r="W69" s="581"/>
      <c r="X69" s="582"/>
      <c r="Y69" s="581"/>
      <c r="Z69" s="582"/>
      <c r="AA69" s="581"/>
      <c r="AB69" s="582"/>
      <c r="AC69" s="581"/>
      <c r="AD69" s="582"/>
      <c r="AE69" s="581"/>
      <c r="AF69" s="583"/>
      <c r="AG69" s="581"/>
      <c r="AH69" s="583"/>
      <c r="AI69" s="581"/>
      <c r="AJ69" s="583"/>
      <c r="AK69" s="581"/>
      <c r="AL69" s="583"/>
      <c r="AM69" s="584"/>
      <c r="AN69" s="583"/>
      <c r="AO69" s="581"/>
      <c r="AP69" s="583"/>
      <c r="AQ69" s="584"/>
      <c r="AR69" s="583"/>
      <c r="AS69" s="583"/>
      <c r="AT69" s="583"/>
      <c r="AU69" s="584"/>
      <c r="AV69" s="583"/>
      <c r="AW69" s="583"/>
      <c r="AX69" s="158"/>
      <c r="AY69" s="154"/>
      <c r="AZ69">
        <f ca="1">INDIRECT(ADDRESS(ROW()+1,COLUMN(Arbeitszeit!xDay),,,"Arbeitszeit"))</f>
        <v>4</v>
      </c>
    </row>
    <row r="70" spans="1:52">
      <c r="A70" s="523">
        <f>Arbeitszeit!A71</f>
        <v>42434</v>
      </c>
      <c r="B70" s="524">
        <f t="shared" ref="B70:B133" si="4">IF(A70="","",A70)</f>
        <v>42434</v>
      </c>
      <c r="C70" s="191">
        <f t="shared" si="1"/>
        <v>10</v>
      </c>
      <c r="D70" s="190">
        <f t="shared" si="2"/>
        <v>42429</v>
      </c>
      <c r="E70" s="593">
        <f>Arbeitszeit!V71*24</f>
        <v>0</v>
      </c>
      <c r="F70" s="352">
        <f t="shared" si="3"/>
        <v>0</v>
      </c>
      <c r="G70" s="155">
        <f>IF(Arbeitszeit!F71=Urlaub,B_WorkTime*24,)</f>
        <v>0</v>
      </c>
      <c r="H70" s="153"/>
      <c r="I70" s="155">
        <f>IF(Arbeitszeit!F71=Krank,B_WorkTime*24,)</f>
        <v>0</v>
      </c>
      <c r="J70" s="153"/>
      <c r="K70" s="156"/>
      <c r="L70" s="157"/>
      <c r="M70" s="581"/>
      <c r="N70" s="582"/>
      <c r="O70" s="581"/>
      <c r="P70" s="582"/>
      <c r="Q70" s="581"/>
      <c r="R70" s="582"/>
      <c r="S70" s="581"/>
      <c r="T70" s="582"/>
      <c r="U70" s="581"/>
      <c r="V70" s="582"/>
      <c r="W70" s="581"/>
      <c r="X70" s="582"/>
      <c r="Y70" s="581"/>
      <c r="Z70" s="582"/>
      <c r="AA70" s="581"/>
      <c r="AB70" s="582"/>
      <c r="AC70" s="581"/>
      <c r="AD70" s="582"/>
      <c r="AE70" s="581"/>
      <c r="AF70" s="583"/>
      <c r="AG70" s="581"/>
      <c r="AH70" s="583"/>
      <c r="AI70" s="581"/>
      <c r="AJ70" s="583"/>
      <c r="AK70" s="581"/>
      <c r="AL70" s="583"/>
      <c r="AM70" s="584"/>
      <c r="AN70" s="583"/>
      <c r="AO70" s="581"/>
      <c r="AP70" s="583"/>
      <c r="AQ70" s="584"/>
      <c r="AR70" s="583"/>
      <c r="AS70" s="583"/>
      <c r="AT70" s="583"/>
      <c r="AU70" s="584"/>
      <c r="AV70" s="583"/>
      <c r="AW70" s="583"/>
      <c r="AX70" s="158"/>
      <c r="AY70" s="154"/>
      <c r="AZ70">
        <f ca="1">INDIRECT(ADDRESS(ROW()+1,COLUMN(Arbeitszeit!xDay),,,"Arbeitszeit"))</f>
        <v>5</v>
      </c>
    </row>
    <row r="71" spans="1:52">
      <c r="A71" s="523">
        <f>Arbeitszeit!A72</f>
        <v>42435</v>
      </c>
      <c r="B71" s="524">
        <f t="shared" si="4"/>
        <v>42435</v>
      </c>
      <c r="C71" s="191">
        <f t="shared" ref="C71:C134" si="5">IF(A71="","",NumberOfWeek(A71))</f>
        <v>10</v>
      </c>
      <c r="D71" s="190">
        <f t="shared" ref="D71:D134" si="6">IF(A71="","",DATE(YEAR(A71),MONTH(A71),1))</f>
        <v>42429</v>
      </c>
      <c r="E71" s="593">
        <f>Arbeitszeit!V72*24</f>
        <v>0</v>
      </c>
      <c r="F71" s="352">
        <f t="shared" si="3"/>
        <v>0</v>
      </c>
      <c r="G71" s="155">
        <f>IF(Arbeitszeit!F72=Urlaub,B_WorkTime*24,)</f>
        <v>0</v>
      </c>
      <c r="H71" s="153"/>
      <c r="I71" s="155">
        <f>IF(Arbeitszeit!F72=Krank,B_WorkTime*24,)</f>
        <v>0</v>
      </c>
      <c r="J71" s="153"/>
      <c r="K71" s="156"/>
      <c r="L71" s="157"/>
      <c r="M71" s="581"/>
      <c r="N71" s="582"/>
      <c r="O71" s="581"/>
      <c r="P71" s="582"/>
      <c r="Q71" s="581"/>
      <c r="R71" s="582"/>
      <c r="S71" s="581"/>
      <c r="T71" s="582"/>
      <c r="U71" s="581"/>
      <c r="V71" s="582"/>
      <c r="W71" s="581"/>
      <c r="X71" s="582"/>
      <c r="Y71" s="581"/>
      <c r="Z71" s="582"/>
      <c r="AA71" s="581"/>
      <c r="AB71" s="582"/>
      <c r="AC71" s="581"/>
      <c r="AD71" s="582"/>
      <c r="AE71" s="581"/>
      <c r="AF71" s="583"/>
      <c r="AG71" s="581"/>
      <c r="AH71" s="583"/>
      <c r="AI71" s="581"/>
      <c r="AJ71" s="583"/>
      <c r="AK71" s="581"/>
      <c r="AL71" s="583"/>
      <c r="AM71" s="584"/>
      <c r="AN71" s="583"/>
      <c r="AO71" s="581"/>
      <c r="AP71" s="583"/>
      <c r="AQ71" s="584"/>
      <c r="AR71" s="583"/>
      <c r="AS71" s="583"/>
      <c r="AT71" s="583"/>
      <c r="AU71" s="584"/>
      <c r="AV71" s="583"/>
      <c r="AW71" s="583"/>
      <c r="AX71" s="158"/>
      <c r="AY71" s="154"/>
      <c r="AZ71">
        <f ca="1">INDIRECT(ADDRESS(ROW()+1,COLUMN(Arbeitszeit!xDay),,,"Arbeitszeit"))</f>
        <v>6</v>
      </c>
    </row>
    <row r="72" spans="1:52">
      <c r="A72" s="523">
        <f>Arbeitszeit!A73</f>
        <v>42436</v>
      </c>
      <c r="B72" s="524">
        <f t="shared" si="4"/>
        <v>42436</v>
      </c>
      <c r="C72" s="191">
        <f t="shared" si="5"/>
        <v>10</v>
      </c>
      <c r="D72" s="190">
        <f t="shared" si="6"/>
        <v>42429</v>
      </c>
      <c r="E72" s="593">
        <f>Arbeitszeit!V73*24</f>
        <v>0</v>
      </c>
      <c r="F72" s="352">
        <f t="shared" ref="F72:F135" si="7">ROUND(E72-SUM(K72:AW72),1)</f>
        <v>0</v>
      </c>
      <c r="G72" s="155">
        <f>IF(Arbeitszeit!F73=Urlaub,B_WorkTime*24,)</f>
        <v>0</v>
      </c>
      <c r="H72" s="153"/>
      <c r="I72" s="155">
        <f>IF(Arbeitszeit!F73=Krank,B_WorkTime*24,)</f>
        <v>0</v>
      </c>
      <c r="J72" s="153"/>
      <c r="K72" s="156"/>
      <c r="L72" s="157"/>
      <c r="M72" s="581"/>
      <c r="N72" s="582"/>
      <c r="O72" s="581"/>
      <c r="P72" s="582"/>
      <c r="Q72" s="581"/>
      <c r="R72" s="582"/>
      <c r="S72" s="581"/>
      <c r="T72" s="582"/>
      <c r="U72" s="581"/>
      <c r="V72" s="582"/>
      <c r="W72" s="581"/>
      <c r="X72" s="582"/>
      <c r="Y72" s="581"/>
      <c r="Z72" s="582"/>
      <c r="AA72" s="581"/>
      <c r="AB72" s="582"/>
      <c r="AC72" s="581"/>
      <c r="AD72" s="582"/>
      <c r="AE72" s="581"/>
      <c r="AF72" s="583"/>
      <c r="AG72" s="581"/>
      <c r="AH72" s="583"/>
      <c r="AI72" s="581"/>
      <c r="AJ72" s="583"/>
      <c r="AK72" s="581"/>
      <c r="AL72" s="583"/>
      <c r="AM72" s="584"/>
      <c r="AN72" s="583"/>
      <c r="AO72" s="581"/>
      <c r="AP72" s="583"/>
      <c r="AQ72" s="584"/>
      <c r="AR72" s="583"/>
      <c r="AS72" s="583"/>
      <c r="AT72" s="583"/>
      <c r="AU72" s="584"/>
      <c r="AV72" s="583"/>
      <c r="AW72" s="583"/>
      <c r="AX72" s="158"/>
      <c r="AY72" s="154"/>
      <c r="AZ72">
        <f ca="1">INDIRECT(ADDRESS(ROW()+1,COLUMN(Arbeitszeit!xDay),,,"Arbeitszeit"))</f>
        <v>7</v>
      </c>
    </row>
    <row r="73" spans="1:52">
      <c r="A73" s="523">
        <f>Arbeitszeit!A74</f>
        <v>42437</v>
      </c>
      <c r="B73" s="524">
        <f t="shared" si="4"/>
        <v>42437</v>
      </c>
      <c r="C73" s="191">
        <f t="shared" si="5"/>
        <v>11</v>
      </c>
      <c r="D73" s="190">
        <f t="shared" si="6"/>
        <v>42429</v>
      </c>
      <c r="E73" s="593">
        <f>Arbeitszeit!V74*24</f>
        <v>0</v>
      </c>
      <c r="F73" s="352">
        <f t="shared" si="7"/>
        <v>0</v>
      </c>
      <c r="G73" s="155">
        <f>IF(Arbeitszeit!F74=Urlaub,B_WorkTime*24,)</f>
        <v>0</v>
      </c>
      <c r="H73" s="153"/>
      <c r="I73" s="155">
        <f>IF(Arbeitszeit!F74=Krank,B_WorkTime*24,)</f>
        <v>0</v>
      </c>
      <c r="J73" s="153"/>
      <c r="K73" s="156"/>
      <c r="L73" s="157"/>
      <c r="M73" s="581"/>
      <c r="N73" s="582"/>
      <c r="O73" s="581"/>
      <c r="P73" s="582"/>
      <c r="Q73" s="581"/>
      <c r="R73" s="582"/>
      <c r="S73" s="581"/>
      <c r="T73" s="582"/>
      <c r="U73" s="581"/>
      <c r="V73" s="582"/>
      <c r="W73" s="581"/>
      <c r="X73" s="582"/>
      <c r="Y73" s="581"/>
      <c r="Z73" s="582"/>
      <c r="AA73" s="581"/>
      <c r="AB73" s="582"/>
      <c r="AC73" s="581"/>
      <c r="AD73" s="582"/>
      <c r="AE73" s="581"/>
      <c r="AF73" s="583"/>
      <c r="AG73" s="581"/>
      <c r="AH73" s="583"/>
      <c r="AI73" s="581"/>
      <c r="AJ73" s="583"/>
      <c r="AK73" s="581"/>
      <c r="AL73" s="583"/>
      <c r="AM73" s="584"/>
      <c r="AN73" s="583"/>
      <c r="AO73" s="581"/>
      <c r="AP73" s="583"/>
      <c r="AQ73" s="584"/>
      <c r="AR73" s="583"/>
      <c r="AS73" s="583"/>
      <c r="AT73" s="583"/>
      <c r="AU73" s="584"/>
      <c r="AV73" s="583"/>
      <c r="AW73" s="583"/>
      <c r="AX73" s="158"/>
      <c r="AY73" s="154"/>
      <c r="AZ73">
        <f ca="1">INDIRECT(ADDRESS(ROW()+1,COLUMN(Arbeitszeit!xDay),,,"Arbeitszeit"))</f>
        <v>1</v>
      </c>
    </row>
    <row r="74" spans="1:52">
      <c r="A74" s="523">
        <f>Arbeitszeit!A75</f>
        <v>42438</v>
      </c>
      <c r="B74" s="524">
        <f t="shared" si="4"/>
        <v>42438</v>
      </c>
      <c r="C74" s="191">
        <f t="shared" si="5"/>
        <v>11</v>
      </c>
      <c r="D74" s="190">
        <f t="shared" si="6"/>
        <v>42429</v>
      </c>
      <c r="E74" s="593">
        <f>Arbeitszeit!V75*24</f>
        <v>0</v>
      </c>
      <c r="F74" s="352">
        <f t="shared" si="7"/>
        <v>0</v>
      </c>
      <c r="G74" s="155">
        <f>IF(Arbeitszeit!F75=Urlaub,B_WorkTime*24,)</f>
        <v>0</v>
      </c>
      <c r="H74" s="153"/>
      <c r="I74" s="155">
        <f>IF(Arbeitszeit!F75=Krank,B_WorkTime*24,)</f>
        <v>0</v>
      </c>
      <c r="J74" s="153"/>
      <c r="K74" s="156"/>
      <c r="L74" s="157"/>
      <c r="M74" s="581"/>
      <c r="N74" s="582"/>
      <c r="O74" s="581"/>
      <c r="P74" s="582"/>
      <c r="Q74" s="581"/>
      <c r="R74" s="582"/>
      <c r="S74" s="581"/>
      <c r="T74" s="582"/>
      <c r="U74" s="581"/>
      <c r="V74" s="582"/>
      <c r="W74" s="581"/>
      <c r="X74" s="582"/>
      <c r="Y74" s="581"/>
      <c r="Z74" s="582"/>
      <c r="AA74" s="581"/>
      <c r="AB74" s="582"/>
      <c r="AC74" s="581"/>
      <c r="AD74" s="582"/>
      <c r="AE74" s="581"/>
      <c r="AF74" s="583"/>
      <c r="AG74" s="581"/>
      <c r="AH74" s="583"/>
      <c r="AI74" s="581"/>
      <c r="AJ74" s="583"/>
      <c r="AK74" s="581"/>
      <c r="AL74" s="583"/>
      <c r="AM74" s="584"/>
      <c r="AN74" s="583"/>
      <c r="AO74" s="581"/>
      <c r="AP74" s="583"/>
      <c r="AQ74" s="584"/>
      <c r="AR74" s="583"/>
      <c r="AS74" s="583"/>
      <c r="AT74" s="583"/>
      <c r="AU74" s="584"/>
      <c r="AV74" s="583"/>
      <c r="AW74" s="583"/>
      <c r="AX74" s="158"/>
      <c r="AY74" s="154"/>
      <c r="AZ74">
        <f ca="1">INDIRECT(ADDRESS(ROW()+1,COLUMN(Arbeitszeit!xDay),,,"Arbeitszeit"))</f>
        <v>2</v>
      </c>
    </row>
    <row r="75" spans="1:52">
      <c r="A75" s="523">
        <f>Arbeitszeit!A76</f>
        <v>42439</v>
      </c>
      <c r="B75" s="524">
        <f t="shared" si="4"/>
        <v>42439</v>
      </c>
      <c r="C75" s="191">
        <f t="shared" si="5"/>
        <v>11</v>
      </c>
      <c r="D75" s="190">
        <f t="shared" si="6"/>
        <v>42429</v>
      </c>
      <c r="E75" s="593">
        <f>Arbeitszeit!V76*24</f>
        <v>0</v>
      </c>
      <c r="F75" s="352">
        <f t="shared" si="7"/>
        <v>0</v>
      </c>
      <c r="G75" s="155">
        <f>IF(Arbeitszeit!F76=Urlaub,B_WorkTime*24,)</f>
        <v>0</v>
      </c>
      <c r="H75" s="153"/>
      <c r="I75" s="155">
        <f>IF(Arbeitszeit!F76=Krank,B_WorkTime*24,)</f>
        <v>0</v>
      </c>
      <c r="J75" s="153"/>
      <c r="K75" s="156"/>
      <c r="L75" s="157"/>
      <c r="M75" s="581"/>
      <c r="N75" s="582"/>
      <c r="O75" s="581"/>
      <c r="P75" s="582"/>
      <c r="Q75" s="581"/>
      <c r="R75" s="582"/>
      <c r="S75" s="581"/>
      <c r="T75" s="582"/>
      <c r="U75" s="581"/>
      <c r="V75" s="582"/>
      <c r="W75" s="581"/>
      <c r="X75" s="582"/>
      <c r="Y75" s="581"/>
      <c r="Z75" s="582"/>
      <c r="AA75" s="581"/>
      <c r="AB75" s="582"/>
      <c r="AC75" s="581"/>
      <c r="AD75" s="582"/>
      <c r="AE75" s="581"/>
      <c r="AF75" s="583"/>
      <c r="AG75" s="581"/>
      <c r="AH75" s="583"/>
      <c r="AI75" s="581"/>
      <c r="AJ75" s="583"/>
      <c r="AK75" s="581"/>
      <c r="AL75" s="583"/>
      <c r="AM75" s="584"/>
      <c r="AN75" s="583"/>
      <c r="AO75" s="581"/>
      <c r="AP75" s="583"/>
      <c r="AQ75" s="584"/>
      <c r="AR75" s="583"/>
      <c r="AS75" s="583"/>
      <c r="AT75" s="583"/>
      <c r="AU75" s="584"/>
      <c r="AV75" s="583"/>
      <c r="AW75" s="583"/>
      <c r="AX75" s="158"/>
      <c r="AY75" s="154"/>
      <c r="AZ75">
        <f ca="1">INDIRECT(ADDRESS(ROW()+1,COLUMN(Arbeitszeit!xDay),,,"Arbeitszeit"))</f>
        <v>3</v>
      </c>
    </row>
    <row r="76" spans="1:52">
      <c r="A76" s="523">
        <f>Arbeitszeit!A77</f>
        <v>42440</v>
      </c>
      <c r="B76" s="524">
        <f t="shared" si="4"/>
        <v>42440</v>
      </c>
      <c r="C76" s="191">
        <f t="shared" si="5"/>
        <v>11</v>
      </c>
      <c r="D76" s="190">
        <f t="shared" si="6"/>
        <v>42429</v>
      </c>
      <c r="E76" s="593">
        <f>Arbeitszeit!V77*24</f>
        <v>0</v>
      </c>
      <c r="F76" s="352">
        <f t="shared" si="7"/>
        <v>0</v>
      </c>
      <c r="G76" s="155">
        <f>IF(Arbeitszeit!F77=Urlaub,B_WorkTime*24,)</f>
        <v>0</v>
      </c>
      <c r="H76" s="153"/>
      <c r="I76" s="155">
        <f>IF(Arbeitszeit!F77=Krank,B_WorkTime*24,)</f>
        <v>0</v>
      </c>
      <c r="J76" s="153"/>
      <c r="K76" s="156"/>
      <c r="L76" s="157"/>
      <c r="M76" s="581"/>
      <c r="N76" s="582"/>
      <c r="O76" s="581"/>
      <c r="P76" s="582"/>
      <c r="Q76" s="581"/>
      <c r="R76" s="582"/>
      <c r="S76" s="581"/>
      <c r="T76" s="582"/>
      <c r="U76" s="581"/>
      <c r="V76" s="582"/>
      <c r="W76" s="581"/>
      <c r="X76" s="582"/>
      <c r="Y76" s="581"/>
      <c r="Z76" s="582"/>
      <c r="AA76" s="581"/>
      <c r="AB76" s="582"/>
      <c r="AC76" s="581"/>
      <c r="AD76" s="582"/>
      <c r="AE76" s="581"/>
      <c r="AF76" s="583"/>
      <c r="AG76" s="581"/>
      <c r="AH76" s="583"/>
      <c r="AI76" s="581"/>
      <c r="AJ76" s="583"/>
      <c r="AK76" s="581"/>
      <c r="AL76" s="583"/>
      <c r="AM76" s="584"/>
      <c r="AN76" s="583"/>
      <c r="AO76" s="581"/>
      <c r="AP76" s="583"/>
      <c r="AQ76" s="584"/>
      <c r="AR76" s="583"/>
      <c r="AS76" s="583"/>
      <c r="AT76" s="583"/>
      <c r="AU76" s="584"/>
      <c r="AV76" s="583"/>
      <c r="AW76" s="583"/>
      <c r="AX76" s="158"/>
      <c r="AY76" s="154"/>
      <c r="AZ76">
        <f ca="1">INDIRECT(ADDRESS(ROW()+1,COLUMN(Arbeitszeit!xDay),,,"Arbeitszeit"))</f>
        <v>4</v>
      </c>
    </row>
    <row r="77" spans="1:52">
      <c r="A77" s="523">
        <f>Arbeitszeit!A78</f>
        <v>42441</v>
      </c>
      <c r="B77" s="524">
        <f t="shared" si="4"/>
        <v>42441</v>
      </c>
      <c r="C77" s="191">
        <f t="shared" si="5"/>
        <v>11</v>
      </c>
      <c r="D77" s="190">
        <f t="shared" si="6"/>
        <v>42429</v>
      </c>
      <c r="E77" s="593">
        <f>Arbeitszeit!V78*24</f>
        <v>0</v>
      </c>
      <c r="F77" s="352">
        <f t="shared" si="7"/>
        <v>0</v>
      </c>
      <c r="G77" s="155">
        <f>IF(Arbeitszeit!F78=Urlaub,B_WorkTime*24,)</f>
        <v>0</v>
      </c>
      <c r="H77" s="153"/>
      <c r="I77" s="155">
        <f>IF(Arbeitszeit!F78=Krank,B_WorkTime*24,)</f>
        <v>0</v>
      </c>
      <c r="J77" s="153"/>
      <c r="K77" s="156"/>
      <c r="L77" s="157"/>
      <c r="M77" s="581"/>
      <c r="N77" s="582"/>
      <c r="O77" s="581"/>
      <c r="P77" s="582"/>
      <c r="Q77" s="581"/>
      <c r="R77" s="582"/>
      <c r="S77" s="581"/>
      <c r="T77" s="582"/>
      <c r="U77" s="581"/>
      <c r="V77" s="582"/>
      <c r="W77" s="581"/>
      <c r="X77" s="582"/>
      <c r="Y77" s="581"/>
      <c r="Z77" s="582"/>
      <c r="AA77" s="581"/>
      <c r="AB77" s="582"/>
      <c r="AC77" s="581"/>
      <c r="AD77" s="582"/>
      <c r="AE77" s="581"/>
      <c r="AF77" s="583"/>
      <c r="AG77" s="581"/>
      <c r="AH77" s="583"/>
      <c r="AI77" s="581"/>
      <c r="AJ77" s="583"/>
      <c r="AK77" s="581"/>
      <c r="AL77" s="583"/>
      <c r="AM77" s="584"/>
      <c r="AN77" s="583"/>
      <c r="AO77" s="581"/>
      <c r="AP77" s="583"/>
      <c r="AQ77" s="584"/>
      <c r="AR77" s="583"/>
      <c r="AS77" s="583"/>
      <c r="AT77" s="583"/>
      <c r="AU77" s="584"/>
      <c r="AV77" s="583"/>
      <c r="AW77" s="583"/>
      <c r="AX77" s="158"/>
      <c r="AY77" s="154"/>
      <c r="AZ77">
        <f ca="1">INDIRECT(ADDRESS(ROW()+1,COLUMN(Arbeitszeit!xDay),,,"Arbeitszeit"))</f>
        <v>5</v>
      </c>
    </row>
    <row r="78" spans="1:52">
      <c r="A78" s="523">
        <f>Arbeitszeit!A79</f>
        <v>42442</v>
      </c>
      <c r="B78" s="524">
        <f t="shared" si="4"/>
        <v>42442</v>
      </c>
      <c r="C78" s="191">
        <f t="shared" si="5"/>
        <v>11</v>
      </c>
      <c r="D78" s="190">
        <f t="shared" si="6"/>
        <v>42429</v>
      </c>
      <c r="E78" s="593">
        <f>Arbeitszeit!V79*24</f>
        <v>0</v>
      </c>
      <c r="F78" s="352">
        <f t="shared" si="7"/>
        <v>0</v>
      </c>
      <c r="G78" s="155">
        <f>IF(Arbeitszeit!F79=Urlaub,B_WorkTime*24,)</f>
        <v>0</v>
      </c>
      <c r="H78" s="153"/>
      <c r="I78" s="155">
        <f>IF(Arbeitszeit!F79=Krank,B_WorkTime*24,)</f>
        <v>0</v>
      </c>
      <c r="J78" s="153"/>
      <c r="K78" s="156"/>
      <c r="L78" s="157"/>
      <c r="M78" s="581"/>
      <c r="N78" s="582"/>
      <c r="O78" s="581"/>
      <c r="P78" s="582"/>
      <c r="Q78" s="581"/>
      <c r="R78" s="582"/>
      <c r="S78" s="581"/>
      <c r="T78" s="582"/>
      <c r="U78" s="581"/>
      <c r="V78" s="582"/>
      <c r="W78" s="581"/>
      <c r="X78" s="582"/>
      <c r="Y78" s="581"/>
      <c r="Z78" s="582"/>
      <c r="AA78" s="581"/>
      <c r="AB78" s="582"/>
      <c r="AC78" s="581"/>
      <c r="AD78" s="582"/>
      <c r="AE78" s="581"/>
      <c r="AF78" s="583"/>
      <c r="AG78" s="581"/>
      <c r="AH78" s="583"/>
      <c r="AI78" s="581"/>
      <c r="AJ78" s="583"/>
      <c r="AK78" s="581"/>
      <c r="AL78" s="583"/>
      <c r="AM78" s="584"/>
      <c r="AN78" s="583"/>
      <c r="AO78" s="581"/>
      <c r="AP78" s="583"/>
      <c r="AQ78" s="584"/>
      <c r="AR78" s="583"/>
      <c r="AS78" s="583"/>
      <c r="AT78" s="583"/>
      <c r="AU78" s="584"/>
      <c r="AV78" s="583"/>
      <c r="AW78" s="583"/>
      <c r="AX78" s="158"/>
      <c r="AY78" s="154"/>
      <c r="AZ78">
        <f ca="1">INDIRECT(ADDRESS(ROW()+1,COLUMN(Arbeitszeit!xDay),,,"Arbeitszeit"))</f>
        <v>6</v>
      </c>
    </row>
    <row r="79" spans="1:52">
      <c r="A79" s="523">
        <f>Arbeitszeit!A80</f>
        <v>42443</v>
      </c>
      <c r="B79" s="524">
        <f t="shared" si="4"/>
        <v>42443</v>
      </c>
      <c r="C79" s="191">
        <f t="shared" si="5"/>
        <v>11</v>
      </c>
      <c r="D79" s="190">
        <f t="shared" si="6"/>
        <v>42429</v>
      </c>
      <c r="E79" s="593">
        <f>Arbeitszeit!V80*24</f>
        <v>0</v>
      </c>
      <c r="F79" s="352">
        <f t="shared" si="7"/>
        <v>0</v>
      </c>
      <c r="G79" s="155">
        <f>IF(Arbeitszeit!F80=Urlaub,B_WorkTime*24,)</f>
        <v>0</v>
      </c>
      <c r="H79" s="153"/>
      <c r="I79" s="155">
        <f>IF(Arbeitszeit!F80=Krank,B_WorkTime*24,)</f>
        <v>0</v>
      </c>
      <c r="J79" s="153"/>
      <c r="K79" s="156"/>
      <c r="L79" s="157"/>
      <c r="M79" s="581"/>
      <c r="N79" s="582"/>
      <c r="O79" s="581"/>
      <c r="P79" s="582"/>
      <c r="Q79" s="581"/>
      <c r="R79" s="582"/>
      <c r="S79" s="581"/>
      <c r="T79" s="582"/>
      <c r="U79" s="581"/>
      <c r="V79" s="582"/>
      <c r="W79" s="581"/>
      <c r="X79" s="582"/>
      <c r="Y79" s="581"/>
      <c r="Z79" s="582"/>
      <c r="AA79" s="581"/>
      <c r="AB79" s="582"/>
      <c r="AC79" s="581"/>
      <c r="AD79" s="582"/>
      <c r="AE79" s="581"/>
      <c r="AF79" s="583"/>
      <c r="AG79" s="581"/>
      <c r="AH79" s="583"/>
      <c r="AI79" s="581"/>
      <c r="AJ79" s="583"/>
      <c r="AK79" s="581"/>
      <c r="AL79" s="583"/>
      <c r="AM79" s="584"/>
      <c r="AN79" s="583"/>
      <c r="AO79" s="581"/>
      <c r="AP79" s="583"/>
      <c r="AQ79" s="584"/>
      <c r="AR79" s="583"/>
      <c r="AS79" s="583"/>
      <c r="AT79" s="583"/>
      <c r="AU79" s="584"/>
      <c r="AV79" s="583"/>
      <c r="AW79" s="583"/>
      <c r="AX79" s="158"/>
      <c r="AY79" s="154"/>
      <c r="AZ79">
        <f ca="1">INDIRECT(ADDRESS(ROW()+1,COLUMN(Arbeitszeit!xDay),,,"Arbeitszeit"))</f>
        <v>7</v>
      </c>
    </row>
    <row r="80" spans="1:52">
      <c r="A80" s="523">
        <f>Arbeitszeit!A81</f>
        <v>42444</v>
      </c>
      <c r="B80" s="524">
        <f t="shared" si="4"/>
        <v>42444</v>
      </c>
      <c r="C80" s="191">
        <f t="shared" si="5"/>
        <v>12</v>
      </c>
      <c r="D80" s="190">
        <f t="shared" si="6"/>
        <v>42429</v>
      </c>
      <c r="E80" s="593">
        <f>Arbeitszeit!V81*24</f>
        <v>0</v>
      </c>
      <c r="F80" s="352">
        <f t="shared" si="7"/>
        <v>0</v>
      </c>
      <c r="G80" s="155">
        <f>IF(Arbeitszeit!F81=Urlaub,B_WorkTime*24,)</f>
        <v>0</v>
      </c>
      <c r="H80" s="153"/>
      <c r="I80" s="155">
        <f>IF(Arbeitszeit!F81=Krank,B_WorkTime*24,)</f>
        <v>0</v>
      </c>
      <c r="J80" s="153"/>
      <c r="K80" s="156"/>
      <c r="L80" s="157"/>
      <c r="M80" s="581"/>
      <c r="N80" s="582"/>
      <c r="O80" s="581"/>
      <c r="P80" s="582"/>
      <c r="Q80" s="581"/>
      <c r="R80" s="582"/>
      <c r="S80" s="581"/>
      <c r="T80" s="582"/>
      <c r="U80" s="581"/>
      <c r="V80" s="582"/>
      <c r="W80" s="581"/>
      <c r="X80" s="582"/>
      <c r="Y80" s="581"/>
      <c r="Z80" s="582"/>
      <c r="AA80" s="581"/>
      <c r="AB80" s="582"/>
      <c r="AC80" s="581"/>
      <c r="AD80" s="582"/>
      <c r="AE80" s="581"/>
      <c r="AF80" s="583"/>
      <c r="AG80" s="581"/>
      <c r="AH80" s="583"/>
      <c r="AI80" s="581"/>
      <c r="AJ80" s="583"/>
      <c r="AK80" s="581"/>
      <c r="AL80" s="583"/>
      <c r="AM80" s="584"/>
      <c r="AN80" s="583"/>
      <c r="AO80" s="581"/>
      <c r="AP80" s="583"/>
      <c r="AQ80" s="584"/>
      <c r="AR80" s="583"/>
      <c r="AS80" s="583"/>
      <c r="AT80" s="583"/>
      <c r="AU80" s="584"/>
      <c r="AV80" s="583"/>
      <c r="AW80" s="583"/>
      <c r="AX80" s="158"/>
      <c r="AY80" s="154"/>
      <c r="AZ80">
        <f ca="1">INDIRECT(ADDRESS(ROW()+1,COLUMN(Arbeitszeit!xDay),,,"Arbeitszeit"))</f>
        <v>1</v>
      </c>
    </row>
    <row r="81" spans="1:52">
      <c r="A81" s="523">
        <f>Arbeitszeit!A82</f>
        <v>42445</v>
      </c>
      <c r="B81" s="524">
        <f t="shared" si="4"/>
        <v>42445</v>
      </c>
      <c r="C81" s="191">
        <f t="shared" si="5"/>
        <v>12</v>
      </c>
      <c r="D81" s="190">
        <f t="shared" si="6"/>
        <v>42429</v>
      </c>
      <c r="E81" s="593">
        <f>Arbeitszeit!V82*24</f>
        <v>0</v>
      </c>
      <c r="F81" s="352">
        <f t="shared" si="7"/>
        <v>0</v>
      </c>
      <c r="G81" s="155">
        <f>IF(Arbeitszeit!F82=Urlaub,B_WorkTime*24,)</f>
        <v>0</v>
      </c>
      <c r="H81" s="153"/>
      <c r="I81" s="155">
        <f>IF(Arbeitszeit!F82=Krank,B_WorkTime*24,)</f>
        <v>0</v>
      </c>
      <c r="J81" s="153"/>
      <c r="K81" s="156"/>
      <c r="L81" s="157"/>
      <c r="M81" s="581"/>
      <c r="N81" s="582"/>
      <c r="O81" s="581"/>
      <c r="P81" s="582"/>
      <c r="Q81" s="581"/>
      <c r="R81" s="582"/>
      <c r="S81" s="581"/>
      <c r="T81" s="582"/>
      <c r="U81" s="581"/>
      <c r="V81" s="582"/>
      <c r="W81" s="581"/>
      <c r="X81" s="582"/>
      <c r="Y81" s="581"/>
      <c r="Z81" s="582"/>
      <c r="AA81" s="581"/>
      <c r="AB81" s="582"/>
      <c r="AC81" s="581"/>
      <c r="AD81" s="582"/>
      <c r="AE81" s="581"/>
      <c r="AF81" s="583"/>
      <c r="AG81" s="581"/>
      <c r="AH81" s="583"/>
      <c r="AI81" s="581"/>
      <c r="AJ81" s="583"/>
      <c r="AK81" s="581"/>
      <c r="AL81" s="583"/>
      <c r="AM81" s="584"/>
      <c r="AN81" s="583"/>
      <c r="AO81" s="581"/>
      <c r="AP81" s="583"/>
      <c r="AQ81" s="584"/>
      <c r="AR81" s="583"/>
      <c r="AS81" s="583"/>
      <c r="AT81" s="583"/>
      <c r="AU81" s="584"/>
      <c r="AV81" s="583"/>
      <c r="AW81" s="583"/>
      <c r="AX81" s="158"/>
      <c r="AY81" s="154"/>
      <c r="AZ81">
        <f ca="1">INDIRECT(ADDRESS(ROW()+1,COLUMN(Arbeitszeit!xDay),,,"Arbeitszeit"))</f>
        <v>2</v>
      </c>
    </row>
    <row r="82" spans="1:52">
      <c r="A82" s="523">
        <f>Arbeitszeit!A83</f>
        <v>42446</v>
      </c>
      <c r="B82" s="524">
        <f t="shared" si="4"/>
        <v>42446</v>
      </c>
      <c r="C82" s="191">
        <f t="shared" si="5"/>
        <v>12</v>
      </c>
      <c r="D82" s="190">
        <f t="shared" si="6"/>
        <v>42429</v>
      </c>
      <c r="E82" s="593">
        <f>Arbeitszeit!V83*24</f>
        <v>0</v>
      </c>
      <c r="F82" s="352">
        <f t="shared" si="7"/>
        <v>0</v>
      </c>
      <c r="G82" s="155">
        <f>IF(Arbeitszeit!F83=Urlaub,B_WorkTime*24,)</f>
        <v>0</v>
      </c>
      <c r="H82" s="153"/>
      <c r="I82" s="155">
        <f>IF(Arbeitszeit!F83=Krank,B_WorkTime*24,)</f>
        <v>0</v>
      </c>
      <c r="J82" s="153"/>
      <c r="K82" s="156"/>
      <c r="L82" s="157"/>
      <c r="M82" s="581"/>
      <c r="N82" s="582"/>
      <c r="O82" s="581"/>
      <c r="P82" s="582"/>
      <c r="Q82" s="581"/>
      <c r="R82" s="582"/>
      <c r="S82" s="581"/>
      <c r="T82" s="582"/>
      <c r="U82" s="581"/>
      <c r="V82" s="582"/>
      <c r="W82" s="581"/>
      <c r="X82" s="582"/>
      <c r="Y82" s="581"/>
      <c r="Z82" s="582"/>
      <c r="AA82" s="581"/>
      <c r="AB82" s="582"/>
      <c r="AC82" s="581"/>
      <c r="AD82" s="582"/>
      <c r="AE82" s="581"/>
      <c r="AF82" s="583"/>
      <c r="AG82" s="581"/>
      <c r="AH82" s="583"/>
      <c r="AI82" s="581"/>
      <c r="AJ82" s="583"/>
      <c r="AK82" s="581"/>
      <c r="AL82" s="583"/>
      <c r="AM82" s="584"/>
      <c r="AN82" s="583"/>
      <c r="AO82" s="581"/>
      <c r="AP82" s="583"/>
      <c r="AQ82" s="584"/>
      <c r="AR82" s="583"/>
      <c r="AS82" s="583"/>
      <c r="AT82" s="583"/>
      <c r="AU82" s="584"/>
      <c r="AV82" s="583"/>
      <c r="AW82" s="583"/>
      <c r="AX82" s="158"/>
      <c r="AY82" s="154"/>
      <c r="AZ82">
        <f ca="1">INDIRECT(ADDRESS(ROW()+1,COLUMN(Arbeitszeit!xDay),,,"Arbeitszeit"))</f>
        <v>3</v>
      </c>
    </row>
    <row r="83" spans="1:52">
      <c r="A83" s="523">
        <f>Arbeitszeit!A84</f>
        <v>42447</v>
      </c>
      <c r="B83" s="524">
        <f t="shared" si="4"/>
        <v>42447</v>
      </c>
      <c r="C83" s="191">
        <f t="shared" si="5"/>
        <v>12</v>
      </c>
      <c r="D83" s="190">
        <f t="shared" si="6"/>
        <v>42429</v>
      </c>
      <c r="E83" s="593">
        <f>Arbeitszeit!V84*24</f>
        <v>0</v>
      </c>
      <c r="F83" s="352">
        <f t="shared" si="7"/>
        <v>0</v>
      </c>
      <c r="G83" s="155">
        <f>IF(Arbeitszeit!F84=Urlaub,B_WorkTime*24,)</f>
        <v>0</v>
      </c>
      <c r="H83" s="153"/>
      <c r="I83" s="155">
        <f>IF(Arbeitszeit!F84=Krank,B_WorkTime*24,)</f>
        <v>0</v>
      </c>
      <c r="J83" s="153"/>
      <c r="K83" s="156"/>
      <c r="L83" s="157"/>
      <c r="M83" s="581"/>
      <c r="N83" s="582"/>
      <c r="O83" s="581"/>
      <c r="P83" s="582"/>
      <c r="Q83" s="581"/>
      <c r="R83" s="582"/>
      <c r="S83" s="581"/>
      <c r="T83" s="582"/>
      <c r="U83" s="581"/>
      <c r="V83" s="582"/>
      <c r="W83" s="581"/>
      <c r="X83" s="582"/>
      <c r="Y83" s="581"/>
      <c r="Z83" s="582"/>
      <c r="AA83" s="581"/>
      <c r="AB83" s="582"/>
      <c r="AC83" s="581"/>
      <c r="AD83" s="582"/>
      <c r="AE83" s="581"/>
      <c r="AF83" s="583"/>
      <c r="AG83" s="581"/>
      <c r="AH83" s="583"/>
      <c r="AI83" s="581"/>
      <c r="AJ83" s="583"/>
      <c r="AK83" s="581"/>
      <c r="AL83" s="583"/>
      <c r="AM83" s="584"/>
      <c r="AN83" s="583"/>
      <c r="AO83" s="581"/>
      <c r="AP83" s="583"/>
      <c r="AQ83" s="584"/>
      <c r="AR83" s="583"/>
      <c r="AS83" s="583"/>
      <c r="AT83" s="583"/>
      <c r="AU83" s="584"/>
      <c r="AV83" s="583"/>
      <c r="AW83" s="583"/>
      <c r="AX83" s="158"/>
      <c r="AY83" s="154"/>
      <c r="AZ83">
        <f ca="1">INDIRECT(ADDRESS(ROW()+1,COLUMN(Arbeitszeit!xDay),,,"Arbeitszeit"))</f>
        <v>4</v>
      </c>
    </row>
    <row r="84" spans="1:52">
      <c r="A84" s="523">
        <f>Arbeitszeit!A85</f>
        <v>42448</v>
      </c>
      <c r="B84" s="524">
        <f t="shared" si="4"/>
        <v>42448</v>
      </c>
      <c r="C84" s="191">
        <f t="shared" si="5"/>
        <v>12</v>
      </c>
      <c r="D84" s="190">
        <f t="shared" si="6"/>
        <v>42429</v>
      </c>
      <c r="E84" s="593">
        <f>Arbeitszeit!V85*24</f>
        <v>0</v>
      </c>
      <c r="F84" s="352">
        <f t="shared" si="7"/>
        <v>0</v>
      </c>
      <c r="G84" s="155">
        <f>IF(Arbeitszeit!F85=Urlaub,B_WorkTime*24,)</f>
        <v>0</v>
      </c>
      <c r="H84" s="153"/>
      <c r="I84" s="155">
        <f>IF(Arbeitszeit!F85=Krank,B_WorkTime*24,)</f>
        <v>0</v>
      </c>
      <c r="J84" s="153"/>
      <c r="K84" s="156"/>
      <c r="L84" s="157"/>
      <c r="M84" s="581"/>
      <c r="N84" s="582"/>
      <c r="O84" s="581"/>
      <c r="P84" s="582"/>
      <c r="Q84" s="581"/>
      <c r="R84" s="582"/>
      <c r="S84" s="581"/>
      <c r="T84" s="582"/>
      <c r="U84" s="581"/>
      <c r="V84" s="582"/>
      <c r="W84" s="581"/>
      <c r="X84" s="582"/>
      <c r="Y84" s="581"/>
      <c r="Z84" s="582"/>
      <c r="AA84" s="581"/>
      <c r="AB84" s="582"/>
      <c r="AC84" s="581"/>
      <c r="AD84" s="582"/>
      <c r="AE84" s="581"/>
      <c r="AF84" s="583"/>
      <c r="AG84" s="581"/>
      <c r="AH84" s="583"/>
      <c r="AI84" s="581"/>
      <c r="AJ84" s="583"/>
      <c r="AK84" s="581"/>
      <c r="AL84" s="583"/>
      <c r="AM84" s="584"/>
      <c r="AN84" s="583"/>
      <c r="AO84" s="581"/>
      <c r="AP84" s="583"/>
      <c r="AQ84" s="584"/>
      <c r="AR84" s="583"/>
      <c r="AS84" s="583"/>
      <c r="AT84" s="583"/>
      <c r="AU84" s="584"/>
      <c r="AV84" s="583"/>
      <c r="AW84" s="583"/>
      <c r="AX84" s="158"/>
      <c r="AY84" s="154"/>
      <c r="AZ84">
        <f ca="1">INDIRECT(ADDRESS(ROW()+1,COLUMN(Arbeitszeit!xDay),,,"Arbeitszeit"))</f>
        <v>5</v>
      </c>
    </row>
    <row r="85" spans="1:52">
      <c r="A85" s="523">
        <f>Arbeitszeit!A86</f>
        <v>42449</v>
      </c>
      <c r="B85" s="524">
        <f t="shared" si="4"/>
        <v>42449</v>
      </c>
      <c r="C85" s="191">
        <f t="shared" si="5"/>
        <v>12</v>
      </c>
      <c r="D85" s="190">
        <f t="shared" si="6"/>
        <v>42429</v>
      </c>
      <c r="E85" s="593">
        <f>Arbeitszeit!V86*24</f>
        <v>0</v>
      </c>
      <c r="F85" s="352">
        <f t="shared" si="7"/>
        <v>0</v>
      </c>
      <c r="G85" s="155">
        <f>IF(Arbeitszeit!F86=Urlaub,B_WorkTime*24,)</f>
        <v>0</v>
      </c>
      <c r="H85" s="153"/>
      <c r="I85" s="155">
        <f>IF(Arbeitszeit!F86=Krank,B_WorkTime*24,)</f>
        <v>0</v>
      </c>
      <c r="J85" s="153"/>
      <c r="K85" s="156"/>
      <c r="L85" s="157"/>
      <c r="M85" s="581"/>
      <c r="N85" s="582"/>
      <c r="O85" s="581"/>
      <c r="P85" s="582"/>
      <c r="Q85" s="581"/>
      <c r="R85" s="582"/>
      <c r="S85" s="581"/>
      <c r="T85" s="582"/>
      <c r="U85" s="581"/>
      <c r="V85" s="582"/>
      <c r="W85" s="581"/>
      <c r="X85" s="582"/>
      <c r="Y85" s="581"/>
      <c r="Z85" s="582"/>
      <c r="AA85" s="581"/>
      <c r="AB85" s="582"/>
      <c r="AC85" s="581"/>
      <c r="AD85" s="582"/>
      <c r="AE85" s="581"/>
      <c r="AF85" s="583"/>
      <c r="AG85" s="581"/>
      <c r="AH85" s="583"/>
      <c r="AI85" s="581"/>
      <c r="AJ85" s="583"/>
      <c r="AK85" s="581"/>
      <c r="AL85" s="583"/>
      <c r="AM85" s="584"/>
      <c r="AN85" s="583"/>
      <c r="AO85" s="581"/>
      <c r="AP85" s="583"/>
      <c r="AQ85" s="584"/>
      <c r="AR85" s="583"/>
      <c r="AS85" s="583"/>
      <c r="AT85" s="583"/>
      <c r="AU85" s="584"/>
      <c r="AV85" s="583"/>
      <c r="AW85" s="583"/>
      <c r="AX85" s="158"/>
      <c r="AY85" s="154"/>
      <c r="AZ85">
        <f ca="1">INDIRECT(ADDRESS(ROW()+1,COLUMN(Arbeitszeit!xDay),,,"Arbeitszeit"))</f>
        <v>6</v>
      </c>
    </row>
    <row r="86" spans="1:52">
      <c r="A86" s="523">
        <f>Arbeitszeit!A87</f>
        <v>42450</v>
      </c>
      <c r="B86" s="524">
        <f t="shared" si="4"/>
        <v>42450</v>
      </c>
      <c r="C86" s="191">
        <f t="shared" si="5"/>
        <v>12</v>
      </c>
      <c r="D86" s="190">
        <f t="shared" si="6"/>
        <v>42429</v>
      </c>
      <c r="E86" s="593">
        <f>Arbeitszeit!V87*24</f>
        <v>0</v>
      </c>
      <c r="F86" s="352">
        <f t="shared" si="7"/>
        <v>0</v>
      </c>
      <c r="G86" s="155">
        <f>IF(Arbeitszeit!F87=Urlaub,B_WorkTime*24,)</f>
        <v>0</v>
      </c>
      <c r="H86" s="153"/>
      <c r="I86" s="155">
        <f>IF(Arbeitszeit!F87=Krank,B_WorkTime*24,)</f>
        <v>0</v>
      </c>
      <c r="J86" s="153"/>
      <c r="K86" s="156"/>
      <c r="L86" s="157"/>
      <c r="M86" s="581"/>
      <c r="N86" s="582"/>
      <c r="O86" s="581"/>
      <c r="P86" s="582"/>
      <c r="Q86" s="581"/>
      <c r="R86" s="582"/>
      <c r="S86" s="581"/>
      <c r="T86" s="582"/>
      <c r="U86" s="581"/>
      <c r="V86" s="582"/>
      <c r="W86" s="581"/>
      <c r="X86" s="582"/>
      <c r="Y86" s="581"/>
      <c r="Z86" s="582"/>
      <c r="AA86" s="581"/>
      <c r="AB86" s="582"/>
      <c r="AC86" s="581"/>
      <c r="AD86" s="582"/>
      <c r="AE86" s="581"/>
      <c r="AF86" s="583"/>
      <c r="AG86" s="581"/>
      <c r="AH86" s="583"/>
      <c r="AI86" s="581"/>
      <c r="AJ86" s="583"/>
      <c r="AK86" s="581"/>
      <c r="AL86" s="583"/>
      <c r="AM86" s="584"/>
      <c r="AN86" s="583"/>
      <c r="AO86" s="581"/>
      <c r="AP86" s="583"/>
      <c r="AQ86" s="584"/>
      <c r="AR86" s="583"/>
      <c r="AS86" s="583"/>
      <c r="AT86" s="583"/>
      <c r="AU86" s="584"/>
      <c r="AV86" s="583"/>
      <c r="AW86" s="583"/>
      <c r="AX86" s="158"/>
      <c r="AY86" s="154"/>
      <c r="AZ86">
        <f ca="1">INDIRECT(ADDRESS(ROW()+1,COLUMN(Arbeitszeit!xDay),,,"Arbeitszeit"))</f>
        <v>7</v>
      </c>
    </row>
    <row r="87" spans="1:52">
      <c r="A87" s="523">
        <f>Arbeitszeit!A88</f>
        <v>42451</v>
      </c>
      <c r="B87" s="524">
        <f t="shared" si="4"/>
        <v>42451</v>
      </c>
      <c r="C87" s="191">
        <f t="shared" si="5"/>
        <v>13</v>
      </c>
      <c r="D87" s="190">
        <f t="shared" si="6"/>
        <v>42429</v>
      </c>
      <c r="E87" s="593">
        <f>Arbeitszeit!V88*24</f>
        <v>0</v>
      </c>
      <c r="F87" s="352">
        <f t="shared" si="7"/>
        <v>0</v>
      </c>
      <c r="G87" s="155">
        <f>IF(Arbeitszeit!F88=Urlaub,B_WorkTime*24,)</f>
        <v>0</v>
      </c>
      <c r="H87" s="153"/>
      <c r="I87" s="155">
        <f>IF(Arbeitszeit!F88=Krank,B_WorkTime*24,)</f>
        <v>0</v>
      </c>
      <c r="J87" s="153"/>
      <c r="K87" s="156"/>
      <c r="L87" s="157"/>
      <c r="M87" s="581"/>
      <c r="N87" s="582"/>
      <c r="O87" s="581"/>
      <c r="P87" s="582"/>
      <c r="Q87" s="581"/>
      <c r="R87" s="582"/>
      <c r="S87" s="581"/>
      <c r="T87" s="582"/>
      <c r="U87" s="581"/>
      <c r="V87" s="582"/>
      <c r="W87" s="581"/>
      <c r="X87" s="582"/>
      <c r="Y87" s="581"/>
      <c r="Z87" s="582"/>
      <c r="AA87" s="581"/>
      <c r="AB87" s="582"/>
      <c r="AC87" s="581"/>
      <c r="AD87" s="582"/>
      <c r="AE87" s="581"/>
      <c r="AF87" s="583"/>
      <c r="AG87" s="581"/>
      <c r="AH87" s="583"/>
      <c r="AI87" s="581"/>
      <c r="AJ87" s="583"/>
      <c r="AK87" s="581"/>
      <c r="AL87" s="583"/>
      <c r="AM87" s="584"/>
      <c r="AN87" s="583"/>
      <c r="AO87" s="581"/>
      <c r="AP87" s="583"/>
      <c r="AQ87" s="584"/>
      <c r="AR87" s="583"/>
      <c r="AS87" s="583"/>
      <c r="AT87" s="583"/>
      <c r="AU87" s="584"/>
      <c r="AV87" s="583"/>
      <c r="AW87" s="583"/>
      <c r="AX87" s="158"/>
      <c r="AY87" s="154"/>
      <c r="AZ87">
        <f ca="1">INDIRECT(ADDRESS(ROW()+1,COLUMN(Arbeitszeit!xDay),,,"Arbeitszeit"))</f>
        <v>1</v>
      </c>
    </row>
    <row r="88" spans="1:52">
      <c r="A88" s="523">
        <f>Arbeitszeit!A89</f>
        <v>42452</v>
      </c>
      <c r="B88" s="524">
        <f t="shared" si="4"/>
        <v>42452</v>
      </c>
      <c r="C88" s="191">
        <f t="shared" si="5"/>
        <v>13</v>
      </c>
      <c r="D88" s="190">
        <f t="shared" si="6"/>
        <v>42429</v>
      </c>
      <c r="E88" s="593">
        <f>Arbeitszeit!V89*24</f>
        <v>0</v>
      </c>
      <c r="F88" s="352">
        <f t="shared" si="7"/>
        <v>0</v>
      </c>
      <c r="G88" s="155">
        <f>IF(Arbeitszeit!F89=Urlaub,B_WorkTime*24,)</f>
        <v>0</v>
      </c>
      <c r="H88" s="153"/>
      <c r="I88" s="155">
        <f>IF(Arbeitszeit!F89=Krank,B_WorkTime*24,)</f>
        <v>0</v>
      </c>
      <c r="J88" s="153"/>
      <c r="K88" s="156"/>
      <c r="L88" s="157"/>
      <c r="M88" s="581"/>
      <c r="N88" s="582"/>
      <c r="O88" s="581"/>
      <c r="P88" s="582"/>
      <c r="Q88" s="581"/>
      <c r="R88" s="582"/>
      <c r="S88" s="581"/>
      <c r="T88" s="582"/>
      <c r="U88" s="581"/>
      <c r="V88" s="582"/>
      <c r="W88" s="581"/>
      <c r="X88" s="582"/>
      <c r="Y88" s="581"/>
      <c r="Z88" s="582"/>
      <c r="AA88" s="581"/>
      <c r="AB88" s="582"/>
      <c r="AC88" s="581"/>
      <c r="AD88" s="582"/>
      <c r="AE88" s="581"/>
      <c r="AF88" s="583"/>
      <c r="AG88" s="581"/>
      <c r="AH88" s="583"/>
      <c r="AI88" s="581"/>
      <c r="AJ88" s="583"/>
      <c r="AK88" s="581"/>
      <c r="AL88" s="583"/>
      <c r="AM88" s="584"/>
      <c r="AN88" s="583"/>
      <c r="AO88" s="581"/>
      <c r="AP88" s="583"/>
      <c r="AQ88" s="584"/>
      <c r="AR88" s="583"/>
      <c r="AS88" s="583"/>
      <c r="AT88" s="583"/>
      <c r="AU88" s="584"/>
      <c r="AV88" s="583"/>
      <c r="AW88" s="583"/>
      <c r="AX88" s="158"/>
      <c r="AY88" s="154"/>
      <c r="AZ88">
        <f ca="1">INDIRECT(ADDRESS(ROW()+1,COLUMN(Arbeitszeit!xDay),,,"Arbeitszeit"))</f>
        <v>2</v>
      </c>
    </row>
    <row r="89" spans="1:52">
      <c r="A89" s="523">
        <f>Arbeitszeit!A90</f>
        <v>42453</v>
      </c>
      <c r="B89" s="524">
        <f t="shared" si="4"/>
        <v>42453</v>
      </c>
      <c r="C89" s="191">
        <f t="shared" si="5"/>
        <v>13</v>
      </c>
      <c r="D89" s="190">
        <f t="shared" si="6"/>
        <v>42429</v>
      </c>
      <c r="E89" s="593">
        <f>Arbeitszeit!V90*24</f>
        <v>0</v>
      </c>
      <c r="F89" s="352">
        <f t="shared" si="7"/>
        <v>0</v>
      </c>
      <c r="G89" s="155">
        <f>IF(Arbeitszeit!F90=Urlaub,B_WorkTime*24,)</f>
        <v>0</v>
      </c>
      <c r="H89" s="153"/>
      <c r="I89" s="155">
        <f>IF(Arbeitszeit!F90=Krank,B_WorkTime*24,)</f>
        <v>0</v>
      </c>
      <c r="J89" s="153"/>
      <c r="K89" s="156"/>
      <c r="L89" s="157"/>
      <c r="M89" s="581"/>
      <c r="N89" s="582"/>
      <c r="O89" s="581"/>
      <c r="P89" s="582"/>
      <c r="Q89" s="581"/>
      <c r="R89" s="582"/>
      <c r="S89" s="581"/>
      <c r="T89" s="582"/>
      <c r="U89" s="581"/>
      <c r="V89" s="582"/>
      <c r="W89" s="581"/>
      <c r="X89" s="582"/>
      <c r="Y89" s="581"/>
      <c r="Z89" s="582"/>
      <c r="AA89" s="581"/>
      <c r="AB89" s="582"/>
      <c r="AC89" s="581"/>
      <c r="AD89" s="582"/>
      <c r="AE89" s="581"/>
      <c r="AF89" s="583"/>
      <c r="AG89" s="581"/>
      <c r="AH89" s="583"/>
      <c r="AI89" s="581"/>
      <c r="AJ89" s="583"/>
      <c r="AK89" s="581"/>
      <c r="AL89" s="583"/>
      <c r="AM89" s="584"/>
      <c r="AN89" s="583"/>
      <c r="AO89" s="581"/>
      <c r="AP89" s="583"/>
      <c r="AQ89" s="584"/>
      <c r="AR89" s="583"/>
      <c r="AS89" s="583"/>
      <c r="AT89" s="583"/>
      <c r="AU89" s="584"/>
      <c r="AV89" s="583"/>
      <c r="AW89" s="583"/>
      <c r="AX89" s="158"/>
      <c r="AY89" s="154"/>
      <c r="AZ89">
        <f ca="1">INDIRECT(ADDRESS(ROW()+1,COLUMN(Arbeitszeit!xDay),,,"Arbeitszeit"))</f>
        <v>3</v>
      </c>
    </row>
    <row r="90" spans="1:52">
      <c r="A90" s="523">
        <f>Arbeitszeit!A91</f>
        <v>42454</v>
      </c>
      <c r="B90" s="524">
        <f t="shared" si="4"/>
        <v>42454</v>
      </c>
      <c r="C90" s="191">
        <f t="shared" si="5"/>
        <v>13</v>
      </c>
      <c r="D90" s="190">
        <f t="shared" si="6"/>
        <v>42429</v>
      </c>
      <c r="E90" s="593">
        <f>Arbeitszeit!V91*24</f>
        <v>0</v>
      </c>
      <c r="F90" s="352">
        <f t="shared" si="7"/>
        <v>0</v>
      </c>
      <c r="G90" s="155">
        <f>IF(Arbeitszeit!F91=Urlaub,B_WorkTime*24,)</f>
        <v>0</v>
      </c>
      <c r="H90" s="153"/>
      <c r="I90" s="155">
        <f>IF(Arbeitszeit!F91=Krank,B_WorkTime*24,)</f>
        <v>0</v>
      </c>
      <c r="J90" s="153"/>
      <c r="K90" s="156"/>
      <c r="L90" s="157"/>
      <c r="M90" s="581"/>
      <c r="N90" s="582"/>
      <c r="O90" s="581"/>
      <c r="P90" s="582"/>
      <c r="Q90" s="581"/>
      <c r="R90" s="582"/>
      <c r="S90" s="581"/>
      <c r="T90" s="582"/>
      <c r="U90" s="581"/>
      <c r="V90" s="582"/>
      <c r="W90" s="581"/>
      <c r="X90" s="582"/>
      <c r="Y90" s="581"/>
      <c r="Z90" s="582"/>
      <c r="AA90" s="581"/>
      <c r="AB90" s="582"/>
      <c r="AC90" s="581"/>
      <c r="AD90" s="582"/>
      <c r="AE90" s="581"/>
      <c r="AF90" s="583"/>
      <c r="AG90" s="581"/>
      <c r="AH90" s="583"/>
      <c r="AI90" s="581"/>
      <c r="AJ90" s="583"/>
      <c r="AK90" s="581"/>
      <c r="AL90" s="583"/>
      <c r="AM90" s="584"/>
      <c r="AN90" s="583"/>
      <c r="AO90" s="581"/>
      <c r="AP90" s="583"/>
      <c r="AQ90" s="584"/>
      <c r="AR90" s="583"/>
      <c r="AS90" s="583"/>
      <c r="AT90" s="583"/>
      <c r="AU90" s="584"/>
      <c r="AV90" s="583"/>
      <c r="AW90" s="583"/>
      <c r="AX90" s="158"/>
      <c r="AY90" s="154"/>
      <c r="AZ90">
        <f ca="1">INDIRECT(ADDRESS(ROW()+1,COLUMN(Arbeitszeit!xDay),,,"Arbeitszeit"))</f>
        <v>4</v>
      </c>
    </row>
    <row r="91" spans="1:52">
      <c r="A91" s="523">
        <f>Arbeitszeit!A92</f>
        <v>42455</v>
      </c>
      <c r="B91" s="524">
        <f t="shared" si="4"/>
        <v>42455</v>
      </c>
      <c r="C91" s="191">
        <f t="shared" si="5"/>
        <v>13</v>
      </c>
      <c r="D91" s="190">
        <f t="shared" si="6"/>
        <v>42429</v>
      </c>
      <c r="E91" s="593">
        <f>Arbeitszeit!V92*24</f>
        <v>0</v>
      </c>
      <c r="F91" s="352">
        <f t="shared" si="7"/>
        <v>0</v>
      </c>
      <c r="G91" s="155">
        <f>IF(Arbeitszeit!F92=Urlaub,B_WorkTime*24,)</f>
        <v>0</v>
      </c>
      <c r="H91" s="153"/>
      <c r="I91" s="155">
        <f>IF(Arbeitszeit!F92=Krank,B_WorkTime*24,)</f>
        <v>0</v>
      </c>
      <c r="J91" s="153"/>
      <c r="K91" s="156"/>
      <c r="L91" s="157"/>
      <c r="M91" s="581"/>
      <c r="N91" s="582"/>
      <c r="O91" s="581"/>
      <c r="P91" s="582"/>
      <c r="Q91" s="581"/>
      <c r="R91" s="582"/>
      <c r="S91" s="581"/>
      <c r="T91" s="582"/>
      <c r="U91" s="581"/>
      <c r="V91" s="582"/>
      <c r="W91" s="581"/>
      <c r="X91" s="582"/>
      <c r="Y91" s="581"/>
      <c r="Z91" s="582"/>
      <c r="AA91" s="581"/>
      <c r="AB91" s="582"/>
      <c r="AC91" s="581"/>
      <c r="AD91" s="582"/>
      <c r="AE91" s="581"/>
      <c r="AF91" s="583"/>
      <c r="AG91" s="581"/>
      <c r="AH91" s="583"/>
      <c r="AI91" s="581"/>
      <c r="AJ91" s="583"/>
      <c r="AK91" s="581"/>
      <c r="AL91" s="583"/>
      <c r="AM91" s="584"/>
      <c r="AN91" s="583"/>
      <c r="AO91" s="581"/>
      <c r="AP91" s="583"/>
      <c r="AQ91" s="584"/>
      <c r="AR91" s="583"/>
      <c r="AS91" s="583"/>
      <c r="AT91" s="583"/>
      <c r="AU91" s="584"/>
      <c r="AV91" s="583"/>
      <c r="AW91" s="583"/>
      <c r="AX91" s="158"/>
      <c r="AY91" s="154"/>
      <c r="AZ91">
        <f ca="1">INDIRECT(ADDRESS(ROW()+1,COLUMN(Arbeitszeit!xDay),,,"Arbeitszeit"))</f>
        <v>5</v>
      </c>
    </row>
    <row r="92" spans="1:52">
      <c r="A92" s="523">
        <f>Arbeitszeit!A93</f>
        <v>42456</v>
      </c>
      <c r="B92" s="524">
        <f t="shared" si="4"/>
        <v>42456</v>
      </c>
      <c r="C92" s="191">
        <f t="shared" si="5"/>
        <v>13</v>
      </c>
      <c r="D92" s="190">
        <f t="shared" si="6"/>
        <v>42429</v>
      </c>
      <c r="E92" s="593">
        <f>Arbeitszeit!V93*24</f>
        <v>0</v>
      </c>
      <c r="F92" s="352">
        <f t="shared" si="7"/>
        <v>0</v>
      </c>
      <c r="G92" s="155">
        <f>IF(Arbeitszeit!F93=Urlaub,B_WorkTime*24,)</f>
        <v>0</v>
      </c>
      <c r="H92" s="153"/>
      <c r="I92" s="155">
        <f>IF(Arbeitszeit!F93=Krank,B_WorkTime*24,)</f>
        <v>0</v>
      </c>
      <c r="J92" s="153"/>
      <c r="K92" s="156"/>
      <c r="L92" s="157"/>
      <c r="M92" s="581"/>
      <c r="N92" s="582"/>
      <c r="O92" s="581"/>
      <c r="P92" s="582"/>
      <c r="Q92" s="581"/>
      <c r="R92" s="582"/>
      <c r="S92" s="581"/>
      <c r="T92" s="582"/>
      <c r="U92" s="581"/>
      <c r="V92" s="582"/>
      <c r="W92" s="581"/>
      <c r="X92" s="582"/>
      <c r="Y92" s="581"/>
      <c r="Z92" s="582"/>
      <c r="AA92" s="581"/>
      <c r="AB92" s="582"/>
      <c r="AC92" s="581"/>
      <c r="AD92" s="582"/>
      <c r="AE92" s="581"/>
      <c r="AF92" s="583"/>
      <c r="AG92" s="581"/>
      <c r="AH92" s="583"/>
      <c r="AI92" s="581"/>
      <c r="AJ92" s="583"/>
      <c r="AK92" s="581"/>
      <c r="AL92" s="583"/>
      <c r="AM92" s="584"/>
      <c r="AN92" s="583"/>
      <c r="AO92" s="581"/>
      <c r="AP92" s="583"/>
      <c r="AQ92" s="584"/>
      <c r="AR92" s="583"/>
      <c r="AS92" s="583"/>
      <c r="AT92" s="583"/>
      <c r="AU92" s="584"/>
      <c r="AV92" s="583"/>
      <c r="AW92" s="583"/>
      <c r="AX92" s="158"/>
      <c r="AY92" s="154"/>
      <c r="AZ92">
        <f ca="1">INDIRECT(ADDRESS(ROW()+1,COLUMN(Arbeitszeit!xDay),,,"Arbeitszeit"))</f>
        <v>6</v>
      </c>
    </row>
    <row r="93" spans="1:52">
      <c r="A93" s="523">
        <f>Arbeitszeit!A94</f>
        <v>42457</v>
      </c>
      <c r="B93" s="524">
        <f t="shared" si="4"/>
        <v>42457</v>
      </c>
      <c r="C93" s="191">
        <f t="shared" si="5"/>
        <v>13</v>
      </c>
      <c r="D93" s="190">
        <f t="shared" si="6"/>
        <v>42429</v>
      </c>
      <c r="E93" s="593">
        <f>Arbeitszeit!V94*24</f>
        <v>0</v>
      </c>
      <c r="F93" s="352">
        <f t="shared" si="7"/>
        <v>0</v>
      </c>
      <c r="G93" s="155">
        <f>IF(Arbeitszeit!F94=Urlaub,B_WorkTime*24,)</f>
        <v>0</v>
      </c>
      <c r="H93" s="153"/>
      <c r="I93" s="155">
        <f>IF(Arbeitszeit!F94=Krank,B_WorkTime*24,)</f>
        <v>0</v>
      </c>
      <c r="J93" s="153"/>
      <c r="K93" s="156"/>
      <c r="L93" s="157"/>
      <c r="M93" s="581"/>
      <c r="N93" s="582"/>
      <c r="O93" s="581"/>
      <c r="P93" s="582"/>
      <c r="Q93" s="581"/>
      <c r="R93" s="582"/>
      <c r="S93" s="581"/>
      <c r="T93" s="582"/>
      <c r="U93" s="581"/>
      <c r="V93" s="582"/>
      <c r="W93" s="581"/>
      <c r="X93" s="582"/>
      <c r="Y93" s="581"/>
      <c r="Z93" s="582"/>
      <c r="AA93" s="581"/>
      <c r="AB93" s="582"/>
      <c r="AC93" s="581"/>
      <c r="AD93" s="582"/>
      <c r="AE93" s="581"/>
      <c r="AF93" s="583"/>
      <c r="AG93" s="581"/>
      <c r="AH93" s="583"/>
      <c r="AI93" s="581"/>
      <c r="AJ93" s="583"/>
      <c r="AK93" s="581"/>
      <c r="AL93" s="583"/>
      <c r="AM93" s="584"/>
      <c r="AN93" s="583"/>
      <c r="AO93" s="581"/>
      <c r="AP93" s="583"/>
      <c r="AQ93" s="584"/>
      <c r="AR93" s="583"/>
      <c r="AS93" s="583"/>
      <c r="AT93" s="583"/>
      <c r="AU93" s="584"/>
      <c r="AV93" s="583"/>
      <c r="AW93" s="583"/>
      <c r="AX93" s="158"/>
      <c r="AY93" s="154"/>
      <c r="AZ93">
        <f ca="1">INDIRECT(ADDRESS(ROW()+1,COLUMN(Arbeitszeit!xDay),,,"Arbeitszeit"))</f>
        <v>7</v>
      </c>
    </row>
    <row r="94" spans="1:52">
      <c r="A94" s="523">
        <f>Arbeitszeit!A95</f>
        <v>42458</v>
      </c>
      <c r="B94" s="524">
        <f t="shared" si="4"/>
        <v>42458</v>
      </c>
      <c r="C94" s="191">
        <f t="shared" si="5"/>
        <v>14</v>
      </c>
      <c r="D94" s="190">
        <f t="shared" si="6"/>
        <v>42429</v>
      </c>
      <c r="E94" s="593">
        <f>Arbeitszeit!V95*24</f>
        <v>0</v>
      </c>
      <c r="F94" s="352">
        <f t="shared" si="7"/>
        <v>0</v>
      </c>
      <c r="G94" s="155">
        <f>IF(Arbeitszeit!F95=Urlaub,B_WorkTime*24,)</f>
        <v>0</v>
      </c>
      <c r="H94" s="153"/>
      <c r="I94" s="155">
        <f>IF(Arbeitszeit!F95=Krank,B_WorkTime*24,)</f>
        <v>0</v>
      </c>
      <c r="J94" s="153"/>
      <c r="K94" s="156"/>
      <c r="L94" s="157"/>
      <c r="M94" s="581"/>
      <c r="N94" s="582"/>
      <c r="O94" s="581"/>
      <c r="P94" s="582"/>
      <c r="Q94" s="581"/>
      <c r="R94" s="582"/>
      <c r="S94" s="581"/>
      <c r="T94" s="582"/>
      <c r="U94" s="581"/>
      <c r="V94" s="582"/>
      <c r="W94" s="581"/>
      <c r="X94" s="582"/>
      <c r="Y94" s="581"/>
      <c r="Z94" s="582"/>
      <c r="AA94" s="581"/>
      <c r="AB94" s="582"/>
      <c r="AC94" s="581"/>
      <c r="AD94" s="582"/>
      <c r="AE94" s="581"/>
      <c r="AF94" s="583"/>
      <c r="AG94" s="581"/>
      <c r="AH94" s="583"/>
      <c r="AI94" s="581"/>
      <c r="AJ94" s="583"/>
      <c r="AK94" s="581"/>
      <c r="AL94" s="583"/>
      <c r="AM94" s="584"/>
      <c r="AN94" s="583"/>
      <c r="AO94" s="581"/>
      <c r="AP94" s="583"/>
      <c r="AQ94" s="584"/>
      <c r="AR94" s="583"/>
      <c r="AS94" s="583"/>
      <c r="AT94" s="583"/>
      <c r="AU94" s="584"/>
      <c r="AV94" s="583"/>
      <c r="AW94" s="583"/>
      <c r="AX94" s="158"/>
      <c r="AY94" s="154"/>
      <c r="AZ94">
        <f ca="1">INDIRECT(ADDRESS(ROW()+1,COLUMN(Arbeitszeit!xDay),,,"Arbeitszeit"))</f>
        <v>1</v>
      </c>
    </row>
    <row r="95" spans="1:52">
      <c r="A95" s="523">
        <f>Arbeitszeit!A96</f>
        <v>42459</v>
      </c>
      <c r="B95" s="524">
        <f t="shared" si="4"/>
        <v>42459</v>
      </c>
      <c r="C95" s="191">
        <f t="shared" si="5"/>
        <v>14</v>
      </c>
      <c r="D95" s="190">
        <f t="shared" si="6"/>
        <v>42429</v>
      </c>
      <c r="E95" s="593">
        <f>Arbeitszeit!V96*24</f>
        <v>0</v>
      </c>
      <c r="F95" s="352">
        <f t="shared" si="7"/>
        <v>0</v>
      </c>
      <c r="G95" s="155">
        <f>IF(Arbeitszeit!F96=Urlaub,B_WorkTime*24,)</f>
        <v>0</v>
      </c>
      <c r="H95" s="153"/>
      <c r="I95" s="155">
        <f>IF(Arbeitszeit!F96=Krank,B_WorkTime*24,)</f>
        <v>0</v>
      </c>
      <c r="J95" s="153"/>
      <c r="K95" s="156"/>
      <c r="L95" s="157"/>
      <c r="M95" s="581"/>
      <c r="N95" s="582"/>
      <c r="O95" s="581"/>
      <c r="P95" s="582"/>
      <c r="Q95" s="581"/>
      <c r="R95" s="582"/>
      <c r="S95" s="581"/>
      <c r="T95" s="582"/>
      <c r="U95" s="581"/>
      <c r="V95" s="582"/>
      <c r="W95" s="581"/>
      <c r="X95" s="582"/>
      <c r="Y95" s="581"/>
      <c r="Z95" s="582"/>
      <c r="AA95" s="581"/>
      <c r="AB95" s="582"/>
      <c r="AC95" s="581"/>
      <c r="AD95" s="582"/>
      <c r="AE95" s="581"/>
      <c r="AF95" s="583"/>
      <c r="AG95" s="581"/>
      <c r="AH95" s="583"/>
      <c r="AI95" s="581"/>
      <c r="AJ95" s="583"/>
      <c r="AK95" s="581"/>
      <c r="AL95" s="583"/>
      <c r="AM95" s="584"/>
      <c r="AN95" s="583"/>
      <c r="AO95" s="581"/>
      <c r="AP95" s="583"/>
      <c r="AQ95" s="584"/>
      <c r="AR95" s="583"/>
      <c r="AS95" s="583"/>
      <c r="AT95" s="583"/>
      <c r="AU95" s="584"/>
      <c r="AV95" s="583"/>
      <c r="AW95" s="583"/>
      <c r="AX95" s="158"/>
      <c r="AY95" s="154"/>
      <c r="AZ95">
        <f ca="1">INDIRECT(ADDRESS(ROW()+1,COLUMN(Arbeitszeit!xDay),,,"Arbeitszeit"))</f>
        <v>2</v>
      </c>
    </row>
    <row r="96" spans="1:52">
      <c r="A96" s="523">
        <f>Arbeitszeit!A97</f>
        <v>42460</v>
      </c>
      <c r="B96" s="524">
        <f t="shared" si="4"/>
        <v>42460</v>
      </c>
      <c r="C96" s="191">
        <f t="shared" si="5"/>
        <v>14</v>
      </c>
      <c r="D96" s="190">
        <f t="shared" si="6"/>
        <v>42460</v>
      </c>
      <c r="E96" s="593">
        <f>Arbeitszeit!V97*24</f>
        <v>0</v>
      </c>
      <c r="F96" s="352">
        <f t="shared" si="7"/>
        <v>0</v>
      </c>
      <c r="G96" s="155">
        <f>IF(Arbeitszeit!F97=Urlaub,B_WorkTime*24,)</f>
        <v>0</v>
      </c>
      <c r="H96" s="153"/>
      <c r="I96" s="155">
        <f>IF(Arbeitszeit!F97=Krank,B_WorkTime*24,)</f>
        <v>0</v>
      </c>
      <c r="J96" s="153"/>
      <c r="K96" s="156"/>
      <c r="L96" s="157"/>
      <c r="M96" s="581"/>
      <c r="N96" s="582"/>
      <c r="O96" s="581"/>
      <c r="P96" s="582"/>
      <c r="Q96" s="581"/>
      <c r="R96" s="582"/>
      <c r="S96" s="581"/>
      <c r="T96" s="582"/>
      <c r="U96" s="581"/>
      <c r="V96" s="582"/>
      <c r="W96" s="581"/>
      <c r="X96" s="582"/>
      <c r="Y96" s="581"/>
      <c r="Z96" s="582"/>
      <c r="AA96" s="581"/>
      <c r="AB96" s="582"/>
      <c r="AC96" s="581"/>
      <c r="AD96" s="582"/>
      <c r="AE96" s="581"/>
      <c r="AF96" s="583"/>
      <c r="AG96" s="581"/>
      <c r="AH96" s="583"/>
      <c r="AI96" s="581"/>
      <c r="AJ96" s="583"/>
      <c r="AK96" s="581"/>
      <c r="AL96" s="583"/>
      <c r="AM96" s="584"/>
      <c r="AN96" s="583"/>
      <c r="AO96" s="581"/>
      <c r="AP96" s="583"/>
      <c r="AQ96" s="584"/>
      <c r="AR96" s="583"/>
      <c r="AS96" s="583"/>
      <c r="AT96" s="583"/>
      <c r="AU96" s="584"/>
      <c r="AV96" s="583"/>
      <c r="AW96" s="583"/>
      <c r="AX96" s="158"/>
      <c r="AY96" s="154"/>
      <c r="AZ96">
        <f ca="1">INDIRECT(ADDRESS(ROW()+1,COLUMN(Arbeitszeit!xDay),,,"Arbeitszeit"))</f>
        <v>3</v>
      </c>
    </row>
    <row r="97" spans="1:52">
      <c r="A97" s="523">
        <f>Arbeitszeit!A98</f>
        <v>42461</v>
      </c>
      <c r="B97" s="524">
        <f t="shared" si="4"/>
        <v>42461</v>
      </c>
      <c r="C97" s="191">
        <f t="shared" si="5"/>
        <v>14</v>
      </c>
      <c r="D97" s="190">
        <f t="shared" si="6"/>
        <v>42460</v>
      </c>
      <c r="E97" s="593">
        <f>Arbeitszeit!V98*24</f>
        <v>0</v>
      </c>
      <c r="F97" s="352">
        <f t="shared" si="7"/>
        <v>0</v>
      </c>
      <c r="G97" s="155">
        <f>IF(Arbeitszeit!F98=Urlaub,B_WorkTime*24,)</f>
        <v>0</v>
      </c>
      <c r="H97" s="153"/>
      <c r="I97" s="155">
        <f>IF(Arbeitszeit!F98=Krank,B_WorkTime*24,)</f>
        <v>0</v>
      </c>
      <c r="J97" s="153"/>
      <c r="K97" s="156"/>
      <c r="L97" s="157"/>
      <c r="M97" s="581"/>
      <c r="N97" s="582"/>
      <c r="O97" s="581"/>
      <c r="P97" s="582"/>
      <c r="Q97" s="581"/>
      <c r="R97" s="582"/>
      <c r="S97" s="581"/>
      <c r="T97" s="582"/>
      <c r="U97" s="581"/>
      <c r="V97" s="582"/>
      <c r="W97" s="581"/>
      <c r="X97" s="582"/>
      <c r="Y97" s="581"/>
      <c r="Z97" s="582"/>
      <c r="AA97" s="581"/>
      <c r="AB97" s="582"/>
      <c r="AC97" s="581"/>
      <c r="AD97" s="582"/>
      <c r="AE97" s="581"/>
      <c r="AF97" s="583"/>
      <c r="AG97" s="581"/>
      <c r="AH97" s="583"/>
      <c r="AI97" s="581"/>
      <c r="AJ97" s="583"/>
      <c r="AK97" s="581"/>
      <c r="AL97" s="583"/>
      <c r="AM97" s="584"/>
      <c r="AN97" s="583"/>
      <c r="AO97" s="581"/>
      <c r="AP97" s="583"/>
      <c r="AQ97" s="584"/>
      <c r="AR97" s="583"/>
      <c r="AS97" s="583"/>
      <c r="AT97" s="583"/>
      <c r="AU97" s="584"/>
      <c r="AV97" s="583"/>
      <c r="AW97" s="583"/>
      <c r="AX97" s="158"/>
      <c r="AY97" s="154"/>
      <c r="AZ97">
        <f ca="1">INDIRECT(ADDRESS(ROW()+1,COLUMN(Arbeitszeit!xDay),,,"Arbeitszeit"))</f>
        <v>4</v>
      </c>
    </row>
    <row r="98" spans="1:52">
      <c r="A98" s="523">
        <f>Arbeitszeit!A99</f>
        <v>42462</v>
      </c>
      <c r="B98" s="524">
        <f t="shared" si="4"/>
        <v>42462</v>
      </c>
      <c r="C98" s="191">
        <f t="shared" si="5"/>
        <v>14</v>
      </c>
      <c r="D98" s="190">
        <f t="shared" si="6"/>
        <v>42460</v>
      </c>
      <c r="E98" s="593">
        <f>Arbeitszeit!V99*24</f>
        <v>0</v>
      </c>
      <c r="F98" s="352">
        <f t="shared" si="7"/>
        <v>0</v>
      </c>
      <c r="G98" s="155">
        <f>IF(Arbeitszeit!F99=Urlaub,B_WorkTime*24,)</f>
        <v>0</v>
      </c>
      <c r="H98" s="153"/>
      <c r="I98" s="155">
        <f>IF(Arbeitszeit!F99=Krank,B_WorkTime*24,)</f>
        <v>0</v>
      </c>
      <c r="J98" s="153"/>
      <c r="K98" s="156"/>
      <c r="L98" s="157"/>
      <c r="M98" s="581"/>
      <c r="N98" s="582"/>
      <c r="O98" s="581"/>
      <c r="P98" s="582"/>
      <c r="Q98" s="581"/>
      <c r="R98" s="582"/>
      <c r="S98" s="581"/>
      <c r="T98" s="582"/>
      <c r="U98" s="581"/>
      <c r="V98" s="582"/>
      <c r="W98" s="581"/>
      <c r="X98" s="582"/>
      <c r="Y98" s="581"/>
      <c r="Z98" s="582"/>
      <c r="AA98" s="581"/>
      <c r="AB98" s="582"/>
      <c r="AC98" s="581"/>
      <c r="AD98" s="582"/>
      <c r="AE98" s="581"/>
      <c r="AF98" s="583"/>
      <c r="AG98" s="581"/>
      <c r="AH98" s="583"/>
      <c r="AI98" s="581"/>
      <c r="AJ98" s="583"/>
      <c r="AK98" s="581"/>
      <c r="AL98" s="583"/>
      <c r="AM98" s="584"/>
      <c r="AN98" s="583"/>
      <c r="AO98" s="581"/>
      <c r="AP98" s="583"/>
      <c r="AQ98" s="584"/>
      <c r="AR98" s="583"/>
      <c r="AS98" s="583"/>
      <c r="AT98" s="583"/>
      <c r="AU98" s="584"/>
      <c r="AV98" s="583"/>
      <c r="AW98" s="583"/>
      <c r="AX98" s="158"/>
      <c r="AY98" s="154"/>
      <c r="AZ98">
        <f ca="1">INDIRECT(ADDRESS(ROW()+1,COLUMN(Arbeitszeit!xDay),,,"Arbeitszeit"))</f>
        <v>5</v>
      </c>
    </row>
    <row r="99" spans="1:52">
      <c r="A99" s="523">
        <f>Arbeitszeit!A100</f>
        <v>42463</v>
      </c>
      <c r="B99" s="524">
        <f t="shared" si="4"/>
        <v>42463</v>
      </c>
      <c r="C99" s="191">
        <f t="shared" si="5"/>
        <v>14</v>
      </c>
      <c r="D99" s="190">
        <f t="shared" si="6"/>
        <v>42460</v>
      </c>
      <c r="E99" s="593">
        <f>Arbeitszeit!V100*24</f>
        <v>0</v>
      </c>
      <c r="F99" s="352">
        <f t="shared" si="7"/>
        <v>0</v>
      </c>
      <c r="G99" s="155">
        <f>IF(Arbeitszeit!F100=Urlaub,B_WorkTime*24,)</f>
        <v>0</v>
      </c>
      <c r="H99" s="153"/>
      <c r="I99" s="155">
        <f>IF(Arbeitszeit!F100=Krank,B_WorkTime*24,)</f>
        <v>0</v>
      </c>
      <c r="J99" s="153"/>
      <c r="K99" s="156"/>
      <c r="L99" s="157"/>
      <c r="M99" s="581"/>
      <c r="N99" s="582"/>
      <c r="O99" s="581"/>
      <c r="P99" s="582"/>
      <c r="Q99" s="581"/>
      <c r="R99" s="582"/>
      <c r="S99" s="581"/>
      <c r="T99" s="582"/>
      <c r="U99" s="581"/>
      <c r="V99" s="582"/>
      <c r="W99" s="581"/>
      <c r="X99" s="582"/>
      <c r="Y99" s="581"/>
      <c r="Z99" s="582"/>
      <c r="AA99" s="581"/>
      <c r="AB99" s="582"/>
      <c r="AC99" s="581"/>
      <c r="AD99" s="582"/>
      <c r="AE99" s="581"/>
      <c r="AF99" s="583"/>
      <c r="AG99" s="581"/>
      <c r="AH99" s="583"/>
      <c r="AI99" s="581"/>
      <c r="AJ99" s="583"/>
      <c r="AK99" s="581"/>
      <c r="AL99" s="583"/>
      <c r="AM99" s="584"/>
      <c r="AN99" s="583"/>
      <c r="AO99" s="581"/>
      <c r="AP99" s="583"/>
      <c r="AQ99" s="584"/>
      <c r="AR99" s="583"/>
      <c r="AS99" s="583"/>
      <c r="AT99" s="583"/>
      <c r="AU99" s="584"/>
      <c r="AV99" s="583"/>
      <c r="AW99" s="583"/>
      <c r="AX99" s="158"/>
      <c r="AY99" s="154"/>
      <c r="AZ99">
        <f ca="1">INDIRECT(ADDRESS(ROW()+1,COLUMN(Arbeitszeit!xDay),,,"Arbeitszeit"))</f>
        <v>6</v>
      </c>
    </row>
    <row r="100" spans="1:52">
      <c r="A100" s="523">
        <f>Arbeitszeit!A101</f>
        <v>42464</v>
      </c>
      <c r="B100" s="524">
        <f t="shared" si="4"/>
        <v>42464</v>
      </c>
      <c r="C100" s="191">
        <f t="shared" si="5"/>
        <v>14</v>
      </c>
      <c r="D100" s="190">
        <f t="shared" si="6"/>
        <v>42460</v>
      </c>
      <c r="E100" s="593">
        <f>Arbeitszeit!V101*24</f>
        <v>0</v>
      </c>
      <c r="F100" s="352">
        <f t="shared" si="7"/>
        <v>0</v>
      </c>
      <c r="G100" s="155">
        <f>IF(Arbeitszeit!F101=Urlaub,B_WorkTime*24,)</f>
        <v>0</v>
      </c>
      <c r="H100" s="153"/>
      <c r="I100" s="155">
        <f>IF(Arbeitszeit!F101=Krank,B_WorkTime*24,)</f>
        <v>0</v>
      </c>
      <c r="J100" s="153"/>
      <c r="K100" s="156"/>
      <c r="L100" s="157"/>
      <c r="M100" s="581"/>
      <c r="N100" s="582"/>
      <c r="O100" s="581"/>
      <c r="P100" s="582"/>
      <c r="Q100" s="581"/>
      <c r="R100" s="582"/>
      <c r="S100" s="581"/>
      <c r="T100" s="582"/>
      <c r="U100" s="581"/>
      <c r="V100" s="582"/>
      <c r="W100" s="581"/>
      <c r="X100" s="582"/>
      <c r="Y100" s="581"/>
      <c r="Z100" s="582"/>
      <c r="AA100" s="581"/>
      <c r="AB100" s="582"/>
      <c r="AC100" s="581"/>
      <c r="AD100" s="582"/>
      <c r="AE100" s="581"/>
      <c r="AF100" s="583"/>
      <c r="AG100" s="581"/>
      <c r="AH100" s="583"/>
      <c r="AI100" s="581"/>
      <c r="AJ100" s="583"/>
      <c r="AK100" s="581"/>
      <c r="AL100" s="583"/>
      <c r="AM100" s="584"/>
      <c r="AN100" s="583"/>
      <c r="AO100" s="581"/>
      <c r="AP100" s="583"/>
      <c r="AQ100" s="584"/>
      <c r="AR100" s="583"/>
      <c r="AS100" s="583"/>
      <c r="AT100" s="583"/>
      <c r="AU100" s="584"/>
      <c r="AV100" s="583"/>
      <c r="AW100" s="583"/>
      <c r="AX100" s="158"/>
      <c r="AY100" s="154"/>
      <c r="AZ100">
        <f ca="1">INDIRECT(ADDRESS(ROW()+1,COLUMN(Arbeitszeit!xDay),,,"Arbeitszeit"))</f>
        <v>7</v>
      </c>
    </row>
    <row r="101" spans="1:52">
      <c r="A101" s="523">
        <f>Arbeitszeit!A102</f>
        <v>42465</v>
      </c>
      <c r="B101" s="524">
        <f t="shared" si="4"/>
        <v>42465</v>
      </c>
      <c r="C101" s="191">
        <f t="shared" si="5"/>
        <v>15</v>
      </c>
      <c r="D101" s="190">
        <f t="shared" si="6"/>
        <v>42460</v>
      </c>
      <c r="E101" s="593">
        <f>Arbeitszeit!V102*24</f>
        <v>0</v>
      </c>
      <c r="F101" s="352">
        <f t="shared" si="7"/>
        <v>0</v>
      </c>
      <c r="G101" s="155">
        <f>IF(Arbeitszeit!F102=Urlaub,B_WorkTime*24,)</f>
        <v>0</v>
      </c>
      <c r="H101" s="153"/>
      <c r="I101" s="155">
        <f>IF(Arbeitszeit!F102=Krank,B_WorkTime*24,)</f>
        <v>0</v>
      </c>
      <c r="J101" s="153"/>
      <c r="K101" s="156"/>
      <c r="L101" s="157"/>
      <c r="M101" s="581"/>
      <c r="N101" s="582"/>
      <c r="O101" s="581"/>
      <c r="P101" s="582"/>
      <c r="Q101" s="581"/>
      <c r="R101" s="582"/>
      <c r="S101" s="581"/>
      <c r="T101" s="582"/>
      <c r="U101" s="581"/>
      <c r="V101" s="582"/>
      <c r="W101" s="581"/>
      <c r="X101" s="582"/>
      <c r="Y101" s="581"/>
      <c r="Z101" s="582"/>
      <c r="AA101" s="581"/>
      <c r="AB101" s="582"/>
      <c r="AC101" s="581"/>
      <c r="AD101" s="582"/>
      <c r="AE101" s="581"/>
      <c r="AF101" s="583"/>
      <c r="AG101" s="581"/>
      <c r="AH101" s="583"/>
      <c r="AI101" s="581"/>
      <c r="AJ101" s="583"/>
      <c r="AK101" s="581"/>
      <c r="AL101" s="583"/>
      <c r="AM101" s="584"/>
      <c r="AN101" s="583"/>
      <c r="AO101" s="581"/>
      <c r="AP101" s="583"/>
      <c r="AQ101" s="584"/>
      <c r="AR101" s="583"/>
      <c r="AS101" s="583"/>
      <c r="AT101" s="583"/>
      <c r="AU101" s="584"/>
      <c r="AV101" s="583"/>
      <c r="AW101" s="583"/>
      <c r="AX101" s="158"/>
      <c r="AY101" s="154"/>
      <c r="AZ101">
        <f ca="1">INDIRECT(ADDRESS(ROW()+1,COLUMN(Arbeitszeit!xDay),,,"Arbeitszeit"))</f>
        <v>1</v>
      </c>
    </row>
    <row r="102" spans="1:52">
      <c r="A102" s="523">
        <f>Arbeitszeit!A103</f>
        <v>42466</v>
      </c>
      <c r="B102" s="524">
        <f t="shared" si="4"/>
        <v>42466</v>
      </c>
      <c r="C102" s="191">
        <f t="shared" si="5"/>
        <v>15</v>
      </c>
      <c r="D102" s="190">
        <f t="shared" si="6"/>
        <v>42460</v>
      </c>
      <c r="E102" s="593">
        <f>Arbeitszeit!V103*24</f>
        <v>0</v>
      </c>
      <c r="F102" s="352">
        <f t="shared" si="7"/>
        <v>0</v>
      </c>
      <c r="G102" s="155">
        <f>IF(Arbeitszeit!F103=Urlaub,B_WorkTime*24,)</f>
        <v>0</v>
      </c>
      <c r="H102" s="153"/>
      <c r="I102" s="155">
        <f>IF(Arbeitszeit!F103=Krank,B_WorkTime*24,)</f>
        <v>0</v>
      </c>
      <c r="J102" s="153"/>
      <c r="K102" s="156"/>
      <c r="L102" s="157"/>
      <c r="M102" s="581"/>
      <c r="N102" s="582"/>
      <c r="O102" s="581"/>
      <c r="P102" s="582"/>
      <c r="Q102" s="581"/>
      <c r="R102" s="582"/>
      <c r="S102" s="581"/>
      <c r="T102" s="582"/>
      <c r="U102" s="581"/>
      <c r="V102" s="582"/>
      <c r="W102" s="581"/>
      <c r="X102" s="582"/>
      <c r="Y102" s="581"/>
      <c r="Z102" s="582"/>
      <c r="AA102" s="581"/>
      <c r="AB102" s="582"/>
      <c r="AC102" s="581"/>
      <c r="AD102" s="582"/>
      <c r="AE102" s="581"/>
      <c r="AF102" s="583"/>
      <c r="AG102" s="581"/>
      <c r="AH102" s="583"/>
      <c r="AI102" s="581"/>
      <c r="AJ102" s="583"/>
      <c r="AK102" s="581"/>
      <c r="AL102" s="583"/>
      <c r="AM102" s="584"/>
      <c r="AN102" s="583"/>
      <c r="AO102" s="581"/>
      <c r="AP102" s="583"/>
      <c r="AQ102" s="584"/>
      <c r="AR102" s="583"/>
      <c r="AS102" s="583"/>
      <c r="AT102" s="583"/>
      <c r="AU102" s="584"/>
      <c r="AV102" s="583"/>
      <c r="AW102" s="583"/>
      <c r="AX102" s="158"/>
      <c r="AY102" s="154"/>
      <c r="AZ102">
        <f ca="1">INDIRECT(ADDRESS(ROW()+1,COLUMN(Arbeitszeit!xDay),,,"Arbeitszeit"))</f>
        <v>2</v>
      </c>
    </row>
    <row r="103" spans="1:52">
      <c r="A103" s="523">
        <f>Arbeitszeit!A104</f>
        <v>42467</v>
      </c>
      <c r="B103" s="524">
        <f t="shared" si="4"/>
        <v>42467</v>
      </c>
      <c r="C103" s="191">
        <f t="shared" si="5"/>
        <v>15</v>
      </c>
      <c r="D103" s="190">
        <f t="shared" si="6"/>
        <v>42460</v>
      </c>
      <c r="E103" s="593">
        <f>Arbeitszeit!V104*24</f>
        <v>0</v>
      </c>
      <c r="F103" s="352">
        <f t="shared" si="7"/>
        <v>0</v>
      </c>
      <c r="G103" s="155">
        <f>IF(Arbeitszeit!F104=Urlaub,B_WorkTime*24,)</f>
        <v>0</v>
      </c>
      <c r="H103" s="153"/>
      <c r="I103" s="155">
        <f>IF(Arbeitszeit!F104=Krank,B_WorkTime*24,)</f>
        <v>0</v>
      </c>
      <c r="J103" s="153"/>
      <c r="K103" s="156"/>
      <c r="L103" s="157"/>
      <c r="M103" s="581"/>
      <c r="N103" s="582"/>
      <c r="O103" s="581"/>
      <c r="P103" s="582"/>
      <c r="Q103" s="581"/>
      <c r="R103" s="582"/>
      <c r="S103" s="581"/>
      <c r="T103" s="582"/>
      <c r="U103" s="581"/>
      <c r="V103" s="582"/>
      <c r="W103" s="581"/>
      <c r="X103" s="582"/>
      <c r="Y103" s="581"/>
      <c r="Z103" s="582"/>
      <c r="AA103" s="581"/>
      <c r="AB103" s="582"/>
      <c r="AC103" s="581"/>
      <c r="AD103" s="582"/>
      <c r="AE103" s="581"/>
      <c r="AF103" s="583"/>
      <c r="AG103" s="581"/>
      <c r="AH103" s="583"/>
      <c r="AI103" s="581"/>
      <c r="AJ103" s="583"/>
      <c r="AK103" s="581"/>
      <c r="AL103" s="583"/>
      <c r="AM103" s="584"/>
      <c r="AN103" s="583"/>
      <c r="AO103" s="581"/>
      <c r="AP103" s="583"/>
      <c r="AQ103" s="584"/>
      <c r="AR103" s="583"/>
      <c r="AS103" s="583"/>
      <c r="AT103" s="583"/>
      <c r="AU103" s="584"/>
      <c r="AV103" s="583"/>
      <c r="AW103" s="583"/>
      <c r="AX103" s="158"/>
      <c r="AY103" s="154"/>
      <c r="AZ103">
        <f ca="1">INDIRECT(ADDRESS(ROW()+1,COLUMN(Arbeitszeit!xDay),,,"Arbeitszeit"))</f>
        <v>3</v>
      </c>
    </row>
    <row r="104" spans="1:52">
      <c r="A104" s="523">
        <f>Arbeitszeit!A105</f>
        <v>42468</v>
      </c>
      <c r="B104" s="524">
        <f t="shared" si="4"/>
        <v>42468</v>
      </c>
      <c r="C104" s="191">
        <f t="shared" si="5"/>
        <v>15</v>
      </c>
      <c r="D104" s="190">
        <f t="shared" si="6"/>
        <v>42460</v>
      </c>
      <c r="E104" s="593">
        <f>Arbeitszeit!V105*24</f>
        <v>0</v>
      </c>
      <c r="F104" s="352">
        <f t="shared" si="7"/>
        <v>0</v>
      </c>
      <c r="G104" s="155">
        <f>IF(Arbeitszeit!F105=Urlaub,B_WorkTime*24,)</f>
        <v>0</v>
      </c>
      <c r="H104" s="153"/>
      <c r="I104" s="155">
        <f>IF(Arbeitszeit!F105=Krank,B_WorkTime*24,)</f>
        <v>0</v>
      </c>
      <c r="J104" s="153"/>
      <c r="K104" s="156"/>
      <c r="L104" s="157"/>
      <c r="M104" s="581"/>
      <c r="N104" s="582"/>
      <c r="O104" s="581"/>
      <c r="P104" s="582"/>
      <c r="Q104" s="581"/>
      <c r="R104" s="582"/>
      <c r="S104" s="581"/>
      <c r="T104" s="582"/>
      <c r="U104" s="581"/>
      <c r="V104" s="582"/>
      <c r="W104" s="581"/>
      <c r="X104" s="582"/>
      <c r="Y104" s="581"/>
      <c r="Z104" s="582"/>
      <c r="AA104" s="581"/>
      <c r="AB104" s="582"/>
      <c r="AC104" s="581"/>
      <c r="AD104" s="582"/>
      <c r="AE104" s="581"/>
      <c r="AF104" s="583"/>
      <c r="AG104" s="581"/>
      <c r="AH104" s="583"/>
      <c r="AI104" s="581"/>
      <c r="AJ104" s="583"/>
      <c r="AK104" s="581"/>
      <c r="AL104" s="583"/>
      <c r="AM104" s="584"/>
      <c r="AN104" s="583"/>
      <c r="AO104" s="581"/>
      <c r="AP104" s="583"/>
      <c r="AQ104" s="584"/>
      <c r="AR104" s="583"/>
      <c r="AS104" s="583"/>
      <c r="AT104" s="583"/>
      <c r="AU104" s="584"/>
      <c r="AV104" s="583"/>
      <c r="AW104" s="583"/>
      <c r="AX104" s="158"/>
      <c r="AY104" s="154"/>
      <c r="AZ104">
        <f ca="1">INDIRECT(ADDRESS(ROW()+1,COLUMN(Arbeitszeit!xDay),,,"Arbeitszeit"))</f>
        <v>4</v>
      </c>
    </row>
    <row r="105" spans="1:52">
      <c r="A105" s="523">
        <f>Arbeitszeit!A106</f>
        <v>42469</v>
      </c>
      <c r="B105" s="524">
        <f t="shared" si="4"/>
        <v>42469</v>
      </c>
      <c r="C105" s="191">
        <f t="shared" si="5"/>
        <v>15</v>
      </c>
      <c r="D105" s="190">
        <f t="shared" si="6"/>
        <v>42460</v>
      </c>
      <c r="E105" s="593">
        <f>Arbeitszeit!V106*24</f>
        <v>0</v>
      </c>
      <c r="F105" s="352">
        <f t="shared" si="7"/>
        <v>0</v>
      </c>
      <c r="G105" s="155">
        <f>IF(Arbeitszeit!F106=Urlaub,B_WorkTime*24,)</f>
        <v>0</v>
      </c>
      <c r="H105" s="153"/>
      <c r="I105" s="155">
        <f>IF(Arbeitszeit!F106=Krank,B_WorkTime*24,)</f>
        <v>0</v>
      </c>
      <c r="J105" s="153"/>
      <c r="K105" s="156"/>
      <c r="L105" s="157"/>
      <c r="M105" s="581"/>
      <c r="N105" s="582"/>
      <c r="O105" s="581"/>
      <c r="P105" s="582"/>
      <c r="Q105" s="581"/>
      <c r="R105" s="582"/>
      <c r="S105" s="581"/>
      <c r="T105" s="582"/>
      <c r="U105" s="581"/>
      <c r="V105" s="582"/>
      <c r="W105" s="581"/>
      <c r="X105" s="582"/>
      <c r="Y105" s="581"/>
      <c r="Z105" s="582"/>
      <c r="AA105" s="581"/>
      <c r="AB105" s="582"/>
      <c r="AC105" s="581"/>
      <c r="AD105" s="582"/>
      <c r="AE105" s="581"/>
      <c r="AF105" s="583"/>
      <c r="AG105" s="581"/>
      <c r="AH105" s="583"/>
      <c r="AI105" s="581"/>
      <c r="AJ105" s="583"/>
      <c r="AK105" s="581"/>
      <c r="AL105" s="583"/>
      <c r="AM105" s="584"/>
      <c r="AN105" s="583"/>
      <c r="AO105" s="581"/>
      <c r="AP105" s="583"/>
      <c r="AQ105" s="584"/>
      <c r="AR105" s="583"/>
      <c r="AS105" s="583"/>
      <c r="AT105" s="583"/>
      <c r="AU105" s="584"/>
      <c r="AV105" s="583"/>
      <c r="AW105" s="583"/>
      <c r="AX105" s="158"/>
      <c r="AY105" s="154"/>
      <c r="AZ105">
        <f ca="1">INDIRECT(ADDRESS(ROW()+1,COLUMN(Arbeitszeit!xDay),,,"Arbeitszeit"))</f>
        <v>8</v>
      </c>
    </row>
    <row r="106" spans="1:52">
      <c r="A106" s="523">
        <f>Arbeitszeit!A107</f>
        <v>42470</v>
      </c>
      <c r="B106" s="524">
        <f t="shared" si="4"/>
        <v>42470</v>
      </c>
      <c r="C106" s="191">
        <f t="shared" si="5"/>
        <v>15</v>
      </c>
      <c r="D106" s="190">
        <f t="shared" si="6"/>
        <v>42460</v>
      </c>
      <c r="E106" s="593">
        <f>Arbeitszeit!V107*24</f>
        <v>0</v>
      </c>
      <c r="F106" s="352">
        <f t="shared" si="7"/>
        <v>0</v>
      </c>
      <c r="G106" s="155">
        <f>IF(Arbeitszeit!F107=Urlaub,B_WorkTime*24,)</f>
        <v>0</v>
      </c>
      <c r="H106" s="153"/>
      <c r="I106" s="155">
        <f>IF(Arbeitszeit!F107=Krank,B_WorkTime*24,)</f>
        <v>0</v>
      </c>
      <c r="J106" s="153"/>
      <c r="K106" s="156"/>
      <c r="L106" s="157"/>
      <c r="M106" s="581"/>
      <c r="N106" s="582"/>
      <c r="O106" s="581"/>
      <c r="P106" s="582"/>
      <c r="Q106" s="581"/>
      <c r="R106" s="582"/>
      <c r="S106" s="581"/>
      <c r="T106" s="582"/>
      <c r="U106" s="581"/>
      <c r="V106" s="582"/>
      <c r="W106" s="581"/>
      <c r="X106" s="582"/>
      <c r="Y106" s="581"/>
      <c r="Z106" s="582"/>
      <c r="AA106" s="581"/>
      <c r="AB106" s="582"/>
      <c r="AC106" s="581"/>
      <c r="AD106" s="582"/>
      <c r="AE106" s="581"/>
      <c r="AF106" s="583"/>
      <c r="AG106" s="581"/>
      <c r="AH106" s="583"/>
      <c r="AI106" s="581"/>
      <c r="AJ106" s="583"/>
      <c r="AK106" s="581"/>
      <c r="AL106" s="583"/>
      <c r="AM106" s="584"/>
      <c r="AN106" s="583"/>
      <c r="AO106" s="581"/>
      <c r="AP106" s="583"/>
      <c r="AQ106" s="584"/>
      <c r="AR106" s="583"/>
      <c r="AS106" s="583"/>
      <c r="AT106" s="583"/>
      <c r="AU106" s="584"/>
      <c r="AV106" s="583"/>
      <c r="AW106" s="583"/>
      <c r="AX106" s="158"/>
      <c r="AY106" s="154"/>
      <c r="AZ106">
        <f ca="1">INDIRECT(ADDRESS(ROW()+1,COLUMN(Arbeitszeit!xDay),,,"Arbeitszeit"))</f>
        <v>6</v>
      </c>
    </row>
    <row r="107" spans="1:52">
      <c r="A107" s="523">
        <f>Arbeitszeit!A108</f>
        <v>42471</v>
      </c>
      <c r="B107" s="524">
        <f t="shared" si="4"/>
        <v>42471</v>
      </c>
      <c r="C107" s="191">
        <f t="shared" si="5"/>
        <v>15</v>
      </c>
      <c r="D107" s="190">
        <f t="shared" si="6"/>
        <v>42460</v>
      </c>
      <c r="E107" s="593">
        <f>Arbeitszeit!V108*24</f>
        <v>0</v>
      </c>
      <c r="F107" s="352">
        <f t="shared" si="7"/>
        <v>0</v>
      </c>
      <c r="G107" s="155">
        <f>IF(Arbeitszeit!F108=Urlaub,B_WorkTime*24,)</f>
        <v>0</v>
      </c>
      <c r="H107" s="153"/>
      <c r="I107" s="155">
        <f>IF(Arbeitszeit!F108=Krank,B_WorkTime*24,)</f>
        <v>0</v>
      </c>
      <c r="J107" s="153"/>
      <c r="K107" s="156"/>
      <c r="L107" s="157"/>
      <c r="M107" s="581"/>
      <c r="N107" s="582"/>
      <c r="O107" s="581"/>
      <c r="P107" s="582"/>
      <c r="Q107" s="581"/>
      <c r="R107" s="582"/>
      <c r="S107" s="581"/>
      <c r="T107" s="582"/>
      <c r="U107" s="581"/>
      <c r="V107" s="582"/>
      <c r="W107" s="581"/>
      <c r="X107" s="582"/>
      <c r="Y107" s="581"/>
      <c r="Z107" s="582"/>
      <c r="AA107" s="581"/>
      <c r="AB107" s="582"/>
      <c r="AC107" s="581"/>
      <c r="AD107" s="582"/>
      <c r="AE107" s="581"/>
      <c r="AF107" s="583"/>
      <c r="AG107" s="581"/>
      <c r="AH107" s="583"/>
      <c r="AI107" s="581"/>
      <c r="AJ107" s="583"/>
      <c r="AK107" s="581"/>
      <c r="AL107" s="583"/>
      <c r="AM107" s="584"/>
      <c r="AN107" s="583"/>
      <c r="AO107" s="581"/>
      <c r="AP107" s="583"/>
      <c r="AQ107" s="584"/>
      <c r="AR107" s="583"/>
      <c r="AS107" s="583"/>
      <c r="AT107" s="583"/>
      <c r="AU107" s="584"/>
      <c r="AV107" s="583"/>
      <c r="AW107" s="583"/>
      <c r="AX107" s="158"/>
      <c r="AY107" s="154"/>
      <c r="AZ107">
        <f ca="1">INDIRECT(ADDRESS(ROW()+1,COLUMN(Arbeitszeit!xDay),,,"Arbeitszeit"))</f>
        <v>8</v>
      </c>
    </row>
    <row r="108" spans="1:52">
      <c r="A108" s="523">
        <f>Arbeitszeit!A109</f>
        <v>42472</v>
      </c>
      <c r="B108" s="524">
        <f t="shared" si="4"/>
        <v>42472</v>
      </c>
      <c r="C108" s="191">
        <f t="shared" si="5"/>
        <v>16</v>
      </c>
      <c r="D108" s="190">
        <f t="shared" si="6"/>
        <v>42460</v>
      </c>
      <c r="E108" s="593">
        <f>Arbeitszeit!V109*24</f>
        <v>0</v>
      </c>
      <c r="F108" s="352">
        <f t="shared" si="7"/>
        <v>0</v>
      </c>
      <c r="G108" s="155">
        <f>IF(Arbeitszeit!F109=Urlaub,B_WorkTime*24,)</f>
        <v>0</v>
      </c>
      <c r="H108" s="153"/>
      <c r="I108" s="155">
        <f>IF(Arbeitszeit!F109=Krank,B_WorkTime*24,)</f>
        <v>0</v>
      </c>
      <c r="J108" s="153"/>
      <c r="K108" s="156"/>
      <c r="L108" s="157"/>
      <c r="M108" s="581"/>
      <c r="N108" s="582"/>
      <c r="O108" s="581"/>
      <c r="P108" s="582"/>
      <c r="Q108" s="581"/>
      <c r="R108" s="582"/>
      <c r="S108" s="581"/>
      <c r="T108" s="582"/>
      <c r="U108" s="581"/>
      <c r="V108" s="582"/>
      <c r="W108" s="581"/>
      <c r="X108" s="582"/>
      <c r="Y108" s="581"/>
      <c r="Z108" s="582"/>
      <c r="AA108" s="581"/>
      <c r="AB108" s="582"/>
      <c r="AC108" s="581"/>
      <c r="AD108" s="582"/>
      <c r="AE108" s="581"/>
      <c r="AF108" s="583"/>
      <c r="AG108" s="581"/>
      <c r="AH108" s="583"/>
      <c r="AI108" s="581"/>
      <c r="AJ108" s="583"/>
      <c r="AK108" s="581"/>
      <c r="AL108" s="583"/>
      <c r="AM108" s="584"/>
      <c r="AN108" s="583"/>
      <c r="AO108" s="581"/>
      <c r="AP108" s="583"/>
      <c r="AQ108" s="584"/>
      <c r="AR108" s="583"/>
      <c r="AS108" s="583"/>
      <c r="AT108" s="583"/>
      <c r="AU108" s="584"/>
      <c r="AV108" s="583"/>
      <c r="AW108" s="583"/>
      <c r="AX108" s="158"/>
      <c r="AY108" s="154"/>
      <c r="AZ108">
        <f ca="1">INDIRECT(ADDRESS(ROW()+1,COLUMN(Arbeitszeit!xDay),,,"Arbeitszeit"))</f>
        <v>8</v>
      </c>
    </row>
    <row r="109" spans="1:52">
      <c r="A109" s="523">
        <f>Arbeitszeit!A110</f>
        <v>42473</v>
      </c>
      <c r="B109" s="524">
        <f t="shared" si="4"/>
        <v>42473</v>
      </c>
      <c r="C109" s="191">
        <f t="shared" si="5"/>
        <v>16</v>
      </c>
      <c r="D109" s="190">
        <f t="shared" si="6"/>
        <v>42460</v>
      </c>
      <c r="E109" s="593">
        <f>Arbeitszeit!V110*24</f>
        <v>0</v>
      </c>
      <c r="F109" s="352">
        <f t="shared" si="7"/>
        <v>0</v>
      </c>
      <c r="G109" s="155">
        <f>IF(Arbeitszeit!F110=Urlaub,B_WorkTime*24,)</f>
        <v>0</v>
      </c>
      <c r="H109" s="153"/>
      <c r="I109" s="155">
        <f>IF(Arbeitszeit!F110=Krank,B_WorkTime*24,)</f>
        <v>0</v>
      </c>
      <c r="J109" s="153"/>
      <c r="K109" s="156"/>
      <c r="L109" s="157"/>
      <c r="M109" s="581"/>
      <c r="N109" s="582"/>
      <c r="O109" s="581"/>
      <c r="P109" s="582"/>
      <c r="Q109" s="581"/>
      <c r="R109" s="582"/>
      <c r="S109" s="581"/>
      <c r="T109" s="582"/>
      <c r="U109" s="581"/>
      <c r="V109" s="582"/>
      <c r="W109" s="581"/>
      <c r="X109" s="582"/>
      <c r="Y109" s="581"/>
      <c r="Z109" s="582"/>
      <c r="AA109" s="581"/>
      <c r="AB109" s="582"/>
      <c r="AC109" s="581"/>
      <c r="AD109" s="582"/>
      <c r="AE109" s="581"/>
      <c r="AF109" s="583"/>
      <c r="AG109" s="581"/>
      <c r="AH109" s="583"/>
      <c r="AI109" s="581"/>
      <c r="AJ109" s="583"/>
      <c r="AK109" s="581"/>
      <c r="AL109" s="583"/>
      <c r="AM109" s="584"/>
      <c r="AN109" s="583"/>
      <c r="AO109" s="581"/>
      <c r="AP109" s="583"/>
      <c r="AQ109" s="584"/>
      <c r="AR109" s="583"/>
      <c r="AS109" s="583"/>
      <c r="AT109" s="583"/>
      <c r="AU109" s="584"/>
      <c r="AV109" s="583"/>
      <c r="AW109" s="583"/>
      <c r="AX109" s="158"/>
      <c r="AY109" s="154"/>
      <c r="AZ109">
        <f ca="1">INDIRECT(ADDRESS(ROW()+1,COLUMN(Arbeitszeit!xDay),,,"Arbeitszeit"))</f>
        <v>2</v>
      </c>
    </row>
    <row r="110" spans="1:52">
      <c r="A110" s="523">
        <f>Arbeitszeit!A111</f>
        <v>42474</v>
      </c>
      <c r="B110" s="524">
        <f t="shared" si="4"/>
        <v>42474</v>
      </c>
      <c r="C110" s="191">
        <f t="shared" si="5"/>
        <v>16</v>
      </c>
      <c r="D110" s="190">
        <f t="shared" si="6"/>
        <v>42460</v>
      </c>
      <c r="E110" s="593">
        <f>Arbeitszeit!V111*24</f>
        <v>0</v>
      </c>
      <c r="F110" s="352">
        <f t="shared" si="7"/>
        <v>0</v>
      </c>
      <c r="G110" s="155">
        <f>IF(Arbeitszeit!F111=Urlaub,B_WorkTime*24,)</f>
        <v>0</v>
      </c>
      <c r="H110" s="153"/>
      <c r="I110" s="155">
        <f>IF(Arbeitszeit!F111=Krank,B_WorkTime*24,)</f>
        <v>0</v>
      </c>
      <c r="J110" s="153"/>
      <c r="K110" s="156"/>
      <c r="L110" s="157"/>
      <c r="M110" s="581"/>
      <c r="N110" s="582"/>
      <c r="O110" s="581"/>
      <c r="P110" s="582"/>
      <c r="Q110" s="581"/>
      <c r="R110" s="582"/>
      <c r="S110" s="581"/>
      <c r="T110" s="582"/>
      <c r="U110" s="581"/>
      <c r="V110" s="582"/>
      <c r="W110" s="581"/>
      <c r="X110" s="582"/>
      <c r="Y110" s="581"/>
      <c r="Z110" s="582"/>
      <c r="AA110" s="581"/>
      <c r="AB110" s="582"/>
      <c r="AC110" s="581"/>
      <c r="AD110" s="582"/>
      <c r="AE110" s="581"/>
      <c r="AF110" s="583"/>
      <c r="AG110" s="581"/>
      <c r="AH110" s="583"/>
      <c r="AI110" s="581"/>
      <c r="AJ110" s="583"/>
      <c r="AK110" s="581"/>
      <c r="AL110" s="583"/>
      <c r="AM110" s="584"/>
      <c r="AN110" s="583"/>
      <c r="AO110" s="581"/>
      <c r="AP110" s="583"/>
      <c r="AQ110" s="584"/>
      <c r="AR110" s="583"/>
      <c r="AS110" s="583"/>
      <c r="AT110" s="583"/>
      <c r="AU110" s="584"/>
      <c r="AV110" s="583"/>
      <c r="AW110" s="583"/>
      <c r="AX110" s="158"/>
      <c r="AY110" s="154"/>
      <c r="AZ110">
        <f ca="1">INDIRECT(ADDRESS(ROW()+1,COLUMN(Arbeitszeit!xDay),,,"Arbeitszeit"))</f>
        <v>3</v>
      </c>
    </row>
    <row r="111" spans="1:52">
      <c r="A111" s="523">
        <f>Arbeitszeit!A112</f>
        <v>42475</v>
      </c>
      <c r="B111" s="524">
        <f t="shared" si="4"/>
        <v>42475</v>
      </c>
      <c r="C111" s="191">
        <f t="shared" si="5"/>
        <v>16</v>
      </c>
      <c r="D111" s="190">
        <f t="shared" si="6"/>
        <v>42460</v>
      </c>
      <c r="E111" s="593">
        <f>Arbeitszeit!V112*24</f>
        <v>0</v>
      </c>
      <c r="F111" s="352">
        <f t="shared" si="7"/>
        <v>0</v>
      </c>
      <c r="G111" s="155">
        <f>IF(Arbeitszeit!F112=Urlaub,B_WorkTime*24,)</f>
        <v>0</v>
      </c>
      <c r="H111" s="153"/>
      <c r="I111" s="155">
        <f>IF(Arbeitszeit!F112=Krank,B_WorkTime*24,)</f>
        <v>0</v>
      </c>
      <c r="J111" s="153"/>
      <c r="K111" s="156"/>
      <c r="L111" s="157"/>
      <c r="M111" s="581"/>
      <c r="N111" s="582"/>
      <c r="O111" s="581"/>
      <c r="P111" s="582"/>
      <c r="Q111" s="581"/>
      <c r="R111" s="582"/>
      <c r="S111" s="581"/>
      <c r="T111" s="582"/>
      <c r="U111" s="581"/>
      <c r="V111" s="582"/>
      <c r="W111" s="581"/>
      <c r="X111" s="582"/>
      <c r="Y111" s="581"/>
      <c r="Z111" s="582"/>
      <c r="AA111" s="581"/>
      <c r="AB111" s="582"/>
      <c r="AC111" s="581"/>
      <c r="AD111" s="582"/>
      <c r="AE111" s="581"/>
      <c r="AF111" s="583"/>
      <c r="AG111" s="581"/>
      <c r="AH111" s="583"/>
      <c r="AI111" s="581"/>
      <c r="AJ111" s="583"/>
      <c r="AK111" s="581"/>
      <c r="AL111" s="583"/>
      <c r="AM111" s="584"/>
      <c r="AN111" s="583"/>
      <c r="AO111" s="581"/>
      <c r="AP111" s="583"/>
      <c r="AQ111" s="584"/>
      <c r="AR111" s="583"/>
      <c r="AS111" s="583"/>
      <c r="AT111" s="583"/>
      <c r="AU111" s="584"/>
      <c r="AV111" s="583"/>
      <c r="AW111" s="583"/>
      <c r="AX111" s="158"/>
      <c r="AY111" s="154"/>
      <c r="AZ111">
        <f ca="1">INDIRECT(ADDRESS(ROW()+1,COLUMN(Arbeitszeit!xDay),,,"Arbeitszeit"))</f>
        <v>4</v>
      </c>
    </row>
    <row r="112" spans="1:52">
      <c r="A112" s="523">
        <f>Arbeitszeit!A113</f>
        <v>42476</v>
      </c>
      <c r="B112" s="524">
        <f t="shared" si="4"/>
        <v>42476</v>
      </c>
      <c r="C112" s="191">
        <f t="shared" si="5"/>
        <v>16</v>
      </c>
      <c r="D112" s="190">
        <f t="shared" si="6"/>
        <v>42460</v>
      </c>
      <c r="E112" s="593">
        <f>Arbeitszeit!V113*24</f>
        <v>0</v>
      </c>
      <c r="F112" s="352">
        <f t="shared" si="7"/>
        <v>0</v>
      </c>
      <c r="G112" s="155">
        <f>IF(Arbeitszeit!F113=Urlaub,B_WorkTime*24,)</f>
        <v>0</v>
      </c>
      <c r="H112" s="153"/>
      <c r="I112" s="155">
        <f>IF(Arbeitszeit!F113=Krank,B_WorkTime*24,)</f>
        <v>0</v>
      </c>
      <c r="J112" s="153"/>
      <c r="K112" s="156"/>
      <c r="L112" s="157"/>
      <c r="M112" s="581"/>
      <c r="N112" s="582"/>
      <c r="O112" s="581"/>
      <c r="P112" s="582"/>
      <c r="Q112" s="581"/>
      <c r="R112" s="582"/>
      <c r="S112" s="581"/>
      <c r="T112" s="582"/>
      <c r="U112" s="581"/>
      <c r="V112" s="582"/>
      <c r="W112" s="581"/>
      <c r="X112" s="582"/>
      <c r="Y112" s="581"/>
      <c r="Z112" s="582"/>
      <c r="AA112" s="581"/>
      <c r="AB112" s="582"/>
      <c r="AC112" s="581"/>
      <c r="AD112" s="582"/>
      <c r="AE112" s="581"/>
      <c r="AF112" s="583"/>
      <c r="AG112" s="581"/>
      <c r="AH112" s="583"/>
      <c r="AI112" s="581"/>
      <c r="AJ112" s="583"/>
      <c r="AK112" s="581"/>
      <c r="AL112" s="583"/>
      <c r="AM112" s="584"/>
      <c r="AN112" s="583"/>
      <c r="AO112" s="581"/>
      <c r="AP112" s="583"/>
      <c r="AQ112" s="584"/>
      <c r="AR112" s="583"/>
      <c r="AS112" s="583"/>
      <c r="AT112" s="583"/>
      <c r="AU112" s="584"/>
      <c r="AV112" s="583"/>
      <c r="AW112" s="583"/>
      <c r="AX112" s="158"/>
      <c r="AY112" s="154"/>
      <c r="AZ112">
        <f ca="1">INDIRECT(ADDRESS(ROW()+1,COLUMN(Arbeitszeit!xDay),,,"Arbeitszeit"))</f>
        <v>5</v>
      </c>
    </row>
    <row r="113" spans="1:52">
      <c r="A113" s="523">
        <f>Arbeitszeit!A114</f>
        <v>42477</v>
      </c>
      <c r="B113" s="524">
        <f t="shared" si="4"/>
        <v>42477</v>
      </c>
      <c r="C113" s="191">
        <f t="shared" si="5"/>
        <v>16</v>
      </c>
      <c r="D113" s="190">
        <f t="shared" si="6"/>
        <v>42460</v>
      </c>
      <c r="E113" s="593">
        <f>Arbeitszeit!V114*24</f>
        <v>0</v>
      </c>
      <c r="F113" s="352">
        <f t="shared" si="7"/>
        <v>0</v>
      </c>
      <c r="G113" s="155">
        <f>IF(Arbeitszeit!F114=Urlaub,B_WorkTime*24,)</f>
        <v>0</v>
      </c>
      <c r="H113" s="153"/>
      <c r="I113" s="155">
        <f>IF(Arbeitszeit!F114=Krank,B_WorkTime*24,)</f>
        <v>0</v>
      </c>
      <c r="J113" s="153"/>
      <c r="K113" s="156"/>
      <c r="L113" s="157"/>
      <c r="M113" s="581"/>
      <c r="N113" s="582"/>
      <c r="O113" s="581"/>
      <c r="P113" s="582"/>
      <c r="Q113" s="581"/>
      <c r="R113" s="582"/>
      <c r="S113" s="581"/>
      <c r="T113" s="582"/>
      <c r="U113" s="581"/>
      <c r="V113" s="582"/>
      <c r="W113" s="581"/>
      <c r="X113" s="582"/>
      <c r="Y113" s="581"/>
      <c r="Z113" s="582"/>
      <c r="AA113" s="581"/>
      <c r="AB113" s="582"/>
      <c r="AC113" s="581"/>
      <c r="AD113" s="582"/>
      <c r="AE113" s="581"/>
      <c r="AF113" s="583"/>
      <c r="AG113" s="581"/>
      <c r="AH113" s="583"/>
      <c r="AI113" s="581"/>
      <c r="AJ113" s="583"/>
      <c r="AK113" s="581"/>
      <c r="AL113" s="583"/>
      <c r="AM113" s="584"/>
      <c r="AN113" s="583"/>
      <c r="AO113" s="581"/>
      <c r="AP113" s="583"/>
      <c r="AQ113" s="584"/>
      <c r="AR113" s="583"/>
      <c r="AS113" s="583"/>
      <c r="AT113" s="583"/>
      <c r="AU113" s="584"/>
      <c r="AV113" s="583"/>
      <c r="AW113" s="583"/>
      <c r="AX113" s="158"/>
      <c r="AY113" s="154"/>
      <c r="AZ113">
        <f ca="1">INDIRECT(ADDRESS(ROW()+1,COLUMN(Arbeitszeit!xDay),,,"Arbeitszeit"))</f>
        <v>6</v>
      </c>
    </row>
    <row r="114" spans="1:52">
      <c r="A114" s="523">
        <f>Arbeitszeit!A115</f>
        <v>42478</v>
      </c>
      <c r="B114" s="524">
        <f t="shared" si="4"/>
        <v>42478</v>
      </c>
      <c r="C114" s="191">
        <f t="shared" si="5"/>
        <v>16</v>
      </c>
      <c r="D114" s="190">
        <f t="shared" si="6"/>
        <v>42460</v>
      </c>
      <c r="E114" s="593">
        <f>Arbeitszeit!V115*24</f>
        <v>0</v>
      </c>
      <c r="F114" s="352">
        <f t="shared" si="7"/>
        <v>0</v>
      </c>
      <c r="G114" s="155">
        <f>IF(Arbeitszeit!F115=Urlaub,B_WorkTime*24,)</f>
        <v>0</v>
      </c>
      <c r="H114" s="153"/>
      <c r="I114" s="155">
        <f>IF(Arbeitszeit!F115=Krank,B_WorkTime*24,)</f>
        <v>0</v>
      </c>
      <c r="J114" s="153"/>
      <c r="K114" s="156"/>
      <c r="L114" s="157"/>
      <c r="M114" s="581"/>
      <c r="N114" s="582"/>
      <c r="O114" s="581"/>
      <c r="P114" s="582"/>
      <c r="Q114" s="581"/>
      <c r="R114" s="582"/>
      <c r="S114" s="581"/>
      <c r="T114" s="582"/>
      <c r="U114" s="581"/>
      <c r="V114" s="582"/>
      <c r="W114" s="581"/>
      <c r="X114" s="582"/>
      <c r="Y114" s="581"/>
      <c r="Z114" s="582"/>
      <c r="AA114" s="581"/>
      <c r="AB114" s="582"/>
      <c r="AC114" s="581"/>
      <c r="AD114" s="582"/>
      <c r="AE114" s="581"/>
      <c r="AF114" s="583"/>
      <c r="AG114" s="581"/>
      <c r="AH114" s="583"/>
      <c r="AI114" s="581"/>
      <c r="AJ114" s="583"/>
      <c r="AK114" s="581"/>
      <c r="AL114" s="583"/>
      <c r="AM114" s="584"/>
      <c r="AN114" s="583"/>
      <c r="AO114" s="581"/>
      <c r="AP114" s="583"/>
      <c r="AQ114" s="584"/>
      <c r="AR114" s="583"/>
      <c r="AS114" s="583"/>
      <c r="AT114" s="583"/>
      <c r="AU114" s="584"/>
      <c r="AV114" s="583"/>
      <c r="AW114" s="583"/>
      <c r="AX114" s="158"/>
      <c r="AY114" s="154"/>
      <c r="AZ114">
        <f ca="1">INDIRECT(ADDRESS(ROW()+1,COLUMN(Arbeitszeit!xDay),,,"Arbeitszeit"))</f>
        <v>7</v>
      </c>
    </row>
    <row r="115" spans="1:52">
      <c r="A115" s="523">
        <f>Arbeitszeit!A116</f>
        <v>42479</v>
      </c>
      <c r="B115" s="524">
        <f t="shared" si="4"/>
        <v>42479</v>
      </c>
      <c r="C115" s="191">
        <f t="shared" si="5"/>
        <v>17</v>
      </c>
      <c r="D115" s="190">
        <f t="shared" si="6"/>
        <v>42460</v>
      </c>
      <c r="E115" s="593">
        <f>Arbeitszeit!V116*24</f>
        <v>0</v>
      </c>
      <c r="F115" s="352">
        <f t="shared" si="7"/>
        <v>0</v>
      </c>
      <c r="G115" s="155">
        <f>IF(Arbeitszeit!F116=Urlaub,B_WorkTime*24,)</f>
        <v>0</v>
      </c>
      <c r="H115" s="153"/>
      <c r="I115" s="155">
        <f>IF(Arbeitszeit!F116=Krank,B_WorkTime*24,)</f>
        <v>0</v>
      </c>
      <c r="J115" s="153"/>
      <c r="K115" s="156"/>
      <c r="L115" s="157"/>
      <c r="M115" s="581"/>
      <c r="N115" s="582"/>
      <c r="O115" s="581"/>
      <c r="P115" s="582"/>
      <c r="Q115" s="581"/>
      <c r="R115" s="582"/>
      <c r="S115" s="581"/>
      <c r="T115" s="582"/>
      <c r="U115" s="581"/>
      <c r="V115" s="582"/>
      <c r="W115" s="581"/>
      <c r="X115" s="582"/>
      <c r="Y115" s="581"/>
      <c r="Z115" s="582"/>
      <c r="AA115" s="581"/>
      <c r="AB115" s="582"/>
      <c r="AC115" s="581"/>
      <c r="AD115" s="582"/>
      <c r="AE115" s="581"/>
      <c r="AF115" s="583"/>
      <c r="AG115" s="581"/>
      <c r="AH115" s="583"/>
      <c r="AI115" s="581"/>
      <c r="AJ115" s="583"/>
      <c r="AK115" s="581"/>
      <c r="AL115" s="583"/>
      <c r="AM115" s="584"/>
      <c r="AN115" s="583"/>
      <c r="AO115" s="581"/>
      <c r="AP115" s="583"/>
      <c r="AQ115" s="584"/>
      <c r="AR115" s="583"/>
      <c r="AS115" s="583"/>
      <c r="AT115" s="583"/>
      <c r="AU115" s="584"/>
      <c r="AV115" s="583"/>
      <c r="AW115" s="583"/>
      <c r="AX115" s="158"/>
      <c r="AY115" s="154"/>
      <c r="AZ115">
        <f ca="1">INDIRECT(ADDRESS(ROW()+1,COLUMN(Arbeitszeit!xDay),,,"Arbeitszeit"))</f>
        <v>1</v>
      </c>
    </row>
    <row r="116" spans="1:52">
      <c r="A116" s="523">
        <f>Arbeitszeit!A117</f>
        <v>42480</v>
      </c>
      <c r="B116" s="524">
        <f t="shared" si="4"/>
        <v>42480</v>
      </c>
      <c r="C116" s="191">
        <f t="shared" si="5"/>
        <v>17</v>
      </c>
      <c r="D116" s="190">
        <f t="shared" si="6"/>
        <v>42460</v>
      </c>
      <c r="E116" s="593">
        <f>Arbeitszeit!V117*24</f>
        <v>0</v>
      </c>
      <c r="F116" s="352">
        <f t="shared" si="7"/>
        <v>0</v>
      </c>
      <c r="G116" s="155">
        <f>IF(Arbeitszeit!F117=Urlaub,B_WorkTime*24,)</f>
        <v>0</v>
      </c>
      <c r="H116" s="153"/>
      <c r="I116" s="155">
        <f>IF(Arbeitszeit!F117=Krank,B_WorkTime*24,)</f>
        <v>0</v>
      </c>
      <c r="J116" s="153"/>
      <c r="K116" s="156"/>
      <c r="L116" s="157"/>
      <c r="M116" s="581"/>
      <c r="N116" s="582"/>
      <c r="O116" s="581"/>
      <c r="P116" s="582"/>
      <c r="Q116" s="581"/>
      <c r="R116" s="582"/>
      <c r="S116" s="581"/>
      <c r="T116" s="582"/>
      <c r="U116" s="581"/>
      <c r="V116" s="582"/>
      <c r="W116" s="581"/>
      <c r="X116" s="582"/>
      <c r="Y116" s="581"/>
      <c r="Z116" s="582"/>
      <c r="AA116" s="581"/>
      <c r="AB116" s="582"/>
      <c r="AC116" s="581"/>
      <c r="AD116" s="582"/>
      <c r="AE116" s="581"/>
      <c r="AF116" s="583"/>
      <c r="AG116" s="581"/>
      <c r="AH116" s="583"/>
      <c r="AI116" s="581"/>
      <c r="AJ116" s="583"/>
      <c r="AK116" s="581"/>
      <c r="AL116" s="583"/>
      <c r="AM116" s="584"/>
      <c r="AN116" s="583"/>
      <c r="AO116" s="581"/>
      <c r="AP116" s="583"/>
      <c r="AQ116" s="584"/>
      <c r="AR116" s="583"/>
      <c r="AS116" s="583"/>
      <c r="AT116" s="583"/>
      <c r="AU116" s="584"/>
      <c r="AV116" s="583"/>
      <c r="AW116" s="583"/>
      <c r="AX116" s="158"/>
      <c r="AY116" s="154"/>
      <c r="AZ116">
        <f ca="1">INDIRECT(ADDRESS(ROW()+1,COLUMN(Arbeitszeit!xDay),,,"Arbeitszeit"))</f>
        <v>2</v>
      </c>
    </row>
    <row r="117" spans="1:52">
      <c r="A117" s="523">
        <f>Arbeitszeit!A118</f>
        <v>42481</v>
      </c>
      <c r="B117" s="524">
        <f t="shared" si="4"/>
        <v>42481</v>
      </c>
      <c r="C117" s="191">
        <f t="shared" si="5"/>
        <v>17</v>
      </c>
      <c r="D117" s="190">
        <f t="shared" si="6"/>
        <v>42460</v>
      </c>
      <c r="E117" s="593">
        <f>Arbeitszeit!V118*24</f>
        <v>0</v>
      </c>
      <c r="F117" s="352">
        <f t="shared" si="7"/>
        <v>0</v>
      </c>
      <c r="G117" s="155">
        <f>IF(Arbeitszeit!F118=Urlaub,B_WorkTime*24,)</f>
        <v>0</v>
      </c>
      <c r="H117" s="153"/>
      <c r="I117" s="155">
        <f>IF(Arbeitszeit!F118=Krank,B_WorkTime*24,)</f>
        <v>0</v>
      </c>
      <c r="J117" s="153"/>
      <c r="K117" s="156"/>
      <c r="L117" s="157"/>
      <c r="M117" s="581"/>
      <c r="N117" s="582"/>
      <c r="O117" s="581"/>
      <c r="P117" s="582"/>
      <c r="Q117" s="581"/>
      <c r="R117" s="582"/>
      <c r="S117" s="581"/>
      <c r="T117" s="582"/>
      <c r="U117" s="581"/>
      <c r="V117" s="582"/>
      <c r="W117" s="581"/>
      <c r="X117" s="582"/>
      <c r="Y117" s="581"/>
      <c r="Z117" s="582"/>
      <c r="AA117" s="581"/>
      <c r="AB117" s="582"/>
      <c r="AC117" s="581"/>
      <c r="AD117" s="582"/>
      <c r="AE117" s="581"/>
      <c r="AF117" s="583"/>
      <c r="AG117" s="581"/>
      <c r="AH117" s="583"/>
      <c r="AI117" s="581"/>
      <c r="AJ117" s="583"/>
      <c r="AK117" s="581"/>
      <c r="AL117" s="583"/>
      <c r="AM117" s="584"/>
      <c r="AN117" s="583"/>
      <c r="AO117" s="581"/>
      <c r="AP117" s="583"/>
      <c r="AQ117" s="584"/>
      <c r="AR117" s="583"/>
      <c r="AS117" s="583"/>
      <c r="AT117" s="583"/>
      <c r="AU117" s="584"/>
      <c r="AV117" s="583"/>
      <c r="AW117" s="583"/>
      <c r="AX117" s="158"/>
      <c r="AY117" s="154"/>
      <c r="AZ117">
        <f ca="1">INDIRECT(ADDRESS(ROW()+1,COLUMN(Arbeitszeit!xDay),,,"Arbeitszeit"))</f>
        <v>3</v>
      </c>
    </row>
    <row r="118" spans="1:52">
      <c r="A118" s="523">
        <f>Arbeitszeit!A119</f>
        <v>42482</v>
      </c>
      <c r="B118" s="524">
        <f t="shared" si="4"/>
        <v>42482</v>
      </c>
      <c r="C118" s="191">
        <f t="shared" si="5"/>
        <v>17</v>
      </c>
      <c r="D118" s="190">
        <f t="shared" si="6"/>
        <v>42460</v>
      </c>
      <c r="E118" s="593">
        <f>Arbeitszeit!V119*24</f>
        <v>0</v>
      </c>
      <c r="F118" s="352">
        <f t="shared" si="7"/>
        <v>0</v>
      </c>
      <c r="G118" s="155">
        <f>IF(Arbeitszeit!F119=Urlaub,B_WorkTime*24,)</f>
        <v>0</v>
      </c>
      <c r="H118" s="153"/>
      <c r="I118" s="155">
        <f>IF(Arbeitszeit!F119=Krank,B_WorkTime*24,)</f>
        <v>0</v>
      </c>
      <c r="J118" s="153"/>
      <c r="K118" s="156"/>
      <c r="L118" s="157"/>
      <c r="M118" s="581"/>
      <c r="N118" s="582"/>
      <c r="O118" s="581"/>
      <c r="P118" s="582"/>
      <c r="Q118" s="581"/>
      <c r="R118" s="582"/>
      <c r="S118" s="581"/>
      <c r="T118" s="582"/>
      <c r="U118" s="581"/>
      <c r="V118" s="582"/>
      <c r="W118" s="581"/>
      <c r="X118" s="582"/>
      <c r="Y118" s="581"/>
      <c r="Z118" s="582"/>
      <c r="AA118" s="581"/>
      <c r="AB118" s="582"/>
      <c r="AC118" s="581"/>
      <c r="AD118" s="582"/>
      <c r="AE118" s="581"/>
      <c r="AF118" s="583"/>
      <c r="AG118" s="581"/>
      <c r="AH118" s="583"/>
      <c r="AI118" s="581"/>
      <c r="AJ118" s="583"/>
      <c r="AK118" s="581"/>
      <c r="AL118" s="583"/>
      <c r="AM118" s="584"/>
      <c r="AN118" s="583"/>
      <c r="AO118" s="581"/>
      <c r="AP118" s="583"/>
      <c r="AQ118" s="584"/>
      <c r="AR118" s="583"/>
      <c r="AS118" s="583"/>
      <c r="AT118" s="583"/>
      <c r="AU118" s="584"/>
      <c r="AV118" s="583"/>
      <c r="AW118" s="583"/>
      <c r="AX118" s="158"/>
      <c r="AY118" s="154"/>
      <c r="AZ118">
        <f ca="1">INDIRECT(ADDRESS(ROW()+1,COLUMN(Arbeitszeit!xDay),,,"Arbeitszeit"))</f>
        <v>4</v>
      </c>
    </row>
    <row r="119" spans="1:52">
      <c r="A119" s="523">
        <f>Arbeitszeit!A120</f>
        <v>42483</v>
      </c>
      <c r="B119" s="524">
        <f t="shared" si="4"/>
        <v>42483</v>
      </c>
      <c r="C119" s="191">
        <f t="shared" si="5"/>
        <v>17</v>
      </c>
      <c r="D119" s="190">
        <f t="shared" si="6"/>
        <v>42460</v>
      </c>
      <c r="E119" s="593">
        <f>Arbeitszeit!V120*24</f>
        <v>0</v>
      </c>
      <c r="F119" s="352">
        <f t="shared" si="7"/>
        <v>0</v>
      </c>
      <c r="G119" s="155">
        <f>IF(Arbeitszeit!F120=Urlaub,B_WorkTime*24,)</f>
        <v>0</v>
      </c>
      <c r="H119" s="153"/>
      <c r="I119" s="155">
        <f>IF(Arbeitszeit!F120=Krank,B_WorkTime*24,)</f>
        <v>0</v>
      </c>
      <c r="J119" s="153"/>
      <c r="K119" s="156"/>
      <c r="L119" s="157"/>
      <c r="M119" s="581"/>
      <c r="N119" s="582"/>
      <c r="O119" s="581"/>
      <c r="P119" s="582"/>
      <c r="Q119" s="581"/>
      <c r="R119" s="582"/>
      <c r="S119" s="581"/>
      <c r="T119" s="582"/>
      <c r="U119" s="581"/>
      <c r="V119" s="582"/>
      <c r="W119" s="581"/>
      <c r="X119" s="582"/>
      <c r="Y119" s="581"/>
      <c r="Z119" s="582"/>
      <c r="AA119" s="581"/>
      <c r="AB119" s="582"/>
      <c r="AC119" s="581"/>
      <c r="AD119" s="582"/>
      <c r="AE119" s="581"/>
      <c r="AF119" s="583"/>
      <c r="AG119" s="581"/>
      <c r="AH119" s="583"/>
      <c r="AI119" s="581"/>
      <c r="AJ119" s="583"/>
      <c r="AK119" s="581"/>
      <c r="AL119" s="583"/>
      <c r="AM119" s="584"/>
      <c r="AN119" s="583"/>
      <c r="AO119" s="581"/>
      <c r="AP119" s="583"/>
      <c r="AQ119" s="584"/>
      <c r="AR119" s="583"/>
      <c r="AS119" s="583"/>
      <c r="AT119" s="583"/>
      <c r="AU119" s="584"/>
      <c r="AV119" s="583"/>
      <c r="AW119" s="583"/>
      <c r="AX119" s="158"/>
      <c r="AY119" s="154"/>
      <c r="AZ119">
        <f ca="1">INDIRECT(ADDRESS(ROW()+1,COLUMN(Arbeitszeit!xDay),,,"Arbeitszeit"))</f>
        <v>5</v>
      </c>
    </row>
    <row r="120" spans="1:52">
      <c r="A120" s="523">
        <f>Arbeitszeit!A121</f>
        <v>42484</v>
      </c>
      <c r="B120" s="524">
        <f t="shared" si="4"/>
        <v>42484</v>
      </c>
      <c r="C120" s="191">
        <f t="shared" si="5"/>
        <v>17</v>
      </c>
      <c r="D120" s="190">
        <f t="shared" si="6"/>
        <v>42460</v>
      </c>
      <c r="E120" s="593">
        <f>Arbeitszeit!V121*24</f>
        <v>0</v>
      </c>
      <c r="F120" s="352">
        <f t="shared" si="7"/>
        <v>0</v>
      </c>
      <c r="G120" s="155">
        <f>IF(Arbeitszeit!F121=Urlaub,B_WorkTime*24,)</f>
        <v>0</v>
      </c>
      <c r="H120" s="153"/>
      <c r="I120" s="155">
        <f>IF(Arbeitszeit!F121=Krank,B_WorkTime*24,)</f>
        <v>0</v>
      </c>
      <c r="J120" s="153"/>
      <c r="K120" s="156"/>
      <c r="L120" s="157"/>
      <c r="M120" s="581"/>
      <c r="N120" s="582"/>
      <c r="O120" s="581"/>
      <c r="P120" s="582"/>
      <c r="Q120" s="581"/>
      <c r="R120" s="582"/>
      <c r="S120" s="581"/>
      <c r="T120" s="582"/>
      <c r="U120" s="581"/>
      <c r="V120" s="582"/>
      <c r="W120" s="581"/>
      <c r="X120" s="582"/>
      <c r="Y120" s="581"/>
      <c r="Z120" s="582"/>
      <c r="AA120" s="581"/>
      <c r="AB120" s="582"/>
      <c r="AC120" s="581"/>
      <c r="AD120" s="582"/>
      <c r="AE120" s="581"/>
      <c r="AF120" s="583"/>
      <c r="AG120" s="581"/>
      <c r="AH120" s="583"/>
      <c r="AI120" s="581"/>
      <c r="AJ120" s="583"/>
      <c r="AK120" s="581"/>
      <c r="AL120" s="583"/>
      <c r="AM120" s="584"/>
      <c r="AN120" s="583"/>
      <c r="AO120" s="581"/>
      <c r="AP120" s="583"/>
      <c r="AQ120" s="584"/>
      <c r="AR120" s="583"/>
      <c r="AS120" s="583"/>
      <c r="AT120" s="583"/>
      <c r="AU120" s="584"/>
      <c r="AV120" s="583"/>
      <c r="AW120" s="583"/>
      <c r="AX120" s="158"/>
      <c r="AY120" s="154"/>
      <c r="AZ120">
        <f ca="1">INDIRECT(ADDRESS(ROW()+1,COLUMN(Arbeitszeit!xDay),,,"Arbeitszeit"))</f>
        <v>6</v>
      </c>
    </row>
    <row r="121" spans="1:52">
      <c r="A121" s="523">
        <f>Arbeitszeit!A122</f>
        <v>42485</v>
      </c>
      <c r="B121" s="524">
        <f t="shared" si="4"/>
        <v>42485</v>
      </c>
      <c r="C121" s="191">
        <f t="shared" si="5"/>
        <v>17</v>
      </c>
      <c r="D121" s="190">
        <f t="shared" si="6"/>
        <v>42460</v>
      </c>
      <c r="E121" s="593">
        <f>Arbeitszeit!V122*24</f>
        <v>0</v>
      </c>
      <c r="F121" s="352">
        <f t="shared" si="7"/>
        <v>0</v>
      </c>
      <c r="G121" s="155">
        <f>IF(Arbeitszeit!F122=Urlaub,B_WorkTime*24,)</f>
        <v>0</v>
      </c>
      <c r="H121" s="153"/>
      <c r="I121" s="155">
        <f>IF(Arbeitszeit!F122=Krank,B_WorkTime*24,)</f>
        <v>0</v>
      </c>
      <c r="J121" s="153"/>
      <c r="K121" s="156"/>
      <c r="L121" s="157"/>
      <c r="M121" s="581"/>
      <c r="N121" s="582"/>
      <c r="O121" s="581"/>
      <c r="P121" s="582"/>
      <c r="Q121" s="581"/>
      <c r="R121" s="582"/>
      <c r="S121" s="581"/>
      <c r="T121" s="582"/>
      <c r="U121" s="581"/>
      <c r="V121" s="582"/>
      <c r="W121" s="581"/>
      <c r="X121" s="582"/>
      <c r="Y121" s="581"/>
      <c r="Z121" s="582"/>
      <c r="AA121" s="581"/>
      <c r="AB121" s="582"/>
      <c r="AC121" s="581"/>
      <c r="AD121" s="582"/>
      <c r="AE121" s="581"/>
      <c r="AF121" s="583"/>
      <c r="AG121" s="581"/>
      <c r="AH121" s="583"/>
      <c r="AI121" s="581"/>
      <c r="AJ121" s="583"/>
      <c r="AK121" s="581"/>
      <c r="AL121" s="583"/>
      <c r="AM121" s="584"/>
      <c r="AN121" s="583"/>
      <c r="AO121" s="581"/>
      <c r="AP121" s="583"/>
      <c r="AQ121" s="584"/>
      <c r="AR121" s="583"/>
      <c r="AS121" s="583"/>
      <c r="AT121" s="583"/>
      <c r="AU121" s="584"/>
      <c r="AV121" s="583"/>
      <c r="AW121" s="583"/>
      <c r="AX121" s="158"/>
      <c r="AY121" s="154"/>
      <c r="AZ121">
        <f ca="1">INDIRECT(ADDRESS(ROW()+1,COLUMN(Arbeitszeit!xDay),,,"Arbeitszeit"))</f>
        <v>7</v>
      </c>
    </row>
    <row r="122" spans="1:52">
      <c r="A122" s="523">
        <f>Arbeitszeit!A123</f>
        <v>42486</v>
      </c>
      <c r="B122" s="524">
        <f t="shared" si="4"/>
        <v>42486</v>
      </c>
      <c r="C122" s="191">
        <f t="shared" si="5"/>
        <v>18</v>
      </c>
      <c r="D122" s="190">
        <f t="shared" si="6"/>
        <v>42460</v>
      </c>
      <c r="E122" s="593">
        <f>Arbeitszeit!V123*24</f>
        <v>0</v>
      </c>
      <c r="F122" s="352">
        <f t="shared" si="7"/>
        <v>0</v>
      </c>
      <c r="G122" s="155">
        <f>IF(Arbeitszeit!F123=Urlaub,B_WorkTime*24,)</f>
        <v>0</v>
      </c>
      <c r="H122" s="153"/>
      <c r="I122" s="155">
        <f>IF(Arbeitszeit!F123=Krank,B_WorkTime*24,)</f>
        <v>0</v>
      </c>
      <c r="J122" s="153"/>
      <c r="K122" s="156"/>
      <c r="L122" s="157"/>
      <c r="M122" s="581"/>
      <c r="N122" s="582"/>
      <c r="O122" s="581"/>
      <c r="P122" s="582"/>
      <c r="Q122" s="581"/>
      <c r="R122" s="582"/>
      <c r="S122" s="581"/>
      <c r="T122" s="582"/>
      <c r="U122" s="581"/>
      <c r="V122" s="582"/>
      <c r="W122" s="581"/>
      <c r="X122" s="582"/>
      <c r="Y122" s="581"/>
      <c r="Z122" s="582"/>
      <c r="AA122" s="581"/>
      <c r="AB122" s="582"/>
      <c r="AC122" s="581"/>
      <c r="AD122" s="582"/>
      <c r="AE122" s="581"/>
      <c r="AF122" s="583"/>
      <c r="AG122" s="581"/>
      <c r="AH122" s="583"/>
      <c r="AI122" s="581"/>
      <c r="AJ122" s="583"/>
      <c r="AK122" s="581"/>
      <c r="AL122" s="583"/>
      <c r="AM122" s="584"/>
      <c r="AN122" s="583"/>
      <c r="AO122" s="581"/>
      <c r="AP122" s="583"/>
      <c r="AQ122" s="584"/>
      <c r="AR122" s="583"/>
      <c r="AS122" s="583"/>
      <c r="AT122" s="583"/>
      <c r="AU122" s="584"/>
      <c r="AV122" s="583"/>
      <c r="AW122" s="583"/>
      <c r="AX122" s="158"/>
      <c r="AY122" s="154"/>
      <c r="AZ122">
        <f ca="1">INDIRECT(ADDRESS(ROW()+1,COLUMN(Arbeitszeit!xDay),,,"Arbeitszeit"))</f>
        <v>1</v>
      </c>
    </row>
    <row r="123" spans="1:52">
      <c r="A123" s="523">
        <f>Arbeitszeit!A124</f>
        <v>42487</v>
      </c>
      <c r="B123" s="524">
        <f t="shared" si="4"/>
        <v>42487</v>
      </c>
      <c r="C123" s="191">
        <f t="shared" si="5"/>
        <v>18</v>
      </c>
      <c r="D123" s="190">
        <f t="shared" si="6"/>
        <v>42460</v>
      </c>
      <c r="E123" s="593">
        <f>Arbeitszeit!V124*24</f>
        <v>0</v>
      </c>
      <c r="F123" s="352">
        <f t="shared" si="7"/>
        <v>0</v>
      </c>
      <c r="G123" s="155">
        <f>IF(Arbeitszeit!F124=Urlaub,B_WorkTime*24,)</f>
        <v>0</v>
      </c>
      <c r="H123" s="153"/>
      <c r="I123" s="155">
        <f>IF(Arbeitszeit!F124=Krank,B_WorkTime*24,)</f>
        <v>0</v>
      </c>
      <c r="J123" s="153"/>
      <c r="K123" s="156"/>
      <c r="L123" s="157"/>
      <c r="M123" s="581"/>
      <c r="N123" s="582"/>
      <c r="O123" s="581"/>
      <c r="P123" s="582"/>
      <c r="Q123" s="581"/>
      <c r="R123" s="582"/>
      <c r="S123" s="581"/>
      <c r="T123" s="582"/>
      <c r="U123" s="581"/>
      <c r="V123" s="582"/>
      <c r="W123" s="581"/>
      <c r="X123" s="582"/>
      <c r="Y123" s="581"/>
      <c r="Z123" s="582"/>
      <c r="AA123" s="581"/>
      <c r="AB123" s="582"/>
      <c r="AC123" s="581"/>
      <c r="AD123" s="582"/>
      <c r="AE123" s="581"/>
      <c r="AF123" s="583"/>
      <c r="AG123" s="581"/>
      <c r="AH123" s="583"/>
      <c r="AI123" s="581"/>
      <c r="AJ123" s="583"/>
      <c r="AK123" s="581"/>
      <c r="AL123" s="583"/>
      <c r="AM123" s="584"/>
      <c r="AN123" s="583"/>
      <c r="AO123" s="581"/>
      <c r="AP123" s="583"/>
      <c r="AQ123" s="584"/>
      <c r="AR123" s="583"/>
      <c r="AS123" s="583"/>
      <c r="AT123" s="583"/>
      <c r="AU123" s="584"/>
      <c r="AV123" s="583"/>
      <c r="AW123" s="583"/>
      <c r="AX123" s="158"/>
      <c r="AY123" s="154"/>
      <c r="AZ123">
        <f ca="1">INDIRECT(ADDRESS(ROW()+1,COLUMN(Arbeitszeit!xDay),,,"Arbeitszeit"))</f>
        <v>2</v>
      </c>
    </row>
    <row r="124" spans="1:52">
      <c r="A124" s="523">
        <f>Arbeitszeit!A125</f>
        <v>42488</v>
      </c>
      <c r="B124" s="524">
        <f t="shared" si="4"/>
        <v>42488</v>
      </c>
      <c r="C124" s="191">
        <f t="shared" si="5"/>
        <v>18</v>
      </c>
      <c r="D124" s="190">
        <f t="shared" si="6"/>
        <v>42460</v>
      </c>
      <c r="E124" s="593">
        <f>Arbeitszeit!V125*24</f>
        <v>0</v>
      </c>
      <c r="F124" s="352">
        <f t="shared" si="7"/>
        <v>0</v>
      </c>
      <c r="G124" s="155">
        <f>IF(Arbeitszeit!F125=Urlaub,B_WorkTime*24,)</f>
        <v>0</v>
      </c>
      <c r="H124" s="153"/>
      <c r="I124" s="155">
        <f>IF(Arbeitszeit!F125=Krank,B_WorkTime*24,)</f>
        <v>0</v>
      </c>
      <c r="J124" s="153"/>
      <c r="K124" s="156"/>
      <c r="L124" s="157"/>
      <c r="M124" s="581"/>
      <c r="N124" s="582"/>
      <c r="O124" s="581"/>
      <c r="P124" s="582"/>
      <c r="Q124" s="581"/>
      <c r="R124" s="582"/>
      <c r="S124" s="581"/>
      <c r="T124" s="582"/>
      <c r="U124" s="581"/>
      <c r="V124" s="582"/>
      <c r="W124" s="581"/>
      <c r="X124" s="582"/>
      <c r="Y124" s="581"/>
      <c r="Z124" s="582"/>
      <c r="AA124" s="581"/>
      <c r="AB124" s="582"/>
      <c r="AC124" s="581"/>
      <c r="AD124" s="582"/>
      <c r="AE124" s="581"/>
      <c r="AF124" s="583"/>
      <c r="AG124" s="581"/>
      <c r="AH124" s="583"/>
      <c r="AI124" s="581"/>
      <c r="AJ124" s="583"/>
      <c r="AK124" s="581"/>
      <c r="AL124" s="583"/>
      <c r="AM124" s="584"/>
      <c r="AN124" s="583"/>
      <c r="AO124" s="581"/>
      <c r="AP124" s="583"/>
      <c r="AQ124" s="584"/>
      <c r="AR124" s="583"/>
      <c r="AS124" s="583"/>
      <c r="AT124" s="583"/>
      <c r="AU124" s="584"/>
      <c r="AV124" s="583"/>
      <c r="AW124" s="583"/>
      <c r="AX124" s="158"/>
      <c r="AY124" s="154"/>
      <c r="AZ124">
        <f ca="1">INDIRECT(ADDRESS(ROW()+1,COLUMN(Arbeitszeit!xDay),,,"Arbeitszeit"))</f>
        <v>3</v>
      </c>
    </row>
    <row r="125" spans="1:52">
      <c r="A125" s="523">
        <f>Arbeitszeit!A126</f>
        <v>42489</v>
      </c>
      <c r="B125" s="524">
        <f t="shared" si="4"/>
        <v>42489</v>
      </c>
      <c r="C125" s="191">
        <f t="shared" si="5"/>
        <v>18</v>
      </c>
      <c r="D125" s="190">
        <f t="shared" si="6"/>
        <v>42460</v>
      </c>
      <c r="E125" s="593">
        <f>Arbeitszeit!V126*24</f>
        <v>0</v>
      </c>
      <c r="F125" s="352">
        <f t="shared" si="7"/>
        <v>0</v>
      </c>
      <c r="G125" s="155">
        <f>IF(Arbeitszeit!F126=Urlaub,B_WorkTime*24,)</f>
        <v>0</v>
      </c>
      <c r="H125" s="153"/>
      <c r="I125" s="155">
        <f>IF(Arbeitszeit!F126=Krank,B_WorkTime*24,)</f>
        <v>0</v>
      </c>
      <c r="J125" s="153"/>
      <c r="K125" s="156"/>
      <c r="L125" s="157"/>
      <c r="M125" s="581"/>
      <c r="N125" s="582"/>
      <c r="O125" s="581"/>
      <c r="P125" s="582"/>
      <c r="Q125" s="581"/>
      <c r="R125" s="582"/>
      <c r="S125" s="581"/>
      <c r="T125" s="582"/>
      <c r="U125" s="581"/>
      <c r="V125" s="582"/>
      <c r="W125" s="581"/>
      <c r="X125" s="582"/>
      <c r="Y125" s="581"/>
      <c r="Z125" s="582"/>
      <c r="AA125" s="581"/>
      <c r="AB125" s="582"/>
      <c r="AC125" s="581"/>
      <c r="AD125" s="582"/>
      <c r="AE125" s="581"/>
      <c r="AF125" s="583"/>
      <c r="AG125" s="581"/>
      <c r="AH125" s="583"/>
      <c r="AI125" s="581"/>
      <c r="AJ125" s="583"/>
      <c r="AK125" s="581"/>
      <c r="AL125" s="583"/>
      <c r="AM125" s="584"/>
      <c r="AN125" s="583"/>
      <c r="AO125" s="581"/>
      <c r="AP125" s="583"/>
      <c r="AQ125" s="584"/>
      <c r="AR125" s="583"/>
      <c r="AS125" s="583"/>
      <c r="AT125" s="583"/>
      <c r="AU125" s="584"/>
      <c r="AV125" s="583"/>
      <c r="AW125" s="583"/>
      <c r="AX125" s="158"/>
      <c r="AY125" s="154"/>
      <c r="AZ125">
        <f ca="1">INDIRECT(ADDRESS(ROW()+1,COLUMN(Arbeitszeit!xDay),,,"Arbeitszeit"))</f>
        <v>4</v>
      </c>
    </row>
    <row r="126" spans="1:52">
      <c r="A126" s="523">
        <f>Arbeitszeit!A127</f>
        <v>42490</v>
      </c>
      <c r="B126" s="524">
        <f t="shared" si="4"/>
        <v>42490</v>
      </c>
      <c r="C126" s="191">
        <f t="shared" si="5"/>
        <v>18</v>
      </c>
      <c r="D126" s="190">
        <f t="shared" si="6"/>
        <v>42490</v>
      </c>
      <c r="E126" s="593">
        <f>Arbeitszeit!V127*24</f>
        <v>0</v>
      </c>
      <c r="F126" s="352">
        <f t="shared" si="7"/>
        <v>0</v>
      </c>
      <c r="G126" s="155">
        <f>IF(Arbeitszeit!F127=Urlaub,B_WorkTime*24,)</f>
        <v>0</v>
      </c>
      <c r="H126" s="153"/>
      <c r="I126" s="155">
        <f>IF(Arbeitszeit!F127=Krank,B_WorkTime*24,)</f>
        <v>0</v>
      </c>
      <c r="J126" s="153"/>
      <c r="K126" s="156"/>
      <c r="L126" s="157"/>
      <c r="M126" s="581"/>
      <c r="N126" s="582"/>
      <c r="O126" s="581"/>
      <c r="P126" s="582"/>
      <c r="Q126" s="581"/>
      <c r="R126" s="582"/>
      <c r="S126" s="581"/>
      <c r="T126" s="582"/>
      <c r="U126" s="581"/>
      <c r="V126" s="582"/>
      <c r="W126" s="581"/>
      <c r="X126" s="582"/>
      <c r="Y126" s="581"/>
      <c r="Z126" s="582"/>
      <c r="AA126" s="581"/>
      <c r="AB126" s="582"/>
      <c r="AC126" s="581"/>
      <c r="AD126" s="582"/>
      <c r="AE126" s="581"/>
      <c r="AF126" s="583"/>
      <c r="AG126" s="581"/>
      <c r="AH126" s="583"/>
      <c r="AI126" s="581"/>
      <c r="AJ126" s="583"/>
      <c r="AK126" s="581"/>
      <c r="AL126" s="583"/>
      <c r="AM126" s="584"/>
      <c r="AN126" s="583"/>
      <c r="AO126" s="581"/>
      <c r="AP126" s="583"/>
      <c r="AQ126" s="584"/>
      <c r="AR126" s="583"/>
      <c r="AS126" s="583"/>
      <c r="AT126" s="583"/>
      <c r="AU126" s="584"/>
      <c r="AV126" s="583"/>
      <c r="AW126" s="583"/>
      <c r="AX126" s="158"/>
      <c r="AY126" s="154"/>
      <c r="AZ126">
        <f ca="1">INDIRECT(ADDRESS(ROW()+1,COLUMN(Arbeitszeit!xDay),,,"Arbeitszeit"))</f>
        <v>8</v>
      </c>
    </row>
    <row r="127" spans="1:52">
      <c r="A127" s="523">
        <f>Arbeitszeit!A128</f>
        <v>42491</v>
      </c>
      <c r="B127" s="524">
        <f t="shared" si="4"/>
        <v>42491</v>
      </c>
      <c r="C127" s="191">
        <f t="shared" si="5"/>
        <v>18</v>
      </c>
      <c r="D127" s="190">
        <f t="shared" si="6"/>
        <v>42490</v>
      </c>
      <c r="E127" s="593">
        <f>Arbeitszeit!V128*24</f>
        <v>0</v>
      </c>
      <c r="F127" s="352">
        <f t="shared" si="7"/>
        <v>0</v>
      </c>
      <c r="G127" s="155">
        <f>IF(Arbeitszeit!F128=Urlaub,B_WorkTime*24,)</f>
        <v>0</v>
      </c>
      <c r="H127" s="153"/>
      <c r="I127" s="155">
        <f>IF(Arbeitszeit!F128=Krank,B_WorkTime*24,)</f>
        <v>0</v>
      </c>
      <c r="J127" s="153"/>
      <c r="K127" s="156"/>
      <c r="L127" s="157"/>
      <c r="M127" s="581"/>
      <c r="N127" s="582"/>
      <c r="O127" s="581"/>
      <c r="P127" s="582"/>
      <c r="Q127" s="581"/>
      <c r="R127" s="582"/>
      <c r="S127" s="581"/>
      <c r="T127" s="582"/>
      <c r="U127" s="581"/>
      <c r="V127" s="582"/>
      <c r="W127" s="581"/>
      <c r="X127" s="582"/>
      <c r="Y127" s="581"/>
      <c r="Z127" s="582"/>
      <c r="AA127" s="581"/>
      <c r="AB127" s="582"/>
      <c r="AC127" s="581"/>
      <c r="AD127" s="582"/>
      <c r="AE127" s="581"/>
      <c r="AF127" s="583"/>
      <c r="AG127" s="581"/>
      <c r="AH127" s="583"/>
      <c r="AI127" s="581"/>
      <c r="AJ127" s="583"/>
      <c r="AK127" s="581"/>
      <c r="AL127" s="583"/>
      <c r="AM127" s="584"/>
      <c r="AN127" s="583"/>
      <c r="AO127" s="581"/>
      <c r="AP127" s="583"/>
      <c r="AQ127" s="584"/>
      <c r="AR127" s="583"/>
      <c r="AS127" s="583"/>
      <c r="AT127" s="583"/>
      <c r="AU127" s="584"/>
      <c r="AV127" s="583"/>
      <c r="AW127" s="583"/>
      <c r="AX127" s="158"/>
      <c r="AY127" s="154"/>
      <c r="AZ127">
        <f ca="1">INDIRECT(ADDRESS(ROW()+1,COLUMN(Arbeitszeit!xDay),,,"Arbeitszeit"))</f>
        <v>6</v>
      </c>
    </row>
    <row r="128" spans="1:52">
      <c r="A128" s="523">
        <f>Arbeitszeit!A129</f>
        <v>42492</v>
      </c>
      <c r="B128" s="524">
        <f t="shared" si="4"/>
        <v>42492</v>
      </c>
      <c r="C128" s="191">
        <f t="shared" si="5"/>
        <v>18</v>
      </c>
      <c r="D128" s="190">
        <f t="shared" si="6"/>
        <v>42490</v>
      </c>
      <c r="E128" s="593">
        <f>Arbeitszeit!V129*24</f>
        <v>0</v>
      </c>
      <c r="F128" s="352">
        <f t="shared" si="7"/>
        <v>0</v>
      </c>
      <c r="G128" s="155">
        <f>IF(Arbeitszeit!F129=Urlaub,B_WorkTime*24,)</f>
        <v>0</v>
      </c>
      <c r="H128" s="153"/>
      <c r="I128" s="155">
        <f>IF(Arbeitszeit!F129=Krank,B_WorkTime*24,)</f>
        <v>0</v>
      </c>
      <c r="J128" s="153"/>
      <c r="K128" s="156"/>
      <c r="L128" s="157"/>
      <c r="M128" s="581"/>
      <c r="N128" s="582"/>
      <c r="O128" s="581"/>
      <c r="P128" s="582"/>
      <c r="Q128" s="581"/>
      <c r="R128" s="582"/>
      <c r="S128" s="581"/>
      <c r="T128" s="582"/>
      <c r="U128" s="581"/>
      <c r="V128" s="582"/>
      <c r="W128" s="581"/>
      <c r="X128" s="582"/>
      <c r="Y128" s="581"/>
      <c r="Z128" s="582"/>
      <c r="AA128" s="581"/>
      <c r="AB128" s="582"/>
      <c r="AC128" s="581"/>
      <c r="AD128" s="582"/>
      <c r="AE128" s="581"/>
      <c r="AF128" s="583"/>
      <c r="AG128" s="581"/>
      <c r="AH128" s="583"/>
      <c r="AI128" s="581"/>
      <c r="AJ128" s="583"/>
      <c r="AK128" s="581"/>
      <c r="AL128" s="583"/>
      <c r="AM128" s="584"/>
      <c r="AN128" s="583"/>
      <c r="AO128" s="581"/>
      <c r="AP128" s="583"/>
      <c r="AQ128" s="584"/>
      <c r="AR128" s="583"/>
      <c r="AS128" s="583"/>
      <c r="AT128" s="583"/>
      <c r="AU128" s="584"/>
      <c r="AV128" s="583"/>
      <c r="AW128" s="583"/>
      <c r="AX128" s="158"/>
      <c r="AY128" s="154"/>
      <c r="AZ128">
        <f ca="1">INDIRECT(ADDRESS(ROW()+1,COLUMN(Arbeitszeit!xDay),,,"Arbeitszeit"))</f>
        <v>7</v>
      </c>
    </row>
    <row r="129" spans="1:52">
      <c r="A129" s="523">
        <f>Arbeitszeit!A130</f>
        <v>42493</v>
      </c>
      <c r="B129" s="524">
        <f t="shared" si="4"/>
        <v>42493</v>
      </c>
      <c r="C129" s="191">
        <f t="shared" si="5"/>
        <v>19</v>
      </c>
      <c r="D129" s="190">
        <f t="shared" si="6"/>
        <v>42490</v>
      </c>
      <c r="E129" s="593">
        <f>Arbeitszeit!V130*24</f>
        <v>0</v>
      </c>
      <c r="F129" s="352">
        <f t="shared" si="7"/>
        <v>0</v>
      </c>
      <c r="G129" s="155">
        <f>IF(Arbeitszeit!F130=Urlaub,B_WorkTime*24,)</f>
        <v>0</v>
      </c>
      <c r="H129" s="153"/>
      <c r="I129" s="155">
        <f>IF(Arbeitszeit!F130=Krank,B_WorkTime*24,)</f>
        <v>0</v>
      </c>
      <c r="J129" s="153"/>
      <c r="K129" s="156"/>
      <c r="L129" s="157"/>
      <c r="M129" s="581"/>
      <c r="N129" s="582"/>
      <c r="O129" s="581"/>
      <c r="P129" s="582"/>
      <c r="Q129" s="581"/>
      <c r="R129" s="582"/>
      <c r="S129" s="581"/>
      <c r="T129" s="582"/>
      <c r="U129" s="581"/>
      <c r="V129" s="582"/>
      <c r="W129" s="581"/>
      <c r="X129" s="582"/>
      <c r="Y129" s="581"/>
      <c r="Z129" s="582"/>
      <c r="AA129" s="581"/>
      <c r="AB129" s="582"/>
      <c r="AC129" s="581"/>
      <c r="AD129" s="582"/>
      <c r="AE129" s="581"/>
      <c r="AF129" s="583"/>
      <c r="AG129" s="581"/>
      <c r="AH129" s="583"/>
      <c r="AI129" s="581"/>
      <c r="AJ129" s="583"/>
      <c r="AK129" s="581"/>
      <c r="AL129" s="583"/>
      <c r="AM129" s="584"/>
      <c r="AN129" s="583"/>
      <c r="AO129" s="581"/>
      <c r="AP129" s="583"/>
      <c r="AQ129" s="584"/>
      <c r="AR129" s="583"/>
      <c r="AS129" s="583"/>
      <c r="AT129" s="583"/>
      <c r="AU129" s="584"/>
      <c r="AV129" s="583"/>
      <c r="AW129" s="583"/>
      <c r="AX129" s="158"/>
      <c r="AY129" s="154"/>
      <c r="AZ129">
        <f ca="1">INDIRECT(ADDRESS(ROW()+1,COLUMN(Arbeitszeit!xDay),,,"Arbeitszeit"))</f>
        <v>1</v>
      </c>
    </row>
    <row r="130" spans="1:52">
      <c r="A130" s="523">
        <f>Arbeitszeit!A131</f>
        <v>42494</v>
      </c>
      <c r="B130" s="524">
        <f t="shared" si="4"/>
        <v>42494</v>
      </c>
      <c r="C130" s="191">
        <f t="shared" si="5"/>
        <v>19</v>
      </c>
      <c r="D130" s="190">
        <f t="shared" si="6"/>
        <v>42490</v>
      </c>
      <c r="E130" s="593">
        <f>Arbeitszeit!V131*24</f>
        <v>0</v>
      </c>
      <c r="F130" s="352">
        <f t="shared" si="7"/>
        <v>0</v>
      </c>
      <c r="G130" s="155">
        <f>IF(Arbeitszeit!F131=Urlaub,B_WorkTime*24,)</f>
        <v>0</v>
      </c>
      <c r="H130" s="153"/>
      <c r="I130" s="155">
        <f>IF(Arbeitszeit!F131=Krank,B_WorkTime*24,)</f>
        <v>0</v>
      </c>
      <c r="J130" s="153"/>
      <c r="K130" s="156"/>
      <c r="L130" s="157"/>
      <c r="M130" s="581"/>
      <c r="N130" s="582"/>
      <c r="O130" s="581"/>
      <c r="P130" s="582"/>
      <c r="Q130" s="581"/>
      <c r="R130" s="582"/>
      <c r="S130" s="581"/>
      <c r="T130" s="582"/>
      <c r="U130" s="581"/>
      <c r="V130" s="582"/>
      <c r="W130" s="581"/>
      <c r="X130" s="582"/>
      <c r="Y130" s="581"/>
      <c r="Z130" s="582"/>
      <c r="AA130" s="581"/>
      <c r="AB130" s="582"/>
      <c r="AC130" s="581"/>
      <c r="AD130" s="582"/>
      <c r="AE130" s="581"/>
      <c r="AF130" s="583"/>
      <c r="AG130" s="581"/>
      <c r="AH130" s="583"/>
      <c r="AI130" s="581"/>
      <c r="AJ130" s="583"/>
      <c r="AK130" s="581"/>
      <c r="AL130" s="583"/>
      <c r="AM130" s="584"/>
      <c r="AN130" s="583"/>
      <c r="AO130" s="581"/>
      <c r="AP130" s="583"/>
      <c r="AQ130" s="584"/>
      <c r="AR130" s="583"/>
      <c r="AS130" s="583"/>
      <c r="AT130" s="583"/>
      <c r="AU130" s="584"/>
      <c r="AV130" s="583"/>
      <c r="AW130" s="583"/>
      <c r="AX130" s="158"/>
      <c r="AY130" s="154"/>
      <c r="AZ130">
        <f ca="1">INDIRECT(ADDRESS(ROW()+1,COLUMN(Arbeitszeit!xDay),,,"Arbeitszeit"))</f>
        <v>2</v>
      </c>
    </row>
    <row r="131" spans="1:52">
      <c r="A131" s="523">
        <f>Arbeitszeit!A132</f>
        <v>42495</v>
      </c>
      <c r="B131" s="524">
        <f t="shared" si="4"/>
        <v>42495</v>
      </c>
      <c r="C131" s="191">
        <f t="shared" si="5"/>
        <v>19</v>
      </c>
      <c r="D131" s="190">
        <f t="shared" si="6"/>
        <v>42490</v>
      </c>
      <c r="E131" s="593">
        <f>Arbeitszeit!V132*24</f>
        <v>0</v>
      </c>
      <c r="F131" s="352">
        <f t="shared" si="7"/>
        <v>0</v>
      </c>
      <c r="G131" s="155">
        <f>IF(Arbeitszeit!F132=Urlaub,B_WorkTime*24,)</f>
        <v>0</v>
      </c>
      <c r="H131" s="153"/>
      <c r="I131" s="155">
        <f>IF(Arbeitszeit!F132=Krank,B_WorkTime*24,)</f>
        <v>0</v>
      </c>
      <c r="J131" s="153"/>
      <c r="K131" s="156"/>
      <c r="L131" s="157"/>
      <c r="M131" s="581"/>
      <c r="N131" s="582"/>
      <c r="O131" s="581"/>
      <c r="P131" s="582"/>
      <c r="Q131" s="581"/>
      <c r="R131" s="582"/>
      <c r="S131" s="581"/>
      <c r="T131" s="582"/>
      <c r="U131" s="581"/>
      <c r="V131" s="582"/>
      <c r="W131" s="581"/>
      <c r="X131" s="582"/>
      <c r="Y131" s="581"/>
      <c r="Z131" s="582"/>
      <c r="AA131" s="581"/>
      <c r="AB131" s="582"/>
      <c r="AC131" s="581"/>
      <c r="AD131" s="582"/>
      <c r="AE131" s="581"/>
      <c r="AF131" s="583"/>
      <c r="AG131" s="581"/>
      <c r="AH131" s="583"/>
      <c r="AI131" s="581"/>
      <c r="AJ131" s="583"/>
      <c r="AK131" s="581"/>
      <c r="AL131" s="583"/>
      <c r="AM131" s="584"/>
      <c r="AN131" s="583"/>
      <c r="AO131" s="581"/>
      <c r="AP131" s="583"/>
      <c r="AQ131" s="584"/>
      <c r="AR131" s="583"/>
      <c r="AS131" s="583"/>
      <c r="AT131" s="583"/>
      <c r="AU131" s="584"/>
      <c r="AV131" s="583"/>
      <c r="AW131" s="583"/>
      <c r="AX131" s="158"/>
      <c r="AY131" s="154"/>
      <c r="AZ131">
        <f ca="1">INDIRECT(ADDRESS(ROW()+1,COLUMN(Arbeitszeit!xDay),,,"Arbeitszeit"))</f>
        <v>3</v>
      </c>
    </row>
    <row r="132" spans="1:52">
      <c r="A132" s="523">
        <f>Arbeitszeit!A133</f>
        <v>42496</v>
      </c>
      <c r="B132" s="524">
        <f t="shared" si="4"/>
        <v>42496</v>
      </c>
      <c r="C132" s="191">
        <f t="shared" si="5"/>
        <v>19</v>
      </c>
      <c r="D132" s="190">
        <f t="shared" si="6"/>
        <v>42490</v>
      </c>
      <c r="E132" s="593">
        <f>Arbeitszeit!V133*24</f>
        <v>0</v>
      </c>
      <c r="F132" s="352">
        <f t="shared" si="7"/>
        <v>0</v>
      </c>
      <c r="G132" s="155">
        <f>IF(Arbeitszeit!F133=Urlaub,B_WorkTime*24,)</f>
        <v>0</v>
      </c>
      <c r="H132" s="153"/>
      <c r="I132" s="155">
        <f>IF(Arbeitszeit!F133=Krank,B_WorkTime*24,)</f>
        <v>0</v>
      </c>
      <c r="J132" s="153"/>
      <c r="K132" s="156"/>
      <c r="L132" s="157"/>
      <c r="M132" s="581"/>
      <c r="N132" s="582"/>
      <c r="O132" s="581"/>
      <c r="P132" s="582"/>
      <c r="Q132" s="581"/>
      <c r="R132" s="582"/>
      <c r="S132" s="581"/>
      <c r="T132" s="582"/>
      <c r="U132" s="581"/>
      <c r="V132" s="582"/>
      <c r="W132" s="581"/>
      <c r="X132" s="582"/>
      <c r="Y132" s="581"/>
      <c r="Z132" s="582"/>
      <c r="AA132" s="581"/>
      <c r="AB132" s="582"/>
      <c r="AC132" s="581"/>
      <c r="AD132" s="582"/>
      <c r="AE132" s="581"/>
      <c r="AF132" s="583"/>
      <c r="AG132" s="581"/>
      <c r="AH132" s="583"/>
      <c r="AI132" s="581"/>
      <c r="AJ132" s="583"/>
      <c r="AK132" s="581"/>
      <c r="AL132" s="583"/>
      <c r="AM132" s="584"/>
      <c r="AN132" s="583"/>
      <c r="AO132" s="581"/>
      <c r="AP132" s="583"/>
      <c r="AQ132" s="584"/>
      <c r="AR132" s="583"/>
      <c r="AS132" s="583"/>
      <c r="AT132" s="583"/>
      <c r="AU132" s="584"/>
      <c r="AV132" s="583"/>
      <c r="AW132" s="583"/>
      <c r="AX132" s="158"/>
      <c r="AY132" s="154"/>
      <c r="AZ132">
        <f ca="1">INDIRECT(ADDRESS(ROW()+1,COLUMN(Arbeitszeit!xDay),,,"Arbeitszeit"))</f>
        <v>4</v>
      </c>
    </row>
    <row r="133" spans="1:52">
      <c r="A133" s="523">
        <f>Arbeitszeit!A134</f>
        <v>42497</v>
      </c>
      <c r="B133" s="524">
        <f t="shared" si="4"/>
        <v>42497</v>
      </c>
      <c r="C133" s="191">
        <f t="shared" si="5"/>
        <v>19</v>
      </c>
      <c r="D133" s="190">
        <f t="shared" si="6"/>
        <v>42490</v>
      </c>
      <c r="E133" s="593">
        <f>Arbeitszeit!V134*24</f>
        <v>0</v>
      </c>
      <c r="F133" s="352">
        <f t="shared" si="7"/>
        <v>0</v>
      </c>
      <c r="G133" s="155">
        <f>IF(Arbeitszeit!F134=Urlaub,B_WorkTime*24,)</f>
        <v>0</v>
      </c>
      <c r="H133" s="153"/>
      <c r="I133" s="155">
        <f>IF(Arbeitszeit!F134=Krank,B_WorkTime*24,)</f>
        <v>0</v>
      </c>
      <c r="J133" s="153"/>
      <c r="K133" s="156"/>
      <c r="L133" s="157"/>
      <c r="M133" s="581"/>
      <c r="N133" s="582"/>
      <c r="O133" s="581"/>
      <c r="P133" s="582"/>
      <c r="Q133" s="581"/>
      <c r="R133" s="582"/>
      <c r="S133" s="581"/>
      <c r="T133" s="582"/>
      <c r="U133" s="581"/>
      <c r="V133" s="582"/>
      <c r="W133" s="581"/>
      <c r="X133" s="582"/>
      <c r="Y133" s="581"/>
      <c r="Z133" s="582"/>
      <c r="AA133" s="581"/>
      <c r="AB133" s="582"/>
      <c r="AC133" s="581"/>
      <c r="AD133" s="582"/>
      <c r="AE133" s="581"/>
      <c r="AF133" s="583"/>
      <c r="AG133" s="581"/>
      <c r="AH133" s="583"/>
      <c r="AI133" s="581"/>
      <c r="AJ133" s="583"/>
      <c r="AK133" s="581"/>
      <c r="AL133" s="583"/>
      <c r="AM133" s="584"/>
      <c r="AN133" s="583"/>
      <c r="AO133" s="581"/>
      <c r="AP133" s="583"/>
      <c r="AQ133" s="584"/>
      <c r="AR133" s="583"/>
      <c r="AS133" s="583"/>
      <c r="AT133" s="583"/>
      <c r="AU133" s="584"/>
      <c r="AV133" s="583"/>
      <c r="AW133" s="583"/>
      <c r="AX133" s="158"/>
      <c r="AY133" s="154"/>
      <c r="AZ133">
        <f ca="1">INDIRECT(ADDRESS(ROW()+1,COLUMN(Arbeitszeit!xDay),,,"Arbeitszeit"))</f>
        <v>5</v>
      </c>
    </row>
    <row r="134" spans="1:52">
      <c r="A134" s="523">
        <f>Arbeitszeit!A135</f>
        <v>42498</v>
      </c>
      <c r="B134" s="524">
        <f t="shared" ref="B134:B197" si="8">IF(A134="","",A134)</f>
        <v>42498</v>
      </c>
      <c r="C134" s="191">
        <f t="shared" si="5"/>
        <v>19</v>
      </c>
      <c r="D134" s="190">
        <f t="shared" si="6"/>
        <v>42490</v>
      </c>
      <c r="E134" s="593">
        <f>Arbeitszeit!V135*24</f>
        <v>0</v>
      </c>
      <c r="F134" s="352">
        <f t="shared" si="7"/>
        <v>0</v>
      </c>
      <c r="G134" s="155">
        <f>IF(Arbeitszeit!F135=Urlaub,B_WorkTime*24,)</f>
        <v>0</v>
      </c>
      <c r="H134" s="153"/>
      <c r="I134" s="155">
        <f>IF(Arbeitszeit!F135=Krank,B_WorkTime*24,)</f>
        <v>0</v>
      </c>
      <c r="J134" s="153"/>
      <c r="K134" s="156"/>
      <c r="L134" s="157"/>
      <c r="M134" s="581"/>
      <c r="N134" s="582"/>
      <c r="O134" s="581"/>
      <c r="P134" s="582"/>
      <c r="Q134" s="581"/>
      <c r="R134" s="582"/>
      <c r="S134" s="581"/>
      <c r="T134" s="582"/>
      <c r="U134" s="581"/>
      <c r="V134" s="582"/>
      <c r="W134" s="581"/>
      <c r="X134" s="582"/>
      <c r="Y134" s="581"/>
      <c r="Z134" s="582"/>
      <c r="AA134" s="581"/>
      <c r="AB134" s="582"/>
      <c r="AC134" s="581"/>
      <c r="AD134" s="582"/>
      <c r="AE134" s="581"/>
      <c r="AF134" s="583"/>
      <c r="AG134" s="581"/>
      <c r="AH134" s="583"/>
      <c r="AI134" s="581"/>
      <c r="AJ134" s="583"/>
      <c r="AK134" s="581"/>
      <c r="AL134" s="583"/>
      <c r="AM134" s="584"/>
      <c r="AN134" s="583"/>
      <c r="AO134" s="581"/>
      <c r="AP134" s="583"/>
      <c r="AQ134" s="584"/>
      <c r="AR134" s="583"/>
      <c r="AS134" s="583"/>
      <c r="AT134" s="583"/>
      <c r="AU134" s="584"/>
      <c r="AV134" s="583"/>
      <c r="AW134" s="583"/>
      <c r="AX134" s="158"/>
      <c r="AY134" s="154"/>
      <c r="AZ134">
        <f ca="1">INDIRECT(ADDRESS(ROW()+1,COLUMN(Arbeitszeit!xDay),,,"Arbeitszeit"))</f>
        <v>6</v>
      </c>
    </row>
    <row r="135" spans="1:52">
      <c r="A135" s="523">
        <f>Arbeitszeit!A136</f>
        <v>42499</v>
      </c>
      <c r="B135" s="524">
        <f t="shared" si="8"/>
        <v>42499</v>
      </c>
      <c r="C135" s="191">
        <f t="shared" ref="C135:C198" si="9">IF(A135="","",NumberOfWeek(A135))</f>
        <v>19</v>
      </c>
      <c r="D135" s="190">
        <f t="shared" ref="D135:D198" si="10">IF(A135="","",DATE(YEAR(A135),MONTH(A135),1))</f>
        <v>42490</v>
      </c>
      <c r="E135" s="593">
        <f>Arbeitszeit!V136*24</f>
        <v>0</v>
      </c>
      <c r="F135" s="352">
        <f t="shared" si="7"/>
        <v>0</v>
      </c>
      <c r="G135" s="155">
        <f>IF(Arbeitszeit!F136=Urlaub,B_WorkTime*24,)</f>
        <v>0</v>
      </c>
      <c r="H135" s="153"/>
      <c r="I135" s="155">
        <f>IF(Arbeitszeit!F136=Krank,B_WorkTime*24,)</f>
        <v>0</v>
      </c>
      <c r="J135" s="153"/>
      <c r="K135" s="156"/>
      <c r="L135" s="157"/>
      <c r="M135" s="581"/>
      <c r="N135" s="582"/>
      <c r="O135" s="581"/>
      <c r="P135" s="582"/>
      <c r="Q135" s="581"/>
      <c r="R135" s="582"/>
      <c r="S135" s="581"/>
      <c r="T135" s="582"/>
      <c r="U135" s="581"/>
      <c r="V135" s="582"/>
      <c r="W135" s="581"/>
      <c r="X135" s="582"/>
      <c r="Y135" s="581"/>
      <c r="Z135" s="582"/>
      <c r="AA135" s="581"/>
      <c r="AB135" s="582"/>
      <c r="AC135" s="581"/>
      <c r="AD135" s="582"/>
      <c r="AE135" s="581"/>
      <c r="AF135" s="583"/>
      <c r="AG135" s="581"/>
      <c r="AH135" s="583"/>
      <c r="AI135" s="581"/>
      <c r="AJ135" s="583"/>
      <c r="AK135" s="581"/>
      <c r="AL135" s="583"/>
      <c r="AM135" s="584"/>
      <c r="AN135" s="583"/>
      <c r="AO135" s="581"/>
      <c r="AP135" s="583"/>
      <c r="AQ135" s="584"/>
      <c r="AR135" s="583"/>
      <c r="AS135" s="583"/>
      <c r="AT135" s="583"/>
      <c r="AU135" s="584"/>
      <c r="AV135" s="583"/>
      <c r="AW135" s="583"/>
      <c r="AX135" s="158"/>
      <c r="AY135" s="154"/>
      <c r="AZ135">
        <f ca="1">INDIRECT(ADDRESS(ROW()+1,COLUMN(Arbeitszeit!xDay),,,"Arbeitszeit"))</f>
        <v>7</v>
      </c>
    </row>
    <row r="136" spans="1:52">
      <c r="A136" s="523">
        <f>Arbeitszeit!A137</f>
        <v>42500</v>
      </c>
      <c r="B136" s="524">
        <f t="shared" si="8"/>
        <v>42500</v>
      </c>
      <c r="C136" s="191">
        <f t="shared" si="9"/>
        <v>20</v>
      </c>
      <c r="D136" s="190">
        <f t="shared" si="10"/>
        <v>42490</v>
      </c>
      <c r="E136" s="593">
        <f>Arbeitszeit!V137*24</f>
        <v>0</v>
      </c>
      <c r="F136" s="352">
        <f t="shared" ref="F136:F199" si="11">ROUND(E136-SUM(K136:AW136),1)</f>
        <v>0</v>
      </c>
      <c r="G136" s="155">
        <f>IF(Arbeitszeit!F137=Urlaub,B_WorkTime*24,)</f>
        <v>0</v>
      </c>
      <c r="H136" s="153"/>
      <c r="I136" s="155">
        <f>IF(Arbeitszeit!F137=Krank,B_WorkTime*24,)</f>
        <v>0</v>
      </c>
      <c r="J136" s="153"/>
      <c r="K136" s="156"/>
      <c r="L136" s="157"/>
      <c r="M136" s="581"/>
      <c r="N136" s="582"/>
      <c r="O136" s="581"/>
      <c r="P136" s="582"/>
      <c r="Q136" s="581"/>
      <c r="R136" s="582"/>
      <c r="S136" s="581"/>
      <c r="T136" s="582"/>
      <c r="U136" s="581"/>
      <c r="V136" s="582"/>
      <c r="W136" s="581"/>
      <c r="X136" s="582"/>
      <c r="Y136" s="581"/>
      <c r="Z136" s="582"/>
      <c r="AA136" s="581"/>
      <c r="AB136" s="582"/>
      <c r="AC136" s="581"/>
      <c r="AD136" s="582"/>
      <c r="AE136" s="581"/>
      <c r="AF136" s="583"/>
      <c r="AG136" s="581"/>
      <c r="AH136" s="583"/>
      <c r="AI136" s="581"/>
      <c r="AJ136" s="583"/>
      <c r="AK136" s="581"/>
      <c r="AL136" s="583"/>
      <c r="AM136" s="584"/>
      <c r="AN136" s="583"/>
      <c r="AO136" s="581"/>
      <c r="AP136" s="583"/>
      <c r="AQ136" s="584"/>
      <c r="AR136" s="583"/>
      <c r="AS136" s="583"/>
      <c r="AT136" s="583"/>
      <c r="AU136" s="584"/>
      <c r="AV136" s="583"/>
      <c r="AW136" s="583"/>
      <c r="AX136" s="158"/>
      <c r="AY136" s="154"/>
      <c r="AZ136">
        <f ca="1">INDIRECT(ADDRESS(ROW()+1,COLUMN(Arbeitszeit!xDay),,,"Arbeitszeit"))</f>
        <v>1</v>
      </c>
    </row>
    <row r="137" spans="1:52">
      <c r="A137" s="523">
        <f>Arbeitszeit!A138</f>
        <v>42501</v>
      </c>
      <c r="B137" s="524">
        <f t="shared" si="8"/>
        <v>42501</v>
      </c>
      <c r="C137" s="191">
        <f t="shared" si="9"/>
        <v>20</v>
      </c>
      <c r="D137" s="190">
        <f t="shared" si="10"/>
        <v>42490</v>
      </c>
      <c r="E137" s="593">
        <f>Arbeitszeit!V138*24</f>
        <v>0</v>
      </c>
      <c r="F137" s="352">
        <f t="shared" si="11"/>
        <v>0</v>
      </c>
      <c r="G137" s="155">
        <f>IF(Arbeitszeit!F138=Urlaub,B_WorkTime*24,)</f>
        <v>0</v>
      </c>
      <c r="H137" s="153"/>
      <c r="I137" s="155">
        <f>IF(Arbeitszeit!F138=Krank,B_WorkTime*24,)</f>
        <v>0</v>
      </c>
      <c r="J137" s="153"/>
      <c r="K137" s="156"/>
      <c r="L137" s="157"/>
      <c r="M137" s="581"/>
      <c r="N137" s="582"/>
      <c r="O137" s="581"/>
      <c r="P137" s="582"/>
      <c r="Q137" s="581"/>
      <c r="R137" s="582"/>
      <c r="S137" s="581"/>
      <c r="T137" s="582"/>
      <c r="U137" s="581"/>
      <c r="V137" s="582"/>
      <c r="W137" s="581"/>
      <c r="X137" s="582"/>
      <c r="Y137" s="581"/>
      <c r="Z137" s="582"/>
      <c r="AA137" s="581"/>
      <c r="AB137" s="582"/>
      <c r="AC137" s="581"/>
      <c r="AD137" s="582"/>
      <c r="AE137" s="581"/>
      <c r="AF137" s="583"/>
      <c r="AG137" s="581"/>
      <c r="AH137" s="583"/>
      <c r="AI137" s="581"/>
      <c r="AJ137" s="583"/>
      <c r="AK137" s="581"/>
      <c r="AL137" s="583"/>
      <c r="AM137" s="584"/>
      <c r="AN137" s="583"/>
      <c r="AO137" s="581"/>
      <c r="AP137" s="583"/>
      <c r="AQ137" s="584"/>
      <c r="AR137" s="583"/>
      <c r="AS137" s="583"/>
      <c r="AT137" s="583"/>
      <c r="AU137" s="584"/>
      <c r="AV137" s="583"/>
      <c r="AW137" s="583"/>
      <c r="AX137" s="158"/>
      <c r="AY137" s="154"/>
      <c r="AZ137">
        <f ca="1">INDIRECT(ADDRESS(ROW()+1,COLUMN(Arbeitszeit!xDay),,,"Arbeitszeit"))</f>
        <v>2</v>
      </c>
    </row>
    <row r="138" spans="1:52">
      <c r="A138" s="523">
        <f>Arbeitszeit!A139</f>
        <v>42502</v>
      </c>
      <c r="B138" s="524">
        <f t="shared" si="8"/>
        <v>42502</v>
      </c>
      <c r="C138" s="191">
        <f t="shared" si="9"/>
        <v>20</v>
      </c>
      <c r="D138" s="190">
        <f t="shared" si="10"/>
        <v>42490</v>
      </c>
      <c r="E138" s="593">
        <f>Arbeitszeit!V139*24</f>
        <v>0</v>
      </c>
      <c r="F138" s="352">
        <f t="shared" si="11"/>
        <v>0</v>
      </c>
      <c r="G138" s="155">
        <f>IF(Arbeitszeit!F139=Urlaub,B_WorkTime*24,)</f>
        <v>0</v>
      </c>
      <c r="H138" s="153"/>
      <c r="I138" s="155">
        <f>IF(Arbeitszeit!F139=Krank,B_WorkTime*24,)</f>
        <v>0</v>
      </c>
      <c r="J138" s="153"/>
      <c r="K138" s="156"/>
      <c r="L138" s="157"/>
      <c r="M138" s="581"/>
      <c r="N138" s="582"/>
      <c r="O138" s="581"/>
      <c r="P138" s="582"/>
      <c r="Q138" s="581"/>
      <c r="R138" s="582"/>
      <c r="S138" s="581"/>
      <c r="T138" s="582"/>
      <c r="U138" s="581"/>
      <c r="V138" s="582"/>
      <c r="W138" s="581"/>
      <c r="X138" s="582"/>
      <c r="Y138" s="581"/>
      <c r="Z138" s="582"/>
      <c r="AA138" s="581"/>
      <c r="AB138" s="582"/>
      <c r="AC138" s="581"/>
      <c r="AD138" s="582"/>
      <c r="AE138" s="581"/>
      <c r="AF138" s="583"/>
      <c r="AG138" s="581"/>
      <c r="AH138" s="583"/>
      <c r="AI138" s="581"/>
      <c r="AJ138" s="583"/>
      <c r="AK138" s="581"/>
      <c r="AL138" s="583"/>
      <c r="AM138" s="584"/>
      <c r="AN138" s="583"/>
      <c r="AO138" s="581"/>
      <c r="AP138" s="583"/>
      <c r="AQ138" s="584"/>
      <c r="AR138" s="583"/>
      <c r="AS138" s="583"/>
      <c r="AT138" s="583"/>
      <c r="AU138" s="584"/>
      <c r="AV138" s="583"/>
      <c r="AW138" s="583"/>
      <c r="AX138" s="158"/>
      <c r="AY138" s="154"/>
      <c r="AZ138">
        <f ca="1">INDIRECT(ADDRESS(ROW()+1,COLUMN(Arbeitszeit!xDay),,,"Arbeitszeit"))</f>
        <v>3</v>
      </c>
    </row>
    <row r="139" spans="1:52">
      <c r="A139" s="523">
        <f>Arbeitszeit!A140</f>
        <v>42503</v>
      </c>
      <c r="B139" s="524">
        <f t="shared" si="8"/>
        <v>42503</v>
      </c>
      <c r="C139" s="191">
        <f t="shared" si="9"/>
        <v>20</v>
      </c>
      <c r="D139" s="190">
        <f t="shared" si="10"/>
        <v>42490</v>
      </c>
      <c r="E139" s="593">
        <f>Arbeitszeit!V140*24</f>
        <v>0</v>
      </c>
      <c r="F139" s="352">
        <f t="shared" si="11"/>
        <v>0</v>
      </c>
      <c r="G139" s="155">
        <f>IF(Arbeitszeit!F140=Urlaub,B_WorkTime*24,)</f>
        <v>0</v>
      </c>
      <c r="H139" s="153"/>
      <c r="I139" s="155">
        <f>IF(Arbeitszeit!F140=Krank,B_WorkTime*24,)</f>
        <v>0</v>
      </c>
      <c r="J139" s="153"/>
      <c r="K139" s="156"/>
      <c r="L139" s="157"/>
      <c r="M139" s="581"/>
      <c r="N139" s="582"/>
      <c r="O139" s="581"/>
      <c r="P139" s="582"/>
      <c r="Q139" s="581"/>
      <c r="R139" s="582"/>
      <c r="S139" s="581"/>
      <c r="T139" s="582"/>
      <c r="U139" s="581"/>
      <c r="V139" s="582"/>
      <c r="W139" s="581"/>
      <c r="X139" s="582"/>
      <c r="Y139" s="581"/>
      <c r="Z139" s="582"/>
      <c r="AA139" s="581"/>
      <c r="AB139" s="582"/>
      <c r="AC139" s="581"/>
      <c r="AD139" s="582"/>
      <c r="AE139" s="581"/>
      <c r="AF139" s="583"/>
      <c r="AG139" s="581"/>
      <c r="AH139" s="583"/>
      <c r="AI139" s="581"/>
      <c r="AJ139" s="583"/>
      <c r="AK139" s="581"/>
      <c r="AL139" s="583"/>
      <c r="AM139" s="584"/>
      <c r="AN139" s="583"/>
      <c r="AO139" s="581"/>
      <c r="AP139" s="583"/>
      <c r="AQ139" s="584"/>
      <c r="AR139" s="583"/>
      <c r="AS139" s="583"/>
      <c r="AT139" s="583"/>
      <c r="AU139" s="584"/>
      <c r="AV139" s="583"/>
      <c r="AW139" s="583"/>
      <c r="AX139" s="158"/>
      <c r="AY139" s="154"/>
      <c r="AZ139">
        <f ca="1">INDIRECT(ADDRESS(ROW()+1,COLUMN(Arbeitszeit!xDay),,,"Arbeitszeit"))</f>
        <v>4</v>
      </c>
    </row>
    <row r="140" spans="1:52">
      <c r="A140" s="523">
        <f>Arbeitszeit!A141</f>
        <v>42504</v>
      </c>
      <c r="B140" s="524">
        <f t="shared" si="8"/>
        <v>42504</v>
      </c>
      <c r="C140" s="191">
        <f t="shared" si="9"/>
        <v>20</v>
      </c>
      <c r="D140" s="190">
        <f t="shared" si="10"/>
        <v>42490</v>
      </c>
      <c r="E140" s="593">
        <f>Arbeitszeit!V141*24</f>
        <v>0</v>
      </c>
      <c r="F140" s="352">
        <f t="shared" si="11"/>
        <v>0</v>
      </c>
      <c r="G140" s="155">
        <f>IF(Arbeitszeit!F141=Urlaub,B_WorkTime*24,)</f>
        <v>0</v>
      </c>
      <c r="H140" s="153"/>
      <c r="I140" s="155">
        <f>IF(Arbeitszeit!F141=Krank,B_WorkTime*24,)</f>
        <v>0</v>
      </c>
      <c r="J140" s="153"/>
      <c r="K140" s="156"/>
      <c r="L140" s="157"/>
      <c r="M140" s="581"/>
      <c r="N140" s="582"/>
      <c r="O140" s="581"/>
      <c r="P140" s="582"/>
      <c r="Q140" s="581"/>
      <c r="R140" s="582"/>
      <c r="S140" s="581"/>
      <c r="T140" s="582"/>
      <c r="U140" s="581"/>
      <c r="V140" s="582"/>
      <c r="W140" s="581"/>
      <c r="X140" s="582"/>
      <c r="Y140" s="581"/>
      <c r="Z140" s="582"/>
      <c r="AA140" s="581"/>
      <c r="AB140" s="582"/>
      <c r="AC140" s="581"/>
      <c r="AD140" s="582"/>
      <c r="AE140" s="581"/>
      <c r="AF140" s="583"/>
      <c r="AG140" s="581"/>
      <c r="AH140" s="583"/>
      <c r="AI140" s="581"/>
      <c r="AJ140" s="583"/>
      <c r="AK140" s="581"/>
      <c r="AL140" s="583"/>
      <c r="AM140" s="584"/>
      <c r="AN140" s="583"/>
      <c r="AO140" s="581"/>
      <c r="AP140" s="583"/>
      <c r="AQ140" s="584"/>
      <c r="AR140" s="583"/>
      <c r="AS140" s="583"/>
      <c r="AT140" s="583"/>
      <c r="AU140" s="584"/>
      <c r="AV140" s="583"/>
      <c r="AW140" s="583"/>
      <c r="AX140" s="158"/>
      <c r="AY140" s="154"/>
      <c r="AZ140">
        <f ca="1">INDIRECT(ADDRESS(ROW()+1,COLUMN(Arbeitszeit!xDay),,,"Arbeitszeit"))</f>
        <v>5</v>
      </c>
    </row>
    <row r="141" spans="1:52">
      <c r="A141" s="523">
        <f>Arbeitszeit!A142</f>
        <v>42505</v>
      </c>
      <c r="B141" s="524">
        <f t="shared" si="8"/>
        <v>42505</v>
      </c>
      <c r="C141" s="191">
        <f t="shared" si="9"/>
        <v>20</v>
      </c>
      <c r="D141" s="190">
        <f t="shared" si="10"/>
        <v>42490</v>
      </c>
      <c r="E141" s="593">
        <f>Arbeitszeit!V142*24</f>
        <v>0</v>
      </c>
      <c r="F141" s="352">
        <f t="shared" si="11"/>
        <v>0</v>
      </c>
      <c r="G141" s="155">
        <f>IF(Arbeitszeit!F142=Urlaub,B_WorkTime*24,)</f>
        <v>0</v>
      </c>
      <c r="H141" s="153"/>
      <c r="I141" s="155">
        <f>IF(Arbeitszeit!F142=Krank,B_WorkTime*24,)</f>
        <v>0</v>
      </c>
      <c r="J141" s="153"/>
      <c r="K141" s="156"/>
      <c r="L141" s="157"/>
      <c r="M141" s="581"/>
      <c r="N141" s="582"/>
      <c r="O141" s="581"/>
      <c r="P141" s="582"/>
      <c r="Q141" s="581"/>
      <c r="R141" s="582"/>
      <c r="S141" s="581"/>
      <c r="T141" s="582"/>
      <c r="U141" s="581"/>
      <c r="V141" s="582"/>
      <c r="W141" s="581"/>
      <c r="X141" s="582"/>
      <c r="Y141" s="581"/>
      <c r="Z141" s="582"/>
      <c r="AA141" s="581"/>
      <c r="AB141" s="582"/>
      <c r="AC141" s="581"/>
      <c r="AD141" s="582"/>
      <c r="AE141" s="581"/>
      <c r="AF141" s="583"/>
      <c r="AG141" s="581"/>
      <c r="AH141" s="583"/>
      <c r="AI141" s="581"/>
      <c r="AJ141" s="583"/>
      <c r="AK141" s="581"/>
      <c r="AL141" s="583"/>
      <c r="AM141" s="584"/>
      <c r="AN141" s="583"/>
      <c r="AO141" s="581"/>
      <c r="AP141" s="583"/>
      <c r="AQ141" s="584"/>
      <c r="AR141" s="583"/>
      <c r="AS141" s="583"/>
      <c r="AT141" s="583"/>
      <c r="AU141" s="584"/>
      <c r="AV141" s="583"/>
      <c r="AW141" s="583"/>
      <c r="AX141" s="158"/>
      <c r="AY141" s="154"/>
      <c r="AZ141">
        <f ca="1">INDIRECT(ADDRESS(ROW()+1,COLUMN(Arbeitszeit!xDay),,,"Arbeitszeit"))</f>
        <v>6</v>
      </c>
    </row>
    <row r="142" spans="1:52">
      <c r="A142" s="523">
        <f>Arbeitszeit!A143</f>
        <v>42506</v>
      </c>
      <c r="B142" s="524">
        <f t="shared" si="8"/>
        <v>42506</v>
      </c>
      <c r="C142" s="191">
        <f t="shared" si="9"/>
        <v>20</v>
      </c>
      <c r="D142" s="190">
        <f t="shared" si="10"/>
        <v>42490</v>
      </c>
      <c r="E142" s="593">
        <f>Arbeitszeit!V143*24</f>
        <v>0</v>
      </c>
      <c r="F142" s="352">
        <f t="shared" si="11"/>
        <v>0</v>
      </c>
      <c r="G142" s="155">
        <f>IF(Arbeitszeit!F143=Urlaub,B_WorkTime*24,)</f>
        <v>0</v>
      </c>
      <c r="H142" s="153"/>
      <c r="I142" s="155">
        <f>IF(Arbeitszeit!F143=Krank,B_WorkTime*24,)</f>
        <v>0</v>
      </c>
      <c r="J142" s="153"/>
      <c r="K142" s="156"/>
      <c r="L142" s="157"/>
      <c r="M142" s="581"/>
      <c r="N142" s="582"/>
      <c r="O142" s="581"/>
      <c r="P142" s="582"/>
      <c r="Q142" s="581"/>
      <c r="R142" s="582"/>
      <c r="S142" s="581"/>
      <c r="T142" s="582"/>
      <c r="U142" s="581"/>
      <c r="V142" s="582"/>
      <c r="W142" s="581"/>
      <c r="X142" s="582"/>
      <c r="Y142" s="581"/>
      <c r="Z142" s="582"/>
      <c r="AA142" s="581"/>
      <c r="AB142" s="582"/>
      <c r="AC142" s="581"/>
      <c r="AD142" s="582"/>
      <c r="AE142" s="581"/>
      <c r="AF142" s="583"/>
      <c r="AG142" s="581"/>
      <c r="AH142" s="583"/>
      <c r="AI142" s="581"/>
      <c r="AJ142" s="583"/>
      <c r="AK142" s="581"/>
      <c r="AL142" s="583"/>
      <c r="AM142" s="584"/>
      <c r="AN142" s="583"/>
      <c r="AO142" s="581"/>
      <c r="AP142" s="583"/>
      <c r="AQ142" s="584"/>
      <c r="AR142" s="583"/>
      <c r="AS142" s="583"/>
      <c r="AT142" s="583"/>
      <c r="AU142" s="584"/>
      <c r="AV142" s="583"/>
      <c r="AW142" s="583"/>
      <c r="AX142" s="158"/>
      <c r="AY142" s="154"/>
      <c r="AZ142">
        <f ca="1">INDIRECT(ADDRESS(ROW()+1,COLUMN(Arbeitszeit!xDay),,,"Arbeitszeit"))</f>
        <v>7</v>
      </c>
    </row>
    <row r="143" spans="1:52">
      <c r="A143" s="523">
        <f>Arbeitszeit!A144</f>
        <v>42507</v>
      </c>
      <c r="B143" s="524">
        <f t="shared" si="8"/>
        <v>42507</v>
      </c>
      <c r="C143" s="191">
        <f t="shared" si="9"/>
        <v>21</v>
      </c>
      <c r="D143" s="190">
        <f t="shared" si="10"/>
        <v>42490</v>
      </c>
      <c r="E143" s="593">
        <f>Arbeitszeit!V144*24</f>
        <v>0</v>
      </c>
      <c r="F143" s="352">
        <f t="shared" si="11"/>
        <v>0</v>
      </c>
      <c r="G143" s="155">
        <f>IF(Arbeitszeit!F144=Urlaub,B_WorkTime*24,)</f>
        <v>0</v>
      </c>
      <c r="H143" s="153"/>
      <c r="I143" s="155">
        <f>IF(Arbeitszeit!F144=Krank,B_WorkTime*24,)</f>
        <v>0</v>
      </c>
      <c r="J143" s="153"/>
      <c r="K143" s="156"/>
      <c r="L143" s="157"/>
      <c r="M143" s="581"/>
      <c r="N143" s="582"/>
      <c r="O143" s="581"/>
      <c r="P143" s="582"/>
      <c r="Q143" s="581"/>
      <c r="R143" s="582"/>
      <c r="S143" s="581"/>
      <c r="T143" s="582"/>
      <c r="U143" s="581"/>
      <c r="V143" s="582"/>
      <c r="W143" s="581"/>
      <c r="X143" s="582"/>
      <c r="Y143" s="581"/>
      <c r="Z143" s="582"/>
      <c r="AA143" s="581"/>
      <c r="AB143" s="582"/>
      <c r="AC143" s="581"/>
      <c r="AD143" s="582"/>
      <c r="AE143" s="581"/>
      <c r="AF143" s="583"/>
      <c r="AG143" s="581"/>
      <c r="AH143" s="583"/>
      <c r="AI143" s="581"/>
      <c r="AJ143" s="583"/>
      <c r="AK143" s="581"/>
      <c r="AL143" s="583"/>
      <c r="AM143" s="584"/>
      <c r="AN143" s="583"/>
      <c r="AO143" s="581"/>
      <c r="AP143" s="583"/>
      <c r="AQ143" s="584"/>
      <c r="AR143" s="583"/>
      <c r="AS143" s="583"/>
      <c r="AT143" s="583"/>
      <c r="AU143" s="584"/>
      <c r="AV143" s="583"/>
      <c r="AW143" s="583"/>
      <c r="AX143" s="158"/>
      <c r="AY143" s="154"/>
      <c r="AZ143">
        <f ca="1">INDIRECT(ADDRESS(ROW()+1,COLUMN(Arbeitszeit!xDay),,,"Arbeitszeit"))</f>
        <v>1</v>
      </c>
    </row>
    <row r="144" spans="1:52">
      <c r="A144" s="523">
        <f>Arbeitszeit!A145</f>
        <v>42508</v>
      </c>
      <c r="B144" s="524">
        <f t="shared" si="8"/>
        <v>42508</v>
      </c>
      <c r="C144" s="191">
        <f t="shared" si="9"/>
        <v>21</v>
      </c>
      <c r="D144" s="190">
        <f t="shared" si="10"/>
        <v>42490</v>
      </c>
      <c r="E144" s="593">
        <f>Arbeitszeit!V145*24</f>
        <v>0</v>
      </c>
      <c r="F144" s="352">
        <f t="shared" si="11"/>
        <v>0</v>
      </c>
      <c r="G144" s="155">
        <f>IF(Arbeitszeit!F145=Urlaub,B_WorkTime*24,)</f>
        <v>0</v>
      </c>
      <c r="H144" s="153"/>
      <c r="I144" s="155">
        <f>IF(Arbeitszeit!F145=Krank,B_WorkTime*24,)</f>
        <v>0</v>
      </c>
      <c r="J144" s="153"/>
      <c r="K144" s="156"/>
      <c r="L144" s="157"/>
      <c r="M144" s="581"/>
      <c r="N144" s="582"/>
      <c r="O144" s="581"/>
      <c r="P144" s="582"/>
      <c r="Q144" s="581"/>
      <c r="R144" s="582"/>
      <c r="S144" s="581"/>
      <c r="T144" s="582"/>
      <c r="U144" s="581"/>
      <c r="V144" s="582"/>
      <c r="W144" s="581"/>
      <c r="X144" s="582"/>
      <c r="Y144" s="581"/>
      <c r="Z144" s="582"/>
      <c r="AA144" s="581"/>
      <c r="AB144" s="582"/>
      <c r="AC144" s="581"/>
      <c r="AD144" s="582"/>
      <c r="AE144" s="581"/>
      <c r="AF144" s="583"/>
      <c r="AG144" s="581"/>
      <c r="AH144" s="583"/>
      <c r="AI144" s="581"/>
      <c r="AJ144" s="583"/>
      <c r="AK144" s="581"/>
      <c r="AL144" s="583"/>
      <c r="AM144" s="584"/>
      <c r="AN144" s="583"/>
      <c r="AO144" s="581"/>
      <c r="AP144" s="583"/>
      <c r="AQ144" s="584"/>
      <c r="AR144" s="583"/>
      <c r="AS144" s="583"/>
      <c r="AT144" s="583"/>
      <c r="AU144" s="584"/>
      <c r="AV144" s="583"/>
      <c r="AW144" s="583"/>
      <c r="AX144" s="158"/>
      <c r="AY144" s="154"/>
      <c r="AZ144">
        <f ca="1">INDIRECT(ADDRESS(ROW()+1,COLUMN(Arbeitszeit!xDay),,,"Arbeitszeit"))</f>
        <v>2</v>
      </c>
    </row>
    <row r="145" spans="1:52">
      <c r="A145" s="523">
        <f>Arbeitszeit!A146</f>
        <v>42509</v>
      </c>
      <c r="B145" s="524">
        <f t="shared" si="8"/>
        <v>42509</v>
      </c>
      <c r="C145" s="191">
        <f t="shared" si="9"/>
        <v>21</v>
      </c>
      <c r="D145" s="190">
        <f t="shared" si="10"/>
        <v>42490</v>
      </c>
      <c r="E145" s="593">
        <f>Arbeitszeit!V146*24</f>
        <v>0</v>
      </c>
      <c r="F145" s="352">
        <f t="shared" si="11"/>
        <v>0</v>
      </c>
      <c r="G145" s="155">
        <f>IF(Arbeitszeit!F146=Urlaub,B_WorkTime*24,)</f>
        <v>0</v>
      </c>
      <c r="H145" s="153"/>
      <c r="I145" s="155">
        <f>IF(Arbeitszeit!F146=Krank,B_WorkTime*24,)</f>
        <v>0</v>
      </c>
      <c r="J145" s="153"/>
      <c r="K145" s="156"/>
      <c r="L145" s="157"/>
      <c r="M145" s="581"/>
      <c r="N145" s="582"/>
      <c r="O145" s="581"/>
      <c r="P145" s="582"/>
      <c r="Q145" s="581"/>
      <c r="R145" s="582"/>
      <c r="S145" s="581"/>
      <c r="T145" s="582"/>
      <c r="U145" s="581"/>
      <c r="V145" s="582"/>
      <c r="W145" s="581"/>
      <c r="X145" s="582"/>
      <c r="Y145" s="581"/>
      <c r="Z145" s="582"/>
      <c r="AA145" s="581"/>
      <c r="AB145" s="582"/>
      <c r="AC145" s="581"/>
      <c r="AD145" s="582"/>
      <c r="AE145" s="581"/>
      <c r="AF145" s="583"/>
      <c r="AG145" s="581"/>
      <c r="AH145" s="583"/>
      <c r="AI145" s="581"/>
      <c r="AJ145" s="583"/>
      <c r="AK145" s="581"/>
      <c r="AL145" s="583"/>
      <c r="AM145" s="584"/>
      <c r="AN145" s="583"/>
      <c r="AO145" s="581"/>
      <c r="AP145" s="583"/>
      <c r="AQ145" s="584"/>
      <c r="AR145" s="583"/>
      <c r="AS145" s="583"/>
      <c r="AT145" s="583"/>
      <c r="AU145" s="584"/>
      <c r="AV145" s="583"/>
      <c r="AW145" s="583"/>
      <c r="AX145" s="158"/>
      <c r="AY145" s="154"/>
      <c r="AZ145">
        <f ca="1">INDIRECT(ADDRESS(ROW()+1,COLUMN(Arbeitszeit!xDay),,,"Arbeitszeit"))</f>
        <v>3</v>
      </c>
    </row>
    <row r="146" spans="1:52">
      <c r="A146" s="523">
        <f>Arbeitszeit!A147</f>
        <v>42510</v>
      </c>
      <c r="B146" s="524">
        <f t="shared" si="8"/>
        <v>42510</v>
      </c>
      <c r="C146" s="191">
        <f t="shared" si="9"/>
        <v>21</v>
      </c>
      <c r="D146" s="190">
        <f t="shared" si="10"/>
        <v>42490</v>
      </c>
      <c r="E146" s="593">
        <f>Arbeitszeit!V147*24</f>
        <v>0</v>
      </c>
      <c r="F146" s="352">
        <f t="shared" si="11"/>
        <v>0</v>
      </c>
      <c r="G146" s="155">
        <f>IF(Arbeitszeit!F147=Urlaub,B_WorkTime*24,)</f>
        <v>0</v>
      </c>
      <c r="H146" s="153"/>
      <c r="I146" s="155">
        <f>IF(Arbeitszeit!F147=Krank,B_WorkTime*24,)</f>
        <v>0</v>
      </c>
      <c r="J146" s="153"/>
      <c r="K146" s="156"/>
      <c r="L146" s="157"/>
      <c r="M146" s="581"/>
      <c r="N146" s="582"/>
      <c r="O146" s="581"/>
      <c r="P146" s="582"/>
      <c r="Q146" s="581"/>
      <c r="R146" s="582"/>
      <c r="S146" s="581"/>
      <c r="T146" s="582"/>
      <c r="U146" s="581"/>
      <c r="V146" s="582"/>
      <c r="W146" s="581"/>
      <c r="X146" s="582"/>
      <c r="Y146" s="581"/>
      <c r="Z146" s="582"/>
      <c r="AA146" s="581"/>
      <c r="AB146" s="582"/>
      <c r="AC146" s="581"/>
      <c r="AD146" s="582"/>
      <c r="AE146" s="581"/>
      <c r="AF146" s="583"/>
      <c r="AG146" s="581"/>
      <c r="AH146" s="583"/>
      <c r="AI146" s="581"/>
      <c r="AJ146" s="583"/>
      <c r="AK146" s="581"/>
      <c r="AL146" s="583"/>
      <c r="AM146" s="584"/>
      <c r="AN146" s="583"/>
      <c r="AO146" s="581"/>
      <c r="AP146" s="583"/>
      <c r="AQ146" s="584"/>
      <c r="AR146" s="583"/>
      <c r="AS146" s="583"/>
      <c r="AT146" s="583"/>
      <c r="AU146" s="584"/>
      <c r="AV146" s="583"/>
      <c r="AW146" s="583"/>
      <c r="AX146" s="158"/>
      <c r="AY146" s="154"/>
      <c r="AZ146">
        <f ca="1">INDIRECT(ADDRESS(ROW()+1,COLUMN(Arbeitszeit!xDay),,,"Arbeitszeit"))</f>
        <v>8</v>
      </c>
    </row>
    <row r="147" spans="1:52">
      <c r="A147" s="523">
        <f>Arbeitszeit!A148</f>
        <v>42511</v>
      </c>
      <c r="B147" s="524">
        <f t="shared" si="8"/>
        <v>42511</v>
      </c>
      <c r="C147" s="191">
        <f t="shared" si="9"/>
        <v>21</v>
      </c>
      <c r="D147" s="190">
        <f t="shared" si="10"/>
        <v>42490</v>
      </c>
      <c r="E147" s="593">
        <f>Arbeitszeit!V148*24</f>
        <v>0</v>
      </c>
      <c r="F147" s="352">
        <f t="shared" si="11"/>
        <v>0</v>
      </c>
      <c r="G147" s="155">
        <f>IF(Arbeitszeit!F148=Urlaub,B_WorkTime*24,)</f>
        <v>0</v>
      </c>
      <c r="H147" s="153"/>
      <c r="I147" s="155">
        <f>IF(Arbeitszeit!F148=Krank,B_WorkTime*24,)</f>
        <v>0</v>
      </c>
      <c r="J147" s="153"/>
      <c r="K147" s="156"/>
      <c r="L147" s="157"/>
      <c r="M147" s="581"/>
      <c r="N147" s="582"/>
      <c r="O147" s="581"/>
      <c r="P147" s="582"/>
      <c r="Q147" s="581"/>
      <c r="R147" s="582"/>
      <c r="S147" s="581"/>
      <c r="T147" s="582"/>
      <c r="U147" s="581"/>
      <c r="V147" s="582"/>
      <c r="W147" s="581"/>
      <c r="X147" s="582"/>
      <c r="Y147" s="581"/>
      <c r="Z147" s="582"/>
      <c r="AA147" s="581"/>
      <c r="AB147" s="582"/>
      <c r="AC147" s="581"/>
      <c r="AD147" s="582"/>
      <c r="AE147" s="581"/>
      <c r="AF147" s="583"/>
      <c r="AG147" s="581"/>
      <c r="AH147" s="583"/>
      <c r="AI147" s="581"/>
      <c r="AJ147" s="583"/>
      <c r="AK147" s="581"/>
      <c r="AL147" s="583"/>
      <c r="AM147" s="584"/>
      <c r="AN147" s="583"/>
      <c r="AO147" s="581"/>
      <c r="AP147" s="583"/>
      <c r="AQ147" s="584"/>
      <c r="AR147" s="583"/>
      <c r="AS147" s="583"/>
      <c r="AT147" s="583"/>
      <c r="AU147" s="584"/>
      <c r="AV147" s="583"/>
      <c r="AW147" s="583"/>
      <c r="AX147" s="158"/>
      <c r="AY147" s="154"/>
      <c r="AZ147">
        <f ca="1">INDIRECT(ADDRESS(ROW()+1,COLUMN(Arbeitszeit!xDay),,,"Arbeitszeit"))</f>
        <v>5</v>
      </c>
    </row>
    <row r="148" spans="1:52">
      <c r="A148" s="523">
        <f>Arbeitszeit!A149</f>
        <v>42512</v>
      </c>
      <c r="B148" s="524">
        <f t="shared" si="8"/>
        <v>42512</v>
      </c>
      <c r="C148" s="191">
        <f t="shared" si="9"/>
        <v>21</v>
      </c>
      <c r="D148" s="190">
        <f t="shared" si="10"/>
        <v>42490</v>
      </c>
      <c r="E148" s="593">
        <f>Arbeitszeit!V149*24</f>
        <v>0</v>
      </c>
      <c r="F148" s="352">
        <f t="shared" si="11"/>
        <v>0</v>
      </c>
      <c r="G148" s="155">
        <f>IF(Arbeitszeit!F149=Urlaub,B_WorkTime*24,)</f>
        <v>0</v>
      </c>
      <c r="H148" s="153"/>
      <c r="I148" s="155">
        <f>IF(Arbeitszeit!F149=Krank,B_WorkTime*24,)</f>
        <v>0</v>
      </c>
      <c r="J148" s="153"/>
      <c r="K148" s="156"/>
      <c r="L148" s="157"/>
      <c r="M148" s="581"/>
      <c r="N148" s="582"/>
      <c r="O148" s="581"/>
      <c r="P148" s="582"/>
      <c r="Q148" s="581"/>
      <c r="R148" s="582"/>
      <c r="S148" s="581"/>
      <c r="T148" s="582"/>
      <c r="U148" s="581"/>
      <c r="V148" s="582"/>
      <c r="W148" s="581"/>
      <c r="X148" s="582"/>
      <c r="Y148" s="581"/>
      <c r="Z148" s="582"/>
      <c r="AA148" s="581"/>
      <c r="AB148" s="582"/>
      <c r="AC148" s="581"/>
      <c r="AD148" s="582"/>
      <c r="AE148" s="581"/>
      <c r="AF148" s="583"/>
      <c r="AG148" s="581"/>
      <c r="AH148" s="583"/>
      <c r="AI148" s="581"/>
      <c r="AJ148" s="583"/>
      <c r="AK148" s="581"/>
      <c r="AL148" s="583"/>
      <c r="AM148" s="584"/>
      <c r="AN148" s="583"/>
      <c r="AO148" s="581"/>
      <c r="AP148" s="583"/>
      <c r="AQ148" s="584"/>
      <c r="AR148" s="583"/>
      <c r="AS148" s="583"/>
      <c r="AT148" s="583"/>
      <c r="AU148" s="584"/>
      <c r="AV148" s="583"/>
      <c r="AW148" s="583"/>
      <c r="AX148" s="158"/>
      <c r="AY148" s="154"/>
      <c r="AZ148">
        <f ca="1">INDIRECT(ADDRESS(ROW()+1,COLUMN(Arbeitszeit!xDay),,,"Arbeitszeit"))</f>
        <v>6</v>
      </c>
    </row>
    <row r="149" spans="1:52">
      <c r="A149" s="523">
        <f>Arbeitszeit!A150</f>
        <v>42513</v>
      </c>
      <c r="B149" s="524">
        <f t="shared" si="8"/>
        <v>42513</v>
      </c>
      <c r="C149" s="191">
        <f t="shared" si="9"/>
        <v>21</v>
      </c>
      <c r="D149" s="190">
        <f t="shared" si="10"/>
        <v>42490</v>
      </c>
      <c r="E149" s="593">
        <f>Arbeitszeit!V150*24</f>
        <v>0</v>
      </c>
      <c r="F149" s="352">
        <f t="shared" si="11"/>
        <v>0</v>
      </c>
      <c r="G149" s="155">
        <f>IF(Arbeitszeit!F150=Urlaub,B_WorkTime*24,)</f>
        <v>0</v>
      </c>
      <c r="H149" s="153"/>
      <c r="I149" s="155">
        <f>IF(Arbeitszeit!F150=Krank,B_WorkTime*24,)</f>
        <v>0</v>
      </c>
      <c r="J149" s="153"/>
      <c r="K149" s="156"/>
      <c r="L149" s="157"/>
      <c r="M149" s="581"/>
      <c r="N149" s="582"/>
      <c r="O149" s="581"/>
      <c r="P149" s="582"/>
      <c r="Q149" s="581"/>
      <c r="R149" s="582"/>
      <c r="S149" s="581"/>
      <c r="T149" s="582"/>
      <c r="U149" s="581"/>
      <c r="V149" s="582"/>
      <c r="W149" s="581"/>
      <c r="X149" s="582"/>
      <c r="Y149" s="581"/>
      <c r="Z149" s="582"/>
      <c r="AA149" s="581"/>
      <c r="AB149" s="582"/>
      <c r="AC149" s="581"/>
      <c r="AD149" s="582"/>
      <c r="AE149" s="581"/>
      <c r="AF149" s="583"/>
      <c r="AG149" s="581"/>
      <c r="AH149" s="583"/>
      <c r="AI149" s="581"/>
      <c r="AJ149" s="583"/>
      <c r="AK149" s="581"/>
      <c r="AL149" s="583"/>
      <c r="AM149" s="584"/>
      <c r="AN149" s="583"/>
      <c r="AO149" s="581"/>
      <c r="AP149" s="583"/>
      <c r="AQ149" s="584"/>
      <c r="AR149" s="583"/>
      <c r="AS149" s="583"/>
      <c r="AT149" s="583"/>
      <c r="AU149" s="584"/>
      <c r="AV149" s="583"/>
      <c r="AW149" s="583"/>
      <c r="AX149" s="158"/>
      <c r="AY149" s="154"/>
      <c r="AZ149">
        <f ca="1">INDIRECT(ADDRESS(ROW()+1,COLUMN(Arbeitszeit!xDay),,,"Arbeitszeit"))</f>
        <v>7</v>
      </c>
    </row>
    <row r="150" spans="1:52">
      <c r="A150" s="523">
        <f>Arbeitszeit!A151</f>
        <v>42514</v>
      </c>
      <c r="B150" s="524">
        <f t="shared" si="8"/>
        <v>42514</v>
      </c>
      <c r="C150" s="191">
        <f t="shared" si="9"/>
        <v>22</v>
      </c>
      <c r="D150" s="190">
        <f t="shared" si="10"/>
        <v>42490</v>
      </c>
      <c r="E150" s="593">
        <f>Arbeitszeit!V151*24</f>
        <v>0</v>
      </c>
      <c r="F150" s="352">
        <f t="shared" si="11"/>
        <v>0</v>
      </c>
      <c r="G150" s="155">
        <f>IF(Arbeitszeit!F151=Urlaub,B_WorkTime*24,)</f>
        <v>0</v>
      </c>
      <c r="H150" s="153"/>
      <c r="I150" s="155">
        <f>IF(Arbeitszeit!F151=Krank,B_WorkTime*24,)</f>
        <v>0</v>
      </c>
      <c r="J150" s="153"/>
      <c r="K150" s="156"/>
      <c r="L150" s="157"/>
      <c r="M150" s="581"/>
      <c r="N150" s="582"/>
      <c r="O150" s="581"/>
      <c r="P150" s="582"/>
      <c r="Q150" s="581"/>
      <c r="R150" s="582"/>
      <c r="S150" s="581"/>
      <c r="T150" s="582"/>
      <c r="U150" s="581"/>
      <c r="V150" s="582"/>
      <c r="W150" s="581"/>
      <c r="X150" s="582"/>
      <c r="Y150" s="581"/>
      <c r="Z150" s="582"/>
      <c r="AA150" s="581"/>
      <c r="AB150" s="582"/>
      <c r="AC150" s="581"/>
      <c r="AD150" s="582"/>
      <c r="AE150" s="581"/>
      <c r="AF150" s="583"/>
      <c r="AG150" s="581"/>
      <c r="AH150" s="583"/>
      <c r="AI150" s="581"/>
      <c r="AJ150" s="583"/>
      <c r="AK150" s="581"/>
      <c r="AL150" s="583"/>
      <c r="AM150" s="584"/>
      <c r="AN150" s="583"/>
      <c r="AO150" s="581"/>
      <c r="AP150" s="583"/>
      <c r="AQ150" s="584"/>
      <c r="AR150" s="583"/>
      <c r="AS150" s="583"/>
      <c r="AT150" s="583"/>
      <c r="AU150" s="584"/>
      <c r="AV150" s="583"/>
      <c r="AW150" s="583"/>
      <c r="AX150" s="158"/>
      <c r="AY150" s="154"/>
      <c r="AZ150">
        <f ca="1">INDIRECT(ADDRESS(ROW()+1,COLUMN(Arbeitszeit!xDay),,,"Arbeitszeit"))</f>
        <v>1</v>
      </c>
    </row>
    <row r="151" spans="1:52">
      <c r="A151" s="523">
        <f>Arbeitszeit!A152</f>
        <v>42515</v>
      </c>
      <c r="B151" s="524">
        <f t="shared" si="8"/>
        <v>42515</v>
      </c>
      <c r="C151" s="191">
        <f t="shared" si="9"/>
        <v>22</v>
      </c>
      <c r="D151" s="190">
        <f t="shared" si="10"/>
        <v>42490</v>
      </c>
      <c r="E151" s="593">
        <f>Arbeitszeit!V152*24</f>
        <v>0</v>
      </c>
      <c r="F151" s="352">
        <f t="shared" si="11"/>
        <v>0</v>
      </c>
      <c r="G151" s="155">
        <f>IF(Arbeitszeit!F152=Urlaub,B_WorkTime*24,)</f>
        <v>0</v>
      </c>
      <c r="H151" s="153"/>
      <c r="I151" s="155">
        <f>IF(Arbeitszeit!F152=Krank,B_WorkTime*24,)</f>
        <v>0</v>
      </c>
      <c r="J151" s="153"/>
      <c r="K151" s="156"/>
      <c r="L151" s="157"/>
      <c r="M151" s="581"/>
      <c r="N151" s="582"/>
      <c r="O151" s="581"/>
      <c r="P151" s="582"/>
      <c r="Q151" s="581"/>
      <c r="R151" s="582"/>
      <c r="S151" s="581"/>
      <c r="T151" s="582"/>
      <c r="U151" s="581"/>
      <c r="V151" s="582"/>
      <c r="W151" s="581"/>
      <c r="X151" s="582"/>
      <c r="Y151" s="581"/>
      <c r="Z151" s="582"/>
      <c r="AA151" s="581"/>
      <c r="AB151" s="582"/>
      <c r="AC151" s="581"/>
      <c r="AD151" s="582"/>
      <c r="AE151" s="581"/>
      <c r="AF151" s="583"/>
      <c r="AG151" s="581"/>
      <c r="AH151" s="583"/>
      <c r="AI151" s="581"/>
      <c r="AJ151" s="583"/>
      <c r="AK151" s="581"/>
      <c r="AL151" s="583"/>
      <c r="AM151" s="584"/>
      <c r="AN151" s="583"/>
      <c r="AO151" s="581"/>
      <c r="AP151" s="583"/>
      <c r="AQ151" s="584"/>
      <c r="AR151" s="583"/>
      <c r="AS151" s="583"/>
      <c r="AT151" s="583"/>
      <c r="AU151" s="584"/>
      <c r="AV151" s="583"/>
      <c r="AW151" s="583"/>
      <c r="AX151" s="158"/>
      <c r="AY151" s="154"/>
      <c r="AZ151">
        <f ca="1">INDIRECT(ADDRESS(ROW()+1,COLUMN(Arbeitszeit!xDay),,,"Arbeitszeit"))</f>
        <v>2</v>
      </c>
    </row>
    <row r="152" spans="1:52">
      <c r="A152" s="523">
        <f>Arbeitszeit!A153</f>
        <v>42516</v>
      </c>
      <c r="B152" s="524">
        <f t="shared" si="8"/>
        <v>42516</v>
      </c>
      <c r="C152" s="191">
        <f t="shared" si="9"/>
        <v>22</v>
      </c>
      <c r="D152" s="190">
        <f t="shared" si="10"/>
        <v>42490</v>
      </c>
      <c r="E152" s="593">
        <f>Arbeitszeit!V153*24</f>
        <v>0</v>
      </c>
      <c r="F152" s="352">
        <f t="shared" si="11"/>
        <v>0</v>
      </c>
      <c r="G152" s="155">
        <f>IF(Arbeitszeit!F153=Urlaub,B_WorkTime*24,)</f>
        <v>0</v>
      </c>
      <c r="H152" s="153"/>
      <c r="I152" s="155">
        <f>IF(Arbeitszeit!F153=Krank,B_WorkTime*24,)</f>
        <v>0</v>
      </c>
      <c r="J152" s="153"/>
      <c r="K152" s="156"/>
      <c r="L152" s="157"/>
      <c r="M152" s="581"/>
      <c r="N152" s="582"/>
      <c r="O152" s="581"/>
      <c r="P152" s="582"/>
      <c r="Q152" s="581"/>
      <c r="R152" s="582"/>
      <c r="S152" s="581"/>
      <c r="T152" s="582"/>
      <c r="U152" s="581"/>
      <c r="V152" s="582"/>
      <c r="W152" s="581"/>
      <c r="X152" s="582"/>
      <c r="Y152" s="581"/>
      <c r="Z152" s="582"/>
      <c r="AA152" s="581"/>
      <c r="AB152" s="582"/>
      <c r="AC152" s="581"/>
      <c r="AD152" s="582"/>
      <c r="AE152" s="581"/>
      <c r="AF152" s="583"/>
      <c r="AG152" s="581"/>
      <c r="AH152" s="583"/>
      <c r="AI152" s="581"/>
      <c r="AJ152" s="583"/>
      <c r="AK152" s="581"/>
      <c r="AL152" s="583"/>
      <c r="AM152" s="584"/>
      <c r="AN152" s="583"/>
      <c r="AO152" s="581"/>
      <c r="AP152" s="583"/>
      <c r="AQ152" s="584"/>
      <c r="AR152" s="583"/>
      <c r="AS152" s="583"/>
      <c r="AT152" s="583"/>
      <c r="AU152" s="584"/>
      <c r="AV152" s="583"/>
      <c r="AW152" s="583"/>
      <c r="AX152" s="158"/>
      <c r="AY152" s="154"/>
      <c r="AZ152">
        <f ca="1">INDIRECT(ADDRESS(ROW()+1,COLUMN(Arbeitszeit!xDay),,,"Arbeitszeit"))</f>
        <v>3</v>
      </c>
    </row>
    <row r="153" spans="1:52">
      <c r="A153" s="523">
        <f>Arbeitszeit!A154</f>
        <v>42517</v>
      </c>
      <c r="B153" s="524">
        <f t="shared" si="8"/>
        <v>42517</v>
      </c>
      <c r="C153" s="191">
        <f t="shared" si="9"/>
        <v>22</v>
      </c>
      <c r="D153" s="190">
        <f t="shared" si="10"/>
        <v>42490</v>
      </c>
      <c r="E153" s="593">
        <f>Arbeitszeit!V154*24</f>
        <v>0</v>
      </c>
      <c r="F153" s="352">
        <f t="shared" si="11"/>
        <v>0</v>
      </c>
      <c r="G153" s="155">
        <f>IF(Arbeitszeit!F154=Urlaub,B_WorkTime*24,)</f>
        <v>0</v>
      </c>
      <c r="H153" s="153"/>
      <c r="I153" s="155">
        <f>IF(Arbeitszeit!F154=Krank,B_WorkTime*24,)</f>
        <v>0</v>
      </c>
      <c r="J153" s="153"/>
      <c r="K153" s="156"/>
      <c r="L153" s="157"/>
      <c r="M153" s="581"/>
      <c r="N153" s="582"/>
      <c r="O153" s="581"/>
      <c r="P153" s="582"/>
      <c r="Q153" s="581"/>
      <c r="R153" s="582"/>
      <c r="S153" s="581"/>
      <c r="T153" s="582"/>
      <c r="U153" s="581"/>
      <c r="V153" s="582"/>
      <c r="W153" s="581"/>
      <c r="X153" s="582"/>
      <c r="Y153" s="581"/>
      <c r="Z153" s="582"/>
      <c r="AA153" s="581"/>
      <c r="AB153" s="582"/>
      <c r="AC153" s="581"/>
      <c r="AD153" s="582"/>
      <c r="AE153" s="581"/>
      <c r="AF153" s="583"/>
      <c r="AG153" s="581"/>
      <c r="AH153" s="583"/>
      <c r="AI153" s="581"/>
      <c r="AJ153" s="583"/>
      <c r="AK153" s="581"/>
      <c r="AL153" s="583"/>
      <c r="AM153" s="584"/>
      <c r="AN153" s="583"/>
      <c r="AO153" s="581"/>
      <c r="AP153" s="583"/>
      <c r="AQ153" s="584"/>
      <c r="AR153" s="583"/>
      <c r="AS153" s="583"/>
      <c r="AT153" s="583"/>
      <c r="AU153" s="584"/>
      <c r="AV153" s="583"/>
      <c r="AW153" s="583"/>
      <c r="AX153" s="158"/>
      <c r="AY153" s="154"/>
      <c r="AZ153">
        <f ca="1">INDIRECT(ADDRESS(ROW()+1,COLUMN(Arbeitszeit!xDay),,,"Arbeitszeit"))</f>
        <v>4</v>
      </c>
    </row>
    <row r="154" spans="1:52">
      <c r="A154" s="523">
        <f>Arbeitszeit!A155</f>
        <v>42518</v>
      </c>
      <c r="B154" s="524">
        <f t="shared" si="8"/>
        <v>42518</v>
      </c>
      <c r="C154" s="191">
        <f t="shared" si="9"/>
        <v>22</v>
      </c>
      <c r="D154" s="190">
        <f t="shared" si="10"/>
        <v>42490</v>
      </c>
      <c r="E154" s="593">
        <f>Arbeitszeit!V155*24</f>
        <v>0</v>
      </c>
      <c r="F154" s="352">
        <f t="shared" si="11"/>
        <v>0</v>
      </c>
      <c r="G154" s="155">
        <f>IF(Arbeitszeit!F155=Urlaub,B_WorkTime*24,)</f>
        <v>0</v>
      </c>
      <c r="H154" s="153"/>
      <c r="I154" s="155">
        <f>IF(Arbeitszeit!F155=Krank,B_WorkTime*24,)</f>
        <v>0</v>
      </c>
      <c r="J154" s="153"/>
      <c r="K154" s="156"/>
      <c r="L154" s="157"/>
      <c r="M154" s="581"/>
      <c r="N154" s="582"/>
      <c r="O154" s="581"/>
      <c r="P154" s="582"/>
      <c r="Q154" s="581"/>
      <c r="R154" s="582"/>
      <c r="S154" s="581"/>
      <c r="T154" s="582"/>
      <c r="U154" s="581"/>
      <c r="V154" s="582"/>
      <c r="W154" s="581"/>
      <c r="X154" s="582"/>
      <c r="Y154" s="581"/>
      <c r="Z154" s="582"/>
      <c r="AA154" s="581"/>
      <c r="AB154" s="582"/>
      <c r="AC154" s="581"/>
      <c r="AD154" s="582"/>
      <c r="AE154" s="581"/>
      <c r="AF154" s="583"/>
      <c r="AG154" s="581"/>
      <c r="AH154" s="583"/>
      <c r="AI154" s="581"/>
      <c r="AJ154" s="583"/>
      <c r="AK154" s="581"/>
      <c r="AL154" s="583"/>
      <c r="AM154" s="584"/>
      <c r="AN154" s="583"/>
      <c r="AO154" s="581"/>
      <c r="AP154" s="583"/>
      <c r="AQ154" s="584"/>
      <c r="AR154" s="583"/>
      <c r="AS154" s="583"/>
      <c r="AT154" s="583"/>
      <c r="AU154" s="584"/>
      <c r="AV154" s="583"/>
      <c r="AW154" s="583"/>
      <c r="AX154" s="158"/>
      <c r="AY154" s="154"/>
      <c r="AZ154">
        <f ca="1">INDIRECT(ADDRESS(ROW()+1,COLUMN(Arbeitszeit!xDay),,,"Arbeitszeit"))</f>
        <v>5</v>
      </c>
    </row>
    <row r="155" spans="1:52">
      <c r="A155" s="523">
        <f>Arbeitszeit!A156</f>
        <v>42519</v>
      </c>
      <c r="B155" s="524">
        <f t="shared" si="8"/>
        <v>42519</v>
      </c>
      <c r="C155" s="191">
        <f t="shared" si="9"/>
        <v>22</v>
      </c>
      <c r="D155" s="190">
        <f t="shared" si="10"/>
        <v>42490</v>
      </c>
      <c r="E155" s="593">
        <f>Arbeitszeit!V156*24</f>
        <v>0</v>
      </c>
      <c r="F155" s="352">
        <f t="shared" si="11"/>
        <v>0</v>
      </c>
      <c r="G155" s="155">
        <f>IF(Arbeitszeit!F156=Urlaub,B_WorkTime*24,)</f>
        <v>0</v>
      </c>
      <c r="H155" s="153"/>
      <c r="I155" s="155">
        <f>IF(Arbeitszeit!F156=Krank,B_WorkTime*24,)</f>
        <v>0</v>
      </c>
      <c r="J155" s="153"/>
      <c r="K155" s="156"/>
      <c r="L155" s="157"/>
      <c r="M155" s="581"/>
      <c r="N155" s="582"/>
      <c r="O155" s="581"/>
      <c r="P155" s="582"/>
      <c r="Q155" s="581"/>
      <c r="R155" s="582"/>
      <c r="S155" s="581"/>
      <c r="T155" s="582"/>
      <c r="U155" s="581"/>
      <c r="V155" s="582"/>
      <c r="W155" s="581"/>
      <c r="X155" s="582"/>
      <c r="Y155" s="581"/>
      <c r="Z155" s="582"/>
      <c r="AA155" s="581"/>
      <c r="AB155" s="582"/>
      <c r="AC155" s="581"/>
      <c r="AD155" s="582"/>
      <c r="AE155" s="581"/>
      <c r="AF155" s="583"/>
      <c r="AG155" s="581"/>
      <c r="AH155" s="583"/>
      <c r="AI155" s="581"/>
      <c r="AJ155" s="583"/>
      <c r="AK155" s="581"/>
      <c r="AL155" s="583"/>
      <c r="AM155" s="584"/>
      <c r="AN155" s="583"/>
      <c r="AO155" s="581"/>
      <c r="AP155" s="583"/>
      <c r="AQ155" s="584"/>
      <c r="AR155" s="583"/>
      <c r="AS155" s="583"/>
      <c r="AT155" s="583"/>
      <c r="AU155" s="584"/>
      <c r="AV155" s="583"/>
      <c r="AW155" s="583"/>
      <c r="AX155" s="158"/>
      <c r="AY155" s="154"/>
      <c r="AZ155">
        <f ca="1">INDIRECT(ADDRESS(ROW()+1,COLUMN(Arbeitszeit!xDay),,,"Arbeitszeit"))</f>
        <v>6</v>
      </c>
    </row>
    <row r="156" spans="1:52">
      <c r="A156" s="523">
        <f>Arbeitszeit!A157</f>
        <v>42520</v>
      </c>
      <c r="B156" s="524">
        <f t="shared" si="8"/>
        <v>42520</v>
      </c>
      <c r="C156" s="191">
        <f t="shared" si="9"/>
        <v>22</v>
      </c>
      <c r="D156" s="190">
        <f t="shared" si="10"/>
        <v>42490</v>
      </c>
      <c r="E156" s="593">
        <f>Arbeitszeit!V157*24</f>
        <v>0</v>
      </c>
      <c r="F156" s="352">
        <f t="shared" si="11"/>
        <v>0</v>
      </c>
      <c r="G156" s="155">
        <f>IF(Arbeitszeit!F157=Urlaub,B_WorkTime*24,)</f>
        <v>0</v>
      </c>
      <c r="H156" s="153"/>
      <c r="I156" s="155">
        <f>IF(Arbeitszeit!F157=Krank,B_WorkTime*24,)</f>
        <v>0</v>
      </c>
      <c r="J156" s="153"/>
      <c r="K156" s="156"/>
      <c r="L156" s="157"/>
      <c r="M156" s="581"/>
      <c r="N156" s="582"/>
      <c r="O156" s="581"/>
      <c r="P156" s="582"/>
      <c r="Q156" s="581"/>
      <c r="R156" s="582"/>
      <c r="S156" s="581"/>
      <c r="T156" s="582"/>
      <c r="U156" s="581"/>
      <c r="V156" s="582"/>
      <c r="W156" s="581"/>
      <c r="X156" s="582"/>
      <c r="Y156" s="581"/>
      <c r="Z156" s="582"/>
      <c r="AA156" s="581"/>
      <c r="AB156" s="582"/>
      <c r="AC156" s="581"/>
      <c r="AD156" s="582"/>
      <c r="AE156" s="581"/>
      <c r="AF156" s="583"/>
      <c r="AG156" s="581"/>
      <c r="AH156" s="583"/>
      <c r="AI156" s="581"/>
      <c r="AJ156" s="583"/>
      <c r="AK156" s="581"/>
      <c r="AL156" s="583"/>
      <c r="AM156" s="584"/>
      <c r="AN156" s="583"/>
      <c r="AO156" s="581"/>
      <c r="AP156" s="583"/>
      <c r="AQ156" s="584"/>
      <c r="AR156" s="583"/>
      <c r="AS156" s="583"/>
      <c r="AT156" s="583"/>
      <c r="AU156" s="584"/>
      <c r="AV156" s="583"/>
      <c r="AW156" s="583"/>
      <c r="AX156" s="158"/>
      <c r="AY156" s="154"/>
      <c r="AZ156">
        <f ca="1">INDIRECT(ADDRESS(ROW()+1,COLUMN(Arbeitszeit!xDay),,,"Arbeitszeit"))</f>
        <v>8</v>
      </c>
    </row>
    <row r="157" spans="1:52">
      <c r="A157" s="523">
        <f>Arbeitszeit!A158</f>
        <v>42521</v>
      </c>
      <c r="B157" s="524">
        <f t="shared" si="8"/>
        <v>42521</v>
      </c>
      <c r="C157" s="191">
        <f t="shared" si="9"/>
        <v>23</v>
      </c>
      <c r="D157" s="190">
        <f t="shared" si="10"/>
        <v>42521</v>
      </c>
      <c r="E157" s="593">
        <f>Arbeitszeit!V158*24</f>
        <v>0</v>
      </c>
      <c r="F157" s="352">
        <f t="shared" si="11"/>
        <v>0</v>
      </c>
      <c r="G157" s="155">
        <f>IF(Arbeitszeit!F158=Urlaub,B_WorkTime*24,)</f>
        <v>0</v>
      </c>
      <c r="H157" s="153"/>
      <c r="I157" s="155">
        <f>IF(Arbeitszeit!F158=Krank,B_WorkTime*24,)</f>
        <v>0</v>
      </c>
      <c r="J157" s="153"/>
      <c r="K157" s="156"/>
      <c r="L157" s="157"/>
      <c r="M157" s="581"/>
      <c r="N157" s="582"/>
      <c r="O157" s="581"/>
      <c r="P157" s="582"/>
      <c r="Q157" s="581"/>
      <c r="R157" s="582"/>
      <c r="S157" s="581"/>
      <c r="T157" s="582"/>
      <c r="U157" s="581"/>
      <c r="V157" s="582"/>
      <c r="W157" s="581"/>
      <c r="X157" s="582"/>
      <c r="Y157" s="581"/>
      <c r="Z157" s="582"/>
      <c r="AA157" s="581"/>
      <c r="AB157" s="582"/>
      <c r="AC157" s="581"/>
      <c r="AD157" s="582"/>
      <c r="AE157" s="581"/>
      <c r="AF157" s="583"/>
      <c r="AG157" s="581"/>
      <c r="AH157" s="583"/>
      <c r="AI157" s="581"/>
      <c r="AJ157" s="583"/>
      <c r="AK157" s="581"/>
      <c r="AL157" s="583"/>
      <c r="AM157" s="584"/>
      <c r="AN157" s="583"/>
      <c r="AO157" s="581"/>
      <c r="AP157" s="583"/>
      <c r="AQ157" s="584"/>
      <c r="AR157" s="583"/>
      <c r="AS157" s="583"/>
      <c r="AT157" s="583"/>
      <c r="AU157" s="584"/>
      <c r="AV157" s="583"/>
      <c r="AW157" s="583"/>
      <c r="AX157" s="158"/>
      <c r="AY157" s="154"/>
      <c r="AZ157">
        <f ca="1">INDIRECT(ADDRESS(ROW()+1,COLUMN(Arbeitszeit!xDay),,,"Arbeitszeit"))</f>
        <v>8</v>
      </c>
    </row>
    <row r="158" spans="1:52">
      <c r="A158" s="523">
        <f>Arbeitszeit!A159</f>
        <v>42522</v>
      </c>
      <c r="B158" s="524">
        <f t="shared" si="8"/>
        <v>42522</v>
      </c>
      <c r="C158" s="191">
        <f t="shared" si="9"/>
        <v>23</v>
      </c>
      <c r="D158" s="190">
        <f t="shared" si="10"/>
        <v>42521</v>
      </c>
      <c r="E158" s="593">
        <f>Arbeitszeit!V159*24</f>
        <v>0</v>
      </c>
      <c r="F158" s="352">
        <f t="shared" si="11"/>
        <v>0</v>
      </c>
      <c r="G158" s="155">
        <f>IF(Arbeitszeit!F159=Urlaub,B_WorkTime*24,)</f>
        <v>0</v>
      </c>
      <c r="H158" s="153"/>
      <c r="I158" s="155">
        <f>IF(Arbeitszeit!F159=Krank,B_WorkTime*24,)</f>
        <v>0</v>
      </c>
      <c r="J158" s="153"/>
      <c r="K158" s="156"/>
      <c r="L158" s="157"/>
      <c r="M158" s="581"/>
      <c r="N158" s="582"/>
      <c r="O158" s="581"/>
      <c r="P158" s="582"/>
      <c r="Q158" s="581"/>
      <c r="R158" s="582"/>
      <c r="S158" s="581"/>
      <c r="T158" s="582"/>
      <c r="U158" s="581"/>
      <c r="V158" s="582"/>
      <c r="W158" s="581"/>
      <c r="X158" s="582"/>
      <c r="Y158" s="581"/>
      <c r="Z158" s="582"/>
      <c r="AA158" s="581"/>
      <c r="AB158" s="582"/>
      <c r="AC158" s="581"/>
      <c r="AD158" s="582"/>
      <c r="AE158" s="581"/>
      <c r="AF158" s="583"/>
      <c r="AG158" s="581"/>
      <c r="AH158" s="583"/>
      <c r="AI158" s="581"/>
      <c r="AJ158" s="583"/>
      <c r="AK158" s="581"/>
      <c r="AL158" s="583"/>
      <c r="AM158" s="584"/>
      <c r="AN158" s="583"/>
      <c r="AO158" s="581"/>
      <c r="AP158" s="583"/>
      <c r="AQ158" s="584"/>
      <c r="AR158" s="583"/>
      <c r="AS158" s="583"/>
      <c r="AT158" s="583"/>
      <c r="AU158" s="584"/>
      <c r="AV158" s="583"/>
      <c r="AW158" s="583"/>
      <c r="AX158" s="158"/>
      <c r="AY158" s="154"/>
      <c r="AZ158">
        <f ca="1">INDIRECT(ADDRESS(ROW()+1,COLUMN(Arbeitszeit!xDay),,,"Arbeitszeit"))</f>
        <v>2</v>
      </c>
    </row>
    <row r="159" spans="1:52">
      <c r="A159" s="523">
        <f>Arbeitszeit!A160</f>
        <v>42523</v>
      </c>
      <c r="B159" s="524">
        <f t="shared" si="8"/>
        <v>42523</v>
      </c>
      <c r="C159" s="191">
        <f t="shared" si="9"/>
        <v>23</v>
      </c>
      <c r="D159" s="190">
        <f t="shared" si="10"/>
        <v>42521</v>
      </c>
      <c r="E159" s="593">
        <f>Arbeitszeit!V160*24</f>
        <v>0</v>
      </c>
      <c r="F159" s="352">
        <f t="shared" si="11"/>
        <v>0</v>
      </c>
      <c r="G159" s="155">
        <f>IF(Arbeitszeit!F160=Urlaub,B_WorkTime*24,)</f>
        <v>0</v>
      </c>
      <c r="H159" s="153"/>
      <c r="I159" s="155">
        <f>IF(Arbeitszeit!F160=Krank,B_WorkTime*24,)</f>
        <v>0</v>
      </c>
      <c r="J159" s="153"/>
      <c r="K159" s="156"/>
      <c r="L159" s="157"/>
      <c r="M159" s="581"/>
      <c r="N159" s="582"/>
      <c r="O159" s="581"/>
      <c r="P159" s="582"/>
      <c r="Q159" s="581"/>
      <c r="R159" s="582"/>
      <c r="S159" s="581"/>
      <c r="T159" s="582"/>
      <c r="U159" s="581"/>
      <c r="V159" s="582"/>
      <c r="W159" s="581"/>
      <c r="X159" s="582"/>
      <c r="Y159" s="581"/>
      <c r="Z159" s="582"/>
      <c r="AA159" s="581"/>
      <c r="AB159" s="582"/>
      <c r="AC159" s="581"/>
      <c r="AD159" s="582"/>
      <c r="AE159" s="581"/>
      <c r="AF159" s="583"/>
      <c r="AG159" s="581"/>
      <c r="AH159" s="583"/>
      <c r="AI159" s="581"/>
      <c r="AJ159" s="583"/>
      <c r="AK159" s="581"/>
      <c r="AL159" s="583"/>
      <c r="AM159" s="584"/>
      <c r="AN159" s="583"/>
      <c r="AO159" s="581"/>
      <c r="AP159" s="583"/>
      <c r="AQ159" s="584"/>
      <c r="AR159" s="583"/>
      <c r="AS159" s="583"/>
      <c r="AT159" s="583"/>
      <c r="AU159" s="584"/>
      <c r="AV159" s="583"/>
      <c r="AW159" s="583"/>
      <c r="AX159" s="158"/>
      <c r="AY159" s="154"/>
      <c r="AZ159">
        <f ca="1">INDIRECT(ADDRESS(ROW()+1,COLUMN(Arbeitszeit!xDay),,,"Arbeitszeit"))</f>
        <v>3</v>
      </c>
    </row>
    <row r="160" spans="1:52">
      <c r="A160" s="523">
        <f>Arbeitszeit!A161</f>
        <v>42524</v>
      </c>
      <c r="B160" s="524">
        <f t="shared" si="8"/>
        <v>42524</v>
      </c>
      <c r="C160" s="191">
        <f t="shared" si="9"/>
        <v>23</v>
      </c>
      <c r="D160" s="190">
        <f t="shared" si="10"/>
        <v>42521</v>
      </c>
      <c r="E160" s="593">
        <f>Arbeitszeit!V161*24</f>
        <v>0</v>
      </c>
      <c r="F160" s="352">
        <f t="shared" si="11"/>
        <v>0</v>
      </c>
      <c r="G160" s="155">
        <f>IF(Arbeitszeit!F161=Urlaub,B_WorkTime*24,)</f>
        <v>0</v>
      </c>
      <c r="H160" s="153"/>
      <c r="I160" s="155">
        <f>IF(Arbeitszeit!F161=Krank,B_WorkTime*24,)</f>
        <v>0</v>
      </c>
      <c r="J160" s="153"/>
      <c r="K160" s="156"/>
      <c r="L160" s="157"/>
      <c r="M160" s="581"/>
      <c r="N160" s="582"/>
      <c r="O160" s="581"/>
      <c r="P160" s="582"/>
      <c r="Q160" s="581"/>
      <c r="R160" s="582"/>
      <c r="S160" s="581"/>
      <c r="T160" s="582"/>
      <c r="U160" s="581"/>
      <c r="V160" s="582"/>
      <c r="W160" s="581"/>
      <c r="X160" s="582"/>
      <c r="Y160" s="581"/>
      <c r="Z160" s="582"/>
      <c r="AA160" s="581"/>
      <c r="AB160" s="582"/>
      <c r="AC160" s="581"/>
      <c r="AD160" s="582"/>
      <c r="AE160" s="581"/>
      <c r="AF160" s="583"/>
      <c r="AG160" s="581"/>
      <c r="AH160" s="583"/>
      <c r="AI160" s="581"/>
      <c r="AJ160" s="583"/>
      <c r="AK160" s="581"/>
      <c r="AL160" s="583"/>
      <c r="AM160" s="584"/>
      <c r="AN160" s="583"/>
      <c r="AO160" s="581"/>
      <c r="AP160" s="583"/>
      <c r="AQ160" s="584"/>
      <c r="AR160" s="583"/>
      <c r="AS160" s="583"/>
      <c r="AT160" s="583"/>
      <c r="AU160" s="584"/>
      <c r="AV160" s="583"/>
      <c r="AW160" s="583"/>
      <c r="AX160" s="158"/>
      <c r="AY160" s="154"/>
      <c r="AZ160">
        <f ca="1">INDIRECT(ADDRESS(ROW()+1,COLUMN(Arbeitszeit!xDay),,,"Arbeitszeit"))</f>
        <v>4</v>
      </c>
    </row>
    <row r="161" spans="1:52">
      <c r="A161" s="523">
        <f>Arbeitszeit!A162</f>
        <v>42525</v>
      </c>
      <c r="B161" s="524">
        <f t="shared" si="8"/>
        <v>42525</v>
      </c>
      <c r="C161" s="191">
        <f t="shared" si="9"/>
        <v>23</v>
      </c>
      <c r="D161" s="190">
        <f t="shared" si="10"/>
        <v>42521</v>
      </c>
      <c r="E161" s="593">
        <f>Arbeitszeit!V162*24</f>
        <v>0</v>
      </c>
      <c r="F161" s="352">
        <f t="shared" si="11"/>
        <v>0</v>
      </c>
      <c r="G161" s="155">
        <f>IF(Arbeitszeit!F162=Urlaub,B_WorkTime*24,)</f>
        <v>0</v>
      </c>
      <c r="H161" s="153"/>
      <c r="I161" s="155">
        <f>IF(Arbeitszeit!F162=Krank,B_WorkTime*24,)</f>
        <v>0</v>
      </c>
      <c r="J161" s="153"/>
      <c r="K161" s="156"/>
      <c r="L161" s="157"/>
      <c r="M161" s="581"/>
      <c r="N161" s="582"/>
      <c r="O161" s="581"/>
      <c r="P161" s="582"/>
      <c r="Q161" s="581"/>
      <c r="R161" s="582"/>
      <c r="S161" s="581"/>
      <c r="T161" s="582"/>
      <c r="U161" s="581"/>
      <c r="V161" s="582"/>
      <c r="W161" s="581"/>
      <c r="X161" s="582"/>
      <c r="Y161" s="581"/>
      <c r="Z161" s="582"/>
      <c r="AA161" s="581"/>
      <c r="AB161" s="582"/>
      <c r="AC161" s="581"/>
      <c r="AD161" s="582"/>
      <c r="AE161" s="581"/>
      <c r="AF161" s="583"/>
      <c r="AG161" s="581"/>
      <c r="AH161" s="583"/>
      <c r="AI161" s="581"/>
      <c r="AJ161" s="583"/>
      <c r="AK161" s="581"/>
      <c r="AL161" s="583"/>
      <c r="AM161" s="584"/>
      <c r="AN161" s="583"/>
      <c r="AO161" s="581"/>
      <c r="AP161" s="583"/>
      <c r="AQ161" s="584"/>
      <c r="AR161" s="583"/>
      <c r="AS161" s="583"/>
      <c r="AT161" s="583"/>
      <c r="AU161" s="584"/>
      <c r="AV161" s="583"/>
      <c r="AW161" s="583"/>
      <c r="AX161" s="158"/>
      <c r="AY161" s="154"/>
      <c r="AZ161">
        <f ca="1">INDIRECT(ADDRESS(ROW()+1,COLUMN(Arbeitszeit!xDay),,,"Arbeitszeit"))</f>
        <v>5</v>
      </c>
    </row>
    <row r="162" spans="1:52">
      <c r="A162" s="523">
        <f>Arbeitszeit!A163</f>
        <v>42526</v>
      </c>
      <c r="B162" s="524">
        <f t="shared" si="8"/>
        <v>42526</v>
      </c>
      <c r="C162" s="191">
        <f t="shared" si="9"/>
        <v>23</v>
      </c>
      <c r="D162" s="190">
        <f t="shared" si="10"/>
        <v>42521</v>
      </c>
      <c r="E162" s="593">
        <f>Arbeitszeit!V163*24</f>
        <v>0</v>
      </c>
      <c r="F162" s="352">
        <f t="shared" si="11"/>
        <v>0</v>
      </c>
      <c r="G162" s="155">
        <f>IF(Arbeitszeit!F163=Urlaub,B_WorkTime*24,)</f>
        <v>0</v>
      </c>
      <c r="H162" s="153"/>
      <c r="I162" s="155">
        <f>IF(Arbeitszeit!F163=Krank,B_WorkTime*24,)</f>
        <v>0</v>
      </c>
      <c r="J162" s="153"/>
      <c r="K162" s="156"/>
      <c r="L162" s="157"/>
      <c r="M162" s="581"/>
      <c r="N162" s="582"/>
      <c r="O162" s="581"/>
      <c r="P162" s="582"/>
      <c r="Q162" s="581"/>
      <c r="R162" s="582"/>
      <c r="S162" s="581"/>
      <c r="T162" s="582"/>
      <c r="U162" s="581"/>
      <c r="V162" s="582"/>
      <c r="W162" s="581"/>
      <c r="X162" s="582"/>
      <c r="Y162" s="581"/>
      <c r="Z162" s="582"/>
      <c r="AA162" s="581"/>
      <c r="AB162" s="582"/>
      <c r="AC162" s="581"/>
      <c r="AD162" s="582"/>
      <c r="AE162" s="581"/>
      <c r="AF162" s="583"/>
      <c r="AG162" s="581"/>
      <c r="AH162" s="583"/>
      <c r="AI162" s="581"/>
      <c r="AJ162" s="583"/>
      <c r="AK162" s="581"/>
      <c r="AL162" s="583"/>
      <c r="AM162" s="584"/>
      <c r="AN162" s="583"/>
      <c r="AO162" s="581"/>
      <c r="AP162" s="583"/>
      <c r="AQ162" s="584"/>
      <c r="AR162" s="583"/>
      <c r="AS162" s="583"/>
      <c r="AT162" s="583"/>
      <c r="AU162" s="584"/>
      <c r="AV162" s="583"/>
      <c r="AW162" s="583"/>
      <c r="AX162" s="158"/>
      <c r="AY162" s="154"/>
      <c r="AZ162">
        <f ca="1">INDIRECT(ADDRESS(ROW()+1,COLUMN(Arbeitszeit!xDay),,,"Arbeitszeit"))</f>
        <v>6</v>
      </c>
    </row>
    <row r="163" spans="1:52">
      <c r="A163" s="523">
        <f>Arbeitszeit!A164</f>
        <v>42527</v>
      </c>
      <c r="B163" s="524">
        <f t="shared" si="8"/>
        <v>42527</v>
      </c>
      <c r="C163" s="191">
        <f t="shared" si="9"/>
        <v>23</v>
      </c>
      <c r="D163" s="190">
        <f t="shared" si="10"/>
        <v>42521</v>
      </c>
      <c r="E163" s="593">
        <f>Arbeitszeit!V164*24</f>
        <v>0</v>
      </c>
      <c r="F163" s="352">
        <f t="shared" si="11"/>
        <v>0</v>
      </c>
      <c r="G163" s="155">
        <f>IF(Arbeitszeit!F164=Urlaub,B_WorkTime*24,)</f>
        <v>0</v>
      </c>
      <c r="H163" s="153"/>
      <c r="I163" s="155">
        <f>IF(Arbeitszeit!F164=Krank,B_WorkTime*24,)</f>
        <v>0</v>
      </c>
      <c r="J163" s="153"/>
      <c r="K163" s="156"/>
      <c r="L163" s="157"/>
      <c r="M163" s="581"/>
      <c r="N163" s="582"/>
      <c r="O163" s="581"/>
      <c r="P163" s="582"/>
      <c r="Q163" s="581"/>
      <c r="R163" s="582"/>
      <c r="S163" s="581"/>
      <c r="T163" s="582"/>
      <c r="U163" s="581"/>
      <c r="V163" s="582"/>
      <c r="W163" s="581"/>
      <c r="X163" s="582"/>
      <c r="Y163" s="581"/>
      <c r="Z163" s="582"/>
      <c r="AA163" s="581"/>
      <c r="AB163" s="582"/>
      <c r="AC163" s="581"/>
      <c r="AD163" s="582"/>
      <c r="AE163" s="581"/>
      <c r="AF163" s="583"/>
      <c r="AG163" s="581"/>
      <c r="AH163" s="583"/>
      <c r="AI163" s="581"/>
      <c r="AJ163" s="583"/>
      <c r="AK163" s="581"/>
      <c r="AL163" s="583"/>
      <c r="AM163" s="584"/>
      <c r="AN163" s="583"/>
      <c r="AO163" s="581"/>
      <c r="AP163" s="583"/>
      <c r="AQ163" s="584"/>
      <c r="AR163" s="583"/>
      <c r="AS163" s="583"/>
      <c r="AT163" s="583"/>
      <c r="AU163" s="584"/>
      <c r="AV163" s="583"/>
      <c r="AW163" s="583"/>
      <c r="AX163" s="158"/>
      <c r="AY163" s="154"/>
      <c r="AZ163">
        <f ca="1">INDIRECT(ADDRESS(ROW()+1,COLUMN(Arbeitszeit!xDay),,,"Arbeitszeit"))</f>
        <v>7</v>
      </c>
    </row>
    <row r="164" spans="1:52">
      <c r="A164" s="523">
        <f>Arbeitszeit!A165</f>
        <v>42528</v>
      </c>
      <c r="B164" s="524">
        <f t="shared" si="8"/>
        <v>42528</v>
      </c>
      <c r="C164" s="191">
        <f t="shared" si="9"/>
        <v>24</v>
      </c>
      <c r="D164" s="190">
        <f t="shared" si="10"/>
        <v>42521</v>
      </c>
      <c r="E164" s="593">
        <f>Arbeitszeit!V165*24</f>
        <v>0</v>
      </c>
      <c r="F164" s="352">
        <f t="shared" si="11"/>
        <v>0</v>
      </c>
      <c r="G164" s="155">
        <f>IF(Arbeitszeit!F165=Urlaub,B_WorkTime*24,)</f>
        <v>0</v>
      </c>
      <c r="H164" s="153"/>
      <c r="I164" s="155">
        <f>IF(Arbeitszeit!F165=Krank,B_WorkTime*24,)</f>
        <v>0</v>
      </c>
      <c r="J164" s="153"/>
      <c r="K164" s="156"/>
      <c r="L164" s="157"/>
      <c r="M164" s="581"/>
      <c r="N164" s="582"/>
      <c r="O164" s="581"/>
      <c r="P164" s="582"/>
      <c r="Q164" s="581"/>
      <c r="R164" s="582"/>
      <c r="S164" s="581"/>
      <c r="T164" s="582"/>
      <c r="U164" s="581"/>
      <c r="V164" s="582"/>
      <c r="W164" s="581"/>
      <c r="X164" s="582"/>
      <c r="Y164" s="581"/>
      <c r="Z164" s="582"/>
      <c r="AA164" s="581"/>
      <c r="AB164" s="582"/>
      <c r="AC164" s="581"/>
      <c r="AD164" s="582"/>
      <c r="AE164" s="581"/>
      <c r="AF164" s="583"/>
      <c r="AG164" s="581"/>
      <c r="AH164" s="583"/>
      <c r="AI164" s="581"/>
      <c r="AJ164" s="583"/>
      <c r="AK164" s="581"/>
      <c r="AL164" s="583"/>
      <c r="AM164" s="584"/>
      <c r="AN164" s="583"/>
      <c r="AO164" s="581"/>
      <c r="AP164" s="583"/>
      <c r="AQ164" s="584"/>
      <c r="AR164" s="583"/>
      <c r="AS164" s="583"/>
      <c r="AT164" s="583"/>
      <c r="AU164" s="584"/>
      <c r="AV164" s="583"/>
      <c r="AW164" s="583"/>
      <c r="AX164" s="158"/>
      <c r="AY164" s="154"/>
      <c r="AZ164">
        <f ca="1">INDIRECT(ADDRESS(ROW()+1,COLUMN(Arbeitszeit!xDay),,,"Arbeitszeit"))</f>
        <v>1</v>
      </c>
    </row>
    <row r="165" spans="1:52">
      <c r="A165" s="523">
        <f>Arbeitszeit!A166</f>
        <v>42529</v>
      </c>
      <c r="B165" s="524">
        <f t="shared" si="8"/>
        <v>42529</v>
      </c>
      <c r="C165" s="191">
        <f t="shared" si="9"/>
        <v>24</v>
      </c>
      <c r="D165" s="190">
        <f t="shared" si="10"/>
        <v>42521</v>
      </c>
      <c r="E165" s="593">
        <f>Arbeitszeit!V166*24</f>
        <v>0</v>
      </c>
      <c r="F165" s="352">
        <f t="shared" si="11"/>
        <v>0</v>
      </c>
      <c r="G165" s="155">
        <f>IF(Arbeitszeit!F166=Urlaub,B_WorkTime*24,)</f>
        <v>0</v>
      </c>
      <c r="H165" s="153"/>
      <c r="I165" s="155">
        <f>IF(Arbeitszeit!F166=Krank,B_WorkTime*24,)</f>
        <v>0</v>
      </c>
      <c r="J165" s="153"/>
      <c r="K165" s="156"/>
      <c r="L165" s="157"/>
      <c r="M165" s="581"/>
      <c r="N165" s="582"/>
      <c r="O165" s="581"/>
      <c r="P165" s="582"/>
      <c r="Q165" s="581"/>
      <c r="R165" s="582"/>
      <c r="S165" s="581"/>
      <c r="T165" s="582"/>
      <c r="U165" s="581"/>
      <c r="V165" s="582"/>
      <c r="W165" s="581"/>
      <c r="X165" s="582"/>
      <c r="Y165" s="581"/>
      <c r="Z165" s="582"/>
      <c r="AA165" s="581"/>
      <c r="AB165" s="582"/>
      <c r="AC165" s="581"/>
      <c r="AD165" s="582"/>
      <c r="AE165" s="581"/>
      <c r="AF165" s="583"/>
      <c r="AG165" s="581"/>
      <c r="AH165" s="583"/>
      <c r="AI165" s="581"/>
      <c r="AJ165" s="583"/>
      <c r="AK165" s="581"/>
      <c r="AL165" s="583"/>
      <c r="AM165" s="584"/>
      <c r="AN165" s="583"/>
      <c r="AO165" s="581"/>
      <c r="AP165" s="583"/>
      <c r="AQ165" s="584"/>
      <c r="AR165" s="583"/>
      <c r="AS165" s="583"/>
      <c r="AT165" s="583"/>
      <c r="AU165" s="584"/>
      <c r="AV165" s="583"/>
      <c r="AW165" s="583"/>
      <c r="AX165" s="158"/>
      <c r="AY165" s="154"/>
      <c r="AZ165">
        <f ca="1">INDIRECT(ADDRESS(ROW()+1,COLUMN(Arbeitszeit!xDay),,,"Arbeitszeit"))</f>
        <v>2</v>
      </c>
    </row>
    <row r="166" spans="1:52">
      <c r="A166" s="523">
        <f>Arbeitszeit!A167</f>
        <v>42530</v>
      </c>
      <c r="B166" s="524">
        <f t="shared" si="8"/>
        <v>42530</v>
      </c>
      <c r="C166" s="191">
        <f t="shared" si="9"/>
        <v>24</v>
      </c>
      <c r="D166" s="190">
        <f t="shared" si="10"/>
        <v>42521</v>
      </c>
      <c r="E166" s="593">
        <f>Arbeitszeit!V167*24</f>
        <v>0</v>
      </c>
      <c r="F166" s="352">
        <f t="shared" si="11"/>
        <v>0</v>
      </c>
      <c r="G166" s="155">
        <f>IF(Arbeitszeit!F167=Urlaub,B_WorkTime*24,)</f>
        <v>0</v>
      </c>
      <c r="H166" s="153"/>
      <c r="I166" s="155">
        <f>IF(Arbeitszeit!F167=Krank,B_WorkTime*24,)</f>
        <v>0</v>
      </c>
      <c r="J166" s="153"/>
      <c r="K166" s="156"/>
      <c r="L166" s="157"/>
      <c r="M166" s="581"/>
      <c r="N166" s="582"/>
      <c r="O166" s="581"/>
      <c r="P166" s="582"/>
      <c r="Q166" s="581"/>
      <c r="R166" s="582"/>
      <c r="S166" s="581"/>
      <c r="T166" s="582"/>
      <c r="U166" s="581"/>
      <c r="V166" s="582"/>
      <c r="W166" s="581"/>
      <c r="X166" s="582"/>
      <c r="Y166" s="581"/>
      <c r="Z166" s="582"/>
      <c r="AA166" s="581"/>
      <c r="AB166" s="582"/>
      <c r="AC166" s="581"/>
      <c r="AD166" s="582"/>
      <c r="AE166" s="581"/>
      <c r="AF166" s="583"/>
      <c r="AG166" s="581"/>
      <c r="AH166" s="583"/>
      <c r="AI166" s="581"/>
      <c r="AJ166" s="583"/>
      <c r="AK166" s="581"/>
      <c r="AL166" s="583"/>
      <c r="AM166" s="584"/>
      <c r="AN166" s="583"/>
      <c r="AO166" s="581"/>
      <c r="AP166" s="583"/>
      <c r="AQ166" s="584"/>
      <c r="AR166" s="583"/>
      <c r="AS166" s="583"/>
      <c r="AT166" s="583"/>
      <c r="AU166" s="584"/>
      <c r="AV166" s="583"/>
      <c r="AW166" s="583"/>
      <c r="AX166" s="158"/>
      <c r="AY166" s="154"/>
      <c r="AZ166">
        <f ca="1">INDIRECT(ADDRESS(ROW()+1,COLUMN(Arbeitszeit!xDay),,,"Arbeitszeit"))</f>
        <v>3</v>
      </c>
    </row>
    <row r="167" spans="1:52">
      <c r="A167" s="523">
        <f>Arbeitszeit!A168</f>
        <v>42531</v>
      </c>
      <c r="B167" s="524">
        <f t="shared" si="8"/>
        <v>42531</v>
      </c>
      <c r="C167" s="191">
        <f t="shared" si="9"/>
        <v>24</v>
      </c>
      <c r="D167" s="190">
        <f t="shared" si="10"/>
        <v>42521</v>
      </c>
      <c r="E167" s="593">
        <f>Arbeitszeit!V168*24</f>
        <v>0</v>
      </c>
      <c r="F167" s="352">
        <f t="shared" si="11"/>
        <v>0</v>
      </c>
      <c r="G167" s="155">
        <f>IF(Arbeitszeit!F168=Urlaub,B_WorkTime*24,)</f>
        <v>0</v>
      </c>
      <c r="H167" s="153"/>
      <c r="I167" s="155">
        <f>IF(Arbeitszeit!F168=Krank,B_WorkTime*24,)</f>
        <v>0</v>
      </c>
      <c r="J167" s="153"/>
      <c r="K167" s="156"/>
      <c r="L167" s="157"/>
      <c r="M167" s="581"/>
      <c r="N167" s="582"/>
      <c r="O167" s="581"/>
      <c r="P167" s="582"/>
      <c r="Q167" s="581"/>
      <c r="R167" s="582"/>
      <c r="S167" s="581"/>
      <c r="T167" s="582"/>
      <c r="U167" s="581"/>
      <c r="V167" s="582"/>
      <c r="W167" s="581"/>
      <c r="X167" s="582"/>
      <c r="Y167" s="581"/>
      <c r="Z167" s="582"/>
      <c r="AA167" s="581"/>
      <c r="AB167" s="582"/>
      <c r="AC167" s="581"/>
      <c r="AD167" s="582"/>
      <c r="AE167" s="581"/>
      <c r="AF167" s="583"/>
      <c r="AG167" s="581"/>
      <c r="AH167" s="583"/>
      <c r="AI167" s="581"/>
      <c r="AJ167" s="583"/>
      <c r="AK167" s="581"/>
      <c r="AL167" s="583"/>
      <c r="AM167" s="584"/>
      <c r="AN167" s="583"/>
      <c r="AO167" s="581"/>
      <c r="AP167" s="583"/>
      <c r="AQ167" s="584"/>
      <c r="AR167" s="583"/>
      <c r="AS167" s="583"/>
      <c r="AT167" s="583"/>
      <c r="AU167" s="584"/>
      <c r="AV167" s="583"/>
      <c r="AW167" s="583"/>
      <c r="AX167" s="158"/>
      <c r="AY167" s="154"/>
      <c r="AZ167">
        <f ca="1">INDIRECT(ADDRESS(ROW()+1,COLUMN(Arbeitszeit!xDay),,,"Arbeitszeit"))</f>
        <v>8</v>
      </c>
    </row>
    <row r="168" spans="1:52">
      <c r="A168" s="523">
        <f>Arbeitszeit!A169</f>
        <v>42532</v>
      </c>
      <c r="B168" s="524">
        <f t="shared" si="8"/>
        <v>42532</v>
      </c>
      <c r="C168" s="191">
        <f t="shared" si="9"/>
        <v>24</v>
      </c>
      <c r="D168" s="190">
        <f t="shared" si="10"/>
        <v>42521</v>
      </c>
      <c r="E168" s="593">
        <f>Arbeitszeit!V169*24</f>
        <v>0</v>
      </c>
      <c r="F168" s="352">
        <f t="shared" si="11"/>
        <v>0</v>
      </c>
      <c r="G168" s="155">
        <f>IF(Arbeitszeit!F169=Urlaub,B_WorkTime*24,)</f>
        <v>0</v>
      </c>
      <c r="H168" s="153"/>
      <c r="I168" s="155">
        <f>IF(Arbeitszeit!F169=Krank,B_WorkTime*24,)</f>
        <v>0</v>
      </c>
      <c r="J168" s="153"/>
      <c r="K168" s="156"/>
      <c r="L168" s="157"/>
      <c r="M168" s="581"/>
      <c r="N168" s="582"/>
      <c r="O168" s="581"/>
      <c r="P168" s="582"/>
      <c r="Q168" s="581"/>
      <c r="R168" s="582"/>
      <c r="S168" s="581"/>
      <c r="T168" s="582"/>
      <c r="U168" s="581"/>
      <c r="V168" s="582"/>
      <c r="W168" s="581"/>
      <c r="X168" s="582"/>
      <c r="Y168" s="581"/>
      <c r="Z168" s="582"/>
      <c r="AA168" s="581"/>
      <c r="AB168" s="582"/>
      <c r="AC168" s="581"/>
      <c r="AD168" s="582"/>
      <c r="AE168" s="581"/>
      <c r="AF168" s="583"/>
      <c r="AG168" s="581"/>
      <c r="AH168" s="583"/>
      <c r="AI168" s="581"/>
      <c r="AJ168" s="583"/>
      <c r="AK168" s="581"/>
      <c r="AL168" s="583"/>
      <c r="AM168" s="584"/>
      <c r="AN168" s="583"/>
      <c r="AO168" s="581"/>
      <c r="AP168" s="583"/>
      <c r="AQ168" s="584"/>
      <c r="AR168" s="583"/>
      <c r="AS168" s="583"/>
      <c r="AT168" s="583"/>
      <c r="AU168" s="584"/>
      <c r="AV168" s="583"/>
      <c r="AW168" s="583"/>
      <c r="AX168" s="158"/>
      <c r="AY168" s="154"/>
      <c r="AZ168">
        <f ca="1">INDIRECT(ADDRESS(ROW()+1,COLUMN(Arbeitszeit!xDay),,,"Arbeitszeit"))</f>
        <v>5</v>
      </c>
    </row>
    <row r="169" spans="1:52">
      <c r="A169" s="523">
        <f>Arbeitszeit!A170</f>
        <v>42533</v>
      </c>
      <c r="B169" s="524">
        <f t="shared" si="8"/>
        <v>42533</v>
      </c>
      <c r="C169" s="191">
        <f t="shared" si="9"/>
        <v>24</v>
      </c>
      <c r="D169" s="190">
        <f t="shared" si="10"/>
        <v>42521</v>
      </c>
      <c r="E169" s="593">
        <f>Arbeitszeit!V170*24</f>
        <v>0</v>
      </c>
      <c r="F169" s="352">
        <f t="shared" si="11"/>
        <v>0</v>
      </c>
      <c r="G169" s="155">
        <f>IF(Arbeitszeit!F170=Urlaub,B_WorkTime*24,)</f>
        <v>0</v>
      </c>
      <c r="H169" s="153"/>
      <c r="I169" s="155">
        <f>IF(Arbeitszeit!F170=Krank,B_WorkTime*24,)</f>
        <v>0</v>
      </c>
      <c r="J169" s="153"/>
      <c r="K169" s="156"/>
      <c r="L169" s="157"/>
      <c r="M169" s="581"/>
      <c r="N169" s="582"/>
      <c r="O169" s="581"/>
      <c r="P169" s="582"/>
      <c r="Q169" s="581"/>
      <c r="R169" s="582"/>
      <c r="S169" s="581"/>
      <c r="T169" s="582"/>
      <c r="U169" s="581"/>
      <c r="V169" s="582"/>
      <c r="W169" s="581"/>
      <c r="X169" s="582"/>
      <c r="Y169" s="581"/>
      <c r="Z169" s="582"/>
      <c r="AA169" s="581"/>
      <c r="AB169" s="582"/>
      <c r="AC169" s="581"/>
      <c r="AD169" s="582"/>
      <c r="AE169" s="581"/>
      <c r="AF169" s="583"/>
      <c r="AG169" s="581"/>
      <c r="AH169" s="583"/>
      <c r="AI169" s="581"/>
      <c r="AJ169" s="583"/>
      <c r="AK169" s="581"/>
      <c r="AL169" s="583"/>
      <c r="AM169" s="584"/>
      <c r="AN169" s="583"/>
      <c r="AO169" s="581"/>
      <c r="AP169" s="583"/>
      <c r="AQ169" s="584"/>
      <c r="AR169" s="583"/>
      <c r="AS169" s="583"/>
      <c r="AT169" s="583"/>
      <c r="AU169" s="584"/>
      <c r="AV169" s="583"/>
      <c r="AW169" s="583"/>
      <c r="AX169" s="158"/>
      <c r="AY169" s="154"/>
      <c r="AZ169">
        <f ca="1">INDIRECT(ADDRESS(ROW()+1,COLUMN(Arbeitszeit!xDay),,,"Arbeitszeit"))</f>
        <v>6</v>
      </c>
    </row>
    <row r="170" spans="1:52">
      <c r="A170" s="523">
        <f>Arbeitszeit!A171</f>
        <v>42534</v>
      </c>
      <c r="B170" s="524">
        <f t="shared" si="8"/>
        <v>42534</v>
      </c>
      <c r="C170" s="191">
        <f t="shared" si="9"/>
        <v>24</v>
      </c>
      <c r="D170" s="190">
        <f t="shared" si="10"/>
        <v>42521</v>
      </c>
      <c r="E170" s="593">
        <f>Arbeitszeit!V171*24</f>
        <v>0</v>
      </c>
      <c r="F170" s="352">
        <f t="shared" si="11"/>
        <v>0</v>
      </c>
      <c r="G170" s="155">
        <f>IF(Arbeitszeit!F171=Urlaub,B_WorkTime*24,)</f>
        <v>0</v>
      </c>
      <c r="H170" s="153"/>
      <c r="I170" s="155">
        <f>IF(Arbeitszeit!F171=Krank,B_WorkTime*24,)</f>
        <v>0</v>
      </c>
      <c r="J170" s="153"/>
      <c r="K170" s="156"/>
      <c r="L170" s="157"/>
      <c r="M170" s="581"/>
      <c r="N170" s="582"/>
      <c r="O170" s="581"/>
      <c r="P170" s="582"/>
      <c r="Q170" s="581"/>
      <c r="R170" s="582"/>
      <c r="S170" s="581"/>
      <c r="T170" s="582"/>
      <c r="U170" s="581"/>
      <c r="V170" s="582"/>
      <c r="W170" s="581"/>
      <c r="X170" s="582"/>
      <c r="Y170" s="581"/>
      <c r="Z170" s="582"/>
      <c r="AA170" s="581"/>
      <c r="AB170" s="582"/>
      <c r="AC170" s="581"/>
      <c r="AD170" s="582"/>
      <c r="AE170" s="581"/>
      <c r="AF170" s="583"/>
      <c r="AG170" s="581"/>
      <c r="AH170" s="583"/>
      <c r="AI170" s="581"/>
      <c r="AJ170" s="583"/>
      <c r="AK170" s="581"/>
      <c r="AL170" s="583"/>
      <c r="AM170" s="584"/>
      <c r="AN170" s="583"/>
      <c r="AO170" s="581"/>
      <c r="AP170" s="583"/>
      <c r="AQ170" s="584"/>
      <c r="AR170" s="583"/>
      <c r="AS170" s="583"/>
      <c r="AT170" s="583"/>
      <c r="AU170" s="584"/>
      <c r="AV170" s="583"/>
      <c r="AW170" s="583"/>
      <c r="AX170" s="158"/>
      <c r="AY170" s="154"/>
      <c r="AZ170">
        <f ca="1">INDIRECT(ADDRESS(ROW()+1,COLUMN(Arbeitszeit!xDay),,,"Arbeitszeit"))</f>
        <v>7</v>
      </c>
    </row>
    <row r="171" spans="1:52">
      <c r="A171" s="523">
        <f>Arbeitszeit!A172</f>
        <v>42535</v>
      </c>
      <c r="B171" s="524">
        <f t="shared" si="8"/>
        <v>42535</v>
      </c>
      <c r="C171" s="191">
        <f t="shared" si="9"/>
        <v>25</v>
      </c>
      <c r="D171" s="190">
        <f t="shared" si="10"/>
        <v>42521</v>
      </c>
      <c r="E171" s="593">
        <f>Arbeitszeit!V172*24</f>
        <v>0</v>
      </c>
      <c r="F171" s="352">
        <f t="shared" si="11"/>
        <v>0</v>
      </c>
      <c r="G171" s="155">
        <f>IF(Arbeitszeit!F172=Urlaub,B_WorkTime*24,)</f>
        <v>0</v>
      </c>
      <c r="H171" s="153"/>
      <c r="I171" s="155">
        <f>IF(Arbeitszeit!F172=Krank,B_WorkTime*24,)</f>
        <v>0</v>
      </c>
      <c r="J171" s="153"/>
      <c r="K171" s="156"/>
      <c r="L171" s="157"/>
      <c r="M171" s="581"/>
      <c r="N171" s="582"/>
      <c r="O171" s="581"/>
      <c r="P171" s="582"/>
      <c r="Q171" s="581"/>
      <c r="R171" s="582"/>
      <c r="S171" s="581"/>
      <c r="T171" s="582"/>
      <c r="U171" s="581"/>
      <c r="V171" s="582"/>
      <c r="W171" s="581"/>
      <c r="X171" s="582"/>
      <c r="Y171" s="581"/>
      <c r="Z171" s="582"/>
      <c r="AA171" s="581"/>
      <c r="AB171" s="582"/>
      <c r="AC171" s="581"/>
      <c r="AD171" s="582"/>
      <c r="AE171" s="581"/>
      <c r="AF171" s="583"/>
      <c r="AG171" s="581"/>
      <c r="AH171" s="583"/>
      <c r="AI171" s="581"/>
      <c r="AJ171" s="583"/>
      <c r="AK171" s="581"/>
      <c r="AL171" s="583"/>
      <c r="AM171" s="584"/>
      <c r="AN171" s="583"/>
      <c r="AO171" s="581"/>
      <c r="AP171" s="583"/>
      <c r="AQ171" s="584"/>
      <c r="AR171" s="583"/>
      <c r="AS171" s="583"/>
      <c r="AT171" s="583"/>
      <c r="AU171" s="584"/>
      <c r="AV171" s="583"/>
      <c r="AW171" s="583"/>
      <c r="AX171" s="158"/>
      <c r="AY171" s="154"/>
      <c r="AZ171">
        <f ca="1">INDIRECT(ADDRESS(ROW()+1,COLUMN(Arbeitszeit!xDay),,,"Arbeitszeit"))</f>
        <v>1</v>
      </c>
    </row>
    <row r="172" spans="1:52">
      <c r="A172" s="523">
        <f>Arbeitszeit!A173</f>
        <v>42536</v>
      </c>
      <c r="B172" s="524">
        <f t="shared" si="8"/>
        <v>42536</v>
      </c>
      <c r="C172" s="191">
        <f t="shared" si="9"/>
        <v>25</v>
      </c>
      <c r="D172" s="190">
        <f t="shared" si="10"/>
        <v>42521</v>
      </c>
      <c r="E172" s="593">
        <f>Arbeitszeit!V173*24</f>
        <v>0</v>
      </c>
      <c r="F172" s="352">
        <f t="shared" si="11"/>
        <v>0</v>
      </c>
      <c r="G172" s="155">
        <f>IF(Arbeitszeit!F173=Urlaub,B_WorkTime*24,)</f>
        <v>0</v>
      </c>
      <c r="H172" s="153"/>
      <c r="I172" s="155">
        <f>IF(Arbeitszeit!F173=Krank,B_WorkTime*24,)</f>
        <v>0</v>
      </c>
      <c r="J172" s="153"/>
      <c r="K172" s="156"/>
      <c r="L172" s="157"/>
      <c r="M172" s="581"/>
      <c r="N172" s="582"/>
      <c r="O172" s="581"/>
      <c r="P172" s="582"/>
      <c r="Q172" s="581"/>
      <c r="R172" s="582"/>
      <c r="S172" s="581"/>
      <c r="T172" s="582"/>
      <c r="U172" s="581"/>
      <c r="V172" s="582"/>
      <c r="W172" s="581"/>
      <c r="X172" s="582"/>
      <c r="Y172" s="581"/>
      <c r="Z172" s="582"/>
      <c r="AA172" s="581"/>
      <c r="AB172" s="582"/>
      <c r="AC172" s="581"/>
      <c r="AD172" s="582"/>
      <c r="AE172" s="581"/>
      <c r="AF172" s="583"/>
      <c r="AG172" s="581"/>
      <c r="AH172" s="583"/>
      <c r="AI172" s="581"/>
      <c r="AJ172" s="583"/>
      <c r="AK172" s="581"/>
      <c r="AL172" s="583"/>
      <c r="AM172" s="584"/>
      <c r="AN172" s="583"/>
      <c r="AO172" s="581"/>
      <c r="AP172" s="583"/>
      <c r="AQ172" s="584"/>
      <c r="AR172" s="583"/>
      <c r="AS172" s="583"/>
      <c r="AT172" s="583"/>
      <c r="AU172" s="584"/>
      <c r="AV172" s="583"/>
      <c r="AW172" s="583"/>
      <c r="AX172" s="158"/>
      <c r="AY172" s="154"/>
      <c r="AZ172">
        <f ca="1">INDIRECT(ADDRESS(ROW()+1,COLUMN(Arbeitszeit!xDay),,,"Arbeitszeit"))</f>
        <v>2</v>
      </c>
    </row>
    <row r="173" spans="1:52">
      <c r="A173" s="523">
        <f>Arbeitszeit!A174</f>
        <v>42537</v>
      </c>
      <c r="B173" s="524">
        <f t="shared" si="8"/>
        <v>42537</v>
      </c>
      <c r="C173" s="191">
        <f t="shared" si="9"/>
        <v>25</v>
      </c>
      <c r="D173" s="190">
        <f t="shared" si="10"/>
        <v>42521</v>
      </c>
      <c r="E173" s="593">
        <f>Arbeitszeit!V174*24</f>
        <v>0</v>
      </c>
      <c r="F173" s="352">
        <f t="shared" si="11"/>
        <v>0</v>
      </c>
      <c r="G173" s="155">
        <f>IF(Arbeitszeit!F174=Urlaub,B_WorkTime*24,)</f>
        <v>0</v>
      </c>
      <c r="H173" s="153"/>
      <c r="I173" s="155">
        <f>IF(Arbeitszeit!F174=Krank,B_WorkTime*24,)</f>
        <v>0</v>
      </c>
      <c r="J173" s="153"/>
      <c r="K173" s="156"/>
      <c r="L173" s="157"/>
      <c r="M173" s="581"/>
      <c r="N173" s="582"/>
      <c r="O173" s="581"/>
      <c r="P173" s="582"/>
      <c r="Q173" s="581"/>
      <c r="R173" s="582"/>
      <c r="S173" s="581"/>
      <c r="T173" s="582"/>
      <c r="U173" s="581"/>
      <c r="V173" s="582"/>
      <c r="W173" s="581"/>
      <c r="X173" s="582"/>
      <c r="Y173" s="581"/>
      <c r="Z173" s="582"/>
      <c r="AA173" s="581"/>
      <c r="AB173" s="582"/>
      <c r="AC173" s="581"/>
      <c r="AD173" s="582"/>
      <c r="AE173" s="581"/>
      <c r="AF173" s="583"/>
      <c r="AG173" s="581"/>
      <c r="AH173" s="583"/>
      <c r="AI173" s="581"/>
      <c r="AJ173" s="583"/>
      <c r="AK173" s="581"/>
      <c r="AL173" s="583"/>
      <c r="AM173" s="584"/>
      <c r="AN173" s="583"/>
      <c r="AO173" s="581"/>
      <c r="AP173" s="583"/>
      <c r="AQ173" s="584"/>
      <c r="AR173" s="583"/>
      <c r="AS173" s="583"/>
      <c r="AT173" s="583"/>
      <c r="AU173" s="584"/>
      <c r="AV173" s="583"/>
      <c r="AW173" s="583"/>
      <c r="AX173" s="158"/>
      <c r="AY173" s="154"/>
      <c r="AZ173">
        <f ca="1">INDIRECT(ADDRESS(ROW()+1,COLUMN(Arbeitszeit!xDay),,,"Arbeitszeit"))</f>
        <v>3</v>
      </c>
    </row>
    <row r="174" spans="1:52">
      <c r="A174" s="523">
        <f>Arbeitszeit!A175</f>
        <v>42538</v>
      </c>
      <c r="B174" s="524">
        <f t="shared" si="8"/>
        <v>42538</v>
      </c>
      <c r="C174" s="191">
        <f t="shared" si="9"/>
        <v>25</v>
      </c>
      <c r="D174" s="190">
        <f t="shared" si="10"/>
        <v>42521</v>
      </c>
      <c r="E174" s="593">
        <f>Arbeitszeit!V175*24</f>
        <v>0</v>
      </c>
      <c r="F174" s="352">
        <f t="shared" si="11"/>
        <v>0</v>
      </c>
      <c r="G174" s="155">
        <f>IF(Arbeitszeit!F175=Urlaub,B_WorkTime*24,)</f>
        <v>0</v>
      </c>
      <c r="H174" s="153"/>
      <c r="I174" s="155">
        <f>IF(Arbeitszeit!F175=Krank,B_WorkTime*24,)</f>
        <v>0</v>
      </c>
      <c r="J174" s="153"/>
      <c r="K174" s="156"/>
      <c r="L174" s="157"/>
      <c r="M174" s="581"/>
      <c r="N174" s="582"/>
      <c r="O174" s="581"/>
      <c r="P174" s="582"/>
      <c r="Q174" s="581"/>
      <c r="R174" s="582"/>
      <c r="S174" s="581"/>
      <c r="T174" s="582"/>
      <c r="U174" s="581"/>
      <c r="V174" s="582"/>
      <c r="W174" s="581"/>
      <c r="X174" s="582"/>
      <c r="Y174" s="581"/>
      <c r="Z174" s="582"/>
      <c r="AA174" s="581"/>
      <c r="AB174" s="582"/>
      <c r="AC174" s="581"/>
      <c r="AD174" s="582"/>
      <c r="AE174" s="581"/>
      <c r="AF174" s="583"/>
      <c r="AG174" s="581"/>
      <c r="AH174" s="583"/>
      <c r="AI174" s="581"/>
      <c r="AJ174" s="583"/>
      <c r="AK174" s="581"/>
      <c r="AL174" s="583"/>
      <c r="AM174" s="584"/>
      <c r="AN174" s="583"/>
      <c r="AO174" s="581"/>
      <c r="AP174" s="583"/>
      <c r="AQ174" s="584"/>
      <c r="AR174" s="583"/>
      <c r="AS174" s="583"/>
      <c r="AT174" s="583"/>
      <c r="AU174" s="584"/>
      <c r="AV174" s="583"/>
      <c r="AW174" s="583"/>
      <c r="AX174" s="158"/>
      <c r="AY174" s="154"/>
      <c r="AZ174">
        <f ca="1">INDIRECT(ADDRESS(ROW()+1,COLUMN(Arbeitszeit!xDay),,,"Arbeitszeit"))</f>
        <v>4</v>
      </c>
    </row>
    <row r="175" spans="1:52">
      <c r="A175" s="523">
        <f>Arbeitszeit!A176</f>
        <v>42539</v>
      </c>
      <c r="B175" s="524">
        <f t="shared" si="8"/>
        <v>42539</v>
      </c>
      <c r="C175" s="191">
        <f t="shared" si="9"/>
        <v>25</v>
      </c>
      <c r="D175" s="190">
        <f t="shared" si="10"/>
        <v>42521</v>
      </c>
      <c r="E175" s="593">
        <f>Arbeitszeit!V176*24</f>
        <v>0</v>
      </c>
      <c r="F175" s="352">
        <f t="shared" si="11"/>
        <v>0</v>
      </c>
      <c r="G175" s="155">
        <f>IF(Arbeitszeit!F176=Urlaub,B_WorkTime*24,)</f>
        <v>0</v>
      </c>
      <c r="H175" s="153"/>
      <c r="I175" s="155">
        <f>IF(Arbeitszeit!F176=Krank,B_WorkTime*24,)</f>
        <v>0</v>
      </c>
      <c r="J175" s="153"/>
      <c r="K175" s="156"/>
      <c r="L175" s="157"/>
      <c r="M175" s="581"/>
      <c r="N175" s="582"/>
      <c r="O175" s="581"/>
      <c r="P175" s="582"/>
      <c r="Q175" s="581"/>
      <c r="R175" s="582"/>
      <c r="S175" s="581"/>
      <c r="T175" s="582"/>
      <c r="U175" s="581"/>
      <c r="V175" s="582"/>
      <c r="W175" s="581"/>
      <c r="X175" s="582"/>
      <c r="Y175" s="581"/>
      <c r="Z175" s="582"/>
      <c r="AA175" s="581"/>
      <c r="AB175" s="582"/>
      <c r="AC175" s="581"/>
      <c r="AD175" s="582"/>
      <c r="AE175" s="581"/>
      <c r="AF175" s="583"/>
      <c r="AG175" s="581"/>
      <c r="AH175" s="583"/>
      <c r="AI175" s="581"/>
      <c r="AJ175" s="583"/>
      <c r="AK175" s="581"/>
      <c r="AL175" s="583"/>
      <c r="AM175" s="584"/>
      <c r="AN175" s="583"/>
      <c r="AO175" s="581"/>
      <c r="AP175" s="583"/>
      <c r="AQ175" s="584"/>
      <c r="AR175" s="583"/>
      <c r="AS175" s="583"/>
      <c r="AT175" s="583"/>
      <c r="AU175" s="584"/>
      <c r="AV175" s="583"/>
      <c r="AW175" s="583"/>
      <c r="AX175" s="158"/>
      <c r="AY175" s="154"/>
      <c r="AZ175">
        <f ca="1">INDIRECT(ADDRESS(ROW()+1,COLUMN(Arbeitszeit!xDay),,,"Arbeitszeit"))</f>
        <v>5</v>
      </c>
    </row>
    <row r="176" spans="1:52">
      <c r="A176" s="523">
        <f>Arbeitszeit!A177</f>
        <v>42540</v>
      </c>
      <c r="B176" s="524">
        <f t="shared" si="8"/>
        <v>42540</v>
      </c>
      <c r="C176" s="191">
        <f t="shared" si="9"/>
        <v>25</v>
      </c>
      <c r="D176" s="190">
        <f t="shared" si="10"/>
        <v>42521</v>
      </c>
      <c r="E176" s="593">
        <f>Arbeitszeit!V177*24</f>
        <v>0</v>
      </c>
      <c r="F176" s="352">
        <f t="shared" si="11"/>
        <v>0</v>
      </c>
      <c r="G176" s="155">
        <f>IF(Arbeitszeit!F177=Urlaub,B_WorkTime*24,)</f>
        <v>0</v>
      </c>
      <c r="H176" s="153"/>
      <c r="I176" s="155">
        <f>IF(Arbeitszeit!F177=Krank,B_WorkTime*24,)</f>
        <v>0</v>
      </c>
      <c r="J176" s="153"/>
      <c r="K176" s="156"/>
      <c r="L176" s="157"/>
      <c r="M176" s="581"/>
      <c r="N176" s="582"/>
      <c r="O176" s="581"/>
      <c r="P176" s="582"/>
      <c r="Q176" s="581"/>
      <c r="R176" s="582"/>
      <c r="S176" s="581"/>
      <c r="T176" s="582"/>
      <c r="U176" s="581"/>
      <c r="V176" s="582"/>
      <c r="W176" s="581"/>
      <c r="X176" s="582"/>
      <c r="Y176" s="581"/>
      <c r="Z176" s="582"/>
      <c r="AA176" s="581"/>
      <c r="AB176" s="582"/>
      <c r="AC176" s="581"/>
      <c r="AD176" s="582"/>
      <c r="AE176" s="581"/>
      <c r="AF176" s="583"/>
      <c r="AG176" s="581"/>
      <c r="AH176" s="583"/>
      <c r="AI176" s="581"/>
      <c r="AJ176" s="583"/>
      <c r="AK176" s="581"/>
      <c r="AL176" s="583"/>
      <c r="AM176" s="584"/>
      <c r="AN176" s="583"/>
      <c r="AO176" s="581"/>
      <c r="AP176" s="583"/>
      <c r="AQ176" s="584"/>
      <c r="AR176" s="583"/>
      <c r="AS176" s="583"/>
      <c r="AT176" s="583"/>
      <c r="AU176" s="584"/>
      <c r="AV176" s="583"/>
      <c r="AW176" s="583"/>
      <c r="AX176" s="158"/>
      <c r="AY176" s="154"/>
      <c r="AZ176">
        <f ca="1">INDIRECT(ADDRESS(ROW()+1,COLUMN(Arbeitszeit!xDay),,,"Arbeitszeit"))</f>
        <v>6</v>
      </c>
    </row>
    <row r="177" spans="1:52">
      <c r="A177" s="523">
        <f>Arbeitszeit!A178</f>
        <v>42541</v>
      </c>
      <c r="B177" s="524">
        <f t="shared" si="8"/>
        <v>42541</v>
      </c>
      <c r="C177" s="191">
        <f t="shared" si="9"/>
        <v>25</v>
      </c>
      <c r="D177" s="190">
        <f t="shared" si="10"/>
        <v>42521</v>
      </c>
      <c r="E177" s="593">
        <f>Arbeitszeit!V178*24</f>
        <v>0</v>
      </c>
      <c r="F177" s="352">
        <f t="shared" si="11"/>
        <v>0</v>
      </c>
      <c r="G177" s="155">
        <f>IF(Arbeitszeit!F178=Urlaub,B_WorkTime*24,)</f>
        <v>0</v>
      </c>
      <c r="H177" s="153"/>
      <c r="I177" s="155">
        <f>IF(Arbeitszeit!F178=Krank,B_WorkTime*24,)</f>
        <v>0</v>
      </c>
      <c r="J177" s="153"/>
      <c r="K177" s="156"/>
      <c r="L177" s="157"/>
      <c r="M177" s="581"/>
      <c r="N177" s="582"/>
      <c r="O177" s="581"/>
      <c r="P177" s="582"/>
      <c r="Q177" s="581"/>
      <c r="R177" s="582"/>
      <c r="S177" s="581"/>
      <c r="T177" s="582"/>
      <c r="U177" s="581"/>
      <c r="V177" s="582"/>
      <c r="W177" s="581"/>
      <c r="X177" s="582"/>
      <c r="Y177" s="581"/>
      <c r="Z177" s="582"/>
      <c r="AA177" s="581"/>
      <c r="AB177" s="582"/>
      <c r="AC177" s="581"/>
      <c r="AD177" s="582"/>
      <c r="AE177" s="581"/>
      <c r="AF177" s="583"/>
      <c r="AG177" s="581"/>
      <c r="AH177" s="583"/>
      <c r="AI177" s="581"/>
      <c r="AJ177" s="583"/>
      <c r="AK177" s="581"/>
      <c r="AL177" s="583"/>
      <c r="AM177" s="584"/>
      <c r="AN177" s="583"/>
      <c r="AO177" s="581"/>
      <c r="AP177" s="583"/>
      <c r="AQ177" s="584"/>
      <c r="AR177" s="583"/>
      <c r="AS177" s="583"/>
      <c r="AT177" s="583"/>
      <c r="AU177" s="584"/>
      <c r="AV177" s="583"/>
      <c r="AW177" s="583"/>
      <c r="AX177" s="158"/>
      <c r="AY177" s="154"/>
      <c r="AZ177">
        <f ca="1">INDIRECT(ADDRESS(ROW()+1,COLUMN(Arbeitszeit!xDay),,,"Arbeitszeit"))</f>
        <v>7</v>
      </c>
    </row>
    <row r="178" spans="1:52">
      <c r="A178" s="523">
        <f>Arbeitszeit!A179</f>
        <v>42542</v>
      </c>
      <c r="B178" s="524">
        <f t="shared" si="8"/>
        <v>42542</v>
      </c>
      <c r="C178" s="191">
        <f t="shared" si="9"/>
        <v>26</v>
      </c>
      <c r="D178" s="190">
        <f t="shared" si="10"/>
        <v>42521</v>
      </c>
      <c r="E178" s="593">
        <f>Arbeitszeit!V179*24</f>
        <v>0</v>
      </c>
      <c r="F178" s="352">
        <f t="shared" si="11"/>
        <v>0</v>
      </c>
      <c r="G178" s="155">
        <f>IF(Arbeitszeit!F179=Urlaub,B_WorkTime*24,)</f>
        <v>0</v>
      </c>
      <c r="H178" s="153"/>
      <c r="I178" s="155">
        <f>IF(Arbeitszeit!F179=Krank,B_WorkTime*24,)</f>
        <v>0</v>
      </c>
      <c r="J178" s="153"/>
      <c r="K178" s="156"/>
      <c r="L178" s="157"/>
      <c r="M178" s="581"/>
      <c r="N178" s="582"/>
      <c r="O178" s="581"/>
      <c r="P178" s="582"/>
      <c r="Q178" s="581"/>
      <c r="R178" s="582"/>
      <c r="S178" s="581"/>
      <c r="T178" s="582"/>
      <c r="U178" s="581"/>
      <c r="V178" s="582"/>
      <c r="W178" s="581"/>
      <c r="X178" s="582"/>
      <c r="Y178" s="581"/>
      <c r="Z178" s="582"/>
      <c r="AA178" s="581"/>
      <c r="AB178" s="582"/>
      <c r="AC178" s="581"/>
      <c r="AD178" s="582"/>
      <c r="AE178" s="581"/>
      <c r="AF178" s="583"/>
      <c r="AG178" s="581"/>
      <c r="AH178" s="583"/>
      <c r="AI178" s="581"/>
      <c r="AJ178" s="583"/>
      <c r="AK178" s="581"/>
      <c r="AL178" s="583"/>
      <c r="AM178" s="584"/>
      <c r="AN178" s="583"/>
      <c r="AO178" s="581"/>
      <c r="AP178" s="583"/>
      <c r="AQ178" s="584"/>
      <c r="AR178" s="583"/>
      <c r="AS178" s="583"/>
      <c r="AT178" s="583"/>
      <c r="AU178" s="584"/>
      <c r="AV178" s="583"/>
      <c r="AW178" s="583"/>
      <c r="AX178" s="158"/>
      <c r="AY178" s="154"/>
      <c r="AZ178">
        <f ca="1">INDIRECT(ADDRESS(ROW()+1,COLUMN(Arbeitszeit!xDay),,,"Arbeitszeit"))</f>
        <v>1</v>
      </c>
    </row>
    <row r="179" spans="1:52">
      <c r="A179" s="523">
        <f>Arbeitszeit!A180</f>
        <v>42543</v>
      </c>
      <c r="B179" s="524">
        <f t="shared" si="8"/>
        <v>42543</v>
      </c>
      <c r="C179" s="191">
        <f t="shared" si="9"/>
        <v>26</v>
      </c>
      <c r="D179" s="190">
        <f t="shared" si="10"/>
        <v>42521</v>
      </c>
      <c r="E179" s="593">
        <f>Arbeitszeit!V180*24</f>
        <v>0</v>
      </c>
      <c r="F179" s="352">
        <f t="shared" si="11"/>
        <v>0</v>
      </c>
      <c r="G179" s="155">
        <f>IF(Arbeitszeit!F180=Urlaub,B_WorkTime*24,)</f>
        <v>0</v>
      </c>
      <c r="H179" s="153"/>
      <c r="I179" s="155">
        <f>IF(Arbeitszeit!F180=Krank,B_WorkTime*24,)</f>
        <v>0</v>
      </c>
      <c r="J179" s="153"/>
      <c r="K179" s="156"/>
      <c r="L179" s="157"/>
      <c r="M179" s="581"/>
      <c r="N179" s="582"/>
      <c r="O179" s="581"/>
      <c r="P179" s="582"/>
      <c r="Q179" s="581"/>
      <c r="R179" s="582"/>
      <c r="S179" s="581"/>
      <c r="T179" s="582"/>
      <c r="U179" s="581"/>
      <c r="V179" s="582"/>
      <c r="W179" s="581"/>
      <c r="X179" s="582"/>
      <c r="Y179" s="581"/>
      <c r="Z179" s="582"/>
      <c r="AA179" s="581"/>
      <c r="AB179" s="582"/>
      <c r="AC179" s="581"/>
      <c r="AD179" s="582"/>
      <c r="AE179" s="581"/>
      <c r="AF179" s="583"/>
      <c r="AG179" s="581"/>
      <c r="AH179" s="583"/>
      <c r="AI179" s="581"/>
      <c r="AJ179" s="583"/>
      <c r="AK179" s="581"/>
      <c r="AL179" s="583"/>
      <c r="AM179" s="584"/>
      <c r="AN179" s="583"/>
      <c r="AO179" s="581"/>
      <c r="AP179" s="583"/>
      <c r="AQ179" s="584"/>
      <c r="AR179" s="583"/>
      <c r="AS179" s="583"/>
      <c r="AT179" s="583"/>
      <c r="AU179" s="584"/>
      <c r="AV179" s="583"/>
      <c r="AW179" s="583"/>
      <c r="AX179" s="158"/>
      <c r="AY179" s="154"/>
      <c r="AZ179">
        <f ca="1">INDIRECT(ADDRESS(ROW()+1,COLUMN(Arbeitszeit!xDay),,,"Arbeitszeit"))</f>
        <v>2</v>
      </c>
    </row>
    <row r="180" spans="1:52">
      <c r="A180" s="523">
        <f>Arbeitszeit!A181</f>
        <v>42544</v>
      </c>
      <c r="B180" s="524">
        <f t="shared" si="8"/>
        <v>42544</v>
      </c>
      <c r="C180" s="191">
        <f t="shared" si="9"/>
        <v>26</v>
      </c>
      <c r="D180" s="190">
        <f t="shared" si="10"/>
        <v>42521</v>
      </c>
      <c r="E180" s="593">
        <f>Arbeitszeit!V181*24</f>
        <v>0</v>
      </c>
      <c r="F180" s="352">
        <f t="shared" si="11"/>
        <v>0</v>
      </c>
      <c r="G180" s="155">
        <f>IF(Arbeitszeit!F181=Urlaub,B_WorkTime*24,)</f>
        <v>0</v>
      </c>
      <c r="H180" s="153"/>
      <c r="I180" s="155">
        <f>IF(Arbeitszeit!F181=Krank,B_WorkTime*24,)</f>
        <v>0</v>
      </c>
      <c r="J180" s="153"/>
      <c r="K180" s="156"/>
      <c r="L180" s="157"/>
      <c r="M180" s="581"/>
      <c r="N180" s="582"/>
      <c r="O180" s="581"/>
      <c r="P180" s="582"/>
      <c r="Q180" s="581"/>
      <c r="R180" s="582"/>
      <c r="S180" s="581"/>
      <c r="T180" s="582"/>
      <c r="U180" s="581"/>
      <c r="V180" s="582"/>
      <c r="W180" s="581"/>
      <c r="X180" s="582"/>
      <c r="Y180" s="581"/>
      <c r="Z180" s="582"/>
      <c r="AA180" s="581"/>
      <c r="AB180" s="582"/>
      <c r="AC180" s="581"/>
      <c r="AD180" s="582"/>
      <c r="AE180" s="581"/>
      <c r="AF180" s="583"/>
      <c r="AG180" s="581"/>
      <c r="AH180" s="583"/>
      <c r="AI180" s="581"/>
      <c r="AJ180" s="583"/>
      <c r="AK180" s="581"/>
      <c r="AL180" s="583"/>
      <c r="AM180" s="584"/>
      <c r="AN180" s="583"/>
      <c r="AO180" s="581"/>
      <c r="AP180" s="583"/>
      <c r="AQ180" s="584"/>
      <c r="AR180" s="583"/>
      <c r="AS180" s="583"/>
      <c r="AT180" s="583"/>
      <c r="AU180" s="584"/>
      <c r="AV180" s="583"/>
      <c r="AW180" s="583"/>
      <c r="AX180" s="158"/>
      <c r="AY180" s="154"/>
      <c r="AZ180">
        <f ca="1">INDIRECT(ADDRESS(ROW()+1,COLUMN(Arbeitszeit!xDay),,,"Arbeitszeit"))</f>
        <v>3</v>
      </c>
    </row>
    <row r="181" spans="1:52">
      <c r="A181" s="523">
        <f>Arbeitszeit!A182</f>
        <v>42545</v>
      </c>
      <c r="B181" s="524">
        <f t="shared" si="8"/>
        <v>42545</v>
      </c>
      <c r="C181" s="191">
        <f t="shared" si="9"/>
        <v>26</v>
      </c>
      <c r="D181" s="190">
        <f t="shared" si="10"/>
        <v>42521</v>
      </c>
      <c r="E181" s="593">
        <f>Arbeitszeit!V182*24</f>
        <v>0</v>
      </c>
      <c r="F181" s="352">
        <f t="shared" si="11"/>
        <v>0</v>
      </c>
      <c r="G181" s="155">
        <f>IF(Arbeitszeit!F182=Urlaub,B_WorkTime*24,)</f>
        <v>0</v>
      </c>
      <c r="H181" s="153"/>
      <c r="I181" s="155">
        <f>IF(Arbeitszeit!F182=Krank,B_WorkTime*24,)</f>
        <v>0</v>
      </c>
      <c r="J181" s="153"/>
      <c r="K181" s="156"/>
      <c r="L181" s="157"/>
      <c r="M181" s="581"/>
      <c r="N181" s="582"/>
      <c r="O181" s="581"/>
      <c r="P181" s="582"/>
      <c r="Q181" s="581"/>
      <c r="R181" s="582"/>
      <c r="S181" s="581"/>
      <c r="T181" s="582"/>
      <c r="U181" s="581"/>
      <c r="V181" s="582"/>
      <c r="W181" s="581"/>
      <c r="X181" s="582"/>
      <c r="Y181" s="581"/>
      <c r="Z181" s="582"/>
      <c r="AA181" s="581"/>
      <c r="AB181" s="582"/>
      <c r="AC181" s="581"/>
      <c r="AD181" s="582"/>
      <c r="AE181" s="581"/>
      <c r="AF181" s="583"/>
      <c r="AG181" s="581"/>
      <c r="AH181" s="583"/>
      <c r="AI181" s="581"/>
      <c r="AJ181" s="583"/>
      <c r="AK181" s="581"/>
      <c r="AL181" s="583"/>
      <c r="AM181" s="584"/>
      <c r="AN181" s="583"/>
      <c r="AO181" s="581"/>
      <c r="AP181" s="583"/>
      <c r="AQ181" s="584"/>
      <c r="AR181" s="583"/>
      <c r="AS181" s="583"/>
      <c r="AT181" s="583"/>
      <c r="AU181" s="584"/>
      <c r="AV181" s="583"/>
      <c r="AW181" s="583"/>
      <c r="AX181" s="158"/>
      <c r="AY181" s="154"/>
      <c r="AZ181">
        <f ca="1">INDIRECT(ADDRESS(ROW()+1,COLUMN(Arbeitszeit!xDay),,,"Arbeitszeit"))</f>
        <v>4</v>
      </c>
    </row>
    <row r="182" spans="1:52">
      <c r="A182" s="523">
        <f>Arbeitszeit!A183</f>
        <v>42546</v>
      </c>
      <c r="B182" s="524">
        <f t="shared" si="8"/>
        <v>42546</v>
      </c>
      <c r="C182" s="191">
        <f t="shared" si="9"/>
        <v>26</v>
      </c>
      <c r="D182" s="190">
        <f t="shared" si="10"/>
        <v>42521</v>
      </c>
      <c r="E182" s="593">
        <f>Arbeitszeit!V183*24</f>
        <v>0</v>
      </c>
      <c r="F182" s="352">
        <f t="shared" si="11"/>
        <v>0</v>
      </c>
      <c r="G182" s="155">
        <f>IF(Arbeitszeit!F183=Urlaub,B_WorkTime*24,)</f>
        <v>0</v>
      </c>
      <c r="H182" s="153"/>
      <c r="I182" s="155">
        <f>IF(Arbeitszeit!F183=Krank,B_WorkTime*24,)</f>
        <v>0</v>
      </c>
      <c r="J182" s="153"/>
      <c r="K182" s="156"/>
      <c r="L182" s="157"/>
      <c r="M182" s="581"/>
      <c r="N182" s="582"/>
      <c r="O182" s="581"/>
      <c r="P182" s="582"/>
      <c r="Q182" s="581"/>
      <c r="R182" s="582"/>
      <c r="S182" s="581"/>
      <c r="T182" s="582"/>
      <c r="U182" s="581"/>
      <c r="V182" s="582"/>
      <c r="W182" s="581"/>
      <c r="X182" s="582"/>
      <c r="Y182" s="581"/>
      <c r="Z182" s="582"/>
      <c r="AA182" s="581"/>
      <c r="AB182" s="582"/>
      <c r="AC182" s="581"/>
      <c r="AD182" s="582"/>
      <c r="AE182" s="581"/>
      <c r="AF182" s="583"/>
      <c r="AG182" s="581"/>
      <c r="AH182" s="583"/>
      <c r="AI182" s="581"/>
      <c r="AJ182" s="583"/>
      <c r="AK182" s="581"/>
      <c r="AL182" s="583"/>
      <c r="AM182" s="584"/>
      <c r="AN182" s="583"/>
      <c r="AO182" s="581"/>
      <c r="AP182" s="583"/>
      <c r="AQ182" s="584"/>
      <c r="AR182" s="583"/>
      <c r="AS182" s="583"/>
      <c r="AT182" s="583"/>
      <c r="AU182" s="584"/>
      <c r="AV182" s="583"/>
      <c r="AW182" s="583"/>
      <c r="AX182" s="158"/>
      <c r="AY182" s="154"/>
      <c r="AZ182">
        <f ca="1">INDIRECT(ADDRESS(ROW()+1,COLUMN(Arbeitszeit!xDay),,,"Arbeitszeit"))</f>
        <v>5</v>
      </c>
    </row>
    <row r="183" spans="1:52">
      <c r="A183" s="523">
        <f>Arbeitszeit!A184</f>
        <v>42547</v>
      </c>
      <c r="B183" s="524">
        <f t="shared" si="8"/>
        <v>42547</v>
      </c>
      <c r="C183" s="191">
        <f t="shared" si="9"/>
        <v>26</v>
      </c>
      <c r="D183" s="190">
        <f t="shared" si="10"/>
        <v>42521</v>
      </c>
      <c r="E183" s="593">
        <f>Arbeitszeit!V184*24</f>
        <v>0</v>
      </c>
      <c r="F183" s="352">
        <f t="shared" si="11"/>
        <v>0</v>
      </c>
      <c r="G183" s="155">
        <f>IF(Arbeitszeit!F184=Urlaub,B_WorkTime*24,)</f>
        <v>0</v>
      </c>
      <c r="H183" s="153"/>
      <c r="I183" s="155">
        <f>IF(Arbeitszeit!F184=Krank,B_WorkTime*24,)</f>
        <v>0</v>
      </c>
      <c r="J183" s="153"/>
      <c r="K183" s="156"/>
      <c r="L183" s="157"/>
      <c r="M183" s="581"/>
      <c r="N183" s="582"/>
      <c r="O183" s="581"/>
      <c r="P183" s="582"/>
      <c r="Q183" s="581"/>
      <c r="R183" s="582"/>
      <c r="S183" s="581"/>
      <c r="T183" s="582"/>
      <c r="U183" s="581"/>
      <c r="V183" s="582"/>
      <c r="W183" s="581"/>
      <c r="X183" s="582"/>
      <c r="Y183" s="581"/>
      <c r="Z183" s="582"/>
      <c r="AA183" s="581"/>
      <c r="AB183" s="582"/>
      <c r="AC183" s="581"/>
      <c r="AD183" s="582"/>
      <c r="AE183" s="581"/>
      <c r="AF183" s="583"/>
      <c r="AG183" s="581"/>
      <c r="AH183" s="583"/>
      <c r="AI183" s="581"/>
      <c r="AJ183" s="583"/>
      <c r="AK183" s="581"/>
      <c r="AL183" s="583"/>
      <c r="AM183" s="584"/>
      <c r="AN183" s="583"/>
      <c r="AO183" s="581"/>
      <c r="AP183" s="583"/>
      <c r="AQ183" s="584"/>
      <c r="AR183" s="583"/>
      <c r="AS183" s="583"/>
      <c r="AT183" s="583"/>
      <c r="AU183" s="584"/>
      <c r="AV183" s="583"/>
      <c r="AW183" s="583"/>
      <c r="AX183" s="158"/>
      <c r="AY183" s="154"/>
      <c r="AZ183">
        <f ca="1">INDIRECT(ADDRESS(ROW()+1,COLUMN(Arbeitszeit!xDay),,,"Arbeitszeit"))</f>
        <v>6</v>
      </c>
    </row>
    <row r="184" spans="1:52">
      <c r="A184" s="523">
        <f>Arbeitszeit!A185</f>
        <v>42548</v>
      </c>
      <c r="B184" s="524">
        <f t="shared" si="8"/>
        <v>42548</v>
      </c>
      <c r="C184" s="191">
        <f t="shared" si="9"/>
        <v>26</v>
      </c>
      <c r="D184" s="190">
        <f t="shared" si="10"/>
        <v>42521</v>
      </c>
      <c r="E184" s="593">
        <f>Arbeitszeit!V185*24</f>
        <v>0</v>
      </c>
      <c r="F184" s="352">
        <f t="shared" si="11"/>
        <v>0</v>
      </c>
      <c r="G184" s="155">
        <f>IF(Arbeitszeit!F185=Urlaub,B_WorkTime*24,)</f>
        <v>0</v>
      </c>
      <c r="H184" s="153"/>
      <c r="I184" s="155">
        <f>IF(Arbeitszeit!F185=Krank,B_WorkTime*24,)</f>
        <v>0</v>
      </c>
      <c r="J184" s="153"/>
      <c r="K184" s="156"/>
      <c r="L184" s="157"/>
      <c r="M184" s="581"/>
      <c r="N184" s="582"/>
      <c r="O184" s="581"/>
      <c r="P184" s="582"/>
      <c r="Q184" s="581"/>
      <c r="R184" s="582"/>
      <c r="S184" s="581"/>
      <c r="T184" s="582"/>
      <c r="U184" s="581"/>
      <c r="V184" s="582"/>
      <c r="W184" s="581"/>
      <c r="X184" s="582"/>
      <c r="Y184" s="581"/>
      <c r="Z184" s="582"/>
      <c r="AA184" s="581"/>
      <c r="AB184" s="582"/>
      <c r="AC184" s="581"/>
      <c r="AD184" s="582"/>
      <c r="AE184" s="581"/>
      <c r="AF184" s="583"/>
      <c r="AG184" s="581"/>
      <c r="AH184" s="583"/>
      <c r="AI184" s="581"/>
      <c r="AJ184" s="583"/>
      <c r="AK184" s="581"/>
      <c r="AL184" s="583"/>
      <c r="AM184" s="584"/>
      <c r="AN184" s="583"/>
      <c r="AO184" s="581"/>
      <c r="AP184" s="583"/>
      <c r="AQ184" s="584"/>
      <c r="AR184" s="583"/>
      <c r="AS184" s="583"/>
      <c r="AT184" s="583"/>
      <c r="AU184" s="584"/>
      <c r="AV184" s="583"/>
      <c r="AW184" s="583"/>
      <c r="AX184" s="158"/>
      <c r="AY184" s="154"/>
      <c r="AZ184">
        <f ca="1">INDIRECT(ADDRESS(ROW()+1,COLUMN(Arbeitszeit!xDay),,,"Arbeitszeit"))</f>
        <v>7</v>
      </c>
    </row>
    <row r="185" spans="1:52">
      <c r="A185" s="523">
        <f>Arbeitszeit!A186</f>
        <v>42549</v>
      </c>
      <c r="B185" s="524">
        <f t="shared" si="8"/>
        <v>42549</v>
      </c>
      <c r="C185" s="191">
        <f t="shared" si="9"/>
        <v>27</v>
      </c>
      <c r="D185" s="190">
        <f t="shared" si="10"/>
        <v>42521</v>
      </c>
      <c r="E185" s="593">
        <f>Arbeitszeit!V186*24</f>
        <v>0</v>
      </c>
      <c r="F185" s="352">
        <f t="shared" si="11"/>
        <v>0</v>
      </c>
      <c r="G185" s="155">
        <f>IF(Arbeitszeit!F186=Urlaub,B_WorkTime*24,)</f>
        <v>0</v>
      </c>
      <c r="H185" s="153"/>
      <c r="I185" s="155">
        <f>IF(Arbeitszeit!F186=Krank,B_WorkTime*24,)</f>
        <v>0</v>
      </c>
      <c r="J185" s="153"/>
      <c r="K185" s="156"/>
      <c r="L185" s="157"/>
      <c r="M185" s="581"/>
      <c r="N185" s="582"/>
      <c r="O185" s="581"/>
      <c r="P185" s="582"/>
      <c r="Q185" s="581"/>
      <c r="R185" s="582"/>
      <c r="S185" s="581"/>
      <c r="T185" s="582"/>
      <c r="U185" s="581"/>
      <c r="V185" s="582"/>
      <c r="W185" s="581"/>
      <c r="X185" s="582"/>
      <c r="Y185" s="581"/>
      <c r="Z185" s="582"/>
      <c r="AA185" s="581"/>
      <c r="AB185" s="582"/>
      <c r="AC185" s="581"/>
      <c r="AD185" s="582"/>
      <c r="AE185" s="581"/>
      <c r="AF185" s="583"/>
      <c r="AG185" s="581"/>
      <c r="AH185" s="583"/>
      <c r="AI185" s="581"/>
      <c r="AJ185" s="583"/>
      <c r="AK185" s="581"/>
      <c r="AL185" s="583"/>
      <c r="AM185" s="584"/>
      <c r="AN185" s="583"/>
      <c r="AO185" s="581"/>
      <c r="AP185" s="583"/>
      <c r="AQ185" s="584"/>
      <c r="AR185" s="583"/>
      <c r="AS185" s="583"/>
      <c r="AT185" s="583"/>
      <c r="AU185" s="584"/>
      <c r="AV185" s="583"/>
      <c r="AW185" s="583"/>
      <c r="AX185" s="158"/>
      <c r="AY185" s="154"/>
      <c r="AZ185">
        <f ca="1">INDIRECT(ADDRESS(ROW()+1,COLUMN(Arbeitszeit!xDay),,,"Arbeitszeit"))</f>
        <v>1</v>
      </c>
    </row>
    <row r="186" spans="1:52">
      <c r="A186" s="523">
        <f>Arbeitszeit!A187</f>
        <v>42550</v>
      </c>
      <c r="B186" s="524">
        <f t="shared" si="8"/>
        <v>42550</v>
      </c>
      <c r="C186" s="191">
        <f t="shared" si="9"/>
        <v>27</v>
      </c>
      <c r="D186" s="190">
        <f t="shared" si="10"/>
        <v>42521</v>
      </c>
      <c r="E186" s="593">
        <f>Arbeitszeit!V187*24</f>
        <v>0</v>
      </c>
      <c r="F186" s="352">
        <f t="shared" si="11"/>
        <v>0</v>
      </c>
      <c r="G186" s="155">
        <f>IF(Arbeitszeit!F187=Urlaub,B_WorkTime*24,)</f>
        <v>0</v>
      </c>
      <c r="H186" s="153"/>
      <c r="I186" s="155">
        <f>IF(Arbeitszeit!F187=Krank,B_WorkTime*24,)</f>
        <v>0</v>
      </c>
      <c r="J186" s="153"/>
      <c r="K186" s="156"/>
      <c r="L186" s="157"/>
      <c r="M186" s="581"/>
      <c r="N186" s="582"/>
      <c r="O186" s="581"/>
      <c r="P186" s="582"/>
      <c r="Q186" s="581"/>
      <c r="R186" s="582"/>
      <c r="S186" s="581"/>
      <c r="T186" s="582"/>
      <c r="U186" s="581"/>
      <c r="V186" s="582"/>
      <c r="W186" s="581"/>
      <c r="X186" s="582"/>
      <c r="Y186" s="581"/>
      <c r="Z186" s="582"/>
      <c r="AA186" s="581"/>
      <c r="AB186" s="582"/>
      <c r="AC186" s="581"/>
      <c r="AD186" s="582"/>
      <c r="AE186" s="581"/>
      <c r="AF186" s="583"/>
      <c r="AG186" s="581"/>
      <c r="AH186" s="583"/>
      <c r="AI186" s="581"/>
      <c r="AJ186" s="583"/>
      <c r="AK186" s="581"/>
      <c r="AL186" s="583"/>
      <c r="AM186" s="584"/>
      <c r="AN186" s="583"/>
      <c r="AO186" s="581"/>
      <c r="AP186" s="583"/>
      <c r="AQ186" s="584"/>
      <c r="AR186" s="583"/>
      <c r="AS186" s="583"/>
      <c r="AT186" s="583"/>
      <c r="AU186" s="584"/>
      <c r="AV186" s="583"/>
      <c r="AW186" s="583"/>
      <c r="AX186" s="158"/>
      <c r="AY186" s="154"/>
      <c r="AZ186">
        <f ca="1">INDIRECT(ADDRESS(ROW()+1,COLUMN(Arbeitszeit!xDay),,,"Arbeitszeit"))</f>
        <v>2</v>
      </c>
    </row>
    <row r="187" spans="1:52">
      <c r="A187" s="523">
        <f>Arbeitszeit!A188</f>
        <v>42551</v>
      </c>
      <c r="B187" s="524">
        <f t="shared" si="8"/>
        <v>42551</v>
      </c>
      <c r="C187" s="191">
        <f t="shared" si="9"/>
        <v>27</v>
      </c>
      <c r="D187" s="190">
        <f t="shared" si="10"/>
        <v>42551</v>
      </c>
      <c r="E187" s="593">
        <f>Arbeitszeit!V188*24</f>
        <v>0</v>
      </c>
      <c r="F187" s="352">
        <f t="shared" si="11"/>
        <v>0</v>
      </c>
      <c r="G187" s="155">
        <f>IF(Arbeitszeit!F188=Urlaub,B_WorkTime*24,)</f>
        <v>0</v>
      </c>
      <c r="H187" s="153"/>
      <c r="I187" s="155">
        <f>IF(Arbeitszeit!F188=Krank,B_WorkTime*24,)</f>
        <v>0</v>
      </c>
      <c r="J187" s="153"/>
      <c r="K187" s="156"/>
      <c r="L187" s="157"/>
      <c r="M187" s="581"/>
      <c r="N187" s="582"/>
      <c r="O187" s="581"/>
      <c r="P187" s="582"/>
      <c r="Q187" s="581"/>
      <c r="R187" s="582"/>
      <c r="S187" s="581"/>
      <c r="T187" s="582"/>
      <c r="U187" s="581"/>
      <c r="V187" s="582"/>
      <c r="W187" s="581"/>
      <c r="X187" s="582"/>
      <c r="Y187" s="581"/>
      <c r="Z187" s="582"/>
      <c r="AA187" s="581"/>
      <c r="AB187" s="582"/>
      <c r="AC187" s="581"/>
      <c r="AD187" s="582"/>
      <c r="AE187" s="581"/>
      <c r="AF187" s="583"/>
      <c r="AG187" s="581"/>
      <c r="AH187" s="583"/>
      <c r="AI187" s="581"/>
      <c r="AJ187" s="583"/>
      <c r="AK187" s="581"/>
      <c r="AL187" s="583"/>
      <c r="AM187" s="584"/>
      <c r="AN187" s="583"/>
      <c r="AO187" s="581"/>
      <c r="AP187" s="583"/>
      <c r="AQ187" s="584"/>
      <c r="AR187" s="583"/>
      <c r="AS187" s="583"/>
      <c r="AT187" s="583"/>
      <c r="AU187" s="584"/>
      <c r="AV187" s="583"/>
      <c r="AW187" s="583"/>
      <c r="AX187" s="158"/>
      <c r="AY187" s="154"/>
      <c r="AZ187">
        <f ca="1">INDIRECT(ADDRESS(ROW()+1,COLUMN(Arbeitszeit!xDay),,,"Arbeitszeit"))</f>
        <v>3</v>
      </c>
    </row>
    <row r="188" spans="1:52">
      <c r="A188" s="523">
        <f>Arbeitszeit!A189</f>
        <v>42552</v>
      </c>
      <c r="B188" s="524">
        <f t="shared" si="8"/>
        <v>42552</v>
      </c>
      <c r="C188" s="191">
        <f t="shared" si="9"/>
        <v>27</v>
      </c>
      <c r="D188" s="190">
        <f t="shared" si="10"/>
        <v>42551</v>
      </c>
      <c r="E188" s="593">
        <f>Arbeitszeit!V189*24</f>
        <v>0</v>
      </c>
      <c r="F188" s="352">
        <f t="shared" si="11"/>
        <v>0</v>
      </c>
      <c r="G188" s="155">
        <f>IF(Arbeitszeit!F189=Urlaub,B_WorkTime*24,)</f>
        <v>0</v>
      </c>
      <c r="H188" s="153"/>
      <c r="I188" s="155">
        <f>IF(Arbeitszeit!F189=Krank,B_WorkTime*24,)</f>
        <v>0</v>
      </c>
      <c r="J188" s="153"/>
      <c r="K188" s="156"/>
      <c r="L188" s="157"/>
      <c r="M188" s="581"/>
      <c r="N188" s="582"/>
      <c r="O188" s="581"/>
      <c r="P188" s="582"/>
      <c r="Q188" s="581"/>
      <c r="R188" s="582"/>
      <c r="S188" s="581"/>
      <c r="T188" s="582"/>
      <c r="U188" s="581"/>
      <c r="V188" s="582"/>
      <c r="W188" s="581"/>
      <c r="X188" s="582"/>
      <c r="Y188" s="581"/>
      <c r="Z188" s="582"/>
      <c r="AA188" s="581"/>
      <c r="AB188" s="582"/>
      <c r="AC188" s="581"/>
      <c r="AD188" s="582"/>
      <c r="AE188" s="581"/>
      <c r="AF188" s="583"/>
      <c r="AG188" s="581"/>
      <c r="AH188" s="583"/>
      <c r="AI188" s="581"/>
      <c r="AJ188" s="583"/>
      <c r="AK188" s="581"/>
      <c r="AL188" s="583"/>
      <c r="AM188" s="584"/>
      <c r="AN188" s="583"/>
      <c r="AO188" s="581"/>
      <c r="AP188" s="583"/>
      <c r="AQ188" s="584"/>
      <c r="AR188" s="583"/>
      <c r="AS188" s="583"/>
      <c r="AT188" s="583"/>
      <c r="AU188" s="584"/>
      <c r="AV188" s="583"/>
      <c r="AW188" s="583"/>
      <c r="AX188" s="158"/>
      <c r="AY188" s="154"/>
      <c r="AZ188">
        <f ca="1">INDIRECT(ADDRESS(ROW()+1,COLUMN(Arbeitszeit!xDay),,,"Arbeitszeit"))</f>
        <v>4</v>
      </c>
    </row>
    <row r="189" spans="1:52">
      <c r="A189" s="523">
        <f>Arbeitszeit!A190</f>
        <v>42553</v>
      </c>
      <c r="B189" s="524">
        <f t="shared" si="8"/>
        <v>42553</v>
      </c>
      <c r="C189" s="191">
        <f t="shared" si="9"/>
        <v>27</v>
      </c>
      <c r="D189" s="190">
        <f t="shared" si="10"/>
        <v>42551</v>
      </c>
      <c r="E189" s="593">
        <f>Arbeitszeit!V190*24</f>
        <v>0</v>
      </c>
      <c r="F189" s="352">
        <f t="shared" si="11"/>
        <v>0</v>
      </c>
      <c r="G189" s="155">
        <f>IF(Arbeitszeit!F190=Urlaub,B_WorkTime*24,)</f>
        <v>0</v>
      </c>
      <c r="H189" s="153"/>
      <c r="I189" s="155">
        <f>IF(Arbeitszeit!F190=Krank,B_WorkTime*24,)</f>
        <v>0</v>
      </c>
      <c r="J189" s="153"/>
      <c r="K189" s="156"/>
      <c r="L189" s="157"/>
      <c r="M189" s="581"/>
      <c r="N189" s="582"/>
      <c r="O189" s="581"/>
      <c r="P189" s="582"/>
      <c r="Q189" s="581"/>
      <c r="R189" s="582"/>
      <c r="S189" s="581"/>
      <c r="T189" s="582"/>
      <c r="U189" s="581"/>
      <c r="V189" s="582"/>
      <c r="W189" s="581"/>
      <c r="X189" s="582"/>
      <c r="Y189" s="581"/>
      <c r="Z189" s="582"/>
      <c r="AA189" s="581"/>
      <c r="AB189" s="582"/>
      <c r="AC189" s="581"/>
      <c r="AD189" s="582"/>
      <c r="AE189" s="581"/>
      <c r="AF189" s="583"/>
      <c r="AG189" s="581"/>
      <c r="AH189" s="583"/>
      <c r="AI189" s="581"/>
      <c r="AJ189" s="583"/>
      <c r="AK189" s="581"/>
      <c r="AL189" s="583"/>
      <c r="AM189" s="584"/>
      <c r="AN189" s="583"/>
      <c r="AO189" s="581"/>
      <c r="AP189" s="583"/>
      <c r="AQ189" s="584"/>
      <c r="AR189" s="583"/>
      <c r="AS189" s="583"/>
      <c r="AT189" s="583"/>
      <c r="AU189" s="584"/>
      <c r="AV189" s="583"/>
      <c r="AW189" s="583"/>
      <c r="AX189" s="158"/>
      <c r="AY189" s="154"/>
      <c r="AZ189">
        <f ca="1">INDIRECT(ADDRESS(ROW()+1,COLUMN(Arbeitszeit!xDay),,,"Arbeitszeit"))</f>
        <v>5</v>
      </c>
    </row>
    <row r="190" spans="1:52">
      <c r="A190" s="523">
        <f>Arbeitszeit!A191</f>
        <v>42554</v>
      </c>
      <c r="B190" s="524">
        <f t="shared" si="8"/>
        <v>42554</v>
      </c>
      <c r="C190" s="191">
        <f t="shared" si="9"/>
        <v>27</v>
      </c>
      <c r="D190" s="190">
        <f t="shared" si="10"/>
        <v>42551</v>
      </c>
      <c r="E190" s="593">
        <f>Arbeitszeit!V191*24</f>
        <v>0</v>
      </c>
      <c r="F190" s="352">
        <f t="shared" si="11"/>
        <v>0</v>
      </c>
      <c r="G190" s="155">
        <f>IF(Arbeitszeit!F191=Urlaub,B_WorkTime*24,)</f>
        <v>0</v>
      </c>
      <c r="H190" s="153"/>
      <c r="I190" s="155">
        <f>IF(Arbeitszeit!F191=Krank,B_WorkTime*24,)</f>
        <v>0</v>
      </c>
      <c r="J190" s="153"/>
      <c r="K190" s="156"/>
      <c r="L190" s="157"/>
      <c r="M190" s="581"/>
      <c r="N190" s="582"/>
      <c r="O190" s="581"/>
      <c r="P190" s="582"/>
      <c r="Q190" s="581"/>
      <c r="R190" s="582"/>
      <c r="S190" s="581"/>
      <c r="T190" s="582"/>
      <c r="U190" s="581"/>
      <c r="V190" s="582"/>
      <c r="W190" s="581"/>
      <c r="X190" s="582"/>
      <c r="Y190" s="581"/>
      <c r="Z190" s="582"/>
      <c r="AA190" s="581"/>
      <c r="AB190" s="582"/>
      <c r="AC190" s="581"/>
      <c r="AD190" s="582"/>
      <c r="AE190" s="581"/>
      <c r="AF190" s="583"/>
      <c r="AG190" s="581"/>
      <c r="AH190" s="583"/>
      <c r="AI190" s="581"/>
      <c r="AJ190" s="583"/>
      <c r="AK190" s="581"/>
      <c r="AL190" s="583"/>
      <c r="AM190" s="584"/>
      <c r="AN190" s="583"/>
      <c r="AO190" s="581"/>
      <c r="AP190" s="583"/>
      <c r="AQ190" s="584"/>
      <c r="AR190" s="583"/>
      <c r="AS190" s="583"/>
      <c r="AT190" s="583"/>
      <c r="AU190" s="584"/>
      <c r="AV190" s="583"/>
      <c r="AW190" s="583"/>
      <c r="AX190" s="158"/>
      <c r="AY190" s="154"/>
      <c r="AZ190">
        <f ca="1">INDIRECT(ADDRESS(ROW()+1,COLUMN(Arbeitszeit!xDay),,,"Arbeitszeit"))</f>
        <v>6</v>
      </c>
    </row>
    <row r="191" spans="1:52">
      <c r="A191" s="523">
        <f>Arbeitszeit!A192</f>
        <v>42555</v>
      </c>
      <c r="B191" s="524">
        <f t="shared" si="8"/>
        <v>42555</v>
      </c>
      <c r="C191" s="191">
        <f t="shared" si="9"/>
        <v>27</v>
      </c>
      <c r="D191" s="190">
        <f t="shared" si="10"/>
        <v>42551</v>
      </c>
      <c r="E191" s="593">
        <f>Arbeitszeit!V192*24</f>
        <v>0</v>
      </c>
      <c r="F191" s="352">
        <f t="shared" si="11"/>
        <v>0</v>
      </c>
      <c r="G191" s="155">
        <f>IF(Arbeitszeit!F192=Urlaub,B_WorkTime*24,)</f>
        <v>0</v>
      </c>
      <c r="H191" s="153"/>
      <c r="I191" s="155">
        <f>IF(Arbeitszeit!F192=Krank,B_WorkTime*24,)</f>
        <v>0</v>
      </c>
      <c r="J191" s="153"/>
      <c r="K191" s="156"/>
      <c r="L191" s="157"/>
      <c r="M191" s="581"/>
      <c r="N191" s="582"/>
      <c r="O191" s="581"/>
      <c r="P191" s="582"/>
      <c r="Q191" s="581"/>
      <c r="R191" s="582"/>
      <c r="S191" s="581"/>
      <c r="T191" s="582"/>
      <c r="U191" s="581"/>
      <c r="V191" s="582"/>
      <c r="W191" s="581"/>
      <c r="X191" s="582"/>
      <c r="Y191" s="581"/>
      <c r="Z191" s="582"/>
      <c r="AA191" s="581"/>
      <c r="AB191" s="582"/>
      <c r="AC191" s="581"/>
      <c r="AD191" s="582"/>
      <c r="AE191" s="581"/>
      <c r="AF191" s="583"/>
      <c r="AG191" s="581"/>
      <c r="AH191" s="583"/>
      <c r="AI191" s="581"/>
      <c r="AJ191" s="583"/>
      <c r="AK191" s="581"/>
      <c r="AL191" s="583"/>
      <c r="AM191" s="584"/>
      <c r="AN191" s="583"/>
      <c r="AO191" s="581"/>
      <c r="AP191" s="583"/>
      <c r="AQ191" s="584"/>
      <c r="AR191" s="583"/>
      <c r="AS191" s="583"/>
      <c r="AT191" s="583"/>
      <c r="AU191" s="584"/>
      <c r="AV191" s="583"/>
      <c r="AW191" s="583"/>
      <c r="AX191" s="158"/>
      <c r="AY191" s="154"/>
      <c r="AZ191">
        <f ca="1">INDIRECT(ADDRESS(ROW()+1,COLUMN(Arbeitszeit!xDay),,,"Arbeitszeit"))</f>
        <v>7</v>
      </c>
    </row>
    <row r="192" spans="1:52">
      <c r="A192" s="523">
        <f>Arbeitszeit!A193</f>
        <v>42556</v>
      </c>
      <c r="B192" s="524">
        <f t="shared" si="8"/>
        <v>42556</v>
      </c>
      <c r="C192" s="191">
        <f t="shared" si="9"/>
        <v>28</v>
      </c>
      <c r="D192" s="190">
        <f t="shared" si="10"/>
        <v>42551</v>
      </c>
      <c r="E192" s="593">
        <f>Arbeitszeit!V193*24</f>
        <v>0</v>
      </c>
      <c r="F192" s="352">
        <f t="shared" si="11"/>
        <v>0</v>
      </c>
      <c r="G192" s="155">
        <f>IF(Arbeitszeit!F193=Urlaub,B_WorkTime*24,)</f>
        <v>0</v>
      </c>
      <c r="H192" s="153"/>
      <c r="I192" s="155">
        <f>IF(Arbeitszeit!F193=Krank,B_WorkTime*24,)</f>
        <v>0</v>
      </c>
      <c r="J192" s="153"/>
      <c r="K192" s="156"/>
      <c r="L192" s="157"/>
      <c r="M192" s="581"/>
      <c r="N192" s="582"/>
      <c r="O192" s="581"/>
      <c r="P192" s="582"/>
      <c r="Q192" s="581"/>
      <c r="R192" s="582"/>
      <c r="S192" s="581"/>
      <c r="T192" s="582"/>
      <c r="U192" s="581"/>
      <c r="V192" s="582"/>
      <c r="W192" s="581"/>
      <c r="X192" s="582"/>
      <c r="Y192" s="581"/>
      <c r="Z192" s="582"/>
      <c r="AA192" s="581"/>
      <c r="AB192" s="582"/>
      <c r="AC192" s="581"/>
      <c r="AD192" s="582"/>
      <c r="AE192" s="581"/>
      <c r="AF192" s="583"/>
      <c r="AG192" s="581"/>
      <c r="AH192" s="583"/>
      <c r="AI192" s="581"/>
      <c r="AJ192" s="583"/>
      <c r="AK192" s="581"/>
      <c r="AL192" s="583"/>
      <c r="AM192" s="584"/>
      <c r="AN192" s="583"/>
      <c r="AO192" s="581"/>
      <c r="AP192" s="583"/>
      <c r="AQ192" s="584"/>
      <c r="AR192" s="583"/>
      <c r="AS192" s="583"/>
      <c r="AT192" s="583"/>
      <c r="AU192" s="584"/>
      <c r="AV192" s="583"/>
      <c r="AW192" s="583"/>
      <c r="AX192" s="158"/>
      <c r="AY192" s="154"/>
      <c r="AZ192">
        <f ca="1">INDIRECT(ADDRESS(ROW()+1,COLUMN(Arbeitszeit!xDay),,,"Arbeitszeit"))</f>
        <v>1</v>
      </c>
    </row>
    <row r="193" spans="1:52">
      <c r="A193" s="523">
        <f>Arbeitszeit!A194</f>
        <v>42557</v>
      </c>
      <c r="B193" s="524">
        <f t="shared" si="8"/>
        <v>42557</v>
      </c>
      <c r="C193" s="191">
        <f t="shared" si="9"/>
        <v>28</v>
      </c>
      <c r="D193" s="190">
        <f t="shared" si="10"/>
        <v>42551</v>
      </c>
      <c r="E193" s="593">
        <f>Arbeitszeit!V194*24</f>
        <v>0</v>
      </c>
      <c r="F193" s="352">
        <f t="shared" si="11"/>
        <v>0</v>
      </c>
      <c r="G193" s="155">
        <f>IF(Arbeitszeit!F194=Urlaub,B_WorkTime*24,)</f>
        <v>0</v>
      </c>
      <c r="H193" s="153"/>
      <c r="I193" s="155">
        <f>IF(Arbeitszeit!F194=Krank,B_WorkTime*24,)</f>
        <v>0</v>
      </c>
      <c r="J193" s="153"/>
      <c r="K193" s="156"/>
      <c r="L193" s="157"/>
      <c r="M193" s="581"/>
      <c r="N193" s="582"/>
      <c r="O193" s="581"/>
      <c r="P193" s="582"/>
      <c r="Q193" s="581"/>
      <c r="R193" s="582"/>
      <c r="S193" s="581"/>
      <c r="T193" s="582"/>
      <c r="U193" s="581"/>
      <c r="V193" s="582"/>
      <c r="W193" s="581"/>
      <c r="X193" s="582"/>
      <c r="Y193" s="581"/>
      <c r="Z193" s="582"/>
      <c r="AA193" s="581"/>
      <c r="AB193" s="582"/>
      <c r="AC193" s="581"/>
      <c r="AD193" s="582"/>
      <c r="AE193" s="581"/>
      <c r="AF193" s="583"/>
      <c r="AG193" s="581"/>
      <c r="AH193" s="583"/>
      <c r="AI193" s="581"/>
      <c r="AJ193" s="583"/>
      <c r="AK193" s="581"/>
      <c r="AL193" s="583"/>
      <c r="AM193" s="584"/>
      <c r="AN193" s="583"/>
      <c r="AO193" s="581"/>
      <c r="AP193" s="583"/>
      <c r="AQ193" s="584"/>
      <c r="AR193" s="583"/>
      <c r="AS193" s="583"/>
      <c r="AT193" s="583"/>
      <c r="AU193" s="584"/>
      <c r="AV193" s="583"/>
      <c r="AW193" s="583"/>
      <c r="AX193" s="158"/>
      <c r="AY193" s="154"/>
      <c r="AZ193">
        <f ca="1">INDIRECT(ADDRESS(ROW()+1,COLUMN(Arbeitszeit!xDay),,,"Arbeitszeit"))</f>
        <v>2</v>
      </c>
    </row>
    <row r="194" spans="1:52">
      <c r="A194" s="523">
        <f>Arbeitszeit!A195</f>
        <v>42558</v>
      </c>
      <c r="B194" s="524">
        <f t="shared" si="8"/>
        <v>42558</v>
      </c>
      <c r="C194" s="191">
        <f t="shared" si="9"/>
        <v>28</v>
      </c>
      <c r="D194" s="190">
        <f t="shared" si="10"/>
        <v>42551</v>
      </c>
      <c r="E194" s="593">
        <f>Arbeitszeit!V195*24</f>
        <v>0</v>
      </c>
      <c r="F194" s="352">
        <f t="shared" si="11"/>
        <v>0</v>
      </c>
      <c r="G194" s="155">
        <f>IF(Arbeitszeit!F195=Urlaub,B_WorkTime*24,)</f>
        <v>0</v>
      </c>
      <c r="H194" s="153"/>
      <c r="I194" s="155">
        <f>IF(Arbeitszeit!F195=Krank,B_WorkTime*24,)</f>
        <v>0</v>
      </c>
      <c r="J194" s="153"/>
      <c r="K194" s="156"/>
      <c r="L194" s="157"/>
      <c r="M194" s="581"/>
      <c r="N194" s="582"/>
      <c r="O194" s="581"/>
      <c r="P194" s="582"/>
      <c r="Q194" s="581"/>
      <c r="R194" s="582"/>
      <c r="S194" s="581"/>
      <c r="T194" s="582"/>
      <c r="U194" s="581"/>
      <c r="V194" s="582"/>
      <c r="W194" s="581"/>
      <c r="X194" s="582"/>
      <c r="Y194" s="581"/>
      <c r="Z194" s="582"/>
      <c r="AA194" s="581"/>
      <c r="AB194" s="582"/>
      <c r="AC194" s="581"/>
      <c r="AD194" s="582"/>
      <c r="AE194" s="581"/>
      <c r="AF194" s="583"/>
      <c r="AG194" s="581"/>
      <c r="AH194" s="583"/>
      <c r="AI194" s="581"/>
      <c r="AJ194" s="583"/>
      <c r="AK194" s="581"/>
      <c r="AL194" s="583"/>
      <c r="AM194" s="584"/>
      <c r="AN194" s="583"/>
      <c r="AO194" s="581"/>
      <c r="AP194" s="583"/>
      <c r="AQ194" s="584"/>
      <c r="AR194" s="583"/>
      <c r="AS194" s="583"/>
      <c r="AT194" s="583"/>
      <c r="AU194" s="584"/>
      <c r="AV194" s="583"/>
      <c r="AW194" s="583"/>
      <c r="AX194" s="158"/>
      <c r="AY194" s="154"/>
      <c r="AZ194">
        <f ca="1">INDIRECT(ADDRESS(ROW()+1,COLUMN(Arbeitszeit!xDay),,,"Arbeitszeit"))</f>
        <v>3</v>
      </c>
    </row>
    <row r="195" spans="1:52">
      <c r="A195" s="523">
        <f>Arbeitszeit!A196</f>
        <v>42559</v>
      </c>
      <c r="B195" s="524">
        <f t="shared" si="8"/>
        <v>42559</v>
      </c>
      <c r="C195" s="191">
        <f t="shared" si="9"/>
        <v>28</v>
      </c>
      <c r="D195" s="190">
        <f t="shared" si="10"/>
        <v>42551</v>
      </c>
      <c r="E195" s="593">
        <f>Arbeitszeit!V196*24</f>
        <v>0</v>
      </c>
      <c r="F195" s="352">
        <f t="shared" si="11"/>
        <v>0</v>
      </c>
      <c r="G195" s="155">
        <f>IF(Arbeitszeit!F196=Urlaub,B_WorkTime*24,)</f>
        <v>0</v>
      </c>
      <c r="H195" s="153"/>
      <c r="I195" s="155">
        <f>IF(Arbeitszeit!F196=Krank,B_WorkTime*24,)</f>
        <v>0</v>
      </c>
      <c r="J195" s="153"/>
      <c r="K195" s="156"/>
      <c r="L195" s="157"/>
      <c r="M195" s="581"/>
      <c r="N195" s="582"/>
      <c r="O195" s="581"/>
      <c r="P195" s="582"/>
      <c r="Q195" s="581"/>
      <c r="R195" s="582"/>
      <c r="S195" s="581"/>
      <c r="T195" s="582"/>
      <c r="U195" s="581"/>
      <c r="V195" s="582"/>
      <c r="W195" s="581"/>
      <c r="X195" s="582"/>
      <c r="Y195" s="581"/>
      <c r="Z195" s="582"/>
      <c r="AA195" s="581"/>
      <c r="AB195" s="582"/>
      <c r="AC195" s="581"/>
      <c r="AD195" s="582"/>
      <c r="AE195" s="581"/>
      <c r="AF195" s="583"/>
      <c r="AG195" s="581"/>
      <c r="AH195" s="583"/>
      <c r="AI195" s="581"/>
      <c r="AJ195" s="583"/>
      <c r="AK195" s="581"/>
      <c r="AL195" s="583"/>
      <c r="AM195" s="584"/>
      <c r="AN195" s="583"/>
      <c r="AO195" s="581"/>
      <c r="AP195" s="583"/>
      <c r="AQ195" s="584"/>
      <c r="AR195" s="583"/>
      <c r="AS195" s="583"/>
      <c r="AT195" s="583"/>
      <c r="AU195" s="584"/>
      <c r="AV195" s="583"/>
      <c r="AW195" s="583"/>
      <c r="AX195" s="158"/>
      <c r="AY195" s="154"/>
      <c r="AZ195">
        <f ca="1">INDIRECT(ADDRESS(ROW()+1,COLUMN(Arbeitszeit!xDay),,,"Arbeitszeit"))</f>
        <v>4</v>
      </c>
    </row>
    <row r="196" spans="1:52">
      <c r="A196" s="523">
        <f>Arbeitszeit!A197</f>
        <v>42560</v>
      </c>
      <c r="B196" s="524">
        <f t="shared" si="8"/>
        <v>42560</v>
      </c>
      <c r="C196" s="191">
        <f t="shared" si="9"/>
        <v>28</v>
      </c>
      <c r="D196" s="190">
        <f t="shared" si="10"/>
        <v>42551</v>
      </c>
      <c r="E196" s="593">
        <f>Arbeitszeit!V197*24</f>
        <v>0</v>
      </c>
      <c r="F196" s="352">
        <f t="shared" si="11"/>
        <v>0</v>
      </c>
      <c r="G196" s="155">
        <f>IF(Arbeitszeit!F197=Urlaub,B_WorkTime*24,)</f>
        <v>0</v>
      </c>
      <c r="H196" s="153"/>
      <c r="I196" s="155">
        <f>IF(Arbeitszeit!F197=Krank,B_WorkTime*24,)</f>
        <v>0</v>
      </c>
      <c r="J196" s="153"/>
      <c r="K196" s="156"/>
      <c r="L196" s="157"/>
      <c r="M196" s="581"/>
      <c r="N196" s="582"/>
      <c r="O196" s="581"/>
      <c r="P196" s="582"/>
      <c r="Q196" s="581"/>
      <c r="R196" s="582"/>
      <c r="S196" s="581"/>
      <c r="T196" s="582"/>
      <c r="U196" s="581"/>
      <c r="V196" s="582"/>
      <c r="W196" s="581"/>
      <c r="X196" s="582"/>
      <c r="Y196" s="581"/>
      <c r="Z196" s="582"/>
      <c r="AA196" s="581"/>
      <c r="AB196" s="582"/>
      <c r="AC196" s="581"/>
      <c r="AD196" s="582"/>
      <c r="AE196" s="581"/>
      <c r="AF196" s="583"/>
      <c r="AG196" s="581"/>
      <c r="AH196" s="583"/>
      <c r="AI196" s="581"/>
      <c r="AJ196" s="583"/>
      <c r="AK196" s="581"/>
      <c r="AL196" s="583"/>
      <c r="AM196" s="584"/>
      <c r="AN196" s="583"/>
      <c r="AO196" s="581"/>
      <c r="AP196" s="583"/>
      <c r="AQ196" s="584"/>
      <c r="AR196" s="583"/>
      <c r="AS196" s="583"/>
      <c r="AT196" s="583"/>
      <c r="AU196" s="584"/>
      <c r="AV196" s="583"/>
      <c r="AW196" s="583"/>
      <c r="AX196" s="158"/>
      <c r="AY196" s="154"/>
      <c r="AZ196">
        <f ca="1">INDIRECT(ADDRESS(ROW()+1,COLUMN(Arbeitszeit!xDay),,,"Arbeitszeit"))</f>
        <v>5</v>
      </c>
    </row>
    <row r="197" spans="1:52">
      <c r="A197" s="523">
        <f>Arbeitszeit!A198</f>
        <v>42561</v>
      </c>
      <c r="B197" s="524">
        <f t="shared" si="8"/>
        <v>42561</v>
      </c>
      <c r="C197" s="191">
        <f t="shared" si="9"/>
        <v>28</v>
      </c>
      <c r="D197" s="190">
        <f t="shared" si="10"/>
        <v>42551</v>
      </c>
      <c r="E197" s="593">
        <f>Arbeitszeit!V198*24</f>
        <v>0</v>
      </c>
      <c r="F197" s="352">
        <f t="shared" si="11"/>
        <v>0</v>
      </c>
      <c r="G197" s="155">
        <f>IF(Arbeitszeit!F198=Urlaub,B_WorkTime*24,)</f>
        <v>0</v>
      </c>
      <c r="H197" s="153"/>
      <c r="I197" s="155">
        <f>IF(Arbeitszeit!F198=Krank,B_WorkTime*24,)</f>
        <v>0</v>
      </c>
      <c r="J197" s="153"/>
      <c r="K197" s="156"/>
      <c r="L197" s="157"/>
      <c r="M197" s="581"/>
      <c r="N197" s="582"/>
      <c r="O197" s="581"/>
      <c r="P197" s="582"/>
      <c r="Q197" s="581"/>
      <c r="R197" s="582"/>
      <c r="S197" s="581"/>
      <c r="T197" s="582"/>
      <c r="U197" s="581"/>
      <c r="V197" s="582"/>
      <c r="W197" s="581"/>
      <c r="X197" s="582"/>
      <c r="Y197" s="581"/>
      <c r="Z197" s="582"/>
      <c r="AA197" s="581"/>
      <c r="AB197" s="582"/>
      <c r="AC197" s="581"/>
      <c r="AD197" s="582"/>
      <c r="AE197" s="581"/>
      <c r="AF197" s="583"/>
      <c r="AG197" s="581"/>
      <c r="AH197" s="583"/>
      <c r="AI197" s="581"/>
      <c r="AJ197" s="583"/>
      <c r="AK197" s="581"/>
      <c r="AL197" s="583"/>
      <c r="AM197" s="584"/>
      <c r="AN197" s="583"/>
      <c r="AO197" s="581"/>
      <c r="AP197" s="583"/>
      <c r="AQ197" s="584"/>
      <c r="AR197" s="583"/>
      <c r="AS197" s="583"/>
      <c r="AT197" s="583"/>
      <c r="AU197" s="584"/>
      <c r="AV197" s="583"/>
      <c r="AW197" s="583"/>
      <c r="AX197" s="158"/>
      <c r="AY197" s="154"/>
      <c r="AZ197">
        <f ca="1">INDIRECT(ADDRESS(ROW()+1,COLUMN(Arbeitszeit!xDay),,,"Arbeitszeit"))</f>
        <v>6</v>
      </c>
    </row>
    <row r="198" spans="1:52">
      <c r="A198" s="523">
        <f>Arbeitszeit!A199</f>
        <v>42562</v>
      </c>
      <c r="B198" s="524">
        <f t="shared" ref="B198:B261" si="12">IF(A198="","",A198)</f>
        <v>42562</v>
      </c>
      <c r="C198" s="191">
        <f t="shared" si="9"/>
        <v>28</v>
      </c>
      <c r="D198" s="190">
        <f t="shared" si="10"/>
        <v>42551</v>
      </c>
      <c r="E198" s="593">
        <f>Arbeitszeit!V199*24</f>
        <v>0</v>
      </c>
      <c r="F198" s="352">
        <f t="shared" si="11"/>
        <v>0</v>
      </c>
      <c r="G198" s="155">
        <f>IF(Arbeitszeit!F199=Urlaub,B_WorkTime*24,)</f>
        <v>0</v>
      </c>
      <c r="H198" s="153"/>
      <c r="I198" s="155">
        <f>IF(Arbeitszeit!F199=Krank,B_WorkTime*24,)</f>
        <v>0</v>
      </c>
      <c r="J198" s="153"/>
      <c r="K198" s="156"/>
      <c r="L198" s="157"/>
      <c r="M198" s="581"/>
      <c r="N198" s="582"/>
      <c r="O198" s="581"/>
      <c r="P198" s="582"/>
      <c r="Q198" s="581"/>
      <c r="R198" s="582"/>
      <c r="S198" s="581"/>
      <c r="T198" s="582"/>
      <c r="U198" s="581"/>
      <c r="V198" s="582"/>
      <c r="W198" s="581"/>
      <c r="X198" s="582"/>
      <c r="Y198" s="581"/>
      <c r="Z198" s="582"/>
      <c r="AA198" s="581"/>
      <c r="AB198" s="582"/>
      <c r="AC198" s="581"/>
      <c r="AD198" s="582"/>
      <c r="AE198" s="581"/>
      <c r="AF198" s="583"/>
      <c r="AG198" s="581"/>
      <c r="AH198" s="583"/>
      <c r="AI198" s="581"/>
      <c r="AJ198" s="583"/>
      <c r="AK198" s="581"/>
      <c r="AL198" s="583"/>
      <c r="AM198" s="584"/>
      <c r="AN198" s="583"/>
      <c r="AO198" s="581"/>
      <c r="AP198" s="583"/>
      <c r="AQ198" s="584"/>
      <c r="AR198" s="583"/>
      <c r="AS198" s="583"/>
      <c r="AT198" s="583"/>
      <c r="AU198" s="584"/>
      <c r="AV198" s="583"/>
      <c r="AW198" s="583"/>
      <c r="AX198" s="158"/>
      <c r="AY198" s="154"/>
      <c r="AZ198">
        <f ca="1">INDIRECT(ADDRESS(ROW()+1,COLUMN(Arbeitszeit!xDay),,,"Arbeitszeit"))</f>
        <v>7</v>
      </c>
    </row>
    <row r="199" spans="1:52">
      <c r="A199" s="523">
        <f>Arbeitszeit!A200</f>
        <v>42563</v>
      </c>
      <c r="B199" s="524">
        <f t="shared" si="12"/>
        <v>42563</v>
      </c>
      <c r="C199" s="191">
        <f t="shared" ref="C199:C262" si="13">IF(A199="","",NumberOfWeek(A199))</f>
        <v>29</v>
      </c>
      <c r="D199" s="190">
        <f t="shared" ref="D199:D262" si="14">IF(A199="","",DATE(YEAR(A199),MONTH(A199),1))</f>
        <v>42551</v>
      </c>
      <c r="E199" s="593">
        <f>Arbeitszeit!V200*24</f>
        <v>0</v>
      </c>
      <c r="F199" s="352">
        <f t="shared" si="11"/>
        <v>0</v>
      </c>
      <c r="G199" s="155">
        <f>IF(Arbeitszeit!F200=Urlaub,B_WorkTime*24,)</f>
        <v>0</v>
      </c>
      <c r="H199" s="153"/>
      <c r="I199" s="155">
        <f>IF(Arbeitszeit!F200=Krank,B_WorkTime*24,)</f>
        <v>0</v>
      </c>
      <c r="J199" s="153"/>
      <c r="K199" s="156"/>
      <c r="L199" s="157"/>
      <c r="M199" s="581"/>
      <c r="N199" s="582"/>
      <c r="O199" s="581"/>
      <c r="P199" s="582"/>
      <c r="Q199" s="581"/>
      <c r="R199" s="582"/>
      <c r="S199" s="581"/>
      <c r="T199" s="582"/>
      <c r="U199" s="581"/>
      <c r="V199" s="582"/>
      <c r="W199" s="581"/>
      <c r="X199" s="582"/>
      <c r="Y199" s="581"/>
      <c r="Z199" s="582"/>
      <c r="AA199" s="581"/>
      <c r="AB199" s="582"/>
      <c r="AC199" s="581"/>
      <c r="AD199" s="582"/>
      <c r="AE199" s="581"/>
      <c r="AF199" s="583"/>
      <c r="AG199" s="581"/>
      <c r="AH199" s="583"/>
      <c r="AI199" s="581"/>
      <c r="AJ199" s="583"/>
      <c r="AK199" s="581"/>
      <c r="AL199" s="583"/>
      <c r="AM199" s="584"/>
      <c r="AN199" s="583"/>
      <c r="AO199" s="581"/>
      <c r="AP199" s="583"/>
      <c r="AQ199" s="584"/>
      <c r="AR199" s="583"/>
      <c r="AS199" s="583"/>
      <c r="AT199" s="583"/>
      <c r="AU199" s="584"/>
      <c r="AV199" s="583"/>
      <c r="AW199" s="583"/>
      <c r="AX199" s="158"/>
      <c r="AY199" s="154"/>
      <c r="AZ199">
        <f ca="1">INDIRECT(ADDRESS(ROW()+1,COLUMN(Arbeitszeit!xDay),,,"Arbeitszeit"))</f>
        <v>1</v>
      </c>
    </row>
    <row r="200" spans="1:52">
      <c r="A200" s="523">
        <f>Arbeitszeit!A201</f>
        <v>42564</v>
      </c>
      <c r="B200" s="524">
        <f t="shared" si="12"/>
        <v>42564</v>
      </c>
      <c r="C200" s="191">
        <f t="shared" si="13"/>
        <v>29</v>
      </c>
      <c r="D200" s="190">
        <f t="shared" si="14"/>
        <v>42551</v>
      </c>
      <c r="E200" s="593">
        <f>Arbeitszeit!V201*24</f>
        <v>0</v>
      </c>
      <c r="F200" s="352">
        <f t="shared" ref="F200:F263" si="15">ROUND(E200-SUM(K200:AW200),1)</f>
        <v>0</v>
      </c>
      <c r="G200" s="155">
        <f>IF(Arbeitszeit!F201=Urlaub,B_WorkTime*24,)</f>
        <v>0</v>
      </c>
      <c r="H200" s="153"/>
      <c r="I200" s="155">
        <f>IF(Arbeitszeit!F201=Krank,B_WorkTime*24,)</f>
        <v>0</v>
      </c>
      <c r="J200" s="153"/>
      <c r="K200" s="156"/>
      <c r="L200" s="157"/>
      <c r="M200" s="581"/>
      <c r="N200" s="582"/>
      <c r="O200" s="581"/>
      <c r="P200" s="582"/>
      <c r="Q200" s="581"/>
      <c r="R200" s="582"/>
      <c r="S200" s="581"/>
      <c r="T200" s="582"/>
      <c r="U200" s="581"/>
      <c r="V200" s="582"/>
      <c r="W200" s="581"/>
      <c r="X200" s="582"/>
      <c r="Y200" s="581"/>
      <c r="Z200" s="582"/>
      <c r="AA200" s="581"/>
      <c r="AB200" s="582"/>
      <c r="AC200" s="581"/>
      <c r="AD200" s="582"/>
      <c r="AE200" s="581"/>
      <c r="AF200" s="583"/>
      <c r="AG200" s="581"/>
      <c r="AH200" s="583"/>
      <c r="AI200" s="581"/>
      <c r="AJ200" s="583"/>
      <c r="AK200" s="581"/>
      <c r="AL200" s="583"/>
      <c r="AM200" s="584"/>
      <c r="AN200" s="583"/>
      <c r="AO200" s="581"/>
      <c r="AP200" s="583"/>
      <c r="AQ200" s="584"/>
      <c r="AR200" s="583"/>
      <c r="AS200" s="583"/>
      <c r="AT200" s="583"/>
      <c r="AU200" s="584"/>
      <c r="AV200" s="583"/>
      <c r="AW200" s="583"/>
      <c r="AX200" s="158"/>
      <c r="AY200" s="154"/>
      <c r="AZ200">
        <f ca="1">INDIRECT(ADDRESS(ROW()+1,COLUMN(Arbeitszeit!xDay),,,"Arbeitszeit"))</f>
        <v>2</v>
      </c>
    </row>
    <row r="201" spans="1:52">
      <c r="A201" s="523">
        <f>Arbeitszeit!A202</f>
        <v>42565</v>
      </c>
      <c r="B201" s="524">
        <f t="shared" si="12"/>
        <v>42565</v>
      </c>
      <c r="C201" s="191">
        <f t="shared" si="13"/>
        <v>29</v>
      </c>
      <c r="D201" s="190">
        <f t="shared" si="14"/>
        <v>42551</v>
      </c>
      <c r="E201" s="593">
        <f>Arbeitszeit!V202*24</f>
        <v>0</v>
      </c>
      <c r="F201" s="352">
        <f t="shared" si="15"/>
        <v>0</v>
      </c>
      <c r="G201" s="155">
        <f>IF(Arbeitszeit!F202=Urlaub,B_WorkTime*24,)</f>
        <v>0</v>
      </c>
      <c r="H201" s="153"/>
      <c r="I201" s="155">
        <f>IF(Arbeitszeit!F202=Krank,B_WorkTime*24,)</f>
        <v>0</v>
      </c>
      <c r="J201" s="153"/>
      <c r="K201" s="156"/>
      <c r="L201" s="157"/>
      <c r="M201" s="581"/>
      <c r="N201" s="582"/>
      <c r="O201" s="581"/>
      <c r="P201" s="582"/>
      <c r="Q201" s="581"/>
      <c r="R201" s="582"/>
      <c r="S201" s="581"/>
      <c r="T201" s="582"/>
      <c r="U201" s="581"/>
      <c r="V201" s="582"/>
      <c r="W201" s="581"/>
      <c r="X201" s="582"/>
      <c r="Y201" s="581"/>
      <c r="Z201" s="582"/>
      <c r="AA201" s="581"/>
      <c r="AB201" s="582"/>
      <c r="AC201" s="581"/>
      <c r="AD201" s="582"/>
      <c r="AE201" s="581"/>
      <c r="AF201" s="583"/>
      <c r="AG201" s="581"/>
      <c r="AH201" s="583"/>
      <c r="AI201" s="581"/>
      <c r="AJ201" s="583"/>
      <c r="AK201" s="581"/>
      <c r="AL201" s="583"/>
      <c r="AM201" s="584"/>
      <c r="AN201" s="583"/>
      <c r="AO201" s="581"/>
      <c r="AP201" s="583"/>
      <c r="AQ201" s="584"/>
      <c r="AR201" s="583"/>
      <c r="AS201" s="583"/>
      <c r="AT201" s="583"/>
      <c r="AU201" s="584"/>
      <c r="AV201" s="583"/>
      <c r="AW201" s="583"/>
      <c r="AX201" s="158"/>
      <c r="AY201" s="154"/>
      <c r="AZ201">
        <f ca="1">INDIRECT(ADDRESS(ROW()+1,COLUMN(Arbeitszeit!xDay),,,"Arbeitszeit"))</f>
        <v>3</v>
      </c>
    </row>
    <row r="202" spans="1:52">
      <c r="A202" s="523">
        <f>Arbeitszeit!A203</f>
        <v>42566</v>
      </c>
      <c r="B202" s="524">
        <f t="shared" si="12"/>
        <v>42566</v>
      </c>
      <c r="C202" s="191">
        <f t="shared" si="13"/>
        <v>29</v>
      </c>
      <c r="D202" s="190">
        <f t="shared" si="14"/>
        <v>42551</v>
      </c>
      <c r="E202" s="593">
        <f>Arbeitszeit!V203*24</f>
        <v>0</v>
      </c>
      <c r="F202" s="352">
        <f t="shared" si="15"/>
        <v>0</v>
      </c>
      <c r="G202" s="155">
        <f>IF(Arbeitszeit!F203=Urlaub,B_WorkTime*24,)</f>
        <v>0</v>
      </c>
      <c r="H202" s="153"/>
      <c r="I202" s="155">
        <f>IF(Arbeitszeit!F203=Krank,B_WorkTime*24,)</f>
        <v>0</v>
      </c>
      <c r="J202" s="153"/>
      <c r="K202" s="156"/>
      <c r="L202" s="157"/>
      <c r="M202" s="581"/>
      <c r="N202" s="582"/>
      <c r="O202" s="581"/>
      <c r="P202" s="582"/>
      <c r="Q202" s="581"/>
      <c r="R202" s="582"/>
      <c r="S202" s="581"/>
      <c r="T202" s="582"/>
      <c r="U202" s="581"/>
      <c r="V202" s="582"/>
      <c r="W202" s="581"/>
      <c r="X202" s="582"/>
      <c r="Y202" s="581"/>
      <c r="Z202" s="582"/>
      <c r="AA202" s="581"/>
      <c r="AB202" s="582"/>
      <c r="AC202" s="581"/>
      <c r="AD202" s="582"/>
      <c r="AE202" s="581"/>
      <c r="AF202" s="583"/>
      <c r="AG202" s="581"/>
      <c r="AH202" s="583"/>
      <c r="AI202" s="581"/>
      <c r="AJ202" s="583"/>
      <c r="AK202" s="581"/>
      <c r="AL202" s="583"/>
      <c r="AM202" s="584"/>
      <c r="AN202" s="583"/>
      <c r="AO202" s="581"/>
      <c r="AP202" s="583"/>
      <c r="AQ202" s="584"/>
      <c r="AR202" s="583"/>
      <c r="AS202" s="583"/>
      <c r="AT202" s="583"/>
      <c r="AU202" s="584"/>
      <c r="AV202" s="583"/>
      <c r="AW202" s="583"/>
      <c r="AX202" s="158"/>
      <c r="AY202" s="154"/>
      <c r="AZ202">
        <f ca="1">INDIRECT(ADDRESS(ROW()+1,COLUMN(Arbeitszeit!xDay),,,"Arbeitszeit"))</f>
        <v>4</v>
      </c>
    </row>
    <row r="203" spans="1:52">
      <c r="A203" s="523">
        <f>Arbeitszeit!A204</f>
        <v>42567</v>
      </c>
      <c r="B203" s="524">
        <f t="shared" si="12"/>
        <v>42567</v>
      </c>
      <c r="C203" s="191">
        <f t="shared" si="13"/>
        <v>29</v>
      </c>
      <c r="D203" s="190">
        <f t="shared" si="14"/>
        <v>42551</v>
      </c>
      <c r="E203" s="593">
        <f>Arbeitszeit!V204*24</f>
        <v>0</v>
      </c>
      <c r="F203" s="352">
        <f t="shared" si="15"/>
        <v>0</v>
      </c>
      <c r="G203" s="155">
        <f>IF(Arbeitszeit!F204=Urlaub,B_WorkTime*24,)</f>
        <v>0</v>
      </c>
      <c r="H203" s="153"/>
      <c r="I203" s="155">
        <f>IF(Arbeitszeit!F204=Krank,B_WorkTime*24,)</f>
        <v>0</v>
      </c>
      <c r="J203" s="153"/>
      <c r="K203" s="156"/>
      <c r="L203" s="157"/>
      <c r="M203" s="581"/>
      <c r="N203" s="582"/>
      <c r="O203" s="581"/>
      <c r="P203" s="582"/>
      <c r="Q203" s="581"/>
      <c r="R203" s="582"/>
      <c r="S203" s="581"/>
      <c r="T203" s="582"/>
      <c r="U203" s="581"/>
      <c r="V203" s="582"/>
      <c r="W203" s="581"/>
      <c r="X203" s="582"/>
      <c r="Y203" s="581"/>
      <c r="Z203" s="582"/>
      <c r="AA203" s="581"/>
      <c r="AB203" s="582"/>
      <c r="AC203" s="581"/>
      <c r="AD203" s="582"/>
      <c r="AE203" s="581"/>
      <c r="AF203" s="583"/>
      <c r="AG203" s="581"/>
      <c r="AH203" s="583"/>
      <c r="AI203" s="581"/>
      <c r="AJ203" s="583"/>
      <c r="AK203" s="581"/>
      <c r="AL203" s="583"/>
      <c r="AM203" s="584"/>
      <c r="AN203" s="583"/>
      <c r="AO203" s="581"/>
      <c r="AP203" s="583"/>
      <c r="AQ203" s="584"/>
      <c r="AR203" s="583"/>
      <c r="AS203" s="583"/>
      <c r="AT203" s="583"/>
      <c r="AU203" s="584"/>
      <c r="AV203" s="583"/>
      <c r="AW203" s="583"/>
      <c r="AX203" s="158"/>
      <c r="AY203" s="154"/>
      <c r="AZ203">
        <f ca="1">INDIRECT(ADDRESS(ROW()+1,COLUMN(Arbeitszeit!xDay),,,"Arbeitszeit"))</f>
        <v>5</v>
      </c>
    </row>
    <row r="204" spans="1:52">
      <c r="A204" s="523">
        <f>Arbeitszeit!A205</f>
        <v>42568</v>
      </c>
      <c r="B204" s="524">
        <f t="shared" si="12"/>
        <v>42568</v>
      </c>
      <c r="C204" s="191">
        <f t="shared" si="13"/>
        <v>29</v>
      </c>
      <c r="D204" s="190">
        <f t="shared" si="14"/>
        <v>42551</v>
      </c>
      <c r="E204" s="593">
        <f>Arbeitszeit!V205*24</f>
        <v>0</v>
      </c>
      <c r="F204" s="352">
        <f t="shared" si="15"/>
        <v>0</v>
      </c>
      <c r="G204" s="155">
        <f>IF(Arbeitszeit!F205=Urlaub,B_WorkTime*24,)</f>
        <v>0</v>
      </c>
      <c r="H204" s="153"/>
      <c r="I204" s="155">
        <f>IF(Arbeitszeit!F205=Krank,B_WorkTime*24,)</f>
        <v>0</v>
      </c>
      <c r="J204" s="153"/>
      <c r="K204" s="156"/>
      <c r="L204" s="157"/>
      <c r="M204" s="581"/>
      <c r="N204" s="582"/>
      <c r="O204" s="581"/>
      <c r="P204" s="582"/>
      <c r="Q204" s="581"/>
      <c r="R204" s="582"/>
      <c r="S204" s="581"/>
      <c r="T204" s="582"/>
      <c r="U204" s="581"/>
      <c r="V204" s="582"/>
      <c r="W204" s="581"/>
      <c r="X204" s="582"/>
      <c r="Y204" s="581"/>
      <c r="Z204" s="582"/>
      <c r="AA204" s="581"/>
      <c r="AB204" s="582"/>
      <c r="AC204" s="581"/>
      <c r="AD204" s="582"/>
      <c r="AE204" s="581"/>
      <c r="AF204" s="583"/>
      <c r="AG204" s="581"/>
      <c r="AH204" s="583"/>
      <c r="AI204" s="581"/>
      <c r="AJ204" s="583"/>
      <c r="AK204" s="581"/>
      <c r="AL204" s="583"/>
      <c r="AM204" s="584"/>
      <c r="AN204" s="583"/>
      <c r="AO204" s="581"/>
      <c r="AP204" s="583"/>
      <c r="AQ204" s="584"/>
      <c r="AR204" s="583"/>
      <c r="AS204" s="583"/>
      <c r="AT204" s="583"/>
      <c r="AU204" s="584"/>
      <c r="AV204" s="583"/>
      <c r="AW204" s="583"/>
      <c r="AX204" s="158"/>
      <c r="AY204" s="154"/>
      <c r="AZ204">
        <f ca="1">INDIRECT(ADDRESS(ROW()+1,COLUMN(Arbeitszeit!xDay),,,"Arbeitszeit"))</f>
        <v>6</v>
      </c>
    </row>
    <row r="205" spans="1:52">
      <c r="A205" s="523">
        <f>Arbeitszeit!A206</f>
        <v>42569</v>
      </c>
      <c r="B205" s="524">
        <f t="shared" si="12"/>
        <v>42569</v>
      </c>
      <c r="C205" s="191">
        <f t="shared" si="13"/>
        <v>29</v>
      </c>
      <c r="D205" s="190">
        <f t="shared" si="14"/>
        <v>42551</v>
      </c>
      <c r="E205" s="593">
        <f>Arbeitszeit!V206*24</f>
        <v>0</v>
      </c>
      <c r="F205" s="352">
        <f t="shared" si="15"/>
        <v>0</v>
      </c>
      <c r="G205" s="155">
        <f>IF(Arbeitszeit!F206=Urlaub,B_WorkTime*24,)</f>
        <v>0</v>
      </c>
      <c r="H205" s="153"/>
      <c r="I205" s="155">
        <f>IF(Arbeitszeit!F206=Krank,B_WorkTime*24,)</f>
        <v>0</v>
      </c>
      <c r="J205" s="153"/>
      <c r="K205" s="156"/>
      <c r="L205" s="157"/>
      <c r="M205" s="581"/>
      <c r="N205" s="582"/>
      <c r="O205" s="581"/>
      <c r="P205" s="582"/>
      <c r="Q205" s="581"/>
      <c r="R205" s="582"/>
      <c r="S205" s="581"/>
      <c r="T205" s="582"/>
      <c r="U205" s="581"/>
      <c r="V205" s="582"/>
      <c r="W205" s="581"/>
      <c r="X205" s="582"/>
      <c r="Y205" s="581"/>
      <c r="Z205" s="582"/>
      <c r="AA205" s="581"/>
      <c r="AB205" s="582"/>
      <c r="AC205" s="581"/>
      <c r="AD205" s="582"/>
      <c r="AE205" s="581"/>
      <c r="AF205" s="583"/>
      <c r="AG205" s="581"/>
      <c r="AH205" s="583"/>
      <c r="AI205" s="581"/>
      <c r="AJ205" s="583"/>
      <c r="AK205" s="581"/>
      <c r="AL205" s="583"/>
      <c r="AM205" s="584"/>
      <c r="AN205" s="583"/>
      <c r="AO205" s="581"/>
      <c r="AP205" s="583"/>
      <c r="AQ205" s="584"/>
      <c r="AR205" s="583"/>
      <c r="AS205" s="583"/>
      <c r="AT205" s="583"/>
      <c r="AU205" s="584"/>
      <c r="AV205" s="583"/>
      <c r="AW205" s="583"/>
      <c r="AX205" s="158"/>
      <c r="AY205" s="154"/>
      <c r="AZ205">
        <f ca="1">INDIRECT(ADDRESS(ROW()+1,COLUMN(Arbeitszeit!xDay),,,"Arbeitszeit"))</f>
        <v>7</v>
      </c>
    </row>
    <row r="206" spans="1:52">
      <c r="A206" s="523">
        <f>Arbeitszeit!A207</f>
        <v>42570</v>
      </c>
      <c r="B206" s="524">
        <f t="shared" si="12"/>
        <v>42570</v>
      </c>
      <c r="C206" s="191">
        <f t="shared" si="13"/>
        <v>30</v>
      </c>
      <c r="D206" s="190">
        <f t="shared" si="14"/>
        <v>42551</v>
      </c>
      <c r="E206" s="593">
        <f>Arbeitszeit!V207*24</f>
        <v>0</v>
      </c>
      <c r="F206" s="352">
        <f t="shared" si="15"/>
        <v>0</v>
      </c>
      <c r="G206" s="155">
        <f>IF(Arbeitszeit!F207=Urlaub,B_WorkTime*24,)</f>
        <v>0</v>
      </c>
      <c r="H206" s="153"/>
      <c r="I206" s="155">
        <f>IF(Arbeitszeit!F207=Krank,B_WorkTime*24,)</f>
        <v>0</v>
      </c>
      <c r="J206" s="153"/>
      <c r="K206" s="156"/>
      <c r="L206" s="157"/>
      <c r="M206" s="581"/>
      <c r="N206" s="582"/>
      <c r="O206" s="581"/>
      <c r="P206" s="582"/>
      <c r="Q206" s="581"/>
      <c r="R206" s="582"/>
      <c r="S206" s="581"/>
      <c r="T206" s="582"/>
      <c r="U206" s="581"/>
      <c r="V206" s="582"/>
      <c r="W206" s="581"/>
      <c r="X206" s="582"/>
      <c r="Y206" s="581"/>
      <c r="Z206" s="582"/>
      <c r="AA206" s="581"/>
      <c r="AB206" s="582"/>
      <c r="AC206" s="581"/>
      <c r="AD206" s="582"/>
      <c r="AE206" s="581"/>
      <c r="AF206" s="583"/>
      <c r="AG206" s="581"/>
      <c r="AH206" s="583"/>
      <c r="AI206" s="581"/>
      <c r="AJ206" s="583"/>
      <c r="AK206" s="581"/>
      <c r="AL206" s="583"/>
      <c r="AM206" s="584"/>
      <c r="AN206" s="583"/>
      <c r="AO206" s="581"/>
      <c r="AP206" s="583"/>
      <c r="AQ206" s="584"/>
      <c r="AR206" s="583"/>
      <c r="AS206" s="583"/>
      <c r="AT206" s="583"/>
      <c r="AU206" s="584"/>
      <c r="AV206" s="583"/>
      <c r="AW206" s="583"/>
      <c r="AX206" s="158"/>
      <c r="AY206" s="154"/>
      <c r="AZ206">
        <f ca="1">INDIRECT(ADDRESS(ROW()+1,COLUMN(Arbeitszeit!xDay),,,"Arbeitszeit"))</f>
        <v>1</v>
      </c>
    </row>
    <row r="207" spans="1:52">
      <c r="A207" s="523">
        <f>Arbeitszeit!A208</f>
        <v>42571</v>
      </c>
      <c r="B207" s="524">
        <f t="shared" si="12"/>
        <v>42571</v>
      </c>
      <c r="C207" s="191">
        <f t="shared" si="13"/>
        <v>30</v>
      </c>
      <c r="D207" s="190">
        <f t="shared" si="14"/>
        <v>42551</v>
      </c>
      <c r="E207" s="593">
        <f>Arbeitszeit!V208*24</f>
        <v>0</v>
      </c>
      <c r="F207" s="352">
        <f t="shared" si="15"/>
        <v>0</v>
      </c>
      <c r="G207" s="155">
        <f>IF(Arbeitszeit!F208=Urlaub,B_WorkTime*24,)</f>
        <v>0</v>
      </c>
      <c r="H207" s="153"/>
      <c r="I207" s="155">
        <f>IF(Arbeitszeit!F208=Krank,B_WorkTime*24,)</f>
        <v>0</v>
      </c>
      <c r="J207" s="153"/>
      <c r="K207" s="156"/>
      <c r="L207" s="157"/>
      <c r="M207" s="581"/>
      <c r="N207" s="582"/>
      <c r="O207" s="581"/>
      <c r="P207" s="582"/>
      <c r="Q207" s="581"/>
      <c r="R207" s="582"/>
      <c r="S207" s="581"/>
      <c r="T207" s="582"/>
      <c r="U207" s="581"/>
      <c r="V207" s="582"/>
      <c r="W207" s="581"/>
      <c r="X207" s="582"/>
      <c r="Y207" s="581"/>
      <c r="Z207" s="582"/>
      <c r="AA207" s="581"/>
      <c r="AB207" s="582"/>
      <c r="AC207" s="581"/>
      <c r="AD207" s="582"/>
      <c r="AE207" s="581"/>
      <c r="AF207" s="583"/>
      <c r="AG207" s="581"/>
      <c r="AH207" s="583"/>
      <c r="AI207" s="581"/>
      <c r="AJ207" s="583"/>
      <c r="AK207" s="581"/>
      <c r="AL207" s="583"/>
      <c r="AM207" s="584"/>
      <c r="AN207" s="583"/>
      <c r="AO207" s="581"/>
      <c r="AP207" s="583"/>
      <c r="AQ207" s="584"/>
      <c r="AR207" s="583"/>
      <c r="AS207" s="583"/>
      <c r="AT207" s="583"/>
      <c r="AU207" s="584"/>
      <c r="AV207" s="583"/>
      <c r="AW207" s="583"/>
      <c r="AX207" s="158"/>
      <c r="AY207" s="154"/>
      <c r="AZ207">
        <f ca="1">INDIRECT(ADDRESS(ROW()+1,COLUMN(Arbeitszeit!xDay),,,"Arbeitszeit"))</f>
        <v>2</v>
      </c>
    </row>
    <row r="208" spans="1:52">
      <c r="A208" s="523">
        <f>Arbeitszeit!A209</f>
        <v>42572</v>
      </c>
      <c r="B208" s="524">
        <f t="shared" si="12"/>
        <v>42572</v>
      </c>
      <c r="C208" s="191">
        <f t="shared" si="13"/>
        <v>30</v>
      </c>
      <c r="D208" s="190">
        <f t="shared" si="14"/>
        <v>42551</v>
      </c>
      <c r="E208" s="593">
        <f>Arbeitszeit!V209*24</f>
        <v>0</v>
      </c>
      <c r="F208" s="352">
        <f t="shared" si="15"/>
        <v>0</v>
      </c>
      <c r="G208" s="155">
        <f>IF(Arbeitszeit!F209=Urlaub,B_WorkTime*24,)</f>
        <v>0</v>
      </c>
      <c r="H208" s="153"/>
      <c r="I208" s="155">
        <f>IF(Arbeitszeit!F209=Krank,B_WorkTime*24,)</f>
        <v>0</v>
      </c>
      <c r="J208" s="153"/>
      <c r="K208" s="156"/>
      <c r="L208" s="157"/>
      <c r="M208" s="581"/>
      <c r="N208" s="582"/>
      <c r="O208" s="581"/>
      <c r="P208" s="582"/>
      <c r="Q208" s="581"/>
      <c r="R208" s="582"/>
      <c r="S208" s="581"/>
      <c r="T208" s="582"/>
      <c r="U208" s="581"/>
      <c r="V208" s="582"/>
      <c r="W208" s="581"/>
      <c r="X208" s="582"/>
      <c r="Y208" s="581"/>
      <c r="Z208" s="582"/>
      <c r="AA208" s="581"/>
      <c r="AB208" s="582"/>
      <c r="AC208" s="581"/>
      <c r="AD208" s="582"/>
      <c r="AE208" s="581"/>
      <c r="AF208" s="583"/>
      <c r="AG208" s="581"/>
      <c r="AH208" s="583"/>
      <c r="AI208" s="581"/>
      <c r="AJ208" s="583"/>
      <c r="AK208" s="581"/>
      <c r="AL208" s="583"/>
      <c r="AM208" s="584"/>
      <c r="AN208" s="583"/>
      <c r="AO208" s="581"/>
      <c r="AP208" s="583"/>
      <c r="AQ208" s="584"/>
      <c r="AR208" s="583"/>
      <c r="AS208" s="583"/>
      <c r="AT208" s="583"/>
      <c r="AU208" s="584"/>
      <c r="AV208" s="583"/>
      <c r="AW208" s="583"/>
      <c r="AX208" s="158"/>
      <c r="AY208" s="154"/>
      <c r="AZ208">
        <f ca="1">INDIRECT(ADDRESS(ROW()+1,COLUMN(Arbeitszeit!xDay),,,"Arbeitszeit"))</f>
        <v>3</v>
      </c>
    </row>
    <row r="209" spans="1:52">
      <c r="A209" s="523">
        <f>Arbeitszeit!A210</f>
        <v>42573</v>
      </c>
      <c r="B209" s="524">
        <f t="shared" si="12"/>
        <v>42573</v>
      </c>
      <c r="C209" s="191">
        <f t="shared" si="13"/>
        <v>30</v>
      </c>
      <c r="D209" s="190">
        <f t="shared" si="14"/>
        <v>42551</v>
      </c>
      <c r="E209" s="593">
        <f>Arbeitszeit!V210*24</f>
        <v>0</v>
      </c>
      <c r="F209" s="352">
        <f t="shared" si="15"/>
        <v>0</v>
      </c>
      <c r="G209" s="155">
        <f>IF(Arbeitszeit!F210=Urlaub,B_WorkTime*24,)</f>
        <v>0</v>
      </c>
      <c r="H209" s="153"/>
      <c r="I209" s="155">
        <f>IF(Arbeitszeit!F210=Krank,B_WorkTime*24,)</f>
        <v>0</v>
      </c>
      <c r="J209" s="153"/>
      <c r="K209" s="156"/>
      <c r="L209" s="157"/>
      <c r="M209" s="581"/>
      <c r="N209" s="582"/>
      <c r="O209" s="581"/>
      <c r="P209" s="582"/>
      <c r="Q209" s="581"/>
      <c r="R209" s="582"/>
      <c r="S209" s="581"/>
      <c r="T209" s="582"/>
      <c r="U209" s="581"/>
      <c r="V209" s="582"/>
      <c r="W209" s="581"/>
      <c r="X209" s="582"/>
      <c r="Y209" s="581"/>
      <c r="Z209" s="582"/>
      <c r="AA209" s="581"/>
      <c r="AB209" s="582"/>
      <c r="AC209" s="581"/>
      <c r="AD209" s="582"/>
      <c r="AE209" s="581"/>
      <c r="AF209" s="583"/>
      <c r="AG209" s="581"/>
      <c r="AH209" s="583"/>
      <c r="AI209" s="581"/>
      <c r="AJ209" s="583"/>
      <c r="AK209" s="581"/>
      <c r="AL209" s="583"/>
      <c r="AM209" s="584"/>
      <c r="AN209" s="583"/>
      <c r="AO209" s="581"/>
      <c r="AP209" s="583"/>
      <c r="AQ209" s="584"/>
      <c r="AR209" s="583"/>
      <c r="AS209" s="583"/>
      <c r="AT209" s="583"/>
      <c r="AU209" s="584"/>
      <c r="AV209" s="583"/>
      <c r="AW209" s="583"/>
      <c r="AX209" s="158"/>
      <c r="AY209" s="154"/>
      <c r="AZ209">
        <f ca="1">INDIRECT(ADDRESS(ROW()+1,COLUMN(Arbeitszeit!xDay),,,"Arbeitszeit"))</f>
        <v>4</v>
      </c>
    </row>
    <row r="210" spans="1:52">
      <c r="A210" s="523">
        <f>Arbeitszeit!A211</f>
        <v>42574</v>
      </c>
      <c r="B210" s="524">
        <f t="shared" si="12"/>
        <v>42574</v>
      </c>
      <c r="C210" s="191">
        <f t="shared" si="13"/>
        <v>30</v>
      </c>
      <c r="D210" s="190">
        <f t="shared" si="14"/>
        <v>42551</v>
      </c>
      <c r="E210" s="593">
        <f>Arbeitszeit!V211*24</f>
        <v>0</v>
      </c>
      <c r="F210" s="352">
        <f t="shared" si="15"/>
        <v>0</v>
      </c>
      <c r="G210" s="155">
        <f>IF(Arbeitszeit!F211=Urlaub,B_WorkTime*24,)</f>
        <v>0</v>
      </c>
      <c r="H210" s="153"/>
      <c r="I210" s="155">
        <f>IF(Arbeitszeit!F211=Krank,B_WorkTime*24,)</f>
        <v>0</v>
      </c>
      <c r="J210" s="153"/>
      <c r="K210" s="156"/>
      <c r="L210" s="157"/>
      <c r="M210" s="581"/>
      <c r="N210" s="582"/>
      <c r="O210" s="581"/>
      <c r="P210" s="582"/>
      <c r="Q210" s="581"/>
      <c r="R210" s="582"/>
      <c r="S210" s="581"/>
      <c r="T210" s="582"/>
      <c r="U210" s="581"/>
      <c r="V210" s="582"/>
      <c r="W210" s="581"/>
      <c r="X210" s="582"/>
      <c r="Y210" s="581"/>
      <c r="Z210" s="582"/>
      <c r="AA210" s="581"/>
      <c r="AB210" s="582"/>
      <c r="AC210" s="581"/>
      <c r="AD210" s="582"/>
      <c r="AE210" s="581"/>
      <c r="AF210" s="583"/>
      <c r="AG210" s="581"/>
      <c r="AH210" s="583"/>
      <c r="AI210" s="581"/>
      <c r="AJ210" s="583"/>
      <c r="AK210" s="581"/>
      <c r="AL210" s="583"/>
      <c r="AM210" s="584"/>
      <c r="AN210" s="583"/>
      <c r="AO210" s="581"/>
      <c r="AP210" s="583"/>
      <c r="AQ210" s="584"/>
      <c r="AR210" s="583"/>
      <c r="AS210" s="583"/>
      <c r="AT210" s="583"/>
      <c r="AU210" s="584"/>
      <c r="AV210" s="583"/>
      <c r="AW210" s="583"/>
      <c r="AX210" s="158"/>
      <c r="AY210" s="154"/>
      <c r="AZ210">
        <f ca="1">INDIRECT(ADDRESS(ROW()+1,COLUMN(Arbeitszeit!xDay),,,"Arbeitszeit"))</f>
        <v>5</v>
      </c>
    </row>
    <row r="211" spans="1:52">
      <c r="A211" s="523">
        <f>Arbeitszeit!A212</f>
        <v>42575</v>
      </c>
      <c r="B211" s="524">
        <f t="shared" si="12"/>
        <v>42575</v>
      </c>
      <c r="C211" s="191">
        <f t="shared" si="13"/>
        <v>30</v>
      </c>
      <c r="D211" s="190">
        <f t="shared" si="14"/>
        <v>42551</v>
      </c>
      <c r="E211" s="593">
        <f>Arbeitszeit!V212*24</f>
        <v>0</v>
      </c>
      <c r="F211" s="352">
        <f t="shared" si="15"/>
        <v>0</v>
      </c>
      <c r="G211" s="155">
        <f>IF(Arbeitszeit!F212=Urlaub,B_WorkTime*24,)</f>
        <v>0</v>
      </c>
      <c r="H211" s="153"/>
      <c r="I211" s="155">
        <f>IF(Arbeitszeit!F212=Krank,B_WorkTime*24,)</f>
        <v>0</v>
      </c>
      <c r="J211" s="153"/>
      <c r="K211" s="156"/>
      <c r="L211" s="157"/>
      <c r="M211" s="581"/>
      <c r="N211" s="582"/>
      <c r="O211" s="581"/>
      <c r="P211" s="582"/>
      <c r="Q211" s="581"/>
      <c r="R211" s="582"/>
      <c r="S211" s="581"/>
      <c r="T211" s="582"/>
      <c r="U211" s="581"/>
      <c r="V211" s="582"/>
      <c r="W211" s="581"/>
      <c r="X211" s="582"/>
      <c r="Y211" s="581"/>
      <c r="Z211" s="582"/>
      <c r="AA211" s="581"/>
      <c r="AB211" s="582"/>
      <c r="AC211" s="581"/>
      <c r="AD211" s="582"/>
      <c r="AE211" s="581"/>
      <c r="AF211" s="583"/>
      <c r="AG211" s="581"/>
      <c r="AH211" s="583"/>
      <c r="AI211" s="581"/>
      <c r="AJ211" s="583"/>
      <c r="AK211" s="581"/>
      <c r="AL211" s="583"/>
      <c r="AM211" s="584"/>
      <c r="AN211" s="583"/>
      <c r="AO211" s="581"/>
      <c r="AP211" s="583"/>
      <c r="AQ211" s="584"/>
      <c r="AR211" s="583"/>
      <c r="AS211" s="583"/>
      <c r="AT211" s="583"/>
      <c r="AU211" s="584"/>
      <c r="AV211" s="583"/>
      <c r="AW211" s="583"/>
      <c r="AX211" s="158"/>
      <c r="AY211" s="154"/>
      <c r="AZ211">
        <f ca="1">INDIRECT(ADDRESS(ROW()+1,COLUMN(Arbeitszeit!xDay),,,"Arbeitszeit"))</f>
        <v>6</v>
      </c>
    </row>
    <row r="212" spans="1:52">
      <c r="A212" s="523">
        <f>Arbeitszeit!A213</f>
        <v>42576</v>
      </c>
      <c r="B212" s="524">
        <f t="shared" si="12"/>
        <v>42576</v>
      </c>
      <c r="C212" s="191">
        <f t="shared" si="13"/>
        <v>30</v>
      </c>
      <c r="D212" s="190">
        <f t="shared" si="14"/>
        <v>42551</v>
      </c>
      <c r="E212" s="593">
        <f>Arbeitszeit!V213*24</f>
        <v>0</v>
      </c>
      <c r="F212" s="352">
        <f t="shared" si="15"/>
        <v>0</v>
      </c>
      <c r="G212" s="155">
        <f>IF(Arbeitszeit!F213=Urlaub,B_WorkTime*24,)</f>
        <v>0</v>
      </c>
      <c r="H212" s="153"/>
      <c r="I212" s="155">
        <f>IF(Arbeitszeit!F213=Krank,B_WorkTime*24,)</f>
        <v>0</v>
      </c>
      <c r="J212" s="153"/>
      <c r="K212" s="156"/>
      <c r="L212" s="157"/>
      <c r="M212" s="581"/>
      <c r="N212" s="582"/>
      <c r="O212" s="581"/>
      <c r="P212" s="582"/>
      <c r="Q212" s="581"/>
      <c r="R212" s="582"/>
      <c r="S212" s="581"/>
      <c r="T212" s="582"/>
      <c r="U212" s="581"/>
      <c r="V212" s="582"/>
      <c r="W212" s="581"/>
      <c r="X212" s="582"/>
      <c r="Y212" s="581"/>
      <c r="Z212" s="582"/>
      <c r="AA212" s="581"/>
      <c r="AB212" s="582"/>
      <c r="AC212" s="581"/>
      <c r="AD212" s="582"/>
      <c r="AE212" s="581"/>
      <c r="AF212" s="583"/>
      <c r="AG212" s="581"/>
      <c r="AH212" s="583"/>
      <c r="AI212" s="581"/>
      <c r="AJ212" s="583"/>
      <c r="AK212" s="581"/>
      <c r="AL212" s="583"/>
      <c r="AM212" s="584"/>
      <c r="AN212" s="583"/>
      <c r="AO212" s="581"/>
      <c r="AP212" s="583"/>
      <c r="AQ212" s="584"/>
      <c r="AR212" s="583"/>
      <c r="AS212" s="583"/>
      <c r="AT212" s="583"/>
      <c r="AU212" s="584"/>
      <c r="AV212" s="583"/>
      <c r="AW212" s="583"/>
      <c r="AX212" s="158"/>
      <c r="AY212" s="154"/>
      <c r="AZ212">
        <f ca="1">INDIRECT(ADDRESS(ROW()+1,COLUMN(Arbeitszeit!xDay),,,"Arbeitszeit"))</f>
        <v>7</v>
      </c>
    </row>
    <row r="213" spans="1:52">
      <c r="A213" s="523">
        <f>Arbeitszeit!A214</f>
        <v>42577</v>
      </c>
      <c r="B213" s="524">
        <f t="shared" si="12"/>
        <v>42577</v>
      </c>
      <c r="C213" s="191">
        <f t="shared" si="13"/>
        <v>31</v>
      </c>
      <c r="D213" s="190">
        <f t="shared" si="14"/>
        <v>42551</v>
      </c>
      <c r="E213" s="593">
        <f>Arbeitszeit!V214*24</f>
        <v>0</v>
      </c>
      <c r="F213" s="352">
        <f t="shared" si="15"/>
        <v>0</v>
      </c>
      <c r="G213" s="155">
        <f>IF(Arbeitszeit!F214=Urlaub,B_WorkTime*24,)</f>
        <v>0</v>
      </c>
      <c r="H213" s="153"/>
      <c r="I213" s="155">
        <f>IF(Arbeitszeit!F214=Krank,B_WorkTime*24,)</f>
        <v>0</v>
      </c>
      <c r="J213" s="153"/>
      <c r="K213" s="156"/>
      <c r="L213" s="157"/>
      <c r="M213" s="581"/>
      <c r="N213" s="582"/>
      <c r="O213" s="581"/>
      <c r="P213" s="582"/>
      <c r="Q213" s="581"/>
      <c r="R213" s="582"/>
      <c r="S213" s="581"/>
      <c r="T213" s="582"/>
      <c r="U213" s="581"/>
      <c r="V213" s="582"/>
      <c r="W213" s="581"/>
      <c r="X213" s="582"/>
      <c r="Y213" s="581"/>
      <c r="Z213" s="582"/>
      <c r="AA213" s="581"/>
      <c r="AB213" s="582"/>
      <c r="AC213" s="581"/>
      <c r="AD213" s="582"/>
      <c r="AE213" s="581"/>
      <c r="AF213" s="583"/>
      <c r="AG213" s="581"/>
      <c r="AH213" s="583"/>
      <c r="AI213" s="581"/>
      <c r="AJ213" s="583"/>
      <c r="AK213" s="581"/>
      <c r="AL213" s="583"/>
      <c r="AM213" s="584"/>
      <c r="AN213" s="583"/>
      <c r="AO213" s="581"/>
      <c r="AP213" s="583"/>
      <c r="AQ213" s="584"/>
      <c r="AR213" s="583"/>
      <c r="AS213" s="583"/>
      <c r="AT213" s="583"/>
      <c r="AU213" s="584"/>
      <c r="AV213" s="583"/>
      <c r="AW213" s="583"/>
      <c r="AX213" s="158"/>
      <c r="AY213" s="154"/>
      <c r="AZ213">
        <f ca="1">INDIRECT(ADDRESS(ROW()+1,COLUMN(Arbeitszeit!xDay),,,"Arbeitszeit"))</f>
        <v>1</v>
      </c>
    </row>
    <row r="214" spans="1:52">
      <c r="A214" s="523">
        <f>Arbeitszeit!A215</f>
        <v>42578</v>
      </c>
      <c r="B214" s="524">
        <f t="shared" si="12"/>
        <v>42578</v>
      </c>
      <c r="C214" s="191">
        <f t="shared" si="13"/>
        <v>31</v>
      </c>
      <c r="D214" s="190">
        <f t="shared" si="14"/>
        <v>42551</v>
      </c>
      <c r="E214" s="593">
        <f>Arbeitszeit!V215*24</f>
        <v>0</v>
      </c>
      <c r="F214" s="352">
        <f t="shared" si="15"/>
        <v>0</v>
      </c>
      <c r="G214" s="155">
        <f>IF(Arbeitszeit!F215=Urlaub,B_WorkTime*24,)</f>
        <v>0</v>
      </c>
      <c r="H214" s="153"/>
      <c r="I214" s="155">
        <f>IF(Arbeitszeit!F215=Krank,B_WorkTime*24,)</f>
        <v>0</v>
      </c>
      <c r="J214" s="153"/>
      <c r="K214" s="156"/>
      <c r="L214" s="157"/>
      <c r="M214" s="581"/>
      <c r="N214" s="582"/>
      <c r="O214" s="581"/>
      <c r="P214" s="582"/>
      <c r="Q214" s="581"/>
      <c r="R214" s="582"/>
      <c r="S214" s="581"/>
      <c r="T214" s="582"/>
      <c r="U214" s="581"/>
      <c r="V214" s="582"/>
      <c r="W214" s="581"/>
      <c r="X214" s="582"/>
      <c r="Y214" s="581"/>
      <c r="Z214" s="582"/>
      <c r="AA214" s="581"/>
      <c r="AB214" s="582"/>
      <c r="AC214" s="581"/>
      <c r="AD214" s="582"/>
      <c r="AE214" s="581"/>
      <c r="AF214" s="583"/>
      <c r="AG214" s="581"/>
      <c r="AH214" s="583"/>
      <c r="AI214" s="581"/>
      <c r="AJ214" s="583"/>
      <c r="AK214" s="581"/>
      <c r="AL214" s="583"/>
      <c r="AM214" s="584"/>
      <c r="AN214" s="583"/>
      <c r="AO214" s="581"/>
      <c r="AP214" s="583"/>
      <c r="AQ214" s="584"/>
      <c r="AR214" s="583"/>
      <c r="AS214" s="583"/>
      <c r="AT214" s="583"/>
      <c r="AU214" s="584"/>
      <c r="AV214" s="583"/>
      <c r="AW214" s="583"/>
      <c r="AX214" s="158"/>
      <c r="AY214" s="154"/>
      <c r="AZ214">
        <f ca="1">INDIRECT(ADDRESS(ROW()+1,COLUMN(Arbeitszeit!xDay),,,"Arbeitszeit"))</f>
        <v>2</v>
      </c>
    </row>
    <row r="215" spans="1:52">
      <c r="A215" s="523">
        <f>Arbeitszeit!A216</f>
        <v>42579</v>
      </c>
      <c r="B215" s="524">
        <f t="shared" si="12"/>
        <v>42579</v>
      </c>
      <c r="C215" s="191">
        <f t="shared" si="13"/>
        <v>31</v>
      </c>
      <c r="D215" s="190">
        <f t="shared" si="14"/>
        <v>42551</v>
      </c>
      <c r="E215" s="593">
        <f>Arbeitszeit!V216*24</f>
        <v>0</v>
      </c>
      <c r="F215" s="352">
        <f t="shared" si="15"/>
        <v>0</v>
      </c>
      <c r="G215" s="155">
        <f>IF(Arbeitszeit!F216=Urlaub,B_WorkTime*24,)</f>
        <v>0</v>
      </c>
      <c r="H215" s="153"/>
      <c r="I215" s="155">
        <f>IF(Arbeitszeit!F216=Krank,B_WorkTime*24,)</f>
        <v>0</v>
      </c>
      <c r="J215" s="153"/>
      <c r="K215" s="156"/>
      <c r="L215" s="157"/>
      <c r="M215" s="581"/>
      <c r="N215" s="582"/>
      <c r="O215" s="581"/>
      <c r="P215" s="582"/>
      <c r="Q215" s="581"/>
      <c r="R215" s="582"/>
      <c r="S215" s="581"/>
      <c r="T215" s="582"/>
      <c r="U215" s="581"/>
      <c r="V215" s="582"/>
      <c r="W215" s="581"/>
      <c r="X215" s="582"/>
      <c r="Y215" s="581"/>
      <c r="Z215" s="582"/>
      <c r="AA215" s="581"/>
      <c r="AB215" s="582"/>
      <c r="AC215" s="581"/>
      <c r="AD215" s="582"/>
      <c r="AE215" s="581"/>
      <c r="AF215" s="583"/>
      <c r="AG215" s="581"/>
      <c r="AH215" s="583"/>
      <c r="AI215" s="581"/>
      <c r="AJ215" s="583"/>
      <c r="AK215" s="581"/>
      <c r="AL215" s="583"/>
      <c r="AM215" s="584"/>
      <c r="AN215" s="583"/>
      <c r="AO215" s="581"/>
      <c r="AP215" s="583"/>
      <c r="AQ215" s="584"/>
      <c r="AR215" s="583"/>
      <c r="AS215" s="583"/>
      <c r="AT215" s="583"/>
      <c r="AU215" s="584"/>
      <c r="AV215" s="583"/>
      <c r="AW215" s="583"/>
      <c r="AX215" s="158"/>
      <c r="AY215" s="154"/>
      <c r="AZ215">
        <f ca="1">INDIRECT(ADDRESS(ROW()+1,COLUMN(Arbeitszeit!xDay),,,"Arbeitszeit"))</f>
        <v>3</v>
      </c>
    </row>
    <row r="216" spans="1:52">
      <c r="A216" s="523">
        <f>Arbeitszeit!A217</f>
        <v>42580</v>
      </c>
      <c r="B216" s="524">
        <f t="shared" si="12"/>
        <v>42580</v>
      </c>
      <c r="C216" s="191">
        <f t="shared" si="13"/>
        <v>31</v>
      </c>
      <c r="D216" s="190">
        <f t="shared" si="14"/>
        <v>42551</v>
      </c>
      <c r="E216" s="593">
        <f>Arbeitszeit!V217*24</f>
        <v>0</v>
      </c>
      <c r="F216" s="352">
        <f t="shared" si="15"/>
        <v>0</v>
      </c>
      <c r="G216" s="155">
        <f>IF(Arbeitszeit!F217=Urlaub,B_WorkTime*24,)</f>
        <v>0</v>
      </c>
      <c r="H216" s="153"/>
      <c r="I216" s="155">
        <f>IF(Arbeitszeit!F217=Krank,B_WorkTime*24,)</f>
        <v>0</v>
      </c>
      <c r="J216" s="153"/>
      <c r="K216" s="156"/>
      <c r="L216" s="157"/>
      <c r="M216" s="581"/>
      <c r="N216" s="582"/>
      <c r="O216" s="581"/>
      <c r="P216" s="582"/>
      <c r="Q216" s="581"/>
      <c r="R216" s="582"/>
      <c r="S216" s="581"/>
      <c r="T216" s="582"/>
      <c r="U216" s="581"/>
      <c r="V216" s="582"/>
      <c r="W216" s="581"/>
      <c r="X216" s="582"/>
      <c r="Y216" s="581"/>
      <c r="Z216" s="582"/>
      <c r="AA216" s="581"/>
      <c r="AB216" s="582"/>
      <c r="AC216" s="581"/>
      <c r="AD216" s="582"/>
      <c r="AE216" s="581"/>
      <c r="AF216" s="583"/>
      <c r="AG216" s="581"/>
      <c r="AH216" s="583"/>
      <c r="AI216" s="581"/>
      <c r="AJ216" s="583"/>
      <c r="AK216" s="581"/>
      <c r="AL216" s="583"/>
      <c r="AM216" s="584"/>
      <c r="AN216" s="583"/>
      <c r="AO216" s="581"/>
      <c r="AP216" s="583"/>
      <c r="AQ216" s="584"/>
      <c r="AR216" s="583"/>
      <c r="AS216" s="583"/>
      <c r="AT216" s="583"/>
      <c r="AU216" s="584"/>
      <c r="AV216" s="583"/>
      <c r="AW216" s="583"/>
      <c r="AX216" s="158"/>
      <c r="AY216" s="154"/>
      <c r="AZ216">
        <f ca="1">INDIRECT(ADDRESS(ROW()+1,COLUMN(Arbeitszeit!xDay),,,"Arbeitszeit"))</f>
        <v>4</v>
      </c>
    </row>
    <row r="217" spans="1:52">
      <c r="A217" s="523">
        <f>Arbeitszeit!A218</f>
        <v>42581</v>
      </c>
      <c r="B217" s="524">
        <f t="shared" si="12"/>
        <v>42581</v>
      </c>
      <c r="C217" s="191">
        <f t="shared" si="13"/>
        <v>31</v>
      </c>
      <c r="D217" s="190">
        <f t="shared" si="14"/>
        <v>42551</v>
      </c>
      <c r="E217" s="593">
        <f>Arbeitszeit!V218*24</f>
        <v>0</v>
      </c>
      <c r="F217" s="352">
        <f t="shared" si="15"/>
        <v>0</v>
      </c>
      <c r="G217" s="155">
        <f>IF(Arbeitszeit!F218=Urlaub,B_WorkTime*24,)</f>
        <v>0</v>
      </c>
      <c r="H217" s="153"/>
      <c r="I217" s="155">
        <f>IF(Arbeitszeit!F218=Krank,B_WorkTime*24,)</f>
        <v>0</v>
      </c>
      <c r="J217" s="153"/>
      <c r="K217" s="156"/>
      <c r="L217" s="157"/>
      <c r="M217" s="581"/>
      <c r="N217" s="582"/>
      <c r="O217" s="581"/>
      <c r="P217" s="582"/>
      <c r="Q217" s="581"/>
      <c r="R217" s="582"/>
      <c r="S217" s="581"/>
      <c r="T217" s="582"/>
      <c r="U217" s="581"/>
      <c r="V217" s="582"/>
      <c r="W217" s="581"/>
      <c r="X217" s="582"/>
      <c r="Y217" s="581"/>
      <c r="Z217" s="582"/>
      <c r="AA217" s="581"/>
      <c r="AB217" s="582"/>
      <c r="AC217" s="581"/>
      <c r="AD217" s="582"/>
      <c r="AE217" s="581"/>
      <c r="AF217" s="583"/>
      <c r="AG217" s="581"/>
      <c r="AH217" s="583"/>
      <c r="AI217" s="581"/>
      <c r="AJ217" s="583"/>
      <c r="AK217" s="581"/>
      <c r="AL217" s="583"/>
      <c r="AM217" s="584"/>
      <c r="AN217" s="583"/>
      <c r="AO217" s="581"/>
      <c r="AP217" s="583"/>
      <c r="AQ217" s="584"/>
      <c r="AR217" s="583"/>
      <c r="AS217" s="583"/>
      <c r="AT217" s="583"/>
      <c r="AU217" s="584"/>
      <c r="AV217" s="583"/>
      <c r="AW217" s="583"/>
      <c r="AX217" s="158"/>
      <c r="AY217" s="154"/>
      <c r="AZ217">
        <f ca="1">INDIRECT(ADDRESS(ROW()+1,COLUMN(Arbeitszeit!xDay),,,"Arbeitszeit"))</f>
        <v>5</v>
      </c>
    </row>
    <row r="218" spans="1:52">
      <c r="A218" s="523">
        <f>Arbeitszeit!A219</f>
        <v>42582</v>
      </c>
      <c r="B218" s="524">
        <f t="shared" si="12"/>
        <v>42582</v>
      </c>
      <c r="C218" s="191">
        <f t="shared" si="13"/>
        <v>31</v>
      </c>
      <c r="D218" s="190">
        <f t="shared" si="14"/>
        <v>42582</v>
      </c>
      <c r="E218" s="593">
        <f>Arbeitszeit!V219*24</f>
        <v>0</v>
      </c>
      <c r="F218" s="352">
        <f t="shared" si="15"/>
        <v>0</v>
      </c>
      <c r="G218" s="155">
        <f>IF(Arbeitszeit!F219=Urlaub,B_WorkTime*24,)</f>
        <v>0</v>
      </c>
      <c r="H218" s="153"/>
      <c r="I218" s="155">
        <f>IF(Arbeitszeit!F219=Krank,B_WorkTime*24,)</f>
        <v>0</v>
      </c>
      <c r="J218" s="153"/>
      <c r="K218" s="156"/>
      <c r="L218" s="157"/>
      <c r="M218" s="581"/>
      <c r="N218" s="582"/>
      <c r="O218" s="581"/>
      <c r="P218" s="582"/>
      <c r="Q218" s="581"/>
      <c r="R218" s="582"/>
      <c r="S218" s="581"/>
      <c r="T218" s="582"/>
      <c r="U218" s="581"/>
      <c r="V218" s="582"/>
      <c r="W218" s="581"/>
      <c r="X218" s="582"/>
      <c r="Y218" s="581"/>
      <c r="Z218" s="582"/>
      <c r="AA218" s="581"/>
      <c r="AB218" s="582"/>
      <c r="AC218" s="581"/>
      <c r="AD218" s="582"/>
      <c r="AE218" s="581"/>
      <c r="AF218" s="583"/>
      <c r="AG218" s="581"/>
      <c r="AH218" s="583"/>
      <c r="AI218" s="581"/>
      <c r="AJ218" s="583"/>
      <c r="AK218" s="581"/>
      <c r="AL218" s="583"/>
      <c r="AM218" s="584"/>
      <c r="AN218" s="583"/>
      <c r="AO218" s="581"/>
      <c r="AP218" s="583"/>
      <c r="AQ218" s="584"/>
      <c r="AR218" s="583"/>
      <c r="AS218" s="583"/>
      <c r="AT218" s="583"/>
      <c r="AU218" s="584"/>
      <c r="AV218" s="583"/>
      <c r="AW218" s="583"/>
      <c r="AX218" s="158"/>
      <c r="AY218" s="154"/>
      <c r="AZ218">
        <f ca="1">INDIRECT(ADDRESS(ROW()+1,COLUMN(Arbeitszeit!xDay),,,"Arbeitszeit"))</f>
        <v>6</v>
      </c>
    </row>
    <row r="219" spans="1:52">
      <c r="A219" s="523">
        <f>Arbeitszeit!A220</f>
        <v>42583</v>
      </c>
      <c r="B219" s="524">
        <f t="shared" si="12"/>
        <v>42583</v>
      </c>
      <c r="C219" s="191">
        <f t="shared" si="13"/>
        <v>31</v>
      </c>
      <c r="D219" s="190">
        <f t="shared" si="14"/>
        <v>42582</v>
      </c>
      <c r="E219" s="593">
        <f>Arbeitszeit!V220*24</f>
        <v>0</v>
      </c>
      <c r="F219" s="352">
        <f t="shared" si="15"/>
        <v>0</v>
      </c>
      <c r="G219" s="155">
        <f>IF(Arbeitszeit!F220=Urlaub,B_WorkTime*24,)</f>
        <v>0</v>
      </c>
      <c r="H219" s="153"/>
      <c r="I219" s="155">
        <f>IF(Arbeitszeit!F220=Krank,B_WorkTime*24,)</f>
        <v>0</v>
      </c>
      <c r="J219" s="153"/>
      <c r="K219" s="156"/>
      <c r="L219" s="157"/>
      <c r="M219" s="581"/>
      <c r="N219" s="582"/>
      <c r="O219" s="581"/>
      <c r="P219" s="582"/>
      <c r="Q219" s="581"/>
      <c r="R219" s="582"/>
      <c r="S219" s="581"/>
      <c r="T219" s="582"/>
      <c r="U219" s="581"/>
      <c r="V219" s="582"/>
      <c r="W219" s="581"/>
      <c r="X219" s="582"/>
      <c r="Y219" s="581"/>
      <c r="Z219" s="582"/>
      <c r="AA219" s="581"/>
      <c r="AB219" s="582"/>
      <c r="AC219" s="581"/>
      <c r="AD219" s="582"/>
      <c r="AE219" s="581"/>
      <c r="AF219" s="583"/>
      <c r="AG219" s="581"/>
      <c r="AH219" s="583"/>
      <c r="AI219" s="581"/>
      <c r="AJ219" s="583"/>
      <c r="AK219" s="581"/>
      <c r="AL219" s="583"/>
      <c r="AM219" s="584"/>
      <c r="AN219" s="583"/>
      <c r="AO219" s="581"/>
      <c r="AP219" s="583"/>
      <c r="AQ219" s="584"/>
      <c r="AR219" s="583"/>
      <c r="AS219" s="583"/>
      <c r="AT219" s="583"/>
      <c r="AU219" s="584"/>
      <c r="AV219" s="583"/>
      <c r="AW219" s="583"/>
      <c r="AX219" s="158"/>
      <c r="AY219" s="154"/>
      <c r="AZ219">
        <f ca="1">INDIRECT(ADDRESS(ROW()+1,COLUMN(Arbeitszeit!xDay),,,"Arbeitszeit"))</f>
        <v>7</v>
      </c>
    </row>
    <row r="220" spans="1:52">
      <c r="A220" s="523">
        <f>Arbeitszeit!A221</f>
        <v>42584</v>
      </c>
      <c r="B220" s="524">
        <f t="shared" si="12"/>
        <v>42584</v>
      </c>
      <c r="C220" s="191">
        <f t="shared" si="13"/>
        <v>32</v>
      </c>
      <c r="D220" s="190">
        <f t="shared" si="14"/>
        <v>42582</v>
      </c>
      <c r="E220" s="593">
        <f>Arbeitszeit!V221*24</f>
        <v>0</v>
      </c>
      <c r="F220" s="352">
        <f t="shared" si="15"/>
        <v>0</v>
      </c>
      <c r="G220" s="155">
        <f>IF(Arbeitszeit!F221=Urlaub,B_WorkTime*24,)</f>
        <v>0</v>
      </c>
      <c r="H220" s="153"/>
      <c r="I220" s="155">
        <f>IF(Arbeitszeit!F221=Krank,B_WorkTime*24,)</f>
        <v>0</v>
      </c>
      <c r="J220" s="153"/>
      <c r="K220" s="156"/>
      <c r="L220" s="157"/>
      <c r="M220" s="581"/>
      <c r="N220" s="582"/>
      <c r="O220" s="581"/>
      <c r="P220" s="582"/>
      <c r="Q220" s="581"/>
      <c r="R220" s="582"/>
      <c r="S220" s="581"/>
      <c r="T220" s="582"/>
      <c r="U220" s="581"/>
      <c r="V220" s="582"/>
      <c r="W220" s="581"/>
      <c r="X220" s="582"/>
      <c r="Y220" s="581"/>
      <c r="Z220" s="582"/>
      <c r="AA220" s="581"/>
      <c r="AB220" s="582"/>
      <c r="AC220" s="581"/>
      <c r="AD220" s="582"/>
      <c r="AE220" s="581"/>
      <c r="AF220" s="583"/>
      <c r="AG220" s="581"/>
      <c r="AH220" s="583"/>
      <c r="AI220" s="581"/>
      <c r="AJ220" s="583"/>
      <c r="AK220" s="581"/>
      <c r="AL220" s="583"/>
      <c r="AM220" s="584"/>
      <c r="AN220" s="583"/>
      <c r="AO220" s="581"/>
      <c r="AP220" s="583"/>
      <c r="AQ220" s="584"/>
      <c r="AR220" s="583"/>
      <c r="AS220" s="583"/>
      <c r="AT220" s="583"/>
      <c r="AU220" s="584"/>
      <c r="AV220" s="583"/>
      <c r="AW220" s="583"/>
      <c r="AX220" s="158"/>
      <c r="AY220" s="154"/>
      <c r="AZ220">
        <f ca="1">INDIRECT(ADDRESS(ROW()+1,COLUMN(Arbeitszeit!xDay),,,"Arbeitszeit"))</f>
        <v>1</v>
      </c>
    </row>
    <row r="221" spans="1:52">
      <c r="A221" s="523">
        <f>Arbeitszeit!A222</f>
        <v>42585</v>
      </c>
      <c r="B221" s="524">
        <f t="shared" si="12"/>
        <v>42585</v>
      </c>
      <c r="C221" s="191">
        <f t="shared" si="13"/>
        <v>32</v>
      </c>
      <c r="D221" s="190">
        <f t="shared" si="14"/>
        <v>42582</v>
      </c>
      <c r="E221" s="593">
        <f>Arbeitszeit!V222*24</f>
        <v>0</v>
      </c>
      <c r="F221" s="352">
        <f t="shared" si="15"/>
        <v>0</v>
      </c>
      <c r="G221" s="155">
        <f>IF(Arbeitszeit!F222=Urlaub,B_WorkTime*24,)</f>
        <v>0</v>
      </c>
      <c r="H221" s="153"/>
      <c r="I221" s="155">
        <f>IF(Arbeitszeit!F222=Krank,B_WorkTime*24,)</f>
        <v>0</v>
      </c>
      <c r="J221" s="153"/>
      <c r="K221" s="156"/>
      <c r="L221" s="157"/>
      <c r="M221" s="581"/>
      <c r="N221" s="582"/>
      <c r="O221" s="581"/>
      <c r="P221" s="582"/>
      <c r="Q221" s="581"/>
      <c r="R221" s="582"/>
      <c r="S221" s="581"/>
      <c r="T221" s="582"/>
      <c r="U221" s="581"/>
      <c r="V221" s="582"/>
      <c r="W221" s="581"/>
      <c r="X221" s="582"/>
      <c r="Y221" s="581"/>
      <c r="Z221" s="582"/>
      <c r="AA221" s="581"/>
      <c r="AB221" s="582"/>
      <c r="AC221" s="581"/>
      <c r="AD221" s="582"/>
      <c r="AE221" s="581"/>
      <c r="AF221" s="583"/>
      <c r="AG221" s="581"/>
      <c r="AH221" s="583"/>
      <c r="AI221" s="581"/>
      <c r="AJ221" s="583"/>
      <c r="AK221" s="581"/>
      <c r="AL221" s="583"/>
      <c r="AM221" s="584"/>
      <c r="AN221" s="583"/>
      <c r="AO221" s="581"/>
      <c r="AP221" s="583"/>
      <c r="AQ221" s="584"/>
      <c r="AR221" s="583"/>
      <c r="AS221" s="583"/>
      <c r="AT221" s="583"/>
      <c r="AU221" s="584"/>
      <c r="AV221" s="583"/>
      <c r="AW221" s="583"/>
      <c r="AX221" s="158"/>
      <c r="AY221" s="154"/>
      <c r="AZ221">
        <f ca="1">INDIRECT(ADDRESS(ROW()+1,COLUMN(Arbeitszeit!xDay),,,"Arbeitszeit"))</f>
        <v>2</v>
      </c>
    </row>
    <row r="222" spans="1:52">
      <c r="A222" s="523">
        <f>Arbeitszeit!A223</f>
        <v>42586</v>
      </c>
      <c r="B222" s="524">
        <f t="shared" si="12"/>
        <v>42586</v>
      </c>
      <c r="C222" s="191">
        <f t="shared" si="13"/>
        <v>32</v>
      </c>
      <c r="D222" s="190">
        <f t="shared" si="14"/>
        <v>42582</v>
      </c>
      <c r="E222" s="593">
        <f>Arbeitszeit!V223*24</f>
        <v>0</v>
      </c>
      <c r="F222" s="352">
        <f t="shared" si="15"/>
        <v>0</v>
      </c>
      <c r="G222" s="155">
        <f>IF(Arbeitszeit!F223=Urlaub,B_WorkTime*24,)</f>
        <v>0</v>
      </c>
      <c r="H222" s="153"/>
      <c r="I222" s="155">
        <f>IF(Arbeitszeit!F223=Krank,B_WorkTime*24,)</f>
        <v>0</v>
      </c>
      <c r="J222" s="153"/>
      <c r="K222" s="156"/>
      <c r="L222" s="157"/>
      <c r="M222" s="581"/>
      <c r="N222" s="582"/>
      <c r="O222" s="581"/>
      <c r="P222" s="582"/>
      <c r="Q222" s="581"/>
      <c r="R222" s="582"/>
      <c r="S222" s="581"/>
      <c r="T222" s="582"/>
      <c r="U222" s="581"/>
      <c r="V222" s="582"/>
      <c r="W222" s="581"/>
      <c r="X222" s="582"/>
      <c r="Y222" s="581"/>
      <c r="Z222" s="582"/>
      <c r="AA222" s="581"/>
      <c r="AB222" s="582"/>
      <c r="AC222" s="581"/>
      <c r="AD222" s="582"/>
      <c r="AE222" s="581"/>
      <c r="AF222" s="583"/>
      <c r="AG222" s="581"/>
      <c r="AH222" s="583"/>
      <c r="AI222" s="581"/>
      <c r="AJ222" s="583"/>
      <c r="AK222" s="581"/>
      <c r="AL222" s="583"/>
      <c r="AM222" s="584"/>
      <c r="AN222" s="583"/>
      <c r="AO222" s="581"/>
      <c r="AP222" s="583"/>
      <c r="AQ222" s="584"/>
      <c r="AR222" s="583"/>
      <c r="AS222" s="583"/>
      <c r="AT222" s="583"/>
      <c r="AU222" s="584"/>
      <c r="AV222" s="583"/>
      <c r="AW222" s="583"/>
      <c r="AX222" s="158"/>
      <c r="AY222" s="154"/>
      <c r="AZ222">
        <f ca="1">INDIRECT(ADDRESS(ROW()+1,COLUMN(Arbeitszeit!xDay),,,"Arbeitszeit"))</f>
        <v>3</v>
      </c>
    </row>
    <row r="223" spans="1:52">
      <c r="A223" s="523">
        <f>Arbeitszeit!A224</f>
        <v>42587</v>
      </c>
      <c r="B223" s="524">
        <f t="shared" si="12"/>
        <v>42587</v>
      </c>
      <c r="C223" s="191">
        <f t="shared" si="13"/>
        <v>32</v>
      </c>
      <c r="D223" s="190">
        <f t="shared" si="14"/>
        <v>42582</v>
      </c>
      <c r="E223" s="593">
        <f>Arbeitszeit!V224*24</f>
        <v>0</v>
      </c>
      <c r="F223" s="352">
        <f t="shared" si="15"/>
        <v>0</v>
      </c>
      <c r="G223" s="155">
        <f>IF(Arbeitszeit!F224=Urlaub,B_WorkTime*24,)</f>
        <v>0</v>
      </c>
      <c r="H223" s="153"/>
      <c r="I223" s="155">
        <f>IF(Arbeitszeit!F224=Krank,B_WorkTime*24,)</f>
        <v>0</v>
      </c>
      <c r="J223" s="153"/>
      <c r="K223" s="156"/>
      <c r="L223" s="157"/>
      <c r="M223" s="581"/>
      <c r="N223" s="582"/>
      <c r="O223" s="581"/>
      <c r="P223" s="582"/>
      <c r="Q223" s="581"/>
      <c r="R223" s="582"/>
      <c r="S223" s="581"/>
      <c r="T223" s="582"/>
      <c r="U223" s="581"/>
      <c r="V223" s="582"/>
      <c r="W223" s="581"/>
      <c r="X223" s="582"/>
      <c r="Y223" s="581"/>
      <c r="Z223" s="582"/>
      <c r="AA223" s="581"/>
      <c r="AB223" s="582"/>
      <c r="AC223" s="581"/>
      <c r="AD223" s="582"/>
      <c r="AE223" s="581"/>
      <c r="AF223" s="583"/>
      <c r="AG223" s="581"/>
      <c r="AH223" s="583"/>
      <c r="AI223" s="581"/>
      <c r="AJ223" s="583"/>
      <c r="AK223" s="581"/>
      <c r="AL223" s="583"/>
      <c r="AM223" s="584"/>
      <c r="AN223" s="583"/>
      <c r="AO223" s="581"/>
      <c r="AP223" s="583"/>
      <c r="AQ223" s="584"/>
      <c r="AR223" s="583"/>
      <c r="AS223" s="583"/>
      <c r="AT223" s="583"/>
      <c r="AU223" s="584"/>
      <c r="AV223" s="583"/>
      <c r="AW223" s="583"/>
      <c r="AX223" s="158"/>
      <c r="AY223" s="154"/>
      <c r="AZ223">
        <f ca="1">INDIRECT(ADDRESS(ROW()+1,COLUMN(Arbeitszeit!xDay),,,"Arbeitszeit"))</f>
        <v>4</v>
      </c>
    </row>
    <row r="224" spans="1:52">
      <c r="A224" s="523">
        <f>Arbeitszeit!A225</f>
        <v>42588</v>
      </c>
      <c r="B224" s="524">
        <f t="shared" si="12"/>
        <v>42588</v>
      </c>
      <c r="C224" s="191">
        <f t="shared" si="13"/>
        <v>32</v>
      </c>
      <c r="D224" s="190">
        <f t="shared" si="14"/>
        <v>42582</v>
      </c>
      <c r="E224" s="593">
        <f>Arbeitszeit!V225*24</f>
        <v>0</v>
      </c>
      <c r="F224" s="352">
        <f t="shared" si="15"/>
        <v>0</v>
      </c>
      <c r="G224" s="155">
        <f>IF(Arbeitszeit!F225=Urlaub,B_WorkTime*24,)</f>
        <v>0</v>
      </c>
      <c r="H224" s="153"/>
      <c r="I224" s="155">
        <f>IF(Arbeitszeit!F225=Krank,B_WorkTime*24,)</f>
        <v>0</v>
      </c>
      <c r="J224" s="153"/>
      <c r="K224" s="156"/>
      <c r="L224" s="157"/>
      <c r="M224" s="581"/>
      <c r="N224" s="582"/>
      <c r="O224" s="581"/>
      <c r="P224" s="582"/>
      <c r="Q224" s="581"/>
      <c r="R224" s="582"/>
      <c r="S224" s="581"/>
      <c r="T224" s="582"/>
      <c r="U224" s="581"/>
      <c r="V224" s="582"/>
      <c r="W224" s="581"/>
      <c r="X224" s="582"/>
      <c r="Y224" s="581"/>
      <c r="Z224" s="582"/>
      <c r="AA224" s="581"/>
      <c r="AB224" s="582"/>
      <c r="AC224" s="581"/>
      <c r="AD224" s="582"/>
      <c r="AE224" s="581"/>
      <c r="AF224" s="583"/>
      <c r="AG224" s="581"/>
      <c r="AH224" s="583"/>
      <c r="AI224" s="581"/>
      <c r="AJ224" s="583"/>
      <c r="AK224" s="581"/>
      <c r="AL224" s="583"/>
      <c r="AM224" s="584"/>
      <c r="AN224" s="583"/>
      <c r="AO224" s="581"/>
      <c r="AP224" s="583"/>
      <c r="AQ224" s="584"/>
      <c r="AR224" s="583"/>
      <c r="AS224" s="583"/>
      <c r="AT224" s="583"/>
      <c r="AU224" s="584"/>
      <c r="AV224" s="583"/>
      <c r="AW224" s="583"/>
      <c r="AX224" s="158"/>
      <c r="AY224" s="154"/>
      <c r="AZ224">
        <f ca="1">INDIRECT(ADDRESS(ROW()+1,COLUMN(Arbeitszeit!xDay),,,"Arbeitszeit"))</f>
        <v>5</v>
      </c>
    </row>
    <row r="225" spans="1:52">
      <c r="A225" s="523">
        <f>Arbeitszeit!A226</f>
        <v>42589</v>
      </c>
      <c r="B225" s="524">
        <f t="shared" si="12"/>
        <v>42589</v>
      </c>
      <c r="C225" s="191">
        <f t="shared" si="13"/>
        <v>32</v>
      </c>
      <c r="D225" s="190">
        <f t="shared" si="14"/>
        <v>42582</v>
      </c>
      <c r="E225" s="593">
        <f>Arbeitszeit!V226*24</f>
        <v>0</v>
      </c>
      <c r="F225" s="352">
        <f t="shared" si="15"/>
        <v>0</v>
      </c>
      <c r="G225" s="155">
        <f>IF(Arbeitszeit!F226=Urlaub,B_WorkTime*24,)</f>
        <v>0</v>
      </c>
      <c r="H225" s="153"/>
      <c r="I225" s="155">
        <f>IF(Arbeitszeit!F226=Krank,B_WorkTime*24,)</f>
        <v>0</v>
      </c>
      <c r="J225" s="153"/>
      <c r="K225" s="156"/>
      <c r="L225" s="157"/>
      <c r="M225" s="581"/>
      <c r="N225" s="582"/>
      <c r="O225" s="581"/>
      <c r="P225" s="582"/>
      <c r="Q225" s="581"/>
      <c r="R225" s="582"/>
      <c r="S225" s="581"/>
      <c r="T225" s="582"/>
      <c r="U225" s="581"/>
      <c r="V225" s="582"/>
      <c r="W225" s="581"/>
      <c r="X225" s="582"/>
      <c r="Y225" s="581"/>
      <c r="Z225" s="582"/>
      <c r="AA225" s="581"/>
      <c r="AB225" s="582"/>
      <c r="AC225" s="581"/>
      <c r="AD225" s="582"/>
      <c r="AE225" s="581"/>
      <c r="AF225" s="583"/>
      <c r="AG225" s="581"/>
      <c r="AH225" s="583"/>
      <c r="AI225" s="581"/>
      <c r="AJ225" s="583"/>
      <c r="AK225" s="581"/>
      <c r="AL225" s="583"/>
      <c r="AM225" s="584"/>
      <c r="AN225" s="583"/>
      <c r="AO225" s="581"/>
      <c r="AP225" s="583"/>
      <c r="AQ225" s="584"/>
      <c r="AR225" s="583"/>
      <c r="AS225" s="583"/>
      <c r="AT225" s="583"/>
      <c r="AU225" s="584"/>
      <c r="AV225" s="583"/>
      <c r="AW225" s="583"/>
      <c r="AX225" s="158"/>
      <c r="AY225" s="154"/>
      <c r="AZ225">
        <f ca="1">INDIRECT(ADDRESS(ROW()+1,COLUMN(Arbeitszeit!xDay),,,"Arbeitszeit"))</f>
        <v>6</v>
      </c>
    </row>
    <row r="226" spans="1:52">
      <c r="A226" s="523">
        <f>Arbeitszeit!A227</f>
        <v>42590</v>
      </c>
      <c r="B226" s="524">
        <f t="shared" si="12"/>
        <v>42590</v>
      </c>
      <c r="C226" s="191">
        <f t="shared" si="13"/>
        <v>32</v>
      </c>
      <c r="D226" s="190">
        <f t="shared" si="14"/>
        <v>42582</v>
      </c>
      <c r="E226" s="593">
        <f>Arbeitszeit!V227*24</f>
        <v>0</v>
      </c>
      <c r="F226" s="352">
        <f t="shared" si="15"/>
        <v>0</v>
      </c>
      <c r="G226" s="155">
        <f>IF(Arbeitszeit!F227=Urlaub,B_WorkTime*24,)</f>
        <v>0</v>
      </c>
      <c r="H226" s="153"/>
      <c r="I226" s="155">
        <f>IF(Arbeitszeit!F227=Krank,B_WorkTime*24,)</f>
        <v>0</v>
      </c>
      <c r="J226" s="153"/>
      <c r="K226" s="156"/>
      <c r="L226" s="157"/>
      <c r="M226" s="581"/>
      <c r="N226" s="582"/>
      <c r="O226" s="581"/>
      <c r="P226" s="582"/>
      <c r="Q226" s="581"/>
      <c r="R226" s="582"/>
      <c r="S226" s="581"/>
      <c r="T226" s="582"/>
      <c r="U226" s="581"/>
      <c r="V226" s="582"/>
      <c r="W226" s="581"/>
      <c r="X226" s="582"/>
      <c r="Y226" s="581"/>
      <c r="Z226" s="582"/>
      <c r="AA226" s="581"/>
      <c r="AB226" s="582"/>
      <c r="AC226" s="581"/>
      <c r="AD226" s="582"/>
      <c r="AE226" s="581"/>
      <c r="AF226" s="583"/>
      <c r="AG226" s="581"/>
      <c r="AH226" s="583"/>
      <c r="AI226" s="581"/>
      <c r="AJ226" s="583"/>
      <c r="AK226" s="581"/>
      <c r="AL226" s="583"/>
      <c r="AM226" s="584"/>
      <c r="AN226" s="583"/>
      <c r="AO226" s="581"/>
      <c r="AP226" s="583"/>
      <c r="AQ226" s="584"/>
      <c r="AR226" s="583"/>
      <c r="AS226" s="583"/>
      <c r="AT226" s="583"/>
      <c r="AU226" s="584"/>
      <c r="AV226" s="583"/>
      <c r="AW226" s="583"/>
      <c r="AX226" s="158"/>
      <c r="AY226" s="154"/>
      <c r="AZ226">
        <f ca="1">INDIRECT(ADDRESS(ROW()+1,COLUMN(Arbeitszeit!xDay),,,"Arbeitszeit"))</f>
        <v>7</v>
      </c>
    </row>
    <row r="227" spans="1:52">
      <c r="A227" s="523">
        <f>Arbeitszeit!A228</f>
        <v>42591</v>
      </c>
      <c r="B227" s="524">
        <f t="shared" si="12"/>
        <v>42591</v>
      </c>
      <c r="C227" s="191">
        <f t="shared" si="13"/>
        <v>33</v>
      </c>
      <c r="D227" s="190">
        <f t="shared" si="14"/>
        <v>42582</v>
      </c>
      <c r="E227" s="593">
        <f>Arbeitszeit!V228*24</f>
        <v>0</v>
      </c>
      <c r="F227" s="352">
        <f t="shared" si="15"/>
        <v>0</v>
      </c>
      <c r="G227" s="155">
        <f>IF(Arbeitszeit!F228=Urlaub,B_WorkTime*24,)</f>
        <v>0</v>
      </c>
      <c r="H227" s="153"/>
      <c r="I227" s="155">
        <f>IF(Arbeitszeit!F228=Krank,B_WorkTime*24,)</f>
        <v>0</v>
      </c>
      <c r="J227" s="153"/>
      <c r="K227" s="156"/>
      <c r="L227" s="157"/>
      <c r="M227" s="581"/>
      <c r="N227" s="582"/>
      <c r="O227" s="581"/>
      <c r="P227" s="582"/>
      <c r="Q227" s="581"/>
      <c r="R227" s="582"/>
      <c r="S227" s="581"/>
      <c r="T227" s="582"/>
      <c r="U227" s="581"/>
      <c r="V227" s="582"/>
      <c r="W227" s="581"/>
      <c r="X227" s="582"/>
      <c r="Y227" s="581"/>
      <c r="Z227" s="582"/>
      <c r="AA227" s="581"/>
      <c r="AB227" s="582"/>
      <c r="AC227" s="581"/>
      <c r="AD227" s="582"/>
      <c r="AE227" s="581"/>
      <c r="AF227" s="583"/>
      <c r="AG227" s="581"/>
      <c r="AH227" s="583"/>
      <c r="AI227" s="581"/>
      <c r="AJ227" s="583"/>
      <c r="AK227" s="581"/>
      <c r="AL227" s="583"/>
      <c r="AM227" s="584"/>
      <c r="AN227" s="583"/>
      <c r="AO227" s="581"/>
      <c r="AP227" s="583"/>
      <c r="AQ227" s="584"/>
      <c r="AR227" s="583"/>
      <c r="AS227" s="583"/>
      <c r="AT227" s="583"/>
      <c r="AU227" s="584"/>
      <c r="AV227" s="583"/>
      <c r="AW227" s="583"/>
      <c r="AX227" s="158"/>
      <c r="AY227" s="154"/>
      <c r="AZ227">
        <f ca="1">INDIRECT(ADDRESS(ROW()+1,COLUMN(Arbeitszeit!xDay),,,"Arbeitszeit"))</f>
        <v>1</v>
      </c>
    </row>
    <row r="228" spans="1:52">
      <c r="A228" s="523">
        <f>Arbeitszeit!A229</f>
        <v>42592</v>
      </c>
      <c r="B228" s="524">
        <f t="shared" si="12"/>
        <v>42592</v>
      </c>
      <c r="C228" s="191">
        <f t="shared" si="13"/>
        <v>33</v>
      </c>
      <c r="D228" s="190">
        <f t="shared" si="14"/>
        <v>42582</v>
      </c>
      <c r="E228" s="593">
        <f>Arbeitszeit!V229*24</f>
        <v>0</v>
      </c>
      <c r="F228" s="352">
        <f t="shared" si="15"/>
        <v>0</v>
      </c>
      <c r="G228" s="155">
        <f>IF(Arbeitszeit!F229=Urlaub,B_WorkTime*24,)</f>
        <v>0</v>
      </c>
      <c r="H228" s="153"/>
      <c r="I228" s="155">
        <f>IF(Arbeitszeit!F229=Krank,B_WorkTime*24,)</f>
        <v>0</v>
      </c>
      <c r="J228" s="153"/>
      <c r="K228" s="156"/>
      <c r="L228" s="157"/>
      <c r="M228" s="581"/>
      <c r="N228" s="582"/>
      <c r="O228" s="581"/>
      <c r="P228" s="582"/>
      <c r="Q228" s="581"/>
      <c r="R228" s="582"/>
      <c r="S228" s="581"/>
      <c r="T228" s="582"/>
      <c r="U228" s="581"/>
      <c r="V228" s="582"/>
      <c r="W228" s="581"/>
      <c r="X228" s="582"/>
      <c r="Y228" s="581"/>
      <c r="Z228" s="582"/>
      <c r="AA228" s="581"/>
      <c r="AB228" s="582"/>
      <c r="AC228" s="581"/>
      <c r="AD228" s="582"/>
      <c r="AE228" s="581"/>
      <c r="AF228" s="583"/>
      <c r="AG228" s="581"/>
      <c r="AH228" s="583"/>
      <c r="AI228" s="581"/>
      <c r="AJ228" s="583"/>
      <c r="AK228" s="581"/>
      <c r="AL228" s="583"/>
      <c r="AM228" s="584"/>
      <c r="AN228" s="583"/>
      <c r="AO228" s="581"/>
      <c r="AP228" s="583"/>
      <c r="AQ228" s="584"/>
      <c r="AR228" s="583"/>
      <c r="AS228" s="583"/>
      <c r="AT228" s="583"/>
      <c r="AU228" s="584"/>
      <c r="AV228" s="583"/>
      <c r="AW228" s="583"/>
      <c r="AX228" s="158"/>
      <c r="AY228" s="154"/>
      <c r="AZ228">
        <f ca="1">INDIRECT(ADDRESS(ROW()+1,COLUMN(Arbeitszeit!xDay),,,"Arbeitszeit"))</f>
        <v>2</v>
      </c>
    </row>
    <row r="229" spans="1:52">
      <c r="A229" s="523">
        <f>Arbeitszeit!A230</f>
        <v>42593</v>
      </c>
      <c r="B229" s="524">
        <f t="shared" si="12"/>
        <v>42593</v>
      </c>
      <c r="C229" s="191">
        <f t="shared" si="13"/>
        <v>33</v>
      </c>
      <c r="D229" s="190">
        <f t="shared" si="14"/>
        <v>42582</v>
      </c>
      <c r="E229" s="593">
        <f>Arbeitszeit!V230*24</f>
        <v>0</v>
      </c>
      <c r="F229" s="352">
        <f t="shared" si="15"/>
        <v>0</v>
      </c>
      <c r="G229" s="155">
        <f>IF(Arbeitszeit!F230=Urlaub,B_WorkTime*24,)</f>
        <v>0</v>
      </c>
      <c r="H229" s="153"/>
      <c r="I229" s="155">
        <f>IF(Arbeitszeit!F230=Krank,B_WorkTime*24,)</f>
        <v>0</v>
      </c>
      <c r="J229" s="153"/>
      <c r="K229" s="156"/>
      <c r="L229" s="157"/>
      <c r="M229" s="581"/>
      <c r="N229" s="582"/>
      <c r="O229" s="581"/>
      <c r="P229" s="582"/>
      <c r="Q229" s="581"/>
      <c r="R229" s="582"/>
      <c r="S229" s="581"/>
      <c r="T229" s="582"/>
      <c r="U229" s="581"/>
      <c r="V229" s="582"/>
      <c r="W229" s="581"/>
      <c r="X229" s="582"/>
      <c r="Y229" s="581"/>
      <c r="Z229" s="582"/>
      <c r="AA229" s="581"/>
      <c r="AB229" s="582"/>
      <c r="AC229" s="581"/>
      <c r="AD229" s="582"/>
      <c r="AE229" s="581"/>
      <c r="AF229" s="583"/>
      <c r="AG229" s="581"/>
      <c r="AH229" s="583"/>
      <c r="AI229" s="581"/>
      <c r="AJ229" s="583"/>
      <c r="AK229" s="581"/>
      <c r="AL229" s="583"/>
      <c r="AM229" s="584"/>
      <c r="AN229" s="583"/>
      <c r="AO229" s="581"/>
      <c r="AP229" s="583"/>
      <c r="AQ229" s="584"/>
      <c r="AR229" s="583"/>
      <c r="AS229" s="583"/>
      <c r="AT229" s="583"/>
      <c r="AU229" s="584"/>
      <c r="AV229" s="583"/>
      <c r="AW229" s="583"/>
      <c r="AX229" s="158"/>
      <c r="AY229" s="154"/>
      <c r="AZ229">
        <f ca="1">INDIRECT(ADDRESS(ROW()+1,COLUMN(Arbeitszeit!xDay),,,"Arbeitszeit"))</f>
        <v>3</v>
      </c>
    </row>
    <row r="230" spans="1:52">
      <c r="A230" s="523">
        <f>Arbeitszeit!A231</f>
        <v>42594</v>
      </c>
      <c r="B230" s="524">
        <f t="shared" si="12"/>
        <v>42594</v>
      </c>
      <c r="C230" s="191">
        <f t="shared" si="13"/>
        <v>33</v>
      </c>
      <c r="D230" s="190">
        <f t="shared" si="14"/>
        <v>42582</v>
      </c>
      <c r="E230" s="593">
        <f>Arbeitszeit!V231*24</f>
        <v>0</v>
      </c>
      <c r="F230" s="352">
        <f t="shared" si="15"/>
        <v>0</v>
      </c>
      <c r="G230" s="155">
        <f>IF(Arbeitszeit!F231=Urlaub,B_WorkTime*24,)</f>
        <v>0</v>
      </c>
      <c r="H230" s="153"/>
      <c r="I230" s="155">
        <f>IF(Arbeitszeit!F231=Krank,B_WorkTime*24,)</f>
        <v>0</v>
      </c>
      <c r="J230" s="153"/>
      <c r="K230" s="156"/>
      <c r="L230" s="157"/>
      <c r="M230" s="581"/>
      <c r="N230" s="582"/>
      <c r="O230" s="581"/>
      <c r="P230" s="582"/>
      <c r="Q230" s="581"/>
      <c r="R230" s="582"/>
      <c r="S230" s="581"/>
      <c r="T230" s="582"/>
      <c r="U230" s="581"/>
      <c r="V230" s="582"/>
      <c r="W230" s="581"/>
      <c r="X230" s="582"/>
      <c r="Y230" s="581"/>
      <c r="Z230" s="582"/>
      <c r="AA230" s="581"/>
      <c r="AB230" s="582"/>
      <c r="AC230" s="581"/>
      <c r="AD230" s="582"/>
      <c r="AE230" s="581"/>
      <c r="AF230" s="583"/>
      <c r="AG230" s="581"/>
      <c r="AH230" s="583"/>
      <c r="AI230" s="581"/>
      <c r="AJ230" s="583"/>
      <c r="AK230" s="581"/>
      <c r="AL230" s="583"/>
      <c r="AM230" s="584"/>
      <c r="AN230" s="583"/>
      <c r="AO230" s="581"/>
      <c r="AP230" s="583"/>
      <c r="AQ230" s="584"/>
      <c r="AR230" s="583"/>
      <c r="AS230" s="583"/>
      <c r="AT230" s="583"/>
      <c r="AU230" s="584"/>
      <c r="AV230" s="583"/>
      <c r="AW230" s="583"/>
      <c r="AX230" s="158"/>
      <c r="AY230" s="154"/>
      <c r="AZ230">
        <f ca="1">INDIRECT(ADDRESS(ROW()+1,COLUMN(Arbeitszeit!xDay),,,"Arbeitszeit"))</f>
        <v>4</v>
      </c>
    </row>
    <row r="231" spans="1:52">
      <c r="A231" s="523">
        <f>Arbeitszeit!A232</f>
        <v>42595</v>
      </c>
      <c r="B231" s="524">
        <f t="shared" si="12"/>
        <v>42595</v>
      </c>
      <c r="C231" s="191">
        <f t="shared" si="13"/>
        <v>33</v>
      </c>
      <c r="D231" s="190">
        <f t="shared" si="14"/>
        <v>42582</v>
      </c>
      <c r="E231" s="593">
        <f>Arbeitszeit!V232*24</f>
        <v>0</v>
      </c>
      <c r="F231" s="352">
        <f t="shared" si="15"/>
        <v>0</v>
      </c>
      <c r="G231" s="155">
        <f>IF(Arbeitszeit!F232=Urlaub,B_WorkTime*24,)</f>
        <v>0</v>
      </c>
      <c r="H231" s="153"/>
      <c r="I231" s="155">
        <f>IF(Arbeitszeit!F232=Krank,B_WorkTime*24,)</f>
        <v>0</v>
      </c>
      <c r="J231" s="153"/>
      <c r="K231" s="156"/>
      <c r="L231" s="157"/>
      <c r="M231" s="581"/>
      <c r="N231" s="582"/>
      <c r="O231" s="581"/>
      <c r="P231" s="582"/>
      <c r="Q231" s="581"/>
      <c r="R231" s="582"/>
      <c r="S231" s="581"/>
      <c r="T231" s="582"/>
      <c r="U231" s="581"/>
      <c r="V231" s="582"/>
      <c r="W231" s="581"/>
      <c r="X231" s="582"/>
      <c r="Y231" s="581"/>
      <c r="Z231" s="582"/>
      <c r="AA231" s="581"/>
      <c r="AB231" s="582"/>
      <c r="AC231" s="581"/>
      <c r="AD231" s="582"/>
      <c r="AE231" s="581"/>
      <c r="AF231" s="583"/>
      <c r="AG231" s="581"/>
      <c r="AH231" s="583"/>
      <c r="AI231" s="581"/>
      <c r="AJ231" s="583"/>
      <c r="AK231" s="581"/>
      <c r="AL231" s="583"/>
      <c r="AM231" s="584"/>
      <c r="AN231" s="583"/>
      <c r="AO231" s="581"/>
      <c r="AP231" s="583"/>
      <c r="AQ231" s="584"/>
      <c r="AR231" s="583"/>
      <c r="AS231" s="583"/>
      <c r="AT231" s="583"/>
      <c r="AU231" s="584"/>
      <c r="AV231" s="583"/>
      <c r="AW231" s="583"/>
      <c r="AX231" s="158"/>
      <c r="AY231" s="154"/>
      <c r="AZ231">
        <f ca="1">INDIRECT(ADDRESS(ROW()+1,COLUMN(Arbeitszeit!xDay),,,"Arbeitszeit"))</f>
        <v>5</v>
      </c>
    </row>
    <row r="232" spans="1:52">
      <c r="A232" s="523">
        <f>Arbeitszeit!A233</f>
        <v>42596</v>
      </c>
      <c r="B232" s="524">
        <f t="shared" si="12"/>
        <v>42596</v>
      </c>
      <c r="C232" s="191">
        <f t="shared" si="13"/>
        <v>33</v>
      </c>
      <c r="D232" s="190">
        <f t="shared" si="14"/>
        <v>42582</v>
      </c>
      <c r="E232" s="593">
        <f>Arbeitszeit!V233*24</f>
        <v>0</v>
      </c>
      <c r="F232" s="352">
        <f t="shared" si="15"/>
        <v>0</v>
      </c>
      <c r="G232" s="155">
        <f>IF(Arbeitszeit!F233=Urlaub,B_WorkTime*24,)</f>
        <v>0</v>
      </c>
      <c r="H232" s="153"/>
      <c r="I232" s="155">
        <f>IF(Arbeitszeit!F233=Krank,B_WorkTime*24,)</f>
        <v>0</v>
      </c>
      <c r="J232" s="153"/>
      <c r="K232" s="156"/>
      <c r="L232" s="157"/>
      <c r="M232" s="581"/>
      <c r="N232" s="582"/>
      <c r="O232" s="581"/>
      <c r="P232" s="582"/>
      <c r="Q232" s="581"/>
      <c r="R232" s="582"/>
      <c r="S232" s="581"/>
      <c r="T232" s="582"/>
      <c r="U232" s="581"/>
      <c r="V232" s="582"/>
      <c r="W232" s="581"/>
      <c r="X232" s="582"/>
      <c r="Y232" s="581"/>
      <c r="Z232" s="582"/>
      <c r="AA232" s="581"/>
      <c r="AB232" s="582"/>
      <c r="AC232" s="581"/>
      <c r="AD232" s="582"/>
      <c r="AE232" s="581"/>
      <c r="AF232" s="583"/>
      <c r="AG232" s="581"/>
      <c r="AH232" s="583"/>
      <c r="AI232" s="581"/>
      <c r="AJ232" s="583"/>
      <c r="AK232" s="581"/>
      <c r="AL232" s="583"/>
      <c r="AM232" s="584"/>
      <c r="AN232" s="583"/>
      <c r="AO232" s="581"/>
      <c r="AP232" s="583"/>
      <c r="AQ232" s="584"/>
      <c r="AR232" s="583"/>
      <c r="AS232" s="583"/>
      <c r="AT232" s="583"/>
      <c r="AU232" s="584"/>
      <c r="AV232" s="583"/>
      <c r="AW232" s="583"/>
      <c r="AX232" s="158"/>
      <c r="AY232" s="154"/>
      <c r="AZ232">
        <f ca="1">INDIRECT(ADDRESS(ROW()+1,COLUMN(Arbeitszeit!xDay),,,"Arbeitszeit"))</f>
        <v>6</v>
      </c>
    </row>
    <row r="233" spans="1:52">
      <c r="A233" s="523">
        <f>Arbeitszeit!A234</f>
        <v>42597</v>
      </c>
      <c r="B233" s="524">
        <f t="shared" si="12"/>
        <v>42597</v>
      </c>
      <c r="C233" s="191">
        <f t="shared" si="13"/>
        <v>33</v>
      </c>
      <c r="D233" s="190">
        <f t="shared" si="14"/>
        <v>42582</v>
      </c>
      <c r="E233" s="593">
        <f>Arbeitszeit!V234*24</f>
        <v>0</v>
      </c>
      <c r="F233" s="352">
        <f t="shared" si="15"/>
        <v>0</v>
      </c>
      <c r="G233" s="155">
        <f>IF(Arbeitszeit!F234=Urlaub,B_WorkTime*24,)</f>
        <v>0</v>
      </c>
      <c r="H233" s="153"/>
      <c r="I233" s="155">
        <f>IF(Arbeitszeit!F234=Krank,B_WorkTime*24,)</f>
        <v>0</v>
      </c>
      <c r="J233" s="153"/>
      <c r="K233" s="156"/>
      <c r="L233" s="157"/>
      <c r="M233" s="581"/>
      <c r="N233" s="582"/>
      <c r="O233" s="581"/>
      <c r="P233" s="582"/>
      <c r="Q233" s="581"/>
      <c r="R233" s="582"/>
      <c r="S233" s="581"/>
      <c r="T233" s="582"/>
      <c r="U233" s="581"/>
      <c r="V233" s="582"/>
      <c r="W233" s="581"/>
      <c r="X233" s="582"/>
      <c r="Y233" s="581"/>
      <c r="Z233" s="582"/>
      <c r="AA233" s="581"/>
      <c r="AB233" s="582"/>
      <c r="AC233" s="581"/>
      <c r="AD233" s="582"/>
      <c r="AE233" s="581"/>
      <c r="AF233" s="583"/>
      <c r="AG233" s="581"/>
      <c r="AH233" s="583"/>
      <c r="AI233" s="581"/>
      <c r="AJ233" s="583"/>
      <c r="AK233" s="581"/>
      <c r="AL233" s="583"/>
      <c r="AM233" s="584"/>
      <c r="AN233" s="583"/>
      <c r="AO233" s="581"/>
      <c r="AP233" s="583"/>
      <c r="AQ233" s="584"/>
      <c r="AR233" s="583"/>
      <c r="AS233" s="583"/>
      <c r="AT233" s="583"/>
      <c r="AU233" s="584"/>
      <c r="AV233" s="583"/>
      <c r="AW233" s="583"/>
      <c r="AX233" s="158"/>
      <c r="AY233" s="154"/>
      <c r="AZ233">
        <f ca="1">INDIRECT(ADDRESS(ROW()+1,COLUMN(Arbeitszeit!xDay),,,"Arbeitszeit"))</f>
        <v>7</v>
      </c>
    </row>
    <row r="234" spans="1:52">
      <c r="A234" s="523">
        <f>Arbeitszeit!A235</f>
        <v>42598</v>
      </c>
      <c r="B234" s="524">
        <f t="shared" si="12"/>
        <v>42598</v>
      </c>
      <c r="C234" s="191">
        <f t="shared" si="13"/>
        <v>34</v>
      </c>
      <c r="D234" s="190">
        <f t="shared" si="14"/>
        <v>42582</v>
      </c>
      <c r="E234" s="593">
        <f>Arbeitszeit!V235*24</f>
        <v>0</v>
      </c>
      <c r="F234" s="352">
        <f t="shared" si="15"/>
        <v>0</v>
      </c>
      <c r="G234" s="155">
        <f>IF(Arbeitszeit!F235=Urlaub,B_WorkTime*24,)</f>
        <v>0</v>
      </c>
      <c r="H234" s="153"/>
      <c r="I234" s="155">
        <f>IF(Arbeitszeit!F235=Krank,B_WorkTime*24,)</f>
        <v>0</v>
      </c>
      <c r="J234" s="153"/>
      <c r="K234" s="156"/>
      <c r="L234" s="157"/>
      <c r="M234" s="581"/>
      <c r="N234" s="582"/>
      <c r="O234" s="581"/>
      <c r="P234" s="582"/>
      <c r="Q234" s="581"/>
      <c r="R234" s="582"/>
      <c r="S234" s="581"/>
      <c r="T234" s="582"/>
      <c r="U234" s="581"/>
      <c r="V234" s="582"/>
      <c r="W234" s="581"/>
      <c r="X234" s="582"/>
      <c r="Y234" s="581"/>
      <c r="Z234" s="582"/>
      <c r="AA234" s="581"/>
      <c r="AB234" s="582"/>
      <c r="AC234" s="581"/>
      <c r="AD234" s="582"/>
      <c r="AE234" s="581"/>
      <c r="AF234" s="583"/>
      <c r="AG234" s="581"/>
      <c r="AH234" s="583"/>
      <c r="AI234" s="581"/>
      <c r="AJ234" s="583"/>
      <c r="AK234" s="581"/>
      <c r="AL234" s="583"/>
      <c r="AM234" s="584"/>
      <c r="AN234" s="583"/>
      <c r="AO234" s="581"/>
      <c r="AP234" s="583"/>
      <c r="AQ234" s="584"/>
      <c r="AR234" s="583"/>
      <c r="AS234" s="583"/>
      <c r="AT234" s="583"/>
      <c r="AU234" s="584"/>
      <c r="AV234" s="583"/>
      <c r="AW234" s="583"/>
      <c r="AX234" s="158"/>
      <c r="AY234" s="154"/>
      <c r="AZ234">
        <f ca="1">INDIRECT(ADDRESS(ROW()+1,COLUMN(Arbeitszeit!xDay),,,"Arbeitszeit"))</f>
        <v>1</v>
      </c>
    </row>
    <row r="235" spans="1:52">
      <c r="A235" s="523">
        <f>Arbeitszeit!A236</f>
        <v>42599</v>
      </c>
      <c r="B235" s="524">
        <f t="shared" si="12"/>
        <v>42599</v>
      </c>
      <c r="C235" s="191">
        <f t="shared" si="13"/>
        <v>34</v>
      </c>
      <c r="D235" s="190">
        <f t="shared" si="14"/>
        <v>42582</v>
      </c>
      <c r="E235" s="593">
        <f>Arbeitszeit!V236*24</f>
        <v>0</v>
      </c>
      <c r="F235" s="352">
        <f t="shared" si="15"/>
        <v>0</v>
      </c>
      <c r="G235" s="155">
        <f>IF(Arbeitszeit!F236=Urlaub,B_WorkTime*24,)</f>
        <v>0</v>
      </c>
      <c r="H235" s="153"/>
      <c r="I235" s="155">
        <f>IF(Arbeitszeit!F236=Krank,B_WorkTime*24,)</f>
        <v>0</v>
      </c>
      <c r="J235" s="153"/>
      <c r="K235" s="156"/>
      <c r="L235" s="157"/>
      <c r="M235" s="581"/>
      <c r="N235" s="582"/>
      <c r="O235" s="581"/>
      <c r="P235" s="582"/>
      <c r="Q235" s="581"/>
      <c r="R235" s="582"/>
      <c r="S235" s="581"/>
      <c r="T235" s="582"/>
      <c r="U235" s="581"/>
      <c r="V235" s="582"/>
      <c r="W235" s="581"/>
      <c r="X235" s="582"/>
      <c r="Y235" s="581"/>
      <c r="Z235" s="582"/>
      <c r="AA235" s="581"/>
      <c r="AB235" s="582"/>
      <c r="AC235" s="581"/>
      <c r="AD235" s="582"/>
      <c r="AE235" s="581"/>
      <c r="AF235" s="583"/>
      <c r="AG235" s="581"/>
      <c r="AH235" s="583"/>
      <c r="AI235" s="581"/>
      <c r="AJ235" s="583"/>
      <c r="AK235" s="581"/>
      <c r="AL235" s="583"/>
      <c r="AM235" s="584"/>
      <c r="AN235" s="583"/>
      <c r="AO235" s="581"/>
      <c r="AP235" s="583"/>
      <c r="AQ235" s="584"/>
      <c r="AR235" s="583"/>
      <c r="AS235" s="583"/>
      <c r="AT235" s="583"/>
      <c r="AU235" s="584"/>
      <c r="AV235" s="583"/>
      <c r="AW235" s="583"/>
      <c r="AX235" s="158"/>
      <c r="AY235" s="154"/>
      <c r="AZ235">
        <f ca="1">INDIRECT(ADDRESS(ROW()+1,COLUMN(Arbeitszeit!xDay),,,"Arbeitszeit"))</f>
        <v>2</v>
      </c>
    </row>
    <row r="236" spans="1:52">
      <c r="A236" s="523">
        <f>Arbeitszeit!A237</f>
        <v>42600</v>
      </c>
      <c r="B236" s="524">
        <f t="shared" si="12"/>
        <v>42600</v>
      </c>
      <c r="C236" s="191">
        <f t="shared" si="13"/>
        <v>34</v>
      </c>
      <c r="D236" s="190">
        <f t="shared" si="14"/>
        <v>42582</v>
      </c>
      <c r="E236" s="593">
        <f>Arbeitszeit!V237*24</f>
        <v>0</v>
      </c>
      <c r="F236" s="352">
        <f t="shared" si="15"/>
        <v>0</v>
      </c>
      <c r="G236" s="155">
        <f>IF(Arbeitszeit!F237=Urlaub,B_WorkTime*24,)</f>
        <v>0</v>
      </c>
      <c r="H236" s="153"/>
      <c r="I236" s="155">
        <f>IF(Arbeitszeit!F237=Krank,B_WorkTime*24,)</f>
        <v>0</v>
      </c>
      <c r="J236" s="153"/>
      <c r="K236" s="156"/>
      <c r="L236" s="157"/>
      <c r="M236" s="581"/>
      <c r="N236" s="582"/>
      <c r="O236" s="581"/>
      <c r="P236" s="582"/>
      <c r="Q236" s="581"/>
      <c r="R236" s="582"/>
      <c r="S236" s="581"/>
      <c r="T236" s="582"/>
      <c r="U236" s="581"/>
      <c r="V236" s="582"/>
      <c r="W236" s="581"/>
      <c r="X236" s="582"/>
      <c r="Y236" s="581"/>
      <c r="Z236" s="582"/>
      <c r="AA236" s="581"/>
      <c r="AB236" s="582"/>
      <c r="AC236" s="581"/>
      <c r="AD236" s="582"/>
      <c r="AE236" s="581"/>
      <c r="AF236" s="583"/>
      <c r="AG236" s="581"/>
      <c r="AH236" s="583"/>
      <c r="AI236" s="581"/>
      <c r="AJ236" s="583"/>
      <c r="AK236" s="581"/>
      <c r="AL236" s="583"/>
      <c r="AM236" s="584"/>
      <c r="AN236" s="583"/>
      <c r="AO236" s="581"/>
      <c r="AP236" s="583"/>
      <c r="AQ236" s="584"/>
      <c r="AR236" s="583"/>
      <c r="AS236" s="583"/>
      <c r="AT236" s="583"/>
      <c r="AU236" s="584"/>
      <c r="AV236" s="583"/>
      <c r="AW236" s="583"/>
      <c r="AX236" s="158"/>
      <c r="AY236" s="154"/>
      <c r="AZ236">
        <f ca="1">INDIRECT(ADDRESS(ROW()+1,COLUMN(Arbeitszeit!xDay),,,"Arbeitszeit"))</f>
        <v>3</v>
      </c>
    </row>
    <row r="237" spans="1:52">
      <c r="A237" s="523">
        <f>Arbeitszeit!A238</f>
        <v>42601</v>
      </c>
      <c r="B237" s="524">
        <f t="shared" si="12"/>
        <v>42601</v>
      </c>
      <c r="C237" s="191">
        <f t="shared" si="13"/>
        <v>34</v>
      </c>
      <c r="D237" s="190">
        <f t="shared" si="14"/>
        <v>42582</v>
      </c>
      <c r="E237" s="593">
        <f>Arbeitszeit!V238*24</f>
        <v>0</v>
      </c>
      <c r="F237" s="352">
        <f t="shared" si="15"/>
        <v>0</v>
      </c>
      <c r="G237" s="155">
        <f>IF(Arbeitszeit!F238=Urlaub,B_WorkTime*24,)</f>
        <v>0</v>
      </c>
      <c r="H237" s="153"/>
      <c r="I237" s="155">
        <f>IF(Arbeitszeit!F238=Krank,B_WorkTime*24,)</f>
        <v>0</v>
      </c>
      <c r="J237" s="153"/>
      <c r="K237" s="156"/>
      <c r="L237" s="157"/>
      <c r="M237" s="581"/>
      <c r="N237" s="582"/>
      <c r="O237" s="581"/>
      <c r="P237" s="582"/>
      <c r="Q237" s="581"/>
      <c r="R237" s="582"/>
      <c r="S237" s="581"/>
      <c r="T237" s="582"/>
      <c r="U237" s="581"/>
      <c r="V237" s="582"/>
      <c r="W237" s="581"/>
      <c r="X237" s="582"/>
      <c r="Y237" s="581"/>
      <c r="Z237" s="582"/>
      <c r="AA237" s="581"/>
      <c r="AB237" s="582"/>
      <c r="AC237" s="581"/>
      <c r="AD237" s="582"/>
      <c r="AE237" s="581"/>
      <c r="AF237" s="583"/>
      <c r="AG237" s="581"/>
      <c r="AH237" s="583"/>
      <c r="AI237" s="581"/>
      <c r="AJ237" s="583"/>
      <c r="AK237" s="581"/>
      <c r="AL237" s="583"/>
      <c r="AM237" s="584"/>
      <c r="AN237" s="583"/>
      <c r="AO237" s="581"/>
      <c r="AP237" s="583"/>
      <c r="AQ237" s="584"/>
      <c r="AR237" s="583"/>
      <c r="AS237" s="583"/>
      <c r="AT237" s="583"/>
      <c r="AU237" s="584"/>
      <c r="AV237" s="583"/>
      <c r="AW237" s="583"/>
      <c r="AX237" s="158"/>
      <c r="AY237" s="154"/>
      <c r="AZ237">
        <f ca="1">INDIRECT(ADDRESS(ROW()+1,COLUMN(Arbeitszeit!xDay),,,"Arbeitszeit"))</f>
        <v>4</v>
      </c>
    </row>
    <row r="238" spans="1:52">
      <c r="A238" s="523">
        <f>Arbeitszeit!A239</f>
        <v>42602</v>
      </c>
      <c r="B238" s="524">
        <f t="shared" si="12"/>
        <v>42602</v>
      </c>
      <c r="C238" s="191">
        <f t="shared" si="13"/>
        <v>34</v>
      </c>
      <c r="D238" s="190">
        <f t="shared" si="14"/>
        <v>42582</v>
      </c>
      <c r="E238" s="593">
        <f>Arbeitszeit!V239*24</f>
        <v>0</v>
      </c>
      <c r="F238" s="352">
        <f t="shared" si="15"/>
        <v>0</v>
      </c>
      <c r="G238" s="155">
        <f>IF(Arbeitszeit!F239=Urlaub,B_WorkTime*24,)</f>
        <v>0</v>
      </c>
      <c r="H238" s="153"/>
      <c r="I238" s="155">
        <f>IF(Arbeitszeit!F239=Krank,B_WorkTime*24,)</f>
        <v>0</v>
      </c>
      <c r="J238" s="153"/>
      <c r="K238" s="156"/>
      <c r="L238" s="157"/>
      <c r="M238" s="581"/>
      <c r="N238" s="582"/>
      <c r="O238" s="581"/>
      <c r="P238" s="582"/>
      <c r="Q238" s="581"/>
      <c r="R238" s="582"/>
      <c r="S238" s="581"/>
      <c r="T238" s="582"/>
      <c r="U238" s="581"/>
      <c r="V238" s="582"/>
      <c r="W238" s="581"/>
      <c r="X238" s="582"/>
      <c r="Y238" s="581"/>
      <c r="Z238" s="582"/>
      <c r="AA238" s="581"/>
      <c r="AB238" s="582"/>
      <c r="AC238" s="581"/>
      <c r="AD238" s="582"/>
      <c r="AE238" s="581"/>
      <c r="AF238" s="583"/>
      <c r="AG238" s="581"/>
      <c r="AH238" s="583"/>
      <c r="AI238" s="581"/>
      <c r="AJ238" s="583"/>
      <c r="AK238" s="581"/>
      <c r="AL238" s="583"/>
      <c r="AM238" s="584"/>
      <c r="AN238" s="583"/>
      <c r="AO238" s="581"/>
      <c r="AP238" s="583"/>
      <c r="AQ238" s="584"/>
      <c r="AR238" s="583"/>
      <c r="AS238" s="583"/>
      <c r="AT238" s="583"/>
      <c r="AU238" s="584"/>
      <c r="AV238" s="583"/>
      <c r="AW238" s="583"/>
      <c r="AX238" s="158"/>
      <c r="AY238" s="154"/>
      <c r="AZ238">
        <f ca="1">INDIRECT(ADDRESS(ROW()+1,COLUMN(Arbeitszeit!xDay),,,"Arbeitszeit"))</f>
        <v>5</v>
      </c>
    </row>
    <row r="239" spans="1:52">
      <c r="A239" s="523">
        <f>Arbeitszeit!A240</f>
        <v>42603</v>
      </c>
      <c r="B239" s="524">
        <f t="shared" si="12"/>
        <v>42603</v>
      </c>
      <c r="C239" s="191">
        <f t="shared" si="13"/>
        <v>34</v>
      </c>
      <c r="D239" s="190">
        <f t="shared" si="14"/>
        <v>42582</v>
      </c>
      <c r="E239" s="593">
        <f>Arbeitszeit!V240*24</f>
        <v>0</v>
      </c>
      <c r="F239" s="352">
        <f t="shared" si="15"/>
        <v>0</v>
      </c>
      <c r="G239" s="155">
        <f>IF(Arbeitszeit!F240=Urlaub,B_WorkTime*24,)</f>
        <v>0</v>
      </c>
      <c r="H239" s="153"/>
      <c r="I239" s="155">
        <f>IF(Arbeitszeit!F240=Krank,B_WorkTime*24,)</f>
        <v>0</v>
      </c>
      <c r="J239" s="153"/>
      <c r="K239" s="156"/>
      <c r="L239" s="157"/>
      <c r="M239" s="581"/>
      <c r="N239" s="582"/>
      <c r="O239" s="581"/>
      <c r="P239" s="582"/>
      <c r="Q239" s="581"/>
      <c r="R239" s="582"/>
      <c r="S239" s="581"/>
      <c r="T239" s="582"/>
      <c r="U239" s="581"/>
      <c r="V239" s="582"/>
      <c r="W239" s="581"/>
      <c r="X239" s="582"/>
      <c r="Y239" s="581"/>
      <c r="Z239" s="582"/>
      <c r="AA239" s="581"/>
      <c r="AB239" s="582"/>
      <c r="AC239" s="581"/>
      <c r="AD239" s="582"/>
      <c r="AE239" s="581"/>
      <c r="AF239" s="583"/>
      <c r="AG239" s="581"/>
      <c r="AH239" s="583"/>
      <c r="AI239" s="581"/>
      <c r="AJ239" s="583"/>
      <c r="AK239" s="581"/>
      <c r="AL239" s="583"/>
      <c r="AM239" s="584"/>
      <c r="AN239" s="583"/>
      <c r="AO239" s="581"/>
      <c r="AP239" s="583"/>
      <c r="AQ239" s="584"/>
      <c r="AR239" s="583"/>
      <c r="AS239" s="583"/>
      <c r="AT239" s="583"/>
      <c r="AU239" s="584"/>
      <c r="AV239" s="583"/>
      <c r="AW239" s="583"/>
      <c r="AX239" s="158"/>
      <c r="AY239" s="154"/>
      <c r="AZ239">
        <f ca="1">INDIRECT(ADDRESS(ROW()+1,COLUMN(Arbeitszeit!xDay),,,"Arbeitszeit"))</f>
        <v>6</v>
      </c>
    </row>
    <row r="240" spans="1:52">
      <c r="A240" s="523">
        <f>Arbeitszeit!A241</f>
        <v>42604</v>
      </c>
      <c r="B240" s="524">
        <f t="shared" si="12"/>
        <v>42604</v>
      </c>
      <c r="C240" s="191">
        <f t="shared" si="13"/>
        <v>34</v>
      </c>
      <c r="D240" s="190">
        <f t="shared" si="14"/>
        <v>42582</v>
      </c>
      <c r="E240" s="593">
        <f>Arbeitszeit!V241*24</f>
        <v>0</v>
      </c>
      <c r="F240" s="352">
        <f t="shared" si="15"/>
        <v>0</v>
      </c>
      <c r="G240" s="155">
        <f>IF(Arbeitszeit!F241=Urlaub,B_WorkTime*24,)</f>
        <v>0</v>
      </c>
      <c r="H240" s="153"/>
      <c r="I240" s="155">
        <f>IF(Arbeitszeit!F241=Krank,B_WorkTime*24,)</f>
        <v>0</v>
      </c>
      <c r="J240" s="153"/>
      <c r="K240" s="156"/>
      <c r="L240" s="157"/>
      <c r="M240" s="581"/>
      <c r="N240" s="582"/>
      <c r="O240" s="581"/>
      <c r="P240" s="582"/>
      <c r="Q240" s="581"/>
      <c r="R240" s="582"/>
      <c r="S240" s="581"/>
      <c r="T240" s="582"/>
      <c r="U240" s="581"/>
      <c r="V240" s="582"/>
      <c r="W240" s="581"/>
      <c r="X240" s="582"/>
      <c r="Y240" s="581"/>
      <c r="Z240" s="582"/>
      <c r="AA240" s="581"/>
      <c r="AB240" s="582"/>
      <c r="AC240" s="581"/>
      <c r="AD240" s="582"/>
      <c r="AE240" s="581"/>
      <c r="AF240" s="583"/>
      <c r="AG240" s="581"/>
      <c r="AH240" s="583"/>
      <c r="AI240" s="581"/>
      <c r="AJ240" s="583"/>
      <c r="AK240" s="581"/>
      <c r="AL240" s="583"/>
      <c r="AM240" s="584"/>
      <c r="AN240" s="583"/>
      <c r="AO240" s="581"/>
      <c r="AP240" s="583"/>
      <c r="AQ240" s="584"/>
      <c r="AR240" s="583"/>
      <c r="AS240" s="583"/>
      <c r="AT240" s="583"/>
      <c r="AU240" s="584"/>
      <c r="AV240" s="583"/>
      <c r="AW240" s="583"/>
      <c r="AX240" s="158"/>
      <c r="AY240" s="154"/>
      <c r="AZ240">
        <f ca="1">INDIRECT(ADDRESS(ROW()+1,COLUMN(Arbeitszeit!xDay),,,"Arbeitszeit"))</f>
        <v>7</v>
      </c>
    </row>
    <row r="241" spans="1:52">
      <c r="A241" s="523">
        <f>Arbeitszeit!A242</f>
        <v>42605</v>
      </c>
      <c r="B241" s="524">
        <f t="shared" si="12"/>
        <v>42605</v>
      </c>
      <c r="C241" s="191">
        <f t="shared" si="13"/>
        <v>35</v>
      </c>
      <c r="D241" s="190">
        <f t="shared" si="14"/>
        <v>42582</v>
      </c>
      <c r="E241" s="593">
        <f>Arbeitszeit!V242*24</f>
        <v>0</v>
      </c>
      <c r="F241" s="352">
        <f t="shared" si="15"/>
        <v>0</v>
      </c>
      <c r="G241" s="155">
        <f>IF(Arbeitszeit!F242=Urlaub,B_WorkTime*24,)</f>
        <v>0</v>
      </c>
      <c r="H241" s="153"/>
      <c r="I241" s="155">
        <f>IF(Arbeitszeit!F242=Krank,B_WorkTime*24,)</f>
        <v>0</v>
      </c>
      <c r="J241" s="153"/>
      <c r="K241" s="156"/>
      <c r="L241" s="157"/>
      <c r="M241" s="581"/>
      <c r="N241" s="582"/>
      <c r="O241" s="581"/>
      <c r="P241" s="582"/>
      <c r="Q241" s="581"/>
      <c r="R241" s="582"/>
      <c r="S241" s="581"/>
      <c r="T241" s="582"/>
      <c r="U241" s="581"/>
      <c r="V241" s="582"/>
      <c r="W241" s="581"/>
      <c r="X241" s="582"/>
      <c r="Y241" s="581"/>
      <c r="Z241" s="582"/>
      <c r="AA241" s="581"/>
      <c r="AB241" s="582"/>
      <c r="AC241" s="581"/>
      <c r="AD241" s="582"/>
      <c r="AE241" s="581"/>
      <c r="AF241" s="583"/>
      <c r="AG241" s="581"/>
      <c r="AH241" s="583"/>
      <c r="AI241" s="581"/>
      <c r="AJ241" s="583"/>
      <c r="AK241" s="581"/>
      <c r="AL241" s="583"/>
      <c r="AM241" s="584"/>
      <c r="AN241" s="583"/>
      <c r="AO241" s="581"/>
      <c r="AP241" s="583"/>
      <c r="AQ241" s="584"/>
      <c r="AR241" s="583"/>
      <c r="AS241" s="583"/>
      <c r="AT241" s="583"/>
      <c r="AU241" s="584"/>
      <c r="AV241" s="583"/>
      <c r="AW241" s="583"/>
      <c r="AX241" s="158"/>
      <c r="AY241" s="154"/>
      <c r="AZ241">
        <f ca="1">INDIRECT(ADDRESS(ROW()+1,COLUMN(Arbeitszeit!xDay),,,"Arbeitszeit"))</f>
        <v>1</v>
      </c>
    </row>
    <row r="242" spans="1:52">
      <c r="A242" s="523">
        <f>Arbeitszeit!A243</f>
        <v>42606</v>
      </c>
      <c r="B242" s="524">
        <f t="shared" si="12"/>
        <v>42606</v>
      </c>
      <c r="C242" s="191">
        <f t="shared" si="13"/>
        <v>35</v>
      </c>
      <c r="D242" s="190">
        <f t="shared" si="14"/>
        <v>42582</v>
      </c>
      <c r="E242" s="593">
        <f>Arbeitszeit!V243*24</f>
        <v>0</v>
      </c>
      <c r="F242" s="352">
        <f t="shared" si="15"/>
        <v>0</v>
      </c>
      <c r="G242" s="155">
        <f>IF(Arbeitszeit!F243=Urlaub,B_WorkTime*24,)</f>
        <v>0</v>
      </c>
      <c r="H242" s="153"/>
      <c r="I242" s="155">
        <f>IF(Arbeitszeit!F243=Krank,B_WorkTime*24,)</f>
        <v>0</v>
      </c>
      <c r="J242" s="153"/>
      <c r="K242" s="156"/>
      <c r="L242" s="157"/>
      <c r="M242" s="581"/>
      <c r="N242" s="582"/>
      <c r="O242" s="581"/>
      <c r="P242" s="582"/>
      <c r="Q242" s="581"/>
      <c r="R242" s="582"/>
      <c r="S242" s="581"/>
      <c r="T242" s="582"/>
      <c r="U242" s="581"/>
      <c r="V242" s="582"/>
      <c r="W242" s="581"/>
      <c r="X242" s="582"/>
      <c r="Y242" s="581"/>
      <c r="Z242" s="582"/>
      <c r="AA242" s="581"/>
      <c r="AB242" s="582"/>
      <c r="AC242" s="581"/>
      <c r="AD242" s="582"/>
      <c r="AE242" s="581"/>
      <c r="AF242" s="583"/>
      <c r="AG242" s="581"/>
      <c r="AH242" s="583"/>
      <c r="AI242" s="581"/>
      <c r="AJ242" s="583"/>
      <c r="AK242" s="581"/>
      <c r="AL242" s="583"/>
      <c r="AM242" s="584"/>
      <c r="AN242" s="583"/>
      <c r="AO242" s="581"/>
      <c r="AP242" s="583"/>
      <c r="AQ242" s="584"/>
      <c r="AR242" s="583"/>
      <c r="AS242" s="583"/>
      <c r="AT242" s="583"/>
      <c r="AU242" s="584"/>
      <c r="AV242" s="583"/>
      <c r="AW242" s="583"/>
      <c r="AX242" s="158"/>
      <c r="AY242" s="154"/>
      <c r="AZ242">
        <f ca="1">INDIRECT(ADDRESS(ROW()+1,COLUMN(Arbeitszeit!xDay),,,"Arbeitszeit"))</f>
        <v>2</v>
      </c>
    </row>
    <row r="243" spans="1:52">
      <c r="A243" s="523">
        <f>Arbeitszeit!A244</f>
        <v>42607</v>
      </c>
      <c r="B243" s="524">
        <f t="shared" si="12"/>
        <v>42607</v>
      </c>
      <c r="C243" s="191">
        <f t="shared" si="13"/>
        <v>35</v>
      </c>
      <c r="D243" s="190">
        <f t="shared" si="14"/>
        <v>42582</v>
      </c>
      <c r="E243" s="593">
        <f>Arbeitszeit!V244*24</f>
        <v>0</v>
      </c>
      <c r="F243" s="352">
        <f t="shared" si="15"/>
        <v>0</v>
      </c>
      <c r="G243" s="155">
        <f>IF(Arbeitszeit!F244=Urlaub,B_WorkTime*24,)</f>
        <v>0</v>
      </c>
      <c r="H243" s="153"/>
      <c r="I243" s="155">
        <f>IF(Arbeitszeit!F244=Krank,B_WorkTime*24,)</f>
        <v>0</v>
      </c>
      <c r="J243" s="153"/>
      <c r="K243" s="156"/>
      <c r="L243" s="157"/>
      <c r="M243" s="581"/>
      <c r="N243" s="582"/>
      <c r="O243" s="581"/>
      <c r="P243" s="582"/>
      <c r="Q243" s="581"/>
      <c r="R243" s="582"/>
      <c r="S243" s="581"/>
      <c r="T243" s="582"/>
      <c r="U243" s="581"/>
      <c r="V243" s="582"/>
      <c r="W243" s="581"/>
      <c r="X243" s="582"/>
      <c r="Y243" s="581"/>
      <c r="Z243" s="582"/>
      <c r="AA243" s="581"/>
      <c r="AB243" s="582"/>
      <c r="AC243" s="581"/>
      <c r="AD243" s="582"/>
      <c r="AE243" s="581"/>
      <c r="AF243" s="583"/>
      <c r="AG243" s="581"/>
      <c r="AH243" s="583"/>
      <c r="AI243" s="581"/>
      <c r="AJ243" s="583"/>
      <c r="AK243" s="581"/>
      <c r="AL243" s="583"/>
      <c r="AM243" s="584"/>
      <c r="AN243" s="583"/>
      <c r="AO243" s="581"/>
      <c r="AP243" s="583"/>
      <c r="AQ243" s="584"/>
      <c r="AR243" s="583"/>
      <c r="AS243" s="583"/>
      <c r="AT243" s="583"/>
      <c r="AU243" s="584"/>
      <c r="AV243" s="583"/>
      <c r="AW243" s="583"/>
      <c r="AX243" s="158"/>
      <c r="AY243" s="154"/>
      <c r="AZ243">
        <f ca="1">INDIRECT(ADDRESS(ROW()+1,COLUMN(Arbeitszeit!xDay),,,"Arbeitszeit"))</f>
        <v>3</v>
      </c>
    </row>
    <row r="244" spans="1:52">
      <c r="A244" s="523">
        <f>Arbeitszeit!A245</f>
        <v>42608</v>
      </c>
      <c r="B244" s="524">
        <f t="shared" si="12"/>
        <v>42608</v>
      </c>
      <c r="C244" s="191">
        <f t="shared" si="13"/>
        <v>35</v>
      </c>
      <c r="D244" s="190">
        <f t="shared" si="14"/>
        <v>42582</v>
      </c>
      <c r="E244" s="593">
        <f>Arbeitszeit!V245*24</f>
        <v>0</v>
      </c>
      <c r="F244" s="352">
        <f t="shared" si="15"/>
        <v>0</v>
      </c>
      <c r="G244" s="155">
        <f>IF(Arbeitszeit!F245=Urlaub,B_WorkTime*24,)</f>
        <v>0</v>
      </c>
      <c r="H244" s="153"/>
      <c r="I244" s="155">
        <f>IF(Arbeitszeit!F245=Krank,B_WorkTime*24,)</f>
        <v>0</v>
      </c>
      <c r="J244" s="153"/>
      <c r="K244" s="156"/>
      <c r="L244" s="157"/>
      <c r="M244" s="581"/>
      <c r="N244" s="582"/>
      <c r="O244" s="581"/>
      <c r="P244" s="582"/>
      <c r="Q244" s="581"/>
      <c r="R244" s="582"/>
      <c r="S244" s="581"/>
      <c r="T244" s="582"/>
      <c r="U244" s="581"/>
      <c r="V244" s="582"/>
      <c r="W244" s="581"/>
      <c r="X244" s="582"/>
      <c r="Y244" s="581"/>
      <c r="Z244" s="582"/>
      <c r="AA244" s="581"/>
      <c r="AB244" s="582"/>
      <c r="AC244" s="581"/>
      <c r="AD244" s="582"/>
      <c r="AE244" s="581"/>
      <c r="AF244" s="583"/>
      <c r="AG244" s="581"/>
      <c r="AH244" s="583"/>
      <c r="AI244" s="581"/>
      <c r="AJ244" s="583"/>
      <c r="AK244" s="581"/>
      <c r="AL244" s="583"/>
      <c r="AM244" s="584"/>
      <c r="AN244" s="583"/>
      <c r="AO244" s="581"/>
      <c r="AP244" s="583"/>
      <c r="AQ244" s="584"/>
      <c r="AR244" s="583"/>
      <c r="AS244" s="583"/>
      <c r="AT244" s="583"/>
      <c r="AU244" s="584"/>
      <c r="AV244" s="583"/>
      <c r="AW244" s="583"/>
      <c r="AX244" s="158"/>
      <c r="AY244" s="154"/>
      <c r="AZ244">
        <f ca="1">INDIRECT(ADDRESS(ROW()+1,COLUMN(Arbeitszeit!xDay),,,"Arbeitszeit"))</f>
        <v>4</v>
      </c>
    </row>
    <row r="245" spans="1:52">
      <c r="A245" s="523">
        <f>Arbeitszeit!A246</f>
        <v>42609</v>
      </c>
      <c r="B245" s="524">
        <f t="shared" si="12"/>
        <v>42609</v>
      </c>
      <c r="C245" s="191">
        <f t="shared" si="13"/>
        <v>35</v>
      </c>
      <c r="D245" s="190">
        <f t="shared" si="14"/>
        <v>42582</v>
      </c>
      <c r="E245" s="593">
        <f>Arbeitszeit!V246*24</f>
        <v>0</v>
      </c>
      <c r="F245" s="352">
        <f t="shared" si="15"/>
        <v>0</v>
      </c>
      <c r="G245" s="155">
        <f>IF(Arbeitszeit!F246=Urlaub,B_WorkTime*24,)</f>
        <v>0</v>
      </c>
      <c r="H245" s="153"/>
      <c r="I245" s="155">
        <f>IF(Arbeitszeit!F246=Krank,B_WorkTime*24,)</f>
        <v>0</v>
      </c>
      <c r="J245" s="153"/>
      <c r="K245" s="156"/>
      <c r="L245" s="157"/>
      <c r="M245" s="581"/>
      <c r="N245" s="582"/>
      <c r="O245" s="581"/>
      <c r="P245" s="582"/>
      <c r="Q245" s="581"/>
      <c r="R245" s="582"/>
      <c r="S245" s="581"/>
      <c r="T245" s="582"/>
      <c r="U245" s="581"/>
      <c r="V245" s="582"/>
      <c r="W245" s="581"/>
      <c r="X245" s="582"/>
      <c r="Y245" s="581"/>
      <c r="Z245" s="582"/>
      <c r="AA245" s="581"/>
      <c r="AB245" s="582"/>
      <c r="AC245" s="581"/>
      <c r="AD245" s="582"/>
      <c r="AE245" s="581"/>
      <c r="AF245" s="583"/>
      <c r="AG245" s="581"/>
      <c r="AH245" s="583"/>
      <c r="AI245" s="581"/>
      <c r="AJ245" s="583"/>
      <c r="AK245" s="581"/>
      <c r="AL245" s="583"/>
      <c r="AM245" s="584"/>
      <c r="AN245" s="583"/>
      <c r="AO245" s="581"/>
      <c r="AP245" s="583"/>
      <c r="AQ245" s="584"/>
      <c r="AR245" s="583"/>
      <c r="AS245" s="583"/>
      <c r="AT245" s="583"/>
      <c r="AU245" s="584"/>
      <c r="AV245" s="583"/>
      <c r="AW245" s="583"/>
      <c r="AX245" s="158"/>
      <c r="AY245" s="154"/>
      <c r="AZ245">
        <f ca="1">INDIRECT(ADDRESS(ROW()+1,COLUMN(Arbeitszeit!xDay),,,"Arbeitszeit"))</f>
        <v>5</v>
      </c>
    </row>
    <row r="246" spans="1:52">
      <c r="A246" s="523">
        <f>Arbeitszeit!A247</f>
        <v>42610</v>
      </c>
      <c r="B246" s="524">
        <f t="shared" si="12"/>
        <v>42610</v>
      </c>
      <c r="C246" s="191">
        <f t="shared" si="13"/>
        <v>35</v>
      </c>
      <c r="D246" s="190">
        <f t="shared" si="14"/>
        <v>42582</v>
      </c>
      <c r="E246" s="593">
        <f>Arbeitszeit!V247*24</f>
        <v>0</v>
      </c>
      <c r="F246" s="352">
        <f t="shared" si="15"/>
        <v>0</v>
      </c>
      <c r="G246" s="155">
        <f>IF(Arbeitszeit!F247=Urlaub,B_WorkTime*24,)</f>
        <v>0</v>
      </c>
      <c r="H246" s="153"/>
      <c r="I246" s="155">
        <f>IF(Arbeitszeit!F247=Krank,B_WorkTime*24,)</f>
        <v>0</v>
      </c>
      <c r="J246" s="153"/>
      <c r="K246" s="156"/>
      <c r="L246" s="157"/>
      <c r="M246" s="581"/>
      <c r="N246" s="582"/>
      <c r="O246" s="581"/>
      <c r="P246" s="582"/>
      <c r="Q246" s="581"/>
      <c r="R246" s="582"/>
      <c r="S246" s="581"/>
      <c r="T246" s="582"/>
      <c r="U246" s="581"/>
      <c r="V246" s="582"/>
      <c r="W246" s="581"/>
      <c r="X246" s="582"/>
      <c r="Y246" s="581"/>
      <c r="Z246" s="582"/>
      <c r="AA246" s="581"/>
      <c r="AB246" s="582"/>
      <c r="AC246" s="581"/>
      <c r="AD246" s="582"/>
      <c r="AE246" s="581"/>
      <c r="AF246" s="583"/>
      <c r="AG246" s="581"/>
      <c r="AH246" s="583"/>
      <c r="AI246" s="581"/>
      <c r="AJ246" s="583"/>
      <c r="AK246" s="581"/>
      <c r="AL246" s="583"/>
      <c r="AM246" s="584"/>
      <c r="AN246" s="583"/>
      <c r="AO246" s="581"/>
      <c r="AP246" s="583"/>
      <c r="AQ246" s="584"/>
      <c r="AR246" s="583"/>
      <c r="AS246" s="583"/>
      <c r="AT246" s="583"/>
      <c r="AU246" s="584"/>
      <c r="AV246" s="583"/>
      <c r="AW246" s="583"/>
      <c r="AX246" s="158"/>
      <c r="AY246" s="154"/>
      <c r="AZ246">
        <f ca="1">INDIRECT(ADDRESS(ROW()+1,COLUMN(Arbeitszeit!xDay),,,"Arbeitszeit"))</f>
        <v>6</v>
      </c>
    </row>
    <row r="247" spans="1:52">
      <c r="A247" s="523">
        <f>Arbeitszeit!A248</f>
        <v>42611</v>
      </c>
      <c r="B247" s="524">
        <f t="shared" si="12"/>
        <v>42611</v>
      </c>
      <c r="C247" s="191">
        <f t="shared" si="13"/>
        <v>35</v>
      </c>
      <c r="D247" s="190">
        <f t="shared" si="14"/>
        <v>42582</v>
      </c>
      <c r="E247" s="593">
        <f>Arbeitszeit!V248*24</f>
        <v>0</v>
      </c>
      <c r="F247" s="352">
        <f t="shared" si="15"/>
        <v>0</v>
      </c>
      <c r="G247" s="155">
        <f>IF(Arbeitszeit!F248=Urlaub,B_WorkTime*24,)</f>
        <v>0</v>
      </c>
      <c r="H247" s="153"/>
      <c r="I247" s="155">
        <f>IF(Arbeitszeit!F248=Krank,B_WorkTime*24,)</f>
        <v>0</v>
      </c>
      <c r="J247" s="153"/>
      <c r="K247" s="156"/>
      <c r="L247" s="157"/>
      <c r="M247" s="581"/>
      <c r="N247" s="582"/>
      <c r="O247" s="581"/>
      <c r="P247" s="582"/>
      <c r="Q247" s="581"/>
      <c r="R247" s="582"/>
      <c r="S247" s="581"/>
      <c r="T247" s="582"/>
      <c r="U247" s="581"/>
      <c r="V247" s="582"/>
      <c r="W247" s="581"/>
      <c r="X247" s="582"/>
      <c r="Y247" s="581"/>
      <c r="Z247" s="582"/>
      <c r="AA247" s="581"/>
      <c r="AB247" s="582"/>
      <c r="AC247" s="581"/>
      <c r="AD247" s="582"/>
      <c r="AE247" s="581"/>
      <c r="AF247" s="583"/>
      <c r="AG247" s="581"/>
      <c r="AH247" s="583"/>
      <c r="AI247" s="581"/>
      <c r="AJ247" s="583"/>
      <c r="AK247" s="581"/>
      <c r="AL247" s="583"/>
      <c r="AM247" s="584"/>
      <c r="AN247" s="583"/>
      <c r="AO247" s="581"/>
      <c r="AP247" s="583"/>
      <c r="AQ247" s="584"/>
      <c r="AR247" s="583"/>
      <c r="AS247" s="583"/>
      <c r="AT247" s="583"/>
      <c r="AU247" s="584"/>
      <c r="AV247" s="583"/>
      <c r="AW247" s="583"/>
      <c r="AX247" s="158"/>
      <c r="AY247" s="154"/>
      <c r="AZ247">
        <f ca="1">INDIRECT(ADDRESS(ROW()+1,COLUMN(Arbeitszeit!xDay),,,"Arbeitszeit"))</f>
        <v>7</v>
      </c>
    </row>
    <row r="248" spans="1:52">
      <c r="A248" s="523">
        <f>Arbeitszeit!A249</f>
        <v>42612</v>
      </c>
      <c r="B248" s="524">
        <f t="shared" si="12"/>
        <v>42612</v>
      </c>
      <c r="C248" s="191">
        <f t="shared" si="13"/>
        <v>36</v>
      </c>
      <c r="D248" s="190">
        <f t="shared" si="14"/>
        <v>42582</v>
      </c>
      <c r="E248" s="593">
        <f>Arbeitszeit!V249*24</f>
        <v>0</v>
      </c>
      <c r="F248" s="352">
        <f t="shared" si="15"/>
        <v>0</v>
      </c>
      <c r="G248" s="155">
        <f>IF(Arbeitszeit!F249=Urlaub,B_WorkTime*24,)</f>
        <v>0</v>
      </c>
      <c r="H248" s="153"/>
      <c r="I248" s="155">
        <f>IF(Arbeitszeit!F249=Krank,B_WorkTime*24,)</f>
        <v>0</v>
      </c>
      <c r="J248" s="153"/>
      <c r="K248" s="156"/>
      <c r="L248" s="157"/>
      <c r="M248" s="581"/>
      <c r="N248" s="582"/>
      <c r="O248" s="581"/>
      <c r="P248" s="582"/>
      <c r="Q248" s="581"/>
      <c r="R248" s="582"/>
      <c r="S248" s="581"/>
      <c r="T248" s="582"/>
      <c r="U248" s="581"/>
      <c r="V248" s="582"/>
      <c r="W248" s="581"/>
      <c r="X248" s="582"/>
      <c r="Y248" s="581"/>
      <c r="Z248" s="582"/>
      <c r="AA248" s="581"/>
      <c r="AB248" s="582"/>
      <c r="AC248" s="581"/>
      <c r="AD248" s="582"/>
      <c r="AE248" s="581"/>
      <c r="AF248" s="583"/>
      <c r="AG248" s="581"/>
      <c r="AH248" s="583"/>
      <c r="AI248" s="581"/>
      <c r="AJ248" s="583"/>
      <c r="AK248" s="581"/>
      <c r="AL248" s="583"/>
      <c r="AM248" s="584"/>
      <c r="AN248" s="583"/>
      <c r="AO248" s="581"/>
      <c r="AP248" s="583"/>
      <c r="AQ248" s="584"/>
      <c r="AR248" s="583"/>
      <c r="AS248" s="583"/>
      <c r="AT248" s="583"/>
      <c r="AU248" s="584"/>
      <c r="AV248" s="583"/>
      <c r="AW248" s="583"/>
      <c r="AX248" s="158"/>
      <c r="AY248" s="154"/>
      <c r="AZ248">
        <f ca="1">INDIRECT(ADDRESS(ROW()+1,COLUMN(Arbeitszeit!xDay),,,"Arbeitszeit"))</f>
        <v>1</v>
      </c>
    </row>
    <row r="249" spans="1:52">
      <c r="A249" s="523">
        <f>Arbeitszeit!A250</f>
        <v>42613</v>
      </c>
      <c r="B249" s="524">
        <f t="shared" si="12"/>
        <v>42613</v>
      </c>
      <c r="C249" s="191">
        <f t="shared" si="13"/>
        <v>36</v>
      </c>
      <c r="D249" s="190">
        <f t="shared" si="14"/>
        <v>42613</v>
      </c>
      <c r="E249" s="593">
        <f>Arbeitszeit!V250*24</f>
        <v>0</v>
      </c>
      <c r="F249" s="352">
        <f t="shared" si="15"/>
        <v>0</v>
      </c>
      <c r="G249" s="155">
        <f>IF(Arbeitszeit!F250=Urlaub,B_WorkTime*24,)</f>
        <v>0</v>
      </c>
      <c r="H249" s="153"/>
      <c r="I249" s="155">
        <f>IF(Arbeitszeit!F250=Krank,B_WorkTime*24,)</f>
        <v>0</v>
      </c>
      <c r="J249" s="153"/>
      <c r="K249" s="156"/>
      <c r="L249" s="157"/>
      <c r="M249" s="581"/>
      <c r="N249" s="582"/>
      <c r="O249" s="581"/>
      <c r="P249" s="582"/>
      <c r="Q249" s="581"/>
      <c r="R249" s="582"/>
      <c r="S249" s="581"/>
      <c r="T249" s="582"/>
      <c r="U249" s="581"/>
      <c r="V249" s="582"/>
      <c r="W249" s="581"/>
      <c r="X249" s="582"/>
      <c r="Y249" s="581"/>
      <c r="Z249" s="582"/>
      <c r="AA249" s="581"/>
      <c r="AB249" s="582"/>
      <c r="AC249" s="581"/>
      <c r="AD249" s="582"/>
      <c r="AE249" s="581"/>
      <c r="AF249" s="583"/>
      <c r="AG249" s="581"/>
      <c r="AH249" s="583"/>
      <c r="AI249" s="581"/>
      <c r="AJ249" s="583"/>
      <c r="AK249" s="581"/>
      <c r="AL249" s="583"/>
      <c r="AM249" s="584"/>
      <c r="AN249" s="583"/>
      <c r="AO249" s="581"/>
      <c r="AP249" s="583"/>
      <c r="AQ249" s="584"/>
      <c r="AR249" s="583"/>
      <c r="AS249" s="583"/>
      <c r="AT249" s="583"/>
      <c r="AU249" s="584"/>
      <c r="AV249" s="583"/>
      <c r="AW249" s="583"/>
      <c r="AX249" s="158"/>
      <c r="AY249" s="154"/>
      <c r="AZ249">
        <f ca="1">INDIRECT(ADDRESS(ROW()+1,COLUMN(Arbeitszeit!xDay),,,"Arbeitszeit"))</f>
        <v>2</v>
      </c>
    </row>
    <row r="250" spans="1:52">
      <c r="A250" s="523">
        <f>Arbeitszeit!A251</f>
        <v>42614</v>
      </c>
      <c r="B250" s="524">
        <f t="shared" si="12"/>
        <v>42614</v>
      </c>
      <c r="C250" s="191">
        <f t="shared" si="13"/>
        <v>36</v>
      </c>
      <c r="D250" s="190">
        <f t="shared" si="14"/>
        <v>42613</v>
      </c>
      <c r="E250" s="593">
        <f>Arbeitszeit!V251*24</f>
        <v>0</v>
      </c>
      <c r="F250" s="352">
        <f t="shared" si="15"/>
        <v>0</v>
      </c>
      <c r="G250" s="155">
        <f>IF(Arbeitszeit!F251=Urlaub,B_WorkTime*24,)</f>
        <v>0</v>
      </c>
      <c r="H250" s="153"/>
      <c r="I250" s="155">
        <f>IF(Arbeitszeit!F251=Krank,B_WorkTime*24,)</f>
        <v>0</v>
      </c>
      <c r="J250" s="153"/>
      <c r="K250" s="156"/>
      <c r="L250" s="157"/>
      <c r="M250" s="581"/>
      <c r="N250" s="582"/>
      <c r="O250" s="581"/>
      <c r="P250" s="582"/>
      <c r="Q250" s="581"/>
      <c r="R250" s="582"/>
      <c r="S250" s="581"/>
      <c r="T250" s="585"/>
      <c r="U250" s="581"/>
      <c r="V250" s="582"/>
      <c r="W250" s="581"/>
      <c r="X250" s="582"/>
      <c r="Y250" s="581"/>
      <c r="Z250" s="582"/>
      <c r="AA250" s="581"/>
      <c r="AB250" s="582"/>
      <c r="AC250" s="581"/>
      <c r="AD250" s="582"/>
      <c r="AE250" s="581"/>
      <c r="AF250" s="583"/>
      <c r="AG250" s="581"/>
      <c r="AH250" s="583"/>
      <c r="AI250" s="581"/>
      <c r="AJ250" s="583"/>
      <c r="AK250" s="581"/>
      <c r="AL250" s="583"/>
      <c r="AM250" s="584"/>
      <c r="AN250" s="583"/>
      <c r="AO250" s="581"/>
      <c r="AP250" s="583"/>
      <c r="AQ250" s="584"/>
      <c r="AR250" s="583"/>
      <c r="AS250" s="583"/>
      <c r="AT250" s="583"/>
      <c r="AU250" s="584"/>
      <c r="AV250" s="583"/>
      <c r="AW250" s="583"/>
      <c r="AX250" s="158"/>
      <c r="AY250" s="154"/>
      <c r="AZ250">
        <f ca="1">INDIRECT(ADDRESS(ROW()+1,COLUMN(Arbeitszeit!xDay),,,"Arbeitszeit"))</f>
        <v>3</v>
      </c>
    </row>
    <row r="251" spans="1:52">
      <c r="A251" s="523">
        <f>Arbeitszeit!A252</f>
        <v>42615</v>
      </c>
      <c r="B251" s="524">
        <f t="shared" si="12"/>
        <v>42615</v>
      </c>
      <c r="C251" s="191">
        <f t="shared" si="13"/>
        <v>36</v>
      </c>
      <c r="D251" s="190">
        <f t="shared" si="14"/>
        <v>42613</v>
      </c>
      <c r="E251" s="593">
        <f>Arbeitszeit!V252*24</f>
        <v>0</v>
      </c>
      <c r="F251" s="352">
        <f t="shared" si="15"/>
        <v>0</v>
      </c>
      <c r="G251" s="155">
        <f>IF(Arbeitszeit!F252=Urlaub,B_WorkTime*24,)</f>
        <v>0</v>
      </c>
      <c r="H251" s="153"/>
      <c r="I251" s="155">
        <f>IF(Arbeitszeit!F252=Krank,B_WorkTime*24,)</f>
        <v>0</v>
      </c>
      <c r="J251" s="153"/>
      <c r="K251" s="156"/>
      <c r="L251" s="157"/>
      <c r="M251" s="581"/>
      <c r="N251" s="582"/>
      <c r="O251" s="581"/>
      <c r="P251" s="582"/>
      <c r="Q251" s="581"/>
      <c r="R251" s="582"/>
      <c r="S251" s="581"/>
      <c r="T251" s="582"/>
      <c r="U251" s="581"/>
      <c r="V251" s="582"/>
      <c r="W251" s="581"/>
      <c r="X251" s="582"/>
      <c r="Y251" s="581"/>
      <c r="Z251" s="582"/>
      <c r="AA251" s="581"/>
      <c r="AB251" s="582"/>
      <c r="AC251" s="581"/>
      <c r="AD251" s="582"/>
      <c r="AE251" s="581"/>
      <c r="AF251" s="583"/>
      <c r="AG251" s="581"/>
      <c r="AH251" s="583"/>
      <c r="AI251" s="581"/>
      <c r="AJ251" s="583"/>
      <c r="AK251" s="581"/>
      <c r="AL251" s="583"/>
      <c r="AM251" s="584"/>
      <c r="AN251" s="583"/>
      <c r="AO251" s="581"/>
      <c r="AP251" s="583"/>
      <c r="AQ251" s="584"/>
      <c r="AR251" s="583"/>
      <c r="AS251" s="583"/>
      <c r="AT251" s="583"/>
      <c r="AU251" s="584"/>
      <c r="AV251" s="583"/>
      <c r="AW251" s="583"/>
      <c r="AX251" s="158"/>
      <c r="AY251" s="154"/>
      <c r="AZ251">
        <f ca="1">INDIRECT(ADDRESS(ROW()+1,COLUMN(Arbeitszeit!xDay),,,"Arbeitszeit"))</f>
        <v>4</v>
      </c>
    </row>
    <row r="252" spans="1:52">
      <c r="A252" s="523">
        <f>Arbeitszeit!A253</f>
        <v>42616</v>
      </c>
      <c r="B252" s="524">
        <f t="shared" si="12"/>
        <v>42616</v>
      </c>
      <c r="C252" s="191">
        <f t="shared" si="13"/>
        <v>36</v>
      </c>
      <c r="D252" s="190">
        <f t="shared" si="14"/>
        <v>42613</v>
      </c>
      <c r="E252" s="593">
        <f>Arbeitszeit!V253*24</f>
        <v>0</v>
      </c>
      <c r="F252" s="352">
        <f t="shared" si="15"/>
        <v>0</v>
      </c>
      <c r="G252" s="155">
        <f>IF(Arbeitszeit!F253=Urlaub,B_WorkTime*24,)</f>
        <v>0</v>
      </c>
      <c r="H252" s="153"/>
      <c r="I252" s="155">
        <f>IF(Arbeitszeit!F253=Krank,B_WorkTime*24,)</f>
        <v>0</v>
      </c>
      <c r="J252" s="153"/>
      <c r="K252" s="156"/>
      <c r="L252" s="157"/>
      <c r="M252" s="581"/>
      <c r="N252" s="582"/>
      <c r="O252" s="581"/>
      <c r="P252" s="582"/>
      <c r="Q252" s="581"/>
      <c r="R252" s="582"/>
      <c r="S252" s="581"/>
      <c r="T252" s="582"/>
      <c r="U252" s="581"/>
      <c r="V252" s="582"/>
      <c r="W252" s="581"/>
      <c r="X252" s="582"/>
      <c r="Y252" s="581"/>
      <c r="Z252" s="582"/>
      <c r="AA252" s="581"/>
      <c r="AB252" s="582"/>
      <c r="AC252" s="581"/>
      <c r="AD252" s="582"/>
      <c r="AE252" s="581"/>
      <c r="AF252" s="583"/>
      <c r="AG252" s="581"/>
      <c r="AH252" s="583"/>
      <c r="AI252" s="581"/>
      <c r="AJ252" s="583"/>
      <c r="AK252" s="581"/>
      <c r="AL252" s="583"/>
      <c r="AM252" s="584"/>
      <c r="AN252" s="583"/>
      <c r="AO252" s="581"/>
      <c r="AP252" s="583"/>
      <c r="AQ252" s="584"/>
      <c r="AR252" s="583"/>
      <c r="AS252" s="583"/>
      <c r="AT252" s="583"/>
      <c r="AU252" s="584"/>
      <c r="AV252" s="583"/>
      <c r="AW252" s="583"/>
      <c r="AX252" s="158"/>
      <c r="AY252" s="154"/>
      <c r="AZ252">
        <f ca="1">INDIRECT(ADDRESS(ROW()+1,COLUMN(Arbeitszeit!xDay),,,"Arbeitszeit"))</f>
        <v>5</v>
      </c>
    </row>
    <row r="253" spans="1:52">
      <c r="A253" s="523">
        <f>Arbeitszeit!A254</f>
        <v>42617</v>
      </c>
      <c r="B253" s="524">
        <f t="shared" si="12"/>
        <v>42617</v>
      </c>
      <c r="C253" s="191">
        <f t="shared" si="13"/>
        <v>36</v>
      </c>
      <c r="D253" s="190">
        <f t="shared" si="14"/>
        <v>42613</v>
      </c>
      <c r="E253" s="593">
        <f>Arbeitszeit!V254*24</f>
        <v>0</v>
      </c>
      <c r="F253" s="352">
        <f t="shared" si="15"/>
        <v>0</v>
      </c>
      <c r="G253" s="155">
        <f>IF(Arbeitszeit!F254=Urlaub,B_WorkTime*24,)</f>
        <v>0</v>
      </c>
      <c r="H253" s="153"/>
      <c r="I253" s="155">
        <f>IF(Arbeitszeit!F254=Krank,B_WorkTime*24,)</f>
        <v>0</v>
      </c>
      <c r="J253" s="153"/>
      <c r="K253" s="156"/>
      <c r="L253" s="157"/>
      <c r="M253" s="581"/>
      <c r="N253" s="582"/>
      <c r="O253" s="581"/>
      <c r="P253" s="582"/>
      <c r="Q253" s="581"/>
      <c r="R253" s="582"/>
      <c r="S253" s="581"/>
      <c r="T253" s="582"/>
      <c r="U253" s="581"/>
      <c r="V253" s="582"/>
      <c r="W253" s="581"/>
      <c r="X253" s="582"/>
      <c r="Y253" s="581"/>
      <c r="Z253" s="582"/>
      <c r="AA253" s="581"/>
      <c r="AB253" s="582"/>
      <c r="AC253" s="581"/>
      <c r="AD253" s="582"/>
      <c r="AE253" s="581"/>
      <c r="AF253" s="583"/>
      <c r="AG253" s="581"/>
      <c r="AH253" s="583"/>
      <c r="AI253" s="581"/>
      <c r="AJ253" s="583"/>
      <c r="AK253" s="581"/>
      <c r="AL253" s="583"/>
      <c r="AM253" s="584"/>
      <c r="AN253" s="583"/>
      <c r="AO253" s="581"/>
      <c r="AP253" s="583"/>
      <c r="AQ253" s="584"/>
      <c r="AR253" s="583"/>
      <c r="AS253" s="583"/>
      <c r="AT253" s="583"/>
      <c r="AU253" s="584"/>
      <c r="AV253" s="583"/>
      <c r="AW253" s="583"/>
      <c r="AX253" s="158"/>
      <c r="AY253" s="154"/>
      <c r="AZ253">
        <f ca="1">INDIRECT(ADDRESS(ROW()+1,COLUMN(Arbeitszeit!xDay),,,"Arbeitszeit"))</f>
        <v>6</v>
      </c>
    </row>
    <row r="254" spans="1:52">
      <c r="A254" s="523">
        <f>Arbeitszeit!A255</f>
        <v>42618</v>
      </c>
      <c r="B254" s="524">
        <f t="shared" si="12"/>
        <v>42618</v>
      </c>
      <c r="C254" s="191">
        <f t="shared" si="13"/>
        <v>36</v>
      </c>
      <c r="D254" s="190">
        <f t="shared" si="14"/>
        <v>42613</v>
      </c>
      <c r="E254" s="593">
        <f>Arbeitszeit!V255*24</f>
        <v>0</v>
      </c>
      <c r="F254" s="352">
        <f t="shared" si="15"/>
        <v>0</v>
      </c>
      <c r="G254" s="155">
        <f>IF(Arbeitszeit!F255=Urlaub,B_WorkTime*24,)</f>
        <v>0</v>
      </c>
      <c r="H254" s="153"/>
      <c r="I254" s="155">
        <f>IF(Arbeitszeit!F255=Krank,B_WorkTime*24,)</f>
        <v>0</v>
      </c>
      <c r="J254" s="153"/>
      <c r="K254" s="156"/>
      <c r="L254" s="157"/>
      <c r="M254" s="581"/>
      <c r="N254" s="582"/>
      <c r="O254" s="581"/>
      <c r="P254" s="582"/>
      <c r="Q254" s="581"/>
      <c r="R254" s="582"/>
      <c r="S254" s="581"/>
      <c r="T254" s="582"/>
      <c r="U254" s="581"/>
      <c r="V254" s="582"/>
      <c r="W254" s="581"/>
      <c r="X254" s="582"/>
      <c r="Y254" s="581"/>
      <c r="Z254" s="582"/>
      <c r="AA254" s="581"/>
      <c r="AB254" s="582"/>
      <c r="AC254" s="581"/>
      <c r="AD254" s="582"/>
      <c r="AE254" s="581"/>
      <c r="AF254" s="583"/>
      <c r="AG254" s="581"/>
      <c r="AH254" s="583"/>
      <c r="AI254" s="581"/>
      <c r="AJ254" s="583"/>
      <c r="AK254" s="581"/>
      <c r="AL254" s="583"/>
      <c r="AM254" s="584"/>
      <c r="AN254" s="583"/>
      <c r="AO254" s="581"/>
      <c r="AP254" s="583"/>
      <c r="AQ254" s="584"/>
      <c r="AR254" s="583"/>
      <c r="AS254" s="583"/>
      <c r="AT254" s="583"/>
      <c r="AU254" s="584"/>
      <c r="AV254" s="583"/>
      <c r="AW254" s="583"/>
      <c r="AX254" s="158"/>
      <c r="AY254" s="154"/>
      <c r="AZ254">
        <f ca="1">INDIRECT(ADDRESS(ROW()+1,COLUMN(Arbeitszeit!xDay),,,"Arbeitszeit"))</f>
        <v>7</v>
      </c>
    </row>
    <row r="255" spans="1:52">
      <c r="A255" s="523">
        <f>Arbeitszeit!A256</f>
        <v>42619</v>
      </c>
      <c r="B255" s="524">
        <f t="shared" si="12"/>
        <v>42619</v>
      </c>
      <c r="C255" s="191">
        <f t="shared" si="13"/>
        <v>37</v>
      </c>
      <c r="D255" s="190">
        <f t="shared" si="14"/>
        <v>42613</v>
      </c>
      <c r="E255" s="593">
        <f>Arbeitszeit!V256*24</f>
        <v>0</v>
      </c>
      <c r="F255" s="352">
        <f t="shared" si="15"/>
        <v>0</v>
      </c>
      <c r="G255" s="155">
        <f>IF(Arbeitszeit!F256=Urlaub,B_WorkTime*24,)</f>
        <v>0</v>
      </c>
      <c r="H255" s="153"/>
      <c r="I255" s="155">
        <f>IF(Arbeitszeit!F256=Krank,B_WorkTime*24,)</f>
        <v>0</v>
      </c>
      <c r="J255" s="153"/>
      <c r="K255" s="156"/>
      <c r="L255" s="157"/>
      <c r="M255" s="581"/>
      <c r="N255" s="582"/>
      <c r="O255" s="581"/>
      <c r="P255" s="582"/>
      <c r="Q255" s="581"/>
      <c r="R255" s="582"/>
      <c r="S255" s="581"/>
      <c r="T255" s="582"/>
      <c r="U255" s="581"/>
      <c r="V255" s="582"/>
      <c r="W255" s="581"/>
      <c r="X255" s="582"/>
      <c r="Y255" s="581"/>
      <c r="Z255" s="582"/>
      <c r="AA255" s="581"/>
      <c r="AB255" s="582"/>
      <c r="AC255" s="581"/>
      <c r="AD255" s="582"/>
      <c r="AE255" s="581"/>
      <c r="AF255" s="583"/>
      <c r="AG255" s="581"/>
      <c r="AH255" s="583"/>
      <c r="AI255" s="581"/>
      <c r="AJ255" s="583"/>
      <c r="AK255" s="581"/>
      <c r="AL255" s="583"/>
      <c r="AM255" s="584"/>
      <c r="AN255" s="583"/>
      <c r="AO255" s="581"/>
      <c r="AP255" s="583"/>
      <c r="AQ255" s="584"/>
      <c r="AR255" s="583"/>
      <c r="AS255" s="583"/>
      <c r="AT255" s="583"/>
      <c r="AU255" s="584"/>
      <c r="AV255" s="583"/>
      <c r="AW255" s="583"/>
      <c r="AX255" s="158"/>
      <c r="AY255" s="154"/>
      <c r="AZ255">
        <f ca="1">INDIRECT(ADDRESS(ROW()+1,COLUMN(Arbeitszeit!xDay),,,"Arbeitszeit"))</f>
        <v>1</v>
      </c>
    </row>
    <row r="256" spans="1:52">
      <c r="A256" s="523">
        <f>Arbeitszeit!A257</f>
        <v>42620</v>
      </c>
      <c r="B256" s="524">
        <f t="shared" si="12"/>
        <v>42620</v>
      </c>
      <c r="C256" s="191">
        <f t="shared" si="13"/>
        <v>37</v>
      </c>
      <c r="D256" s="190">
        <f t="shared" si="14"/>
        <v>42613</v>
      </c>
      <c r="E256" s="593">
        <f>Arbeitszeit!V257*24</f>
        <v>0</v>
      </c>
      <c r="F256" s="352">
        <f t="shared" si="15"/>
        <v>0</v>
      </c>
      <c r="G256" s="155">
        <f>IF(Arbeitszeit!F257=Urlaub,B_WorkTime*24,)</f>
        <v>0</v>
      </c>
      <c r="H256" s="153"/>
      <c r="I256" s="155">
        <f>IF(Arbeitszeit!F257=Krank,B_WorkTime*24,)</f>
        <v>0</v>
      </c>
      <c r="J256" s="153"/>
      <c r="K256" s="156"/>
      <c r="L256" s="157"/>
      <c r="M256" s="581"/>
      <c r="N256" s="582"/>
      <c r="O256" s="581"/>
      <c r="P256" s="582"/>
      <c r="Q256" s="581"/>
      <c r="R256" s="582"/>
      <c r="S256" s="581"/>
      <c r="T256" s="582"/>
      <c r="U256" s="581"/>
      <c r="V256" s="582"/>
      <c r="W256" s="581"/>
      <c r="X256" s="582"/>
      <c r="Y256" s="581"/>
      <c r="Z256" s="582"/>
      <c r="AA256" s="581"/>
      <c r="AB256" s="582"/>
      <c r="AC256" s="581"/>
      <c r="AD256" s="582"/>
      <c r="AE256" s="581"/>
      <c r="AF256" s="583"/>
      <c r="AG256" s="581"/>
      <c r="AH256" s="583"/>
      <c r="AI256" s="581"/>
      <c r="AJ256" s="583"/>
      <c r="AK256" s="581"/>
      <c r="AL256" s="583"/>
      <c r="AM256" s="584"/>
      <c r="AN256" s="583"/>
      <c r="AO256" s="581"/>
      <c r="AP256" s="583"/>
      <c r="AQ256" s="584"/>
      <c r="AR256" s="583"/>
      <c r="AS256" s="583"/>
      <c r="AT256" s="583"/>
      <c r="AU256" s="584"/>
      <c r="AV256" s="583"/>
      <c r="AW256" s="583"/>
      <c r="AX256" s="158"/>
      <c r="AY256" s="154"/>
      <c r="AZ256">
        <f ca="1">INDIRECT(ADDRESS(ROW()+1,COLUMN(Arbeitszeit!xDay),,,"Arbeitszeit"))</f>
        <v>2</v>
      </c>
    </row>
    <row r="257" spans="1:52">
      <c r="A257" s="523">
        <f>Arbeitszeit!A258</f>
        <v>42621</v>
      </c>
      <c r="B257" s="524">
        <f t="shared" si="12"/>
        <v>42621</v>
      </c>
      <c r="C257" s="191">
        <f t="shared" si="13"/>
        <v>37</v>
      </c>
      <c r="D257" s="190">
        <f t="shared" si="14"/>
        <v>42613</v>
      </c>
      <c r="E257" s="593">
        <f>Arbeitszeit!V258*24</f>
        <v>0</v>
      </c>
      <c r="F257" s="352">
        <f t="shared" si="15"/>
        <v>0</v>
      </c>
      <c r="G257" s="155">
        <f>IF(Arbeitszeit!F258=Urlaub,B_WorkTime*24,)</f>
        <v>0</v>
      </c>
      <c r="H257" s="153"/>
      <c r="I257" s="155">
        <f>IF(Arbeitszeit!F258=Krank,B_WorkTime*24,)</f>
        <v>0</v>
      </c>
      <c r="J257" s="153"/>
      <c r="K257" s="156"/>
      <c r="L257" s="157"/>
      <c r="M257" s="581"/>
      <c r="N257" s="582"/>
      <c r="O257" s="581"/>
      <c r="P257" s="582"/>
      <c r="Q257" s="581"/>
      <c r="R257" s="582"/>
      <c r="S257" s="581"/>
      <c r="T257" s="582"/>
      <c r="U257" s="581"/>
      <c r="V257" s="582"/>
      <c r="W257" s="581"/>
      <c r="X257" s="582"/>
      <c r="Y257" s="581"/>
      <c r="Z257" s="582"/>
      <c r="AA257" s="581"/>
      <c r="AB257" s="582"/>
      <c r="AC257" s="581"/>
      <c r="AD257" s="582"/>
      <c r="AE257" s="581"/>
      <c r="AF257" s="583"/>
      <c r="AG257" s="581"/>
      <c r="AH257" s="583"/>
      <c r="AI257" s="581"/>
      <c r="AJ257" s="583"/>
      <c r="AK257" s="581"/>
      <c r="AL257" s="583"/>
      <c r="AM257" s="584"/>
      <c r="AN257" s="583"/>
      <c r="AO257" s="581"/>
      <c r="AP257" s="583"/>
      <c r="AQ257" s="584"/>
      <c r="AR257" s="583"/>
      <c r="AS257" s="583"/>
      <c r="AT257" s="583"/>
      <c r="AU257" s="584"/>
      <c r="AV257" s="583"/>
      <c r="AW257" s="583"/>
      <c r="AX257" s="158"/>
      <c r="AY257" s="154"/>
      <c r="AZ257">
        <f ca="1">INDIRECT(ADDRESS(ROW()+1,COLUMN(Arbeitszeit!xDay),,,"Arbeitszeit"))</f>
        <v>3</v>
      </c>
    </row>
    <row r="258" spans="1:52">
      <c r="A258" s="523">
        <f>Arbeitszeit!A259</f>
        <v>42622</v>
      </c>
      <c r="B258" s="524">
        <f t="shared" si="12"/>
        <v>42622</v>
      </c>
      <c r="C258" s="191">
        <f t="shared" si="13"/>
        <v>37</v>
      </c>
      <c r="D258" s="190">
        <f t="shared" si="14"/>
        <v>42613</v>
      </c>
      <c r="E258" s="593">
        <f>Arbeitszeit!V259*24</f>
        <v>0</v>
      </c>
      <c r="F258" s="352">
        <f t="shared" si="15"/>
        <v>0</v>
      </c>
      <c r="G258" s="155">
        <f>IF(Arbeitszeit!F259=Urlaub,B_WorkTime*24,)</f>
        <v>0</v>
      </c>
      <c r="H258" s="153"/>
      <c r="I258" s="155">
        <f>IF(Arbeitszeit!F259=Krank,B_WorkTime*24,)</f>
        <v>0</v>
      </c>
      <c r="J258" s="153"/>
      <c r="K258" s="156"/>
      <c r="L258" s="157"/>
      <c r="M258" s="581"/>
      <c r="N258" s="582"/>
      <c r="O258" s="581"/>
      <c r="P258" s="582"/>
      <c r="Q258" s="581"/>
      <c r="R258" s="582"/>
      <c r="S258" s="581"/>
      <c r="T258" s="582"/>
      <c r="U258" s="581"/>
      <c r="V258" s="582"/>
      <c r="W258" s="581"/>
      <c r="X258" s="582"/>
      <c r="Y258" s="581"/>
      <c r="Z258" s="582"/>
      <c r="AA258" s="581"/>
      <c r="AB258" s="582"/>
      <c r="AC258" s="581"/>
      <c r="AD258" s="582"/>
      <c r="AE258" s="581"/>
      <c r="AF258" s="583"/>
      <c r="AG258" s="581"/>
      <c r="AH258" s="583"/>
      <c r="AI258" s="581"/>
      <c r="AJ258" s="583"/>
      <c r="AK258" s="581"/>
      <c r="AL258" s="583"/>
      <c r="AM258" s="584"/>
      <c r="AN258" s="583"/>
      <c r="AO258" s="581"/>
      <c r="AP258" s="583"/>
      <c r="AQ258" s="584"/>
      <c r="AR258" s="583"/>
      <c r="AS258" s="583"/>
      <c r="AT258" s="583"/>
      <c r="AU258" s="584"/>
      <c r="AV258" s="583"/>
      <c r="AW258" s="583"/>
      <c r="AX258" s="158"/>
      <c r="AY258" s="154"/>
      <c r="AZ258">
        <f ca="1">INDIRECT(ADDRESS(ROW()+1,COLUMN(Arbeitszeit!xDay),,,"Arbeitszeit"))</f>
        <v>4</v>
      </c>
    </row>
    <row r="259" spans="1:52">
      <c r="A259" s="523">
        <f>Arbeitszeit!A260</f>
        <v>42623</v>
      </c>
      <c r="B259" s="524">
        <f t="shared" si="12"/>
        <v>42623</v>
      </c>
      <c r="C259" s="191">
        <f t="shared" si="13"/>
        <v>37</v>
      </c>
      <c r="D259" s="190">
        <f t="shared" si="14"/>
        <v>42613</v>
      </c>
      <c r="E259" s="593">
        <f>Arbeitszeit!V260*24</f>
        <v>0</v>
      </c>
      <c r="F259" s="352">
        <f t="shared" si="15"/>
        <v>0</v>
      </c>
      <c r="G259" s="155">
        <f>IF(Arbeitszeit!F260=Urlaub,B_WorkTime*24,)</f>
        <v>0</v>
      </c>
      <c r="H259" s="153"/>
      <c r="I259" s="155">
        <f>IF(Arbeitszeit!F260=Krank,B_WorkTime*24,)</f>
        <v>0</v>
      </c>
      <c r="J259" s="153"/>
      <c r="K259" s="156"/>
      <c r="L259" s="157"/>
      <c r="M259" s="581"/>
      <c r="N259" s="582"/>
      <c r="O259" s="581"/>
      <c r="P259" s="582"/>
      <c r="Q259" s="581"/>
      <c r="R259" s="582"/>
      <c r="S259" s="581"/>
      <c r="T259" s="582"/>
      <c r="U259" s="581"/>
      <c r="V259" s="582"/>
      <c r="W259" s="581"/>
      <c r="X259" s="582"/>
      <c r="Y259" s="581"/>
      <c r="Z259" s="582"/>
      <c r="AA259" s="581"/>
      <c r="AB259" s="582"/>
      <c r="AC259" s="581"/>
      <c r="AD259" s="582"/>
      <c r="AE259" s="581"/>
      <c r="AF259" s="583"/>
      <c r="AG259" s="581"/>
      <c r="AH259" s="583"/>
      <c r="AI259" s="581"/>
      <c r="AJ259" s="583"/>
      <c r="AK259" s="581"/>
      <c r="AL259" s="583"/>
      <c r="AM259" s="584"/>
      <c r="AN259" s="583"/>
      <c r="AO259" s="581"/>
      <c r="AP259" s="583"/>
      <c r="AQ259" s="584"/>
      <c r="AR259" s="583"/>
      <c r="AS259" s="583"/>
      <c r="AT259" s="583"/>
      <c r="AU259" s="584"/>
      <c r="AV259" s="583"/>
      <c r="AW259" s="583"/>
      <c r="AX259" s="158"/>
      <c r="AY259" s="154"/>
      <c r="AZ259">
        <f ca="1">INDIRECT(ADDRESS(ROW()+1,COLUMN(Arbeitszeit!xDay),,,"Arbeitszeit"))</f>
        <v>5</v>
      </c>
    </row>
    <row r="260" spans="1:52">
      <c r="A260" s="523">
        <f>Arbeitszeit!A261</f>
        <v>42624</v>
      </c>
      <c r="B260" s="524">
        <f t="shared" si="12"/>
        <v>42624</v>
      </c>
      <c r="C260" s="191">
        <f t="shared" si="13"/>
        <v>37</v>
      </c>
      <c r="D260" s="190">
        <f t="shared" si="14"/>
        <v>42613</v>
      </c>
      <c r="E260" s="593">
        <f>Arbeitszeit!V261*24</f>
        <v>0</v>
      </c>
      <c r="F260" s="352">
        <f t="shared" si="15"/>
        <v>0</v>
      </c>
      <c r="G260" s="155">
        <f>IF(Arbeitszeit!F261=Urlaub,B_WorkTime*24,)</f>
        <v>0</v>
      </c>
      <c r="H260" s="153"/>
      <c r="I260" s="155">
        <f>IF(Arbeitszeit!F261=Krank,B_WorkTime*24,)</f>
        <v>0</v>
      </c>
      <c r="J260" s="153"/>
      <c r="K260" s="156"/>
      <c r="L260" s="157"/>
      <c r="M260" s="581"/>
      <c r="N260" s="582"/>
      <c r="O260" s="581"/>
      <c r="P260" s="582"/>
      <c r="Q260" s="581"/>
      <c r="R260" s="582"/>
      <c r="S260" s="581"/>
      <c r="T260" s="582"/>
      <c r="U260" s="581"/>
      <c r="V260" s="582"/>
      <c r="W260" s="581"/>
      <c r="X260" s="582"/>
      <c r="Y260" s="581"/>
      <c r="Z260" s="582"/>
      <c r="AA260" s="581"/>
      <c r="AB260" s="582"/>
      <c r="AC260" s="581"/>
      <c r="AD260" s="582"/>
      <c r="AE260" s="581"/>
      <c r="AF260" s="583"/>
      <c r="AG260" s="581"/>
      <c r="AH260" s="583"/>
      <c r="AI260" s="581"/>
      <c r="AJ260" s="583"/>
      <c r="AK260" s="581"/>
      <c r="AL260" s="583"/>
      <c r="AM260" s="584"/>
      <c r="AN260" s="583"/>
      <c r="AO260" s="581"/>
      <c r="AP260" s="583"/>
      <c r="AQ260" s="584"/>
      <c r="AR260" s="583"/>
      <c r="AS260" s="583"/>
      <c r="AT260" s="583"/>
      <c r="AU260" s="584"/>
      <c r="AV260" s="583"/>
      <c r="AW260" s="583"/>
      <c r="AX260" s="158"/>
      <c r="AY260" s="154"/>
      <c r="AZ260">
        <f ca="1">INDIRECT(ADDRESS(ROW()+1,COLUMN(Arbeitszeit!xDay),,,"Arbeitszeit"))</f>
        <v>6</v>
      </c>
    </row>
    <row r="261" spans="1:52">
      <c r="A261" s="523">
        <f>Arbeitszeit!A262</f>
        <v>42625</v>
      </c>
      <c r="B261" s="524">
        <f t="shared" si="12"/>
        <v>42625</v>
      </c>
      <c r="C261" s="191">
        <f t="shared" si="13"/>
        <v>37</v>
      </c>
      <c r="D261" s="190">
        <f t="shared" si="14"/>
        <v>42613</v>
      </c>
      <c r="E261" s="593">
        <f>Arbeitszeit!V262*24</f>
        <v>0</v>
      </c>
      <c r="F261" s="352">
        <f t="shared" si="15"/>
        <v>0</v>
      </c>
      <c r="G261" s="155">
        <f>IF(Arbeitszeit!F262=Urlaub,B_WorkTime*24,)</f>
        <v>0</v>
      </c>
      <c r="H261" s="153"/>
      <c r="I261" s="155">
        <f>IF(Arbeitszeit!F262=Krank,B_WorkTime*24,)</f>
        <v>0</v>
      </c>
      <c r="J261" s="153"/>
      <c r="K261" s="156"/>
      <c r="L261" s="157"/>
      <c r="M261" s="581"/>
      <c r="N261" s="582"/>
      <c r="O261" s="581"/>
      <c r="P261" s="582"/>
      <c r="Q261" s="581"/>
      <c r="R261" s="582"/>
      <c r="S261" s="581"/>
      <c r="T261" s="582"/>
      <c r="U261" s="581"/>
      <c r="V261" s="582"/>
      <c r="W261" s="581"/>
      <c r="X261" s="582"/>
      <c r="Y261" s="581"/>
      <c r="Z261" s="582"/>
      <c r="AA261" s="581"/>
      <c r="AB261" s="582"/>
      <c r="AC261" s="581"/>
      <c r="AD261" s="582"/>
      <c r="AE261" s="581"/>
      <c r="AF261" s="583"/>
      <c r="AG261" s="581"/>
      <c r="AH261" s="583"/>
      <c r="AI261" s="581"/>
      <c r="AJ261" s="583"/>
      <c r="AK261" s="581"/>
      <c r="AL261" s="583"/>
      <c r="AM261" s="584"/>
      <c r="AN261" s="583"/>
      <c r="AO261" s="581"/>
      <c r="AP261" s="583"/>
      <c r="AQ261" s="584"/>
      <c r="AR261" s="583"/>
      <c r="AS261" s="583"/>
      <c r="AT261" s="583"/>
      <c r="AU261" s="584"/>
      <c r="AV261" s="583"/>
      <c r="AW261" s="583"/>
      <c r="AX261" s="158"/>
      <c r="AY261" s="154"/>
      <c r="AZ261">
        <f ca="1">INDIRECT(ADDRESS(ROW()+1,COLUMN(Arbeitszeit!xDay),,,"Arbeitszeit"))</f>
        <v>7</v>
      </c>
    </row>
    <row r="262" spans="1:52">
      <c r="A262" s="523">
        <f>Arbeitszeit!A263</f>
        <v>42626</v>
      </c>
      <c r="B262" s="524">
        <f t="shared" ref="B262:B325" si="16">IF(A262="","",A262)</f>
        <v>42626</v>
      </c>
      <c r="C262" s="191">
        <f t="shared" si="13"/>
        <v>38</v>
      </c>
      <c r="D262" s="190">
        <f t="shared" si="14"/>
        <v>42613</v>
      </c>
      <c r="E262" s="593">
        <f>Arbeitszeit!V263*24</f>
        <v>0</v>
      </c>
      <c r="F262" s="352">
        <f t="shared" si="15"/>
        <v>0</v>
      </c>
      <c r="G262" s="155">
        <f>IF(Arbeitszeit!F263=Urlaub,B_WorkTime*24,)</f>
        <v>0</v>
      </c>
      <c r="H262" s="153"/>
      <c r="I262" s="155">
        <f>IF(Arbeitszeit!F263=Krank,B_WorkTime*24,)</f>
        <v>0</v>
      </c>
      <c r="J262" s="153"/>
      <c r="K262" s="156"/>
      <c r="L262" s="157"/>
      <c r="M262" s="581"/>
      <c r="N262" s="582"/>
      <c r="O262" s="581"/>
      <c r="P262" s="582"/>
      <c r="Q262" s="581"/>
      <c r="R262" s="582"/>
      <c r="S262" s="581"/>
      <c r="T262" s="582"/>
      <c r="U262" s="581"/>
      <c r="V262" s="582"/>
      <c r="W262" s="581"/>
      <c r="X262" s="582"/>
      <c r="Y262" s="581"/>
      <c r="Z262" s="582"/>
      <c r="AA262" s="581"/>
      <c r="AB262" s="582"/>
      <c r="AC262" s="581"/>
      <c r="AD262" s="582"/>
      <c r="AE262" s="581"/>
      <c r="AF262" s="583"/>
      <c r="AG262" s="581"/>
      <c r="AH262" s="583"/>
      <c r="AI262" s="581"/>
      <c r="AJ262" s="583"/>
      <c r="AK262" s="581"/>
      <c r="AL262" s="583"/>
      <c r="AM262" s="584"/>
      <c r="AN262" s="583"/>
      <c r="AO262" s="581"/>
      <c r="AP262" s="583"/>
      <c r="AQ262" s="584"/>
      <c r="AR262" s="583"/>
      <c r="AS262" s="583"/>
      <c r="AT262" s="583"/>
      <c r="AU262" s="584"/>
      <c r="AV262" s="583"/>
      <c r="AW262" s="583"/>
      <c r="AX262" s="158"/>
      <c r="AY262" s="154"/>
      <c r="AZ262">
        <f ca="1">INDIRECT(ADDRESS(ROW()+1,COLUMN(Arbeitszeit!xDay),,,"Arbeitszeit"))</f>
        <v>1</v>
      </c>
    </row>
    <row r="263" spans="1:52">
      <c r="A263" s="523">
        <f>Arbeitszeit!A264</f>
        <v>42627</v>
      </c>
      <c r="B263" s="524">
        <f t="shared" si="16"/>
        <v>42627</v>
      </c>
      <c r="C263" s="191">
        <f t="shared" ref="C263:C326" si="17">IF(A263="","",NumberOfWeek(A263))</f>
        <v>38</v>
      </c>
      <c r="D263" s="190">
        <f t="shared" ref="D263:D326" si="18">IF(A263="","",DATE(YEAR(A263),MONTH(A263),1))</f>
        <v>42613</v>
      </c>
      <c r="E263" s="593">
        <f>Arbeitszeit!V264*24</f>
        <v>0</v>
      </c>
      <c r="F263" s="352">
        <f t="shared" si="15"/>
        <v>0</v>
      </c>
      <c r="G263" s="155">
        <f>IF(Arbeitszeit!F264=Urlaub,B_WorkTime*24,)</f>
        <v>0</v>
      </c>
      <c r="H263" s="153"/>
      <c r="I263" s="155">
        <f>IF(Arbeitszeit!F264=Krank,B_WorkTime*24,)</f>
        <v>0</v>
      </c>
      <c r="J263" s="153"/>
      <c r="K263" s="156"/>
      <c r="L263" s="157"/>
      <c r="M263" s="581"/>
      <c r="N263" s="582"/>
      <c r="O263" s="581"/>
      <c r="P263" s="582"/>
      <c r="Q263" s="581"/>
      <c r="R263" s="582"/>
      <c r="S263" s="581"/>
      <c r="T263" s="582"/>
      <c r="U263" s="581"/>
      <c r="V263" s="582"/>
      <c r="W263" s="581"/>
      <c r="X263" s="582"/>
      <c r="Y263" s="581"/>
      <c r="Z263" s="582"/>
      <c r="AA263" s="581"/>
      <c r="AB263" s="582"/>
      <c r="AC263" s="581"/>
      <c r="AD263" s="582"/>
      <c r="AE263" s="581"/>
      <c r="AF263" s="583"/>
      <c r="AG263" s="581"/>
      <c r="AH263" s="583"/>
      <c r="AI263" s="581"/>
      <c r="AJ263" s="583"/>
      <c r="AK263" s="581"/>
      <c r="AL263" s="583"/>
      <c r="AM263" s="584"/>
      <c r="AN263" s="583"/>
      <c r="AO263" s="581"/>
      <c r="AP263" s="583"/>
      <c r="AQ263" s="584"/>
      <c r="AR263" s="583"/>
      <c r="AS263" s="583"/>
      <c r="AT263" s="583"/>
      <c r="AU263" s="584"/>
      <c r="AV263" s="583"/>
      <c r="AW263" s="583"/>
      <c r="AX263" s="158"/>
      <c r="AY263" s="154"/>
      <c r="AZ263">
        <f ca="1">INDIRECT(ADDRESS(ROW()+1,COLUMN(Arbeitszeit!xDay),,,"Arbeitszeit"))</f>
        <v>2</v>
      </c>
    </row>
    <row r="264" spans="1:52">
      <c r="A264" s="523">
        <f>Arbeitszeit!A265</f>
        <v>42628</v>
      </c>
      <c r="B264" s="524">
        <f t="shared" si="16"/>
        <v>42628</v>
      </c>
      <c r="C264" s="191">
        <f t="shared" si="17"/>
        <v>38</v>
      </c>
      <c r="D264" s="190">
        <f t="shared" si="18"/>
        <v>42613</v>
      </c>
      <c r="E264" s="593">
        <f>Arbeitszeit!V265*24</f>
        <v>0</v>
      </c>
      <c r="F264" s="352">
        <f t="shared" ref="F264:F327" si="19">ROUND(E264-SUM(K264:AW264),1)</f>
        <v>0</v>
      </c>
      <c r="G264" s="155">
        <f>IF(Arbeitszeit!F265=Urlaub,B_WorkTime*24,)</f>
        <v>0</v>
      </c>
      <c r="H264" s="153"/>
      <c r="I264" s="155">
        <f>IF(Arbeitszeit!F265=Krank,B_WorkTime*24,)</f>
        <v>0</v>
      </c>
      <c r="J264" s="153"/>
      <c r="K264" s="156"/>
      <c r="L264" s="157"/>
      <c r="M264" s="581"/>
      <c r="N264" s="582"/>
      <c r="O264" s="581"/>
      <c r="P264" s="582"/>
      <c r="Q264" s="581"/>
      <c r="R264" s="582"/>
      <c r="S264" s="581"/>
      <c r="T264" s="582"/>
      <c r="U264" s="581"/>
      <c r="V264" s="582"/>
      <c r="W264" s="581"/>
      <c r="X264" s="582"/>
      <c r="Y264" s="581"/>
      <c r="Z264" s="582"/>
      <c r="AA264" s="581"/>
      <c r="AB264" s="582"/>
      <c r="AC264" s="581"/>
      <c r="AD264" s="582"/>
      <c r="AE264" s="581"/>
      <c r="AF264" s="583"/>
      <c r="AG264" s="581"/>
      <c r="AH264" s="583"/>
      <c r="AI264" s="581"/>
      <c r="AJ264" s="583"/>
      <c r="AK264" s="581"/>
      <c r="AL264" s="583"/>
      <c r="AM264" s="584"/>
      <c r="AN264" s="583"/>
      <c r="AO264" s="581"/>
      <c r="AP264" s="583"/>
      <c r="AQ264" s="584"/>
      <c r="AR264" s="583"/>
      <c r="AS264" s="583"/>
      <c r="AT264" s="583"/>
      <c r="AU264" s="584"/>
      <c r="AV264" s="583"/>
      <c r="AW264" s="583"/>
      <c r="AX264" s="158"/>
      <c r="AY264" s="154"/>
      <c r="AZ264">
        <f ca="1">INDIRECT(ADDRESS(ROW()+1,COLUMN(Arbeitszeit!xDay),,,"Arbeitszeit"))</f>
        <v>3</v>
      </c>
    </row>
    <row r="265" spans="1:52">
      <c r="A265" s="523">
        <f>Arbeitszeit!A266</f>
        <v>42629</v>
      </c>
      <c r="B265" s="524">
        <f t="shared" si="16"/>
        <v>42629</v>
      </c>
      <c r="C265" s="191">
        <f t="shared" si="17"/>
        <v>38</v>
      </c>
      <c r="D265" s="190">
        <f t="shared" si="18"/>
        <v>42613</v>
      </c>
      <c r="E265" s="593">
        <f>Arbeitszeit!V266*24</f>
        <v>0</v>
      </c>
      <c r="F265" s="352">
        <f t="shared" si="19"/>
        <v>0</v>
      </c>
      <c r="G265" s="155">
        <f>IF(Arbeitszeit!F266=Urlaub,B_WorkTime*24,)</f>
        <v>0</v>
      </c>
      <c r="H265" s="153"/>
      <c r="I265" s="155">
        <f>IF(Arbeitszeit!F266=Krank,B_WorkTime*24,)</f>
        <v>0</v>
      </c>
      <c r="J265" s="153"/>
      <c r="K265" s="156"/>
      <c r="L265" s="157"/>
      <c r="M265" s="599"/>
      <c r="N265" s="582"/>
      <c r="O265" s="599"/>
      <c r="P265" s="582"/>
      <c r="Q265" s="581"/>
      <c r="R265" s="582"/>
      <c r="S265" s="581"/>
      <c r="T265" s="582"/>
      <c r="U265" s="581"/>
      <c r="V265" s="582"/>
      <c r="W265" s="581"/>
      <c r="X265" s="582"/>
      <c r="Y265" s="581"/>
      <c r="Z265" s="582"/>
      <c r="AA265" s="581"/>
      <c r="AB265" s="582"/>
      <c r="AC265" s="581"/>
      <c r="AD265" s="582"/>
      <c r="AE265" s="581"/>
      <c r="AF265" s="583"/>
      <c r="AG265" s="581"/>
      <c r="AH265" s="583"/>
      <c r="AI265" s="581"/>
      <c r="AJ265" s="583"/>
      <c r="AK265" s="581"/>
      <c r="AL265" s="583"/>
      <c r="AM265" s="584"/>
      <c r="AN265" s="583"/>
      <c r="AO265" s="581"/>
      <c r="AP265" s="583"/>
      <c r="AQ265" s="584"/>
      <c r="AR265" s="583"/>
      <c r="AS265" s="583"/>
      <c r="AT265" s="583"/>
      <c r="AU265" s="584"/>
      <c r="AV265" s="583"/>
      <c r="AW265" s="583"/>
      <c r="AX265" s="158"/>
      <c r="AY265" s="154"/>
      <c r="AZ265">
        <f ca="1">INDIRECT(ADDRESS(ROW()+1,COLUMN(Arbeitszeit!xDay),,,"Arbeitszeit"))</f>
        <v>4</v>
      </c>
    </row>
    <row r="266" spans="1:52">
      <c r="A266" s="523">
        <f>Arbeitszeit!A267</f>
        <v>42630</v>
      </c>
      <c r="B266" s="524">
        <f t="shared" si="16"/>
        <v>42630</v>
      </c>
      <c r="C266" s="191">
        <f t="shared" si="17"/>
        <v>38</v>
      </c>
      <c r="D266" s="190">
        <f t="shared" si="18"/>
        <v>42613</v>
      </c>
      <c r="E266" s="593">
        <f>Arbeitszeit!V267*24</f>
        <v>0</v>
      </c>
      <c r="F266" s="352">
        <f t="shared" si="19"/>
        <v>0</v>
      </c>
      <c r="G266" s="155">
        <f>IF(Arbeitszeit!F267=Urlaub,B_WorkTime*24,)</f>
        <v>0</v>
      </c>
      <c r="H266" s="153"/>
      <c r="I266" s="155">
        <f>IF(Arbeitszeit!F267=Krank,B_WorkTime*24,)</f>
        <v>0</v>
      </c>
      <c r="J266" s="153"/>
      <c r="K266" s="156"/>
      <c r="L266" s="157"/>
      <c r="M266" s="581"/>
      <c r="N266" s="582"/>
      <c r="O266" s="581"/>
      <c r="P266" s="582"/>
      <c r="Q266" s="581"/>
      <c r="R266" s="582"/>
      <c r="S266" s="581"/>
      <c r="T266" s="582"/>
      <c r="U266" s="581"/>
      <c r="V266" s="582"/>
      <c r="W266" s="581"/>
      <c r="X266" s="582"/>
      <c r="Y266" s="581"/>
      <c r="Z266" s="582"/>
      <c r="AA266" s="581"/>
      <c r="AB266" s="582"/>
      <c r="AC266" s="581"/>
      <c r="AD266" s="582"/>
      <c r="AE266" s="581"/>
      <c r="AF266" s="583"/>
      <c r="AG266" s="581"/>
      <c r="AH266" s="583"/>
      <c r="AI266" s="581"/>
      <c r="AJ266" s="583"/>
      <c r="AK266" s="581"/>
      <c r="AL266" s="583"/>
      <c r="AM266" s="584"/>
      <c r="AN266" s="583"/>
      <c r="AO266" s="581"/>
      <c r="AP266" s="583"/>
      <c r="AQ266" s="584"/>
      <c r="AR266" s="583"/>
      <c r="AS266" s="583"/>
      <c r="AT266" s="583"/>
      <c r="AU266" s="584"/>
      <c r="AV266" s="583"/>
      <c r="AW266" s="583"/>
      <c r="AX266" s="158"/>
      <c r="AY266" s="154"/>
      <c r="AZ266">
        <f ca="1">INDIRECT(ADDRESS(ROW()+1,COLUMN(Arbeitszeit!xDay),,,"Arbeitszeit"))</f>
        <v>5</v>
      </c>
    </row>
    <row r="267" spans="1:52">
      <c r="A267" s="523">
        <f>Arbeitszeit!A268</f>
        <v>42631</v>
      </c>
      <c r="B267" s="524">
        <f t="shared" si="16"/>
        <v>42631</v>
      </c>
      <c r="C267" s="191">
        <f t="shared" si="17"/>
        <v>38</v>
      </c>
      <c r="D267" s="190">
        <f t="shared" si="18"/>
        <v>42613</v>
      </c>
      <c r="E267" s="593">
        <f>Arbeitszeit!V268*24</f>
        <v>0</v>
      </c>
      <c r="F267" s="352">
        <f t="shared" si="19"/>
        <v>0</v>
      </c>
      <c r="G267" s="155">
        <f>IF(Arbeitszeit!F268=Urlaub,B_WorkTime*24,)</f>
        <v>0</v>
      </c>
      <c r="H267" s="153"/>
      <c r="I267" s="155">
        <f>IF(Arbeitszeit!F268=Krank,B_WorkTime*24,)</f>
        <v>0</v>
      </c>
      <c r="J267" s="153"/>
      <c r="K267" s="156"/>
      <c r="L267" s="157"/>
      <c r="M267" s="581"/>
      <c r="N267" s="582"/>
      <c r="O267" s="581"/>
      <c r="P267" s="582"/>
      <c r="Q267" s="581"/>
      <c r="R267" s="582"/>
      <c r="S267" s="581"/>
      <c r="T267" s="582"/>
      <c r="U267" s="581"/>
      <c r="V267" s="582"/>
      <c r="W267" s="581"/>
      <c r="X267" s="582"/>
      <c r="Y267" s="581"/>
      <c r="Z267" s="582"/>
      <c r="AA267" s="581"/>
      <c r="AB267" s="582"/>
      <c r="AC267" s="581"/>
      <c r="AD267" s="582"/>
      <c r="AE267" s="581"/>
      <c r="AF267" s="583"/>
      <c r="AG267" s="581"/>
      <c r="AH267" s="583"/>
      <c r="AI267" s="581"/>
      <c r="AJ267" s="583"/>
      <c r="AK267" s="581"/>
      <c r="AL267" s="583"/>
      <c r="AM267" s="584"/>
      <c r="AN267" s="583"/>
      <c r="AO267" s="581"/>
      <c r="AP267" s="583"/>
      <c r="AQ267" s="584"/>
      <c r="AR267" s="583"/>
      <c r="AS267" s="583"/>
      <c r="AT267" s="583"/>
      <c r="AU267" s="584"/>
      <c r="AV267" s="583"/>
      <c r="AW267" s="583"/>
      <c r="AX267" s="158"/>
      <c r="AY267" s="154"/>
      <c r="AZ267">
        <f ca="1">INDIRECT(ADDRESS(ROW()+1,COLUMN(Arbeitszeit!xDay),,,"Arbeitszeit"))</f>
        <v>6</v>
      </c>
    </row>
    <row r="268" spans="1:52">
      <c r="A268" s="523">
        <f>Arbeitszeit!A269</f>
        <v>42632</v>
      </c>
      <c r="B268" s="524">
        <f t="shared" si="16"/>
        <v>42632</v>
      </c>
      <c r="C268" s="191">
        <f t="shared" si="17"/>
        <v>38</v>
      </c>
      <c r="D268" s="190">
        <f t="shared" si="18"/>
        <v>42613</v>
      </c>
      <c r="E268" s="593">
        <f>Arbeitszeit!V269*24</f>
        <v>0</v>
      </c>
      <c r="F268" s="352">
        <f t="shared" si="19"/>
        <v>0</v>
      </c>
      <c r="G268" s="155">
        <f>IF(Arbeitszeit!F269=Urlaub,B_WorkTime*24,)</f>
        <v>0</v>
      </c>
      <c r="H268" s="153"/>
      <c r="I268" s="155">
        <f>IF(Arbeitszeit!F269=Krank,B_WorkTime*24,)</f>
        <v>0</v>
      </c>
      <c r="J268" s="153"/>
      <c r="K268" s="156"/>
      <c r="L268" s="157"/>
      <c r="M268" s="581"/>
      <c r="N268" s="582"/>
      <c r="O268" s="581"/>
      <c r="P268" s="582"/>
      <c r="Q268" s="581"/>
      <c r="R268" s="582"/>
      <c r="S268" s="581"/>
      <c r="T268" s="582"/>
      <c r="U268" s="581"/>
      <c r="V268" s="582"/>
      <c r="W268" s="581"/>
      <c r="X268" s="582"/>
      <c r="Y268" s="581"/>
      <c r="Z268" s="582"/>
      <c r="AA268" s="581"/>
      <c r="AB268" s="582"/>
      <c r="AC268" s="581"/>
      <c r="AD268" s="582"/>
      <c r="AE268" s="581"/>
      <c r="AF268" s="583"/>
      <c r="AG268" s="581"/>
      <c r="AH268" s="583"/>
      <c r="AI268" s="581"/>
      <c r="AJ268" s="583"/>
      <c r="AK268" s="581"/>
      <c r="AL268" s="583"/>
      <c r="AM268" s="584"/>
      <c r="AN268" s="583"/>
      <c r="AO268" s="581"/>
      <c r="AP268" s="583"/>
      <c r="AQ268" s="584"/>
      <c r="AR268" s="583"/>
      <c r="AS268" s="583"/>
      <c r="AT268" s="583"/>
      <c r="AU268" s="584"/>
      <c r="AV268" s="583"/>
      <c r="AW268" s="583"/>
      <c r="AX268" s="158"/>
      <c r="AY268" s="154"/>
      <c r="AZ268">
        <f ca="1">INDIRECT(ADDRESS(ROW()+1,COLUMN(Arbeitszeit!xDay),,,"Arbeitszeit"))</f>
        <v>7</v>
      </c>
    </row>
    <row r="269" spans="1:52">
      <c r="A269" s="523">
        <f>Arbeitszeit!A270</f>
        <v>42633</v>
      </c>
      <c r="B269" s="524">
        <f t="shared" si="16"/>
        <v>42633</v>
      </c>
      <c r="C269" s="191">
        <f t="shared" si="17"/>
        <v>39</v>
      </c>
      <c r="D269" s="190">
        <f t="shared" si="18"/>
        <v>42613</v>
      </c>
      <c r="E269" s="593">
        <f>Arbeitszeit!V270*24</f>
        <v>0</v>
      </c>
      <c r="F269" s="352">
        <f t="shared" si="19"/>
        <v>0</v>
      </c>
      <c r="G269" s="155">
        <f>IF(Arbeitszeit!F270=Urlaub,B_WorkTime*24,)</f>
        <v>0</v>
      </c>
      <c r="H269" s="153"/>
      <c r="I269" s="155">
        <f>IF(Arbeitszeit!F270=Krank,B_WorkTime*24,)</f>
        <v>0</v>
      </c>
      <c r="J269" s="153"/>
      <c r="K269" s="156"/>
      <c r="L269" s="157"/>
      <c r="M269" s="581"/>
      <c r="N269" s="582"/>
      <c r="O269" s="581"/>
      <c r="P269" s="582"/>
      <c r="Q269" s="581"/>
      <c r="R269" s="582"/>
      <c r="S269" s="581"/>
      <c r="T269" s="582"/>
      <c r="U269" s="581"/>
      <c r="V269" s="582"/>
      <c r="W269" s="581"/>
      <c r="X269" s="582"/>
      <c r="Y269" s="581"/>
      <c r="Z269" s="582"/>
      <c r="AA269" s="581"/>
      <c r="AB269" s="582"/>
      <c r="AC269" s="581"/>
      <c r="AD269" s="582"/>
      <c r="AE269" s="581"/>
      <c r="AF269" s="583"/>
      <c r="AG269" s="581"/>
      <c r="AH269" s="583"/>
      <c r="AI269" s="581"/>
      <c r="AJ269" s="583"/>
      <c r="AK269" s="581"/>
      <c r="AL269" s="583"/>
      <c r="AM269" s="584"/>
      <c r="AN269" s="583"/>
      <c r="AO269" s="581"/>
      <c r="AP269" s="583"/>
      <c r="AQ269" s="584"/>
      <c r="AR269" s="583"/>
      <c r="AS269" s="583"/>
      <c r="AT269" s="583"/>
      <c r="AU269" s="584"/>
      <c r="AV269" s="583"/>
      <c r="AW269" s="583"/>
      <c r="AX269" s="158"/>
      <c r="AY269" s="154"/>
      <c r="AZ269">
        <f ca="1">INDIRECT(ADDRESS(ROW()+1,COLUMN(Arbeitszeit!xDay),,,"Arbeitszeit"))</f>
        <v>1</v>
      </c>
    </row>
    <row r="270" spans="1:52">
      <c r="A270" s="523">
        <f>Arbeitszeit!A271</f>
        <v>42634</v>
      </c>
      <c r="B270" s="524">
        <f t="shared" si="16"/>
        <v>42634</v>
      </c>
      <c r="C270" s="191">
        <f t="shared" si="17"/>
        <v>39</v>
      </c>
      <c r="D270" s="190">
        <f t="shared" si="18"/>
        <v>42613</v>
      </c>
      <c r="E270" s="593">
        <f>Arbeitszeit!V271*24</f>
        <v>0</v>
      </c>
      <c r="F270" s="352">
        <f t="shared" si="19"/>
        <v>0</v>
      </c>
      <c r="G270" s="155">
        <f>IF(Arbeitszeit!F271=Urlaub,B_WorkTime*24,)</f>
        <v>0</v>
      </c>
      <c r="H270" s="153"/>
      <c r="I270" s="155">
        <f>IF(Arbeitszeit!F271=Krank,B_WorkTime*24,)</f>
        <v>0</v>
      </c>
      <c r="J270" s="153"/>
      <c r="K270" s="156"/>
      <c r="L270" s="157"/>
      <c r="M270" s="581"/>
      <c r="N270" s="582"/>
      <c r="O270" s="581"/>
      <c r="P270" s="582"/>
      <c r="Q270" s="581"/>
      <c r="R270" s="582"/>
      <c r="S270" s="581"/>
      <c r="T270" s="582"/>
      <c r="U270" s="581"/>
      <c r="V270" s="582"/>
      <c r="W270" s="581"/>
      <c r="X270" s="582"/>
      <c r="Y270" s="581"/>
      <c r="Z270" s="582"/>
      <c r="AA270" s="581"/>
      <c r="AB270" s="582"/>
      <c r="AC270" s="581"/>
      <c r="AD270" s="582"/>
      <c r="AE270" s="581"/>
      <c r="AF270" s="583"/>
      <c r="AG270" s="581"/>
      <c r="AH270" s="583"/>
      <c r="AI270" s="581"/>
      <c r="AJ270" s="583"/>
      <c r="AK270" s="581"/>
      <c r="AL270" s="583"/>
      <c r="AM270" s="584"/>
      <c r="AN270" s="583"/>
      <c r="AO270" s="581"/>
      <c r="AP270" s="583"/>
      <c r="AQ270" s="584"/>
      <c r="AR270" s="583"/>
      <c r="AS270" s="583"/>
      <c r="AT270" s="583"/>
      <c r="AU270" s="584"/>
      <c r="AV270" s="583"/>
      <c r="AW270" s="583"/>
      <c r="AX270" s="158"/>
      <c r="AY270" s="154"/>
      <c r="AZ270">
        <f ca="1">INDIRECT(ADDRESS(ROW()+1,COLUMN(Arbeitszeit!xDay),,,"Arbeitszeit"))</f>
        <v>2</v>
      </c>
    </row>
    <row r="271" spans="1:52">
      <c r="A271" s="523">
        <f>Arbeitszeit!A272</f>
        <v>42635</v>
      </c>
      <c r="B271" s="524">
        <f t="shared" si="16"/>
        <v>42635</v>
      </c>
      <c r="C271" s="191">
        <f t="shared" si="17"/>
        <v>39</v>
      </c>
      <c r="D271" s="190">
        <f t="shared" si="18"/>
        <v>42613</v>
      </c>
      <c r="E271" s="593">
        <f>Arbeitszeit!V272*24</f>
        <v>0</v>
      </c>
      <c r="F271" s="352">
        <f t="shared" si="19"/>
        <v>0</v>
      </c>
      <c r="G271" s="155">
        <f>IF(Arbeitszeit!F272=Urlaub,B_WorkTime*24,)</f>
        <v>0</v>
      </c>
      <c r="H271" s="153"/>
      <c r="I271" s="155">
        <f>IF(Arbeitszeit!F272=Krank,B_WorkTime*24,)</f>
        <v>0</v>
      </c>
      <c r="J271" s="153"/>
      <c r="K271" s="156"/>
      <c r="L271" s="157"/>
      <c r="M271" s="581"/>
      <c r="N271" s="582"/>
      <c r="O271" s="581"/>
      <c r="P271" s="582"/>
      <c r="Q271" s="581"/>
      <c r="R271" s="582"/>
      <c r="S271" s="581"/>
      <c r="T271" s="582"/>
      <c r="U271" s="581"/>
      <c r="V271" s="582"/>
      <c r="W271" s="581"/>
      <c r="X271" s="582"/>
      <c r="Y271" s="581"/>
      <c r="Z271" s="582"/>
      <c r="AA271" s="581"/>
      <c r="AB271" s="582"/>
      <c r="AC271" s="581"/>
      <c r="AD271" s="582"/>
      <c r="AE271" s="581"/>
      <c r="AF271" s="583"/>
      <c r="AG271" s="581"/>
      <c r="AH271" s="583"/>
      <c r="AI271" s="581"/>
      <c r="AJ271" s="583"/>
      <c r="AK271" s="581"/>
      <c r="AL271" s="583"/>
      <c r="AM271" s="584"/>
      <c r="AN271" s="583"/>
      <c r="AO271" s="581"/>
      <c r="AP271" s="583"/>
      <c r="AQ271" s="584"/>
      <c r="AR271" s="583"/>
      <c r="AS271" s="583"/>
      <c r="AT271" s="583"/>
      <c r="AU271" s="584"/>
      <c r="AV271" s="583"/>
      <c r="AW271" s="583"/>
      <c r="AX271" s="158"/>
      <c r="AY271" s="154"/>
      <c r="AZ271">
        <f ca="1">INDIRECT(ADDRESS(ROW()+1,COLUMN(Arbeitszeit!xDay),,,"Arbeitszeit"))</f>
        <v>3</v>
      </c>
    </row>
    <row r="272" spans="1:52">
      <c r="A272" s="523">
        <f>Arbeitszeit!A273</f>
        <v>42636</v>
      </c>
      <c r="B272" s="524">
        <f t="shared" si="16"/>
        <v>42636</v>
      </c>
      <c r="C272" s="191">
        <f t="shared" si="17"/>
        <v>39</v>
      </c>
      <c r="D272" s="190">
        <f t="shared" si="18"/>
        <v>42613</v>
      </c>
      <c r="E272" s="593">
        <f>Arbeitszeit!V273*24</f>
        <v>0</v>
      </c>
      <c r="F272" s="352">
        <f t="shared" si="19"/>
        <v>0</v>
      </c>
      <c r="G272" s="155">
        <f>IF(Arbeitszeit!F273=Urlaub,B_WorkTime*24,)</f>
        <v>0</v>
      </c>
      <c r="H272" s="153"/>
      <c r="I272" s="155">
        <f>IF(Arbeitszeit!F273=Krank,B_WorkTime*24,)</f>
        <v>0</v>
      </c>
      <c r="J272" s="153"/>
      <c r="K272" s="156"/>
      <c r="L272" s="157"/>
      <c r="M272" s="581"/>
      <c r="N272" s="582"/>
      <c r="O272" s="581"/>
      <c r="P272" s="582"/>
      <c r="Q272" s="581"/>
      <c r="R272" s="582"/>
      <c r="S272" s="581"/>
      <c r="T272" s="582"/>
      <c r="U272" s="581"/>
      <c r="V272" s="582"/>
      <c r="W272" s="581"/>
      <c r="X272" s="582"/>
      <c r="Y272" s="581"/>
      <c r="Z272" s="582"/>
      <c r="AA272" s="581"/>
      <c r="AB272" s="582"/>
      <c r="AC272" s="581"/>
      <c r="AD272" s="582"/>
      <c r="AE272" s="581"/>
      <c r="AF272" s="583"/>
      <c r="AG272" s="581"/>
      <c r="AH272" s="583"/>
      <c r="AI272" s="581"/>
      <c r="AJ272" s="583"/>
      <c r="AK272" s="581"/>
      <c r="AL272" s="583"/>
      <c r="AM272" s="584"/>
      <c r="AN272" s="583"/>
      <c r="AO272" s="581"/>
      <c r="AP272" s="583"/>
      <c r="AQ272" s="584"/>
      <c r="AR272" s="583"/>
      <c r="AS272" s="583"/>
      <c r="AT272" s="583"/>
      <c r="AU272" s="584"/>
      <c r="AV272" s="583"/>
      <c r="AW272" s="583"/>
      <c r="AX272" s="158"/>
      <c r="AY272" s="154"/>
      <c r="AZ272">
        <f ca="1">INDIRECT(ADDRESS(ROW()+1,COLUMN(Arbeitszeit!xDay),,,"Arbeitszeit"))</f>
        <v>4</v>
      </c>
    </row>
    <row r="273" spans="1:52">
      <c r="A273" s="523">
        <f>Arbeitszeit!A274</f>
        <v>42637</v>
      </c>
      <c r="B273" s="524">
        <f t="shared" si="16"/>
        <v>42637</v>
      </c>
      <c r="C273" s="191">
        <f t="shared" si="17"/>
        <v>39</v>
      </c>
      <c r="D273" s="190">
        <f t="shared" si="18"/>
        <v>42613</v>
      </c>
      <c r="E273" s="593">
        <f>Arbeitszeit!V274*24</f>
        <v>0</v>
      </c>
      <c r="F273" s="352">
        <f t="shared" si="19"/>
        <v>0</v>
      </c>
      <c r="G273" s="155">
        <f>IF(Arbeitszeit!F274=Urlaub,B_WorkTime*24,)</f>
        <v>0</v>
      </c>
      <c r="H273" s="153"/>
      <c r="I273" s="155">
        <f>IF(Arbeitszeit!F274=Krank,B_WorkTime*24,)</f>
        <v>0</v>
      </c>
      <c r="J273" s="153"/>
      <c r="K273" s="156"/>
      <c r="L273" s="157"/>
      <c r="M273" s="581"/>
      <c r="N273" s="582"/>
      <c r="O273" s="581"/>
      <c r="P273" s="582"/>
      <c r="Q273" s="581"/>
      <c r="R273" s="582"/>
      <c r="S273" s="581"/>
      <c r="T273" s="582"/>
      <c r="U273" s="581"/>
      <c r="V273" s="582"/>
      <c r="W273" s="581"/>
      <c r="X273" s="582"/>
      <c r="Y273" s="581"/>
      <c r="Z273" s="582"/>
      <c r="AA273" s="581"/>
      <c r="AB273" s="582"/>
      <c r="AC273" s="581"/>
      <c r="AD273" s="582"/>
      <c r="AE273" s="581"/>
      <c r="AF273" s="583"/>
      <c r="AG273" s="581"/>
      <c r="AH273" s="583"/>
      <c r="AI273" s="581"/>
      <c r="AJ273" s="583"/>
      <c r="AK273" s="581"/>
      <c r="AL273" s="583"/>
      <c r="AM273" s="584"/>
      <c r="AN273" s="583"/>
      <c r="AO273" s="581"/>
      <c r="AP273" s="583"/>
      <c r="AQ273" s="584"/>
      <c r="AR273" s="583"/>
      <c r="AS273" s="583"/>
      <c r="AT273" s="583"/>
      <c r="AU273" s="584"/>
      <c r="AV273" s="583"/>
      <c r="AW273" s="583"/>
      <c r="AX273" s="158"/>
      <c r="AY273" s="154"/>
      <c r="AZ273">
        <f ca="1">INDIRECT(ADDRESS(ROW()+1,COLUMN(Arbeitszeit!xDay),,,"Arbeitszeit"))</f>
        <v>5</v>
      </c>
    </row>
    <row r="274" spans="1:52">
      <c r="A274" s="523">
        <f>Arbeitszeit!A275</f>
        <v>42638</v>
      </c>
      <c r="B274" s="524">
        <f t="shared" si="16"/>
        <v>42638</v>
      </c>
      <c r="C274" s="191">
        <f t="shared" si="17"/>
        <v>39</v>
      </c>
      <c r="D274" s="190">
        <f t="shared" si="18"/>
        <v>42613</v>
      </c>
      <c r="E274" s="593">
        <f>Arbeitszeit!V275*24</f>
        <v>0</v>
      </c>
      <c r="F274" s="352">
        <f t="shared" si="19"/>
        <v>0</v>
      </c>
      <c r="G274" s="155">
        <f>IF(Arbeitszeit!F275=Urlaub,B_WorkTime*24,)</f>
        <v>0</v>
      </c>
      <c r="H274" s="153"/>
      <c r="I274" s="155">
        <f>IF(Arbeitszeit!F275=Krank,B_WorkTime*24,)</f>
        <v>0</v>
      </c>
      <c r="J274" s="153"/>
      <c r="K274" s="156"/>
      <c r="L274" s="157"/>
      <c r="M274" s="581"/>
      <c r="N274" s="582"/>
      <c r="O274" s="581"/>
      <c r="P274" s="582"/>
      <c r="Q274" s="581"/>
      <c r="R274" s="582"/>
      <c r="S274" s="581"/>
      <c r="T274" s="582"/>
      <c r="U274" s="581"/>
      <c r="V274" s="582"/>
      <c r="W274" s="581"/>
      <c r="X274" s="582"/>
      <c r="Y274" s="581"/>
      <c r="Z274" s="582"/>
      <c r="AA274" s="581"/>
      <c r="AB274" s="582"/>
      <c r="AC274" s="581"/>
      <c r="AD274" s="582"/>
      <c r="AE274" s="581"/>
      <c r="AF274" s="583"/>
      <c r="AG274" s="581"/>
      <c r="AH274" s="583"/>
      <c r="AI274" s="581"/>
      <c r="AJ274" s="583"/>
      <c r="AK274" s="581"/>
      <c r="AL274" s="583"/>
      <c r="AM274" s="584"/>
      <c r="AN274" s="583"/>
      <c r="AO274" s="581"/>
      <c r="AP274" s="583"/>
      <c r="AQ274" s="584"/>
      <c r="AR274" s="583"/>
      <c r="AS274" s="583"/>
      <c r="AT274" s="583"/>
      <c r="AU274" s="584"/>
      <c r="AV274" s="583"/>
      <c r="AW274" s="583"/>
      <c r="AX274" s="158"/>
      <c r="AY274" s="154"/>
      <c r="AZ274">
        <f ca="1">INDIRECT(ADDRESS(ROW()+1,COLUMN(Arbeitszeit!xDay),,,"Arbeitszeit"))</f>
        <v>6</v>
      </c>
    </row>
    <row r="275" spans="1:52">
      <c r="A275" s="523">
        <f>Arbeitszeit!A276</f>
        <v>42639</v>
      </c>
      <c r="B275" s="524">
        <f t="shared" si="16"/>
        <v>42639</v>
      </c>
      <c r="C275" s="191">
        <f t="shared" si="17"/>
        <v>39</v>
      </c>
      <c r="D275" s="190">
        <f t="shared" si="18"/>
        <v>42613</v>
      </c>
      <c r="E275" s="593">
        <f>Arbeitszeit!V276*24</f>
        <v>0</v>
      </c>
      <c r="F275" s="352">
        <f t="shared" si="19"/>
        <v>0</v>
      </c>
      <c r="G275" s="155">
        <f>IF(Arbeitszeit!F276=Urlaub,B_WorkTime*24,)</f>
        <v>0</v>
      </c>
      <c r="H275" s="153"/>
      <c r="I275" s="155">
        <f>IF(Arbeitszeit!F276=Krank,B_WorkTime*24,)</f>
        <v>0</v>
      </c>
      <c r="J275" s="153"/>
      <c r="K275" s="156"/>
      <c r="L275" s="157"/>
      <c r="M275" s="581"/>
      <c r="N275" s="582"/>
      <c r="O275" s="581"/>
      <c r="P275" s="582"/>
      <c r="Q275" s="581"/>
      <c r="R275" s="582"/>
      <c r="S275" s="581"/>
      <c r="T275" s="582"/>
      <c r="U275" s="581"/>
      <c r="V275" s="582"/>
      <c r="W275" s="581"/>
      <c r="X275" s="582"/>
      <c r="Y275" s="581"/>
      <c r="Z275" s="582"/>
      <c r="AA275" s="581"/>
      <c r="AB275" s="582"/>
      <c r="AC275" s="581"/>
      <c r="AD275" s="582"/>
      <c r="AE275" s="581"/>
      <c r="AF275" s="583"/>
      <c r="AG275" s="581"/>
      <c r="AH275" s="583"/>
      <c r="AI275" s="581"/>
      <c r="AJ275" s="583"/>
      <c r="AK275" s="581"/>
      <c r="AL275" s="583"/>
      <c r="AM275" s="584"/>
      <c r="AN275" s="583"/>
      <c r="AO275" s="581"/>
      <c r="AP275" s="583"/>
      <c r="AQ275" s="584"/>
      <c r="AR275" s="583"/>
      <c r="AS275" s="583"/>
      <c r="AT275" s="583"/>
      <c r="AU275" s="584"/>
      <c r="AV275" s="583"/>
      <c r="AW275" s="583"/>
      <c r="AX275" s="158"/>
      <c r="AY275" s="154"/>
      <c r="AZ275">
        <f ca="1">INDIRECT(ADDRESS(ROW()+1,COLUMN(Arbeitszeit!xDay),,,"Arbeitszeit"))</f>
        <v>7</v>
      </c>
    </row>
    <row r="276" spans="1:52">
      <c r="A276" s="523">
        <f>Arbeitszeit!A277</f>
        <v>42640</v>
      </c>
      <c r="B276" s="524">
        <f t="shared" si="16"/>
        <v>42640</v>
      </c>
      <c r="C276" s="191">
        <f t="shared" si="17"/>
        <v>40</v>
      </c>
      <c r="D276" s="190">
        <f t="shared" si="18"/>
        <v>42613</v>
      </c>
      <c r="E276" s="593">
        <f>Arbeitszeit!V277*24</f>
        <v>0</v>
      </c>
      <c r="F276" s="352">
        <f t="shared" si="19"/>
        <v>0</v>
      </c>
      <c r="G276" s="155">
        <f>IF(Arbeitszeit!F277=Urlaub,B_WorkTime*24,)</f>
        <v>0</v>
      </c>
      <c r="H276" s="153"/>
      <c r="I276" s="155">
        <f>IF(Arbeitszeit!F277=Krank,B_WorkTime*24,)</f>
        <v>0</v>
      </c>
      <c r="J276" s="153"/>
      <c r="K276" s="156"/>
      <c r="L276" s="157"/>
      <c r="M276" s="581"/>
      <c r="N276" s="582"/>
      <c r="O276" s="581"/>
      <c r="P276" s="582"/>
      <c r="Q276" s="581"/>
      <c r="R276" s="582"/>
      <c r="S276" s="581"/>
      <c r="T276" s="582"/>
      <c r="U276" s="581"/>
      <c r="V276" s="582"/>
      <c r="W276" s="581"/>
      <c r="X276" s="582"/>
      <c r="Y276" s="581"/>
      <c r="Z276" s="582"/>
      <c r="AA276" s="581"/>
      <c r="AB276" s="582"/>
      <c r="AC276" s="581"/>
      <c r="AD276" s="582"/>
      <c r="AE276" s="581"/>
      <c r="AF276" s="583"/>
      <c r="AG276" s="581"/>
      <c r="AH276" s="583"/>
      <c r="AI276" s="581"/>
      <c r="AJ276" s="583"/>
      <c r="AK276" s="581"/>
      <c r="AL276" s="583"/>
      <c r="AM276" s="584"/>
      <c r="AN276" s="583"/>
      <c r="AO276" s="581"/>
      <c r="AP276" s="583"/>
      <c r="AQ276" s="584"/>
      <c r="AR276" s="583"/>
      <c r="AS276" s="583"/>
      <c r="AT276" s="583"/>
      <c r="AU276" s="584"/>
      <c r="AV276" s="583"/>
      <c r="AW276" s="583"/>
      <c r="AX276" s="158"/>
      <c r="AY276" s="154"/>
      <c r="AZ276">
        <f ca="1">INDIRECT(ADDRESS(ROW()+1,COLUMN(Arbeitszeit!xDay),,,"Arbeitszeit"))</f>
        <v>1</v>
      </c>
    </row>
    <row r="277" spans="1:52">
      <c r="A277" s="523">
        <f>Arbeitszeit!A278</f>
        <v>42641</v>
      </c>
      <c r="B277" s="524">
        <f t="shared" si="16"/>
        <v>42641</v>
      </c>
      <c r="C277" s="191">
        <f t="shared" si="17"/>
        <v>40</v>
      </c>
      <c r="D277" s="190">
        <f t="shared" si="18"/>
        <v>42613</v>
      </c>
      <c r="E277" s="593">
        <f>Arbeitszeit!V278*24</f>
        <v>0</v>
      </c>
      <c r="F277" s="352">
        <f t="shared" si="19"/>
        <v>0</v>
      </c>
      <c r="G277" s="155">
        <f>IF(Arbeitszeit!F278=Urlaub,B_WorkTime*24,)</f>
        <v>0</v>
      </c>
      <c r="H277" s="153"/>
      <c r="I277" s="155">
        <f>IF(Arbeitszeit!F278=Krank,B_WorkTime*24,)</f>
        <v>0</v>
      </c>
      <c r="J277" s="153"/>
      <c r="K277" s="156"/>
      <c r="L277" s="157"/>
      <c r="M277" s="581"/>
      <c r="N277" s="582"/>
      <c r="O277" s="581"/>
      <c r="P277" s="582"/>
      <c r="Q277" s="581"/>
      <c r="R277" s="582"/>
      <c r="S277" s="581"/>
      <c r="T277" s="582"/>
      <c r="U277" s="581"/>
      <c r="V277" s="582"/>
      <c r="W277" s="581"/>
      <c r="X277" s="582"/>
      <c r="Y277" s="581"/>
      <c r="Z277" s="582"/>
      <c r="AA277" s="581"/>
      <c r="AB277" s="582"/>
      <c r="AC277" s="581"/>
      <c r="AD277" s="582"/>
      <c r="AE277" s="581"/>
      <c r="AF277" s="583"/>
      <c r="AG277" s="581"/>
      <c r="AH277" s="583"/>
      <c r="AI277" s="581"/>
      <c r="AJ277" s="583"/>
      <c r="AK277" s="581"/>
      <c r="AL277" s="583"/>
      <c r="AM277" s="584"/>
      <c r="AN277" s="583"/>
      <c r="AO277" s="581"/>
      <c r="AP277" s="583"/>
      <c r="AQ277" s="584"/>
      <c r="AR277" s="583"/>
      <c r="AS277" s="583"/>
      <c r="AT277" s="583"/>
      <c r="AU277" s="584"/>
      <c r="AV277" s="583"/>
      <c r="AW277" s="583"/>
      <c r="AX277" s="158"/>
      <c r="AY277" s="154"/>
      <c r="AZ277">
        <f ca="1">INDIRECT(ADDRESS(ROW()+1,COLUMN(Arbeitszeit!xDay),,,"Arbeitszeit"))</f>
        <v>2</v>
      </c>
    </row>
    <row r="278" spans="1:52">
      <c r="A278" s="523">
        <f>Arbeitszeit!A279</f>
        <v>42642</v>
      </c>
      <c r="B278" s="524">
        <f t="shared" si="16"/>
        <v>42642</v>
      </c>
      <c r="C278" s="191">
        <f t="shared" si="17"/>
        <v>40</v>
      </c>
      <c r="D278" s="190">
        <f t="shared" si="18"/>
        <v>42613</v>
      </c>
      <c r="E278" s="593">
        <f>Arbeitszeit!V279*24</f>
        <v>0</v>
      </c>
      <c r="F278" s="352">
        <f t="shared" si="19"/>
        <v>0</v>
      </c>
      <c r="G278" s="155">
        <f>IF(Arbeitszeit!F279=Urlaub,B_WorkTime*24,)</f>
        <v>0</v>
      </c>
      <c r="H278" s="153"/>
      <c r="I278" s="155">
        <f>IF(Arbeitszeit!F279=Krank,B_WorkTime*24,)</f>
        <v>0</v>
      </c>
      <c r="J278" s="153"/>
      <c r="K278" s="156"/>
      <c r="L278" s="157"/>
      <c r="M278" s="581"/>
      <c r="N278" s="582"/>
      <c r="O278" s="581"/>
      <c r="P278" s="582"/>
      <c r="Q278" s="581"/>
      <c r="R278" s="582"/>
      <c r="S278" s="581"/>
      <c r="T278" s="582"/>
      <c r="U278" s="581"/>
      <c r="V278" s="582"/>
      <c r="W278" s="581"/>
      <c r="X278" s="582"/>
      <c r="Y278" s="581"/>
      <c r="Z278" s="582"/>
      <c r="AA278" s="581"/>
      <c r="AB278" s="582"/>
      <c r="AC278" s="581"/>
      <c r="AD278" s="582"/>
      <c r="AE278" s="581"/>
      <c r="AF278" s="583"/>
      <c r="AG278" s="581"/>
      <c r="AH278" s="583"/>
      <c r="AI278" s="581"/>
      <c r="AJ278" s="583"/>
      <c r="AK278" s="581"/>
      <c r="AL278" s="583"/>
      <c r="AM278" s="584"/>
      <c r="AN278" s="583"/>
      <c r="AO278" s="581"/>
      <c r="AP278" s="583"/>
      <c r="AQ278" s="584"/>
      <c r="AR278" s="583"/>
      <c r="AS278" s="583"/>
      <c r="AT278" s="583"/>
      <c r="AU278" s="584"/>
      <c r="AV278" s="583"/>
      <c r="AW278" s="583"/>
      <c r="AX278" s="158"/>
      <c r="AY278" s="154"/>
      <c r="AZ278">
        <f ca="1">INDIRECT(ADDRESS(ROW()+1,COLUMN(Arbeitszeit!xDay),,,"Arbeitszeit"))</f>
        <v>3</v>
      </c>
    </row>
    <row r="279" spans="1:52">
      <c r="A279" s="523">
        <f>Arbeitszeit!A280</f>
        <v>42643</v>
      </c>
      <c r="B279" s="524">
        <f t="shared" si="16"/>
        <v>42643</v>
      </c>
      <c r="C279" s="191">
        <f t="shared" si="17"/>
        <v>40</v>
      </c>
      <c r="D279" s="190">
        <f t="shared" si="18"/>
        <v>42643</v>
      </c>
      <c r="E279" s="593">
        <f>Arbeitszeit!V280*24</f>
        <v>0</v>
      </c>
      <c r="F279" s="352">
        <f t="shared" si="19"/>
        <v>0</v>
      </c>
      <c r="G279" s="155">
        <f>IF(Arbeitszeit!F280=Urlaub,B_WorkTime*24,)</f>
        <v>0</v>
      </c>
      <c r="H279" s="153"/>
      <c r="I279" s="155">
        <f>IF(Arbeitszeit!F280=Krank,B_WorkTime*24,)</f>
        <v>0</v>
      </c>
      <c r="J279" s="153"/>
      <c r="K279" s="156"/>
      <c r="L279" s="157"/>
      <c r="M279" s="581"/>
      <c r="N279" s="582"/>
      <c r="O279" s="581"/>
      <c r="P279" s="582"/>
      <c r="Q279" s="581"/>
      <c r="R279" s="582"/>
      <c r="S279" s="581"/>
      <c r="T279" s="582"/>
      <c r="U279" s="581"/>
      <c r="V279" s="582"/>
      <c r="W279" s="581"/>
      <c r="X279" s="582"/>
      <c r="Y279" s="581"/>
      <c r="Z279" s="582"/>
      <c r="AA279" s="581"/>
      <c r="AB279" s="582"/>
      <c r="AC279" s="581"/>
      <c r="AD279" s="582"/>
      <c r="AE279" s="581"/>
      <c r="AF279" s="583"/>
      <c r="AG279" s="581"/>
      <c r="AH279" s="583"/>
      <c r="AI279" s="581"/>
      <c r="AJ279" s="583"/>
      <c r="AK279" s="581"/>
      <c r="AL279" s="583"/>
      <c r="AM279" s="584"/>
      <c r="AN279" s="583"/>
      <c r="AO279" s="581"/>
      <c r="AP279" s="583"/>
      <c r="AQ279" s="584"/>
      <c r="AR279" s="583"/>
      <c r="AS279" s="583"/>
      <c r="AT279" s="583"/>
      <c r="AU279" s="584"/>
      <c r="AV279" s="583"/>
      <c r="AW279" s="583"/>
      <c r="AX279" s="158"/>
      <c r="AY279" s="154"/>
      <c r="AZ279">
        <f ca="1">INDIRECT(ADDRESS(ROW()+1,COLUMN(Arbeitszeit!xDay),,,"Arbeitszeit"))</f>
        <v>4</v>
      </c>
    </row>
    <row r="280" spans="1:52">
      <c r="A280" s="523">
        <f>Arbeitszeit!A281</f>
        <v>42644</v>
      </c>
      <c r="B280" s="524">
        <f t="shared" si="16"/>
        <v>42644</v>
      </c>
      <c r="C280" s="191">
        <f t="shared" si="17"/>
        <v>40</v>
      </c>
      <c r="D280" s="190">
        <f t="shared" si="18"/>
        <v>42643</v>
      </c>
      <c r="E280" s="593">
        <f>Arbeitszeit!V281*24</f>
        <v>0</v>
      </c>
      <c r="F280" s="352">
        <f t="shared" si="19"/>
        <v>0</v>
      </c>
      <c r="G280" s="155">
        <f>IF(Arbeitszeit!F281=Urlaub,B_WorkTime*24,)</f>
        <v>0</v>
      </c>
      <c r="H280" s="153"/>
      <c r="I280" s="155">
        <f>IF(Arbeitszeit!F281=Krank,B_WorkTime*24,)</f>
        <v>0</v>
      </c>
      <c r="J280" s="153"/>
      <c r="K280" s="156"/>
      <c r="L280" s="157"/>
      <c r="M280" s="581"/>
      <c r="N280" s="582"/>
      <c r="O280" s="581"/>
      <c r="P280" s="582"/>
      <c r="Q280" s="581"/>
      <c r="R280" s="582"/>
      <c r="S280" s="581"/>
      <c r="T280" s="582"/>
      <c r="U280" s="581"/>
      <c r="V280" s="582"/>
      <c r="W280" s="581"/>
      <c r="X280" s="582"/>
      <c r="Y280" s="581"/>
      <c r="Z280" s="582"/>
      <c r="AA280" s="581"/>
      <c r="AB280" s="582"/>
      <c r="AC280" s="581"/>
      <c r="AD280" s="582"/>
      <c r="AE280" s="581"/>
      <c r="AF280" s="583"/>
      <c r="AG280" s="581"/>
      <c r="AH280" s="583"/>
      <c r="AI280" s="581"/>
      <c r="AJ280" s="583"/>
      <c r="AK280" s="581"/>
      <c r="AL280" s="583"/>
      <c r="AM280" s="584"/>
      <c r="AN280" s="583"/>
      <c r="AO280" s="581"/>
      <c r="AP280" s="583"/>
      <c r="AQ280" s="584"/>
      <c r="AR280" s="583"/>
      <c r="AS280" s="583"/>
      <c r="AT280" s="583"/>
      <c r="AU280" s="584"/>
      <c r="AV280" s="583"/>
      <c r="AW280" s="583"/>
      <c r="AX280" s="158"/>
      <c r="AY280" s="154"/>
      <c r="AZ280">
        <f ca="1">INDIRECT(ADDRESS(ROW()+1,COLUMN(Arbeitszeit!xDay),,,"Arbeitszeit"))</f>
        <v>5</v>
      </c>
    </row>
    <row r="281" spans="1:52">
      <c r="A281" s="523">
        <f>Arbeitszeit!A282</f>
        <v>42645</v>
      </c>
      <c r="B281" s="524">
        <f t="shared" si="16"/>
        <v>42645</v>
      </c>
      <c r="C281" s="191">
        <f t="shared" si="17"/>
        <v>40</v>
      </c>
      <c r="D281" s="190">
        <f t="shared" si="18"/>
        <v>42643</v>
      </c>
      <c r="E281" s="593">
        <f>Arbeitszeit!V282*24</f>
        <v>0</v>
      </c>
      <c r="F281" s="352">
        <f t="shared" si="19"/>
        <v>0</v>
      </c>
      <c r="G281" s="155">
        <f>IF(Arbeitszeit!F282=Urlaub,B_WorkTime*24,)</f>
        <v>0</v>
      </c>
      <c r="H281" s="153"/>
      <c r="I281" s="155">
        <f>IF(Arbeitszeit!F282=Krank,B_WorkTime*24,)</f>
        <v>0</v>
      </c>
      <c r="J281" s="153"/>
      <c r="K281" s="156"/>
      <c r="L281" s="157"/>
      <c r="M281" s="581"/>
      <c r="N281" s="582"/>
      <c r="O281" s="581"/>
      <c r="P281" s="582"/>
      <c r="Q281" s="581"/>
      <c r="R281" s="582"/>
      <c r="S281" s="581"/>
      <c r="T281" s="582"/>
      <c r="U281" s="581"/>
      <c r="V281" s="582"/>
      <c r="W281" s="581"/>
      <c r="X281" s="582"/>
      <c r="Y281" s="581"/>
      <c r="Z281" s="582"/>
      <c r="AA281" s="581"/>
      <c r="AB281" s="582"/>
      <c r="AC281" s="581"/>
      <c r="AD281" s="582"/>
      <c r="AE281" s="581"/>
      <c r="AF281" s="583"/>
      <c r="AG281" s="581"/>
      <c r="AH281" s="583"/>
      <c r="AI281" s="581"/>
      <c r="AJ281" s="583"/>
      <c r="AK281" s="581"/>
      <c r="AL281" s="583"/>
      <c r="AM281" s="584"/>
      <c r="AN281" s="583"/>
      <c r="AO281" s="581"/>
      <c r="AP281" s="583"/>
      <c r="AQ281" s="584"/>
      <c r="AR281" s="583"/>
      <c r="AS281" s="583"/>
      <c r="AT281" s="583"/>
      <c r="AU281" s="584"/>
      <c r="AV281" s="583"/>
      <c r="AW281" s="583"/>
      <c r="AX281" s="158"/>
      <c r="AY281" s="154"/>
      <c r="AZ281">
        <f ca="1">INDIRECT(ADDRESS(ROW()+1,COLUMN(Arbeitszeit!xDay),,,"Arbeitszeit"))</f>
        <v>8</v>
      </c>
    </row>
    <row r="282" spans="1:52">
      <c r="A282" s="523">
        <f>Arbeitszeit!A283</f>
        <v>42646</v>
      </c>
      <c r="B282" s="524">
        <f t="shared" si="16"/>
        <v>42646</v>
      </c>
      <c r="C282" s="191">
        <f t="shared" si="17"/>
        <v>40</v>
      </c>
      <c r="D282" s="190">
        <f t="shared" si="18"/>
        <v>42643</v>
      </c>
      <c r="E282" s="593">
        <f>Arbeitszeit!V283*24</f>
        <v>0</v>
      </c>
      <c r="F282" s="352">
        <f t="shared" si="19"/>
        <v>0</v>
      </c>
      <c r="G282" s="155">
        <f>IF(Arbeitszeit!F283=Urlaub,B_WorkTime*24,)</f>
        <v>0</v>
      </c>
      <c r="H282" s="153"/>
      <c r="I282" s="155">
        <f>IF(Arbeitszeit!F283=Krank,B_WorkTime*24,)</f>
        <v>0</v>
      </c>
      <c r="J282" s="153"/>
      <c r="K282" s="156"/>
      <c r="L282" s="157"/>
      <c r="M282" s="581"/>
      <c r="N282" s="582"/>
      <c r="O282" s="581"/>
      <c r="P282" s="582"/>
      <c r="Q282" s="581"/>
      <c r="R282" s="582"/>
      <c r="S282" s="581"/>
      <c r="T282" s="582"/>
      <c r="U282" s="581"/>
      <c r="V282" s="582"/>
      <c r="W282" s="581"/>
      <c r="X282" s="582"/>
      <c r="Y282" s="581"/>
      <c r="Z282" s="582"/>
      <c r="AA282" s="581"/>
      <c r="AB282" s="582"/>
      <c r="AC282" s="581"/>
      <c r="AD282" s="582"/>
      <c r="AE282" s="581"/>
      <c r="AF282" s="583"/>
      <c r="AG282" s="581"/>
      <c r="AH282" s="583"/>
      <c r="AI282" s="581"/>
      <c r="AJ282" s="583"/>
      <c r="AK282" s="581"/>
      <c r="AL282" s="583"/>
      <c r="AM282" s="584"/>
      <c r="AN282" s="583"/>
      <c r="AO282" s="581"/>
      <c r="AP282" s="583"/>
      <c r="AQ282" s="584"/>
      <c r="AR282" s="583"/>
      <c r="AS282" s="583"/>
      <c r="AT282" s="583"/>
      <c r="AU282" s="584"/>
      <c r="AV282" s="583"/>
      <c r="AW282" s="583"/>
      <c r="AX282" s="158"/>
      <c r="AY282" s="154"/>
      <c r="AZ282">
        <f ca="1">INDIRECT(ADDRESS(ROW()+1,COLUMN(Arbeitszeit!xDay),,,"Arbeitszeit"))</f>
        <v>7</v>
      </c>
    </row>
    <row r="283" spans="1:52">
      <c r="A283" s="523">
        <f>Arbeitszeit!A284</f>
        <v>42647</v>
      </c>
      <c r="B283" s="524">
        <f t="shared" si="16"/>
        <v>42647</v>
      </c>
      <c r="C283" s="191">
        <f t="shared" si="17"/>
        <v>41</v>
      </c>
      <c r="D283" s="190">
        <f t="shared" si="18"/>
        <v>42643</v>
      </c>
      <c r="E283" s="593">
        <f>Arbeitszeit!V284*24</f>
        <v>0</v>
      </c>
      <c r="F283" s="352">
        <f t="shared" si="19"/>
        <v>0</v>
      </c>
      <c r="G283" s="155">
        <f>IF(Arbeitszeit!F284=Urlaub,B_WorkTime*24,)</f>
        <v>0</v>
      </c>
      <c r="H283" s="153"/>
      <c r="I283" s="155">
        <f>IF(Arbeitszeit!F284=Krank,B_WorkTime*24,)</f>
        <v>0</v>
      </c>
      <c r="J283" s="153"/>
      <c r="K283" s="156"/>
      <c r="L283" s="157"/>
      <c r="M283" s="581"/>
      <c r="N283" s="582"/>
      <c r="O283" s="581"/>
      <c r="P283" s="582"/>
      <c r="Q283" s="581"/>
      <c r="R283" s="582"/>
      <c r="S283" s="581"/>
      <c r="T283" s="582"/>
      <c r="U283" s="581"/>
      <c r="V283" s="582"/>
      <c r="W283" s="581"/>
      <c r="X283" s="582"/>
      <c r="Y283" s="581"/>
      <c r="Z283" s="582"/>
      <c r="AA283" s="581"/>
      <c r="AB283" s="582"/>
      <c r="AC283" s="581"/>
      <c r="AD283" s="582"/>
      <c r="AE283" s="581"/>
      <c r="AF283" s="583"/>
      <c r="AG283" s="581"/>
      <c r="AH283" s="583"/>
      <c r="AI283" s="581"/>
      <c r="AJ283" s="583"/>
      <c r="AK283" s="581"/>
      <c r="AL283" s="583"/>
      <c r="AM283" s="584"/>
      <c r="AN283" s="583"/>
      <c r="AO283" s="581"/>
      <c r="AP283" s="583"/>
      <c r="AQ283" s="584"/>
      <c r="AR283" s="583"/>
      <c r="AS283" s="583"/>
      <c r="AT283" s="583"/>
      <c r="AU283" s="584"/>
      <c r="AV283" s="583"/>
      <c r="AW283" s="583"/>
      <c r="AX283" s="158"/>
      <c r="AY283" s="154"/>
      <c r="AZ283">
        <f ca="1">INDIRECT(ADDRESS(ROW()+1,COLUMN(Arbeitszeit!xDay),,,"Arbeitszeit"))</f>
        <v>1</v>
      </c>
    </row>
    <row r="284" spans="1:52">
      <c r="A284" s="523">
        <f>Arbeitszeit!A285</f>
        <v>42648</v>
      </c>
      <c r="B284" s="524">
        <f t="shared" si="16"/>
        <v>42648</v>
      </c>
      <c r="C284" s="191">
        <f t="shared" si="17"/>
        <v>41</v>
      </c>
      <c r="D284" s="190">
        <f t="shared" si="18"/>
        <v>42643</v>
      </c>
      <c r="E284" s="593">
        <f>Arbeitszeit!V285*24</f>
        <v>0</v>
      </c>
      <c r="F284" s="352">
        <f t="shared" si="19"/>
        <v>0</v>
      </c>
      <c r="G284" s="155">
        <f>IF(Arbeitszeit!F285=Urlaub,B_WorkTime*24,)</f>
        <v>0</v>
      </c>
      <c r="H284" s="153"/>
      <c r="I284" s="155">
        <f>IF(Arbeitszeit!F285=Krank,B_WorkTime*24,)</f>
        <v>0</v>
      </c>
      <c r="J284" s="153"/>
      <c r="K284" s="156"/>
      <c r="L284" s="157"/>
      <c r="M284" s="581"/>
      <c r="N284" s="582"/>
      <c r="O284" s="581"/>
      <c r="P284" s="582"/>
      <c r="Q284" s="581"/>
      <c r="R284" s="582"/>
      <c r="S284" s="581"/>
      <c r="T284" s="582"/>
      <c r="U284" s="581"/>
      <c r="V284" s="582"/>
      <c r="W284" s="581"/>
      <c r="X284" s="582"/>
      <c r="Y284" s="581"/>
      <c r="Z284" s="582"/>
      <c r="AA284" s="581"/>
      <c r="AB284" s="582"/>
      <c r="AC284" s="581"/>
      <c r="AD284" s="582"/>
      <c r="AE284" s="581"/>
      <c r="AF284" s="583"/>
      <c r="AG284" s="581"/>
      <c r="AH284" s="583"/>
      <c r="AI284" s="581"/>
      <c r="AJ284" s="583"/>
      <c r="AK284" s="581"/>
      <c r="AL284" s="583"/>
      <c r="AM284" s="584"/>
      <c r="AN284" s="583"/>
      <c r="AO284" s="581"/>
      <c r="AP284" s="583"/>
      <c r="AQ284" s="584"/>
      <c r="AR284" s="583"/>
      <c r="AS284" s="583"/>
      <c r="AT284" s="583"/>
      <c r="AU284" s="584"/>
      <c r="AV284" s="583"/>
      <c r="AW284" s="583"/>
      <c r="AX284" s="158"/>
      <c r="AY284" s="154"/>
      <c r="AZ284">
        <f ca="1">INDIRECT(ADDRESS(ROW()+1,COLUMN(Arbeitszeit!xDay),,,"Arbeitszeit"))</f>
        <v>2</v>
      </c>
    </row>
    <row r="285" spans="1:52">
      <c r="A285" s="523">
        <f>Arbeitszeit!A286</f>
        <v>42649</v>
      </c>
      <c r="B285" s="524">
        <f t="shared" si="16"/>
        <v>42649</v>
      </c>
      <c r="C285" s="191">
        <f t="shared" si="17"/>
        <v>41</v>
      </c>
      <c r="D285" s="190">
        <f t="shared" si="18"/>
        <v>42643</v>
      </c>
      <c r="E285" s="593">
        <f>Arbeitszeit!V286*24</f>
        <v>0</v>
      </c>
      <c r="F285" s="352">
        <f t="shared" si="19"/>
        <v>0</v>
      </c>
      <c r="G285" s="155">
        <f>IF(Arbeitszeit!F286=Urlaub,B_WorkTime*24,)</f>
        <v>0</v>
      </c>
      <c r="H285" s="153"/>
      <c r="I285" s="155">
        <f>IF(Arbeitszeit!F286=Krank,B_WorkTime*24,)</f>
        <v>0</v>
      </c>
      <c r="J285" s="153"/>
      <c r="K285" s="156"/>
      <c r="L285" s="157"/>
      <c r="M285" s="581"/>
      <c r="N285" s="582"/>
      <c r="O285" s="581"/>
      <c r="P285" s="582"/>
      <c r="Q285" s="581"/>
      <c r="R285" s="582"/>
      <c r="S285" s="581"/>
      <c r="T285" s="582"/>
      <c r="U285" s="581"/>
      <c r="V285" s="582"/>
      <c r="W285" s="581"/>
      <c r="X285" s="582"/>
      <c r="Y285" s="581"/>
      <c r="Z285" s="582"/>
      <c r="AA285" s="581"/>
      <c r="AB285" s="582"/>
      <c r="AC285" s="581"/>
      <c r="AD285" s="582"/>
      <c r="AE285" s="581"/>
      <c r="AF285" s="583"/>
      <c r="AG285" s="581"/>
      <c r="AH285" s="583"/>
      <c r="AI285" s="581"/>
      <c r="AJ285" s="583"/>
      <c r="AK285" s="581"/>
      <c r="AL285" s="583"/>
      <c r="AM285" s="584"/>
      <c r="AN285" s="583"/>
      <c r="AO285" s="581"/>
      <c r="AP285" s="583"/>
      <c r="AQ285" s="584"/>
      <c r="AR285" s="583"/>
      <c r="AS285" s="583"/>
      <c r="AT285" s="583"/>
      <c r="AU285" s="584"/>
      <c r="AV285" s="583"/>
      <c r="AW285" s="583"/>
      <c r="AX285" s="158"/>
      <c r="AY285" s="154"/>
      <c r="AZ285">
        <f ca="1">INDIRECT(ADDRESS(ROW()+1,COLUMN(Arbeitszeit!xDay),,,"Arbeitszeit"))</f>
        <v>3</v>
      </c>
    </row>
    <row r="286" spans="1:52">
      <c r="A286" s="523">
        <f>Arbeitszeit!A287</f>
        <v>42650</v>
      </c>
      <c r="B286" s="524">
        <f t="shared" si="16"/>
        <v>42650</v>
      </c>
      <c r="C286" s="191">
        <f t="shared" si="17"/>
        <v>41</v>
      </c>
      <c r="D286" s="190">
        <f t="shared" si="18"/>
        <v>42643</v>
      </c>
      <c r="E286" s="593">
        <f>Arbeitszeit!V287*24</f>
        <v>0</v>
      </c>
      <c r="F286" s="352">
        <f t="shared" si="19"/>
        <v>0</v>
      </c>
      <c r="G286" s="155">
        <f>IF(Arbeitszeit!F287=Urlaub,B_WorkTime*24,)</f>
        <v>0</v>
      </c>
      <c r="H286" s="153"/>
      <c r="I286" s="155">
        <f>IF(Arbeitszeit!F287=Krank,B_WorkTime*24,)</f>
        <v>0</v>
      </c>
      <c r="J286" s="153"/>
      <c r="K286" s="156"/>
      <c r="L286" s="157"/>
      <c r="M286" s="581"/>
      <c r="N286" s="582"/>
      <c r="O286" s="581"/>
      <c r="P286" s="582"/>
      <c r="Q286" s="581"/>
      <c r="R286" s="582"/>
      <c r="S286" s="581"/>
      <c r="T286" s="582"/>
      <c r="U286" s="581"/>
      <c r="V286" s="582"/>
      <c r="W286" s="581"/>
      <c r="X286" s="582"/>
      <c r="Y286" s="581"/>
      <c r="Z286" s="582"/>
      <c r="AA286" s="581"/>
      <c r="AB286" s="582"/>
      <c r="AC286" s="581"/>
      <c r="AD286" s="582"/>
      <c r="AE286" s="581"/>
      <c r="AF286" s="583"/>
      <c r="AG286" s="581"/>
      <c r="AH286" s="583"/>
      <c r="AI286" s="581"/>
      <c r="AJ286" s="583"/>
      <c r="AK286" s="581"/>
      <c r="AL286" s="583"/>
      <c r="AM286" s="584"/>
      <c r="AN286" s="583"/>
      <c r="AO286" s="581"/>
      <c r="AP286" s="583"/>
      <c r="AQ286" s="584"/>
      <c r="AR286" s="583"/>
      <c r="AS286" s="583"/>
      <c r="AT286" s="583"/>
      <c r="AU286" s="584"/>
      <c r="AV286" s="583"/>
      <c r="AW286" s="583"/>
      <c r="AX286" s="158"/>
      <c r="AY286" s="154"/>
      <c r="AZ286">
        <f ca="1">INDIRECT(ADDRESS(ROW()+1,COLUMN(Arbeitszeit!xDay),,,"Arbeitszeit"))</f>
        <v>4</v>
      </c>
    </row>
    <row r="287" spans="1:52">
      <c r="A287" s="523">
        <f>Arbeitszeit!A288</f>
        <v>42651</v>
      </c>
      <c r="B287" s="524">
        <f t="shared" si="16"/>
        <v>42651</v>
      </c>
      <c r="C287" s="191">
        <f t="shared" si="17"/>
        <v>41</v>
      </c>
      <c r="D287" s="190">
        <f t="shared" si="18"/>
        <v>42643</v>
      </c>
      <c r="E287" s="593">
        <f>Arbeitszeit!V288*24</f>
        <v>0</v>
      </c>
      <c r="F287" s="352">
        <f t="shared" si="19"/>
        <v>0</v>
      </c>
      <c r="G287" s="155">
        <f>IF(Arbeitszeit!F288=Urlaub,B_WorkTime*24,)</f>
        <v>0</v>
      </c>
      <c r="H287" s="153"/>
      <c r="I287" s="155">
        <f>IF(Arbeitszeit!F288=Krank,B_WorkTime*24,)</f>
        <v>0</v>
      </c>
      <c r="J287" s="153"/>
      <c r="K287" s="156"/>
      <c r="L287" s="157"/>
      <c r="M287" s="581"/>
      <c r="N287" s="582"/>
      <c r="O287" s="581"/>
      <c r="P287" s="582"/>
      <c r="Q287" s="581"/>
      <c r="R287" s="582"/>
      <c r="S287" s="581"/>
      <c r="T287" s="582"/>
      <c r="U287" s="581"/>
      <c r="V287" s="582"/>
      <c r="W287" s="581"/>
      <c r="X287" s="582"/>
      <c r="Y287" s="581"/>
      <c r="Z287" s="582"/>
      <c r="AA287" s="581"/>
      <c r="AB287" s="582"/>
      <c r="AC287" s="581"/>
      <c r="AD287" s="582"/>
      <c r="AE287" s="581"/>
      <c r="AF287" s="583"/>
      <c r="AG287" s="581"/>
      <c r="AH287" s="583"/>
      <c r="AI287" s="581"/>
      <c r="AJ287" s="583"/>
      <c r="AK287" s="581"/>
      <c r="AL287" s="583"/>
      <c r="AM287" s="584"/>
      <c r="AN287" s="583"/>
      <c r="AO287" s="581"/>
      <c r="AP287" s="583"/>
      <c r="AQ287" s="584"/>
      <c r="AR287" s="583"/>
      <c r="AS287" s="583"/>
      <c r="AT287" s="583"/>
      <c r="AU287" s="584"/>
      <c r="AV287" s="583"/>
      <c r="AW287" s="583"/>
      <c r="AX287" s="158"/>
      <c r="AY287" s="154"/>
      <c r="AZ287">
        <f ca="1">INDIRECT(ADDRESS(ROW()+1,COLUMN(Arbeitszeit!xDay),,,"Arbeitszeit"))</f>
        <v>5</v>
      </c>
    </row>
    <row r="288" spans="1:52">
      <c r="A288" s="523">
        <f>Arbeitszeit!A289</f>
        <v>42652</v>
      </c>
      <c r="B288" s="524">
        <f t="shared" si="16"/>
        <v>42652</v>
      </c>
      <c r="C288" s="191">
        <f t="shared" si="17"/>
        <v>41</v>
      </c>
      <c r="D288" s="190">
        <f t="shared" si="18"/>
        <v>42643</v>
      </c>
      <c r="E288" s="593">
        <f>Arbeitszeit!V289*24</f>
        <v>0</v>
      </c>
      <c r="F288" s="352">
        <f t="shared" si="19"/>
        <v>0</v>
      </c>
      <c r="G288" s="155">
        <f>IF(Arbeitszeit!F289=Urlaub,B_WorkTime*24,)</f>
        <v>0</v>
      </c>
      <c r="H288" s="153"/>
      <c r="I288" s="155">
        <f>IF(Arbeitszeit!F289=Krank,B_WorkTime*24,)</f>
        <v>0</v>
      </c>
      <c r="J288" s="153"/>
      <c r="K288" s="156"/>
      <c r="L288" s="157"/>
      <c r="M288" s="581"/>
      <c r="N288" s="582"/>
      <c r="O288" s="581"/>
      <c r="P288" s="582"/>
      <c r="Q288" s="581"/>
      <c r="R288" s="582"/>
      <c r="S288" s="581"/>
      <c r="T288" s="582"/>
      <c r="U288" s="581"/>
      <c r="V288" s="582"/>
      <c r="W288" s="581"/>
      <c r="X288" s="582"/>
      <c r="Y288" s="581"/>
      <c r="Z288" s="582"/>
      <c r="AA288" s="581"/>
      <c r="AB288" s="582"/>
      <c r="AC288" s="581"/>
      <c r="AD288" s="582"/>
      <c r="AE288" s="581"/>
      <c r="AF288" s="583"/>
      <c r="AG288" s="581"/>
      <c r="AH288" s="583"/>
      <c r="AI288" s="581"/>
      <c r="AJ288" s="583"/>
      <c r="AK288" s="581"/>
      <c r="AL288" s="583"/>
      <c r="AM288" s="584"/>
      <c r="AN288" s="583"/>
      <c r="AO288" s="581"/>
      <c r="AP288" s="583"/>
      <c r="AQ288" s="584"/>
      <c r="AR288" s="583"/>
      <c r="AS288" s="583"/>
      <c r="AT288" s="583"/>
      <c r="AU288" s="584"/>
      <c r="AV288" s="583"/>
      <c r="AW288" s="583"/>
      <c r="AX288" s="158"/>
      <c r="AY288" s="154"/>
      <c r="AZ288">
        <f ca="1">INDIRECT(ADDRESS(ROW()+1,COLUMN(Arbeitszeit!xDay),,,"Arbeitszeit"))</f>
        <v>6</v>
      </c>
    </row>
    <row r="289" spans="1:52">
      <c r="A289" s="523">
        <f>Arbeitszeit!A290</f>
        <v>42653</v>
      </c>
      <c r="B289" s="524">
        <f t="shared" si="16"/>
        <v>42653</v>
      </c>
      <c r="C289" s="191">
        <f t="shared" si="17"/>
        <v>41</v>
      </c>
      <c r="D289" s="190">
        <f t="shared" si="18"/>
        <v>42643</v>
      </c>
      <c r="E289" s="593">
        <f>Arbeitszeit!V290*24</f>
        <v>0</v>
      </c>
      <c r="F289" s="352">
        <f t="shared" si="19"/>
        <v>0</v>
      </c>
      <c r="G289" s="155">
        <f>IF(Arbeitszeit!F290=Urlaub,B_WorkTime*24,)</f>
        <v>0</v>
      </c>
      <c r="H289" s="153"/>
      <c r="I289" s="155">
        <f>IF(Arbeitszeit!F290=Krank,B_WorkTime*24,)</f>
        <v>0</v>
      </c>
      <c r="J289" s="153"/>
      <c r="K289" s="156"/>
      <c r="L289" s="157"/>
      <c r="M289" s="581"/>
      <c r="N289" s="582"/>
      <c r="O289" s="581"/>
      <c r="P289" s="582"/>
      <c r="Q289" s="581"/>
      <c r="R289" s="582"/>
      <c r="S289" s="581"/>
      <c r="T289" s="582"/>
      <c r="U289" s="581"/>
      <c r="V289" s="582"/>
      <c r="W289" s="581"/>
      <c r="X289" s="582"/>
      <c r="Y289" s="581"/>
      <c r="Z289" s="582"/>
      <c r="AA289" s="581"/>
      <c r="AB289" s="582"/>
      <c r="AC289" s="581"/>
      <c r="AD289" s="582"/>
      <c r="AE289" s="581"/>
      <c r="AF289" s="583"/>
      <c r="AG289" s="581"/>
      <c r="AH289" s="583"/>
      <c r="AI289" s="581"/>
      <c r="AJ289" s="583"/>
      <c r="AK289" s="581"/>
      <c r="AL289" s="583"/>
      <c r="AM289" s="584"/>
      <c r="AN289" s="583"/>
      <c r="AO289" s="581"/>
      <c r="AP289" s="583"/>
      <c r="AQ289" s="584"/>
      <c r="AR289" s="583"/>
      <c r="AS289" s="583"/>
      <c r="AT289" s="583"/>
      <c r="AU289" s="584"/>
      <c r="AV289" s="583"/>
      <c r="AW289" s="583"/>
      <c r="AX289" s="158"/>
      <c r="AY289" s="154"/>
      <c r="AZ289">
        <f ca="1">INDIRECT(ADDRESS(ROW()+1,COLUMN(Arbeitszeit!xDay),,,"Arbeitszeit"))</f>
        <v>7</v>
      </c>
    </row>
    <row r="290" spans="1:52">
      <c r="A290" s="523">
        <f>Arbeitszeit!A291</f>
        <v>42654</v>
      </c>
      <c r="B290" s="524">
        <f t="shared" si="16"/>
        <v>42654</v>
      </c>
      <c r="C290" s="191">
        <f t="shared" si="17"/>
        <v>42</v>
      </c>
      <c r="D290" s="190">
        <f t="shared" si="18"/>
        <v>42643</v>
      </c>
      <c r="E290" s="593">
        <f>Arbeitszeit!V291*24</f>
        <v>0</v>
      </c>
      <c r="F290" s="352">
        <f t="shared" si="19"/>
        <v>0</v>
      </c>
      <c r="G290" s="155">
        <f>IF(Arbeitszeit!F291=Urlaub,B_WorkTime*24,)</f>
        <v>0</v>
      </c>
      <c r="H290" s="153"/>
      <c r="I290" s="155">
        <f>IF(Arbeitszeit!F291=Krank,B_WorkTime*24,)</f>
        <v>0</v>
      </c>
      <c r="J290" s="153"/>
      <c r="K290" s="156"/>
      <c r="L290" s="157"/>
      <c r="M290" s="581"/>
      <c r="N290" s="582"/>
      <c r="O290" s="581"/>
      <c r="P290" s="582"/>
      <c r="Q290" s="581"/>
      <c r="R290" s="582"/>
      <c r="S290" s="581"/>
      <c r="T290" s="582"/>
      <c r="U290" s="581"/>
      <c r="V290" s="582"/>
      <c r="W290" s="581"/>
      <c r="X290" s="582"/>
      <c r="Y290" s="581"/>
      <c r="Z290" s="582"/>
      <c r="AA290" s="581"/>
      <c r="AB290" s="582"/>
      <c r="AC290" s="581"/>
      <c r="AD290" s="582"/>
      <c r="AE290" s="581"/>
      <c r="AF290" s="583"/>
      <c r="AG290" s="581"/>
      <c r="AH290" s="583"/>
      <c r="AI290" s="581"/>
      <c r="AJ290" s="583"/>
      <c r="AK290" s="581"/>
      <c r="AL290" s="583"/>
      <c r="AM290" s="584"/>
      <c r="AN290" s="583"/>
      <c r="AO290" s="581"/>
      <c r="AP290" s="583"/>
      <c r="AQ290" s="584"/>
      <c r="AR290" s="583"/>
      <c r="AS290" s="583"/>
      <c r="AT290" s="583"/>
      <c r="AU290" s="584"/>
      <c r="AV290" s="583"/>
      <c r="AW290" s="583"/>
      <c r="AX290" s="158"/>
      <c r="AY290" s="154"/>
      <c r="AZ290">
        <f ca="1">INDIRECT(ADDRESS(ROW()+1,COLUMN(Arbeitszeit!xDay),,,"Arbeitszeit"))</f>
        <v>1</v>
      </c>
    </row>
    <row r="291" spans="1:52">
      <c r="A291" s="523">
        <f>Arbeitszeit!A292</f>
        <v>42655</v>
      </c>
      <c r="B291" s="524">
        <f t="shared" si="16"/>
        <v>42655</v>
      </c>
      <c r="C291" s="191">
        <f t="shared" si="17"/>
        <v>42</v>
      </c>
      <c r="D291" s="190">
        <f t="shared" si="18"/>
        <v>42643</v>
      </c>
      <c r="E291" s="593">
        <f>Arbeitszeit!V292*24</f>
        <v>0</v>
      </c>
      <c r="F291" s="352">
        <f t="shared" si="19"/>
        <v>0</v>
      </c>
      <c r="G291" s="155">
        <f>IF(Arbeitszeit!F292=Urlaub,B_WorkTime*24,)</f>
        <v>0</v>
      </c>
      <c r="H291" s="153"/>
      <c r="I291" s="155">
        <f>IF(Arbeitszeit!F292=Krank,B_WorkTime*24,)</f>
        <v>0</v>
      </c>
      <c r="J291" s="153"/>
      <c r="K291" s="156"/>
      <c r="L291" s="157"/>
      <c r="M291" s="581"/>
      <c r="N291" s="582"/>
      <c r="O291" s="581"/>
      <c r="P291" s="582"/>
      <c r="Q291" s="581"/>
      <c r="R291" s="582"/>
      <c r="S291" s="581"/>
      <c r="T291" s="582"/>
      <c r="U291" s="581"/>
      <c r="V291" s="582"/>
      <c r="W291" s="581"/>
      <c r="X291" s="582"/>
      <c r="Y291" s="581"/>
      <c r="Z291" s="582"/>
      <c r="AA291" s="581"/>
      <c r="AB291" s="582"/>
      <c r="AC291" s="581"/>
      <c r="AD291" s="582"/>
      <c r="AE291" s="581"/>
      <c r="AF291" s="583"/>
      <c r="AG291" s="581"/>
      <c r="AH291" s="583"/>
      <c r="AI291" s="581"/>
      <c r="AJ291" s="583"/>
      <c r="AK291" s="581"/>
      <c r="AL291" s="583"/>
      <c r="AM291" s="584"/>
      <c r="AN291" s="583"/>
      <c r="AO291" s="581"/>
      <c r="AP291" s="583"/>
      <c r="AQ291" s="584"/>
      <c r="AR291" s="583"/>
      <c r="AS291" s="583"/>
      <c r="AT291" s="583"/>
      <c r="AU291" s="584"/>
      <c r="AV291" s="583"/>
      <c r="AW291" s="583"/>
      <c r="AX291" s="158"/>
      <c r="AY291" s="154"/>
      <c r="AZ291">
        <f ca="1">INDIRECT(ADDRESS(ROW()+1,COLUMN(Arbeitszeit!xDay),,,"Arbeitszeit"))</f>
        <v>2</v>
      </c>
    </row>
    <row r="292" spans="1:52">
      <c r="A292" s="523">
        <f>Arbeitszeit!A293</f>
        <v>42656</v>
      </c>
      <c r="B292" s="524">
        <f t="shared" si="16"/>
        <v>42656</v>
      </c>
      <c r="C292" s="191">
        <f t="shared" si="17"/>
        <v>42</v>
      </c>
      <c r="D292" s="190">
        <f t="shared" si="18"/>
        <v>42643</v>
      </c>
      <c r="E292" s="593">
        <f>Arbeitszeit!V293*24</f>
        <v>0</v>
      </c>
      <c r="F292" s="352">
        <f t="shared" si="19"/>
        <v>0</v>
      </c>
      <c r="G292" s="155">
        <f>IF(Arbeitszeit!F293=Urlaub,B_WorkTime*24,)</f>
        <v>0</v>
      </c>
      <c r="H292" s="153"/>
      <c r="I292" s="155">
        <f>IF(Arbeitszeit!F293=Krank,B_WorkTime*24,)</f>
        <v>0</v>
      </c>
      <c r="J292" s="153"/>
      <c r="K292" s="156"/>
      <c r="L292" s="157"/>
      <c r="M292" s="581"/>
      <c r="N292" s="582"/>
      <c r="O292" s="581"/>
      <c r="P292" s="582"/>
      <c r="Q292" s="581"/>
      <c r="R292" s="582"/>
      <c r="S292" s="581"/>
      <c r="T292" s="582"/>
      <c r="U292" s="581"/>
      <c r="V292" s="582"/>
      <c r="W292" s="581"/>
      <c r="X292" s="582"/>
      <c r="Y292" s="581"/>
      <c r="Z292" s="582"/>
      <c r="AA292" s="581"/>
      <c r="AB292" s="582"/>
      <c r="AC292" s="581"/>
      <c r="AD292" s="582"/>
      <c r="AE292" s="581"/>
      <c r="AF292" s="583"/>
      <c r="AG292" s="581"/>
      <c r="AH292" s="583"/>
      <c r="AI292" s="581"/>
      <c r="AJ292" s="583"/>
      <c r="AK292" s="581"/>
      <c r="AL292" s="583"/>
      <c r="AM292" s="584"/>
      <c r="AN292" s="583"/>
      <c r="AO292" s="581"/>
      <c r="AP292" s="583"/>
      <c r="AQ292" s="584"/>
      <c r="AR292" s="583"/>
      <c r="AS292" s="583"/>
      <c r="AT292" s="583"/>
      <c r="AU292" s="584"/>
      <c r="AV292" s="583"/>
      <c r="AW292" s="583"/>
      <c r="AX292" s="158"/>
      <c r="AY292" s="154"/>
      <c r="AZ292">
        <f ca="1">INDIRECT(ADDRESS(ROW()+1,COLUMN(Arbeitszeit!xDay),,,"Arbeitszeit"))</f>
        <v>3</v>
      </c>
    </row>
    <row r="293" spans="1:52">
      <c r="A293" s="523">
        <f>Arbeitszeit!A294</f>
        <v>42657</v>
      </c>
      <c r="B293" s="524">
        <f t="shared" si="16"/>
        <v>42657</v>
      </c>
      <c r="C293" s="191">
        <f t="shared" si="17"/>
        <v>42</v>
      </c>
      <c r="D293" s="190">
        <f t="shared" si="18"/>
        <v>42643</v>
      </c>
      <c r="E293" s="593">
        <f>Arbeitszeit!V294*24</f>
        <v>0</v>
      </c>
      <c r="F293" s="352">
        <f t="shared" si="19"/>
        <v>0</v>
      </c>
      <c r="G293" s="155">
        <f>IF(Arbeitszeit!F294=Urlaub,B_WorkTime*24,)</f>
        <v>0</v>
      </c>
      <c r="H293" s="153"/>
      <c r="I293" s="155">
        <f>IF(Arbeitszeit!F294=Krank,B_WorkTime*24,)</f>
        <v>0</v>
      </c>
      <c r="J293" s="153"/>
      <c r="K293" s="156"/>
      <c r="L293" s="157"/>
      <c r="M293" s="581"/>
      <c r="N293" s="582"/>
      <c r="O293" s="581"/>
      <c r="P293" s="582"/>
      <c r="Q293" s="581"/>
      <c r="R293" s="582"/>
      <c r="S293" s="581"/>
      <c r="T293" s="582"/>
      <c r="U293" s="581"/>
      <c r="V293" s="582"/>
      <c r="W293" s="581"/>
      <c r="X293" s="582"/>
      <c r="Y293" s="581"/>
      <c r="Z293" s="582"/>
      <c r="AA293" s="581"/>
      <c r="AB293" s="582"/>
      <c r="AC293" s="581"/>
      <c r="AD293" s="582"/>
      <c r="AE293" s="581"/>
      <c r="AF293" s="583"/>
      <c r="AG293" s="581"/>
      <c r="AH293" s="583"/>
      <c r="AI293" s="581"/>
      <c r="AJ293" s="583"/>
      <c r="AK293" s="581"/>
      <c r="AL293" s="583"/>
      <c r="AM293" s="584"/>
      <c r="AN293" s="583"/>
      <c r="AO293" s="581"/>
      <c r="AP293" s="583"/>
      <c r="AQ293" s="584"/>
      <c r="AR293" s="583"/>
      <c r="AS293" s="583"/>
      <c r="AT293" s="583"/>
      <c r="AU293" s="584"/>
      <c r="AV293" s="583"/>
      <c r="AW293" s="583"/>
      <c r="AX293" s="158"/>
      <c r="AY293" s="154"/>
      <c r="AZ293">
        <f ca="1">INDIRECT(ADDRESS(ROW()+1,COLUMN(Arbeitszeit!xDay),,,"Arbeitszeit"))</f>
        <v>4</v>
      </c>
    </row>
    <row r="294" spans="1:52">
      <c r="A294" s="523">
        <f>Arbeitszeit!A295</f>
        <v>42658</v>
      </c>
      <c r="B294" s="524">
        <f t="shared" si="16"/>
        <v>42658</v>
      </c>
      <c r="C294" s="191">
        <f t="shared" si="17"/>
        <v>42</v>
      </c>
      <c r="D294" s="190">
        <f t="shared" si="18"/>
        <v>42643</v>
      </c>
      <c r="E294" s="593">
        <f>Arbeitszeit!V295*24</f>
        <v>0</v>
      </c>
      <c r="F294" s="352">
        <f t="shared" si="19"/>
        <v>0</v>
      </c>
      <c r="G294" s="155">
        <f>IF(Arbeitszeit!F295=Urlaub,B_WorkTime*24,)</f>
        <v>0</v>
      </c>
      <c r="H294" s="153"/>
      <c r="I294" s="155">
        <f>IF(Arbeitszeit!F295=Krank,B_WorkTime*24,)</f>
        <v>0</v>
      </c>
      <c r="J294" s="153"/>
      <c r="K294" s="156"/>
      <c r="L294" s="157"/>
      <c r="M294" s="581"/>
      <c r="N294" s="582"/>
      <c r="O294" s="581"/>
      <c r="P294" s="582"/>
      <c r="Q294" s="581"/>
      <c r="R294" s="582"/>
      <c r="S294" s="581"/>
      <c r="T294" s="582"/>
      <c r="U294" s="581"/>
      <c r="V294" s="582"/>
      <c r="W294" s="581"/>
      <c r="X294" s="582"/>
      <c r="Y294" s="581"/>
      <c r="Z294" s="582"/>
      <c r="AA294" s="581"/>
      <c r="AB294" s="582"/>
      <c r="AC294" s="581"/>
      <c r="AD294" s="582"/>
      <c r="AE294" s="581"/>
      <c r="AF294" s="583"/>
      <c r="AG294" s="581"/>
      <c r="AH294" s="583"/>
      <c r="AI294" s="581"/>
      <c r="AJ294" s="583"/>
      <c r="AK294" s="581"/>
      <c r="AL294" s="583"/>
      <c r="AM294" s="584"/>
      <c r="AN294" s="583"/>
      <c r="AO294" s="581"/>
      <c r="AP294" s="583"/>
      <c r="AQ294" s="584"/>
      <c r="AR294" s="583"/>
      <c r="AS294" s="583"/>
      <c r="AT294" s="583"/>
      <c r="AU294" s="584"/>
      <c r="AV294" s="583"/>
      <c r="AW294" s="583"/>
      <c r="AX294" s="158"/>
      <c r="AY294" s="154"/>
      <c r="AZ294">
        <f ca="1">INDIRECT(ADDRESS(ROW()+1,COLUMN(Arbeitszeit!xDay),,,"Arbeitszeit"))</f>
        <v>5</v>
      </c>
    </row>
    <row r="295" spans="1:52">
      <c r="A295" s="523">
        <f>Arbeitszeit!A296</f>
        <v>42659</v>
      </c>
      <c r="B295" s="524">
        <f t="shared" si="16"/>
        <v>42659</v>
      </c>
      <c r="C295" s="191">
        <f t="shared" si="17"/>
        <v>42</v>
      </c>
      <c r="D295" s="190">
        <f t="shared" si="18"/>
        <v>42643</v>
      </c>
      <c r="E295" s="593">
        <f>Arbeitszeit!V296*24</f>
        <v>0</v>
      </c>
      <c r="F295" s="352">
        <f t="shared" si="19"/>
        <v>0</v>
      </c>
      <c r="G295" s="155">
        <f>IF(Arbeitszeit!F296=Urlaub,B_WorkTime*24,)</f>
        <v>0</v>
      </c>
      <c r="H295" s="153"/>
      <c r="I295" s="155">
        <f>IF(Arbeitszeit!F296=Krank,B_WorkTime*24,)</f>
        <v>0</v>
      </c>
      <c r="J295" s="153"/>
      <c r="K295" s="156"/>
      <c r="L295" s="157"/>
      <c r="M295" s="581"/>
      <c r="N295" s="582"/>
      <c r="O295" s="581"/>
      <c r="P295" s="582"/>
      <c r="Q295" s="581"/>
      <c r="R295" s="582"/>
      <c r="S295" s="581"/>
      <c r="T295" s="582"/>
      <c r="U295" s="581"/>
      <c r="V295" s="582"/>
      <c r="W295" s="581"/>
      <c r="X295" s="582"/>
      <c r="Y295" s="581"/>
      <c r="Z295" s="582"/>
      <c r="AA295" s="581"/>
      <c r="AB295" s="582"/>
      <c r="AC295" s="581"/>
      <c r="AD295" s="582"/>
      <c r="AE295" s="581"/>
      <c r="AF295" s="583"/>
      <c r="AG295" s="581"/>
      <c r="AH295" s="583"/>
      <c r="AI295" s="581"/>
      <c r="AJ295" s="583"/>
      <c r="AK295" s="581"/>
      <c r="AL295" s="583"/>
      <c r="AM295" s="584"/>
      <c r="AN295" s="583"/>
      <c r="AO295" s="581"/>
      <c r="AP295" s="583"/>
      <c r="AQ295" s="584"/>
      <c r="AR295" s="583"/>
      <c r="AS295" s="583"/>
      <c r="AT295" s="583"/>
      <c r="AU295" s="584"/>
      <c r="AV295" s="583"/>
      <c r="AW295" s="583"/>
      <c r="AX295" s="158"/>
      <c r="AY295" s="154"/>
      <c r="AZ295">
        <f ca="1">INDIRECT(ADDRESS(ROW()+1,COLUMN(Arbeitszeit!xDay),,,"Arbeitszeit"))</f>
        <v>6</v>
      </c>
    </row>
    <row r="296" spans="1:52">
      <c r="A296" s="523">
        <f>Arbeitszeit!A297</f>
        <v>42660</v>
      </c>
      <c r="B296" s="524">
        <f t="shared" si="16"/>
        <v>42660</v>
      </c>
      <c r="C296" s="191">
        <f t="shared" si="17"/>
        <v>42</v>
      </c>
      <c r="D296" s="190">
        <f t="shared" si="18"/>
        <v>42643</v>
      </c>
      <c r="E296" s="593">
        <f>Arbeitszeit!V297*24</f>
        <v>0</v>
      </c>
      <c r="F296" s="352">
        <f t="shared" si="19"/>
        <v>0</v>
      </c>
      <c r="G296" s="155">
        <f>IF(Arbeitszeit!F297=Urlaub,B_WorkTime*24,)</f>
        <v>0</v>
      </c>
      <c r="H296" s="153"/>
      <c r="I296" s="155">
        <f>IF(Arbeitszeit!F297=Krank,B_WorkTime*24,)</f>
        <v>0</v>
      </c>
      <c r="J296" s="153"/>
      <c r="K296" s="156"/>
      <c r="L296" s="157"/>
      <c r="M296" s="581"/>
      <c r="N296" s="582"/>
      <c r="O296" s="581"/>
      <c r="P296" s="582"/>
      <c r="Q296" s="581"/>
      <c r="R296" s="582"/>
      <c r="S296" s="581"/>
      <c r="T296" s="582"/>
      <c r="U296" s="581"/>
      <c r="V296" s="582"/>
      <c r="W296" s="581"/>
      <c r="X296" s="582"/>
      <c r="Y296" s="581"/>
      <c r="Z296" s="582"/>
      <c r="AA296" s="581"/>
      <c r="AB296" s="582"/>
      <c r="AC296" s="581"/>
      <c r="AD296" s="582"/>
      <c r="AE296" s="581"/>
      <c r="AF296" s="583"/>
      <c r="AG296" s="581"/>
      <c r="AH296" s="583"/>
      <c r="AI296" s="581"/>
      <c r="AJ296" s="583"/>
      <c r="AK296" s="581"/>
      <c r="AL296" s="583"/>
      <c r="AM296" s="584"/>
      <c r="AN296" s="583"/>
      <c r="AO296" s="581"/>
      <c r="AP296" s="583"/>
      <c r="AQ296" s="584"/>
      <c r="AR296" s="583"/>
      <c r="AS296" s="583"/>
      <c r="AT296" s="583"/>
      <c r="AU296" s="584"/>
      <c r="AV296" s="583"/>
      <c r="AW296" s="583"/>
      <c r="AX296" s="158"/>
      <c r="AY296" s="154"/>
      <c r="AZ296">
        <f ca="1">INDIRECT(ADDRESS(ROW()+1,COLUMN(Arbeitszeit!xDay),,,"Arbeitszeit"))</f>
        <v>7</v>
      </c>
    </row>
    <row r="297" spans="1:52">
      <c r="A297" s="523">
        <f>Arbeitszeit!A298</f>
        <v>42661</v>
      </c>
      <c r="B297" s="524">
        <f t="shared" si="16"/>
        <v>42661</v>
      </c>
      <c r="C297" s="191">
        <f t="shared" si="17"/>
        <v>43</v>
      </c>
      <c r="D297" s="190">
        <f t="shared" si="18"/>
        <v>42643</v>
      </c>
      <c r="E297" s="593">
        <f>Arbeitszeit!V298*24</f>
        <v>0</v>
      </c>
      <c r="F297" s="352">
        <f t="shared" si="19"/>
        <v>0</v>
      </c>
      <c r="G297" s="155">
        <f>IF(Arbeitszeit!F298=Urlaub,B_WorkTime*24,)</f>
        <v>0</v>
      </c>
      <c r="H297" s="153"/>
      <c r="I297" s="155">
        <f>IF(Arbeitszeit!F298=Krank,B_WorkTime*24,)</f>
        <v>0</v>
      </c>
      <c r="J297" s="153"/>
      <c r="K297" s="156"/>
      <c r="L297" s="157"/>
      <c r="M297" s="581"/>
      <c r="N297" s="582"/>
      <c r="O297" s="581"/>
      <c r="P297" s="582"/>
      <c r="Q297" s="581"/>
      <c r="R297" s="582"/>
      <c r="S297" s="581"/>
      <c r="T297" s="582"/>
      <c r="U297" s="581"/>
      <c r="V297" s="582"/>
      <c r="W297" s="581"/>
      <c r="X297" s="582"/>
      <c r="Y297" s="581"/>
      <c r="Z297" s="582"/>
      <c r="AA297" s="581"/>
      <c r="AB297" s="582"/>
      <c r="AC297" s="581"/>
      <c r="AD297" s="582"/>
      <c r="AE297" s="581"/>
      <c r="AF297" s="583"/>
      <c r="AG297" s="581"/>
      <c r="AH297" s="583"/>
      <c r="AI297" s="581"/>
      <c r="AJ297" s="583"/>
      <c r="AK297" s="581"/>
      <c r="AL297" s="583"/>
      <c r="AM297" s="584"/>
      <c r="AN297" s="583"/>
      <c r="AO297" s="581"/>
      <c r="AP297" s="583"/>
      <c r="AQ297" s="584"/>
      <c r="AR297" s="583"/>
      <c r="AS297" s="583"/>
      <c r="AT297" s="583"/>
      <c r="AU297" s="584"/>
      <c r="AV297" s="583"/>
      <c r="AW297" s="583"/>
      <c r="AX297" s="158"/>
      <c r="AY297" s="154"/>
      <c r="AZ297">
        <f ca="1">INDIRECT(ADDRESS(ROW()+1,COLUMN(Arbeitszeit!xDay),,,"Arbeitszeit"))</f>
        <v>1</v>
      </c>
    </row>
    <row r="298" spans="1:52">
      <c r="A298" s="523">
        <f>Arbeitszeit!A299</f>
        <v>42662</v>
      </c>
      <c r="B298" s="524">
        <f t="shared" si="16"/>
        <v>42662</v>
      </c>
      <c r="C298" s="191">
        <f t="shared" si="17"/>
        <v>43</v>
      </c>
      <c r="D298" s="190">
        <f t="shared" si="18"/>
        <v>42643</v>
      </c>
      <c r="E298" s="593">
        <f>Arbeitszeit!V299*24</f>
        <v>0</v>
      </c>
      <c r="F298" s="352">
        <f t="shared" si="19"/>
        <v>0</v>
      </c>
      <c r="G298" s="155">
        <f>IF(Arbeitszeit!F299=Urlaub,B_WorkTime*24,)</f>
        <v>0</v>
      </c>
      <c r="H298" s="153"/>
      <c r="I298" s="155">
        <f>IF(Arbeitszeit!F299=Krank,B_WorkTime*24,)</f>
        <v>0</v>
      </c>
      <c r="J298" s="153"/>
      <c r="K298" s="156"/>
      <c r="L298" s="157"/>
      <c r="M298" s="581"/>
      <c r="N298" s="582"/>
      <c r="O298" s="581"/>
      <c r="P298" s="582"/>
      <c r="Q298" s="581"/>
      <c r="R298" s="582"/>
      <c r="S298" s="581"/>
      <c r="T298" s="582"/>
      <c r="U298" s="581"/>
      <c r="V298" s="582"/>
      <c r="W298" s="581"/>
      <c r="X298" s="582"/>
      <c r="Y298" s="581"/>
      <c r="Z298" s="582"/>
      <c r="AA298" s="581"/>
      <c r="AB298" s="582"/>
      <c r="AC298" s="581"/>
      <c r="AD298" s="582"/>
      <c r="AE298" s="581"/>
      <c r="AF298" s="583"/>
      <c r="AG298" s="581"/>
      <c r="AH298" s="583"/>
      <c r="AI298" s="581"/>
      <c r="AJ298" s="583"/>
      <c r="AK298" s="581"/>
      <c r="AL298" s="583"/>
      <c r="AM298" s="584"/>
      <c r="AN298" s="583"/>
      <c r="AO298" s="581"/>
      <c r="AP298" s="583"/>
      <c r="AQ298" s="584"/>
      <c r="AR298" s="583"/>
      <c r="AS298" s="583"/>
      <c r="AT298" s="583"/>
      <c r="AU298" s="584"/>
      <c r="AV298" s="583"/>
      <c r="AW298" s="583"/>
      <c r="AX298" s="158"/>
      <c r="AY298" s="154"/>
      <c r="AZ298">
        <f ca="1">INDIRECT(ADDRESS(ROW()+1,COLUMN(Arbeitszeit!xDay),,,"Arbeitszeit"))</f>
        <v>2</v>
      </c>
    </row>
    <row r="299" spans="1:52">
      <c r="A299" s="523">
        <f>Arbeitszeit!A300</f>
        <v>42663</v>
      </c>
      <c r="B299" s="524">
        <f t="shared" si="16"/>
        <v>42663</v>
      </c>
      <c r="C299" s="191">
        <f t="shared" si="17"/>
        <v>43</v>
      </c>
      <c r="D299" s="190">
        <f t="shared" si="18"/>
        <v>42643</v>
      </c>
      <c r="E299" s="593">
        <f>Arbeitszeit!V300*24</f>
        <v>0</v>
      </c>
      <c r="F299" s="352">
        <f t="shared" si="19"/>
        <v>0</v>
      </c>
      <c r="G299" s="155">
        <f>IF(Arbeitszeit!F300=Urlaub,B_WorkTime*24,)</f>
        <v>0</v>
      </c>
      <c r="H299" s="153"/>
      <c r="I299" s="155">
        <f>IF(Arbeitszeit!F300=Krank,B_WorkTime*24,)</f>
        <v>0</v>
      </c>
      <c r="J299" s="153"/>
      <c r="K299" s="156"/>
      <c r="L299" s="157"/>
      <c r="M299" s="581"/>
      <c r="N299" s="582"/>
      <c r="O299" s="581"/>
      <c r="P299" s="582"/>
      <c r="Q299" s="581"/>
      <c r="R299" s="582"/>
      <c r="S299" s="581"/>
      <c r="T299" s="582"/>
      <c r="U299" s="581"/>
      <c r="V299" s="582"/>
      <c r="W299" s="581"/>
      <c r="X299" s="582"/>
      <c r="Y299" s="581"/>
      <c r="Z299" s="582"/>
      <c r="AA299" s="581"/>
      <c r="AB299" s="582"/>
      <c r="AC299" s="581"/>
      <c r="AD299" s="582"/>
      <c r="AE299" s="581"/>
      <c r="AF299" s="583"/>
      <c r="AG299" s="581"/>
      <c r="AH299" s="583"/>
      <c r="AI299" s="581"/>
      <c r="AJ299" s="583"/>
      <c r="AK299" s="581"/>
      <c r="AL299" s="583"/>
      <c r="AM299" s="584"/>
      <c r="AN299" s="583"/>
      <c r="AO299" s="581"/>
      <c r="AP299" s="583"/>
      <c r="AQ299" s="584"/>
      <c r="AR299" s="583"/>
      <c r="AS299" s="583"/>
      <c r="AT299" s="583"/>
      <c r="AU299" s="584"/>
      <c r="AV299" s="583"/>
      <c r="AW299" s="583"/>
      <c r="AX299" s="158"/>
      <c r="AY299" s="154"/>
      <c r="AZ299">
        <f ca="1">INDIRECT(ADDRESS(ROW()+1,COLUMN(Arbeitszeit!xDay),,,"Arbeitszeit"))</f>
        <v>3</v>
      </c>
    </row>
    <row r="300" spans="1:52">
      <c r="A300" s="523">
        <f>Arbeitszeit!A301</f>
        <v>42664</v>
      </c>
      <c r="B300" s="524">
        <f t="shared" si="16"/>
        <v>42664</v>
      </c>
      <c r="C300" s="191">
        <f t="shared" si="17"/>
        <v>43</v>
      </c>
      <c r="D300" s="190">
        <f t="shared" si="18"/>
        <v>42643</v>
      </c>
      <c r="E300" s="593">
        <f>Arbeitszeit!V301*24</f>
        <v>0</v>
      </c>
      <c r="F300" s="352">
        <f t="shared" si="19"/>
        <v>0</v>
      </c>
      <c r="G300" s="155">
        <f>IF(Arbeitszeit!F301=Urlaub,B_WorkTime*24,)</f>
        <v>0</v>
      </c>
      <c r="H300" s="153"/>
      <c r="I300" s="155">
        <f>IF(Arbeitszeit!F301=Krank,B_WorkTime*24,)</f>
        <v>0</v>
      </c>
      <c r="J300" s="153"/>
      <c r="K300" s="156"/>
      <c r="L300" s="157"/>
      <c r="M300" s="581"/>
      <c r="N300" s="582"/>
      <c r="O300" s="581"/>
      <c r="P300" s="582"/>
      <c r="Q300" s="581"/>
      <c r="R300" s="582"/>
      <c r="S300" s="581"/>
      <c r="T300" s="582"/>
      <c r="U300" s="581"/>
      <c r="V300" s="582"/>
      <c r="W300" s="581"/>
      <c r="X300" s="582"/>
      <c r="Y300" s="581"/>
      <c r="Z300" s="582"/>
      <c r="AA300" s="581"/>
      <c r="AB300" s="582"/>
      <c r="AC300" s="581"/>
      <c r="AD300" s="582"/>
      <c r="AE300" s="581"/>
      <c r="AF300" s="583"/>
      <c r="AG300" s="581"/>
      <c r="AH300" s="583"/>
      <c r="AI300" s="581"/>
      <c r="AJ300" s="583"/>
      <c r="AK300" s="581"/>
      <c r="AL300" s="583"/>
      <c r="AM300" s="584"/>
      <c r="AN300" s="583"/>
      <c r="AO300" s="581"/>
      <c r="AP300" s="583"/>
      <c r="AQ300" s="584"/>
      <c r="AR300" s="583"/>
      <c r="AS300" s="583"/>
      <c r="AT300" s="583"/>
      <c r="AU300" s="584"/>
      <c r="AV300" s="583"/>
      <c r="AW300" s="583"/>
      <c r="AX300" s="158"/>
      <c r="AY300" s="154"/>
      <c r="AZ300">
        <f ca="1">INDIRECT(ADDRESS(ROW()+1,COLUMN(Arbeitszeit!xDay),,,"Arbeitszeit"))</f>
        <v>4</v>
      </c>
    </row>
    <row r="301" spans="1:52">
      <c r="A301" s="523">
        <f>Arbeitszeit!A302</f>
        <v>42665</v>
      </c>
      <c r="B301" s="524">
        <f t="shared" si="16"/>
        <v>42665</v>
      </c>
      <c r="C301" s="191">
        <f t="shared" si="17"/>
        <v>43</v>
      </c>
      <c r="D301" s="190">
        <f t="shared" si="18"/>
        <v>42643</v>
      </c>
      <c r="E301" s="593">
        <f>Arbeitszeit!V302*24</f>
        <v>0</v>
      </c>
      <c r="F301" s="352">
        <f t="shared" si="19"/>
        <v>0</v>
      </c>
      <c r="G301" s="155">
        <f>IF(Arbeitszeit!F302=Urlaub,B_WorkTime*24,)</f>
        <v>0</v>
      </c>
      <c r="H301" s="153"/>
      <c r="I301" s="155">
        <f>IF(Arbeitszeit!F302=Krank,B_WorkTime*24,)</f>
        <v>0</v>
      </c>
      <c r="J301" s="153"/>
      <c r="K301" s="156"/>
      <c r="L301" s="157"/>
      <c r="M301" s="581"/>
      <c r="N301" s="582"/>
      <c r="O301" s="581"/>
      <c r="P301" s="582"/>
      <c r="Q301" s="581"/>
      <c r="R301" s="582"/>
      <c r="S301" s="581"/>
      <c r="T301" s="582"/>
      <c r="U301" s="581"/>
      <c r="V301" s="582"/>
      <c r="W301" s="581"/>
      <c r="X301" s="582"/>
      <c r="Y301" s="581"/>
      <c r="Z301" s="582"/>
      <c r="AA301" s="581"/>
      <c r="AB301" s="582"/>
      <c r="AC301" s="581"/>
      <c r="AD301" s="582"/>
      <c r="AE301" s="581"/>
      <c r="AF301" s="583"/>
      <c r="AG301" s="581"/>
      <c r="AH301" s="583"/>
      <c r="AI301" s="581"/>
      <c r="AJ301" s="583"/>
      <c r="AK301" s="581"/>
      <c r="AL301" s="583"/>
      <c r="AM301" s="584"/>
      <c r="AN301" s="583"/>
      <c r="AO301" s="581"/>
      <c r="AP301" s="583"/>
      <c r="AQ301" s="584"/>
      <c r="AR301" s="583"/>
      <c r="AS301" s="583"/>
      <c r="AT301" s="583"/>
      <c r="AU301" s="584"/>
      <c r="AV301" s="583"/>
      <c r="AW301" s="583"/>
      <c r="AX301" s="158"/>
      <c r="AY301" s="154"/>
      <c r="AZ301">
        <f ca="1">INDIRECT(ADDRESS(ROW()+1,COLUMN(Arbeitszeit!xDay),,,"Arbeitszeit"))</f>
        <v>5</v>
      </c>
    </row>
    <row r="302" spans="1:52">
      <c r="A302" s="523">
        <f>Arbeitszeit!A303</f>
        <v>42666</v>
      </c>
      <c r="B302" s="524">
        <f t="shared" si="16"/>
        <v>42666</v>
      </c>
      <c r="C302" s="191">
        <f t="shared" si="17"/>
        <v>43</v>
      </c>
      <c r="D302" s="190">
        <f t="shared" si="18"/>
        <v>42643</v>
      </c>
      <c r="E302" s="593">
        <f>Arbeitszeit!V303*24</f>
        <v>0</v>
      </c>
      <c r="F302" s="352">
        <f t="shared" si="19"/>
        <v>0</v>
      </c>
      <c r="G302" s="155">
        <f>IF(Arbeitszeit!F303=Urlaub,B_WorkTime*24,)</f>
        <v>0</v>
      </c>
      <c r="H302" s="153"/>
      <c r="I302" s="155">
        <f>IF(Arbeitszeit!F303=Krank,B_WorkTime*24,)</f>
        <v>0</v>
      </c>
      <c r="J302" s="153"/>
      <c r="K302" s="156"/>
      <c r="L302" s="157"/>
      <c r="M302" s="581"/>
      <c r="N302" s="582"/>
      <c r="O302" s="581"/>
      <c r="P302" s="582"/>
      <c r="Q302" s="581"/>
      <c r="R302" s="582"/>
      <c r="S302" s="581"/>
      <c r="T302" s="582"/>
      <c r="U302" s="581"/>
      <c r="V302" s="582"/>
      <c r="W302" s="581"/>
      <c r="X302" s="582"/>
      <c r="Y302" s="581"/>
      <c r="Z302" s="582"/>
      <c r="AA302" s="581"/>
      <c r="AB302" s="582"/>
      <c r="AC302" s="581"/>
      <c r="AD302" s="582"/>
      <c r="AE302" s="581"/>
      <c r="AF302" s="583"/>
      <c r="AG302" s="581"/>
      <c r="AH302" s="583"/>
      <c r="AI302" s="581"/>
      <c r="AJ302" s="583"/>
      <c r="AK302" s="581"/>
      <c r="AL302" s="583"/>
      <c r="AM302" s="584"/>
      <c r="AN302" s="583"/>
      <c r="AO302" s="581"/>
      <c r="AP302" s="583"/>
      <c r="AQ302" s="584"/>
      <c r="AR302" s="583"/>
      <c r="AS302" s="583"/>
      <c r="AT302" s="583"/>
      <c r="AU302" s="584"/>
      <c r="AV302" s="583"/>
      <c r="AW302" s="583"/>
      <c r="AX302" s="158"/>
      <c r="AY302" s="154"/>
      <c r="AZ302">
        <f ca="1">INDIRECT(ADDRESS(ROW()+1,COLUMN(Arbeitszeit!xDay),,,"Arbeitszeit"))</f>
        <v>6</v>
      </c>
    </row>
    <row r="303" spans="1:52">
      <c r="A303" s="523">
        <f>Arbeitszeit!A304</f>
        <v>42667</v>
      </c>
      <c r="B303" s="524">
        <f t="shared" si="16"/>
        <v>42667</v>
      </c>
      <c r="C303" s="191">
        <f t="shared" si="17"/>
        <v>43</v>
      </c>
      <c r="D303" s="190">
        <f t="shared" si="18"/>
        <v>42643</v>
      </c>
      <c r="E303" s="593">
        <f>Arbeitszeit!V304*24</f>
        <v>0</v>
      </c>
      <c r="F303" s="352">
        <f t="shared" si="19"/>
        <v>0</v>
      </c>
      <c r="G303" s="155">
        <f>IF(Arbeitszeit!F304=Urlaub,B_WorkTime*24,)</f>
        <v>0</v>
      </c>
      <c r="H303" s="153"/>
      <c r="I303" s="155">
        <f>IF(Arbeitszeit!F304=Krank,B_WorkTime*24,)</f>
        <v>0</v>
      </c>
      <c r="J303" s="153"/>
      <c r="K303" s="156"/>
      <c r="L303" s="157"/>
      <c r="M303" s="581"/>
      <c r="N303" s="582"/>
      <c r="O303" s="581"/>
      <c r="P303" s="582"/>
      <c r="Q303" s="581"/>
      <c r="R303" s="582"/>
      <c r="S303" s="581"/>
      <c r="T303" s="582"/>
      <c r="U303" s="581"/>
      <c r="V303" s="582"/>
      <c r="W303" s="581"/>
      <c r="X303" s="582"/>
      <c r="Y303" s="581"/>
      <c r="Z303" s="582"/>
      <c r="AA303" s="581"/>
      <c r="AB303" s="582"/>
      <c r="AC303" s="581"/>
      <c r="AD303" s="582"/>
      <c r="AE303" s="581"/>
      <c r="AF303" s="583"/>
      <c r="AG303" s="581"/>
      <c r="AH303" s="583"/>
      <c r="AI303" s="581"/>
      <c r="AJ303" s="583"/>
      <c r="AK303" s="581"/>
      <c r="AL303" s="583"/>
      <c r="AM303" s="584"/>
      <c r="AN303" s="583"/>
      <c r="AO303" s="581"/>
      <c r="AP303" s="583"/>
      <c r="AQ303" s="584"/>
      <c r="AR303" s="583"/>
      <c r="AS303" s="583"/>
      <c r="AT303" s="583"/>
      <c r="AU303" s="584"/>
      <c r="AV303" s="583"/>
      <c r="AW303" s="583"/>
      <c r="AX303" s="158"/>
      <c r="AY303" s="154"/>
      <c r="AZ303">
        <f ca="1">INDIRECT(ADDRESS(ROW()+1,COLUMN(Arbeitszeit!xDay),,,"Arbeitszeit"))</f>
        <v>7</v>
      </c>
    </row>
    <row r="304" spans="1:52">
      <c r="A304" s="523">
        <f>Arbeitszeit!A305</f>
        <v>42668</v>
      </c>
      <c r="B304" s="524">
        <f t="shared" si="16"/>
        <v>42668</v>
      </c>
      <c r="C304" s="191">
        <f t="shared" si="17"/>
        <v>44</v>
      </c>
      <c r="D304" s="190">
        <f t="shared" si="18"/>
        <v>42643</v>
      </c>
      <c r="E304" s="593">
        <f>Arbeitszeit!V305*24</f>
        <v>0</v>
      </c>
      <c r="F304" s="352">
        <f t="shared" si="19"/>
        <v>0</v>
      </c>
      <c r="G304" s="155">
        <f>IF(Arbeitszeit!F305=Urlaub,B_WorkTime*24,)</f>
        <v>0</v>
      </c>
      <c r="H304" s="153"/>
      <c r="I304" s="155">
        <f>IF(Arbeitszeit!F305=Krank,B_WorkTime*24,)</f>
        <v>0</v>
      </c>
      <c r="J304" s="153"/>
      <c r="K304" s="156"/>
      <c r="L304" s="157"/>
      <c r="M304" s="581"/>
      <c r="N304" s="582"/>
      <c r="O304" s="581"/>
      <c r="P304" s="582"/>
      <c r="Q304" s="581"/>
      <c r="R304" s="582"/>
      <c r="S304" s="581"/>
      <c r="T304" s="582"/>
      <c r="U304" s="581"/>
      <c r="V304" s="582"/>
      <c r="W304" s="581"/>
      <c r="X304" s="582"/>
      <c r="Y304" s="581"/>
      <c r="Z304" s="582"/>
      <c r="AA304" s="581"/>
      <c r="AB304" s="582"/>
      <c r="AC304" s="581"/>
      <c r="AD304" s="582"/>
      <c r="AE304" s="581"/>
      <c r="AF304" s="583"/>
      <c r="AG304" s="581"/>
      <c r="AH304" s="583"/>
      <c r="AI304" s="581"/>
      <c r="AJ304" s="583"/>
      <c r="AK304" s="581"/>
      <c r="AL304" s="583"/>
      <c r="AM304" s="584"/>
      <c r="AN304" s="583"/>
      <c r="AO304" s="581"/>
      <c r="AP304" s="583"/>
      <c r="AQ304" s="584"/>
      <c r="AR304" s="583"/>
      <c r="AS304" s="583"/>
      <c r="AT304" s="583"/>
      <c r="AU304" s="584"/>
      <c r="AV304" s="583"/>
      <c r="AW304" s="583"/>
      <c r="AX304" s="158"/>
      <c r="AY304" s="154"/>
      <c r="AZ304">
        <f ca="1">INDIRECT(ADDRESS(ROW()+1,COLUMN(Arbeitszeit!xDay),,,"Arbeitszeit"))</f>
        <v>1</v>
      </c>
    </row>
    <row r="305" spans="1:52">
      <c r="A305" s="523">
        <f>Arbeitszeit!A306</f>
        <v>42669</v>
      </c>
      <c r="B305" s="524">
        <f t="shared" si="16"/>
        <v>42669</v>
      </c>
      <c r="C305" s="191">
        <f t="shared" si="17"/>
        <v>44</v>
      </c>
      <c r="D305" s="190">
        <f t="shared" si="18"/>
        <v>42643</v>
      </c>
      <c r="E305" s="593">
        <f>Arbeitszeit!V306*24</f>
        <v>0</v>
      </c>
      <c r="F305" s="352">
        <f t="shared" si="19"/>
        <v>0</v>
      </c>
      <c r="G305" s="155">
        <f>IF(Arbeitszeit!F306=Urlaub,B_WorkTime*24,)</f>
        <v>0</v>
      </c>
      <c r="H305" s="153"/>
      <c r="I305" s="155">
        <f>IF(Arbeitszeit!F306=Krank,B_WorkTime*24,)</f>
        <v>0</v>
      </c>
      <c r="J305" s="153"/>
      <c r="K305" s="156"/>
      <c r="L305" s="157"/>
      <c r="M305" s="581"/>
      <c r="N305" s="51"/>
      <c r="O305" s="581"/>
      <c r="P305" s="582"/>
      <c r="Q305" s="581"/>
      <c r="R305" s="582"/>
      <c r="S305" s="581"/>
      <c r="T305" s="582"/>
      <c r="U305" s="581"/>
      <c r="V305" s="582"/>
      <c r="W305" s="581"/>
      <c r="X305" s="582"/>
      <c r="Y305" s="581"/>
      <c r="Z305" s="582"/>
      <c r="AA305" s="581"/>
      <c r="AB305" s="582"/>
      <c r="AC305" s="581"/>
      <c r="AD305" s="582"/>
      <c r="AE305" s="581"/>
      <c r="AF305" s="583"/>
      <c r="AG305" s="581"/>
      <c r="AH305" s="583"/>
      <c r="AI305" s="581"/>
      <c r="AJ305" s="583"/>
      <c r="AK305" s="581"/>
      <c r="AL305" s="583"/>
      <c r="AM305" s="584"/>
      <c r="AN305" s="583"/>
      <c r="AO305" s="581"/>
      <c r="AP305" s="583"/>
      <c r="AQ305" s="584"/>
      <c r="AR305" s="583"/>
      <c r="AS305" s="583"/>
      <c r="AT305" s="583"/>
      <c r="AU305" s="584"/>
      <c r="AV305" s="583"/>
      <c r="AW305" s="583"/>
      <c r="AX305" s="158"/>
      <c r="AY305" s="154"/>
      <c r="AZ305">
        <f ca="1">INDIRECT(ADDRESS(ROW()+1,COLUMN(Arbeitszeit!xDay),,,"Arbeitszeit"))</f>
        <v>2</v>
      </c>
    </row>
    <row r="306" spans="1:52">
      <c r="A306" s="523">
        <f>Arbeitszeit!A307</f>
        <v>42670</v>
      </c>
      <c r="B306" s="524">
        <f t="shared" si="16"/>
        <v>42670</v>
      </c>
      <c r="C306" s="191">
        <f t="shared" si="17"/>
        <v>44</v>
      </c>
      <c r="D306" s="190">
        <f t="shared" si="18"/>
        <v>42643</v>
      </c>
      <c r="E306" s="593">
        <f>Arbeitszeit!V307*24</f>
        <v>0</v>
      </c>
      <c r="F306" s="352">
        <f t="shared" si="19"/>
        <v>0</v>
      </c>
      <c r="G306" s="155">
        <f>IF(Arbeitszeit!F307=Urlaub,B_WorkTime*24,)</f>
        <v>0</v>
      </c>
      <c r="H306" s="153"/>
      <c r="I306" s="155">
        <f>IF(Arbeitszeit!F307=Krank,B_WorkTime*24,)</f>
        <v>0</v>
      </c>
      <c r="J306" s="153"/>
      <c r="K306" s="156"/>
      <c r="L306" s="157"/>
      <c r="M306" s="581"/>
      <c r="N306" s="582"/>
      <c r="O306" s="581"/>
      <c r="P306" s="582"/>
      <c r="Q306" s="581"/>
      <c r="R306" s="582"/>
      <c r="S306" s="581"/>
      <c r="T306" s="582"/>
      <c r="U306" s="581"/>
      <c r="V306" s="582"/>
      <c r="W306" s="581"/>
      <c r="X306" s="582"/>
      <c r="Y306" s="581"/>
      <c r="Z306" s="582"/>
      <c r="AA306" s="581"/>
      <c r="AB306" s="582"/>
      <c r="AC306" s="581"/>
      <c r="AD306" s="582"/>
      <c r="AE306" s="581"/>
      <c r="AF306" s="583"/>
      <c r="AG306" s="581"/>
      <c r="AH306" s="583"/>
      <c r="AI306" s="581"/>
      <c r="AJ306" s="583"/>
      <c r="AK306" s="581"/>
      <c r="AL306" s="583"/>
      <c r="AM306" s="584"/>
      <c r="AN306" s="583"/>
      <c r="AO306" s="581"/>
      <c r="AP306" s="583"/>
      <c r="AQ306" s="584"/>
      <c r="AR306" s="583"/>
      <c r="AS306" s="583"/>
      <c r="AT306" s="583"/>
      <c r="AU306" s="584"/>
      <c r="AV306" s="583"/>
      <c r="AW306" s="583"/>
      <c r="AX306" s="158"/>
      <c r="AY306" s="154"/>
      <c r="AZ306">
        <f ca="1">INDIRECT(ADDRESS(ROW()+1,COLUMN(Arbeitszeit!xDay),,,"Arbeitszeit"))</f>
        <v>3</v>
      </c>
    </row>
    <row r="307" spans="1:52">
      <c r="A307" s="523">
        <f>Arbeitszeit!A308</f>
        <v>42671</v>
      </c>
      <c r="B307" s="524">
        <f t="shared" si="16"/>
        <v>42671</v>
      </c>
      <c r="C307" s="191">
        <f t="shared" si="17"/>
        <v>44</v>
      </c>
      <c r="D307" s="190">
        <f t="shared" si="18"/>
        <v>42643</v>
      </c>
      <c r="E307" s="593">
        <f>Arbeitszeit!V308*24</f>
        <v>0</v>
      </c>
      <c r="F307" s="352">
        <f t="shared" si="19"/>
        <v>0</v>
      </c>
      <c r="G307" s="155">
        <f>IF(Arbeitszeit!F308=Urlaub,B_WorkTime*24,)</f>
        <v>0</v>
      </c>
      <c r="H307" s="153"/>
      <c r="I307" s="155">
        <f>IF(Arbeitszeit!F308=Krank,B_WorkTime*24,)</f>
        <v>0</v>
      </c>
      <c r="J307" s="153"/>
      <c r="K307" s="156"/>
      <c r="L307" s="157"/>
      <c r="M307" s="581"/>
      <c r="N307" s="582"/>
      <c r="O307" s="581"/>
      <c r="P307" s="582"/>
      <c r="Q307" s="581"/>
      <c r="R307" s="582"/>
      <c r="S307" s="581"/>
      <c r="T307" s="582"/>
      <c r="U307" s="581"/>
      <c r="V307" s="582"/>
      <c r="W307" s="581"/>
      <c r="X307" s="582"/>
      <c r="Y307" s="581"/>
      <c r="Z307" s="582"/>
      <c r="AA307" s="581"/>
      <c r="AB307" s="582"/>
      <c r="AC307" s="581"/>
      <c r="AD307" s="582"/>
      <c r="AE307" s="581"/>
      <c r="AF307" s="583"/>
      <c r="AG307" s="581"/>
      <c r="AH307" s="583"/>
      <c r="AI307" s="581"/>
      <c r="AJ307" s="583"/>
      <c r="AK307" s="581"/>
      <c r="AL307" s="583"/>
      <c r="AM307" s="584"/>
      <c r="AN307" s="583"/>
      <c r="AO307" s="581"/>
      <c r="AP307" s="583"/>
      <c r="AQ307" s="584"/>
      <c r="AR307" s="583"/>
      <c r="AS307" s="583"/>
      <c r="AT307" s="583"/>
      <c r="AU307" s="584"/>
      <c r="AV307" s="583"/>
      <c r="AW307" s="583"/>
      <c r="AX307" s="158"/>
      <c r="AY307" s="154"/>
      <c r="AZ307">
        <f ca="1">INDIRECT(ADDRESS(ROW()+1,COLUMN(Arbeitszeit!xDay),,,"Arbeitszeit"))</f>
        <v>4</v>
      </c>
    </row>
    <row r="308" spans="1:52">
      <c r="A308" s="523">
        <f>Arbeitszeit!A309</f>
        <v>42672</v>
      </c>
      <c r="B308" s="524">
        <f t="shared" si="16"/>
        <v>42672</v>
      </c>
      <c r="C308" s="191">
        <f t="shared" si="17"/>
        <v>44</v>
      </c>
      <c r="D308" s="190">
        <f t="shared" si="18"/>
        <v>42643</v>
      </c>
      <c r="E308" s="593">
        <f>Arbeitszeit!V309*24</f>
        <v>0</v>
      </c>
      <c r="F308" s="352">
        <f t="shared" si="19"/>
        <v>0</v>
      </c>
      <c r="G308" s="155">
        <f>IF(Arbeitszeit!F309=Urlaub,B_WorkTime*24,)</f>
        <v>0</v>
      </c>
      <c r="H308" s="153"/>
      <c r="I308" s="155">
        <f>IF(Arbeitszeit!F309=Krank,B_WorkTime*24,)</f>
        <v>0</v>
      </c>
      <c r="J308" s="153"/>
      <c r="K308" s="156"/>
      <c r="L308" s="157"/>
      <c r="M308" s="581"/>
      <c r="N308" s="582"/>
      <c r="O308" s="581"/>
      <c r="P308" s="582"/>
      <c r="Q308" s="581"/>
      <c r="R308" s="582"/>
      <c r="S308" s="581"/>
      <c r="T308" s="582"/>
      <c r="U308" s="581"/>
      <c r="V308" s="582"/>
      <c r="W308" s="581"/>
      <c r="X308" s="582"/>
      <c r="Y308" s="581"/>
      <c r="Z308" s="582"/>
      <c r="AA308" s="581"/>
      <c r="AB308" s="582"/>
      <c r="AC308" s="581"/>
      <c r="AD308" s="582"/>
      <c r="AE308" s="581"/>
      <c r="AF308" s="583"/>
      <c r="AG308" s="581"/>
      <c r="AH308" s="583"/>
      <c r="AI308" s="581"/>
      <c r="AJ308" s="583"/>
      <c r="AK308" s="581"/>
      <c r="AL308" s="583"/>
      <c r="AM308" s="584"/>
      <c r="AN308" s="583"/>
      <c r="AO308" s="581"/>
      <c r="AP308" s="583"/>
      <c r="AQ308" s="584"/>
      <c r="AR308" s="583"/>
      <c r="AS308" s="583"/>
      <c r="AT308" s="583"/>
      <c r="AU308" s="584"/>
      <c r="AV308" s="583"/>
      <c r="AW308" s="583"/>
      <c r="AX308" s="158"/>
      <c r="AY308" s="154"/>
      <c r="AZ308">
        <f ca="1">INDIRECT(ADDRESS(ROW()+1,COLUMN(Arbeitszeit!xDay),,,"Arbeitszeit"))</f>
        <v>5</v>
      </c>
    </row>
    <row r="309" spans="1:52">
      <c r="A309" s="523">
        <f>Arbeitszeit!A310</f>
        <v>42673</v>
      </c>
      <c r="B309" s="524">
        <f t="shared" si="16"/>
        <v>42673</v>
      </c>
      <c r="C309" s="191">
        <f t="shared" si="17"/>
        <v>44</v>
      </c>
      <c r="D309" s="190">
        <f t="shared" si="18"/>
        <v>42643</v>
      </c>
      <c r="E309" s="593">
        <f>Arbeitszeit!V310*24</f>
        <v>0</v>
      </c>
      <c r="F309" s="352">
        <f t="shared" si="19"/>
        <v>0</v>
      </c>
      <c r="G309" s="155">
        <f>IF(Arbeitszeit!F310=Urlaub,B_WorkTime*24,)</f>
        <v>0</v>
      </c>
      <c r="H309" s="153"/>
      <c r="I309" s="155">
        <f>IF(Arbeitszeit!F310=Krank,B_WorkTime*24,)</f>
        <v>0</v>
      </c>
      <c r="J309" s="153"/>
      <c r="K309" s="156"/>
      <c r="L309" s="157"/>
      <c r="M309" s="581"/>
      <c r="N309" s="582"/>
      <c r="O309" s="581"/>
      <c r="P309" s="582"/>
      <c r="Q309" s="581"/>
      <c r="R309" s="582"/>
      <c r="S309" s="581"/>
      <c r="T309" s="582"/>
      <c r="U309" s="581"/>
      <c r="V309" s="582"/>
      <c r="W309" s="581"/>
      <c r="X309" s="582"/>
      <c r="Y309" s="581"/>
      <c r="Z309" s="582"/>
      <c r="AA309" s="581"/>
      <c r="AB309" s="582"/>
      <c r="AC309" s="581"/>
      <c r="AD309" s="582"/>
      <c r="AE309" s="581"/>
      <c r="AF309" s="583"/>
      <c r="AG309" s="581"/>
      <c r="AH309" s="583"/>
      <c r="AI309" s="581"/>
      <c r="AJ309" s="583"/>
      <c r="AK309" s="581"/>
      <c r="AL309" s="583"/>
      <c r="AM309" s="584"/>
      <c r="AN309" s="583"/>
      <c r="AO309" s="581"/>
      <c r="AP309" s="583"/>
      <c r="AQ309" s="584"/>
      <c r="AR309" s="583"/>
      <c r="AS309" s="583"/>
      <c r="AT309" s="583"/>
      <c r="AU309" s="584"/>
      <c r="AV309" s="583"/>
      <c r="AW309" s="583"/>
      <c r="AX309" s="158"/>
      <c r="AY309" s="154"/>
      <c r="AZ309">
        <f ca="1">INDIRECT(ADDRESS(ROW()+1,COLUMN(Arbeitszeit!xDay),,,"Arbeitszeit"))</f>
        <v>6</v>
      </c>
    </row>
    <row r="310" spans="1:52">
      <c r="A310" s="523">
        <f>Arbeitszeit!A311</f>
        <v>42674</v>
      </c>
      <c r="B310" s="524">
        <f t="shared" si="16"/>
        <v>42674</v>
      </c>
      <c r="C310" s="191">
        <f t="shared" si="17"/>
        <v>44</v>
      </c>
      <c r="D310" s="190">
        <f t="shared" si="18"/>
        <v>42674</v>
      </c>
      <c r="E310" s="593">
        <f>Arbeitszeit!V311*24</f>
        <v>0</v>
      </c>
      <c r="F310" s="352">
        <f t="shared" si="19"/>
        <v>0</v>
      </c>
      <c r="G310" s="155">
        <f>IF(Arbeitszeit!F311=Urlaub,B_WorkTime*24,)</f>
        <v>0</v>
      </c>
      <c r="H310" s="153"/>
      <c r="I310" s="155">
        <f>IF(Arbeitszeit!F311=Krank,B_WorkTime*24,)</f>
        <v>0</v>
      </c>
      <c r="J310" s="153"/>
      <c r="K310" s="156"/>
      <c r="L310" s="157"/>
      <c r="M310" s="581"/>
      <c r="N310" s="582"/>
      <c r="O310" s="581"/>
      <c r="P310" s="582"/>
      <c r="Q310" s="581"/>
      <c r="R310" s="582"/>
      <c r="S310" s="581"/>
      <c r="T310" s="582"/>
      <c r="U310" s="581"/>
      <c r="V310" s="582"/>
      <c r="W310" s="581"/>
      <c r="X310" s="582"/>
      <c r="Y310" s="581"/>
      <c r="Z310" s="582"/>
      <c r="AA310" s="581"/>
      <c r="AB310" s="582"/>
      <c r="AC310" s="581"/>
      <c r="AD310" s="582"/>
      <c r="AE310" s="581"/>
      <c r="AF310" s="583"/>
      <c r="AG310" s="581"/>
      <c r="AH310" s="583"/>
      <c r="AI310" s="581"/>
      <c r="AJ310" s="583"/>
      <c r="AK310" s="581"/>
      <c r="AL310" s="583"/>
      <c r="AM310" s="584"/>
      <c r="AN310" s="583"/>
      <c r="AO310" s="581"/>
      <c r="AP310" s="583"/>
      <c r="AQ310" s="584"/>
      <c r="AR310" s="583"/>
      <c r="AS310" s="583"/>
      <c r="AT310" s="583"/>
      <c r="AU310" s="584"/>
      <c r="AV310" s="583"/>
      <c r="AW310" s="583"/>
      <c r="AX310" s="158"/>
      <c r="AY310" s="154"/>
      <c r="AZ310">
        <f ca="1">INDIRECT(ADDRESS(ROW()+1,COLUMN(Arbeitszeit!xDay),,,"Arbeitszeit"))</f>
        <v>8</v>
      </c>
    </row>
    <row r="311" spans="1:52">
      <c r="A311" s="523">
        <f>Arbeitszeit!A312</f>
        <v>42675</v>
      </c>
      <c r="B311" s="524">
        <f t="shared" si="16"/>
        <v>42675</v>
      </c>
      <c r="C311" s="191">
        <f t="shared" si="17"/>
        <v>45</v>
      </c>
      <c r="D311" s="190">
        <f t="shared" si="18"/>
        <v>42674</v>
      </c>
      <c r="E311" s="593">
        <f>Arbeitszeit!V312*24</f>
        <v>0</v>
      </c>
      <c r="F311" s="352">
        <f t="shared" si="19"/>
        <v>0</v>
      </c>
      <c r="G311" s="155">
        <f>IF(Arbeitszeit!F312=Urlaub,B_WorkTime*24,)</f>
        <v>0</v>
      </c>
      <c r="H311" s="153"/>
      <c r="I311" s="155">
        <f>IF(Arbeitszeit!F312=Krank,B_WorkTime*24,)</f>
        <v>0</v>
      </c>
      <c r="J311" s="153"/>
      <c r="K311" s="156"/>
      <c r="L311" s="157"/>
      <c r="M311" s="581"/>
      <c r="N311" s="582"/>
      <c r="O311" s="581"/>
      <c r="P311" s="582"/>
      <c r="Q311" s="581"/>
      <c r="R311" s="582"/>
      <c r="S311" s="581"/>
      <c r="T311" s="582"/>
      <c r="U311" s="581"/>
      <c r="V311" s="582"/>
      <c r="W311" s="581"/>
      <c r="X311" s="582"/>
      <c r="Y311" s="581"/>
      <c r="Z311" s="582"/>
      <c r="AA311" s="581"/>
      <c r="AB311" s="582"/>
      <c r="AC311" s="581"/>
      <c r="AD311" s="582"/>
      <c r="AE311" s="581"/>
      <c r="AF311" s="583"/>
      <c r="AG311" s="581"/>
      <c r="AH311" s="583"/>
      <c r="AI311" s="581"/>
      <c r="AJ311" s="583"/>
      <c r="AK311" s="581"/>
      <c r="AL311" s="583"/>
      <c r="AM311" s="584"/>
      <c r="AN311" s="583"/>
      <c r="AO311" s="581"/>
      <c r="AP311" s="583"/>
      <c r="AQ311" s="584"/>
      <c r="AR311" s="583"/>
      <c r="AS311" s="583"/>
      <c r="AT311" s="583"/>
      <c r="AU311" s="584"/>
      <c r="AV311" s="583"/>
      <c r="AW311" s="583"/>
      <c r="AX311" s="158"/>
      <c r="AY311" s="154"/>
      <c r="AZ311">
        <f ca="1">INDIRECT(ADDRESS(ROW()+1,COLUMN(Arbeitszeit!xDay),,,"Arbeitszeit"))</f>
        <v>1</v>
      </c>
    </row>
    <row r="312" spans="1:52">
      <c r="A312" s="523">
        <f>Arbeitszeit!A313</f>
        <v>42676</v>
      </c>
      <c r="B312" s="524">
        <f t="shared" si="16"/>
        <v>42676</v>
      </c>
      <c r="C312" s="191">
        <f t="shared" si="17"/>
        <v>45</v>
      </c>
      <c r="D312" s="190">
        <f t="shared" si="18"/>
        <v>42674</v>
      </c>
      <c r="E312" s="593">
        <f>Arbeitszeit!V313*24</f>
        <v>0</v>
      </c>
      <c r="F312" s="352">
        <f t="shared" si="19"/>
        <v>0</v>
      </c>
      <c r="G312" s="155">
        <f>IF(Arbeitszeit!F313=Urlaub,B_WorkTime*24,)</f>
        <v>0</v>
      </c>
      <c r="H312" s="153"/>
      <c r="I312" s="155">
        <f>IF(Arbeitszeit!F313=Krank,B_WorkTime*24,)</f>
        <v>0</v>
      </c>
      <c r="J312" s="153"/>
      <c r="K312" s="156"/>
      <c r="L312" s="157"/>
      <c r="M312" s="581"/>
      <c r="N312" s="582"/>
      <c r="O312" s="581"/>
      <c r="P312" s="582"/>
      <c r="Q312" s="581"/>
      <c r="R312" s="582"/>
      <c r="S312" s="581"/>
      <c r="T312" s="582"/>
      <c r="U312" s="581"/>
      <c r="V312" s="582"/>
      <c r="W312" s="581"/>
      <c r="X312" s="582"/>
      <c r="Y312" s="581"/>
      <c r="Z312" s="582"/>
      <c r="AA312" s="581"/>
      <c r="AB312" s="582"/>
      <c r="AC312" s="581"/>
      <c r="AD312" s="582"/>
      <c r="AE312" s="581"/>
      <c r="AF312" s="583"/>
      <c r="AG312" s="581"/>
      <c r="AH312" s="583"/>
      <c r="AI312" s="581"/>
      <c r="AJ312" s="583"/>
      <c r="AK312" s="581"/>
      <c r="AL312" s="583"/>
      <c r="AM312" s="584"/>
      <c r="AN312" s="583"/>
      <c r="AO312" s="581"/>
      <c r="AP312" s="583"/>
      <c r="AQ312" s="584"/>
      <c r="AR312" s="583"/>
      <c r="AS312" s="583"/>
      <c r="AT312" s="583"/>
      <c r="AU312" s="584"/>
      <c r="AV312" s="583"/>
      <c r="AW312" s="583"/>
      <c r="AX312" s="158"/>
      <c r="AY312" s="154"/>
      <c r="AZ312">
        <f ca="1">INDIRECT(ADDRESS(ROW()+1,COLUMN(Arbeitszeit!xDay),,,"Arbeitszeit"))</f>
        <v>2</v>
      </c>
    </row>
    <row r="313" spans="1:52">
      <c r="A313" s="523">
        <f>Arbeitszeit!A314</f>
        <v>42677</v>
      </c>
      <c r="B313" s="524">
        <f t="shared" si="16"/>
        <v>42677</v>
      </c>
      <c r="C313" s="191">
        <f t="shared" si="17"/>
        <v>45</v>
      </c>
      <c r="D313" s="190">
        <f t="shared" si="18"/>
        <v>42674</v>
      </c>
      <c r="E313" s="593">
        <f>Arbeitszeit!V314*24</f>
        <v>0</v>
      </c>
      <c r="F313" s="352">
        <f t="shared" si="19"/>
        <v>0</v>
      </c>
      <c r="G313" s="155">
        <f>IF(Arbeitszeit!F314=Urlaub,B_WorkTime*24,)</f>
        <v>0</v>
      </c>
      <c r="H313" s="153"/>
      <c r="I313" s="155">
        <f>IF(Arbeitszeit!F314=Krank,B_WorkTime*24,)</f>
        <v>0</v>
      </c>
      <c r="J313" s="153"/>
      <c r="K313" s="156"/>
      <c r="L313" s="157"/>
      <c r="M313" s="581"/>
      <c r="N313" s="582"/>
      <c r="O313" s="581"/>
      <c r="P313" s="582"/>
      <c r="Q313" s="581"/>
      <c r="R313" s="582"/>
      <c r="S313" s="581"/>
      <c r="T313" s="582"/>
      <c r="U313" s="581"/>
      <c r="V313" s="582"/>
      <c r="W313" s="581"/>
      <c r="X313" s="582"/>
      <c r="Y313" s="581"/>
      <c r="Z313" s="582"/>
      <c r="AA313" s="581"/>
      <c r="AB313" s="582"/>
      <c r="AC313" s="581"/>
      <c r="AD313" s="582"/>
      <c r="AE313" s="581"/>
      <c r="AF313" s="583"/>
      <c r="AG313" s="581"/>
      <c r="AH313" s="583"/>
      <c r="AI313" s="581"/>
      <c r="AJ313" s="583"/>
      <c r="AK313" s="581"/>
      <c r="AL313" s="583"/>
      <c r="AM313" s="584"/>
      <c r="AN313" s="583"/>
      <c r="AO313" s="581"/>
      <c r="AP313" s="583"/>
      <c r="AQ313" s="584"/>
      <c r="AR313" s="583"/>
      <c r="AS313" s="583"/>
      <c r="AT313" s="583"/>
      <c r="AU313" s="584"/>
      <c r="AV313" s="583"/>
      <c r="AW313" s="583"/>
      <c r="AX313" s="158"/>
      <c r="AY313" s="154"/>
      <c r="AZ313">
        <f ca="1">INDIRECT(ADDRESS(ROW()+1,COLUMN(Arbeitszeit!xDay),,,"Arbeitszeit"))</f>
        <v>3</v>
      </c>
    </row>
    <row r="314" spans="1:52">
      <c r="A314" s="523">
        <f>Arbeitszeit!A315</f>
        <v>42678</v>
      </c>
      <c r="B314" s="524">
        <f t="shared" si="16"/>
        <v>42678</v>
      </c>
      <c r="C314" s="191">
        <f t="shared" si="17"/>
        <v>45</v>
      </c>
      <c r="D314" s="190">
        <f t="shared" si="18"/>
        <v>42674</v>
      </c>
      <c r="E314" s="593">
        <f>Arbeitszeit!V315*24</f>
        <v>0</v>
      </c>
      <c r="F314" s="352">
        <f t="shared" si="19"/>
        <v>0</v>
      </c>
      <c r="G314" s="155">
        <f>IF(Arbeitszeit!F315=Urlaub,B_WorkTime*24,)</f>
        <v>0</v>
      </c>
      <c r="H314" s="153"/>
      <c r="I314" s="155">
        <f>IF(Arbeitszeit!F315=Krank,B_WorkTime*24,)</f>
        <v>0</v>
      </c>
      <c r="J314" s="153"/>
      <c r="K314" s="156"/>
      <c r="L314" s="157"/>
      <c r="M314" s="581"/>
      <c r="N314" s="582"/>
      <c r="O314" s="581"/>
      <c r="P314" s="582"/>
      <c r="Q314" s="581"/>
      <c r="R314" s="582"/>
      <c r="S314" s="581"/>
      <c r="T314" s="582"/>
      <c r="U314" s="581"/>
      <c r="V314" s="582"/>
      <c r="W314" s="581"/>
      <c r="X314" s="582"/>
      <c r="Y314" s="581"/>
      <c r="Z314" s="582"/>
      <c r="AA314" s="581"/>
      <c r="AB314" s="582"/>
      <c r="AC314" s="581"/>
      <c r="AD314" s="582"/>
      <c r="AE314" s="581"/>
      <c r="AF314" s="583"/>
      <c r="AG314" s="581"/>
      <c r="AH314" s="583"/>
      <c r="AI314" s="581"/>
      <c r="AJ314" s="583"/>
      <c r="AK314" s="581"/>
      <c r="AL314" s="583"/>
      <c r="AM314" s="584"/>
      <c r="AN314" s="583"/>
      <c r="AO314" s="581"/>
      <c r="AP314" s="583"/>
      <c r="AQ314" s="584"/>
      <c r="AR314" s="583"/>
      <c r="AS314" s="583"/>
      <c r="AT314" s="583"/>
      <c r="AU314" s="584"/>
      <c r="AV314" s="583"/>
      <c r="AW314" s="583"/>
      <c r="AX314" s="158"/>
      <c r="AY314" s="154"/>
      <c r="AZ314">
        <f ca="1">INDIRECT(ADDRESS(ROW()+1,COLUMN(Arbeitszeit!xDay),,,"Arbeitszeit"))</f>
        <v>4</v>
      </c>
    </row>
    <row r="315" spans="1:52">
      <c r="A315" s="523">
        <f>Arbeitszeit!A316</f>
        <v>42679</v>
      </c>
      <c r="B315" s="524">
        <f t="shared" si="16"/>
        <v>42679</v>
      </c>
      <c r="C315" s="191">
        <f t="shared" si="17"/>
        <v>45</v>
      </c>
      <c r="D315" s="190">
        <f t="shared" si="18"/>
        <v>42674</v>
      </c>
      <c r="E315" s="593">
        <f>Arbeitszeit!V316*24</f>
        <v>0</v>
      </c>
      <c r="F315" s="352">
        <f t="shared" si="19"/>
        <v>0</v>
      </c>
      <c r="G315" s="155">
        <f>IF(Arbeitszeit!F316=Urlaub,B_WorkTime*24,)</f>
        <v>0</v>
      </c>
      <c r="H315" s="153"/>
      <c r="I315" s="155">
        <f>IF(Arbeitszeit!F316=Krank,B_WorkTime*24,)</f>
        <v>0</v>
      </c>
      <c r="J315" s="153"/>
      <c r="K315" s="156"/>
      <c r="L315" s="157"/>
      <c r="M315" s="581"/>
      <c r="N315" s="582"/>
      <c r="O315" s="581"/>
      <c r="P315" s="582"/>
      <c r="Q315" s="581"/>
      <c r="R315" s="582"/>
      <c r="S315" s="581"/>
      <c r="T315" s="582"/>
      <c r="U315" s="581"/>
      <c r="V315" s="582"/>
      <c r="W315" s="581"/>
      <c r="X315" s="582"/>
      <c r="Y315" s="581"/>
      <c r="Z315" s="582"/>
      <c r="AA315" s="581"/>
      <c r="AB315" s="582"/>
      <c r="AC315" s="581"/>
      <c r="AD315" s="582"/>
      <c r="AE315" s="581"/>
      <c r="AF315" s="583"/>
      <c r="AG315" s="581"/>
      <c r="AH315" s="583"/>
      <c r="AI315" s="581"/>
      <c r="AJ315" s="583"/>
      <c r="AK315" s="581"/>
      <c r="AL315" s="583"/>
      <c r="AM315" s="584"/>
      <c r="AN315" s="583"/>
      <c r="AO315" s="581"/>
      <c r="AP315" s="583"/>
      <c r="AQ315" s="584"/>
      <c r="AR315" s="583"/>
      <c r="AS315" s="583"/>
      <c r="AT315" s="583"/>
      <c r="AU315" s="584"/>
      <c r="AV315" s="583"/>
      <c r="AW315" s="583"/>
      <c r="AX315" s="158"/>
      <c r="AY315" s="154"/>
      <c r="AZ315">
        <f ca="1">INDIRECT(ADDRESS(ROW()+1,COLUMN(Arbeitszeit!xDay),,,"Arbeitszeit"))</f>
        <v>5</v>
      </c>
    </row>
    <row r="316" spans="1:52">
      <c r="A316" s="523">
        <f>Arbeitszeit!A317</f>
        <v>42680</v>
      </c>
      <c r="B316" s="524">
        <f t="shared" si="16"/>
        <v>42680</v>
      </c>
      <c r="C316" s="191">
        <f t="shared" si="17"/>
        <v>45</v>
      </c>
      <c r="D316" s="190">
        <f t="shared" si="18"/>
        <v>42674</v>
      </c>
      <c r="E316" s="593">
        <f>Arbeitszeit!V317*24</f>
        <v>0</v>
      </c>
      <c r="F316" s="352">
        <f t="shared" si="19"/>
        <v>0</v>
      </c>
      <c r="G316" s="155">
        <f>IF(Arbeitszeit!F317=Urlaub,B_WorkTime*24,)</f>
        <v>0</v>
      </c>
      <c r="H316" s="153"/>
      <c r="I316" s="155">
        <f>IF(Arbeitszeit!F317=Krank,B_WorkTime*24,)</f>
        <v>0</v>
      </c>
      <c r="J316" s="153"/>
      <c r="K316" s="156"/>
      <c r="L316" s="157"/>
      <c r="M316" s="581"/>
      <c r="N316" s="582"/>
      <c r="O316" s="581"/>
      <c r="P316" s="582"/>
      <c r="Q316" s="581"/>
      <c r="R316" s="582"/>
      <c r="S316" s="581"/>
      <c r="T316" s="582"/>
      <c r="U316" s="581"/>
      <c r="V316" s="582"/>
      <c r="W316" s="581"/>
      <c r="X316" s="582"/>
      <c r="Y316" s="581"/>
      <c r="Z316" s="582"/>
      <c r="AA316" s="581"/>
      <c r="AB316" s="582"/>
      <c r="AC316" s="581"/>
      <c r="AD316" s="582"/>
      <c r="AE316" s="581"/>
      <c r="AF316" s="583"/>
      <c r="AG316" s="581"/>
      <c r="AH316" s="583"/>
      <c r="AI316" s="581"/>
      <c r="AJ316" s="583"/>
      <c r="AK316" s="581"/>
      <c r="AL316" s="583"/>
      <c r="AM316" s="584"/>
      <c r="AN316" s="583"/>
      <c r="AO316" s="581"/>
      <c r="AP316" s="583"/>
      <c r="AQ316" s="584"/>
      <c r="AR316" s="583"/>
      <c r="AS316" s="583"/>
      <c r="AT316" s="583"/>
      <c r="AU316" s="584"/>
      <c r="AV316" s="583"/>
      <c r="AW316" s="583"/>
      <c r="AX316" s="158"/>
      <c r="AY316" s="154"/>
      <c r="AZ316">
        <f ca="1">INDIRECT(ADDRESS(ROW()+1,COLUMN(Arbeitszeit!xDay),,,"Arbeitszeit"))</f>
        <v>6</v>
      </c>
    </row>
    <row r="317" spans="1:52">
      <c r="A317" s="523">
        <f>Arbeitszeit!A318</f>
        <v>42681</v>
      </c>
      <c r="B317" s="524">
        <f t="shared" si="16"/>
        <v>42681</v>
      </c>
      <c r="C317" s="191">
        <f t="shared" si="17"/>
        <v>45</v>
      </c>
      <c r="D317" s="190">
        <f t="shared" si="18"/>
        <v>42674</v>
      </c>
      <c r="E317" s="593">
        <f>Arbeitszeit!V318*24</f>
        <v>0</v>
      </c>
      <c r="F317" s="352">
        <f t="shared" si="19"/>
        <v>0</v>
      </c>
      <c r="G317" s="155">
        <f>IF(Arbeitszeit!F318=Urlaub,B_WorkTime*24,)</f>
        <v>0</v>
      </c>
      <c r="H317" s="153"/>
      <c r="I317" s="155">
        <f>IF(Arbeitszeit!F318=Krank,B_WorkTime*24,)</f>
        <v>0</v>
      </c>
      <c r="J317" s="153"/>
      <c r="K317" s="156"/>
      <c r="L317" s="157"/>
      <c r="M317" s="581"/>
      <c r="N317" s="582"/>
      <c r="O317" s="581"/>
      <c r="P317" s="582"/>
      <c r="Q317" s="581"/>
      <c r="R317" s="582"/>
      <c r="S317" s="581"/>
      <c r="T317" s="582"/>
      <c r="U317" s="581"/>
      <c r="V317" s="582"/>
      <c r="W317" s="581"/>
      <c r="X317" s="582"/>
      <c r="Y317" s="581"/>
      <c r="Z317" s="582"/>
      <c r="AA317" s="581"/>
      <c r="AB317" s="582"/>
      <c r="AC317" s="581"/>
      <c r="AD317" s="582"/>
      <c r="AE317" s="581"/>
      <c r="AF317" s="583"/>
      <c r="AG317" s="581"/>
      <c r="AH317" s="583"/>
      <c r="AI317" s="581"/>
      <c r="AJ317" s="583"/>
      <c r="AK317" s="581"/>
      <c r="AL317" s="583"/>
      <c r="AM317" s="584"/>
      <c r="AN317" s="583"/>
      <c r="AO317" s="581"/>
      <c r="AP317" s="583"/>
      <c r="AQ317" s="584"/>
      <c r="AR317" s="583"/>
      <c r="AS317" s="583"/>
      <c r="AT317" s="583"/>
      <c r="AU317" s="584"/>
      <c r="AV317" s="583"/>
      <c r="AW317" s="583"/>
      <c r="AX317" s="158"/>
      <c r="AY317" s="154"/>
      <c r="AZ317">
        <f ca="1">INDIRECT(ADDRESS(ROW()+1,COLUMN(Arbeitszeit!xDay),,,"Arbeitszeit"))</f>
        <v>7</v>
      </c>
    </row>
    <row r="318" spans="1:52">
      <c r="A318" s="523">
        <f>Arbeitszeit!A319</f>
        <v>42682</v>
      </c>
      <c r="B318" s="524">
        <f t="shared" si="16"/>
        <v>42682</v>
      </c>
      <c r="C318" s="191">
        <f t="shared" si="17"/>
        <v>46</v>
      </c>
      <c r="D318" s="190">
        <f t="shared" si="18"/>
        <v>42674</v>
      </c>
      <c r="E318" s="593">
        <f>Arbeitszeit!V319*24</f>
        <v>0</v>
      </c>
      <c r="F318" s="352">
        <f t="shared" si="19"/>
        <v>0</v>
      </c>
      <c r="G318" s="155">
        <f>IF(Arbeitszeit!F319=Urlaub,B_WorkTime*24,)</f>
        <v>0</v>
      </c>
      <c r="H318" s="153"/>
      <c r="I318" s="155">
        <f>IF(Arbeitszeit!F319=Krank,B_WorkTime*24,)</f>
        <v>0</v>
      </c>
      <c r="J318" s="153"/>
      <c r="K318" s="156"/>
      <c r="L318" s="157"/>
      <c r="M318" s="581"/>
      <c r="N318" s="582"/>
      <c r="O318" s="581"/>
      <c r="P318" s="582"/>
      <c r="Q318" s="581"/>
      <c r="R318" s="582"/>
      <c r="S318" s="581"/>
      <c r="T318" s="586"/>
      <c r="U318" s="581"/>
      <c r="V318" s="582"/>
      <c r="W318" s="581"/>
      <c r="X318" s="582"/>
      <c r="Y318" s="581"/>
      <c r="Z318" s="582"/>
      <c r="AA318" s="581"/>
      <c r="AB318" s="582"/>
      <c r="AC318" s="581"/>
      <c r="AD318" s="582"/>
      <c r="AE318" s="581"/>
      <c r="AF318" s="583"/>
      <c r="AG318" s="581"/>
      <c r="AH318" s="583"/>
      <c r="AI318" s="581"/>
      <c r="AJ318" s="583"/>
      <c r="AK318" s="581"/>
      <c r="AL318" s="583"/>
      <c r="AM318" s="584"/>
      <c r="AN318" s="583"/>
      <c r="AO318" s="581"/>
      <c r="AP318" s="583"/>
      <c r="AQ318" s="584"/>
      <c r="AR318" s="583"/>
      <c r="AS318" s="583"/>
      <c r="AT318" s="583"/>
      <c r="AU318" s="584"/>
      <c r="AV318" s="583"/>
      <c r="AW318" s="583"/>
      <c r="AX318" s="158"/>
      <c r="AY318" s="154"/>
      <c r="AZ318">
        <f ca="1">INDIRECT(ADDRESS(ROW()+1,COLUMN(Arbeitszeit!xDay),,,"Arbeitszeit"))</f>
        <v>1</v>
      </c>
    </row>
    <row r="319" spans="1:52">
      <c r="A319" s="523">
        <f>Arbeitszeit!A320</f>
        <v>42683</v>
      </c>
      <c r="B319" s="524">
        <f t="shared" si="16"/>
        <v>42683</v>
      </c>
      <c r="C319" s="191">
        <f t="shared" si="17"/>
        <v>46</v>
      </c>
      <c r="D319" s="190">
        <f t="shared" si="18"/>
        <v>42674</v>
      </c>
      <c r="E319" s="593">
        <f>Arbeitszeit!V320*24</f>
        <v>0</v>
      </c>
      <c r="F319" s="352">
        <f t="shared" si="19"/>
        <v>0</v>
      </c>
      <c r="G319" s="155">
        <f>IF(Arbeitszeit!F320=Urlaub,B_WorkTime*24,)</f>
        <v>0</v>
      </c>
      <c r="H319" s="153"/>
      <c r="I319" s="155">
        <f>IF(Arbeitszeit!F320=Krank,B_WorkTime*24,)</f>
        <v>0</v>
      </c>
      <c r="J319" s="153"/>
      <c r="K319" s="156"/>
      <c r="L319" s="157"/>
      <c r="M319" s="581"/>
      <c r="N319" s="582"/>
      <c r="O319" s="581"/>
      <c r="P319" s="582"/>
      <c r="Q319" s="581"/>
      <c r="R319" s="582"/>
      <c r="S319" s="581"/>
      <c r="T319" s="582"/>
      <c r="U319" s="581"/>
      <c r="V319" s="582"/>
      <c r="W319" s="581"/>
      <c r="X319" s="582"/>
      <c r="Y319" s="581"/>
      <c r="Z319" s="582"/>
      <c r="AA319" s="581"/>
      <c r="AB319" s="582"/>
      <c r="AC319" s="581"/>
      <c r="AD319" s="582"/>
      <c r="AE319" s="581"/>
      <c r="AF319" s="583"/>
      <c r="AG319" s="581"/>
      <c r="AH319" s="583"/>
      <c r="AI319" s="581"/>
      <c r="AJ319" s="583"/>
      <c r="AK319" s="581"/>
      <c r="AL319" s="583"/>
      <c r="AM319" s="584"/>
      <c r="AN319" s="583"/>
      <c r="AO319" s="581"/>
      <c r="AP319" s="583"/>
      <c r="AQ319" s="584"/>
      <c r="AR319" s="583"/>
      <c r="AS319" s="583"/>
      <c r="AT319" s="583"/>
      <c r="AU319" s="584"/>
      <c r="AV319" s="583"/>
      <c r="AW319" s="583"/>
      <c r="AX319" s="158"/>
      <c r="AY319" s="154"/>
      <c r="AZ319">
        <f ca="1">INDIRECT(ADDRESS(ROW()+1,COLUMN(Arbeitszeit!xDay),,,"Arbeitszeit"))</f>
        <v>2</v>
      </c>
    </row>
    <row r="320" spans="1:52">
      <c r="A320" s="523">
        <f>Arbeitszeit!A321</f>
        <v>42684</v>
      </c>
      <c r="B320" s="524">
        <f t="shared" si="16"/>
        <v>42684</v>
      </c>
      <c r="C320" s="191">
        <f t="shared" si="17"/>
        <v>46</v>
      </c>
      <c r="D320" s="190">
        <f t="shared" si="18"/>
        <v>42674</v>
      </c>
      <c r="E320" s="593">
        <f>Arbeitszeit!V321*24</f>
        <v>0</v>
      </c>
      <c r="F320" s="352">
        <f t="shared" si="19"/>
        <v>0</v>
      </c>
      <c r="G320" s="155">
        <f>IF(Arbeitszeit!F321=Urlaub,B_WorkTime*24,)</f>
        <v>0</v>
      </c>
      <c r="H320" s="153"/>
      <c r="I320" s="155">
        <f>IF(Arbeitszeit!F321=Krank,B_WorkTime*24,)</f>
        <v>0</v>
      </c>
      <c r="J320" s="153"/>
      <c r="K320" s="156"/>
      <c r="L320" s="157"/>
      <c r="M320" s="581"/>
      <c r="N320" s="582"/>
      <c r="O320" s="581"/>
      <c r="P320" s="582"/>
      <c r="Q320" s="581"/>
      <c r="R320" s="582"/>
      <c r="S320" s="581"/>
      <c r="T320" s="582"/>
      <c r="U320" s="581"/>
      <c r="V320" s="582"/>
      <c r="W320" s="581"/>
      <c r="X320" s="582"/>
      <c r="Y320" s="581"/>
      <c r="Z320" s="582"/>
      <c r="AA320" s="581"/>
      <c r="AB320" s="582"/>
      <c r="AC320" s="581"/>
      <c r="AD320" s="582"/>
      <c r="AE320" s="581"/>
      <c r="AF320" s="583"/>
      <c r="AG320" s="581"/>
      <c r="AH320" s="583"/>
      <c r="AI320" s="581"/>
      <c r="AJ320" s="583"/>
      <c r="AK320" s="581"/>
      <c r="AL320" s="583"/>
      <c r="AM320" s="584"/>
      <c r="AN320" s="583"/>
      <c r="AO320" s="581"/>
      <c r="AP320" s="583"/>
      <c r="AQ320" s="584"/>
      <c r="AR320" s="583"/>
      <c r="AS320" s="583"/>
      <c r="AT320" s="583"/>
      <c r="AU320" s="584"/>
      <c r="AV320" s="583"/>
      <c r="AW320" s="583"/>
      <c r="AX320" s="158"/>
      <c r="AY320" s="154"/>
      <c r="AZ320">
        <f ca="1">INDIRECT(ADDRESS(ROW()+1,COLUMN(Arbeitszeit!xDay),,,"Arbeitszeit"))</f>
        <v>3</v>
      </c>
    </row>
    <row r="321" spans="1:52">
      <c r="A321" s="523">
        <f>Arbeitszeit!A322</f>
        <v>42685</v>
      </c>
      <c r="B321" s="524">
        <f t="shared" si="16"/>
        <v>42685</v>
      </c>
      <c r="C321" s="191">
        <f t="shared" si="17"/>
        <v>46</v>
      </c>
      <c r="D321" s="190">
        <f t="shared" si="18"/>
        <v>42674</v>
      </c>
      <c r="E321" s="593">
        <f>Arbeitszeit!V322*24</f>
        <v>0</v>
      </c>
      <c r="F321" s="352">
        <f t="shared" si="19"/>
        <v>0</v>
      </c>
      <c r="G321" s="155">
        <f>IF(Arbeitszeit!F322=Urlaub,B_WorkTime*24,)</f>
        <v>0</v>
      </c>
      <c r="H321" s="153"/>
      <c r="I321" s="155">
        <f>IF(Arbeitszeit!F322=Krank,B_WorkTime*24,)</f>
        <v>0</v>
      </c>
      <c r="J321" s="153"/>
      <c r="K321" s="156"/>
      <c r="L321" s="157"/>
      <c r="M321" s="581"/>
      <c r="N321" s="582"/>
      <c r="O321" s="581"/>
      <c r="P321" s="582"/>
      <c r="Q321" s="581"/>
      <c r="R321" s="582"/>
      <c r="S321" s="581"/>
      <c r="T321" s="582"/>
      <c r="U321" s="581"/>
      <c r="V321" s="582"/>
      <c r="W321" s="581"/>
      <c r="X321" s="582"/>
      <c r="Y321" s="581"/>
      <c r="Z321" s="582"/>
      <c r="AA321" s="581"/>
      <c r="AB321" s="582"/>
      <c r="AC321" s="581"/>
      <c r="AD321" s="582"/>
      <c r="AE321" s="581"/>
      <c r="AF321" s="583"/>
      <c r="AG321" s="581"/>
      <c r="AH321" s="583"/>
      <c r="AI321" s="581"/>
      <c r="AJ321" s="583"/>
      <c r="AK321" s="581"/>
      <c r="AL321" s="583"/>
      <c r="AM321" s="584"/>
      <c r="AN321" s="583"/>
      <c r="AO321" s="581"/>
      <c r="AP321" s="583"/>
      <c r="AQ321" s="584"/>
      <c r="AR321" s="583"/>
      <c r="AS321" s="583"/>
      <c r="AT321" s="583"/>
      <c r="AU321" s="584"/>
      <c r="AV321" s="583"/>
      <c r="AW321" s="583"/>
      <c r="AX321" s="158"/>
      <c r="AY321" s="154"/>
      <c r="AZ321">
        <f ca="1">INDIRECT(ADDRESS(ROW()+1,COLUMN(Arbeitszeit!xDay),,,"Arbeitszeit"))</f>
        <v>4</v>
      </c>
    </row>
    <row r="322" spans="1:52">
      <c r="A322" s="523">
        <f>Arbeitszeit!A323</f>
        <v>42686</v>
      </c>
      <c r="B322" s="524">
        <f t="shared" si="16"/>
        <v>42686</v>
      </c>
      <c r="C322" s="191">
        <f t="shared" si="17"/>
        <v>46</v>
      </c>
      <c r="D322" s="190">
        <f t="shared" si="18"/>
        <v>42674</v>
      </c>
      <c r="E322" s="593">
        <f>Arbeitszeit!V323*24</f>
        <v>0</v>
      </c>
      <c r="F322" s="352">
        <f t="shared" si="19"/>
        <v>0</v>
      </c>
      <c r="G322" s="155">
        <f>IF(Arbeitszeit!F323=Urlaub,B_WorkTime*24,)</f>
        <v>0</v>
      </c>
      <c r="H322" s="153"/>
      <c r="I322" s="155">
        <f>IF(Arbeitszeit!F323=Krank,B_WorkTime*24,)</f>
        <v>0</v>
      </c>
      <c r="J322" s="153"/>
      <c r="K322" s="156"/>
      <c r="L322" s="157"/>
      <c r="M322" s="581"/>
      <c r="N322" s="582"/>
      <c r="O322" s="581"/>
      <c r="P322" s="582"/>
      <c r="Q322" s="581"/>
      <c r="R322" s="582"/>
      <c r="S322" s="581"/>
      <c r="T322" s="582"/>
      <c r="U322" s="581"/>
      <c r="V322" s="582"/>
      <c r="W322" s="581"/>
      <c r="X322" s="582"/>
      <c r="Y322" s="581"/>
      <c r="Z322" s="582"/>
      <c r="AA322" s="581"/>
      <c r="AB322" s="582"/>
      <c r="AC322" s="581"/>
      <c r="AD322" s="582"/>
      <c r="AE322" s="581"/>
      <c r="AF322" s="583"/>
      <c r="AG322" s="581"/>
      <c r="AH322" s="583"/>
      <c r="AI322" s="581"/>
      <c r="AJ322" s="583"/>
      <c r="AK322" s="581"/>
      <c r="AL322" s="583"/>
      <c r="AM322" s="584"/>
      <c r="AN322" s="583"/>
      <c r="AO322" s="581"/>
      <c r="AP322" s="583"/>
      <c r="AQ322" s="584"/>
      <c r="AR322" s="583"/>
      <c r="AS322" s="583"/>
      <c r="AT322" s="583"/>
      <c r="AU322" s="584"/>
      <c r="AV322" s="583"/>
      <c r="AW322" s="583"/>
      <c r="AX322" s="158"/>
      <c r="AY322" s="154"/>
      <c r="AZ322">
        <f ca="1">INDIRECT(ADDRESS(ROW()+1,COLUMN(Arbeitszeit!xDay),,,"Arbeitszeit"))</f>
        <v>5</v>
      </c>
    </row>
    <row r="323" spans="1:52">
      <c r="A323" s="523">
        <f>Arbeitszeit!A324</f>
        <v>42687</v>
      </c>
      <c r="B323" s="524">
        <f t="shared" si="16"/>
        <v>42687</v>
      </c>
      <c r="C323" s="191">
        <f t="shared" si="17"/>
        <v>46</v>
      </c>
      <c r="D323" s="190">
        <f t="shared" si="18"/>
        <v>42674</v>
      </c>
      <c r="E323" s="593">
        <f>Arbeitszeit!V324*24</f>
        <v>0</v>
      </c>
      <c r="F323" s="352">
        <f t="shared" si="19"/>
        <v>0</v>
      </c>
      <c r="G323" s="155">
        <f>IF(Arbeitszeit!F324=Urlaub,B_WorkTime*24,)</f>
        <v>0</v>
      </c>
      <c r="H323" s="153"/>
      <c r="I323" s="155">
        <f>IF(Arbeitszeit!F324=Krank,B_WorkTime*24,)</f>
        <v>0</v>
      </c>
      <c r="J323" s="153"/>
      <c r="K323" s="156"/>
      <c r="L323" s="157"/>
      <c r="M323" s="581"/>
      <c r="N323" s="582"/>
      <c r="O323" s="581"/>
      <c r="P323" s="582"/>
      <c r="Q323" s="581"/>
      <c r="R323" s="582"/>
      <c r="S323" s="581"/>
      <c r="T323" s="582"/>
      <c r="U323" s="581"/>
      <c r="V323" s="582"/>
      <c r="W323" s="581"/>
      <c r="X323" s="582"/>
      <c r="Y323" s="581"/>
      <c r="Z323" s="582"/>
      <c r="AA323" s="581"/>
      <c r="AB323" s="582"/>
      <c r="AC323" s="581"/>
      <c r="AD323" s="582"/>
      <c r="AE323" s="581"/>
      <c r="AF323" s="583"/>
      <c r="AG323" s="581"/>
      <c r="AH323" s="583"/>
      <c r="AI323" s="581"/>
      <c r="AJ323" s="583"/>
      <c r="AK323" s="581"/>
      <c r="AL323" s="583"/>
      <c r="AM323" s="584"/>
      <c r="AN323" s="583"/>
      <c r="AO323" s="581"/>
      <c r="AP323" s="583"/>
      <c r="AQ323" s="584"/>
      <c r="AR323" s="583"/>
      <c r="AS323" s="583"/>
      <c r="AT323" s="583"/>
      <c r="AU323" s="584"/>
      <c r="AV323" s="583"/>
      <c r="AW323" s="583"/>
      <c r="AX323" s="158"/>
      <c r="AY323" s="154"/>
      <c r="AZ323">
        <f ca="1">INDIRECT(ADDRESS(ROW()+1,COLUMN(Arbeitszeit!xDay),,,"Arbeitszeit"))</f>
        <v>6</v>
      </c>
    </row>
    <row r="324" spans="1:52">
      <c r="A324" s="523">
        <f>Arbeitszeit!A325</f>
        <v>42688</v>
      </c>
      <c r="B324" s="524">
        <f t="shared" si="16"/>
        <v>42688</v>
      </c>
      <c r="C324" s="191">
        <f t="shared" si="17"/>
        <v>46</v>
      </c>
      <c r="D324" s="190">
        <f t="shared" si="18"/>
        <v>42674</v>
      </c>
      <c r="E324" s="593">
        <f>Arbeitszeit!V325*24</f>
        <v>0</v>
      </c>
      <c r="F324" s="352">
        <f t="shared" si="19"/>
        <v>0</v>
      </c>
      <c r="G324" s="155">
        <f>IF(Arbeitszeit!F325=Urlaub,B_WorkTime*24,)</f>
        <v>0</v>
      </c>
      <c r="H324" s="153"/>
      <c r="I324" s="155">
        <f>IF(Arbeitszeit!F325=Krank,B_WorkTime*24,)</f>
        <v>0</v>
      </c>
      <c r="J324" s="153"/>
      <c r="K324" s="156"/>
      <c r="L324" s="157"/>
      <c r="M324" s="581"/>
      <c r="N324" s="582"/>
      <c r="O324" s="581"/>
      <c r="P324" s="582"/>
      <c r="Q324" s="581"/>
      <c r="R324" s="582"/>
      <c r="S324" s="581"/>
      <c r="T324" s="582"/>
      <c r="U324" s="581"/>
      <c r="V324" s="582"/>
      <c r="W324" s="581"/>
      <c r="X324" s="582"/>
      <c r="Y324" s="581"/>
      <c r="Z324" s="582"/>
      <c r="AA324" s="581"/>
      <c r="AB324" s="582"/>
      <c r="AC324" s="581"/>
      <c r="AD324" s="582"/>
      <c r="AE324" s="581"/>
      <c r="AF324" s="583"/>
      <c r="AG324" s="581"/>
      <c r="AH324" s="583"/>
      <c r="AI324" s="581"/>
      <c r="AJ324" s="583"/>
      <c r="AK324" s="581"/>
      <c r="AL324" s="583"/>
      <c r="AM324" s="584"/>
      <c r="AN324" s="583"/>
      <c r="AO324" s="581"/>
      <c r="AP324" s="583"/>
      <c r="AQ324" s="584"/>
      <c r="AR324" s="583"/>
      <c r="AS324" s="583"/>
      <c r="AT324" s="583"/>
      <c r="AU324" s="584"/>
      <c r="AV324" s="583"/>
      <c r="AW324" s="583"/>
      <c r="AX324" s="158"/>
      <c r="AY324" s="154"/>
      <c r="AZ324">
        <f ca="1">INDIRECT(ADDRESS(ROW()+1,COLUMN(Arbeitszeit!xDay),,,"Arbeitszeit"))</f>
        <v>7</v>
      </c>
    </row>
    <row r="325" spans="1:52">
      <c r="A325" s="523">
        <f>Arbeitszeit!A326</f>
        <v>42689</v>
      </c>
      <c r="B325" s="524">
        <f t="shared" si="16"/>
        <v>42689</v>
      </c>
      <c r="C325" s="191">
        <f t="shared" si="17"/>
        <v>47</v>
      </c>
      <c r="D325" s="190">
        <f t="shared" si="18"/>
        <v>42674</v>
      </c>
      <c r="E325" s="593">
        <f>Arbeitszeit!V326*24</f>
        <v>0</v>
      </c>
      <c r="F325" s="352">
        <f t="shared" si="19"/>
        <v>0</v>
      </c>
      <c r="G325" s="155">
        <f>IF(Arbeitszeit!F326=Urlaub,B_WorkTime*24,)</f>
        <v>0</v>
      </c>
      <c r="H325" s="153"/>
      <c r="I325" s="155">
        <f>IF(Arbeitszeit!F326=Krank,B_WorkTime*24,)</f>
        <v>0</v>
      </c>
      <c r="J325" s="153"/>
      <c r="K325" s="156"/>
      <c r="L325" s="157"/>
      <c r="M325" s="581"/>
      <c r="N325" s="582"/>
      <c r="O325" s="581"/>
      <c r="P325" s="582"/>
      <c r="Q325" s="581"/>
      <c r="R325" s="582"/>
      <c r="S325" s="581"/>
      <c r="T325" s="582"/>
      <c r="U325" s="581"/>
      <c r="V325" s="582"/>
      <c r="W325" s="581"/>
      <c r="X325" s="582"/>
      <c r="Y325" s="581"/>
      <c r="Z325" s="582"/>
      <c r="AA325" s="581"/>
      <c r="AB325" s="582"/>
      <c r="AC325" s="581"/>
      <c r="AD325" s="582"/>
      <c r="AE325" s="581"/>
      <c r="AF325" s="583"/>
      <c r="AG325" s="581"/>
      <c r="AH325" s="583"/>
      <c r="AI325" s="581"/>
      <c r="AJ325" s="583"/>
      <c r="AK325" s="581"/>
      <c r="AL325" s="583"/>
      <c r="AM325" s="584"/>
      <c r="AN325" s="583"/>
      <c r="AO325" s="581"/>
      <c r="AP325" s="583"/>
      <c r="AQ325" s="584"/>
      <c r="AR325" s="583"/>
      <c r="AS325" s="583"/>
      <c r="AT325" s="583"/>
      <c r="AU325" s="584"/>
      <c r="AV325" s="583"/>
      <c r="AW325" s="583"/>
      <c r="AX325" s="158"/>
      <c r="AY325" s="154"/>
      <c r="AZ325">
        <f ca="1">INDIRECT(ADDRESS(ROW()+1,COLUMN(Arbeitszeit!xDay),,,"Arbeitszeit"))</f>
        <v>1</v>
      </c>
    </row>
    <row r="326" spans="1:52">
      <c r="A326" s="523">
        <f>Arbeitszeit!A327</f>
        <v>42690</v>
      </c>
      <c r="B326" s="524">
        <f t="shared" ref="B326:B372" si="20">IF(A326="","",A326)</f>
        <v>42690</v>
      </c>
      <c r="C326" s="191">
        <f t="shared" si="17"/>
        <v>47</v>
      </c>
      <c r="D326" s="190">
        <f t="shared" si="18"/>
        <v>42674</v>
      </c>
      <c r="E326" s="593">
        <f>Arbeitszeit!V327*24</f>
        <v>0</v>
      </c>
      <c r="F326" s="352">
        <f t="shared" si="19"/>
        <v>0</v>
      </c>
      <c r="G326" s="155">
        <f>IF(Arbeitszeit!F327=Urlaub,B_WorkTime*24,)</f>
        <v>0</v>
      </c>
      <c r="H326" s="153"/>
      <c r="I326" s="155">
        <f>IF(Arbeitszeit!F327=Krank,B_WorkTime*24,)</f>
        <v>0</v>
      </c>
      <c r="J326" s="153"/>
      <c r="K326" s="156"/>
      <c r="L326" s="157"/>
      <c r="M326" s="581"/>
      <c r="N326" s="582"/>
      <c r="O326" s="581"/>
      <c r="P326" s="582"/>
      <c r="Q326" s="581"/>
      <c r="R326" s="582"/>
      <c r="S326" s="581"/>
      <c r="T326" s="582"/>
      <c r="U326" s="581"/>
      <c r="V326" s="582"/>
      <c r="W326" s="581"/>
      <c r="X326" s="582"/>
      <c r="Y326" s="581"/>
      <c r="Z326" s="582"/>
      <c r="AA326" s="581"/>
      <c r="AB326" s="582"/>
      <c r="AC326" s="581"/>
      <c r="AD326" s="582"/>
      <c r="AE326" s="581"/>
      <c r="AF326" s="583"/>
      <c r="AG326" s="581"/>
      <c r="AH326" s="583"/>
      <c r="AI326" s="581"/>
      <c r="AJ326" s="583"/>
      <c r="AK326" s="581"/>
      <c r="AL326" s="583"/>
      <c r="AM326" s="584"/>
      <c r="AN326" s="583"/>
      <c r="AO326" s="581"/>
      <c r="AP326" s="583"/>
      <c r="AQ326" s="584"/>
      <c r="AR326" s="583"/>
      <c r="AS326" s="583"/>
      <c r="AT326" s="583"/>
      <c r="AU326" s="584"/>
      <c r="AV326" s="583"/>
      <c r="AW326" s="583"/>
      <c r="AX326" s="158"/>
      <c r="AY326" s="154"/>
      <c r="AZ326">
        <f ca="1">INDIRECT(ADDRESS(ROW()+1,COLUMN(Arbeitszeit!xDay),,,"Arbeitszeit"))</f>
        <v>2</v>
      </c>
    </row>
    <row r="327" spans="1:52">
      <c r="A327" s="523">
        <f>Arbeitszeit!A328</f>
        <v>42691</v>
      </c>
      <c r="B327" s="524">
        <f t="shared" si="20"/>
        <v>42691</v>
      </c>
      <c r="C327" s="191">
        <f t="shared" ref="C327:C372" si="21">IF(A327="","",NumberOfWeek(A327))</f>
        <v>47</v>
      </c>
      <c r="D327" s="190">
        <f t="shared" ref="D327:D372" si="22">IF(A327="","",DATE(YEAR(A327),MONTH(A327),1))</f>
        <v>42674</v>
      </c>
      <c r="E327" s="593">
        <f>Arbeitszeit!V328*24</f>
        <v>0</v>
      </c>
      <c r="F327" s="352">
        <f t="shared" si="19"/>
        <v>0</v>
      </c>
      <c r="G327" s="155">
        <f>IF(Arbeitszeit!F328=Urlaub,B_WorkTime*24,)</f>
        <v>0</v>
      </c>
      <c r="H327" s="153"/>
      <c r="I327" s="155">
        <f>IF(Arbeitszeit!F328=Krank,B_WorkTime*24,)</f>
        <v>0</v>
      </c>
      <c r="J327" s="153"/>
      <c r="K327" s="156"/>
      <c r="L327" s="157"/>
      <c r="M327" s="581"/>
      <c r="N327" s="582"/>
      <c r="O327" s="581"/>
      <c r="P327" s="582"/>
      <c r="Q327" s="581"/>
      <c r="R327" s="582"/>
      <c r="S327" s="581"/>
      <c r="T327" s="582"/>
      <c r="U327" s="581"/>
      <c r="V327" s="582"/>
      <c r="W327" s="581"/>
      <c r="X327" s="582"/>
      <c r="Y327" s="581"/>
      <c r="Z327" s="582"/>
      <c r="AA327" s="581"/>
      <c r="AB327" s="582"/>
      <c r="AC327" s="581"/>
      <c r="AD327" s="582"/>
      <c r="AE327" s="581"/>
      <c r="AF327" s="583"/>
      <c r="AG327" s="581"/>
      <c r="AH327" s="583"/>
      <c r="AI327" s="581"/>
      <c r="AJ327" s="583"/>
      <c r="AK327" s="581"/>
      <c r="AL327" s="583"/>
      <c r="AM327" s="584"/>
      <c r="AN327" s="583"/>
      <c r="AO327" s="581"/>
      <c r="AP327" s="583"/>
      <c r="AQ327" s="584"/>
      <c r="AR327" s="583"/>
      <c r="AS327" s="583"/>
      <c r="AT327" s="583"/>
      <c r="AU327" s="584"/>
      <c r="AV327" s="583"/>
      <c r="AW327" s="583"/>
      <c r="AX327" s="158"/>
      <c r="AY327" s="154"/>
      <c r="AZ327">
        <f ca="1">INDIRECT(ADDRESS(ROW()+1,COLUMN(Arbeitszeit!xDay),,,"Arbeitszeit"))</f>
        <v>3</v>
      </c>
    </row>
    <row r="328" spans="1:52">
      <c r="A328" s="523">
        <f>Arbeitszeit!A329</f>
        <v>42692</v>
      </c>
      <c r="B328" s="524">
        <f t="shared" si="20"/>
        <v>42692</v>
      </c>
      <c r="C328" s="191">
        <f t="shared" si="21"/>
        <v>47</v>
      </c>
      <c r="D328" s="190">
        <f t="shared" si="22"/>
        <v>42674</v>
      </c>
      <c r="E328" s="593">
        <f>Arbeitszeit!V329*24</f>
        <v>0</v>
      </c>
      <c r="F328" s="352">
        <f t="shared" ref="F328:F372" si="23">ROUND(E328-SUM(K328:AW328),1)</f>
        <v>0</v>
      </c>
      <c r="G328" s="155">
        <f>IF(Arbeitszeit!F329=Urlaub,B_WorkTime*24,)</f>
        <v>0</v>
      </c>
      <c r="H328" s="153"/>
      <c r="I328" s="155">
        <f>IF(Arbeitszeit!F329=Krank,B_WorkTime*24,)</f>
        <v>0</v>
      </c>
      <c r="J328" s="153"/>
      <c r="K328" s="156"/>
      <c r="L328" s="157"/>
      <c r="M328" s="581"/>
      <c r="N328" s="582"/>
      <c r="O328" s="581"/>
      <c r="P328" s="582"/>
      <c r="Q328" s="581"/>
      <c r="R328" s="582"/>
      <c r="S328" s="581"/>
      <c r="T328" s="582"/>
      <c r="U328" s="581"/>
      <c r="V328" s="582"/>
      <c r="W328" s="581"/>
      <c r="X328" s="582"/>
      <c r="Y328" s="581"/>
      <c r="Z328" s="582"/>
      <c r="AA328" s="581"/>
      <c r="AB328" s="582"/>
      <c r="AC328" s="581"/>
      <c r="AD328" s="582"/>
      <c r="AE328" s="581"/>
      <c r="AF328" s="583"/>
      <c r="AG328" s="581"/>
      <c r="AH328" s="583"/>
      <c r="AI328" s="581"/>
      <c r="AJ328" s="583"/>
      <c r="AK328" s="581"/>
      <c r="AL328" s="583"/>
      <c r="AM328" s="584"/>
      <c r="AN328" s="583"/>
      <c r="AO328" s="581"/>
      <c r="AP328" s="583"/>
      <c r="AQ328" s="584"/>
      <c r="AR328" s="583"/>
      <c r="AS328" s="583"/>
      <c r="AT328" s="583"/>
      <c r="AU328" s="584"/>
      <c r="AV328" s="583"/>
      <c r="AW328" s="583"/>
      <c r="AX328" s="158"/>
      <c r="AY328" s="154"/>
      <c r="AZ328">
        <f ca="1">INDIRECT(ADDRESS(ROW()+1,COLUMN(Arbeitszeit!xDay),,,"Arbeitszeit"))</f>
        <v>4</v>
      </c>
    </row>
    <row r="329" spans="1:52">
      <c r="A329" s="523">
        <f>Arbeitszeit!A330</f>
        <v>42693</v>
      </c>
      <c r="B329" s="524">
        <f t="shared" si="20"/>
        <v>42693</v>
      </c>
      <c r="C329" s="191">
        <f t="shared" si="21"/>
        <v>47</v>
      </c>
      <c r="D329" s="190">
        <f t="shared" si="22"/>
        <v>42674</v>
      </c>
      <c r="E329" s="593">
        <f>Arbeitszeit!V330*24</f>
        <v>0</v>
      </c>
      <c r="F329" s="352">
        <f t="shared" si="23"/>
        <v>0</v>
      </c>
      <c r="G329" s="155">
        <f>IF(Arbeitszeit!F330=Urlaub,B_WorkTime*24,)</f>
        <v>0</v>
      </c>
      <c r="H329" s="153"/>
      <c r="I329" s="155">
        <f>IF(Arbeitszeit!F330=Krank,B_WorkTime*24,)</f>
        <v>0</v>
      </c>
      <c r="J329" s="153"/>
      <c r="K329" s="156"/>
      <c r="L329" s="157"/>
      <c r="M329" s="581"/>
      <c r="N329" s="582"/>
      <c r="O329" s="581"/>
      <c r="P329" s="582"/>
      <c r="Q329" s="581"/>
      <c r="R329" s="582"/>
      <c r="S329" s="581"/>
      <c r="T329" s="582"/>
      <c r="U329" s="581"/>
      <c r="V329" s="582"/>
      <c r="W329" s="581"/>
      <c r="X329" s="582"/>
      <c r="Y329" s="581"/>
      <c r="Z329" s="582"/>
      <c r="AA329" s="581"/>
      <c r="AB329" s="582"/>
      <c r="AC329" s="581"/>
      <c r="AD329" s="582"/>
      <c r="AE329" s="581"/>
      <c r="AF329" s="583"/>
      <c r="AG329" s="581"/>
      <c r="AH329" s="583"/>
      <c r="AI329" s="581"/>
      <c r="AJ329" s="583"/>
      <c r="AK329" s="581"/>
      <c r="AL329" s="583"/>
      <c r="AM329" s="584"/>
      <c r="AN329" s="583"/>
      <c r="AO329" s="581"/>
      <c r="AP329" s="583"/>
      <c r="AQ329" s="584"/>
      <c r="AR329" s="583"/>
      <c r="AS329" s="583"/>
      <c r="AT329" s="583"/>
      <c r="AU329" s="584"/>
      <c r="AV329" s="583"/>
      <c r="AW329" s="583"/>
      <c r="AX329" s="158"/>
      <c r="AY329" s="154"/>
      <c r="AZ329">
        <f ca="1">INDIRECT(ADDRESS(ROW()+1,COLUMN(Arbeitszeit!xDay),,,"Arbeitszeit"))</f>
        <v>5</v>
      </c>
    </row>
    <row r="330" spans="1:52">
      <c r="A330" s="523">
        <f>Arbeitszeit!A331</f>
        <v>42694</v>
      </c>
      <c r="B330" s="524">
        <f t="shared" si="20"/>
        <v>42694</v>
      </c>
      <c r="C330" s="191">
        <f t="shared" si="21"/>
        <v>47</v>
      </c>
      <c r="D330" s="190">
        <f t="shared" si="22"/>
        <v>42674</v>
      </c>
      <c r="E330" s="593">
        <f>Arbeitszeit!V331*24</f>
        <v>0</v>
      </c>
      <c r="F330" s="352">
        <f t="shared" si="23"/>
        <v>0</v>
      </c>
      <c r="G330" s="155">
        <f>IF(Arbeitszeit!F331=Urlaub,B_WorkTime*24,)</f>
        <v>0</v>
      </c>
      <c r="H330" s="153"/>
      <c r="I330" s="155">
        <f>IF(Arbeitszeit!F331=Krank,B_WorkTime*24,)</f>
        <v>0</v>
      </c>
      <c r="J330" s="153"/>
      <c r="K330" s="156"/>
      <c r="L330" s="157"/>
      <c r="M330" s="581"/>
      <c r="N330" s="582"/>
      <c r="O330" s="581"/>
      <c r="P330" s="582"/>
      <c r="Q330" s="581"/>
      <c r="R330" s="582"/>
      <c r="S330" s="581"/>
      <c r="T330" s="582"/>
      <c r="U330" s="581"/>
      <c r="V330" s="582"/>
      <c r="W330" s="581"/>
      <c r="X330" s="582"/>
      <c r="Y330" s="581"/>
      <c r="Z330" s="582"/>
      <c r="AA330" s="581"/>
      <c r="AB330" s="582"/>
      <c r="AC330" s="581"/>
      <c r="AD330" s="582"/>
      <c r="AE330" s="581"/>
      <c r="AF330" s="583"/>
      <c r="AG330" s="581"/>
      <c r="AH330" s="583"/>
      <c r="AI330" s="581"/>
      <c r="AJ330" s="583"/>
      <c r="AK330" s="581"/>
      <c r="AL330" s="583"/>
      <c r="AM330" s="584"/>
      <c r="AN330" s="583"/>
      <c r="AO330" s="581"/>
      <c r="AP330" s="583"/>
      <c r="AQ330" s="584"/>
      <c r="AR330" s="583"/>
      <c r="AS330" s="583"/>
      <c r="AT330" s="583"/>
      <c r="AU330" s="584"/>
      <c r="AV330" s="583"/>
      <c r="AW330" s="583"/>
      <c r="AX330" s="158"/>
      <c r="AY330" s="154"/>
      <c r="AZ330">
        <f ca="1">INDIRECT(ADDRESS(ROW()+1,COLUMN(Arbeitszeit!xDay),,,"Arbeitszeit"))</f>
        <v>6</v>
      </c>
    </row>
    <row r="331" spans="1:52">
      <c r="A331" s="523">
        <f>Arbeitszeit!A332</f>
        <v>42695</v>
      </c>
      <c r="B331" s="524">
        <f t="shared" si="20"/>
        <v>42695</v>
      </c>
      <c r="C331" s="191">
        <f t="shared" si="21"/>
        <v>47</v>
      </c>
      <c r="D331" s="190">
        <f t="shared" si="22"/>
        <v>42674</v>
      </c>
      <c r="E331" s="593">
        <f>Arbeitszeit!V332*24</f>
        <v>0</v>
      </c>
      <c r="F331" s="352">
        <f t="shared" si="23"/>
        <v>0</v>
      </c>
      <c r="G331" s="155">
        <f>IF(Arbeitszeit!F332=Urlaub,B_WorkTime*24,)</f>
        <v>0</v>
      </c>
      <c r="H331" s="153"/>
      <c r="I331" s="155">
        <f>IF(Arbeitszeit!F332=Krank,B_WorkTime*24,)</f>
        <v>0</v>
      </c>
      <c r="J331" s="153"/>
      <c r="K331" s="156"/>
      <c r="L331" s="157"/>
      <c r="M331" s="581"/>
      <c r="N331" s="582"/>
      <c r="O331" s="581"/>
      <c r="P331" s="582"/>
      <c r="Q331" s="581"/>
      <c r="R331" s="582"/>
      <c r="S331" s="581"/>
      <c r="T331" s="582"/>
      <c r="U331" s="581"/>
      <c r="V331" s="582"/>
      <c r="W331" s="581"/>
      <c r="X331" s="582"/>
      <c r="Y331" s="581"/>
      <c r="Z331" s="582"/>
      <c r="AA331" s="581"/>
      <c r="AB331" s="582"/>
      <c r="AC331" s="581"/>
      <c r="AD331" s="582"/>
      <c r="AE331" s="581"/>
      <c r="AF331" s="583"/>
      <c r="AG331" s="581"/>
      <c r="AH331" s="583"/>
      <c r="AI331" s="581"/>
      <c r="AJ331" s="583"/>
      <c r="AK331" s="581"/>
      <c r="AL331" s="583"/>
      <c r="AM331" s="584"/>
      <c r="AN331" s="583"/>
      <c r="AO331" s="581"/>
      <c r="AP331" s="583"/>
      <c r="AQ331" s="584"/>
      <c r="AR331" s="583"/>
      <c r="AS331" s="583"/>
      <c r="AT331" s="583"/>
      <c r="AU331" s="584"/>
      <c r="AV331" s="583"/>
      <c r="AW331" s="583"/>
      <c r="AX331" s="158"/>
      <c r="AY331" s="154"/>
      <c r="AZ331">
        <f ca="1">INDIRECT(ADDRESS(ROW()+1,COLUMN(Arbeitszeit!xDay),,,"Arbeitszeit"))</f>
        <v>7</v>
      </c>
    </row>
    <row r="332" spans="1:52">
      <c r="A332" s="523">
        <f>Arbeitszeit!A333</f>
        <v>42696</v>
      </c>
      <c r="B332" s="524">
        <f t="shared" si="20"/>
        <v>42696</v>
      </c>
      <c r="C332" s="191">
        <f t="shared" si="21"/>
        <v>48</v>
      </c>
      <c r="D332" s="190">
        <f t="shared" si="22"/>
        <v>42674</v>
      </c>
      <c r="E332" s="593">
        <f>Arbeitszeit!V333*24</f>
        <v>0</v>
      </c>
      <c r="F332" s="352">
        <f t="shared" si="23"/>
        <v>0</v>
      </c>
      <c r="G332" s="155">
        <f>IF(Arbeitszeit!F333=Urlaub,B_WorkTime*24,)</f>
        <v>0</v>
      </c>
      <c r="H332" s="153"/>
      <c r="I332" s="155">
        <f>IF(Arbeitszeit!F333=Krank,B_WorkTime*24,)</f>
        <v>0</v>
      </c>
      <c r="J332" s="153"/>
      <c r="K332" s="156"/>
      <c r="L332" s="157"/>
      <c r="M332" s="581"/>
      <c r="N332" s="582"/>
      <c r="O332" s="581"/>
      <c r="P332" s="582"/>
      <c r="Q332" s="581"/>
      <c r="R332" s="582"/>
      <c r="S332" s="581"/>
      <c r="T332" s="582"/>
      <c r="U332" s="581"/>
      <c r="V332" s="582"/>
      <c r="W332" s="581"/>
      <c r="X332" s="582"/>
      <c r="Y332" s="581"/>
      <c r="Z332" s="582"/>
      <c r="AA332" s="581"/>
      <c r="AB332" s="582"/>
      <c r="AC332" s="581"/>
      <c r="AD332" s="582"/>
      <c r="AE332" s="581"/>
      <c r="AF332" s="583"/>
      <c r="AG332" s="581"/>
      <c r="AH332" s="583"/>
      <c r="AI332" s="581"/>
      <c r="AJ332" s="583"/>
      <c r="AK332" s="581"/>
      <c r="AL332" s="583"/>
      <c r="AM332" s="584"/>
      <c r="AN332" s="583"/>
      <c r="AO332" s="581"/>
      <c r="AP332" s="583"/>
      <c r="AQ332" s="584"/>
      <c r="AR332" s="583"/>
      <c r="AS332" s="583"/>
      <c r="AT332" s="583"/>
      <c r="AU332" s="584"/>
      <c r="AV332" s="583"/>
      <c r="AW332" s="583"/>
      <c r="AX332" s="158"/>
      <c r="AY332" s="154"/>
      <c r="AZ332">
        <f ca="1">INDIRECT(ADDRESS(ROW()+1,COLUMN(Arbeitszeit!xDay),,,"Arbeitszeit"))</f>
        <v>1</v>
      </c>
    </row>
    <row r="333" spans="1:52">
      <c r="A333" s="523">
        <f>Arbeitszeit!A334</f>
        <v>42697</v>
      </c>
      <c r="B333" s="524">
        <f t="shared" si="20"/>
        <v>42697</v>
      </c>
      <c r="C333" s="191">
        <f t="shared" si="21"/>
        <v>48</v>
      </c>
      <c r="D333" s="190">
        <f t="shared" si="22"/>
        <v>42674</v>
      </c>
      <c r="E333" s="593">
        <f>Arbeitszeit!V334*24</f>
        <v>0</v>
      </c>
      <c r="F333" s="352">
        <f t="shared" si="23"/>
        <v>0</v>
      </c>
      <c r="G333" s="155">
        <f>IF(Arbeitszeit!F334=Urlaub,B_WorkTime*24,)</f>
        <v>0</v>
      </c>
      <c r="H333" s="153"/>
      <c r="I333" s="155">
        <f>IF(Arbeitszeit!F334=Krank,B_WorkTime*24,)</f>
        <v>0</v>
      </c>
      <c r="J333" s="153"/>
      <c r="K333" s="156"/>
      <c r="L333" s="157"/>
      <c r="M333" s="581"/>
      <c r="N333" s="582"/>
      <c r="O333" s="581"/>
      <c r="P333" s="582"/>
      <c r="Q333" s="581"/>
      <c r="R333" s="582"/>
      <c r="S333" s="581"/>
      <c r="T333" s="582"/>
      <c r="U333" s="581"/>
      <c r="V333" s="582"/>
      <c r="W333" s="581"/>
      <c r="X333" s="582"/>
      <c r="Y333" s="581"/>
      <c r="Z333" s="582"/>
      <c r="AA333" s="581"/>
      <c r="AB333" s="582"/>
      <c r="AC333" s="581"/>
      <c r="AD333" s="582"/>
      <c r="AE333" s="581"/>
      <c r="AF333" s="583"/>
      <c r="AG333" s="581"/>
      <c r="AH333" s="583"/>
      <c r="AI333" s="581"/>
      <c r="AJ333" s="583"/>
      <c r="AK333" s="581"/>
      <c r="AL333" s="583"/>
      <c r="AM333" s="584"/>
      <c r="AN333" s="583"/>
      <c r="AO333" s="581"/>
      <c r="AP333" s="583"/>
      <c r="AQ333" s="584"/>
      <c r="AR333" s="583"/>
      <c r="AS333" s="583"/>
      <c r="AT333" s="583"/>
      <c r="AU333" s="584"/>
      <c r="AV333" s="583"/>
      <c r="AW333" s="583"/>
      <c r="AX333" s="158"/>
      <c r="AY333" s="154"/>
      <c r="AZ333">
        <f ca="1">INDIRECT(ADDRESS(ROW()+1,COLUMN(Arbeitszeit!xDay),,,"Arbeitszeit"))</f>
        <v>2</v>
      </c>
    </row>
    <row r="334" spans="1:52">
      <c r="A334" s="523">
        <f>Arbeitszeit!A335</f>
        <v>42698</v>
      </c>
      <c r="B334" s="524">
        <f t="shared" si="20"/>
        <v>42698</v>
      </c>
      <c r="C334" s="191">
        <f t="shared" si="21"/>
        <v>48</v>
      </c>
      <c r="D334" s="190">
        <f t="shared" si="22"/>
        <v>42674</v>
      </c>
      <c r="E334" s="593">
        <f>Arbeitszeit!V335*24</f>
        <v>0</v>
      </c>
      <c r="F334" s="352">
        <f t="shared" si="23"/>
        <v>0</v>
      </c>
      <c r="G334" s="155">
        <f>IF(Arbeitszeit!F335=Urlaub,B_WorkTime*24,)</f>
        <v>0</v>
      </c>
      <c r="H334" s="153"/>
      <c r="I334" s="155">
        <f>IF(Arbeitszeit!F335=Krank,B_WorkTime*24,)</f>
        <v>0</v>
      </c>
      <c r="J334" s="153"/>
      <c r="K334" s="156"/>
      <c r="L334" s="157"/>
      <c r="M334" s="581"/>
      <c r="N334" s="582"/>
      <c r="O334" s="581"/>
      <c r="P334" s="582"/>
      <c r="Q334" s="581"/>
      <c r="R334" s="582"/>
      <c r="S334" s="581"/>
      <c r="T334" s="582"/>
      <c r="U334" s="581"/>
      <c r="V334" s="582"/>
      <c r="W334" s="581"/>
      <c r="X334" s="582"/>
      <c r="Y334" s="581"/>
      <c r="Z334" s="582"/>
      <c r="AA334" s="581"/>
      <c r="AB334" s="582"/>
      <c r="AC334" s="581"/>
      <c r="AD334" s="582"/>
      <c r="AE334" s="581"/>
      <c r="AF334" s="583"/>
      <c r="AG334" s="581"/>
      <c r="AH334" s="583"/>
      <c r="AI334" s="581"/>
      <c r="AJ334" s="583"/>
      <c r="AK334" s="581"/>
      <c r="AL334" s="583"/>
      <c r="AM334" s="584"/>
      <c r="AN334" s="583"/>
      <c r="AO334" s="581"/>
      <c r="AP334" s="583"/>
      <c r="AQ334" s="584"/>
      <c r="AR334" s="583"/>
      <c r="AS334" s="583"/>
      <c r="AT334" s="583"/>
      <c r="AU334" s="584"/>
      <c r="AV334" s="583"/>
      <c r="AW334" s="583"/>
      <c r="AX334" s="158"/>
      <c r="AY334" s="154"/>
      <c r="AZ334">
        <f ca="1">INDIRECT(ADDRESS(ROW()+1,COLUMN(Arbeitszeit!xDay),,,"Arbeitszeit"))</f>
        <v>3</v>
      </c>
    </row>
    <row r="335" spans="1:52">
      <c r="A335" s="523">
        <f>Arbeitszeit!A336</f>
        <v>42699</v>
      </c>
      <c r="B335" s="524">
        <f t="shared" si="20"/>
        <v>42699</v>
      </c>
      <c r="C335" s="191">
        <f t="shared" si="21"/>
        <v>48</v>
      </c>
      <c r="D335" s="190">
        <f t="shared" si="22"/>
        <v>42674</v>
      </c>
      <c r="E335" s="593">
        <f>Arbeitszeit!V336*24</f>
        <v>0</v>
      </c>
      <c r="F335" s="352">
        <f t="shared" si="23"/>
        <v>0</v>
      </c>
      <c r="G335" s="155">
        <f>IF(Arbeitszeit!F336=Urlaub,B_WorkTime*24,)</f>
        <v>0</v>
      </c>
      <c r="H335" s="153"/>
      <c r="I335" s="155">
        <f>IF(Arbeitszeit!F336=Krank,B_WorkTime*24,)</f>
        <v>0</v>
      </c>
      <c r="J335" s="153"/>
      <c r="K335" s="156"/>
      <c r="L335" s="157"/>
      <c r="M335" s="581"/>
      <c r="N335" s="582"/>
      <c r="O335" s="581"/>
      <c r="P335" s="582"/>
      <c r="Q335" s="581"/>
      <c r="R335" s="582"/>
      <c r="S335" s="581"/>
      <c r="T335" s="582"/>
      <c r="U335" s="581"/>
      <c r="V335" s="582"/>
      <c r="W335" s="581"/>
      <c r="X335" s="582"/>
      <c r="Y335" s="581"/>
      <c r="Z335" s="582"/>
      <c r="AA335" s="581"/>
      <c r="AB335" s="582"/>
      <c r="AC335" s="581"/>
      <c r="AD335" s="582"/>
      <c r="AE335" s="581"/>
      <c r="AF335" s="583"/>
      <c r="AG335" s="581"/>
      <c r="AH335" s="583"/>
      <c r="AI335" s="581"/>
      <c r="AJ335" s="583"/>
      <c r="AK335" s="581"/>
      <c r="AL335" s="583"/>
      <c r="AM335" s="584"/>
      <c r="AN335" s="583"/>
      <c r="AO335" s="581"/>
      <c r="AP335" s="583"/>
      <c r="AQ335" s="584"/>
      <c r="AR335" s="583"/>
      <c r="AS335" s="583"/>
      <c r="AT335" s="583"/>
      <c r="AU335" s="584"/>
      <c r="AV335" s="583"/>
      <c r="AW335" s="583"/>
      <c r="AX335" s="158"/>
      <c r="AY335" s="154"/>
      <c r="AZ335">
        <f ca="1">INDIRECT(ADDRESS(ROW()+1,COLUMN(Arbeitszeit!xDay),,,"Arbeitszeit"))</f>
        <v>4</v>
      </c>
    </row>
    <row r="336" spans="1:52">
      <c r="A336" s="523">
        <f>Arbeitszeit!A337</f>
        <v>42700</v>
      </c>
      <c r="B336" s="524">
        <f t="shared" si="20"/>
        <v>42700</v>
      </c>
      <c r="C336" s="191">
        <f t="shared" si="21"/>
        <v>48</v>
      </c>
      <c r="D336" s="190">
        <f t="shared" si="22"/>
        <v>42674</v>
      </c>
      <c r="E336" s="593">
        <f>Arbeitszeit!V337*24</f>
        <v>0</v>
      </c>
      <c r="F336" s="352">
        <f t="shared" si="23"/>
        <v>0</v>
      </c>
      <c r="G336" s="155">
        <f>IF(Arbeitszeit!F337=Urlaub,B_WorkTime*24,)</f>
        <v>0</v>
      </c>
      <c r="H336" s="153"/>
      <c r="I336" s="155">
        <f>IF(Arbeitszeit!F337=Krank,B_WorkTime*24,)</f>
        <v>0</v>
      </c>
      <c r="J336" s="153"/>
      <c r="K336" s="156"/>
      <c r="L336" s="157"/>
      <c r="M336" s="581"/>
      <c r="N336" s="582"/>
      <c r="O336" s="581"/>
      <c r="P336" s="582"/>
      <c r="Q336" s="581"/>
      <c r="R336" s="582"/>
      <c r="S336" s="581"/>
      <c r="T336" s="582"/>
      <c r="U336" s="581"/>
      <c r="V336" s="582"/>
      <c r="W336" s="581"/>
      <c r="X336" s="582"/>
      <c r="Y336" s="581"/>
      <c r="Z336" s="582"/>
      <c r="AA336" s="581"/>
      <c r="AB336" s="582"/>
      <c r="AC336" s="581"/>
      <c r="AD336" s="582"/>
      <c r="AE336" s="581"/>
      <c r="AF336" s="583"/>
      <c r="AG336" s="581"/>
      <c r="AH336" s="583"/>
      <c r="AI336" s="581"/>
      <c r="AJ336" s="583"/>
      <c r="AK336" s="581"/>
      <c r="AL336" s="583"/>
      <c r="AM336" s="584"/>
      <c r="AN336" s="583"/>
      <c r="AO336" s="581"/>
      <c r="AP336" s="583"/>
      <c r="AQ336" s="584"/>
      <c r="AR336" s="583"/>
      <c r="AS336" s="583"/>
      <c r="AT336" s="583"/>
      <c r="AU336" s="584"/>
      <c r="AV336" s="583"/>
      <c r="AW336" s="583"/>
      <c r="AX336" s="158"/>
      <c r="AY336" s="154"/>
      <c r="AZ336">
        <f ca="1">INDIRECT(ADDRESS(ROW()+1,COLUMN(Arbeitszeit!xDay),,,"Arbeitszeit"))</f>
        <v>5</v>
      </c>
    </row>
    <row r="337" spans="1:52">
      <c r="A337" s="523">
        <f>Arbeitszeit!A338</f>
        <v>42701</v>
      </c>
      <c r="B337" s="524">
        <f t="shared" si="20"/>
        <v>42701</v>
      </c>
      <c r="C337" s="191">
        <f t="shared" si="21"/>
        <v>48</v>
      </c>
      <c r="D337" s="190">
        <f t="shared" si="22"/>
        <v>42674</v>
      </c>
      <c r="E337" s="593">
        <f>Arbeitszeit!V338*24</f>
        <v>0</v>
      </c>
      <c r="F337" s="352">
        <f t="shared" si="23"/>
        <v>0</v>
      </c>
      <c r="G337" s="155">
        <f>IF(Arbeitszeit!F338=Urlaub,B_WorkTime*24,)</f>
        <v>0</v>
      </c>
      <c r="H337" s="153"/>
      <c r="I337" s="155">
        <f>IF(Arbeitszeit!F338=Krank,B_WorkTime*24,)</f>
        <v>0</v>
      </c>
      <c r="J337" s="153"/>
      <c r="K337" s="156"/>
      <c r="L337" s="157"/>
      <c r="M337" s="581"/>
      <c r="N337" s="582"/>
      <c r="O337" s="581"/>
      <c r="P337" s="582"/>
      <c r="Q337" s="581"/>
      <c r="R337" s="582"/>
      <c r="S337" s="581"/>
      <c r="T337" s="582"/>
      <c r="U337" s="581"/>
      <c r="V337" s="582"/>
      <c r="W337" s="581"/>
      <c r="X337" s="582"/>
      <c r="Y337" s="581"/>
      <c r="Z337" s="582"/>
      <c r="AA337" s="581"/>
      <c r="AB337" s="582"/>
      <c r="AC337" s="581"/>
      <c r="AD337" s="582"/>
      <c r="AE337" s="581"/>
      <c r="AF337" s="583"/>
      <c r="AG337" s="581"/>
      <c r="AH337" s="583"/>
      <c r="AI337" s="581"/>
      <c r="AJ337" s="583"/>
      <c r="AK337" s="581"/>
      <c r="AL337" s="583"/>
      <c r="AM337" s="584"/>
      <c r="AN337" s="583"/>
      <c r="AO337" s="581"/>
      <c r="AP337" s="583"/>
      <c r="AQ337" s="584"/>
      <c r="AR337" s="583"/>
      <c r="AS337" s="583"/>
      <c r="AT337" s="583"/>
      <c r="AU337" s="584"/>
      <c r="AV337" s="583"/>
      <c r="AW337" s="583"/>
      <c r="AX337" s="158"/>
      <c r="AY337" s="154"/>
      <c r="AZ337">
        <f ca="1">INDIRECT(ADDRESS(ROW()+1,COLUMN(Arbeitszeit!xDay),,,"Arbeitszeit"))</f>
        <v>6</v>
      </c>
    </row>
    <row r="338" spans="1:52">
      <c r="A338" s="523">
        <f>Arbeitszeit!A339</f>
        <v>42702</v>
      </c>
      <c r="B338" s="524">
        <f t="shared" si="20"/>
        <v>42702</v>
      </c>
      <c r="C338" s="191">
        <f t="shared" si="21"/>
        <v>48</v>
      </c>
      <c r="D338" s="190">
        <f t="shared" si="22"/>
        <v>42674</v>
      </c>
      <c r="E338" s="593">
        <f>Arbeitszeit!V339*24</f>
        <v>0</v>
      </c>
      <c r="F338" s="352">
        <f t="shared" si="23"/>
        <v>0</v>
      </c>
      <c r="G338" s="155">
        <f>IF(Arbeitszeit!F339=Urlaub,B_WorkTime*24,)</f>
        <v>0</v>
      </c>
      <c r="H338" s="153"/>
      <c r="I338" s="155">
        <f>IF(Arbeitszeit!F339=Krank,B_WorkTime*24,)</f>
        <v>0</v>
      </c>
      <c r="J338" s="153"/>
      <c r="K338" s="156"/>
      <c r="L338" s="157"/>
      <c r="M338" s="581"/>
      <c r="N338" s="582"/>
      <c r="O338" s="581"/>
      <c r="P338" s="582"/>
      <c r="Q338" s="581"/>
      <c r="R338" s="582"/>
      <c r="S338" s="581"/>
      <c r="T338" s="582"/>
      <c r="U338" s="581"/>
      <c r="V338" s="582"/>
      <c r="W338" s="581"/>
      <c r="X338" s="582"/>
      <c r="Y338" s="581"/>
      <c r="Z338" s="582"/>
      <c r="AA338" s="581"/>
      <c r="AB338" s="582"/>
      <c r="AC338" s="581"/>
      <c r="AD338" s="582"/>
      <c r="AE338" s="581"/>
      <c r="AF338" s="583"/>
      <c r="AG338" s="581"/>
      <c r="AH338" s="583"/>
      <c r="AI338" s="581"/>
      <c r="AJ338" s="583"/>
      <c r="AK338" s="581"/>
      <c r="AL338" s="583"/>
      <c r="AM338" s="584"/>
      <c r="AN338" s="583"/>
      <c r="AO338" s="581"/>
      <c r="AP338" s="583"/>
      <c r="AQ338" s="584"/>
      <c r="AR338" s="583"/>
      <c r="AS338" s="583"/>
      <c r="AT338" s="583"/>
      <c r="AU338" s="584"/>
      <c r="AV338" s="583"/>
      <c r="AW338" s="583"/>
      <c r="AX338" s="158"/>
      <c r="AY338" s="154"/>
      <c r="AZ338">
        <f ca="1">INDIRECT(ADDRESS(ROW()+1,COLUMN(Arbeitszeit!xDay),,,"Arbeitszeit"))</f>
        <v>7</v>
      </c>
    </row>
    <row r="339" spans="1:52">
      <c r="A339" s="523">
        <f>Arbeitszeit!A340</f>
        <v>42703</v>
      </c>
      <c r="B339" s="524">
        <f t="shared" si="20"/>
        <v>42703</v>
      </c>
      <c r="C339" s="191">
        <f t="shared" si="21"/>
        <v>49</v>
      </c>
      <c r="D339" s="190">
        <f t="shared" si="22"/>
        <v>42674</v>
      </c>
      <c r="E339" s="593">
        <f>Arbeitszeit!V340*24</f>
        <v>0</v>
      </c>
      <c r="F339" s="352">
        <f t="shared" si="23"/>
        <v>0</v>
      </c>
      <c r="G339" s="155">
        <f>IF(Arbeitszeit!F340=Urlaub,B_WorkTime*24,)</f>
        <v>0</v>
      </c>
      <c r="H339" s="153"/>
      <c r="I339" s="155">
        <f>IF(Arbeitszeit!F340=Krank,B_WorkTime*24,)</f>
        <v>0</v>
      </c>
      <c r="J339" s="153"/>
      <c r="K339" s="156"/>
      <c r="L339" s="157"/>
      <c r="M339" s="581"/>
      <c r="N339" s="582"/>
      <c r="O339" s="581"/>
      <c r="P339" s="582"/>
      <c r="Q339" s="581"/>
      <c r="R339" s="582"/>
      <c r="S339" s="581"/>
      <c r="T339" s="582"/>
      <c r="U339" s="581"/>
      <c r="V339" s="582"/>
      <c r="W339" s="581"/>
      <c r="X339" s="582"/>
      <c r="Y339" s="581"/>
      <c r="Z339" s="582"/>
      <c r="AA339" s="581"/>
      <c r="AB339" s="582"/>
      <c r="AC339" s="581"/>
      <c r="AD339" s="582"/>
      <c r="AE339" s="581"/>
      <c r="AF339" s="583"/>
      <c r="AG339" s="581"/>
      <c r="AH339" s="583"/>
      <c r="AI339" s="581"/>
      <c r="AJ339" s="583"/>
      <c r="AK339" s="581"/>
      <c r="AL339" s="583"/>
      <c r="AM339" s="584"/>
      <c r="AN339" s="583"/>
      <c r="AO339" s="581"/>
      <c r="AP339" s="583"/>
      <c r="AQ339" s="584"/>
      <c r="AR339" s="583"/>
      <c r="AS339" s="583"/>
      <c r="AT339" s="583"/>
      <c r="AU339" s="584"/>
      <c r="AV339" s="583"/>
      <c r="AW339" s="583"/>
      <c r="AX339" s="158"/>
      <c r="AY339" s="154"/>
      <c r="AZ339">
        <f ca="1">INDIRECT(ADDRESS(ROW()+1,COLUMN(Arbeitszeit!xDay),,,"Arbeitszeit"))</f>
        <v>1</v>
      </c>
    </row>
    <row r="340" spans="1:52">
      <c r="A340" s="523">
        <f>Arbeitszeit!A341</f>
        <v>42704</v>
      </c>
      <c r="B340" s="524">
        <f t="shared" si="20"/>
        <v>42704</v>
      </c>
      <c r="C340" s="191">
        <f t="shared" si="21"/>
        <v>49</v>
      </c>
      <c r="D340" s="190">
        <f t="shared" si="22"/>
        <v>42704</v>
      </c>
      <c r="E340" s="593">
        <f>Arbeitszeit!V341*24</f>
        <v>0</v>
      </c>
      <c r="F340" s="352">
        <f t="shared" si="23"/>
        <v>0</v>
      </c>
      <c r="G340" s="155">
        <f>IF(Arbeitszeit!F341=Urlaub,B_WorkTime*24,)</f>
        <v>0</v>
      </c>
      <c r="H340" s="153"/>
      <c r="I340" s="155">
        <f>IF(Arbeitszeit!F341=Krank,B_WorkTime*24,)</f>
        <v>0</v>
      </c>
      <c r="J340" s="153"/>
      <c r="K340" s="156"/>
      <c r="L340" s="157"/>
      <c r="M340" s="581"/>
      <c r="N340" s="582"/>
      <c r="O340" s="581"/>
      <c r="P340" s="582"/>
      <c r="Q340" s="581"/>
      <c r="R340" s="582"/>
      <c r="S340" s="581"/>
      <c r="T340" s="582"/>
      <c r="U340" s="581"/>
      <c r="V340" s="582"/>
      <c r="W340" s="581"/>
      <c r="X340" s="582"/>
      <c r="Y340" s="581"/>
      <c r="Z340" s="582"/>
      <c r="AA340" s="581"/>
      <c r="AB340" s="582"/>
      <c r="AC340" s="581"/>
      <c r="AD340" s="582"/>
      <c r="AE340" s="581"/>
      <c r="AF340" s="583"/>
      <c r="AG340" s="581"/>
      <c r="AH340" s="583"/>
      <c r="AI340" s="581"/>
      <c r="AJ340" s="583"/>
      <c r="AK340" s="581"/>
      <c r="AL340" s="583"/>
      <c r="AM340" s="584"/>
      <c r="AN340" s="583"/>
      <c r="AO340" s="581"/>
      <c r="AP340" s="583"/>
      <c r="AQ340" s="584"/>
      <c r="AR340" s="583"/>
      <c r="AS340" s="583"/>
      <c r="AT340" s="583"/>
      <c r="AU340" s="584"/>
      <c r="AV340" s="583"/>
      <c r="AW340" s="583"/>
      <c r="AX340" s="158"/>
      <c r="AY340" s="154"/>
      <c r="AZ340">
        <f ca="1">INDIRECT(ADDRESS(ROW()+1,COLUMN(Arbeitszeit!xDay),,,"Arbeitszeit"))</f>
        <v>2</v>
      </c>
    </row>
    <row r="341" spans="1:52">
      <c r="A341" s="523">
        <f>Arbeitszeit!A342</f>
        <v>42705</v>
      </c>
      <c r="B341" s="524">
        <f t="shared" si="20"/>
        <v>42705</v>
      </c>
      <c r="C341" s="191">
        <f t="shared" si="21"/>
        <v>49</v>
      </c>
      <c r="D341" s="190">
        <f t="shared" si="22"/>
        <v>42704</v>
      </c>
      <c r="E341" s="593">
        <f>Arbeitszeit!V342*24</f>
        <v>0</v>
      </c>
      <c r="F341" s="352">
        <f t="shared" si="23"/>
        <v>0</v>
      </c>
      <c r="G341" s="155">
        <f>IF(Arbeitszeit!F342=Urlaub,B_WorkTime*24,)</f>
        <v>0</v>
      </c>
      <c r="H341" s="153"/>
      <c r="I341" s="155">
        <f>IF(Arbeitszeit!F342=Krank,B_WorkTime*24,)</f>
        <v>0</v>
      </c>
      <c r="J341" s="153"/>
      <c r="K341" s="156"/>
      <c r="L341" s="157"/>
      <c r="M341" s="581"/>
      <c r="N341" s="582"/>
      <c r="O341" s="581"/>
      <c r="P341" s="582"/>
      <c r="Q341" s="581"/>
      <c r="R341" s="582"/>
      <c r="S341" s="581"/>
      <c r="T341" s="582"/>
      <c r="U341" s="581"/>
      <c r="V341" s="582"/>
      <c r="W341" s="581"/>
      <c r="X341" s="582"/>
      <c r="Y341" s="581"/>
      <c r="Z341" s="582"/>
      <c r="AA341" s="581"/>
      <c r="AB341" s="582"/>
      <c r="AC341" s="581"/>
      <c r="AD341" s="582"/>
      <c r="AE341" s="581"/>
      <c r="AF341" s="583"/>
      <c r="AG341" s="581"/>
      <c r="AH341" s="583"/>
      <c r="AI341" s="581"/>
      <c r="AJ341" s="583"/>
      <c r="AK341" s="581"/>
      <c r="AL341" s="583"/>
      <c r="AM341" s="584"/>
      <c r="AN341" s="583"/>
      <c r="AO341" s="581"/>
      <c r="AP341" s="583"/>
      <c r="AQ341" s="584"/>
      <c r="AR341" s="583"/>
      <c r="AS341" s="583"/>
      <c r="AT341" s="583"/>
      <c r="AU341" s="584"/>
      <c r="AV341" s="583"/>
      <c r="AW341" s="583"/>
      <c r="AX341" s="158"/>
      <c r="AY341" s="154"/>
      <c r="AZ341">
        <f ca="1">INDIRECT(ADDRESS(ROW()+1,COLUMN(Arbeitszeit!xDay),,,"Arbeitszeit"))</f>
        <v>3</v>
      </c>
    </row>
    <row r="342" spans="1:52">
      <c r="A342" s="523">
        <f>Arbeitszeit!A343</f>
        <v>42706</v>
      </c>
      <c r="B342" s="524">
        <f t="shared" si="20"/>
        <v>42706</v>
      </c>
      <c r="C342" s="191">
        <f t="shared" si="21"/>
        <v>49</v>
      </c>
      <c r="D342" s="190">
        <f t="shared" si="22"/>
        <v>42704</v>
      </c>
      <c r="E342" s="593">
        <f>Arbeitszeit!V343*24</f>
        <v>0</v>
      </c>
      <c r="F342" s="352">
        <f t="shared" si="23"/>
        <v>0</v>
      </c>
      <c r="G342" s="155">
        <f>IF(Arbeitszeit!F343=Urlaub,B_WorkTime*24,)</f>
        <v>0</v>
      </c>
      <c r="H342" s="153"/>
      <c r="I342" s="155">
        <f>IF(Arbeitszeit!F343=Krank,B_WorkTime*24,)</f>
        <v>0</v>
      </c>
      <c r="J342" s="153"/>
      <c r="K342" s="156"/>
      <c r="L342" s="157"/>
      <c r="M342" s="581"/>
      <c r="N342" s="582"/>
      <c r="O342" s="581"/>
      <c r="P342" s="582"/>
      <c r="Q342" s="581"/>
      <c r="R342" s="582"/>
      <c r="S342" s="581"/>
      <c r="T342" s="582"/>
      <c r="U342" s="581"/>
      <c r="V342" s="582"/>
      <c r="W342" s="581"/>
      <c r="X342" s="582"/>
      <c r="Y342" s="581"/>
      <c r="Z342" s="582"/>
      <c r="AA342" s="581"/>
      <c r="AB342" s="582"/>
      <c r="AC342" s="581"/>
      <c r="AD342" s="582"/>
      <c r="AE342" s="581"/>
      <c r="AF342" s="583"/>
      <c r="AG342" s="581"/>
      <c r="AH342" s="583"/>
      <c r="AI342" s="581"/>
      <c r="AJ342" s="583"/>
      <c r="AK342" s="581"/>
      <c r="AL342" s="583"/>
      <c r="AM342" s="584"/>
      <c r="AN342" s="583"/>
      <c r="AO342" s="581"/>
      <c r="AP342" s="583"/>
      <c r="AQ342" s="584"/>
      <c r="AR342" s="583"/>
      <c r="AS342" s="583"/>
      <c r="AT342" s="583"/>
      <c r="AU342" s="584"/>
      <c r="AV342" s="583"/>
      <c r="AW342" s="583"/>
      <c r="AX342" s="158"/>
      <c r="AY342" s="154"/>
      <c r="AZ342">
        <f ca="1">INDIRECT(ADDRESS(ROW()+1,COLUMN(Arbeitszeit!xDay),,,"Arbeitszeit"))</f>
        <v>4</v>
      </c>
    </row>
    <row r="343" spans="1:52">
      <c r="A343" s="523">
        <f>Arbeitszeit!A344</f>
        <v>42707</v>
      </c>
      <c r="B343" s="524">
        <f t="shared" si="20"/>
        <v>42707</v>
      </c>
      <c r="C343" s="191">
        <f t="shared" si="21"/>
        <v>49</v>
      </c>
      <c r="D343" s="190">
        <f t="shared" si="22"/>
        <v>42704</v>
      </c>
      <c r="E343" s="593">
        <f>Arbeitszeit!V344*24</f>
        <v>0</v>
      </c>
      <c r="F343" s="352">
        <f t="shared" si="23"/>
        <v>0</v>
      </c>
      <c r="G343" s="155">
        <f>IF(Arbeitszeit!F344=Urlaub,B_WorkTime*24,)</f>
        <v>0</v>
      </c>
      <c r="H343" s="153"/>
      <c r="I343" s="155">
        <f>IF(Arbeitszeit!F344=Krank,B_WorkTime*24,)</f>
        <v>0</v>
      </c>
      <c r="J343" s="153"/>
      <c r="K343" s="156"/>
      <c r="L343" s="157"/>
      <c r="M343" s="581"/>
      <c r="N343" s="582"/>
      <c r="O343" s="581"/>
      <c r="P343" s="582"/>
      <c r="Q343" s="581"/>
      <c r="R343" s="582"/>
      <c r="S343" s="581"/>
      <c r="T343" s="582"/>
      <c r="U343" s="581"/>
      <c r="V343" s="582"/>
      <c r="W343" s="581"/>
      <c r="X343" s="582"/>
      <c r="Y343" s="581"/>
      <c r="Z343" s="582"/>
      <c r="AA343" s="581"/>
      <c r="AB343" s="582"/>
      <c r="AC343" s="581"/>
      <c r="AD343" s="582"/>
      <c r="AE343" s="581"/>
      <c r="AF343" s="583"/>
      <c r="AG343" s="581"/>
      <c r="AH343" s="583"/>
      <c r="AI343" s="581"/>
      <c r="AJ343" s="583"/>
      <c r="AK343" s="581"/>
      <c r="AL343" s="583"/>
      <c r="AM343" s="584"/>
      <c r="AN343" s="583"/>
      <c r="AO343" s="581"/>
      <c r="AP343" s="583"/>
      <c r="AQ343" s="584"/>
      <c r="AR343" s="583"/>
      <c r="AS343" s="583"/>
      <c r="AT343" s="583"/>
      <c r="AU343" s="584"/>
      <c r="AV343" s="583"/>
      <c r="AW343" s="583"/>
      <c r="AX343" s="158"/>
      <c r="AY343" s="154"/>
      <c r="AZ343">
        <f ca="1">INDIRECT(ADDRESS(ROW()+1,COLUMN(Arbeitszeit!xDay),,,"Arbeitszeit"))</f>
        <v>5</v>
      </c>
    </row>
    <row r="344" spans="1:52">
      <c r="A344" s="523">
        <f>Arbeitszeit!A345</f>
        <v>42708</v>
      </c>
      <c r="B344" s="524">
        <f t="shared" si="20"/>
        <v>42708</v>
      </c>
      <c r="C344" s="191">
        <f t="shared" si="21"/>
        <v>49</v>
      </c>
      <c r="D344" s="190">
        <f t="shared" si="22"/>
        <v>42704</v>
      </c>
      <c r="E344" s="593">
        <f>Arbeitszeit!V345*24</f>
        <v>0</v>
      </c>
      <c r="F344" s="352">
        <f t="shared" si="23"/>
        <v>0</v>
      </c>
      <c r="G344" s="155">
        <f>IF(Arbeitszeit!F345=Urlaub,B_WorkTime*24,)</f>
        <v>0</v>
      </c>
      <c r="H344" s="153"/>
      <c r="I344" s="155">
        <f>IF(Arbeitszeit!F345=Krank,B_WorkTime*24,)</f>
        <v>0</v>
      </c>
      <c r="J344" s="153"/>
      <c r="K344" s="156"/>
      <c r="L344" s="157"/>
      <c r="M344" s="581"/>
      <c r="N344" s="582"/>
      <c r="O344" s="581"/>
      <c r="P344" s="582"/>
      <c r="Q344" s="581"/>
      <c r="R344" s="582"/>
      <c r="S344" s="581"/>
      <c r="T344" s="582"/>
      <c r="U344" s="581"/>
      <c r="V344" s="582"/>
      <c r="W344" s="581"/>
      <c r="X344" s="582"/>
      <c r="Y344" s="581"/>
      <c r="Z344" s="582"/>
      <c r="AA344" s="581"/>
      <c r="AB344" s="582"/>
      <c r="AC344" s="581"/>
      <c r="AD344" s="582"/>
      <c r="AE344" s="581"/>
      <c r="AF344" s="583"/>
      <c r="AG344" s="581"/>
      <c r="AH344" s="583"/>
      <c r="AI344" s="581"/>
      <c r="AJ344" s="583"/>
      <c r="AK344" s="581"/>
      <c r="AL344" s="583"/>
      <c r="AM344" s="584"/>
      <c r="AN344" s="583"/>
      <c r="AO344" s="581"/>
      <c r="AP344" s="583"/>
      <c r="AQ344" s="584"/>
      <c r="AR344" s="583"/>
      <c r="AS344" s="583"/>
      <c r="AT344" s="583"/>
      <c r="AU344" s="584"/>
      <c r="AV344" s="583"/>
      <c r="AW344" s="583"/>
      <c r="AX344" s="158"/>
      <c r="AY344" s="154"/>
      <c r="AZ344">
        <f ca="1">INDIRECT(ADDRESS(ROW()+1,COLUMN(Arbeitszeit!xDay),,,"Arbeitszeit"))</f>
        <v>6</v>
      </c>
    </row>
    <row r="345" spans="1:52">
      <c r="A345" s="523">
        <f>Arbeitszeit!A346</f>
        <v>42709</v>
      </c>
      <c r="B345" s="524">
        <f t="shared" si="20"/>
        <v>42709</v>
      </c>
      <c r="C345" s="191">
        <f t="shared" si="21"/>
        <v>49</v>
      </c>
      <c r="D345" s="190">
        <f t="shared" si="22"/>
        <v>42704</v>
      </c>
      <c r="E345" s="593">
        <f>Arbeitszeit!V346*24</f>
        <v>0</v>
      </c>
      <c r="F345" s="352">
        <f t="shared" si="23"/>
        <v>0</v>
      </c>
      <c r="G345" s="155">
        <f>IF(Arbeitszeit!F346=Urlaub,B_WorkTime*24,)</f>
        <v>0</v>
      </c>
      <c r="H345" s="153"/>
      <c r="I345" s="155">
        <f>IF(Arbeitszeit!F346=Krank,B_WorkTime*24,)</f>
        <v>0</v>
      </c>
      <c r="J345" s="153"/>
      <c r="K345" s="156"/>
      <c r="L345" s="157"/>
      <c r="M345" s="581"/>
      <c r="N345" s="582"/>
      <c r="O345" s="581"/>
      <c r="P345" s="582"/>
      <c r="Q345" s="581"/>
      <c r="R345" s="582"/>
      <c r="S345" s="581"/>
      <c r="T345" s="582"/>
      <c r="U345" s="581"/>
      <c r="V345" s="582"/>
      <c r="W345" s="581"/>
      <c r="X345" s="582"/>
      <c r="Y345" s="581"/>
      <c r="Z345" s="582"/>
      <c r="AA345" s="581"/>
      <c r="AB345" s="582"/>
      <c r="AC345" s="581"/>
      <c r="AD345" s="582"/>
      <c r="AE345" s="581"/>
      <c r="AF345" s="583"/>
      <c r="AG345" s="581"/>
      <c r="AH345" s="583"/>
      <c r="AI345" s="581"/>
      <c r="AJ345" s="583"/>
      <c r="AK345" s="581"/>
      <c r="AL345" s="583"/>
      <c r="AM345" s="584"/>
      <c r="AN345" s="583"/>
      <c r="AO345" s="581"/>
      <c r="AP345" s="583"/>
      <c r="AQ345" s="584"/>
      <c r="AR345" s="583"/>
      <c r="AS345" s="583"/>
      <c r="AT345" s="583"/>
      <c r="AU345" s="584"/>
      <c r="AV345" s="583"/>
      <c r="AW345" s="583"/>
      <c r="AX345" s="158"/>
      <c r="AY345" s="154"/>
      <c r="AZ345">
        <f ca="1">INDIRECT(ADDRESS(ROW()+1,COLUMN(Arbeitszeit!xDay),,,"Arbeitszeit"))</f>
        <v>7</v>
      </c>
    </row>
    <row r="346" spans="1:52">
      <c r="A346" s="523">
        <f>Arbeitszeit!A347</f>
        <v>42710</v>
      </c>
      <c r="B346" s="524">
        <f t="shared" si="20"/>
        <v>42710</v>
      </c>
      <c r="C346" s="191">
        <f t="shared" si="21"/>
        <v>50</v>
      </c>
      <c r="D346" s="190">
        <f t="shared" si="22"/>
        <v>42704</v>
      </c>
      <c r="E346" s="593">
        <f>Arbeitszeit!V347*24</f>
        <v>0</v>
      </c>
      <c r="F346" s="352">
        <f t="shared" si="23"/>
        <v>0</v>
      </c>
      <c r="G346" s="155">
        <f>IF(Arbeitszeit!F347=Urlaub,B_WorkTime*24,)</f>
        <v>0</v>
      </c>
      <c r="H346" s="153"/>
      <c r="I346" s="155">
        <f>IF(Arbeitszeit!F347=Krank,B_WorkTime*24,)</f>
        <v>0</v>
      </c>
      <c r="J346" s="153"/>
      <c r="K346" s="156"/>
      <c r="L346" s="157"/>
      <c r="M346" s="581"/>
      <c r="N346" s="582"/>
      <c r="O346" s="581"/>
      <c r="P346" s="582"/>
      <c r="Q346" s="581"/>
      <c r="R346" s="582"/>
      <c r="S346" s="581"/>
      <c r="T346" s="582"/>
      <c r="U346" s="581"/>
      <c r="V346" s="582"/>
      <c r="W346" s="581"/>
      <c r="X346" s="582"/>
      <c r="Y346" s="581"/>
      <c r="Z346" s="582"/>
      <c r="AA346" s="581"/>
      <c r="AB346" s="582"/>
      <c r="AC346" s="581"/>
      <c r="AD346" s="582"/>
      <c r="AE346" s="581"/>
      <c r="AF346" s="583"/>
      <c r="AG346" s="581"/>
      <c r="AH346" s="583"/>
      <c r="AI346" s="581"/>
      <c r="AJ346" s="583"/>
      <c r="AK346" s="581"/>
      <c r="AL346" s="583"/>
      <c r="AM346" s="584"/>
      <c r="AN346" s="583"/>
      <c r="AO346" s="581"/>
      <c r="AP346" s="583"/>
      <c r="AQ346" s="584"/>
      <c r="AR346" s="583"/>
      <c r="AS346" s="583"/>
      <c r="AT346" s="583"/>
      <c r="AU346" s="584"/>
      <c r="AV346" s="583"/>
      <c r="AW346" s="583"/>
      <c r="AX346" s="158"/>
      <c r="AY346" s="154"/>
      <c r="AZ346">
        <f ca="1">INDIRECT(ADDRESS(ROW()+1,COLUMN(Arbeitszeit!xDay),,,"Arbeitszeit"))</f>
        <v>1</v>
      </c>
    </row>
    <row r="347" spans="1:52">
      <c r="A347" s="523">
        <f>Arbeitszeit!A348</f>
        <v>42711</v>
      </c>
      <c r="B347" s="524">
        <f t="shared" si="20"/>
        <v>42711</v>
      </c>
      <c r="C347" s="191">
        <f t="shared" si="21"/>
        <v>50</v>
      </c>
      <c r="D347" s="190">
        <f t="shared" si="22"/>
        <v>42704</v>
      </c>
      <c r="E347" s="593">
        <f>Arbeitszeit!V348*24</f>
        <v>0</v>
      </c>
      <c r="F347" s="352">
        <f t="shared" si="23"/>
        <v>0</v>
      </c>
      <c r="G347" s="155">
        <f>IF(Arbeitszeit!F348=Urlaub,B_WorkTime*24,)</f>
        <v>0</v>
      </c>
      <c r="H347" s="153"/>
      <c r="I347" s="155">
        <f>IF(Arbeitszeit!F348=Krank,B_WorkTime*24,)</f>
        <v>0</v>
      </c>
      <c r="J347" s="153"/>
      <c r="K347" s="156"/>
      <c r="L347" s="157"/>
      <c r="M347" s="581"/>
      <c r="N347" s="582"/>
      <c r="O347" s="581"/>
      <c r="P347" s="582"/>
      <c r="Q347" s="581"/>
      <c r="R347" s="582"/>
      <c r="S347" s="581"/>
      <c r="T347" s="582"/>
      <c r="U347" s="581"/>
      <c r="V347" s="582"/>
      <c r="W347" s="581"/>
      <c r="X347" s="582"/>
      <c r="Y347" s="581"/>
      <c r="Z347" s="582"/>
      <c r="AA347" s="581"/>
      <c r="AB347" s="582"/>
      <c r="AC347" s="581"/>
      <c r="AD347" s="582"/>
      <c r="AE347" s="581"/>
      <c r="AF347" s="583"/>
      <c r="AG347" s="581"/>
      <c r="AH347" s="583"/>
      <c r="AI347" s="581"/>
      <c r="AJ347" s="583"/>
      <c r="AK347" s="581"/>
      <c r="AL347" s="583"/>
      <c r="AM347" s="584"/>
      <c r="AN347" s="583"/>
      <c r="AO347" s="581"/>
      <c r="AP347" s="583"/>
      <c r="AQ347" s="584"/>
      <c r="AR347" s="583"/>
      <c r="AS347" s="583"/>
      <c r="AT347" s="583"/>
      <c r="AU347" s="584"/>
      <c r="AV347" s="583"/>
      <c r="AW347" s="583"/>
      <c r="AX347" s="158"/>
      <c r="AY347" s="154"/>
      <c r="AZ347">
        <f ca="1">INDIRECT(ADDRESS(ROW()+1,COLUMN(Arbeitszeit!xDay),,,"Arbeitszeit"))</f>
        <v>2</v>
      </c>
    </row>
    <row r="348" spans="1:52">
      <c r="A348" s="523">
        <f>Arbeitszeit!A349</f>
        <v>42712</v>
      </c>
      <c r="B348" s="524">
        <f t="shared" si="20"/>
        <v>42712</v>
      </c>
      <c r="C348" s="191">
        <f t="shared" si="21"/>
        <v>50</v>
      </c>
      <c r="D348" s="190">
        <f t="shared" si="22"/>
        <v>42704</v>
      </c>
      <c r="E348" s="593">
        <f>Arbeitszeit!V349*24</f>
        <v>0</v>
      </c>
      <c r="F348" s="352">
        <f t="shared" si="23"/>
        <v>0</v>
      </c>
      <c r="G348" s="155">
        <f>IF(Arbeitszeit!F349=Urlaub,B_WorkTime*24,)</f>
        <v>0</v>
      </c>
      <c r="H348" s="153"/>
      <c r="I348" s="155">
        <f>IF(Arbeitszeit!F349=Krank,B_WorkTime*24,)</f>
        <v>0</v>
      </c>
      <c r="J348" s="153"/>
      <c r="K348" s="156"/>
      <c r="L348" s="157"/>
      <c r="M348" s="581"/>
      <c r="N348" s="582"/>
      <c r="O348" s="581"/>
      <c r="P348" s="582"/>
      <c r="Q348" s="581"/>
      <c r="R348" s="582"/>
      <c r="S348" s="581"/>
      <c r="T348" s="582"/>
      <c r="U348" s="581"/>
      <c r="V348" s="582"/>
      <c r="W348" s="581"/>
      <c r="X348" s="582"/>
      <c r="Y348" s="581"/>
      <c r="Z348" s="582"/>
      <c r="AA348" s="581"/>
      <c r="AB348" s="582"/>
      <c r="AC348" s="581"/>
      <c r="AD348" s="582"/>
      <c r="AE348" s="581"/>
      <c r="AF348" s="583"/>
      <c r="AG348" s="581"/>
      <c r="AH348" s="583"/>
      <c r="AI348" s="581"/>
      <c r="AJ348" s="583"/>
      <c r="AK348" s="581"/>
      <c r="AL348" s="583"/>
      <c r="AM348" s="584"/>
      <c r="AN348" s="583"/>
      <c r="AO348" s="581"/>
      <c r="AP348" s="583"/>
      <c r="AQ348" s="584"/>
      <c r="AR348" s="583"/>
      <c r="AS348" s="583"/>
      <c r="AT348" s="583"/>
      <c r="AU348" s="584"/>
      <c r="AV348" s="583"/>
      <c r="AW348" s="583"/>
      <c r="AX348" s="158"/>
      <c r="AY348" s="154"/>
      <c r="AZ348">
        <f ca="1">INDIRECT(ADDRESS(ROW()+1,COLUMN(Arbeitszeit!xDay),,,"Arbeitszeit"))</f>
        <v>3</v>
      </c>
    </row>
    <row r="349" spans="1:52">
      <c r="A349" s="523">
        <f>Arbeitszeit!A350</f>
        <v>42713</v>
      </c>
      <c r="B349" s="524">
        <f t="shared" si="20"/>
        <v>42713</v>
      </c>
      <c r="C349" s="191">
        <f t="shared" si="21"/>
        <v>50</v>
      </c>
      <c r="D349" s="190">
        <f t="shared" si="22"/>
        <v>42704</v>
      </c>
      <c r="E349" s="593">
        <f>Arbeitszeit!V350*24</f>
        <v>0</v>
      </c>
      <c r="F349" s="352">
        <f t="shared" si="23"/>
        <v>0</v>
      </c>
      <c r="G349" s="155">
        <f>IF(Arbeitszeit!F350=Urlaub,B_WorkTime*24,)</f>
        <v>0</v>
      </c>
      <c r="H349" s="153"/>
      <c r="I349" s="155">
        <f>IF(Arbeitszeit!F350=Krank,B_WorkTime*24,)</f>
        <v>0</v>
      </c>
      <c r="J349" s="153"/>
      <c r="K349" s="156"/>
      <c r="L349" s="157"/>
      <c r="M349" s="581"/>
      <c r="N349" s="582"/>
      <c r="O349" s="581"/>
      <c r="P349" s="582"/>
      <c r="Q349" s="581"/>
      <c r="R349" s="582"/>
      <c r="S349" s="581"/>
      <c r="T349" s="582"/>
      <c r="U349" s="581"/>
      <c r="V349" s="582"/>
      <c r="W349" s="581"/>
      <c r="X349" s="582"/>
      <c r="Y349" s="581"/>
      <c r="Z349" s="582"/>
      <c r="AA349" s="581"/>
      <c r="AB349" s="582"/>
      <c r="AC349" s="581"/>
      <c r="AD349" s="582"/>
      <c r="AE349" s="581"/>
      <c r="AF349" s="583"/>
      <c r="AG349" s="581"/>
      <c r="AH349" s="583"/>
      <c r="AI349" s="581"/>
      <c r="AJ349" s="583"/>
      <c r="AK349" s="581"/>
      <c r="AL349" s="583"/>
      <c r="AM349" s="584"/>
      <c r="AN349" s="583"/>
      <c r="AO349" s="581"/>
      <c r="AP349" s="583"/>
      <c r="AQ349" s="584"/>
      <c r="AR349" s="583"/>
      <c r="AS349" s="583"/>
      <c r="AT349" s="583"/>
      <c r="AU349" s="584"/>
      <c r="AV349" s="583"/>
      <c r="AW349" s="583"/>
      <c r="AX349" s="158"/>
      <c r="AY349" s="154"/>
      <c r="AZ349">
        <f ca="1">INDIRECT(ADDRESS(ROW()+1,COLUMN(Arbeitszeit!xDay),,,"Arbeitszeit"))</f>
        <v>4</v>
      </c>
    </row>
    <row r="350" spans="1:52">
      <c r="A350" s="523">
        <f>Arbeitszeit!A351</f>
        <v>42714</v>
      </c>
      <c r="B350" s="524">
        <f t="shared" si="20"/>
        <v>42714</v>
      </c>
      <c r="C350" s="191">
        <f t="shared" si="21"/>
        <v>50</v>
      </c>
      <c r="D350" s="190">
        <f t="shared" si="22"/>
        <v>42704</v>
      </c>
      <c r="E350" s="593">
        <f>Arbeitszeit!V351*24</f>
        <v>0</v>
      </c>
      <c r="F350" s="352">
        <f t="shared" si="23"/>
        <v>0</v>
      </c>
      <c r="G350" s="155">
        <f>IF(Arbeitszeit!F351=Urlaub,B_WorkTime*24,)</f>
        <v>0</v>
      </c>
      <c r="H350" s="153"/>
      <c r="I350" s="155">
        <f>IF(Arbeitszeit!F351=Krank,B_WorkTime*24,)</f>
        <v>0</v>
      </c>
      <c r="J350" s="153"/>
      <c r="K350" s="156"/>
      <c r="L350" s="157"/>
      <c r="M350" s="581"/>
      <c r="N350" s="582"/>
      <c r="O350" s="581"/>
      <c r="P350" s="582"/>
      <c r="Q350" s="581"/>
      <c r="R350" s="582"/>
      <c r="S350" s="581"/>
      <c r="T350" s="582"/>
      <c r="U350" s="581"/>
      <c r="V350" s="582"/>
      <c r="W350" s="581"/>
      <c r="X350" s="582"/>
      <c r="Y350" s="581"/>
      <c r="Z350" s="582"/>
      <c r="AA350" s="581"/>
      <c r="AB350" s="582"/>
      <c r="AC350" s="581"/>
      <c r="AD350" s="582"/>
      <c r="AE350" s="581"/>
      <c r="AF350" s="583"/>
      <c r="AG350" s="581"/>
      <c r="AH350" s="583"/>
      <c r="AI350" s="581"/>
      <c r="AJ350" s="583"/>
      <c r="AK350" s="581"/>
      <c r="AL350" s="583"/>
      <c r="AM350" s="584"/>
      <c r="AN350" s="583"/>
      <c r="AO350" s="581"/>
      <c r="AP350" s="583"/>
      <c r="AQ350" s="584"/>
      <c r="AR350" s="583"/>
      <c r="AS350" s="583"/>
      <c r="AT350" s="583"/>
      <c r="AU350" s="584"/>
      <c r="AV350" s="583"/>
      <c r="AW350" s="583"/>
      <c r="AX350" s="158"/>
      <c r="AY350" s="154"/>
      <c r="AZ350">
        <f ca="1">INDIRECT(ADDRESS(ROW()+1,COLUMN(Arbeitszeit!xDay),,,"Arbeitszeit"))</f>
        <v>5</v>
      </c>
    </row>
    <row r="351" spans="1:52">
      <c r="A351" s="523">
        <f>Arbeitszeit!A352</f>
        <v>42715</v>
      </c>
      <c r="B351" s="524">
        <f t="shared" si="20"/>
        <v>42715</v>
      </c>
      <c r="C351" s="191">
        <f t="shared" si="21"/>
        <v>50</v>
      </c>
      <c r="D351" s="190">
        <f t="shared" si="22"/>
        <v>42704</v>
      </c>
      <c r="E351" s="593">
        <f>Arbeitszeit!V352*24</f>
        <v>0</v>
      </c>
      <c r="F351" s="352">
        <f t="shared" si="23"/>
        <v>0</v>
      </c>
      <c r="G351" s="155">
        <f>IF(Arbeitszeit!F352=Urlaub,B_WorkTime*24,)</f>
        <v>0</v>
      </c>
      <c r="H351" s="153"/>
      <c r="I351" s="155">
        <f>IF(Arbeitszeit!F352=Krank,B_WorkTime*24,)</f>
        <v>0</v>
      </c>
      <c r="J351" s="153"/>
      <c r="K351" s="156"/>
      <c r="L351" s="157"/>
      <c r="M351" s="581"/>
      <c r="N351" s="582"/>
      <c r="O351" s="581"/>
      <c r="P351" s="582"/>
      <c r="Q351" s="581"/>
      <c r="R351" s="582"/>
      <c r="S351" s="581"/>
      <c r="T351" s="582"/>
      <c r="U351" s="581"/>
      <c r="V351" s="582"/>
      <c r="W351" s="581"/>
      <c r="X351" s="582"/>
      <c r="Y351" s="581"/>
      <c r="Z351" s="582"/>
      <c r="AA351" s="581"/>
      <c r="AB351" s="582"/>
      <c r="AC351" s="581"/>
      <c r="AD351" s="582"/>
      <c r="AE351" s="581"/>
      <c r="AF351" s="583"/>
      <c r="AG351" s="581"/>
      <c r="AH351" s="583"/>
      <c r="AI351" s="581"/>
      <c r="AJ351" s="583"/>
      <c r="AK351" s="581"/>
      <c r="AL351" s="583"/>
      <c r="AM351" s="584"/>
      <c r="AN351" s="583"/>
      <c r="AO351" s="581"/>
      <c r="AP351" s="583"/>
      <c r="AQ351" s="584"/>
      <c r="AR351" s="583"/>
      <c r="AS351" s="583"/>
      <c r="AT351" s="583"/>
      <c r="AU351" s="584"/>
      <c r="AV351" s="583"/>
      <c r="AW351" s="583"/>
      <c r="AX351" s="158"/>
      <c r="AY351" s="154"/>
      <c r="AZ351">
        <f ca="1">INDIRECT(ADDRESS(ROW()+1,COLUMN(Arbeitszeit!xDay),,,"Arbeitszeit"))</f>
        <v>6</v>
      </c>
    </row>
    <row r="352" spans="1:52">
      <c r="A352" s="523">
        <f>Arbeitszeit!A353</f>
        <v>42716</v>
      </c>
      <c r="B352" s="524">
        <f t="shared" si="20"/>
        <v>42716</v>
      </c>
      <c r="C352" s="191">
        <f t="shared" si="21"/>
        <v>50</v>
      </c>
      <c r="D352" s="190">
        <f t="shared" si="22"/>
        <v>42704</v>
      </c>
      <c r="E352" s="593">
        <f>Arbeitszeit!V353*24</f>
        <v>0</v>
      </c>
      <c r="F352" s="352">
        <f t="shared" si="23"/>
        <v>0</v>
      </c>
      <c r="G352" s="155">
        <f>IF(Arbeitszeit!F353=Urlaub,B_WorkTime*24,)</f>
        <v>0</v>
      </c>
      <c r="H352" s="153"/>
      <c r="I352" s="155">
        <f>IF(Arbeitszeit!F353=Krank,B_WorkTime*24,)</f>
        <v>0</v>
      </c>
      <c r="J352" s="153"/>
      <c r="K352" s="156"/>
      <c r="L352" s="157"/>
      <c r="M352" s="581"/>
      <c r="N352" s="582"/>
      <c r="O352" s="581"/>
      <c r="P352" s="582"/>
      <c r="Q352" s="581"/>
      <c r="R352" s="582"/>
      <c r="S352" s="581"/>
      <c r="T352" s="582"/>
      <c r="U352" s="581"/>
      <c r="V352" s="582"/>
      <c r="W352" s="581"/>
      <c r="X352" s="582"/>
      <c r="Y352" s="581"/>
      <c r="Z352" s="582"/>
      <c r="AA352" s="581"/>
      <c r="AB352" s="582"/>
      <c r="AC352" s="581"/>
      <c r="AD352" s="582"/>
      <c r="AE352" s="581"/>
      <c r="AF352" s="583"/>
      <c r="AG352" s="581"/>
      <c r="AH352" s="583"/>
      <c r="AI352" s="581"/>
      <c r="AJ352" s="583"/>
      <c r="AK352" s="581"/>
      <c r="AL352" s="583"/>
      <c r="AM352" s="584"/>
      <c r="AN352" s="583"/>
      <c r="AO352" s="581"/>
      <c r="AP352" s="583"/>
      <c r="AQ352" s="584"/>
      <c r="AR352" s="583"/>
      <c r="AS352" s="583"/>
      <c r="AT352" s="583"/>
      <c r="AU352" s="584"/>
      <c r="AV352" s="583"/>
      <c r="AW352" s="583"/>
      <c r="AX352" s="158"/>
      <c r="AY352" s="154"/>
      <c r="AZ352">
        <f ca="1">INDIRECT(ADDRESS(ROW()+1,COLUMN(Arbeitszeit!xDay),,,"Arbeitszeit"))</f>
        <v>7</v>
      </c>
    </row>
    <row r="353" spans="1:52">
      <c r="A353" s="523">
        <f>Arbeitszeit!A354</f>
        <v>42717</v>
      </c>
      <c r="B353" s="524">
        <f t="shared" si="20"/>
        <v>42717</v>
      </c>
      <c r="C353" s="191">
        <f t="shared" si="21"/>
        <v>51</v>
      </c>
      <c r="D353" s="190">
        <f t="shared" si="22"/>
        <v>42704</v>
      </c>
      <c r="E353" s="593">
        <f>Arbeitszeit!V354*24</f>
        <v>0</v>
      </c>
      <c r="F353" s="352">
        <f t="shared" si="23"/>
        <v>0</v>
      </c>
      <c r="G353" s="155">
        <f>IF(Arbeitszeit!F354=Urlaub,B_WorkTime*24,)</f>
        <v>0</v>
      </c>
      <c r="H353" s="153"/>
      <c r="I353" s="155">
        <f>IF(Arbeitszeit!F354=Krank,B_WorkTime*24,)</f>
        <v>0</v>
      </c>
      <c r="J353" s="153"/>
      <c r="K353" s="156"/>
      <c r="L353" s="157"/>
      <c r="M353" s="581"/>
      <c r="N353" s="582"/>
      <c r="O353" s="581"/>
      <c r="P353" s="582"/>
      <c r="Q353" s="581"/>
      <c r="R353" s="582"/>
      <c r="S353" s="581"/>
      <c r="T353" s="582"/>
      <c r="U353" s="581"/>
      <c r="V353" s="582"/>
      <c r="W353" s="581"/>
      <c r="X353" s="582"/>
      <c r="Y353" s="581"/>
      <c r="Z353" s="582"/>
      <c r="AA353" s="581"/>
      <c r="AB353" s="582"/>
      <c r="AC353" s="581"/>
      <c r="AD353" s="582"/>
      <c r="AE353" s="581"/>
      <c r="AF353" s="583"/>
      <c r="AG353" s="581"/>
      <c r="AH353" s="583"/>
      <c r="AI353" s="581"/>
      <c r="AJ353" s="583"/>
      <c r="AK353" s="581"/>
      <c r="AL353" s="583"/>
      <c r="AM353" s="584"/>
      <c r="AN353" s="583"/>
      <c r="AO353" s="581"/>
      <c r="AP353" s="583"/>
      <c r="AQ353" s="584"/>
      <c r="AR353" s="583"/>
      <c r="AS353" s="583"/>
      <c r="AT353" s="583"/>
      <c r="AU353" s="584"/>
      <c r="AV353" s="583"/>
      <c r="AW353" s="583"/>
      <c r="AX353" s="158"/>
      <c r="AY353" s="154"/>
      <c r="AZ353">
        <f ca="1">INDIRECT(ADDRESS(ROW()+1,COLUMN(Arbeitszeit!xDay),,,"Arbeitszeit"))</f>
        <v>1</v>
      </c>
    </row>
    <row r="354" spans="1:52">
      <c r="A354" s="523">
        <f>Arbeitszeit!A355</f>
        <v>42718</v>
      </c>
      <c r="B354" s="524">
        <f t="shared" si="20"/>
        <v>42718</v>
      </c>
      <c r="C354" s="191">
        <f t="shared" si="21"/>
        <v>51</v>
      </c>
      <c r="D354" s="190">
        <f t="shared" si="22"/>
        <v>42704</v>
      </c>
      <c r="E354" s="593">
        <f>Arbeitszeit!V355*24</f>
        <v>0</v>
      </c>
      <c r="F354" s="352">
        <f t="shared" si="23"/>
        <v>0</v>
      </c>
      <c r="G354" s="155">
        <f>IF(Arbeitszeit!F355=Urlaub,B_WorkTime*24,)</f>
        <v>0</v>
      </c>
      <c r="H354" s="153"/>
      <c r="I354" s="155">
        <f>IF(Arbeitszeit!F355=Krank,B_WorkTime*24,)</f>
        <v>0</v>
      </c>
      <c r="J354" s="153"/>
      <c r="K354" s="156"/>
      <c r="L354" s="157"/>
      <c r="M354" s="581"/>
      <c r="N354" s="582"/>
      <c r="O354" s="581"/>
      <c r="P354" s="582"/>
      <c r="Q354" s="581"/>
      <c r="R354" s="582"/>
      <c r="S354" s="581"/>
      <c r="T354" s="582"/>
      <c r="U354" s="581"/>
      <c r="V354" s="582"/>
      <c r="W354" s="581"/>
      <c r="X354" s="582"/>
      <c r="Y354" s="581"/>
      <c r="Z354" s="582"/>
      <c r="AA354" s="581"/>
      <c r="AB354" s="582"/>
      <c r="AC354" s="581"/>
      <c r="AD354" s="582"/>
      <c r="AE354" s="581"/>
      <c r="AF354" s="583"/>
      <c r="AG354" s="581"/>
      <c r="AH354" s="583"/>
      <c r="AI354" s="581"/>
      <c r="AJ354" s="583"/>
      <c r="AK354" s="581"/>
      <c r="AL354" s="583"/>
      <c r="AM354" s="584"/>
      <c r="AN354" s="583"/>
      <c r="AO354" s="581"/>
      <c r="AP354" s="583"/>
      <c r="AQ354" s="584"/>
      <c r="AR354" s="583"/>
      <c r="AS354" s="583"/>
      <c r="AT354" s="583"/>
      <c r="AU354" s="584"/>
      <c r="AV354" s="583"/>
      <c r="AW354" s="583"/>
      <c r="AX354" s="158"/>
      <c r="AY354" s="154"/>
      <c r="AZ354">
        <f ca="1">INDIRECT(ADDRESS(ROW()+1,COLUMN(Arbeitszeit!xDay),,,"Arbeitszeit"))</f>
        <v>2</v>
      </c>
    </row>
    <row r="355" spans="1:52">
      <c r="A355" s="523">
        <f>Arbeitszeit!A356</f>
        <v>42719</v>
      </c>
      <c r="B355" s="524">
        <f t="shared" si="20"/>
        <v>42719</v>
      </c>
      <c r="C355" s="191">
        <f t="shared" si="21"/>
        <v>51</v>
      </c>
      <c r="D355" s="190">
        <f t="shared" si="22"/>
        <v>42704</v>
      </c>
      <c r="E355" s="593">
        <f>Arbeitszeit!V356*24</f>
        <v>0</v>
      </c>
      <c r="F355" s="352">
        <f t="shared" si="23"/>
        <v>0</v>
      </c>
      <c r="G355" s="155">
        <f>IF(Arbeitszeit!F356=Urlaub,B_WorkTime*24,)</f>
        <v>0</v>
      </c>
      <c r="H355" s="153"/>
      <c r="I355" s="155">
        <f>IF(Arbeitszeit!F356=Krank,B_WorkTime*24,)</f>
        <v>0</v>
      </c>
      <c r="J355" s="153"/>
      <c r="K355" s="156"/>
      <c r="L355" s="157"/>
      <c r="M355" s="581"/>
      <c r="N355" s="582"/>
      <c r="O355" s="581"/>
      <c r="P355" s="582"/>
      <c r="Q355" s="581"/>
      <c r="R355" s="582"/>
      <c r="S355" s="581"/>
      <c r="T355" s="582"/>
      <c r="U355" s="581"/>
      <c r="V355" s="582"/>
      <c r="W355" s="581"/>
      <c r="X355" s="582"/>
      <c r="Y355" s="581"/>
      <c r="Z355" s="582"/>
      <c r="AA355" s="581"/>
      <c r="AB355" s="582"/>
      <c r="AC355" s="581"/>
      <c r="AD355" s="582"/>
      <c r="AE355" s="581"/>
      <c r="AF355" s="583"/>
      <c r="AG355" s="581"/>
      <c r="AH355" s="583"/>
      <c r="AI355" s="581"/>
      <c r="AJ355" s="583"/>
      <c r="AK355" s="581"/>
      <c r="AL355" s="583"/>
      <c r="AM355" s="584"/>
      <c r="AN355" s="583"/>
      <c r="AO355" s="581"/>
      <c r="AP355" s="583"/>
      <c r="AQ355" s="584"/>
      <c r="AR355" s="583"/>
      <c r="AS355" s="583"/>
      <c r="AT355" s="583"/>
      <c r="AU355" s="584"/>
      <c r="AV355" s="583"/>
      <c r="AW355" s="583"/>
      <c r="AX355" s="158"/>
      <c r="AY355" s="154"/>
      <c r="AZ355">
        <f ca="1">INDIRECT(ADDRESS(ROW()+1,COLUMN(Arbeitszeit!xDay),,,"Arbeitszeit"))</f>
        <v>3</v>
      </c>
    </row>
    <row r="356" spans="1:52">
      <c r="A356" s="523">
        <f>Arbeitszeit!A357</f>
        <v>42720</v>
      </c>
      <c r="B356" s="524">
        <f t="shared" si="20"/>
        <v>42720</v>
      </c>
      <c r="C356" s="191">
        <f t="shared" si="21"/>
        <v>51</v>
      </c>
      <c r="D356" s="190">
        <f t="shared" si="22"/>
        <v>42704</v>
      </c>
      <c r="E356" s="593">
        <f>Arbeitszeit!V357*24</f>
        <v>0</v>
      </c>
      <c r="F356" s="352">
        <f t="shared" si="23"/>
        <v>0</v>
      </c>
      <c r="G356" s="155">
        <f>IF(Arbeitszeit!F357=Urlaub,B_WorkTime*24,)</f>
        <v>0</v>
      </c>
      <c r="H356" s="153"/>
      <c r="I356" s="155">
        <f>IF(Arbeitszeit!F357=Krank,B_WorkTime*24,)</f>
        <v>0</v>
      </c>
      <c r="J356" s="153"/>
      <c r="K356" s="156"/>
      <c r="L356" s="157"/>
      <c r="M356" s="581"/>
      <c r="N356" s="582"/>
      <c r="O356" s="581"/>
      <c r="P356" s="582"/>
      <c r="Q356" s="581"/>
      <c r="R356" s="582"/>
      <c r="S356" s="581"/>
      <c r="T356" s="582"/>
      <c r="U356" s="581"/>
      <c r="V356" s="582"/>
      <c r="W356" s="581"/>
      <c r="X356" s="582"/>
      <c r="Y356" s="581"/>
      <c r="Z356" s="582"/>
      <c r="AA356" s="581"/>
      <c r="AB356" s="582"/>
      <c r="AC356" s="581"/>
      <c r="AD356" s="582"/>
      <c r="AE356" s="581"/>
      <c r="AF356" s="583"/>
      <c r="AG356" s="581"/>
      <c r="AH356" s="583"/>
      <c r="AI356" s="581"/>
      <c r="AJ356" s="583"/>
      <c r="AK356" s="581"/>
      <c r="AL356" s="583"/>
      <c r="AM356" s="584"/>
      <c r="AN356" s="583"/>
      <c r="AO356" s="581"/>
      <c r="AP356" s="583"/>
      <c r="AQ356" s="584"/>
      <c r="AR356" s="583"/>
      <c r="AS356" s="583"/>
      <c r="AT356" s="583"/>
      <c r="AU356" s="584"/>
      <c r="AV356" s="583"/>
      <c r="AW356" s="583"/>
      <c r="AX356" s="158"/>
      <c r="AY356" s="154"/>
      <c r="AZ356">
        <f ca="1">INDIRECT(ADDRESS(ROW()+1,COLUMN(Arbeitszeit!xDay),,,"Arbeitszeit"))</f>
        <v>4</v>
      </c>
    </row>
    <row r="357" spans="1:52">
      <c r="A357" s="523">
        <f>Arbeitszeit!A358</f>
        <v>42721</v>
      </c>
      <c r="B357" s="524">
        <f t="shared" si="20"/>
        <v>42721</v>
      </c>
      <c r="C357" s="191">
        <f t="shared" si="21"/>
        <v>51</v>
      </c>
      <c r="D357" s="190">
        <f t="shared" si="22"/>
        <v>42704</v>
      </c>
      <c r="E357" s="593">
        <f>Arbeitszeit!V358*24</f>
        <v>0</v>
      </c>
      <c r="F357" s="352">
        <f t="shared" si="23"/>
        <v>0</v>
      </c>
      <c r="G357" s="155">
        <f>IF(Arbeitszeit!F358=Urlaub,B_WorkTime*24,)</f>
        <v>0</v>
      </c>
      <c r="H357" s="153"/>
      <c r="I357" s="155">
        <f>IF(Arbeitszeit!F358=Krank,B_WorkTime*24,)</f>
        <v>0</v>
      </c>
      <c r="J357" s="153"/>
      <c r="K357" s="156"/>
      <c r="L357" s="157"/>
      <c r="M357" s="581"/>
      <c r="N357" s="582"/>
      <c r="O357" s="581"/>
      <c r="P357" s="582"/>
      <c r="Q357" s="581"/>
      <c r="R357" s="582"/>
      <c r="S357" s="581"/>
      <c r="T357" s="582"/>
      <c r="U357" s="581"/>
      <c r="V357" s="582"/>
      <c r="W357" s="581"/>
      <c r="X357" s="582"/>
      <c r="Y357" s="581"/>
      <c r="Z357" s="582"/>
      <c r="AA357" s="581"/>
      <c r="AB357" s="582"/>
      <c r="AC357" s="581"/>
      <c r="AD357" s="582"/>
      <c r="AE357" s="581"/>
      <c r="AF357" s="583"/>
      <c r="AG357" s="581"/>
      <c r="AH357" s="583"/>
      <c r="AI357" s="581"/>
      <c r="AJ357" s="583"/>
      <c r="AK357" s="581"/>
      <c r="AL357" s="583"/>
      <c r="AM357" s="584"/>
      <c r="AN357" s="583"/>
      <c r="AO357" s="581"/>
      <c r="AP357" s="583"/>
      <c r="AQ357" s="584"/>
      <c r="AR357" s="583"/>
      <c r="AS357" s="583"/>
      <c r="AT357" s="583"/>
      <c r="AU357" s="584"/>
      <c r="AV357" s="583"/>
      <c r="AW357" s="583"/>
      <c r="AX357" s="158"/>
      <c r="AY357" s="154"/>
      <c r="AZ357">
        <f ca="1">INDIRECT(ADDRESS(ROW()+1,COLUMN(Arbeitszeit!xDay),,,"Arbeitszeit"))</f>
        <v>5</v>
      </c>
    </row>
    <row r="358" spans="1:52">
      <c r="A358" s="523">
        <f>Arbeitszeit!A359</f>
        <v>42722</v>
      </c>
      <c r="B358" s="524">
        <f t="shared" si="20"/>
        <v>42722</v>
      </c>
      <c r="C358" s="191">
        <f t="shared" si="21"/>
        <v>51</v>
      </c>
      <c r="D358" s="190">
        <f t="shared" si="22"/>
        <v>42704</v>
      </c>
      <c r="E358" s="593">
        <f>Arbeitszeit!V359*24</f>
        <v>0</v>
      </c>
      <c r="F358" s="352">
        <f t="shared" si="23"/>
        <v>0</v>
      </c>
      <c r="G358" s="155">
        <f>IF(Arbeitszeit!F359=Urlaub,B_WorkTime*24,)</f>
        <v>0</v>
      </c>
      <c r="H358" s="153"/>
      <c r="I358" s="155">
        <f>IF(Arbeitszeit!F359=Krank,B_WorkTime*24,)</f>
        <v>0</v>
      </c>
      <c r="J358" s="153"/>
      <c r="K358" s="156"/>
      <c r="L358" s="157"/>
      <c r="M358" s="581"/>
      <c r="N358" s="582"/>
      <c r="O358" s="581"/>
      <c r="P358" s="582"/>
      <c r="Q358" s="581"/>
      <c r="R358" s="582"/>
      <c r="S358" s="581"/>
      <c r="T358" s="582"/>
      <c r="U358" s="581"/>
      <c r="V358" s="582"/>
      <c r="W358" s="581"/>
      <c r="X358" s="582"/>
      <c r="Y358" s="581"/>
      <c r="Z358" s="582"/>
      <c r="AA358" s="581"/>
      <c r="AB358" s="582"/>
      <c r="AC358" s="581"/>
      <c r="AD358" s="582"/>
      <c r="AE358" s="581"/>
      <c r="AF358" s="583"/>
      <c r="AG358" s="581"/>
      <c r="AH358" s="583"/>
      <c r="AI358" s="581"/>
      <c r="AJ358" s="583"/>
      <c r="AK358" s="581"/>
      <c r="AL358" s="583"/>
      <c r="AM358" s="584"/>
      <c r="AN358" s="583"/>
      <c r="AO358" s="581"/>
      <c r="AP358" s="583"/>
      <c r="AQ358" s="584"/>
      <c r="AR358" s="583"/>
      <c r="AS358" s="583"/>
      <c r="AT358" s="583"/>
      <c r="AU358" s="584"/>
      <c r="AV358" s="583"/>
      <c r="AW358" s="583"/>
      <c r="AX358" s="158"/>
      <c r="AY358" s="154"/>
      <c r="AZ358">
        <f ca="1">INDIRECT(ADDRESS(ROW()+1,COLUMN(Arbeitszeit!xDay),,,"Arbeitszeit"))</f>
        <v>6</v>
      </c>
    </row>
    <row r="359" spans="1:52">
      <c r="A359" s="523">
        <f>Arbeitszeit!A360</f>
        <v>42723</v>
      </c>
      <c r="B359" s="524">
        <f t="shared" si="20"/>
        <v>42723</v>
      </c>
      <c r="C359" s="191">
        <f t="shared" si="21"/>
        <v>51</v>
      </c>
      <c r="D359" s="190">
        <f t="shared" si="22"/>
        <v>42704</v>
      </c>
      <c r="E359" s="593">
        <f>Arbeitszeit!V360*24</f>
        <v>0</v>
      </c>
      <c r="F359" s="352">
        <f t="shared" si="23"/>
        <v>0</v>
      </c>
      <c r="G359" s="155">
        <f>IF(Arbeitszeit!F360=Urlaub,B_WorkTime*24,)</f>
        <v>0</v>
      </c>
      <c r="H359" s="153"/>
      <c r="I359" s="155">
        <f>IF(Arbeitszeit!F360=Krank,B_WorkTime*24,)</f>
        <v>0</v>
      </c>
      <c r="J359" s="153"/>
      <c r="K359" s="156"/>
      <c r="L359" s="157"/>
      <c r="M359" s="581"/>
      <c r="N359" s="582"/>
      <c r="O359" s="581"/>
      <c r="P359" s="582"/>
      <c r="Q359" s="581"/>
      <c r="R359" s="582"/>
      <c r="S359" s="581"/>
      <c r="T359" s="582"/>
      <c r="U359" s="581"/>
      <c r="V359" s="582"/>
      <c r="W359" s="581"/>
      <c r="X359" s="582"/>
      <c r="Y359" s="581"/>
      <c r="Z359" s="582"/>
      <c r="AA359" s="581"/>
      <c r="AB359" s="582"/>
      <c r="AC359" s="581"/>
      <c r="AD359" s="582"/>
      <c r="AE359" s="581"/>
      <c r="AF359" s="583"/>
      <c r="AG359" s="581"/>
      <c r="AH359" s="583"/>
      <c r="AI359" s="581"/>
      <c r="AJ359" s="583"/>
      <c r="AK359" s="581"/>
      <c r="AL359" s="583"/>
      <c r="AM359" s="584"/>
      <c r="AN359" s="583"/>
      <c r="AO359" s="581"/>
      <c r="AP359" s="583"/>
      <c r="AQ359" s="584"/>
      <c r="AR359" s="583"/>
      <c r="AS359" s="583"/>
      <c r="AT359" s="583"/>
      <c r="AU359" s="584"/>
      <c r="AV359" s="583"/>
      <c r="AW359" s="583"/>
      <c r="AX359" s="158"/>
      <c r="AY359" s="154"/>
      <c r="AZ359">
        <f ca="1">INDIRECT(ADDRESS(ROW()+1,COLUMN(Arbeitszeit!xDay),,,"Arbeitszeit"))</f>
        <v>7</v>
      </c>
    </row>
    <row r="360" spans="1:52">
      <c r="A360" s="523">
        <f>Arbeitszeit!A361</f>
        <v>42724</v>
      </c>
      <c r="B360" s="524">
        <f t="shared" si="20"/>
        <v>42724</v>
      </c>
      <c r="C360" s="191">
        <f t="shared" si="21"/>
        <v>52</v>
      </c>
      <c r="D360" s="190">
        <f t="shared" si="22"/>
        <v>42704</v>
      </c>
      <c r="E360" s="593">
        <f>Arbeitszeit!V361*24</f>
        <v>0</v>
      </c>
      <c r="F360" s="352">
        <f t="shared" si="23"/>
        <v>0</v>
      </c>
      <c r="G360" s="155">
        <f>IF(Arbeitszeit!F361=Urlaub,B_WorkTime*24,)</f>
        <v>0</v>
      </c>
      <c r="H360" s="153"/>
      <c r="I360" s="155">
        <f>IF(Arbeitszeit!F361=Krank,B_WorkTime*24,)</f>
        <v>0</v>
      </c>
      <c r="J360" s="153"/>
      <c r="K360" s="156"/>
      <c r="L360" s="157"/>
      <c r="M360" s="581"/>
      <c r="N360" s="582"/>
      <c r="O360" s="581"/>
      <c r="P360" s="582"/>
      <c r="Q360" s="581"/>
      <c r="R360" s="582"/>
      <c r="S360" s="581"/>
      <c r="T360" s="582"/>
      <c r="U360" s="581"/>
      <c r="V360" s="582"/>
      <c r="W360" s="581"/>
      <c r="X360" s="582"/>
      <c r="Y360" s="581"/>
      <c r="Z360" s="582"/>
      <c r="AA360" s="581"/>
      <c r="AB360" s="582"/>
      <c r="AC360" s="581"/>
      <c r="AD360" s="582"/>
      <c r="AE360" s="581"/>
      <c r="AF360" s="583"/>
      <c r="AG360" s="581"/>
      <c r="AH360" s="583"/>
      <c r="AI360" s="581"/>
      <c r="AJ360" s="583"/>
      <c r="AK360" s="581"/>
      <c r="AL360" s="583"/>
      <c r="AM360" s="584"/>
      <c r="AN360" s="583"/>
      <c r="AO360" s="581"/>
      <c r="AP360" s="583"/>
      <c r="AQ360" s="584"/>
      <c r="AR360" s="583"/>
      <c r="AS360" s="583"/>
      <c r="AT360" s="583"/>
      <c r="AU360" s="584"/>
      <c r="AV360" s="583"/>
      <c r="AW360" s="583"/>
      <c r="AX360" s="158"/>
      <c r="AY360" s="154"/>
      <c r="AZ360">
        <f ca="1">INDIRECT(ADDRESS(ROW()+1,COLUMN(Arbeitszeit!xDay),,,"Arbeitszeit"))</f>
        <v>1</v>
      </c>
    </row>
    <row r="361" spans="1:52">
      <c r="A361" s="523">
        <f>Arbeitszeit!A362</f>
        <v>42725</v>
      </c>
      <c r="B361" s="524">
        <f t="shared" si="20"/>
        <v>42725</v>
      </c>
      <c r="C361" s="191">
        <f t="shared" si="21"/>
        <v>52</v>
      </c>
      <c r="D361" s="190">
        <f t="shared" si="22"/>
        <v>42704</v>
      </c>
      <c r="E361" s="593">
        <f>Arbeitszeit!V362*24</f>
        <v>0</v>
      </c>
      <c r="F361" s="352">
        <f t="shared" si="23"/>
        <v>0</v>
      </c>
      <c r="G361" s="155">
        <f>IF(Arbeitszeit!F362=Urlaub,B_WorkTime*24,)</f>
        <v>0</v>
      </c>
      <c r="H361" s="153"/>
      <c r="I361" s="155">
        <f>IF(Arbeitszeit!F362=Krank,B_WorkTime*24,)</f>
        <v>0</v>
      </c>
      <c r="J361" s="153"/>
      <c r="K361" s="156"/>
      <c r="L361" s="157"/>
      <c r="M361" s="581"/>
      <c r="N361" s="582"/>
      <c r="O361" s="581"/>
      <c r="P361" s="582"/>
      <c r="Q361" s="581"/>
      <c r="R361" s="582"/>
      <c r="S361" s="581"/>
      <c r="T361" s="582"/>
      <c r="U361" s="581"/>
      <c r="V361" s="582"/>
      <c r="W361" s="581"/>
      <c r="X361" s="582"/>
      <c r="Y361" s="581"/>
      <c r="Z361" s="582"/>
      <c r="AA361" s="581"/>
      <c r="AB361" s="582"/>
      <c r="AC361" s="581"/>
      <c r="AD361" s="582"/>
      <c r="AE361" s="581"/>
      <c r="AF361" s="583"/>
      <c r="AG361" s="581"/>
      <c r="AH361" s="583"/>
      <c r="AI361" s="581"/>
      <c r="AJ361" s="583"/>
      <c r="AK361" s="581"/>
      <c r="AL361" s="583"/>
      <c r="AM361" s="584"/>
      <c r="AN361" s="583"/>
      <c r="AO361" s="581"/>
      <c r="AP361" s="583"/>
      <c r="AQ361" s="584"/>
      <c r="AR361" s="583"/>
      <c r="AS361" s="583"/>
      <c r="AT361" s="583"/>
      <c r="AU361" s="584"/>
      <c r="AV361" s="583"/>
      <c r="AW361" s="583"/>
      <c r="AX361" s="158"/>
      <c r="AY361" s="154"/>
      <c r="AZ361">
        <f ca="1">INDIRECT(ADDRESS(ROW()+1,COLUMN(Arbeitszeit!xDay),,,"Arbeitszeit"))</f>
        <v>2</v>
      </c>
    </row>
    <row r="362" spans="1:52">
      <c r="A362" s="523">
        <f>Arbeitszeit!A363</f>
        <v>42726</v>
      </c>
      <c r="B362" s="524">
        <f t="shared" si="20"/>
        <v>42726</v>
      </c>
      <c r="C362" s="191">
        <f t="shared" si="21"/>
        <v>52</v>
      </c>
      <c r="D362" s="190">
        <f t="shared" si="22"/>
        <v>42704</v>
      </c>
      <c r="E362" s="593">
        <f>Arbeitszeit!V363*24</f>
        <v>0</v>
      </c>
      <c r="F362" s="352">
        <f t="shared" si="23"/>
        <v>0</v>
      </c>
      <c r="G362" s="155">
        <f>IF(Arbeitszeit!F363=Urlaub,B_WorkTime*24,)</f>
        <v>0</v>
      </c>
      <c r="H362" s="153"/>
      <c r="I362" s="155">
        <f>IF(Arbeitszeit!F363=Krank,B_WorkTime*24,)</f>
        <v>0</v>
      </c>
      <c r="J362" s="153"/>
      <c r="K362" s="156"/>
      <c r="L362" s="157"/>
      <c r="M362" s="581"/>
      <c r="N362" s="582"/>
      <c r="O362" s="581"/>
      <c r="P362" s="582"/>
      <c r="Q362" s="581"/>
      <c r="R362" s="582"/>
      <c r="S362" s="581"/>
      <c r="T362" s="582"/>
      <c r="U362" s="581"/>
      <c r="V362" s="582"/>
      <c r="W362" s="581"/>
      <c r="X362" s="582"/>
      <c r="Y362" s="581"/>
      <c r="Z362" s="582"/>
      <c r="AA362" s="581"/>
      <c r="AB362" s="582"/>
      <c r="AC362" s="581"/>
      <c r="AD362" s="582"/>
      <c r="AE362" s="581"/>
      <c r="AF362" s="583"/>
      <c r="AG362" s="581"/>
      <c r="AH362" s="583"/>
      <c r="AI362" s="581"/>
      <c r="AJ362" s="583"/>
      <c r="AK362" s="581"/>
      <c r="AL362" s="583"/>
      <c r="AM362" s="584"/>
      <c r="AN362" s="583"/>
      <c r="AO362" s="581"/>
      <c r="AP362" s="583"/>
      <c r="AQ362" s="584"/>
      <c r="AR362" s="583"/>
      <c r="AS362" s="583"/>
      <c r="AT362" s="583"/>
      <c r="AU362" s="584"/>
      <c r="AV362" s="583"/>
      <c r="AW362" s="583"/>
      <c r="AX362" s="158"/>
      <c r="AY362" s="154"/>
      <c r="AZ362">
        <f ca="1">INDIRECT(ADDRESS(ROW()+1,COLUMN(Arbeitszeit!xDay),,,"Arbeitszeit"))</f>
        <v>3</v>
      </c>
    </row>
    <row r="363" spans="1:52">
      <c r="A363" s="523">
        <f>Arbeitszeit!A364</f>
        <v>42727</v>
      </c>
      <c r="B363" s="524">
        <f t="shared" si="20"/>
        <v>42727</v>
      </c>
      <c r="C363" s="191">
        <f t="shared" si="21"/>
        <v>52</v>
      </c>
      <c r="D363" s="190">
        <f t="shared" si="22"/>
        <v>42704</v>
      </c>
      <c r="E363" s="593">
        <f>Arbeitszeit!V364*24</f>
        <v>0</v>
      </c>
      <c r="F363" s="352">
        <f t="shared" si="23"/>
        <v>0</v>
      </c>
      <c r="G363" s="155">
        <f>IF(Arbeitszeit!F364=Urlaub,B_WorkTime*24,)</f>
        <v>0</v>
      </c>
      <c r="H363" s="153"/>
      <c r="I363" s="155">
        <f>IF(Arbeitszeit!F364=Krank,B_WorkTime*24,)</f>
        <v>0</v>
      </c>
      <c r="J363" s="153"/>
      <c r="K363" s="156"/>
      <c r="L363" s="157"/>
      <c r="M363" s="581"/>
      <c r="N363" s="582"/>
      <c r="O363" s="581"/>
      <c r="P363" s="582"/>
      <c r="Q363" s="581"/>
      <c r="R363" s="582"/>
      <c r="S363" s="581"/>
      <c r="T363" s="582"/>
      <c r="U363" s="581"/>
      <c r="V363" s="582"/>
      <c r="W363" s="581"/>
      <c r="X363" s="582"/>
      <c r="Y363" s="581"/>
      <c r="Z363" s="582"/>
      <c r="AA363" s="581"/>
      <c r="AB363" s="582"/>
      <c r="AC363" s="581"/>
      <c r="AD363" s="582"/>
      <c r="AE363" s="581"/>
      <c r="AF363" s="583"/>
      <c r="AG363" s="581"/>
      <c r="AH363" s="583"/>
      <c r="AI363" s="581"/>
      <c r="AJ363" s="583"/>
      <c r="AK363" s="581"/>
      <c r="AL363" s="583"/>
      <c r="AM363" s="584"/>
      <c r="AN363" s="583"/>
      <c r="AO363" s="581"/>
      <c r="AP363" s="583"/>
      <c r="AQ363" s="584"/>
      <c r="AR363" s="583"/>
      <c r="AS363" s="583"/>
      <c r="AT363" s="583"/>
      <c r="AU363" s="584"/>
      <c r="AV363" s="583"/>
      <c r="AW363" s="583"/>
      <c r="AX363" s="158"/>
      <c r="AY363" s="154"/>
      <c r="AZ363">
        <f ca="1">INDIRECT(ADDRESS(ROW()+1,COLUMN(Arbeitszeit!xDay),,,"Arbeitszeit"))</f>
        <v>4</v>
      </c>
    </row>
    <row r="364" spans="1:52">
      <c r="A364" s="523">
        <f>Arbeitszeit!A365</f>
        <v>42728</v>
      </c>
      <c r="B364" s="524">
        <f t="shared" si="20"/>
        <v>42728</v>
      </c>
      <c r="C364" s="191">
        <f t="shared" si="21"/>
        <v>52</v>
      </c>
      <c r="D364" s="190">
        <f t="shared" si="22"/>
        <v>42704</v>
      </c>
      <c r="E364" s="593">
        <f>Arbeitszeit!V365*24</f>
        <v>0</v>
      </c>
      <c r="F364" s="352">
        <f t="shared" si="23"/>
        <v>0</v>
      </c>
      <c r="G364" s="155">
        <f>IF(Arbeitszeit!F365=Urlaub,B_WorkTime*24,)</f>
        <v>0</v>
      </c>
      <c r="H364" s="153"/>
      <c r="I364" s="155">
        <f>IF(Arbeitszeit!F365=Krank,B_WorkTime*24,)</f>
        <v>0</v>
      </c>
      <c r="J364" s="153"/>
      <c r="K364" s="156"/>
      <c r="L364" s="157"/>
      <c r="M364" s="581"/>
      <c r="N364" s="582"/>
      <c r="O364" s="581"/>
      <c r="P364" s="582"/>
      <c r="Q364" s="581"/>
      <c r="R364" s="582"/>
      <c r="S364" s="581"/>
      <c r="T364" s="582"/>
      <c r="U364" s="581"/>
      <c r="V364" s="582"/>
      <c r="W364" s="581"/>
      <c r="X364" s="582"/>
      <c r="Y364" s="581"/>
      <c r="Z364" s="582"/>
      <c r="AA364" s="581"/>
      <c r="AB364" s="582"/>
      <c r="AC364" s="581"/>
      <c r="AD364" s="582"/>
      <c r="AE364" s="581"/>
      <c r="AF364" s="583"/>
      <c r="AG364" s="581"/>
      <c r="AH364" s="583"/>
      <c r="AI364" s="581"/>
      <c r="AJ364" s="583"/>
      <c r="AK364" s="581"/>
      <c r="AL364" s="583"/>
      <c r="AM364" s="584"/>
      <c r="AN364" s="583"/>
      <c r="AO364" s="581"/>
      <c r="AP364" s="583"/>
      <c r="AQ364" s="584"/>
      <c r="AR364" s="583"/>
      <c r="AS364" s="583"/>
      <c r="AT364" s="583"/>
      <c r="AU364" s="584"/>
      <c r="AV364" s="583"/>
      <c r="AW364" s="583"/>
      <c r="AX364" s="158"/>
      <c r="AY364" s="154"/>
      <c r="AZ364">
        <f ca="1">INDIRECT(ADDRESS(ROW()+1,COLUMN(Arbeitszeit!xDay),,,"Arbeitszeit"))</f>
        <v>8</v>
      </c>
    </row>
    <row r="365" spans="1:52">
      <c r="A365" s="523">
        <f>Arbeitszeit!A366</f>
        <v>42729</v>
      </c>
      <c r="B365" s="524">
        <f t="shared" si="20"/>
        <v>42729</v>
      </c>
      <c r="C365" s="191">
        <f t="shared" si="21"/>
        <v>52</v>
      </c>
      <c r="D365" s="190">
        <f t="shared" si="22"/>
        <v>42704</v>
      </c>
      <c r="E365" s="593">
        <f>Arbeitszeit!V366*24</f>
        <v>0</v>
      </c>
      <c r="F365" s="352">
        <f t="shared" si="23"/>
        <v>0</v>
      </c>
      <c r="G365" s="155">
        <f>IF(Arbeitszeit!F366=Urlaub,B_WorkTime*24,)</f>
        <v>0</v>
      </c>
      <c r="H365" s="153"/>
      <c r="I365" s="155">
        <f>IF(Arbeitszeit!F366=Krank,B_WorkTime*24,)</f>
        <v>0</v>
      </c>
      <c r="J365" s="153"/>
      <c r="K365" s="156"/>
      <c r="L365" s="157"/>
      <c r="M365" s="581"/>
      <c r="N365" s="582"/>
      <c r="O365" s="581"/>
      <c r="P365" s="582"/>
      <c r="Q365" s="581"/>
      <c r="R365" s="582"/>
      <c r="S365" s="581"/>
      <c r="T365" s="582"/>
      <c r="U365" s="581"/>
      <c r="V365" s="582"/>
      <c r="W365" s="581"/>
      <c r="X365" s="582"/>
      <c r="Y365" s="581"/>
      <c r="Z365" s="582"/>
      <c r="AA365" s="581"/>
      <c r="AB365" s="582"/>
      <c r="AC365" s="581"/>
      <c r="AD365" s="582"/>
      <c r="AE365" s="581"/>
      <c r="AF365" s="583"/>
      <c r="AG365" s="581"/>
      <c r="AH365" s="583"/>
      <c r="AI365" s="581"/>
      <c r="AJ365" s="583"/>
      <c r="AK365" s="581"/>
      <c r="AL365" s="583"/>
      <c r="AM365" s="584"/>
      <c r="AN365" s="583"/>
      <c r="AO365" s="581"/>
      <c r="AP365" s="583"/>
      <c r="AQ365" s="584"/>
      <c r="AR365" s="583"/>
      <c r="AS365" s="583"/>
      <c r="AT365" s="583"/>
      <c r="AU365" s="584"/>
      <c r="AV365" s="583"/>
      <c r="AW365" s="583"/>
      <c r="AX365" s="158"/>
      <c r="AY365" s="154"/>
      <c r="AZ365">
        <f ca="1">INDIRECT(ADDRESS(ROW()+1,COLUMN(Arbeitszeit!xDay),,,"Arbeitszeit"))</f>
        <v>8</v>
      </c>
    </row>
    <row r="366" spans="1:52">
      <c r="A366" s="523">
        <f>Arbeitszeit!A367</f>
        <v>42730</v>
      </c>
      <c r="B366" s="524">
        <f t="shared" si="20"/>
        <v>42730</v>
      </c>
      <c r="C366" s="191">
        <f t="shared" si="21"/>
        <v>52</v>
      </c>
      <c r="D366" s="190">
        <f t="shared" si="22"/>
        <v>42704</v>
      </c>
      <c r="E366" s="593">
        <f>Arbeitszeit!V367*24</f>
        <v>0</v>
      </c>
      <c r="F366" s="352">
        <f t="shared" si="23"/>
        <v>0</v>
      </c>
      <c r="G366" s="155">
        <f>IF(Arbeitszeit!F367=Urlaub,B_WorkTime*24,)</f>
        <v>0</v>
      </c>
      <c r="H366" s="153"/>
      <c r="I366" s="155">
        <f>IF(Arbeitszeit!F367=Krank,B_WorkTime*24,)</f>
        <v>0</v>
      </c>
      <c r="J366" s="153"/>
      <c r="K366" s="156"/>
      <c r="L366" s="157"/>
      <c r="M366" s="581"/>
      <c r="N366" s="582"/>
      <c r="O366" s="581"/>
      <c r="P366" s="582"/>
      <c r="Q366" s="581"/>
      <c r="R366" s="582"/>
      <c r="S366" s="581"/>
      <c r="T366" s="582"/>
      <c r="U366" s="581"/>
      <c r="V366" s="582"/>
      <c r="W366" s="581"/>
      <c r="X366" s="582"/>
      <c r="Y366" s="581"/>
      <c r="Z366" s="582"/>
      <c r="AA366" s="581"/>
      <c r="AB366" s="582"/>
      <c r="AC366" s="581"/>
      <c r="AD366" s="582"/>
      <c r="AE366" s="581"/>
      <c r="AF366" s="583"/>
      <c r="AG366" s="581"/>
      <c r="AH366" s="583"/>
      <c r="AI366" s="581"/>
      <c r="AJ366" s="583"/>
      <c r="AK366" s="581"/>
      <c r="AL366" s="583"/>
      <c r="AM366" s="584"/>
      <c r="AN366" s="583"/>
      <c r="AO366" s="581"/>
      <c r="AP366" s="583"/>
      <c r="AQ366" s="584"/>
      <c r="AR366" s="583"/>
      <c r="AS366" s="583"/>
      <c r="AT366" s="583"/>
      <c r="AU366" s="584"/>
      <c r="AV366" s="583"/>
      <c r="AW366" s="583"/>
      <c r="AX366" s="158"/>
      <c r="AY366" s="154"/>
      <c r="AZ366">
        <f ca="1">INDIRECT(ADDRESS(ROW()+1,COLUMN(Arbeitszeit!xDay),,,"Arbeitszeit"))</f>
        <v>7</v>
      </c>
    </row>
    <row r="367" spans="1:52">
      <c r="A367" s="523">
        <f>Arbeitszeit!A368</f>
        <v>42731</v>
      </c>
      <c r="B367" s="524">
        <f t="shared" si="20"/>
        <v>42731</v>
      </c>
      <c r="C367" s="191">
        <f t="shared" si="21"/>
        <v>53</v>
      </c>
      <c r="D367" s="190">
        <f t="shared" si="22"/>
        <v>42704</v>
      </c>
      <c r="E367" s="593">
        <f>Arbeitszeit!V368*24</f>
        <v>0</v>
      </c>
      <c r="F367" s="352">
        <f t="shared" si="23"/>
        <v>0</v>
      </c>
      <c r="G367" s="155">
        <f>IF(Arbeitszeit!F368=Urlaub,B_WorkTime*24,)</f>
        <v>0</v>
      </c>
      <c r="H367" s="153"/>
      <c r="I367" s="155">
        <f>IF(Arbeitszeit!F368=Krank,B_WorkTime*24,)</f>
        <v>0</v>
      </c>
      <c r="J367" s="153"/>
      <c r="K367" s="156"/>
      <c r="L367" s="157"/>
      <c r="M367" s="581"/>
      <c r="N367" s="582"/>
      <c r="O367" s="581"/>
      <c r="P367" s="582"/>
      <c r="Q367" s="581"/>
      <c r="R367" s="582"/>
      <c r="S367" s="581"/>
      <c r="T367" s="582"/>
      <c r="U367" s="581"/>
      <c r="V367" s="582"/>
      <c r="W367" s="581"/>
      <c r="X367" s="582"/>
      <c r="Y367" s="581"/>
      <c r="Z367" s="582"/>
      <c r="AA367" s="581"/>
      <c r="AB367" s="582"/>
      <c r="AC367" s="581"/>
      <c r="AD367" s="582"/>
      <c r="AE367" s="581"/>
      <c r="AF367" s="583"/>
      <c r="AG367" s="581"/>
      <c r="AH367" s="583"/>
      <c r="AI367" s="581"/>
      <c r="AJ367" s="583"/>
      <c r="AK367" s="581"/>
      <c r="AL367" s="583"/>
      <c r="AM367" s="584"/>
      <c r="AN367" s="583"/>
      <c r="AO367" s="581"/>
      <c r="AP367" s="583"/>
      <c r="AQ367" s="584"/>
      <c r="AR367" s="583"/>
      <c r="AS367" s="583"/>
      <c r="AT367" s="583"/>
      <c r="AU367" s="584"/>
      <c r="AV367" s="583"/>
      <c r="AW367" s="583"/>
      <c r="AX367" s="158"/>
      <c r="AY367" s="154"/>
      <c r="AZ367">
        <f ca="1">INDIRECT(ADDRESS(ROW()+1,COLUMN(Arbeitszeit!xDay),,,"Arbeitszeit"))</f>
        <v>1</v>
      </c>
    </row>
    <row r="368" spans="1:52">
      <c r="A368" s="523">
        <f>Arbeitszeit!A369</f>
        <v>42732</v>
      </c>
      <c r="B368" s="524">
        <f t="shared" si="20"/>
        <v>42732</v>
      </c>
      <c r="C368" s="191">
        <f t="shared" si="21"/>
        <v>53</v>
      </c>
      <c r="D368" s="190">
        <f t="shared" si="22"/>
        <v>42704</v>
      </c>
      <c r="E368" s="593">
        <f>Arbeitszeit!V369*24</f>
        <v>0</v>
      </c>
      <c r="F368" s="352">
        <f t="shared" si="23"/>
        <v>0</v>
      </c>
      <c r="G368" s="155">
        <f>IF(Arbeitszeit!F369=Urlaub,B_WorkTime*24,)</f>
        <v>0</v>
      </c>
      <c r="H368" s="153"/>
      <c r="I368" s="155">
        <f>IF(Arbeitszeit!F369=Krank,B_WorkTime*24,)</f>
        <v>0</v>
      </c>
      <c r="J368" s="153"/>
      <c r="K368" s="156"/>
      <c r="L368" s="157"/>
      <c r="M368" s="581"/>
      <c r="N368" s="582"/>
      <c r="O368" s="581"/>
      <c r="P368" s="582"/>
      <c r="Q368" s="581"/>
      <c r="R368" s="582"/>
      <c r="S368" s="581"/>
      <c r="T368" s="582"/>
      <c r="U368" s="581"/>
      <c r="V368" s="582"/>
      <c r="W368" s="581"/>
      <c r="X368" s="582"/>
      <c r="Y368" s="581"/>
      <c r="Z368" s="582"/>
      <c r="AA368" s="581"/>
      <c r="AB368" s="582"/>
      <c r="AC368" s="581"/>
      <c r="AD368" s="582"/>
      <c r="AE368" s="581"/>
      <c r="AF368" s="583"/>
      <c r="AG368" s="581"/>
      <c r="AH368" s="583"/>
      <c r="AI368" s="581"/>
      <c r="AJ368" s="583"/>
      <c r="AK368" s="581"/>
      <c r="AL368" s="583"/>
      <c r="AM368" s="584"/>
      <c r="AN368" s="583"/>
      <c r="AO368" s="581"/>
      <c r="AP368" s="583"/>
      <c r="AQ368" s="584"/>
      <c r="AR368" s="583"/>
      <c r="AS368" s="583"/>
      <c r="AT368" s="583"/>
      <c r="AU368" s="584"/>
      <c r="AV368" s="583"/>
      <c r="AW368" s="583"/>
      <c r="AX368" s="158"/>
      <c r="AY368" s="154"/>
      <c r="AZ368">
        <f ca="1">INDIRECT(ADDRESS(ROW()+1,COLUMN(Arbeitszeit!xDay),,,"Arbeitszeit"))</f>
        <v>2</v>
      </c>
    </row>
    <row r="369" spans="1:52">
      <c r="A369" s="523">
        <f>Arbeitszeit!A370</f>
        <v>42733</v>
      </c>
      <c r="B369" s="524">
        <f t="shared" si="20"/>
        <v>42733</v>
      </c>
      <c r="C369" s="191">
        <f t="shared" si="21"/>
        <v>53</v>
      </c>
      <c r="D369" s="190">
        <f t="shared" si="22"/>
        <v>42704</v>
      </c>
      <c r="E369" s="593">
        <f>Arbeitszeit!V370*24</f>
        <v>0</v>
      </c>
      <c r="F369" s="352">
        <f t="shared" si="23"/>
        <v>0</v>
      </c>
      <c r="G369" s="155">
        <f>IF(Arbeitszeit!F370=Urlaub,B_WorkTime*24,)</f>
        <v>0</v>
      </c>
      <c r="H369" s="153"/>
      <c r="I369" s="155">
        <f>IF(Arbeitszeit!F370=Krank,B_WorkTime*24,)</f>
        <v>0</v>
      </c>
      <c r="J369" s="153"/>
      <c r="K369" s="156"/>
      <c r="L369" s="157"/>
      <c r="M369" s="581"/>
      <c r="N369" s="582"/>
      <c r="O369" s="581"/>
      <c r="P369" s="582"/>
      <c r="Q369" s="581"/>
      <c r="R369" s="582"/>
      <c r="S369" s="581"/>
      <c r="T369" s="582"/>
      <c r="U369" s="581"/>
      <c r="V369" s="582"/>
      <c r="W369" s="581"/>
      <c r="X369" s="582"/>
      <c r="Y369" s="581"/>
      <c r="Z369" s="582"/>
      <c r="AA369" s="581"/>
      <c r="AB369" s="582"/>
      <c r="AC369" s="581"/>
      <c r="AD369" s="582"/>
      <c r="AE369" s="581"/>
      <c r="AF369" s="583"/>
      <c r="AG369" s="581"/>
      <c r="AH369" s="583"/>
      <c r="AI369" s="581"/>
      <c r="AJ369" s="583"/>
      <c r="AK369" s="581"/>
      <c r="AL369" s="583"/>
      <c r="AM369" s="584"/>
      <c r="AN369" s="583"/>
      <c r="AO369" s="581"/>
      <c r="AP369" s="583"/>
      <c r="AQ369" s="584"/>
      <c r="AR369" s="583"/>
      <c r="AS369" s="583"/>
      <c r="AT369" s="583"/>
      <c r="AU369" s="584"/>
      <c r="AV369" s="583"/>
      <c r="AW369" s="583"/>
      <c r="AX369" s="158"/>
      <c r="AY369" s="154"/>
      <c r="AZ369">
        <f ca="1">INDIRECT(ADDRESS(ROW()+1,COLUMN(Arbeitszeit!xDay),,,"Arbeitszeit"))</f>
        <v>3</v>
      </c>
    </row>
    <row r="370" spans="1:52" ht="15" customHeight="1">
      <c r="A370" s="523">
        <f>Arbeitszeit!A371</f>
        <v>42734</v>
      </c>
      <c r="B370" s="524">
        <f t="shared" si="20"/>
        <v>42734</v>
      </c>
      <c r="C370" s="191">
        <f t="shared" si="21"/>
        <v>53</v>
      </c>
      <c r="D370" s="190">
        <f t="shared" si="22"/>
        <v>42704</v>
      </c>
      <c r="E370" s="593">
        <f>Arbeitszeit!V371*24</f>
        <v>0</v>
      </c>
      <c r="F370" s="352">
        <f t="shared" si="23"/>
        <v>0</v>
      </c>
      <c r="G370" s="155">
        <f>IF(Arbeitszeit!F371=Urlaub,B_WorkTime*24,)</f>
        <v>0</v>
      </c>
      <c r="H370" s="153"/>
      <c r="I370" s="155">
        <f>IF(Arbeitszeit!F371=Krank,B_WorkTime*24,)</f>
        <v>0</v>
      </c>
      <c r="J370" s="153"/>
      <c r="K370" s="156"/>
      <c r="L370" s="157"/>
      <c r="M370" s="581"/>
      <c r="N370" s="582"/>
      <c r="O370" s="581"/>
      <c r="P370" s="582"/>
      <c r="Q370" s="581"/>
      <c r="R370" s="582"/>
      <c r="S370" s="581"/>
      <c r="T370" s="582"/>
      <c r="U370" s="581"/>
      <c r="V370" s="582"/>
      <c r="W370" s="581"/>
      <c r="X370" s="582"/>
      <c r="Y370" s="581"/>
      <c r="Z370" s="582"/>
      <c r="AA370" s="581"/>
      <c r="AB370" s="582"/>
      <c r="AC370" s="581"/>
      <c r="AD370" s="582"/>
      <c r="AE370" s="581"/>
      <c r="AF370" s="583"/>
      <c r="AG370" s="581"/>
      <c r="AH370" s="583"/>
      <c r="AI370" s="581"/>
      <c r="AJ370" s="583"/>
      <c r="AK370" s="581"/>
      <c r="AL370" s="583"/>
      <c r="AM370" s="584"/>
      <c r="AN370" s="583"/>
      <c r="AO370" s="581"/>
      <c r="AP370" s="583"/>
      <c r="AQ370" s="584"/>
      <c r="AR370" s="583"/>
      <c r="AS370" s="583"/>
      <c r="AT370" s="583"/>
      <c r="AU370" s="584"/>
      <c r="AV370" s="583"/>
      <c r="AW370" s="583"/>
      <c r="AX370" s="158"/>
      <c r="AY370" s="154"/>
      <c r="AZ370">
        <f ca="1">INDIRECT(ADDRESS(ROW()+1,COLUMN(Arbeitszeit!xDay),,,"Arbeitszeit"))</f>
        <v>4</v>
      </c>
    </row>
    <row r="371" spans="1:52" ht="15" customHeight="1">
      <c r="A371" s="523" t="str">
        <f>Arbeitszeit!A372</f>
        <v/>
      </c>
      <c r="B371" s="524" t="str">
        <f t="shared" si="20"/>
        <v/>
      </c>
      <c r="C371" s="191" t="str">
        <f t="shared" si="21"/>
        <v/>
      </c>
      <c r="D371" s="190" t="str">
        <f t="shared" si="22"/>
        <v/>
      </c>
      <c r="E371" s="593">
        <f>Arbeitszeit!V372*24</f>
        <v>0</v>
      </c>
      <c r="F371" s="352">
        <f t="shared" si="23"/>
        <v>0</v>
      </c>
      <c r="G371" s="155">
        <f>IF(Arbeitszeit!F372=Urlaub,B_WorkTime*24,)</f>
        <v>0</v>
      </c>
      <c r="H371" s="153"/>
      <c r="I371" s="155">
        <f>IF(Arbeitszeit!F372=Krank,B_WorkTime*24,)</f>
        <v>0</v>
      </c>
      <c r="J371" s="153"/>
      <c r="K371" s="156"/>
      <c r="L371" s="157"/>
      <c r="M371" s="581"/>
      <c r="N371" s="582"/>
      <c r="O371" s="581"/>
      <c r="P371" s="582"/>
      <c r="Q371" s="581"/>
      <c r="R371" s="582"/>
      <c r="S371" s="581"/>
      <c r="T371" s="582"/>
      <c r="U371" s="581"/>
      <c r="V371" s="582"/>
      <c r="W371" s="581"/>
      <c r="X371" s="582"/>
      <c r="Y371" s="581"/>
      <c r="Z371" s="582"/>
      <c r="AA371" s="581"/>
      <c r="AB371" s="582"/>
      <c r="AC371" s="581"/>
      <c r="AD371" s="582"/>
      <c r="AE371" s="581"/>
      <c r="AF371" s="583"/>
      <c r="AG371" s="581"/>
      <c r="AH371" s="583"/>
      <c r="AI371" s="581"/>
      <c r="AJ371" s="583"/>
      <c r="AK371" s="581"/>
      <c r="AL371" s="583"/>
      <c r="AM371" s="584"/>
      <c r="AN371" s="583"/>
      <c r="AO371" s="581"/>
      <c r="AP371" s="583"/>
      <c r="AQ371" s="584"/>
      <c r="AR371" s="583"/>
      <c r="AS371" s="583"/>
      <c r="AT371" s="583"/>
      <c r="AU371" s="584"/>
      <c r="AV371" s="583"/>
      <c r="AW371" s="583"/>
      <c r="AX371" s="158"/>
      <c r="AY371" s="154"/>
      <c r="AZ371">
        <f ca="1">INDIRECT(ADDRESS(ROW()+1,COLUMN(Arbeitszeit!xDay),,,"Arbeitszeit"))</f>
        <v>0</v>
      </c>
    </row>
    <row r="372" spans="1:52">
      <c r="A372" s="523" t="str">
        <f>Arbeitszeit!A373</f>
        <v/>
      </c>
      <c r="B372" s="524" t="str">
        <f t="shared" si="20"/>
        <v/>
      </c>
      <c r="C372" s="191" t="str">
        <f t="shared" si="21"/>
        <v/>
      </c>
      <c r="D372" s="190" t="str">
        <f t="shared" si="22"/>
        <v/>
      </c>
      <c r="E372" s="593">
        <f>Arbeitszeit!V373*24</f>
        <v>0</v>
      </c>
      <c r="F372" s="352">
        <f t="shared" si="23"/>
        <v>0</v>
      </c>
      <c r="G372" s="155">
        <f>IF(Arbeitszeit!F373=Urlaub,B_WorkTime*24,)</f>
        <v>0</v>
      </c>
      <c r="H372" s="153"/>
      <c r="I372" s="155">
        <f>IF(Arbeitszeit!F373=Krank,B_WorkTime*24,)</f>
        <v>0</v>
      </c>
      <c r="J372" s="153"/>
      <c r="K372" s="156"/>
      <c r="L372" s="157"/>
      <c r="M372" s="581"/>
      <c r="N372" s="582"/>
      <c r="O372" s="581"/>
      <c r="P372" s="582"/>
      <c r="Q372" s="581"/>
      <c r="R372" s="582"/>
      <c r="S372" s="581"/>
      <c r="T372" s="582"/>
      <c r="U372" s="581"/>
      <c r="V372" s="582"/>
      <c r="W372" s="581"/>
      <c r="X372" s="582"/>
      <c r="Y372" s="581"/>
      <c r="Z372" s="582"/>
      <c r="AA372" s="581"/>
      <c r="AB372" s="582"/>
      <c r="AC372" s="581"/>
      <c r="AD372" s="582"/>
      <c r="AE372" s="581"/>
      <c r="AF372" s="583"/>
      <c r="AG372" s="581"/>
      <c r="AH372" s="583"/>
      <c r="AI372" s="581"/>
      <c r="AJ372" s="583"/>
      <c r="AK372" s="581"/>
      <c r="AL372" s="583"/>
      <c r="AM372" s="584"/>
      <c r="AN372" s="583"/>
      <c r="AO372" s="581"/>
      <c r="AP372" s="583"/>
      <c r="AQ372" s="584"/>
      <c r="AR372" s="583"/>
      <c r="AS372" s="583"/>
      <c r="AT372" s="583"/>
      <c r="AU372" s="584"/>
      <c r="AV372" s="583"/>
      <c r="AW372" s="583"/>
      <c r="AX372" s="158"/>
      <c r="AY372" s="154"/>
      <c r="AZ372">
        <f ca="1">INDIRECT(ADDRESS(ROW()+1,COLUMN(Arbeitszeit!xDay),,,"Arbeitszeit"))</f>
        <v>0</v>
      </c>
    </row>
    <row r="373" spans="1:52" ht="6" customHeight="1">
      <c r="E373" s="594"/>
      <c r="F373" s="160"/>
      <c r="G373" s="161"/>
      <c r="H373" s="161"/>
      <c r="I373" s="161"/>
      <c r="J373" s="161"/>
      <c r="K373" s="162"/>
      <c r="L373" s="359"/>
      <c r="M373" s="587"/>
      <c r="N373" s="588"/>
      <c r="O373" s="588"/>
      <c r="P373" s="588"/>
      <c r="Q373" s="588"/>
      <c r="R373" s="588"/>
      <c r="S373" s="588"/>
      <c r="T373" s="588"/>
      <c r="U373" s="588"/>
      <c r="V373" s="588"/>
      <c r="W373" s="588"/>
      <c r="X373" s="588"/>
      <c r="Y373" s="588"/>
      <c r="Z373" s="588"/>
      <c r="AA373" s="588"/>
      <c r="AB373" s="588"/>
      <c r="AC373" s="587"/>
      <c r="AD373" s="588"/>
      <c r="AE373" s="588"/>
      <c r="AF373" s="589"/>
      <c r="AG373" s="588"/>
      <c r="AH373" s="589"/>
      <c r="AI373" s="588"/>
      <c r="AJ373" s="589"/>
      <c r="AK373" s="588"/>
      <c r="AL373" s="589"/>
      <c r="AM373" s="590"/>
      <c r="AN373" s="589"/>
      <c r="AO373" s="588"/>
      <c r="AP373" s="589"/>
      <c r="AQ373" s="590"/>
      <c r="AR373" s="589"/>
      <c r="AS373" s="589"/>
      <c r="AT373" s="589"/>
      <c r="AU373" s="590"/>
      <c r="AV373" s="589"/>
      <c r="AW373" s="589"/>
      <c r="AX373" s="163"/>
      <c r="AY373" s="164"/>
    </row>
    <row r="374" spans="1:52" s="10" customFormat="1">
      <c r="A374" s="393" t="s">
        <v>53</v>
      </c>
      <c r="B374" s="394"/>
      <c r="C374" s="394"/>
      <c r="D374" s="394"/>
      <c r="E374" s="595">
        <f>SUBTOTAL(9,E4:E373)</f>
        <v>0</v>
      </c>
      <c r="F374" s="395">
        <f>SUBTOTAL(9,F4:F373)</f>
        <v>0</v>
      </c>
      <c r="G374" s="395">
        <f>SUBTOTAL(9,G4:G373)</f>
        <v>0</v>
      </c>
      <c r="H374" s="395"/>
      <c r="I374" s="395">
        <f>SUBTOTAL(9,I4:I373)</f>
        <v>0</v>
      </c>
      <c r="J374" s="395"/>
      <c r="K374" s="395">
        <f>SUBTOTAL(9,K4:K373)</f>
        <v>0</v>
      </c>
      <c r="L374" s="395">
        <f t="shared" ref="L374:AW374" si="24">SUBTOTAL(9,L4:L373)</f>
        <v>0</v>
      </c>
      <c r="M374" s="591">
        <f t="shared" si="24"/>
        <v>0</v>
      </c>
      <c r="N374" s="591"/>
      <c r="O374" s="591">
        <f t="shared" si="24"/>
        <v>0</v>
      </c>
      <c r="P374" s="591"/>
      <c r="Q374" s="591">
        <f t="shared" si="24"/>
        <v>0</v>
      </c>
      <c r="R374" s="591"/>
      <c r="S374" s="591">
        <f t="shared" si="24"/>
        <v>0</v>
      </c>
      <c r="T374" s="591"/>
      <c r="U374" s="591">
        <f t="shared" si="24"/>
        <v>0</v>
      </c>
      <c r="V374" s="591"/>
      <c r="W374" s="591">
        <f t="shared" si="24"/>
        <v>0</v>
      </c>
      <c r="X374" s="591"/>
      <c r="Y374" s="591">
        <f t="shared" si="24"/>
        <v>0</v>
      </c>
      <c r="Z374" s="591"/>
      <c r="AA374" s="591">
        <f t="shared" si="24"/>
        <v>0</v>
      </c>
      <c r="AB374" s="591"/>
      <c r="AC374" s="591">
        <f t="shared" si="24"/>
        <v>0</v>
      </c>
      <c r="AD374" s="591"/>
      <c r="AE374" s="591">
        <f t="shared" si="24"/>
        <v>0</v>
      </c>
      <c r="AF374" s="591"/>
      <c r="AG374" s="591">
        <f t="shared" si="24"/>
        <v>0</v>
      </c>
      <c r="AH374" s="591"/>
      <c r="AI374" s="591">
        <f t="shared" si="24"/>
        <v>0</v>
      </c>
      <c r="AJ374" s="591"/>
      <c r="AK374" s="591">
        <f t="shared" si="24"/>
        <v>0</v>
      </c>
      <c r="AL374" s="591"/>
      <c r="AM374" s="591">
        <f t="shared" si="24"/>
        <v>0</v>
      </c>
      <c r="AN374" s="591"/>
      <c r="AO374" s="591">
        <f t="shared" si="24"/>
        <v>0</v>
      </c>
      <c r="AP374" s="591"/>
      <c r="AQ374" s="591">
        <f t="shared" si="24"/>
        <v>0</v>
      </c>
      <c r="AR374" s="591"/>
      <c r="AS374" s="591">
        <f t="shared" si="24"/>
        <v>0</v>
      </c>
      <c r="AT374" s="591"/>
      <c r="AU374" s="591">
        <f t="shared" si="24"/>
        <v>0</v>
      </c>
      <c r="AV374" s="591"/>
      <c r="AW374" s="591">
        <f t="shared" si="24"/>
        <v>0</v>
      </c>
      <c r="AX374" s="396"/>
      <c r="AY374" s="397"/>
    </row>
    <row r="375" spans="1:52">
      <c r="A375" s="398" t="s">
        <v>54</v>
      </c>
      <c r="B375" s="399"/>
      <c r="C375" s="399"/>
      <c r="D375" s="399"/>
      <c r="E375" s="596"/>
    </row>
  </sheetData>
  <autoFilter ref="A3:AY372" xr:uid="{00000000-0009-0000-0000-000003000000}"/>
  <mergeCells count="3">
    <mergeCell ref="D1:E1"/>
    <mergeCell ref="A1:B1"/>
    <mergeCell ref="A2:F2"/>
  </mergeCells>
  <phoneticPr fontId="0" type="noConversion"/>
  <conditionalFormatting sqref="A5:D372 O5:AZ372 N5:N304 N306:N372 M5:M320 M322:M372">
    <cfRule type="expression" dxfId="61" priority="1" stopIfTrue="1">
      <formula>INDIRECT(ADDRESS(ROW(),COLUMN(xArbeitstag)))&gt;5</formula>
    </cfRule>
  </conditionalFormatting>
  <conditionalFormatting sqref="M321 K5:K372">
    <cfRule type="expression" dxfId="60"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AX385"/>
  <sheetViews>
    <sheetView showGridLines="0" tabSelected="1" zoomScaleNormal="100" workbookViewId="0">
      <pane ySplit="4" topLeftCell="A5" activePane="bottomLeft" state="frozenSplit"/>
      <selection pane="bottomLeft" activeCell="H7" sqref="H7"/>
    </sheetView>
  </sheetViews>
  <sheetFormatPr baseColWidth="10" defaultColWidth="11.5703125" defaultRowHeight="12.75" outlineLevelCol="1"/>
  <cols>
    <col min="1" max="1" width="10.5703125" customWidth="1"/>
    <col min="2" max="3" width="4.85546875" customWidth="1"/>
    <col min="4" max="4" width="9" customWidth="1"/>
    <col min="5" max="5" width="19.5703125" style="317"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1.7109375" customWidth="1" collapsed="1"/>
    <col min="17" max="17" width="5.7109375" hidden="1" customWidth="1"/>
    <col min="18" max="20" width="6" customWidth="1"/>
    <col min="21" max="21" width="6.28515625" customWidth="1"/>
    <col min="22" max="22" width="9" customWidth="1"/>
    <col min="23" max="23" width="2.28515625" customWidth="1"/>
    <col min="24" max="24" width="7.28515625" hidden="1" customWidth="1"/>
    <col min="25" max="25" width="8.28515625" customWidth="1"/>
    <col min="26" max="26" width="7.42578125" hidden="1" customWidth="1"/>
    <col min="27" max="27" width="9" customWidth="1"/>
    <col min="28" max="28" width="2.28515625" customWidth="1"/>
    <col min="29" max="29" width="8.42578125" hidden="1" customWidth="1"/>
    <col min="30" max="30" width="7.5703125" customWidth="1"/>
    <col min="31" max="31" width="7.7109375" customWidth="1"/>
    <col min="32" max="33" width="8" customWidth="1"/>
    <col min="34" max="34" width="6.28515625" hidden="1" customWidth="1"/>
    <col min="35" max="35" width="6.140625" hidden="1" customWidth="1"/>
    <col min="36" max="36" width="6.7109375" hidden="1" customWidth="1"/>
    <col min="37" max="37" width="4.42578125" hidden="1" customWidth="1"/>
    <col min="38" max="38" width="10.85546875" hidden="1" customWidth="1"/>
    <col min="39" max="39" width="7" hidden="1" customWidth="1"/>
    <col min="40" max="41" width="5.85546875" hidden="1" customWidth="1"/>
    <col min="42" max="42" width="6.140625" hidden="1" customWidth="1"/>
    <col min="43" max="43" width="4.7109375" hidden="1" customWidth="1"/>
    <col min="44" max="44" width="7" hidden="1" customWidth="1"/>
    <col min="45" max="45" width="7.140625" hidden="1" customWidth="1"/>
    <col min="46" max="46" width="8.140625" hidden="1" customWidth="1"/>
    <col min="47" max="48" width="11.42578125" hidden="1" customWidth="1"/>
    <col min="49" max="49" width="0" hidden="1" customWidth="1"/>
    <col min="50" max="50" width="9.140625" customWidth="1"/>
  </cols>
  <sheetData>
    <row r="1" spans="1:50">
      <c r="D1" s="4" t="s">
        <v>97</v>
      </c>
      <c r="E1" s="329" t="str">
        <f>B_PersonName</f>
        <v>Mustermann</v>
      </c>
      <c r="H1" s="4" t="s">
        <v>98</v>
      </c>
      <c r="I1" t="str">
        <f>B_Department</f>
        <v>Siemens</v>
      </c>
      <c r="U1" s="4" t="s">
        <v>203</v>
      </c>
      <c r="V1" s="2" t="str">
        <f>B_Pers</f>
        <v>999999</v>
      </c>
    </row>
    <row r="2" spans="1:50" ht="13.5" thickBot="1">
      <c r="A2" s="312" t="str">
        <f ca="1">CELL("filename",A2)</f>
        <v>D:\_pdata\GLAZ\andi\[vGlaz2020.xlsm]Arbeitszeit</v>
      </c>
      <c r="B2" s="141"/>
      <c r="C2" s="120"/>
      <c r="E2" s="330"/>
    </row>
    <row r="3" spans="1:50" ht="14.25" thickTop="1" thickBot="1">
      <c r="A3" s="314">
        <f>DATE(YEAR(B_Year),MONTH(B_Year),1)</f>
        <v>42369</v>
      </c>
      <c r="B3" s="314" t="s">
        <v>146</v>
      </c>
      <c r="C3" s="622">
        <f>MAX(db_jZeit)</f>
        <v>42734</v>
      </c>
      <c r="D3" s="623"/>
      <c r="E3" s="331"/>
      <c r="F3" s="313" t="s">
        <v>234</v>
      </c>
      <c r="V3" s="48"/>
      <c r="X3" s="229">
        <f>B_Pause1Dauer+B_Pause2Dauer+B_WalkTime</f>
        <v>3.125E-2</v>
      </c>
      <c r="AC3" s="230">
        <f>B_OverTime</f>
        <v>0</v>
      </c>
      <c r="AD3" s="327">
        <f>B_WorkTimeMax</f>
        <v>0.41666666666666669</v>
      </c>
      <c r="AF3" s="124"/>
      <c r="AG3" s="124"/>
    </row>
    <row r="4" spans="1:50" ht="24.75" customHeight="1" thickBot="1">
      <c r="A4" s="231" t="s">
        <v>178</v>
      </c>
      <c r="B4" s="232" t="s">
        <v>41</v>
      </c>
      <c r="C4" s="232" t="s">
        <v>22</v>
      </c>
      <c r="D4" s="233" t="s">
        <v>182</v>
      </c>
      <c r="E4" s="234" t="s">
        <v>99</v>
      </c>
      <c r="F4" s="235" t="s">
        <v>100</v>
      </c>
      <c r="G4" s="236" t="s">
        <v>179</v>
      </c>
      <c r="H4" s="243" t="s">
        <v>35</v>
      </c>
      <c r="I4" s="243" t="s">
        <v>201</v>
      </c>
      <c r="J4" s="602" t="s">
        <v>216</v>
      </c>
      <c r="K4" s="243" t="s">
        <v>36</v>
      </c>
      <c r="L4" s="243" t="s">
        <v>200</v>
      </c>
      <c r="M4" s="602" t="s">
        <v>217</v>
      </c>
      <c r="N4" s="559" t="s">
        <v>198</v>
      </c>
      <c r="O4" s="559" t="s">
        <v>199</v>
      </c>
      <c r="P4" s="243"/>
      <c r="Q4" s="602" t="s">
        <v>218</v>
      </c>
      <c r="R4" s="489" t="s">
        <v>79</v>
      </c>
      <c r="S4" s="489" t="s">
        <v>225</v>
      </c>
      <c r="T4" s="489" t="s">
        <v>226</v>
      </c>
      <c r="U4" s="490" t="s">
        <v>78</v>
      </c>
      <c r="V4" s="237" t="s">
        <v>103</v>
      </c>
      <c r="W4" s="237" t="s">
        <v>136</v>
      </c>
      <c r="X4" s="238" t="s">
        <v>174</v>
      </c>
      <c r="Y4" s="239" t="s">
        <v>104</v>
      </c>
      <c r="Z4" s="239" t="s">
        <v>187</v>
      </c>
      <c r="AA4" s="240" t="s">
        <v>105</v>
      </c>
      <c r="AB4" s="241" t="s">
        <v>181</v>
      </c>
      <c r="AC4" s="242" t="s">
        <v>180</v>
      </c>
      <c r="AD4" s="239" t="str">
        <f>"&gt; "&amp; HOUR(B_WorkTimeMax) &amp;" Std"</f>
        <v>&gt; 10 Std</v>
      </c>
      <c r="AE4" s="248" t="s">
        <v>129</v>
      </c>
      <c r="AF4" s="243" t="s">
        <v>25</v>
      </c>
      <c r="AG4" s="489" t="s">
        <v>197</v>
      </c>
      <c r="AH4" s="244" t="s">
        <v>106</v>
      </c>
      <c r="AI4" s="245" t="s">
        <v>107</v>
      </c>
      <c r="AJ4" s="245" t="s">
        <v>108</v>
      </c>
      <c r="AK4" s="246" t="s">
        <v>24</v>
      </c>
      <c r="AL4" s="247" t="str">
        <f>"sum "&amp;AD4</f>
        <v>sum &gt; 10 Std</v>
      </c>
      <c r="AM4" s="247" t="s">
        <v>185</v>
      </c>
      <c r="AN4" s="247" t="s">
        <v>190</v>
      </c>
      <c r="AO4" s="247" t="s">
        <v>117</v>
      </c>
      <c r="AP4" s="247" t="s">
        <v>116</v>
      </c>
      <c r="AQ4" s="247" t="s">
        <v>184</v>
      </c>
      <c r="AR4" s="247" t="s">
        <v>186</v>
      </c>
      <c r="AS4" s="247" t="s">
        <v>188</v>
      </c>
      <c r="AT4" s="247" t="s">
        <v>189</v>
      </c>
      <c r="AW4" s="606" t="s">
        <v>219</v>
      </c>
      <c r="AX4" s="489" t="s">
        <v>220</v>
      </c>
    </row>
    <row r="5" spans="1:50">
      <c r="A5" s="304">
        <f>A6-1</f>
        <v>42368</v>
      </c>
      <c r="B5" s="305"/>
      <c r="C5" s="306"/>
      <c r="D5" s="307" t="str">
        <f>IF(A5="","",IF(YEAR(xJahr)=YEAR(A5),DATE(YEAR(A5),MONTH(A5),1),""))</f>
        <v/>
      </c>
      <c r="E5" s="424" t="s">
        <v>131</v>
      </c>
      <c r="F5" s="425"/>
      <c r="G5" s="426" t="str">
        <f>IF(ISBLANK(F5),IF(ISBLANK(H5),"",0),CODE(UPPER(F5)))</f>
        <v/>
      </c>
      <c r="H5" s="427"/>
      <c r="I5" s="427"/>
      <c r="J5" s="427">
        <f t="shared" ref="J5:J68" si="0">IF(I5&lt;H5,I5+1,I5)</f>
        <v>0</v>
      </c>
      <c r="K5" s="427"/>
      <c r="L5" s="427"/>
      <c r="M5" s="427">
        <f>IF(L5&lt;K5,L5+1,L5)</f>
        <v>0</v>
      </c>
      <c r="N5" s="428"/>
      <c r="O5" s="428">
        <f t="shared" ref="O5:O68" si="1">IF(N5&gt;0,N5+IF((J5-H5+M5-K5)&lt;Y5,Y5-(J5-H5+M5-K5),TIME(0,10,0))+IF((K5-J5+N5-M5)&gt;xNoWorkTime,0,xNoWorkTime-(K5-J5+N5-M5)),0)</f>
        <v>0</v>
      </c>
      <c r="P5" s="428"/>
      <c r="Q5" s="427">
        <f>IF(O5&lt;N5,O5+1,O5)</f>
        <v>0</v>
      </c>
      <c r="R5" s="428"/>
      <c r="S5" s="428"/>
      <c r="T5" s="428"/>
      <c r="U5" s="428"/>
      <c r="V5" s="429">
        <f>IF(AK5&lt;Feiertag,IF(F5="S",Z5,(IF((R5-U5)&gt;XWorkTimeMax,XWorkTimeMax,IF((R5-U5)&gt;0,R5-U5,0)))),0)</f>
        <v>0</v>
      </c>
      <c r="W5" s="430"/>
      <c r="X5" s="431">
        <f t="shared" ref="X5:X68" si="2">xNoWorkTime</f>
        <v>3.125E-2</v>
      </c>
      <c r="Y5" s="432"/>
      <c r="Z5" s="433"/>
      <c r="AA5" s="434"/>
      <c r="AB5" s="435" t="str">
        <f>IF(AK5=Feiertag,"",IF((V5-Y5)&lt;0,"*",""))</f>
        <v/>
      </c>
      <c r="AC5" s="436">
        <f t="shared" ref="AC5:AC68" si="3">xOverTime</f>
        <v>0</v>
      </c>
      <c r="AD5" s="437" t="str">
        <f t="shared" ref="AD5:AD68" si="4">IF((R5-U5)&gt;XWorkTimeMax,(R5-U5-XWorkTimeMax),"")</f>
        <v/>
      </c>
      <c r="AE5" s="228">
        <f>xVorjahrSaldo+SUM(AA5)-AF5</f>
        <v>0</v>
      </c>
      <c r="AF5" s="437"/>
      <c r="AG5" s="437"/>
      <c r="AH5" s="437">
        <f t="shared" ref="AH5:AH68" si="5">IF(ISNUMBER(V5 ), IF( V5 &gt;= Y5, Y5, V5 ),"")</f>
        <v>0</v>
      </c>
      <c r="AI5" s="437">
        <f t="shared" ref="AI5:AI68" si="6">IF( ISNUMBER( V5 ), IF( V5 &gt;= Y5, V5 - Y5, "" ), "" )</f>
        <v>0</v>
      </c>
      <c r="AJ5" s="437" t="str">
        <f t="shared" ref="AJ5:AJ68" si="7">IF( AND(ISNUMBER( V5 ),ISNUMBER( Y5 )), IF( V5 &gt;= Y5, "", Y5 - V5 ), "" )</f>
        <v/>
      </c>
      <c r="AK5" s="437">
        <f t="shared" ref="AK5:AK68" si="8">IF(A5="",0,IF(ISERROR(VLOOKUP(A5,db_Feiertag,2,FALSE)),WEEKDAY(A5,2),Feiertag))</f>
        <v>2</v>
      </c>
      <c r="AL5" s="437"/>
      <c r="AM5" s="437">
        <f>xVorjahrSaldo</f>
        <v>0</v>
      </c>
      <c r="AN5" s="437">
        <f>IF(OR(G5=-1,G5=82),-1,IF(OR(G5=0,G5=83),1,0))</f>
        <v>0</v>
      </c>
      <c r="AO5" s="437"/>
      <c r="AP5" s="437"/>
      <c r="AQ5" s="437">
        <f>$A$378</f>
        <v>0</v>
      </c>
      <c r="AR5" s="437">
        <f>$A$378</f>
        <v>0</v>
      </c>
      <c r="AS5" s="437"/>
      <c r="AT5" s="437"/>
      <c r="AU5" s="437"/>
      <c r="AV5" s="437" t="b">
        <f t="shared" ref="AV5:AV68" ca="1" si="9">INDIRECT(ADDRESS(ROW(),COLUMN(xDay)))&gt;5</f>
        <v>0</v>
      </c>
      <c r="AW5" s="437"/>
      <c r="AX5" s="437"/>
    </row>
    <row r="6" spans="1:50">
      <c r="A6" s="308">
        <f>xJahr</f>
        <v>42369</v>
      </c>
      <c r="B6" s="309">
        <f>IF(A6="","",A6)</f>
        <v>42369</v>
      </c>
      <c r="C6" s="310">
        <f>IF(A6="","",NumberOfWeek(A6))</f>
        <v>1</v>
      </c>
      <c r="D6" s="311">
        <f>IF(A6="","",DATE(YEAR(A6),MONTH(A6),1))</f>
        <v>42369</v>
      </c>
      <c r="E6" s="321" t="str">
        <f t="shared" ref="E6:E69" si="10">IF((R6-U6)&gt;XWorkTimeMax,$Z$4,IF(AT6=Feiertag,VLOOKUP(B6,db_Feiertag,2,FALSE),""))</f>
        <v>Neujahr</v>
      </c>
      <c r="F6" s="5"/>
      <c r="G6" s="6" t="str">
        <f t="shared" ref="G6:G69" si="11">IF(ISBLANK(F6),IF(ISBLANK(H6),"",0),CODE(UPPER(F6)))</f>
        <v/>
      </c>
      <c r="H6" s="7"/>
      <c r="I6" s="7">
        <f t="shared" ref="I6:I69" si="12">IF(H6&gt;0,H6+Y6+X6+AC6,0)</f>
        <v>0</v>
      </c>
      <c r="J6" s="113">
        <f t="shared" si="0"/>
        <v>0</v>
      </c>
      <c r="K6" s="7"/>
      <c r="L6" s="7">
        <f t="shared" ref="L6:L69" si="13">IF(K6&gt;0,K6+IF((J6-H6)&lt;Y6,Y6-(J6-H6),TIME(0,10,0))+IF((K6-J6)&gt;xNoWorkTime,0,xNoWorkTime-(K6-J6)),0)</f>
        <v>0</v>
      </c>
      <c r="M6" s="113">
        <f t="shared" ref="M6:M69" si="14">IF(L6&lt;K6,L6+1,L6)</f>
        <v>0</v>
      </c>
      <c r="N6" s="113"/>
      <c r="O6" s="113">
        <f t="shared" si="1"/>
        <v>0</v>
      </c>
      <c r="P6" s="113"/>
      <c r="Q6" s="113">
        <f t="shared" ref="Q6:Q69" si="15">IF(O6&lt;N6,O6+1,O6)</f>
        <v>0</v>
      </c>
      <c r="R6" s="113">
        <f t="shared" ref="R6:R69" si="16">J6-H6+M6-K6+Q6-N6</f>
        <v>0</v>
      </c>
      <c r="S6" s="113">
        <f t="shared" ref="S6" si="17">IF(K6&gt;0,K6-I6,0)+IF(N6&gt;0,N6-L6)</f>
        <v>0</v>
      </c>
      <c r="T6" s="113">
        <f t="shared" ref="T6:T69" si="18">IF(R6&gt;B_Pause1Nach,B_Pause1Dauer,0)+IF(R6&gt;B_Pause2Nach,B_Pause2Dauer,0)</f>
        <v>0</v>
      </c>
      <c r="U6" s="113">
        <f>IF(T6&gt;S6,T6-S6,0)</f>
        <v>0</v>
      </c>
      <c r="V6" s="146">
        <f>IF(F6="S",Z6,(IF((R6-U6)&gt;XWorkTimeMax,XWorkTimeMax,IF((R6-U6)&gt;0,R6-U6,0))))</f>
        <v>0</v>
      </c>
      <c r="W6" s="66"/>
      <c r="X6" s="115">
        <f t="shared" si="2"/>
        <v>3.125E-2</v>
      </c>
      <c r="Y6" s="110">
        <f t="shared" ref="Y6:Y69" si="19">IF(AND((AK6&lt;Feiertag),(G6&lt;&gt;85)),IF(OR(F6="B",F6="G",F6="S",H6&gt;0),H6-H6+Z6,0),0)</f>
        <v>0</v>
      </c>
      <c r="Z6" s="111" t="str">
        <f>IF(AND(AK6&gt;0,AK6&lt;Feiertag),INDEX(Arbeitszeit,AK6),"")</f>
        <v/>
      </c>
      <c r="AA6" s="112">
        <f t="shared" ref="AA6:AA69" si="20">V6-Y6</f>
        <v>0</v>
      </c>
      <c r="AB6" s="67" t="str">
        <f t="shared" ref="AB6:AB69" si="21">IF((V6-Y6)&lt;0,"*","")</f>
        <v/>
      </c>
      <c r="AC6" s="193">
        <f t="shared" si="3"/>
        <v>0</v>
      </c>
      <c r="AD6" s="144" t="str">
        <f t="shared" si="4"/>
        <v/>
      </c>
      <c r="AE6" s="228">
        <f>IF(AU6,(AE5+SUM(AA6)-AF6),)</f>
        <v>0</v>
      </c>
      <c r="AF6" s="110"/>
      <c r="AG6" s="110" t="str">
        <f t="shared" ref="AG6:AG69" si="22">IF(AND(AF6&lt;&gt;"",AF6&lt;=V6),V6-AF6,"")</f>
        <v/>
      </c>
      <c r="AH6" s="68">
        <f t="shared" si="5"/>
        <v>0</v>
      </c>
      <c r="AI6" s="68">
        <f t="shared" si="6"/>
        <v>0</v>
      </c>
      <c r="AJ6" s="68" t="str">
        <f t="shared" si="7"/>
        <v/>
      </c>
      <c r="AK6">
        <f t="shared" si="8"/>
        <v>8</v>
      </c>
      <c r="AL6" s="122">
        <f>SUM($AD$6:AD6)</f>
        <v>0</v>
      </c>
      <c r="AM6" s="122">
        <f t="shared" ref="AM6:AM69" ca="1" si="23">IF(D6=D5,AM5,OFFSET(AM6,-1,COLUMN(db_jSaldoGes)-COLUMN()))</f>
        <v>0</v>
      </c>
      <c r="AN6" s="126">
        <f>IF(OR($G6=-1,$G6=82),-1,IF(OR($G6=0,$G6=83),1,0))</f>
        <v>0</v>
      </c>
      <c r="AO6" s="126">
        <f>IF($F6=Krank,1,IF($F6="J",-1,0))</f>
        <v>0</v>
      </c>
      <c r="AP6" s="126">
        <f>IF($F6=Urlaub,1,IF($F6="T",-1,0))</f>
        <v>0</v>
      </c>
      <c r="AQ6" s="125">
        <f t="shared" ref="AQ6:AQ69" si="24">IF(A6="","",AQ5-IF(F6=Urlaub,1,0)+IF(AND(MONTH(A6)=1,DAY(A6)=1),B_UrlaubNeu,0))</f>
        <v>30</v>
      </c>
      <c r="AR6" s="125">
        <f t="shared" ref="AR6:AR69" ca="1" si="25">IF(A6="","",IF(D6=D5,AR5,OFFSET(AR6,-1,COLUMN(db_jUrlRest)-COLUMN()))+IF(AND(MONTH(A6)=1,DAY(A6)=1),B_UrlaubNeu,0))</f>
        <v>30</v>
      </c>
      <c r="AS6" s="135">
        <f t="shared" ref="AS6:AS69" si="26">(IF(ISNUMBER(V6),V6,0)+IF(ISNUMBER(AD6),AD6,0))*24</f>
        <v>0</v>
      </c>
      <c r="AT6" s="125">
        <f t="shared" ref="AT6:AT69" si="27">IF(ISNUMBER(AD6),K_ArbeitOverMax,IF(AND(ISNUMBER(AA6),AA6&gt;0),K_ArbeitOverTime,IF(AND(ISNUMBER(V6),V6&gt;0),K_ArbeitNormal,IF(F6=Krank,K_Krank,IF(F6=Urlaub,K_Urlaub,IF(AK6=Feiertag,K_Feiertag,IF(OR(AK6=6,AK6=7),K_Wochenende,0)))))))+IF(F6=Gleittag,K_Gleittag,0)</f>
        <v>8</v>
      </c>
      <c r="AU6" t="b">
        <f>OR((F6&gt;0),(NOT(ISBLANK(H6))),SUM(H6:H$373),SUM(G6:G$373))</f>
        <v>0</v>
      </c>
      <c r="AV6" t="b">
        <f t="shared" ca="1" si="9"/>
        <v>1</v>
      </c>
      <c r="AW6" s="605">
        <f>IF(OR(R6&lt;&gt;0,F6&lt;&gt;0),AA6,IF(Z6="",0,-Z6))-AF6</f>
        <v>0</v>
      </c>
      <c r="AX6" s="228">
        <f>SUM(AW$5:AW6)</f>
        <v>0</v>
      </c>
    </row>
    <row r="7" spans="1:50">
      <c r="A7" s="308">
        <f t="shared" ref="A7:A70" si="28">IF(A6="","",IF((A6+1)&gt;=DATE(YEAR(xJahr)+1,MONTH(xJahr),DAY(xJahr)),"",A6+1))</f>
        <v>42370</v>
      </c>
      <c r="B7" s="309">
        <f t="shared" ref="B7:B70" si="29">IF(A7="","",A7)</f>
        <v>42370</v>
      </c>
      <c r="C7" s="310">
        <f>IF(A7="","",NumberOfWeek(A7))</f>
        <v>1</v>
      </c>
      <c r="D7" s="311">
        <f>IF(A7="","",DATE(YEAR(A7),MONTH(A7),1))</f>
        <v>42369</v>
      </c>
      <c r="E7" s="321" t="str">
        <f t="shared" si="10"/>
        <v/>
      </c>
      <c r="F7" s="5"/>
      <c r="G7" s="6" t="str">
        <f t="shared" si="11"/>
        <v/>
      </c>
      <c r="H7" s="7"/>
      <c r="I7" s="7">
        <f t="shared" ref="I7:I8" si="30">IF(H7&gt;0,H7+Y7+X7+AC7,0)</f>
        <v>0</v>
      </c>
      <c r="J7" s="113">
        <f t="shared" si="0"/>
        <v>0</v>
      </c>
      <c r="K7" s="7"/>
      <c r="L7" s="7">
        <f t="shared" si="13"/>
        <v>0</v>
      </c>
      <c r="M7" s="113">
        <f t="shared" si="14"/>
        <v>0</v>
      </c>
      <c r="N7" s="113"/>
      <c r="O7" s="113">
        <f t="shared" si="1"/>
        <v>0</v>
      </c>
      <c r="P7" s="113"/>
      <c r="Q7" s="113">
        <f t="shared" si="15"/>
        <v>0</v>
      </c>
      <c r="R7" s="113">
        <f t="shared" si="16"/>
        <v>0</v>
      </c>
      <c r="S7" s="113">
        <f>IF(K7&gt;0,K7-I7,0)+IF(N7&gt;0,N7-L7)</f>
        <v>0</v>
      </c>
      <c r="T7" s="113">
        <f t="shared" si="18"/>
        <v>0</v>
      </c>
      <c r="U7" s="113">
        <f>IF(T7&gt;S7,T7-S7,0)</f>
        <v>0</v>
      </c>
      <c r="V7" s="146">
        <f t="shared" ref="V7:V69" si="31">IF(F7="S",Z7,(IF((R7-U7)&gt;XWorkTimeMax,XWorkTimeMax,IF((R7-U7)&gt;0,R7-U7,0))))</f>
        <v>0</v>
      </c>
      <c r="W7" s="66"/>
      <c r="X7" s="115">
        <f t="shared" si="2"/>
        <v>3.125E-2</v>
      </c>
      <c r="Y7" s="110">
        <f t="shared" si="19"/>
        <v>0</v>
      </c>
      <c r="Z7" s="111">
        <f>IF(AND(AK7&gt;0,AK7&lt;Feiertag),INDEX(Arbeitszeit,AK7),"")</f>
        <v>0.29166666666666669</v>
      </c>
      <c r="AA7" s="112">
        <f t="shared" si="20"/>
        <v>0</v>
      </c>
      <c r="AB7" s="67" t="str">
        <f t="shared" si="21"/>
        <v/>
      </c>
      <c r="AC7" s="193">
        <f t="shared" si="3"/>
        <v>0</v>
      </c>
      <c r="AD7" s="144" t="str">
        <f t="shared" si="4"/>
        <v/>
      </c>
      <c r="AE7" s="228">
        <f t="shared" ref="AE7:AE10" si="32">IF(AU7,(AE6+SUM(AA7)-AF7),)</f>
        <v>0</v>
      </c>
      <c r="AF7" s="110"/>
      <c r="AG7" s="110" t="str">
        <f t="shared" si="22"/>
        <v/>
      </c>
      <c r="AH7" s="68">
        <f t="shared" si="5"/>
        <v>0</v>
      </c>
      <c r="AI7" s="68">
        <f t="shared" si="6"/>
        <v>0</v>
      </c>
      <c r="AJ7" s="68" t="str">
        <f t="shared" si="7"/>
        <v/>
      </c>
      <c r="AK7">
        <f t="shared" si="8"/>
        <v>4</v>
      </c>
      <c r="AL7" s="122">
        <f>SUM($AD$6:AD7)</f>
        <v>0</v>
      </c>
      <c r="AM7" s="122">
        <f t="shared" ca="1" si="23"/>
        <v>0</v>
      </c>
      <c r="AN7" s="126">
        <f t="shared" ref="AN7:AN70" si="33">IF(OR($G7=-1,$G7=82),-1,IF(OR($G7=0,$G7=83),1,0))</f>
        <v>0</v>
      </c>
      <c r="AO7" s="126">
        <f t="shared" ref="AO7:AO70" si="34">IF($F7=Krank,1,IF($F7="J",-1,0))</f>
        <v>0</v>
      </c>
      <c r="AP7" s="126">
        <f t="shared" ref="AP7:AP70" si="35">IF($F7=Urlaub,1,IF($F7="T",-1,0))</f>
        <v>0</v>
      </c>
      <c r="AQ7" s="125">
        <f t="shared" si="24"/>
        <v>30</v>
      </c>
      <c r="AR7" s="125">
        <f t="shared" ca="1" si="25"/>
        <v>30</v>
      </c>
      <c r="AS7" s="135">
        <f t="shared" si="26"/>
        <v>0</v>
      </c>
      <c r="AT7" s="125">
        <f t="shared" si="27"/>
        <v>0</v>
      </c>
      <c r="AU7" t="b">
        <f>OR((F7&gt;0),(NOT(ISBLANK(H7))),SUM(H7:H$373),SUM(G7:G$373))</f>
        <v>0</v>
      </c>
      <c r="AV7" t="b">
        <f t="shared" ca="1" si="9"/>
        <v>0</v>
      </c>
      <c r="AW7" s="605">
        <f>IF(OR(R7&lt;&gt;0,F7&lt;&gt;0),AA7,IF(Z7="",0,-Z7))-AF7</f>
        <v>-0.29166666666666669</v>
      </c>
      <c r="AX7" s="228">
        <f>SUM(AW$5:AW7)</f>
        <v>-0.29166666666666669</v>
      </c>
    </row>
    <row r="8" spans="1:50">
      <c r="A8" s="308">
        <f t="shared" si="28"/>
        <v>42371</v>
      </c>
      <c r="B8" s="309">
        <f t="shared" si="29"/>
        <v>42371</v>
      </c>
      <c r="C8" s="310">
        <f t="shared" ref="C8:C26" si="36">IF(A8="","",NumberOfWeek(A8))</f>
        <v>1</v>
      </c>
      <c r="D8" s="311">
        <f t="shared" ref="D8:D26" si="37">IF(A8="","",DATE(YEAR(A8),MONTH(A8),1))</f>
        <v>42369</v>
      </c>
      <c r="E8" s="321" t="str">
        <f t="shared" si="10"/>
        <v/>
      </c>
      <c r="F8" s="5"/>
      <c r="G8" s="6" t="str">
        <f t="shared" si="11"/>
        <v/>
      </c>
      <c r="H8" s="7"/>
      <c r="I8" s="7">
        <f t="shared" ref="I8" si="38">IF(H8&gt;0,H8+Y8+X8+AC8,0)</f>
        <v>0</v>
      </c>
      <c r="J8" s="113">
        <f t="shared" si="0"/>
        <v>0</v>
      </c>
      <c r="K8" s="7"/>
      <c r="L8" s="7">
        <f t="shared" si="13"/>
        <v>0</v>
      </c>
      <c r="M8" s="113">
        <f t="shared" si="14"/>
        <v>0</v>
      </c>
      <c r="N8" s="113"/>
      <c r="O8" s="113">
        <f t="shared" si="1"/>
        <v>0</v>
      </c>
      <c r="P8" s="113"/>
      <c r="Q8" s="113">
        <f t="shared" si="15"/>
        <v>0</v>
      </c>
      <c r="R8" s="113">
        <f t="shared" si="16"/>
        <v>0</v>
      </c>
      <c r="S8" s="113">
        <f t="shared" ref="S8:S71" si="39">IF(K8&gt;0,K8-I8,0)+IF(N8&gt;0,N8-L8)</f>
        <v>0</v>
      </c>
      <c r="T8" s="113">
        <f t="shared" si="18"/>
        <v>0</v>
      </c>
      <c r="U8" s="113">
        <f t="shared" ref="U8:U71" si="40">IF(T8&gt;S8,T8-S8,0)</f>
        <v>0</v>
      </c>
      <c r="V8" s="146">
        <f t="shared" si="31"/>
        <v>0</v>
      </c>
      <c r="W8" s="66"/>
      <c r="X8" s="115">
        <f t="shared" si="2"/>
        <v>3.125E-2</v>
      </c>
      <c r="Y8" s="110">
        <f t="shared" si="19"/>
        <v>0</v>
      </c>
      <c r="Z8" s="111">
        <f t="shared" ref="Z8:Z26" si="41">IF(AND(AK8&gt;0,AK8&lt;Feiertag),INDEX(Arbeitszeit,AK8),"")</f>
        <v>0.29166666666666669</v>
      </c>
      <c r="AA8" s="112">
        <f t="shared" si="20"/>
        <v>0</v>
      </c>
      <c r="AB8" s="67" t="str">
        <f t="shared" si="21"/>
        <v/>
      </c>
      <c r="AC8" s="193">
        <f t="shared" si="3"/>
        <v>0</v>
      </c>
      <c r="AD8" s="144" t="str">
        <f t="shared" si="4"/>
        <v/>
      </c>
      <c r="AE8" s="228">
        <f t="shared" si="32"/>
        <v>0</v>
      </c>
      <c r="AF8" s="110"/>
      <c r="AG8" s="110" t="str">
        <f t="shared" si="22"/>
        <v/>
      </c>
      <c r="AH8" s="68">
        <f t="shared" si="5"/>
        <v>0</v>
      </c>
      <c r="AI8" s="68">
        <f t="shared" si="6"/>
        <v>0</v>
      </c>
      <c r="AJ8" s="68" t="str">
        <f t="shared" si="7"/>
        <v/>
      </c>
      <c r="AK8">
        <f t="shared" si="8"/>
        <v>5</v>
      </c>
      <c r="AL8" s="122">
        <f>SUM($AD$6:AD8)</f>
        <v>0</v>
      </c>
      <c r="AM8" s="122">
        <f t="shared" ca="1" si="23"/>
        <v>0</v>
      </c>
      <c r="AN8" s="126">
        <f t="shared" si="33"/>
        <v>0</v>
      </c>
      <c r="AO8" s="126">
        <f t="shared" si="34"/>
        <v>0</v>
      </c>
      <c r="AP8" s="126">
        <f t="shared" si="35"/>
        <v>0</v>
      </c>
      <c r="AQ8" s="125">
        <f t="shared" si="24"/>
        <v>30</v>
      </c>
      <c r="AR8" s="125">
        <f t="shared" ca="1" si="25"/>
        <v>30</v>
      </c>
      <c r="AS8" s="135">
        <f t="shared" si="26"/>
        <v>0</v>
      </c>
      <c r="AT8" s="125">
        <f t="shared" si="27"/>
        <v>0</v>
      </c>
      <c r="AU8" t="b">
        <f>OR((F8&gt;0),(NOT(ISBLANK(H8))),SUM(H8:H$373),SUM(G8:G$373))</f>
        <v>0</v>
      </c>
      <c r="AV8" t="b">
        <f t="shared" ca="1" si="9"/>
        <v>0</v>
      </c>
      <c r="AW8" s="605">
        <f t="shared" ref="AW8:AW21" si="42">IF(OR(R8&lt;&gt;0,F8&lt;&gt;0),AA8,IF(Z8="",0,-Z8))-AF8</f>
        <v>-0.29166666666666669</v>
      </c>
      <c r="AX8" s="228">
        <f>SUM(AW$5:AW8)</f>
        <v>-0.58333333333333337</v>
      </c>
    </row>
    <row r="9" spans="1:50">
      <c r="A9" s="308">
        <f t="shared" si="28"/>
        <v>42372</v>
      </c>
      <c r="B9" s="309">
        <f t="shared" si="29"/>
        <v>42372</v>
      </c>
      <c r="C9" s="310">
        <f t="shared" si="36"/>
        <v>1</v>
      </c>
      <c r="D9" s="311">
        <f t="shared" si="37"/>
        <v>42369</v>
      </c>
      <c r="E9" s="321" t="str">
        <f t="shared" si="10"/>
        <v/>
      </c>
      <c r="F9" s="5"/>
      <c r="G9" s="6" t="str">
        <f t="shared" si="11"/>
        <v/>
      </c>
      <c r="H9" s="7"/>
      <c r="I9" s="7">
        <f t="shared" si="12"/>
        <v>0</v>
      </c>
      <c r="J9" s="113">
        <f t="shared" si="0"/>
        <v>0</v>
      </c>
      <c r="K9" s="7"/>
      <c r="L9" s="7">
        <f t="shared" si="13"/>
        <v>0</v>
      </c>
      <c r="M9" s="113">
        <f t="shared" si="14"/>
        <v>0</v>
      </c>
      <c r="N9" s="113"/>
      <c r="O9" s="113">
        <f t="shared" si="1"/>
        <v>0</v>
      </c>
      <c r="P9" s="113"/>
      <c r="Q9" s="113">
        <f t="shared" si="15"/>
        <v>0</v>
      </c>
      <c r="R9" s="113">
        <f t="shared" si="16"/>
        <v>0</v>
      </c>
      <c r="S9" s="113">
        <f t="shared" si="39"/>
        <v>0</v>
      </c>
      <c r="T9" s="113">
        <f t="shared" si="18"/>
        <v>0</v>
      </c>
      <c r="U9" s="113">
        <f t="shared" si="40"/>
        <v>0</v>
      </c>
      <c r="V9" s="146">
        <f t="shared" si="31"/>
        <v>0</v>
      </c>
      <c r="W9" s="66"/>
      <c r="X9" s="115">
        <f t="shared" si="2"/>
        <v>3.125E-2</v>
      </c>
      <c r="Y9" s="110">
        <f t="shared" si="19"/>
        <v>0</v>
      </c>
      <c r="Z9" s="111">
        <f t="shared" si="41"/>
        <v>0</v>
      </c>
      <c r="AA9" s="112">
        <f t="shared" si="20"/>
        <v>0</v>
      </c>
      <c r="AB9" s="67" t="str">
        <f t="shared" si="21"/>
        <v/>
      </c>
      <c r="AC9" s="193">
        <f t="shared" si="3"/>
        <v>0</v>
      </c>
      <c r="AD9" s="144" t="str">
        <f t="shared" si="4"/>
        <v/>
      </c>
      <c r="AE9" s="228">
        <f t="shared" si="32"/>
        <v>0</v>
      </c>
      <c r="AF9" s="110"/>
      <c r="AG9" s="110" t="str">
        <f t="shared" si="22"/>
        <v/>
      </c>
      <c r="AH9" s="68">
        <f t="shared" si="5"/>
        <v>0</v>
      </c>
      <c r="AI9" s="68">
        <f t="shared" si="6"/>
        <v>0</v>
      </c>
      <c r="AJ9" s="68" t="str">
        <f t="shared" si="7"/>
        <v/>
      </c>
      <c r="AK9">
        <f t="shared" si="8"/>
        <v>6</v>
      </c>
      <c r="AL9" s="122">
        <f>SUM($AD$6:AD9)</f>
        <v>0</v>
      </c>
      <c r="AM9" s="122">
        <f t="shared" ca="1" si="23"/>
        <v>0</v>
      </c>
      <c r="AN9" s="126">
        <f t="shared" si="33"/>
        <v>0</v>
      </c>
      <c r="AO9" s="126">
        <f t="shared" si="34"/>
        <v>0</v>
      </c>
      <c r="AP9" s="126">
        <f t="shared" si="35"/>
        <v>0</v>
      </c>
      <c r="AQ9" s="125">
        <f t="shared" si="24"/>
        <v>30</v>
      </c>
      <c r="AR9" s="125">
        <f t="shared" ca="1" si="25"/>
        <v>30</v>
      </c>
      <c r="AS9" s="135">
        <f t="shared" si="26"/>
        <v>0</v>
      </c>
      <c r="AT9" s="125">
        <f t="shared" si="27"/>
        <v>7</v>
      </c>
      <c r="AU9" t="b">
        <f>OR((F9&gt;0),(NOT(ISBLANK(H9))),SUM(H9:H$373),SUM(G9:G$373))</f>
        <v>0</v>
      </c>
      <c r="AV9" t="b">
        <f t="shared" ca="1" si="9"/>
        <v>1</v>
      </c>
      <c r="AW9" s="605">
        <f t="shared" si="42"/>
        <v>0</v>
      </c>
      <c r="AX9" s="228">
        <f>SUM(AW$5:AW9)</f>
        <v>-0.58333333333333337</v>
      </c>
    </row>
    <row r="10" spans="1:50">
      <c r="A10" s="308">
        <f t="shared" si="28"/>
        <v>42373</v>
      </c>
      <c r="B10" s="309">
        <f t="shared" si="29"/>
        <v>42373</v>
      </c>
      <c r="C10" s="310">
        <f t="shared" si="36"/>
        <v>1</v>
      </c>
      <c r="D10" s="311">
        <f t="shared" si="37"/>
        <v>42369</v>
      </c>
      <c r="E10" s="321" t="str">
        <f t="shared" si="10"/>
        <v/>
      </c>
      <c r="F10" s="5"/>
      <c r="G10" s="6" t="str">
        <f t="shared" si="11"/>
        <v/>
      </c>
      <c r="H10" s="7"/>
      <c r="I10" s="7">
        <f t="shared" si="12"/>
        <v>0</v>
      </c>
      <c r="J10" s="113">
        <f t="shared" si="0"/>
        <v>0</v>
      </c>
      <c r="K10" s="7"/>
      <c r="L10" s="7">
        <f t="shared" si="13"/>
        <v>0</v>
      </c>
      <c r="M10" s="113">
        <f t="shared" si="14"/>
        <v>0</v>
      </c>
      <c r="N10" s="113"/>
      <c r="O10" s="113">
        <f t="shared" si="1"/>
        <v>0</v>
      </c>
      <c r="P10" s="113"/>
      <c r="Q10" s="113">
        <f t="shared" si="15"/>
        <v>0</v>
      </c>
      <c r="R10" s="113">
        <f t="shared" si="16"/>
        <v>0</v>
      </c>
      <c r="S10" s="113">
        <f t="shared" si="39"/>
        <v>0</v>
      </c>
      <c r="T10" s="113">
        <f t="shared" si="18"/>
        <v>0</v>
      </c>
      <c r="U10" s="113">
        <f t="shared" si="40"/>
        <v>0</v>
      </c>
      <c r="V10" s="146">
        <f t="shared" si="31"/>
        <v>0</v>
      </c>
      <c r="W10" s="66"/>
      <c r="X10" s="115">
        <f t="shared" si="2"/>
        <v>3.125E-2</v>
      </c>
      <c r="Y10" s="110">
        <f t="shared" si="19"/>
        <v>0</v>
      </c>
      <c r="Z10" s="111">
        <f t="shared" si="41"/>
        <v>0</v>
      </c>
      <c r="AA10" s="112">
        <f t="shared" si="20"/>
        <v>0</v>
      </c>
      <c r="AB10" s="67" t="str">
        <f t="shared" si="21"/>
        <v/>
      </c>
      <c r="AC10" s="193">
        <f t="shared" si="3"/>
        <v>0</v>
      </c>
      <c r="AD10" s="144" t="str">
        <f t="shared" si="4"/>
        <v/>
      </c>
      <c r="AE10" s="228">
        <f t="shared" si="32"/>
        <v>0</v>
      </c>
      <c r="AF10" s="110"/>
      <c r="AG10" s="110" t="str">
        <f t="shared" si="22"/>
        <v/>
      </c>
      <c r="AH10" s="68">
        <f t="shared" si="5"/>
        <v>0</v>
      </c>
      <c r="AI10" s="68">
        <f t="shared" si="6"/>
        <v>0</v>
      </c>
      <c r="AJ10" s="68" t="str">
        <f t="shared" si="7"/>
        <v/>
      </c>
      <c r="AK10">
        <f t="shared" si="8"/>
        <v>7</v>
      </c>
      <c r="AL10" s="122">
        <f>SUM($AD$6:AD10)</f>
        <v>0</v>
      </c>
      <c r="AM10" s="122">
        <f t="shared" ca="1" si="23"/>
        <v>0</v>
      </c>
      <c r="AN10" s="126">
        <f t="shared" si="33"/>
        <v>0</v>
      </c>
      <c r="AO10" s="126">
        <f t="shared" si="34"/>
        <v>0</v>
      </c>
      <c r="AP10" s="126">
        <f t="shared" si="35"/>
        <v>0</v>
      </c>
      <c r="AQ10" s="125">
        <f t="shared" si="24"/>
        <v>30</v>
      </c>
      <c r="AR10" s="125">
        <f t="shared" ca="1" si="25"/>
        <v>30</v>
      </c>
      <c r="AS10" s="135">
        <f t="shared" si="26"/>
        <v>0</v>
      </c>
      <c r="AT10" s="125">
        <f t="shared" si="27"/>
        <v>7</v>
      </c>
      <c r="AU10" t="b">
        <f>OR((F10&gt;0),(NOT(ISBLANK(H10))),SUM(H10:H$373),SUM(G10:G$373))</f>
        <v>0</v>
      </c>
      <c r="AV10" t="b">
        <f t="shared" ca="1" si="9"/>
        <v>1</v>
      </c>
      <c r="AW10" s="605">
        <f t="shared" si="42"/>
        <v>0</v>
      </c>
      <c r="AX10" s="228">
        <f>SUM(AW$5:AW10)</f>
        <v>-0.58333333333333337</v>
      </c>
    </row>
    <row r="11" spans="1:50">
      <c r="A11" s="308">
        <f t="shared" si="28"/>
        <v>42374</v>
      </c>
      <c r="B11" s="309">
        <f t="shared" si="29"/>
        <v>42374</v>
      </c>
      <c r="C11" s="310">
        <f t="shared" si="36"/>
        <v>2</v>
      </c>
      <c r="D11" s="311">
        <f t="shared" si="37"/>
        <v>42369</v>
      </c>
      <c r="E11" s="321" t="str">
        <f t="shared" si="10"/>
        <v>hl. Dreikönig</v>
      </c>
      <c r="F11" s="5"/>
      <c r="G11" s="6" t="str">
        <f t="shared" si="11"/>
        <v/>
      </c>
      <c r="H11" s="7"/>
      <c r="I11" s="7">
        <f t="shared" si="12"/>
        <v>0</v>
      </c>
      <c r="J11" s="113">
        <f t="shared" si="0"/>
        <v>0</v>
      </c>
      <c r="K11" s="7"/>
      <c r="L11" s="7">
        <f t="shared" si="13"/>
        <v>0</v>
      </c>
      <c r="M11" s="113">
        <f t="shared" si="14"/>
        <v>0</v>
      </c>
      <c r="N11" s="113"/>
      <c r="O11" s="113">
        <f t="shared" si="1"/>
        <v>0</v>
      </c>
      <c r="P11" s="113"/>
      <c r="Q11" s="113">
        <f t="shared" si="15"/>
        <v>0</v>
      </c>
      <c r="R11" s="113">
        <f t="shared" si="16"/>
        <v>0</v>
      </c>
      <c r="S11" s="113">
        <f t="shared" si="39"/>
        <v>0</v>
      </c>
      <c r="T11" s="113">
        <f t="shared" si="18"/>
        <v>0</v>
      </c>
      <c r="U11" s="113">
        <f t="shared" si="40"/>
        <v>0</v>
      </c>
      <c r="V11" s="146">
        <f t="shared" si="31"/>
        <v>0</v>
      </c>
      <c r="W11" s="66"/>
      <c r="X11" s="115">
        <f t="shared" si="2"/>
        <v>3.125E-2</v>
      </c>
      <c r="Y11" s="110">
        <f t="shared" si="19"/>
        <v>0</v>
      </c>
      <c r="Z11" s="111" t="str">
        <f t="shared" si="41"/>
        <v/>
      </c>
      <c r="AA11" s="112">
        <f t="shared" si="20"/>
        <v>0</v>
      </c>
      <c r="AB11" s="67" t="str">
        <f t="shared" si="21"/>
        <v/>
      </c>
      <c r="AC11" s="193">
        <f t="shared" si="3"/>
        <v>0</v>
      </c>
      <c r="AD11" s="144" t="str">
        <f t="shared" si="4"/>
        <v/>
      </c>
      <c r="AE11" s="228">
        <f t="shared" ref="AE11:AE70" si="43">IF(AU11,(AE10+SUM(AA11)-AF11),)</f>
        <v>0</v>
      </c>
      <c r="AF11" s="110"/>
      <c r="AG11" s="110" t="str">
        <f t="shared" si="22"/>
        <v/>
      </c>
      <c r="AH11" s="68">
        <f t="shared" si="5"/>
        <v>0</v>
      </c>
      <c r="AI11" s="68">
        <f t="shared" si="6"/>
        <v>0</v>
      </c>
      <c r="AJ11" s="68" t="str">
        <f t="shared" si="7"/>
        <v/>
      </c>
      <c r="AK11">
        <f t="shared" si="8"/>
        <v>8</v>
      </c>
      <c r="AL11" s="122">
        <f>SUM($AD$6:AD11)</f>
        <v>0</v>
      </c>
      <c r="AM11" s="122">
        <f t="shared" ca="1" si="23"/>
        <v>0</v>
      </c>
      <c r="AN11" s="126">
        <f t="shared" si="33"/>
        <v>0</v>
      </c>
      <c r="AO11" s="126">
        <f t="shared" si="34"/>
        <v>0</v>
      </c>
      <c r="AP11" s="126">
        <f t="shared" si="35"/>
        <v>0</v>
      </c>
      <c r="AQ11" s="125">
        <f t="shared" si="24"/>
        <v>30</v>
      </c>
      <c r="AR11" s="125">
        <f t="shared" ca="1" si="25"/>
        <v>30</v>
      </c>
      <c r="AS11" s="135">
        <f t="shared" si="26"/>
        <v>0</v>
      </c>
      <c r="AT11" s="125">
        <f t="shared" si="27"/>
        <v>8</v>
      </c>
      <c r="AU11" t="b">
        <f>OR((F11&gt;0),(NOT(ISBLANK(H11))),SUM(H11:H$373),SUM(G11:G$373))</f>
        <v>0</v>
      </c>
      <c r="AV11" t="b">
        <f t="shared" ca="1" si="9"/>
        <v>1</v>
      </c>
      <c r="AW11" s="605">
        <f t="shared" si="42"/>
        <v>0</v>
      </c>
      <c r="AX11" s="228">
        <f>SUM(AW$5:AW11)</f>
        <v>-0.58333333333333337</v>
      </c>
    </row>
    <row r="12" spans="1:50">
      <c r="A12" s="308">
        <f t="shared" si="28"/>
        <v>42375</v>
      </c>
      <c r="B12" s="309">
        <f t="shared" si="29"/>
        <v>42375</v>
      </c>
      <c r="C12" s="310">
        <f>IF(A12="","",NumberOfWeek(A12))</f>
        <v>2</v>
      </c>
      <c r="D12" s="311">
        <f t="shared" si="37"/>
        <v>42369</v>
      </c>
      <c r="E12" s="321" t="str">
        <f t="shared" si="10"/>
        <v/>
      </c>
      <c r="F12" s="5"/>
      <c r="G12" s="6" t="str">
        <f t="shared" si="11"/>
        <v/>
      </c>
      <c r="H12" s="7"/>
      <c r="I12" s="7">
        <f t="shared" ref="I12:I14" si="44">IF(H12&gt;0,H12+Y12+X12+AC12,0)</f>
        <v>0</v>
      </c>
      <c r="J12" s="113">
        <f t="shared" si="0"/>
        <v>0</v>
      </c>
      <c r="K12" s="7"/>
      <c r="L12" s="7">
        <f t="shared" si="13"/>
        <v>0</v>
      </c>
      <c r="M12" s="113">
        <f t="shared" si="14"/>
        <v>0</v>
      </c>
      <c r="N12" s="113"/>
      <c r="O12" s="113">
        <f t="shared" si="1"/>
        <v>0</v>
      </c>
      <c r="P12" s="113"/>
      <c r="Q12" s="113">
        <f t="shared" si="15"/>
        <v>0</v>
      </c>
      <c r="R12" s="113">
        <f t="shared" si="16"/>
        <v>0</v>
      </c>
      <c r="S12" s="113">
        <f t="shared" si="39"/>
        <v>0</v>
      </c>
      <c r="T12" s="113">
        <f t="shared" si="18"/>
        <v>0</v>
      </c>
      <c r="U12" s="113">
        <f t="shared" si="40"/>
        <v>0</v>
      </c>
      <c r="V12" s="146">
        <f t="shared" si="31"/>
        <v>0</v>
      </c>
      <c r="W12" s="66"/>
      <c r="X12" s="115">
        <f t="shared" si="2"/>
        <v>3.125E-2</v>
      </c>
      <c r="Y12" s="110">
        <f t="shared" si="19"/>
        <v>0</v>
      </c>
      <c r="Z12" s="111">
        <f t="shared" si="41"/>
        <v>0.29166666666666669</v>
      </c>
      <c r="AA12" s="112">
        <f t="shared" si="20"/>
        <v>0</v>
      </c>
      <c r="AB12" s="67" t="str">
        <f t="shared" si="21"/>
        <v/>
      </c>
      <c r="AC12" s="193">
        <f t="shared" si="3"/>
        <v>0</v>
      </c>
      <c r="AD12" s="144" t="str">
        <f t="shared" si="4"/>
        <v/>
      </c>
      <c r="AE12" s="228">
        <f t="shared" si="43"/>
        <v>0</v>
      </c>
      <c r="AF12" s="110"/>
      <c r="AG12" s="110" t="str">
        <f t="shared" si="22"/>
        <v/>
      </c>
      <c r="AH12" s="68">
        <f t="shared" si="5"/>
        <v>0</v>
      </c>
      <c r="AI12" s="68">
        <f t="shared" si="6"/>
        <v>0</v>
      </c>
      <c r="AJ12" s="68" t="str">
        <f t="shared" si="7"/>
        <v/>
      </c>
      <c r="AK12">
        <f t="shared" si="8"/>
        <v>2</v>
      </c>
      <c r="AL12" s="122">
        <f>SUM($AD$6:AD12)</f>
        <v>0</v>
      </c>
      <c r="AM12" s="122">
        <f t="shared" ca="1" si="23"/>
        <v>0</v>
      </c>
      <c r="AN12" s="126">
        <f t="shared" si="33"/>
        <v>0</v>
      </c>
      <c r="AO12" s="126">
        <f t="shared" si="34"/>
        <v>0</v>
      </c>
      <c r="AP12" s="126">
        <f t="shared" si="35"/>
        <v>0</v>
      </c>
      <c r="AQ12" s="125">
        <f t="shared" si="24"/>
        <v>30</v>
      </c>
      <c r="AR12" s="125">
        <f t="shared" ca="1" si="25"/>
        <v>30</v>
      </c>
      <c r="AS12" s="135">
        <f t="shared" si="26"/>
        <v>0</v>
      </c>
      <c r="AT12" s="125">
        <f t="shared" si="27"/>
        <v>0</v>
      </c>
      <c r="AU12" t="b">
        <f>OR((F12&gt;0),(NOT(ISBLANK(H12))),SUM(H12:H$373),SUM(G12:G$373))</f>
        <v>0</v>
      </c>
      <c r="AV12" t="b">
        <f t="shared" ca="1" si="9"/>
        <v>0</v>
      </c>
      <c r="AW12" s="605">
        <f t="shared" si="42"/>
        <v>-0.29166666666666669</v>
      </c>
      <c r="AX12" s="228">
        <f>SUM(AW$5:AW12)</f>
        <v>-0.875</v>
      </c>
    </row>
    <row r="13" spans="1:50">
      <c r="A13" s="308">
        <f t="shared" si="28"/>
        <v>42376</v>
      </c>
      <c r="B13" s="309">
        <f t="shared" si="29"/>
        <v>42376</v>
      </c>
      <c r="C13" s="310">
        <f t="shared" si="36"/>
        <v>2</v>
      </c>
      <c r="D13" s="311">
        <f t="shared" si="37"/>
        <v>42369</v>
      </c>
      <c r="E13" s="321" t="str">
        <f t="shared" si="10"/>
        <v/>
      </c>
      <c r="F13" s="5"/>
      <c r="G13" s="6" t="str">
        <f t="shared" si="11"/>
        <v/>
      </c>
      <c r="H13" s="7"/>
      <c r="I13" s="7">
        <f t="shared" si="44"/>
        <v>0</v>
      </c>
      <c r="J13" s="113">
        <f t="shared" si="0"/>
        <v>0</v>
      </c>
      <c r="K13" s="7"/>
      <c r="L13" s="7">
        <f t="shared" si="13"/>
        <v>0</v>
      </c>
      <c r="M13" s="113">
        <f t="shared" si="14"/>
        <v>0</v>
      </c>
      <c r="N13" s="113"/>
      <c r="O13" s="113">
        <f t="shared" si="1"/>
        <v>0</v>
      </c>
      <c r="P13" s="113"/>
      <c r="Q13" s="113">
        <f t="shared" si="15"/>
        <v>0</v>
      </c>
      <c r="R13" s="113">
        <f t="shared" si="16"/>
        <v>0</v>
      </c>
      <c r="S13" s="113">
        <f t="shared" si="39"/>
        <v>0</v>
      </c>
      <c r="T13" s="113">
        <f t="shared" si="18"/>
        <v>0</v>
      </c>
      <c r="U13" s="113">
        <f t="shared" si="40"/>
        <v>0</v>
      </c>
      <c r="V13" s="146">
        <f t="shared" si="31"/>
        <v>0</v>
      </c>
      <c r="W13" s="66"/>
      <c r="X13" s="115">
        <f t="shared" si="2"/>
        <v>3.125E-2</v>
      </c>
      <c r="Y13" s="110">
        <f t="shared" si="19"/>
        <v>0</v>
      </c>
      <c r="Z13" s="111">
        <f t="shared" si="41"/>
        <v>0.29166666666666669</v>
      </c>
      <c r="AA13" s="112">
        <f t="shared" si="20"/>
        <v>0</v>
      </c>
      <c r="AB13" s="67" t="str">
        <f t="shared" si="21"/>
        <v/>
      </c>
      <c r="AC13" s="193">
        <f t="shared" si="3"/>
        <v>0</v>
      </c>
      <c r="AD13" s="144" t="str">
        <f t="shared" si="4"/>
        <v/>
      </c>
      <c r="AE13" s="228">
        <f t="shared" si="43"/>
        <v>0</v>
      </c>
      <c r="AF13" s="110"/>
      <c r="AG13" s="110" t="str">
        <f t="shared" si="22"/>
        <v/>
      </c>
      <c r="AH13" s="68">
        <f t="shared" si="5"/>
        <v>0</v>
      </c>
      <c r="AI13" s="68">
        <f t="shared" si="6"/>
        <v>0</v>
      </c>
      <c r="AJ13" s="68" t="str">
        <f t="shared" si="7"/>
        <v/>
      </c>
      <c r="AK13">
        <f t="shared" si="8"/>
        <v>3</v>
      </c>
      <c r="AL13" s="122">
        <f>SUM($AD$6:AD13)</f>
        <v>0</v>
      </c>
      <c r="AM13" s="122">
        <f t="shared" ca="1" si="23"/>
        <v>0</v>
      </c>
      <c r="AN13" s="126">
        <f t="shared" si="33"/>
        <v>0</v>
      </c>
      <c r="AO13" s="126">
        <f t="shared" si="34"/>
        <v>0</v>
      </c>
      <c r="AP13" s="126">
        <f t="shared" si="35"/>
        <v>0</v>
      </c>
      <c r="AQ13" s="125">
        <f t="shared" si="24"/>
        <v>30</v>
      </c>
      <c r="AR13" s="125">
        <f t="shared" ca="1" si="25"/>
        <v>30</v>
      </c>
      <c r="AS13" s="135">
        <f t="shared" si="26"/>
        <v>0</v>
      </c>
      <c r="AT13" s="125">
        <f t="shared" si="27"/>
        <v>0</v>
      </c>
      <c r="AU13" t="b">
        <f>OR((F13&gt;0),(NOT(ISBLANK(H13))),SUM(H13:H$373),SUM(G13:G$373))</f>
        <v>0</v>
      </c>
      <c r="AV13" t="b">
        <f t="shared" ca="1" si="9"/>
        <v>0</v>
      </c>
      <c r="AW13" s="605">
        <f t="shared" si="42"/>
        <v>-0.29166666666666669</v>
      </c>
      <c r="AX13" s="228">
        <f>SUM(AW$5:AW13)</f>
        <v>-1.1666666666666667</v>
      </c>
    </row>
    <row r="14" spans="1:50">
      <c r="A14" s="308">
        <f t="shared" si="28"/>
        <v>42377</v>
      </c>
      <c r="B14" s="309">
        <f t="shared" si="29"/>
        <v>42377</v>
      </c>
      <c r="C14" s="310">
        <f t="shared" si="36"/>
        <v>2</v>
      </c>
      <c r="D14" s="311">
        <f t="shared" si="37"/>
        <v>42369</v>
      </c>
      <c r="E14" s="321" t="str">
        <f t="shared" si="10"/>
        <v/>
      </c>
      <c r="F14" s="5"/>
      <c r="G14" s="6" t="str">
        <f t="shared" si="11"/>
        <v/>
      </c>
      <c r="H14" s="7"/>
      <c r="I14" s="7">
        <f t="shared" si="44"/>
        <v>0</v>
      </c>
      <c r="J14" s="113">
        <f t="shared" si="0"/>
        <v>0</v>
      </c>
      <c r="K14" s="7"/>
      <c r="L14" s="7">
        <f t="shared" si="13"/>
        <v>0</v>
      </c>
      <c r="M14" s="113">
        <f t="shared" si="14"/>
        <v>0</v>
      </c>
      <c r="N14" s="113"/>
      <c r="O14" s="113">
        <f t="shared" si="1"/>
        <v>0</v>
      </c>
      <c r="P14" s="113"/>
      <c r="Q14" s="113">
        <f t="shared" si="15"/>
        <v>0</v>
      </c>
      <c r="R14" s="113">
        <f t="shared" si="16"/>
        <v>0</v>
      </c>
      <c r="S14" s="113">
        <f t="shared" si="39"/>
        <v>0</v>
      </c>
      <c r="T14" s="113">
        <f t="shared" si="18"/>
        <v>0</v>
      </c>
      <c r="U14" s="113">
        <f t="shared" si="40"/>
        <v>0</v>
      </c>
      <c r="V14" s="146">
        <f t="shared" si="31"/>
        <v>0</v>
      </c>
      <c r="W14" s="66"/>
      <c r="X14" s="115">
        <f t="shared" si="2"/>
        <v>3.125E-2</v>
      </c>
      <c r="Y14" s="110">
        <f t="shared" si="19"/>
        <v>0</v>
      </c>
      <c r="Z14" s="111">
        <f t="shared" si="41"/>
        <v>0.29166666666666669</v>
      </c>
      <c r="AA14" s="112">
        <f t="shared" si="20"/>
        <v>0</v>
      </c>
      <c r="AB14" s="67" t="str">
        <f t="shared" si="21"/>
        <v/>
      </c>
      <c r="AC14" s="193">
        <f t="shared" si="3"/>
        <v>0</v>
      </c>
      <c r="AD14" s="144" t="str">
        <f t="shared" si="4"/>
        <v/>
      </c>
      <c r="AE14" s="228">
        <f t="shared" si="43"/>
        <v>0</v>
      </c>
      <c r="AF14" s="110"/>
      <c r="AG14" s="110" t="str">
        <f t="shared" si="22"/>
        <v/>
      </c>
      <c r="AH14" s="68">
        <f t="shared" si="5"/>
        <v>0</v>
      </c>
      <c r="AI14" s="68">
        <f t="shared" si="6"/>
        <v>0</v>
      </c>
      <c r="AJ14" s="68" t="str">
        <f t="shared" si="7"/>
        <v/>
      </c>
      <c r="AK14">
        <f t="shared" si="8"/>
        <v>4</v>
      </c>
      <c r="AL14" s="122">
        <f>SUM($AD$6:AD14)</f>
        <v>0</v>
      </c>
      <c r="AM14" s="122">
        <f t="shared" ca="1" si="23"/>
        <v>0</v>
      </c>
      <c r="AN14" s="126">
        <f t="shared" si="33"/>
        <v>0</v>
      </c>
      <c r="AO14" s="126">
        <f t="shared" si="34"/>
        <v>0</v>
      </c>
      <c r="AP14" s="126">
        <f t="shared" si="35"/>
        <v>0</v>
      </c>
      <c r="AQ14" s="125">
        <f t="shared" si="24"/>
        <v>30</v>
      </c>
      <c r="AR14" s="125">
        <f t="shared" ca="1" si="25"/>
        <v>30</v>
      </c>
      <c r="AS14" s="135">
        <f t="shared" si="26"/>
        <v>0</v>
      </c>
      <c r="AT14" s="125">
        <f t="shared" si="27"/>
        <v>0</v>
      </c>
      <c r="AU14" t="b">
        <f>OR((F14&gt;0),(NOT(ISBLANK(H14))),SUM(H14:H$373),SUM(G14:G$373))</f>
        <v>0</v>
      </c>
      <c r="AV14" t="b">
        <f t="shared" ca="1" si="9"/>
        <v>0</v>
      </c>
      <c r="AW14" s="605">
        <f t="shared" si="42"/>
        <v>-0.29166666666666669</v>
      </c>
      <c r="AX14" s="228">
        <f>SUM(AW$5:AW14)</f>
        <v>-1.4583333333333335</v>
      </c>
    </row>
    <row r="15" spans="1:50">
      <c r="A15" s="308">
        <f t="shared" si="28"/>
        <v>42378</v>
      </c>
      <c r="B15" s="309">
        <f t="shared" si="29"/>
        <v>42378</v>
      </c>
      <c r="C15" s="310">
        <f t="shared" si="36"/>
        <v>2</v>
      </c>
      <c r="D15" s="311">
        <f t="shared" si="37"/>
        <v>42369</v>
      </c>
      <c r="E15" s="321" t="str">
        <f t="shared" si="10"/>
        <v/>
      </c>
      <c r="F15" s="5"/>
      <c r="G15" s="6" t="str">
        <f t="shared" si="11"/>
        <v/>
      </c>
      <c r="H15" s="7"/>
      <c r="I15" s="7">
        <f t="shared" si="12"/>
        <v>0</v>
      </c>
      <c r="J15" s="113">
        <f t="shared" si="0"/>
        <v>0</v>
      </c>
      <c r="K15" s="7"/>
      <c r="L15" s="7">
        <f t="shared" si="13"/>
        <v>0</v>
      </c>
      <c r="M15" s="113">
        <f t="shared" si="14"/>
        <v>0</v>
      </c>
      <c r="N15" s="113"/>
      <c r="O15" s="113">
        <f t="shared" si="1"/>
        <v>0</v>
      </c>
      <c r="P15" s="113"/>
      <c r="Q15" s="113">
        <f t="shared" si="15"/>
        <v>0</v>
      </c>
      <c r="R15" s="113">
        <f t="shared" si="16"/>
        <v>0</v>
      </c>
      <c r="S15" s="113">
        <f t="shared" si="39"/>
        <v>0</v>
      </c>
      <c r="T15" s="113">
        <f t="shared" si="18"/>
        <v>0</v>
      </c>
      <c r="U15" s="113">
        <f t="shared" si="40"/>
        <v>0</v>
      </c>
      <c r="V15" s="146">
        <f t="shared" si="31"/>
        <v>0</v>
      </c>
      <c r="W15" s="66"/>
      <c r="X15" s="115">
        <f t="shared" si="2"/>
        <v>3.125E-2</v>
      </c>
      <c r="Y15" s="110">
        <f t="shared" si="19"/>
        <v>0</v>
      </c>
      <c r="Z15" s="111">
        <f t="shared" si="41"/>
        <v>0.29166666666666669</v>
      </c>
      <c r="AA15" s="112">
        <f t="shared" si="20"/>
        <v>0</v>
      </c>
      <c r="AB15" s="67" t="str">
        <f t="shared" si="21"/>
        <v/>
      </c>
      <c r="AC15" s="193">
        <f t="shared" si="3"/>
        <v>0</v>
      </c>
      <c r="AD15" s="144" t="str">
        <f t="shared" si="4"/>
        <v/>
      </c>
      <c r="AE15" s="228">
        <f t="shared" si="43"/>
        <v>0</v>
      </c>
      <c r="AF15" s="110"/>
      <c r="AG15" s="110" t="str">
        <f t="shared" si="22"/>
        <v/>
      </c>
      <c r="AH15" s="68">
        <f t="shared" si="5"/>
        <v>0</v>
      </c>
      <c r="AI15" s="68">
        <f t="shared" si="6"/>
        <v>0</v>
      </c>
      <c r="AJ15" s="68" t="str">
        <f t="shared" si="7"/>
        <v/>
      </c>
      <c r="AK15">
        <f t="shared" si="8"/>
        <v>5</v>
      </c>
      <c r="AL15" s="122">
        <f>SUM($AD$6:AD15)</f>
        <v>0</v>
      </c>
      <c r="AM15" s="122">
        <f t="shared" ca="1" si="23"/>
        <v>0</v>
      </c>
      <c r="AN15" s="126">
        <f t="shared" si="33"/>
        <v>0</v>
      </c>
      <c r="AO15" s="126">
        <f t="shared" si="34"/>
        <v>0</v>
      </c>
      <c r="AP15" s="126">
        <f t="shared" si="35"/>
        <v>0</v>
      </c>
      <c r="AQ15" s="125">
        <f t="shared" si="24"/>
        <v>30</v>
      </c>
      <c r="AR15" s="125">
        <f t="shared" ca="1" si="25"/>
        <v>30</v>
      </c>
      <c r="AS15" s="135">
        <f t="shared" si="26"/>
        <v>0</v>
      </c>
      <c r="AT15" s="125">
        <f t="shared" si="27"/>
        <v>0</v>
      </c>
      <c r="AU15" t="b">
        <f>OR((F15&gt;0),(NOT(ISBLANK(H15))),SUM(H15:H$373),SUM(G15:G$373))</f>
        <v>0</v>
      </c>
      <c r="AV15" t="b">
        <f t="shared" ca="1" si="9"/>
        <v>0</v>
      </c>
      <c r="AW15" s="605">
        <f t="shared" si="42"/>
        <v>-0.29166666666666669</v>
      </c>
      <c r="AX15" s="228">
        <f>SUM(AW$5:AW15)</f>
        <v>-1.7500000000000002</v>
      </c>
    </row>
    <row r="16" spans="1:50">
      <c r="A16" s="308">
        <f t="shared" si="28"/>
        <v>42379</v>
      </c>
      <c r="B16" s="309">
        <f t="shared" si="29"/>
        <v>42379</v>
      </c>
      <c r="C16" s="310">
        <f t="shared" si="36"/>
        <v>2</v>
      </c>
      <c r="D16" s="311">
        <f t="shared" si="37"/>
        <v>42369</v>
      </c>
      <c r="E16" s="321" t="str">
        <f t="shared" si="10"/>
        <v/>
      </c>
      <c r="F16" s="5"/>
      <c r="G16" s="6" t="str">
        <f t="shared" si="11"/>
        <v/>
      </c>
      <c r="H16" s="7"/>
      <c r="I16" s="7">
        <f t="shared" si="12"/>
        <v>0</v>
      </c>
      <c r="J16" s="113">
        <f t="shared" si="0"/>
        <v>0</v>
      </c>
      <c r="K16" s="7"/>
      <c r="L16" s="7">
        <f t="shared" si="13"/>
        <v>0</v>
      </c>
      <c r="M16" s="113">
        <f t="shared" si="14"/>
        <v>0</v>
      </c>
      <c r="N16" s="113"/>
      <c r="O16" s="113">
        <f t="shared" si="1"/>
        <v>0</v>
      </c>
      <c r="P16" s="113"/>
      <c r="Q16" s="113">
        <f t="shared" si="15"/>
        <v>0</v>
      </c>
      <c r="R16" s="113">
        <f t="shared" si="16"/>
        <v>0</v>
      </c>
      <c r="S16" s="113">
        <f t="shared" si="39"/>
        <v>0</v>
      </c>
      <c r="T16" s="113">
        <f t="shared" si="18"/>
        <v>0</v>
      </c>
      <c r="U16" s="113">
        <f t="shared" si="40"/>
        <v>0</v>
      </c>
      <c r="V16" s="146">
        <f t="shared" si="31"/>
        <v>0</v>
      </c>
      <c r="W16" s="66"/>
      <c r="X16" s="115">
        <f t="shared" si="2"/>
        <v>3.125E-2</v>
      </c>
      <c r="Y16" s="110">
        <f t="shared" si="19"/>
        <v>0</v>
      </c>
      <c r="Z16" s="111">
        <f t="shared" si="41"/>
        <v>0</v>
      </c>
      <c r="AA16" s="112">
        <f t="shared" si="20"/>
        <v>0</v>
      </c>
      <c r="AB16" s="67" t="str">
        <f t="shared" si="21"/>
        <v/>
      </c>
      <c r="AC16" s="193">
        <f t="shared" si="3"/>
        <v>0</v>
      </c>
      <c r="AD16" s="144" t="str">
        <f t="shared" si="4"/>
        <v/>
      </c>
      <c r="AE16" s="228">
        <f t="shared" si="43"/>
        <v>0</v>
      </c>
      <c r="AF16" s="110"/>
      <c r="AG16" s="110" t="str">
        <f t="shared" si="22"/>
        <v/>
      </c>
      <c r="AH16" s="68">
        <f t="shared" si="5"/>
        <v>0</v>
      </c>
      <c r="AI16" s="68">
        <f t="shared" si="6"/>
        <v>0</v>
      </c>
      <c r="AJ16" s="68" t="str">
        <f t="shared" si="7"/>
        <v/>
      </c>
      <c r="AK16">
        <f t="shared" si="8"/>
        <v>6</v>
      </c>
      <c r="AL16" s="122">
        <f>SUM($AD$6:AD16)</f>
        <v>0</v>
      </c>
      <c r="AM16" s="122">
        <f t="shared" ca="1" si="23"/>
        <v>0</v>
      </c>
      <c r="AN16" s="126">
        <f t="shared" si="33"/>
        <v>0</v>
      </c>
      <c r="AO16" s="126">
        <f t="shared" si="34"/>
        <v>0</v>
      </c>
      <c r="AP16" s="126">
        <f t="shared" si="35"/>
        <v>0</v>
      </c>
      <c r="AQ16" s="125">
        <f t="shared" si="24"/>
        <v>30</v>
      </c>
      <c r="AR16" s="125">
        <f t="shared" ca="1" si="25"/>
        <v>30</v>
      </c>
      <c r="AS16" s="135">
        <f t="shared" si="26"/>
        <v>0</v>
      </c>
      <c r="AT16" s="125">
        <f t="shared" si="27"/>
        <v>7</v>
      </c>
      <c r="AU16" t="b">
        <f>OR((F16&gt;0),(NOT(ISBLANK(H16))),SUM(H16:H$373),SUM(G16:G$373))</f>
        <v>0</v>
      </c>
      <c r="AV16" t="b">
        <f t="shared" ca="1" si="9"/>
        <v>1</v>
      </c>
      <c r="AW16" s="605">
        <f t="shared" si="42"/>
        <v>0</v>
      </c>
      <c r="AX16" s="228">
        <f>SUM(AW$5:AW16)</f>
        <v>-1.7500000000000002</v>
      </c>
    </row>
    <row r="17" spans="1:50">
      <c r="A17" s="308">
        <f t="shared" si="28"/>
        <v>42380</v>
      </c>
      <c r="B17" s="309">
        <f t="shared" si="29"/>
        <v>42380</v>
      </c>
      <c r="C17" s="310">
        <f t="shared" si="36"/>
        <v>2</v>
      </c>
      <c r="D17" s="311">
        <f t="shared" si="37"/>
        <v>42369</v>
      </c>
      <c r="E17" s="321" t="str">
        <f t="shared" si="10"/>
        <v/>
      </c>
      <c r="F17" s="5"/>
      <c r="G17" s="6" t="str">
        <f t="shared" si="11"/>
        <v/>
      </c>
      <c r="H17" s="7"/>
      <c r="I17" s="7">
        <f t="shared" si="12"/>
        <v>0</v>
      </c>
      <c r="J17" s="113">
        <f t="shared" si="0"/>
        <v>0</v>
      </c>
      <c r="K17" s="7"/>
      <c r="L17" s="7">
        <f t="shared" si="13"/>
        <v>0</v>
      </c>
      <c r="M17" s="113">
        <f t="shared" si="14"/>
        <v>0</v>
      </c>
      <c r="N17" s="113"/>
      <c r="O17" s="113">
        <f t="shared" si="1"/>
        <v>0</v>
      </c>
      <c r="P17" s="113"/>
      <c r="Q17" s="113">
        <f t="shared" si="15"/>
        <v>0</v>
      </c>
      <c r="R17" s="113">
        <f t="shared" si="16"/>
        <v>0</v>
      </c>
      <c r="S17" s="113">
        <f t="shared" si="39"/>
        <v>0</v>
      </c>
      <c r="T17" s="113">
        <f t="shared" si="18"/>
        <v>0</v>
      </c>
      <c r="U17" s="113">
        <f t="shared" si="40"/>
        <v>0</v>
      </c>
      <c r="V17" s="146">
        <f t="shared" si="31"/>
        <v>0</v>
      </c>
      <c r="W17" s="66"/>
      <c r="X17" s="115">
        <f t="shared" si="2"/>
        <v>3.125E-2</v>
      </c>
      <c r="Y17" s="110">
        <f t="shared" si="19"/>
        <v>0</v>
      </c>
      <c r="Z17" s="111">
        <f t="shared" si="41"/>
        <v>0</v>
      </c>
      <c r="AA17" s="112">
        <f t="shared" si="20"/>
        <v>0</v>
      </c>
      <c r="AB17" s="67" t="str">
        <f t="shared" si="21"/>
        <v/>
      </c>
      <c r="AC17" s="193">
        <f t="shared" si="3"/>
        <v>0</v>
      </c>
      <c r="AD17" s="144" t="str">
        <f t="shared" si="4"/>
        <v/>
      </c>
      <c r="AE17" s="228">
        <f t="shared" si="43"/>
        <v>0</v>
      </c>
      <c r="AF17" s="110"/>
      <c r="AG17" s="110" t="str">
        <f t="shared" si="22"/>
        <v/>
      </c>
      <c r="AH17" s="68">
        <f t="shared" si="5"/>
        <v>0</v>
      </c>
      <c r="AI17" s="68">
        <f t="shared" si="6"/>
        <v>0</v>
      </c>
      <c r="AJ17" s="68" t="str">
        <f t="shared" si="7"/>
        <v/>
      </c>
      <c r="AK17">
        <f t="shared" si="8"/>
        <v>7</v>
      </c>
      <c r="AL17" s="122">
        <f>SUM($AD$6:AD17)</f>
        <v>0</v>
      </c>
      <c r="AM17" s="122">
        <f t="shared" ca="1" si="23"/>
        <v>0</v>
      </c>
      <c r="AN17" s="126">
        <f t="shared" si="33"/>
        <v>0</v>
      </c>
      <c r="AO17" s="126">
        <f t="shared" si="34"/>
        <v>0</v>
      </c>
      <c r="AP17" s="126">
        <f t="shared" si="35"/>
        <v>0</v>
      </c>
      <c r="AQ17" s="125">
        <f t="shared" si="24"/>
        <v>30</v>
      </c>
      <c r="AR17" s="125">
        <f t="shared" ca="1" si="25"/>
        <v>30</v>
      </c>
      <c r="AS17" s="135">
        <f t="shared" si="26"/>
        <v>0</v>
      </c>
      <c r="AT17" s="125">
        <f t="shared" si="27"/>
        <v>7</v>
      </c>
      <c r="AU17" t="b">
        <f>OR((F17&gt;0),(NOT(ISBLANK(H17))),SUM(H17:H$373),SUM(G17:G$373))</f>
        <v>0</v>
      </c>
      <c r="AV17" t="b">
        <f t="shared" ca="1" si="9"/>
        <v>1</v>
      </c>
      <c r="AW17" s="605">
        <f t="shared" si="42"/>
        <v>0</v>
      </c>
      <c r="AX17" s="228">
        <f>SUM(AW$5:AW17)</f>
        <v>-1.7500000000000002</v>
      </c>
    </row>
    <row r="18" spans="1:50">
      <c r="A18" s="308">
        <f t="shared" si="28"/>
        <v>42381</v>
      </c>
      <c r="B18" s="309">
        <f t="shared" si="29"/>
        <v>42381</v>
      </c>
      <c r="C18" s="310">
        <f t="shared" si="36"/>
        <v>3</v>
      </c>
      <c r="D18" s="311">
        <f t="shared" si="37"/>
        <v>42369</v>
      </c>
      <c r="E18" s="321" t="str">
        <f t="shared" si="10"/>
        <v/>
      </c>
      <c r="F18" s="5"/>
      <c r="G18" s="6" t="str">
        <f t="shared" si="11"/>
        <v/>
      </c>
      <c r="H18" s="7"/>
      <c r="I18" s="7">
        <f t="shared" si="12"/>
        <v>0</v>
      </c>
      <c r="J18" s="113">
        <f t="shared" si="0"/>
        <v>0</v>
      </c>
      <c r="K18" s="7"/>
      <c r="L18" s="7">
        <f t="shared" si="13"/>
        <v>0</v>
      </c>
      <c r="M18" s="113">
        <f t="shared" si="14"/>
        <v>0</v>
      </c>
      <c r="N18" s="113"/>
      <c r="O18" s="113">
        <f t="shared" si="1"/>
        <v>0</v>
      </c>
      <c r="P18" s="113"/>
      <c r="Q18" s="113">
        <f t="shared" si="15"/>
        <v>0</v>
      </c>
      <c r="R18" s="113">
        <f t="shared" si="16"/>
        <v>0</v>
      </c>
      <c r="S18" s="113">
        <f t="shared" si="39"/>
        <v>0</v>
      </c>
      <c r="T18" s="113">
        <f t="shared" si="18"/>
        <v>0</v>
      </c>
      <c r="U18" s="113">
        <f t="shared" si="40"/>
        <v>0</v>
      </c>
      <c r="V18" s="146">
        <f t="shared" si="31"/>
        <v>0</v>
      </c>
      <c r="W18" s="66"/>
      <c r="X18" s="115">
        <f t="shared" si="2"/>
        <v>3.125E-2</v>
      </c>
      <c r="Y18" s="110">
        <f t="shared" si="19"/>
        <v>0</v>
      </c>
      <c r="Z18" s="111">
        <f t="shared" si="41"/>
        <v>0.29166666666666669</v>
      </c>
      <c r="AA18" s="112">
        <f t="shared" si="20"/>
        <v>0</v>
      </c>
      <c r="AB18" s="67" t="str">
        <f t="shared" si="21"/>
        <v/>
      </c>
      <c r="AC18" s="193">
        <f t="shared" si="3"/>
        <v>0</v>
      </c>
      <c r="AD18" s="144" t="str">
        <f t="shared" si="4"/>
        <v/>
      </c>
      <c r="AE18" s="228">
        <f t="shared" si="43"/>
        <v>0</v>
      </c>
      <c r="AF18" s="110"/>
      <c r="AG18" s="110" t="str">
        <f t="shared" si="22"/>
        <v/>
      </c>
      <c r="AH18" s="68">
        <f t="shared" si="5"/>
        <v>0</v>
      </c>
      <c r="AI18" s="68">
        <f t="shared" si="6"/>
        <v>0</v>
      </c>
      <c r="AJ18" s="68" t="str">
        <f t="shared" si="7"/>
        <v/>
      </c>
      <c r="AK18">
        <f t="shared" si="8"/>
        <v>1</v>
      </c>
      <c r="AL18" s="122">
        <f>SUM($AD$6:AD18)</f>
        <v>0</v>
      </c>
      <c r="AM18" s="122">
        <f t="shared" ca="1" si="23"/>
        <v>0</v>
      </c>
      <c r="AN18" s="126">
        <f t="shared" si="33"/>
        <v>0</v>
      </c>
      <c r="AO18" s="126">
        <f t="shared" si="34"/>
        <v>0</v>
      </c>
      <c r="AP18" s="126">
        <f t="shared" si="35"/>
        <v>0</v>
      </c>
      <c r="AQ18" s="125">
        <f t="shared" si="24"/>
        <v>30</v>
      </c>
      <c r="AR18" s="125">
        <f t="shared" ca="1" si="25"/>
        <v>30</v>
      </c>
      <c r="AS18" s="135">
        <f t="shared" si="26"/>
        <v>0</v>
      </c>
      <c r="AT18" s="125">
        <f t="shared" si="27"/>
        <v>0</v>
      </c>
      <c r="AU18" t="b">
        <f>OR((F18&gt;0),(NOT(ISBLANK(H18))),SUM(H18:H$373),SUM(G18:G$373))</f>
        <v>0</v>
      </c>
      <c r="AV18" t="b">
        <f t="shared" ca="1" si="9"/>
        <v>0</v>
      </c>
      <c r="AW18" s="605">
        <f t="shared" si="42"/>
        <v>-0.29166666666666669</v>
      </c>
      <c r="AX18" s="228">
        <f>SUM(AW$5:AW18)</f>
        <v>-2.041666666666667</v>
      </c>
    </row>
    <row r="19" spans="1:50">
      <c r="A19" s="308">
        <f t="shared" si="28"/>
        <v>42382</v>
      </c>
      <c r="B19" s="309">
        <f t="shared" si="29"/>
        <v>42382</v>
      </c>
      <c r="C19" s="310">
        <f t="shared" si="36"/>
        <v>3</v>
      </c>
      <c r="D19" s="311">
        <f t="shared" si="37"/>
        <v>42369</v>
      </c>
      <c r="E19" s="321" t="str">
        <f t="shared" si="10"/>
        <v/>
      </c>
      <c r="F19" s="5"/>
      <c r="G19" s="6" t="str">
        <f t="shared" si="11"/>
        <v/>
      </c>
      <c r="H19" s="7"/>
      <c r="I19" s="7">
        <f t="shared" si="12"/>
        <v>0</v>
      </c>
      <c r="J19" s="113">
        <f t="shared" si="0"/>
        <v>0</v>
      </c>
      <c r="K19" s="7"/>
      <c r="L19" s="7">
        <f t="shared" si="13"/>
        <v>0</v>
      </c>
      <c r="M19" s="113">
        <f t="shared" si="14"/>
        <v>0</v>
      </c>
      <c r="N19" s="113"/>
      <c r="O19" s="113">
        <f t="shared" si="1"/>
        <v>0</v>
      </c>
      <c r="P19" s="113"/>
      <c r="Q19" s="113">
        <f t="shared" si="15"/>
        <v>0</v>
      </c>
      <c r="R19" s="113">
        <f t="shared" si="16"/>
        <v>0</v>
      </c>
      <c r="S19" s="113">
        <f t="shared" si="39"/>
        <v>0</v>
      </c>
      <c r="T19" s="113">
        <f t="shared" si="18"/>
        <v>0</v>
      </c>
      <c r="U19" s="113">
        <f t="shared" si="40"/>
        <v>0</v>
      </c>
      <c r="V19" s="146">
        <f t="shared" si="31"/>
        <v>0</v>
      </c>
      <c r="W19" s="66"/>
      <c r="X19" s="115">
        <f t="shared" si="2"/>
        <v>3.125E-2</v>
      </c>
      <c r="Y19" s="110">
        <f t="shared" si="19"/>
        <v>0</v>
      </c>
      <c r="Z19" s="111">
        <f t="shared" si="41"/>
        <v>0.29166666666666669</v>
      </c>
      <c r="AA19" s="112">
        <f t="shared" si="20"/>
        <v>0</v>
      </c>
      <c r="AB19" s="67" t="str">
        <f t="shared" si="21"/>
        <v/>
      </c>
      <c r="AC19" s="193">
        <f t="shared" si="3"/>
        <v>0</v>
      </c>
      <c r="AD19" s="144" t="str">
        <f t="shared" si="4"/>
        <v/>
      </c>
      <c r="AE19" s="228">
        <f t="shared" si="43"/>
        <v>0</v>
      </c>
      <c r="AF19" s="110"/>
      <c r="AG19" s="110" t="str">
        <f t="shared" si="22"/>
        <v/>
      </c>
      <c r="AH19" s="68">
        <f t="shared" si="5"/>
        <v>0</v>
      </c>
      <c r="AI19" s="68">
        <f t="shared" si="6"/>
        <v>0</v>
      </c>
      <c r="AJ19" s="68" t="str">
        <f t="shared" si="7"/>
        <v/>
      </c>
      <c r="AK19">
        <f t="shared" si="8"/>
        <v>2</v>
      </c>
      <c r="AL19" s="122">
        <f>SUM($AD$6:AD19)</f>
        <v>0</v>
      </c>
      <c r="AM19" s="122">
        <f t="shared" ca="1" si="23"/>
        <v>0</v>
      </c>
      <c r="AN19" s="126">
        <f t="shared" si="33"/>
        <v>0</v>
      </c>
      <c r="AO19" s="126">
        <f t="shared" si="34"/>
        <v>0</v>
      </c>
      <c r="AP19" s="126">
        <f t="shared" si="35"/>
        <v>0</v>
      </c>
      <c r="AQ19" s="125">
        <f t="shared" si="24"/>
        <v>30</v>
      </c>
      <c r="AR19" s="125">
        <f t="shared" ca="1" si="25"/>
        <v>30</v>
      </c>
      <c r="AS19" s="135">
        <f t="shared" si="26"/>
        <v>0</v>
      </c>
      <c r="AT19" s="125">
        <f t="shared" si="27"/>
        <v>0</v>
      </c>
      <c r="AU19" t="b">
        <f>OR((F19&gt;0),(NOT(ISBLANK(H19))),SUM(H19:H$373),SUM(G19:G$373))</f>
        <v>0</v>
      </c>
      <c r="AV19" t="b">
        <f t="shared" ca="1" si="9"/>
        <v>0</v>
      </c>
      <c r="AW19" s="605">
        <f t="shared" si="42"/>
        <v>-0.29166666666666669</v>
      </c>
      <c r="AX19" s="228">
        <f>SUM(AW$5:AW19)</f>
        <v>-2.3333333333333335</v>
      </c>
    </row>
    <row r="20" spans="1:50">
      <c r="A20" s="308">
        <f t="shared" si="28"/>
        <v>42383</v>
      </c>
      <c r="B20" s="309">
        <f t="shared" si="29"/>
        <v>42383</v>
      </c>
      <c r="C20" s="310">
        <f t="shared" si="36"/>
        <v>3</v>
      </c>
      <c r="D20" s="311">
        <f t="shared" si="37"/>
        <v>42369</v>
      </c>
      <c r="E20" s="321" t="str">
        <f t="shared" si="10"/>
        <v/>
      </c>
      <c r="F20" s="5"/>
      <c r="G20" s="6" t="str">
        <f t="shared" si="11"/>
        <v/>
      </c>
      <c r="H20" s="7"/>
      <c r="I20" s="7">
        <f t="shared" si="12"/>
        <v>0</v>
      </c>
      <c r="J20" s="113">
        <f t="shared" si="0"/>
        <v>0</v>
      </c>
      <c r="K20" s="7"/>
      <c r="L20" s="7">
        <f t="shared" si="13"/>
        <v>0</v>
      </c>
      <c r="M20" s="113">
        <f t="shared" si="14"/>
        <v>0</v>
      </c>
      <c r="N20" s="113"/>
      <c r="O20" s="113">
        <f t="shared" si="1"/>
        <v>0</v>
      </c>
      <c r="P20" s="113"/>
      <c r="Q20" s="113">
        <f t="shared" si="15"/>
        <v>0</v>
      </c>
      <c r="R20" s="113">
        <f t="shared" si="16"/>
        <v>0</v>
      </c>
      <c r="S20" s="113">
        <f t="shared" si="39"/>
        <v>0</v>
      </c>
      <c r="T20" s="113">
        <f t="shared" si="18"/>
        <v>0</v>
      </c>
      <c r="U20" s="113">
        <f t="shared" si="40"/>
        <v>0</v>
      </c>
      <c r="V20" s="146">
        <f t="shared" si="31"/>
        <v>0</v>
      </c>
      <c r="W20" s="66"/>
      <c r="X20" s="115">
        <f t="shared" si="2"/>
        <v>3.125E-2</v>
      </c>
      <c r="Y20" s="110">
        <f t="shared" si="19"/>
        <v>0</v>
      </c>
      <c r="Z20" s="111">
        <f t="shared" si="41"/>
        <v>0.29166666666666669</v>
      </c>
      <c r="AA20" s="112">
        <f t="shared" si="20"/>
        <v>0</v>
      </c>
      <c r="AB20" s="67" t="str">
        <f t="shared" si="21"/>
        <v/>
      </c>
      <c r="AC20" s="193">
        <f t="shared" si="3"/>
        <v>0</v>
      </c>
      <c r="AD20" s="144" t="str">
        <f t="shared" si="4"/>
        <v/>
      </c>
      <c r="AE20" s="228">
        <f t="shared" si="43"/>
        <v>0</v>
      </c>
      <c r="AF20" s="110"/>
      <c r="AG20" s="110" t="str">
        <f t="shared" si="22"/>
        <v/>
      </c>
      <c r="AH20" s="68">
        <f t="shared" si="5"/>
        <v>0</v>
      </c>
      <c r="AI20" s="68">
        <f t="shared" si="6"/>
        <v>0</v>
      </c>
      <c r="AJ20" s="68" t="str">
        <f t="shared" si="7"/>
        <v/>
      </c>
      <c r="AK20">
        <f t="shared" si="8"/>
        <v>3</v>
      </c>
      <c r="AL20" s="122">
        <f>SUM($AD$6:AD20)</f>
        <v>0</v>
      </c>
      <c r="AM20" s="122">
        <f t="shared" ca="1" si="23"/>
        <v>0</v>
      </c>
      <c r="AN20" s="126">
        <f t="shared" si="33"/>
        <v>0</v>
      </c>
      <c r="AO20" s="126">
        <f t="shared" si="34"/>
        <v>0</v>
      </c>
      <c r="AP20" s="126">
        <f t="shared" si="35"/>
        <v>0</v>
      </c>
      <c r="AQ20" s="125">
        <f t="shared" si="24"/>
        <v>30</v>
      </c>
      <c r="AR20" s="125">
        <f t="shared" ca="1" si="25"/>
        <v>30</v>
      </c>
      <c r="AS20" s="135">
        <f t="shared" si="26"/>
        <v>0</v>
      </c>
      <c r="AT20" s="125">
        <f t="shared" si="27"/>
        <v>0</v>
      </c>
      <c r="AU20" t="b">
        <f>OR((F20&gt;0),(NOT(ISBLANK(H20))),SUM(H20:H$373),SUM(G20:G$373))</f>
        <v>0</v>
      </c>
      <c r="AV20" t="b">
        <f t="shared" ca="1" si="9"/>
        <v>0</v>
      </c>
      <c r="AW20" s="605">
        <f t="shared" si="42"/>
        <v>-0.29166666666666669</v>
      </c>
      <c r="AX20" s="228">
        <f>SUM(AW$5:AW20)</f>
        <v>-2.625</v>
      </c>
    </row>
    <row r="21" spans="1:50">
      <c r="A21" s="308">
        <f t="shared" si="28"/>
        <v>42384</v>
      </c>
      <c r="B21" s="309">
        <f t="shared" si="29"/>
        <v>42384</v>
      </c>
      <c r="C21" s="310">
        <f t="shared" si="36"/>
        <v>3</v>
      </c>
      <c r="D21" s="311">
        <f t="shared" si="37"/>
        <v>42369</v>
      </c>
      <c r="E21" s="321" t="str">
        <f t="shared" si="10"/>
        <v/>
      </c>
      <c r="F21" s="5"/>
      <c r="G21" s="6" t="str">
        <f t="shared" si="11"/>
        <v/>
      </c>
      <c r="H21" s="7"/>
      <c r="I21" s="7">
        <f t="shared" si="12"/>
        <v>0</v>
      </c>
      <c r="J21" s="113">
        <f t="shared" si="0"/>
        <v>0</v>
      </c>
      <c r="K21" s="7"/>
      <c r="L21" s="7">
        <f t="shared" si="13"/>
        <v>0</v>
      </c>
      <c r="M21" s="113">
        <f t="shared" si="14"/>
        <v>0</v>
      </c>
      <c r="N21" s="113"/>
      <c r="O21" s="113">
        <f t="shared" si="1"/>
        <v>0</v>
      </c>
      <c r="P21" s="113"/>
      <c r="Q21" s="113">
        <f t="shared" si="15"/>
        <v>0</v>
      </c>
      <c r="R21" s="113">
        <f t="shared" si="16"/>
        <v>0</v>
      </c>
      <c r="S21" s="113">
        <f t="shared" si="39"/>
        <v>0</v>
      </c>
      <c r="T21" s="113">
        <f t="shared" si="18"/>
        <v>0</v>
      </c>
      <c r="U21" s="113">
        <f t="shared" si="40"/>
        <v>0</v>
      </c>
      <c r="V21" s="146">
        <f t="shared" si="31"/>
        <v>0</v>
      </c>
      <c r="W21" s="66"/>
      <c r="X21" s="115">
        <f t="shared" si="2"/>
        <v>3.125E-2</v>
      </c>
      <c r="Y21" s="110">
        <f t="shared" si="19"/>
        <v>0</v>
      </c>
      <c r="Z21" s="111">
        <f t="shared" si="41"/>
        <v>0.29166666666666669</v>
      </c>
      <c r="AA21" s="112">
        <f t="shared" si="20"/>
        <v>0</v>
      </c>
      <c r="AB21" s="67" t="str">
        <f t="shared" si="21"/>
        <v/>
      </c>
      <c r="AC21" s="193">
        <f t="shared" si="3"/>
        <v>0</v>
      </c>
      <c r="AD21" s="144" t="str">
        <f t="shared" si="4"/>
        <v/>
      </c>
      <c r="AE21" s="228">
        <f t="shared" si="43"/>
        <v>0</v>
      </c>
      <c r="AF21" s="110"/>
      <c r="AG21" s="110" t="str">
        <f t="shared" si="22"/>
        <v/>
      </c>
      <c r="AH21" s="68">
        <f t="shared" si="5"/>
        <v>0</v>
      </c>
      <c r="AI21" s="68">
        <f t="shared" si="6"/>
        <v>0</v>
      </c>
      <c r="AJ21" s="68" t="str">
        <f t="shared" si="7"/>
        <v/>
      </c>
      <c r="AK21">
        <f t="shared" si="8"/>
        <v>4</v>
      </c>
      <c r="AL21" s="122">
        <f>SUM($AD$6:AD21)</f>
        <v>0</v>
      </c>
      <c r="AM21" s="122">
        <f t="shared" ca="1" si="23"/>
        <v>0</v>
      </c>
      <c r="AN21" s="126">
        <f t="shared" si="33"/>
        <v>0</v>
      </c>
      <c r="AO21" s="126">
        <f t="shared" si="34"/>
        <v>0</v>
      </c>
      <c r="AP21" s="126">
        <f t="shared" si="35"/>
        <v>0</v>
      </c>
      <c r="AQ21" s="125">
        <f t="shared" si="24"/>
        <v>30</v>
      </c>
      <c r="AR21" s="125">
        <f t="shared" ca="1" si="25"/>
        <v>30</v>
      </c>
      <c r="AS21" s="135">
        <f t="shared" si="26"/>
        <v>0</v>
      </c>
      <c r="AT21" s="125">
        <f t="shared" si="27"/>
        <v>0</v>
      </c>
      <c r="AU21" t="b">
        <f>OR((F21&gt;0),(NOT(ISBLANK(H21))),SUM(H21:H$373),SUM(G21:G$373))</f>
        <v>0</v>
      </c>
      <c r="AV21" t="b">
        <f t="shared" ca="1" si="9"/>
        <v>0</v>
      </c>
      <c r="AW21" s="605">
        <f t="shared" si="42"/>
        <v>-0.29166666666666669</v>
      </c>
      <c r="AX21" s="228">
        <f>SUM(AW$5:AW21)</f>
        <v>-2.9166666666666665</v>
      </c>
    </row>
    <row r="22" spans="1:50">
      <c r="A22" s="308">
        <f t="shared" si="28"/>
        <v>42385</v>
      </c>
      <c r="B22" s="309">
        <f t="shared" si="29"/>
        <v>42385</v>
      </c>
      <c r="C22" s="310">
        <f t="shared" si="36"/>
        <v>3</v>
      </c>
      <c r="D22" s="311">
        <f t="shared" si="37"/>
        <v>42369</v>
      </c>
      <c r="E22" s="321" t="str">
        <f t="shared" si="10"/>
        <v/>
      </c>
      <c r="F22" s="5"/>
      <c r="G22" s="6" t="str">
        <f t="shared" si="11"/>
        <v/>
      </c>
      <c r="H22" s="7"/>
      <c r="I22" s="7">
        <f t="shared" si="12"/>
        <v>0</v>
      </c>
      <c r="J22" s="113">
        <f t="shared" si="0"/>
        <v>0</v>
      </c>
      <c r="K22" s="7"/>
      <c r="L22" s="7">
        <f t="shared" si="13"/>
        <v>0</v>
      </c>
      <c r="M22" s="113">
        <f t="shared" si="14"/>
        <v>0</v>
      </c>
      <c r="N22" s="113"/>
      <c r="O22" s="113">
        <f t="shared" si="1"/>
        <v>0</v>
      </c>
      <c r="P22" s="113"/>
      <c r="Q22" s="113">
        <f t="shared" si="15"/>
        <v>0</v>
      </c>
      <c r="R22" s="113">
        <f t="shared" si="16"/>
        <v>0</v>
      </c>
      <c r="S22" s="113">
        <f t="shared" si="39"/>
        <v>0</v>
      </c>
      <c r="T22" s="113">
        <f t="shared" si="18"/>
        <v>0</v>
      </c>
      <c r="U22" s="113">
        <f t="shared" si="40"/>
        <v>0</v>
      </c>
      <c r="V22" s="146">
        <f t="shared" si="31"/>
        <v>0</v>
      </c>
      <c r="W22" s="66"/>
      <c r="X22" s="115">
        <f t="shared" si="2"/>
        <v>3.125E-2</v>
      </c>
      <c r="Y22" s="110">
        <f t="shared" si="19"/>
        <v>0</v>
      </c>
      <c r="Z22" s="111">
        <f t="shared" si="41"/>
        <v>0.29166666666666669</v>
      </c>
      <c r="AA22" s="112">
        <f t="shared" si="20"/>
        <v>0</v>
      </c>
      <c r="AB22" s="67" t="str">
        <f t="shared" si="21"/>
        <v/>
      </c>
      <c r="AC22" s="193">
        <f t="shared" si="3"/>
        <v>0</v>
      </c>
      <c r="AD22" s="144" t="str">
        <f t="shared" si="4"/>
        <v/>
      </c>
      <c r="AE22" s="228">
        <f t="shared" si="43"/>
        <v>0</v>
      </c>
      <c r="AF22" s="110"/>
      <c r="AG22" s="110" t="str">
        <f t="shared" si="22"/>
        <v/>
      </c>
      <c r="AH22" s="68">
        <f t="shared" si="5"/>
        <v>0</v>
      </c>
      <c r="AI22" s="68">
        <f t="shared" si="6"/>
        <v>0</v>
      </c>
      <c r="AJ22" s="68" t="str">
        <f t="shared" si="7"/>
        <v/>
      </c>
      <c r="AK22">
        <f t="shared" si="8"/>
        <v>5</v>
      </c>
      <c r="AL22" s="122">
        <f>SUM($AD$6:AD22)</f>
        <v>0</v>
      </c>
      <c r="AM22" s="122">
        <f t="shared" ca="1" si="23"/>
        <v>0</v>
      </c>
      <c r="AN22" s="126">
        <f t="shared" si="33"/>
        <v>0</v>
      </c>
      <c r="AO22" s="126">
        <f t="shared" si="34"/>
        <v>0</v>
      </c>
      <c r="AP22" s="126">
        <f t="shared" si="35"/>
        <v>0</v>
      </c>
      <c r="AQ22" s="125">
        <f t="shared" si="24"/>
        <v>30</v>
      </c>
      <c r="AR22" s="125">
        <f t="shared" ca="1" si="25"/>
        <v>30</v>
      </c>
      <c r="AS22" s="135">
        <f t="shared" si="26"/>
        <v>0</v>
      </c>
      <c r="AT22" s="125">
        <f t="shared" si="27"/>
        <v>0</v>
      </c>
      <c r="AU22" t="b">
        <f>OR((F22&gt;0),(NOT(ISBLANK(H22))),SUM(H22:H$373),SUM(G22:G$373))</f>
        <v>0</v>
      </c>
      <c r="AV22" t="b">
        <f t="shared" ca="1" si="9"/>
        <v>0</v>
      </c>
      <c r="AX22" s="228">
        <f>SUM(AW$5:AW22)</f>
        <v>-2.9166666666666665</v>
      </c>
    </row>
    <row r="23" spans="1:50">
      <c r="A23" s="308">
        <f t="shared" si="28"/>
        <v>42386</v>
      </c>
      <c r="B23" s="309">
        <f t="shared" si="29"/>
        <v>42386</v>
      </c>
      <c r="C23" s="310">
        <f t="shared" si="36"/>
        <v>3</v>
      </c>
      <c r="D23" s="311">
        <f t="shared" si="37"/>
        <v>42369</v>
      </c>
      <c r="E23" s="321" t="str">
        <f t="shared" si="10"/>
        <v/>
      </c>
      <c r="F23" s="5"/>
      <c r="G23" s="6" t="str">
        <f t="shared" si="11"/>
        <v/>
      </c>
      <c r="H23" s="7"/>
      <c r="I23" s="7">
        <f t="shared" si="12"/>
        <v>0</v>
      </c>
      <c r="J23" s="113">
        <f t="shared" si="0"/>
        <v>0</v>
      </c>
      <c r="K23" s="7"/>
      <c r="L23" s="7">
        <f t="shared" si="13"/>
        <v>0</v>
      </c>
      <c r="M23" s="113">
        <f t="shared" si="14"/>
        <v>0</v>
      </c>
      <c r="N23" s="113"/>
      <c r="O23" s="113">
        <f t="shared" si="1"/>
        <v>0</v>
      </c>
      <c r="P23" s="113"/>
      <c r="Q23" s="113">
        <f t="shared" si="15"/>
        <v>0</v>
      </c>
      <c r="R23" s="113">
        <f t="shared" si="16"/>
        <v>0</v>
      </c>
      <c r="S23" s="113">
        <f t="shared" si="39"/>
        <v>0</v>
      </c>
      <c r="T23" s="113">
        <f t="shared" si="18"/>
        <v>0</v>
      </c>
      <c r="U23" s="113">
        <f t="shared" si="40"/>
        <v>0</v>
      </c>
      <c r="V23" s="146">
        <f t="shared" si="31"/>
        <v>0</v>
      </c>
      <c r="W23" s="66"/>
      <c r="X23" s="115">
        <f t="shared" si="2"/>
        <v>3.125E-2</v>
      </c>
      <c r="Y23" s="110">
        <f t="shared" si="19"/>
        <v>0</v>
      </c>
      <c r="Z23" s="111">
        <f t="shared" si="41"/>
        <v>0</v>
      </c>
      <c r="AA23" s="112">
        <f t="shared" si="20"/>
        <v>0</v>
      </c>
      <c r="AB23" s="67" t="str">
        <f t="shared" si="21"/>
        <v/>
      </c>
      <c r="AC23" s="193">
        <f t="shared" si="3"/>
        <v>0</v>
      </c>
      <c r="AD23" s="144" t="str">
        <f t="shared" si="4"/>
        <v/>
      </c>
      <c r="AE23" s="228">
        <f t="shared" si="43"/>
        <v>0</v>
      </c>
      <c r="AF23" s="110"/>
      <c r="AG23" s="110" t="str">
        <f t="shared" si="22"/>
        <v/>
      </c>
      <c r="AH23" s="68">
        <f t="shared" si="5"/>
        <v>0</v>
      </c>
      <c r="AI23" s="68">
        <f t="shared" si="6"/>
        <v>0</v>
      </c>
      <c r="AJ23" s="68" t="str">
        <f t="shared" si="7"/>
        <v/>
      </c>
      <c r="AK23">
        <f t="shared" si="8"/>
        <v>6</v>
      </c>
      <c r="AL23" s="122">
        <f>SUM($AD$6:AD23)</f>
        <v>0</v>
      </c>
      <c r="AM23" s="122">
        <f t="shared" ca="1" si="23"/>
        <v>0</v>
      </c>
      <c r="AN23" s="126">
        <f t="shared" si="33"/>
        <v>0</v>
      </c>
      <c r="AO23" s="126">
        <f t="shared" si="34"/>
        <v>0</v>
      </c>
      <c r="AP23" s="126">
        <f t="shared" si="35"/>
        <v>0</v>
      </c>
      <c r="AQ23" s="125">
        <f t="shared" si="24"/>
        <v>30</v>
      </c>
      <c r="AR23" s="125">
        <f t="shared" ca="1" si="25"/>
        <v>30</v>
      </c>
      <c r="AS23" s="135">
        <f t="shared" si="26"/>
        <v>0</v>
      </c>
      <c r="AT23" s="125">
        <f t="shared" si="27"/>
        <v>7</v>
      </c>
      <c r="AU23" t="b">
        <f>OR((F23&gt;0),(NOT(ISBLANK(H23))),SUM(H23:H$373),SUM(G23:G$373))</f>
        <v>0</v>
      </c>
      <c r="AV23" t="b">
        <f t="shared" ca="1" si="9"/>
        <v>1</v>
      </c>
      <c r="AX23" s="228">
        <f>SUM(AW$5:AW23)</f>
        <v>-2.9166666666666665</v>
      </c>
    </row>
    <row r="24" spans="1:50">
      <c r="A24" s="308">
        <f t="shared" si="28"/>
        <v>42387</v>
      </c>
      <c r="B24" s="309">
        <f t="shared" si="29"/>
        <v>42387</v>
      </c>
      <c r="C24" s="310">
        <f t="shared" si="36"/>
        <v>3</v>
      </c>
      <c r="D24" s="311">
        <f t="shared" si="37"/>
        <v>42369</v>
      </c>
      <c r="E24" s="321" t="str">
        <f t="shared" si="10"/>
        <v/>
      </c>
      <c r="F24" s="5"/>
      <c r="G24" s="6" t="str">
        <f t="shared" si="11"/>
        <v/>
      </c>
      <c r="H24" s="7"/>
      <c r="I24" s="7">
        <f t="shared" si="12"/>
        <v>0</v>
      </c>
      <c r="J24" s="113">
        <f t="shared" si="0"/>
        <v>0</v>
      </c>
      <c r="K24" s="7"/>
      <c r="L24" s="7">
        <f t="shared" si="13"/>
        <v>0</v>
      </c>
      <c r="M24" s="113">
        <f t="shared" si="14"/>
        <v>0</v>
      </c>
      <c r="N24" s="113"/>
      <c r="O24" s="113">
        <f t="shared" si="1"/>
        <v>0</v>
      </c>
      <c r="P24" s="113"/>
      <c r="Q24" s="113">
        <f t="shared" si="15"/>
        <v>0</v>
      </c>
      <c r="R24" s="113">
        <f t="shared" si="16"/>
        <v>0</v>
      </c>
      <c r="S24" s="113">
        <f t="shared" si="39"/>
        <v>0</v>
      </c>
      <c r="T24" s="113">
        <f t="shared" si="18"/>
        <v>0</v>
      </c>
      <c r="U24" s="113">
        <f t="shared" si="40"/>
        <v>0</v>
      </c>
      <c r="V24" s="146">
        <f t="shared" si="31"/>
        <v>0</v>
      </c>
      <c r="W24" s="66"/>
      <c r="X24" s="115">
        <f t="shared" si="2"/>
        <v>3.125E-2</v>
      </c>
      <c r="Y24" s="110">
        <f t="shared" si="19"/>
        <v>0</v>
      </c>
      <c r="Z24" s="111">
        <f t="shared" si="41"/>
        <v>0</v>
      </c>
      <c r="AA24" s="112">
        <f t="shared" si="20"/>
        <v>0</v>
      </c>
      <c r="AB24" s="67" t="str">
        <f t="shared" si="21"/>
        <v/>
      </c>
      <c r="AC24" s="193">
        <f t="shared" si="3"/>
        <v>0</v>
      </c>
      <c r="AD24" s="144" t="str">
        <f t="shared" si="4"/>
        <v/>
      </c>
      <c r="AE24" s="228">
        <f t="shared" si="43"/>
        <v>0</v>
      </c>
      <c r="AF24" s="110"/>
      <c r="AG24" s="110" t="str">
        <f t="shared" si="22"/>
        <v/>
      </c>
      <c r="AH24" s="68">
        <f t="shared" si="5"/>
        <v>0</v>
      </c>
      <c r="AI24" s="68">
        <f t="shared" si="6"/>
        <v>0</v>
      </c>
      <c r="AJ24" s="68" t="str">
        <f t="shared" si="7"/>
        <v/>
      </c>
      <c r="AK24">
        <f t="shared" si="8"/>
        <v>7</v>
      </c>
      <c r="AL24" s="122">
        <f>SUM($AD$6:AD24)</f>
        <v>0</v>
      </c>
      <c r="AM24" s="122">
        <f t="shared" ca="1" si="23"/>
        <v>0</v>
      </c>
      <c r="AN24" s="126">
        <f t="shared" si="33"/>
        <v>0</v>
      </c>
      <c r="AO24" s="126">
        <f t="shared" si="34"/>
        <v>0</v>
      </c>
      <c r="AP24" s="126">
        <f t="shared" si="35"/>
        <v>0</v>
      </c>
      <c r="AQ24" s="125">
        <f t="shared" si="24"/>
        <v>30</v>
      </c>
      <c r="AR24" s="125">
        <f t="shared" ca="1" si="25"/>
        <v>30</v>
      </c>
      <c r="AS24" s="135">
        <f t="shared" si="26"/>
        <v>0</v>
      </c>
      <c r="AT24" s="125">
        <f t="shared" si="27"/>
        <v>7</v>
      </c>
      <c r="AU24" t="b">
        <f>OR((F24&gt;0),(NOT(ISBLANK(H24))),SUM(H24:H$373),SUM(G24:G$373))</f>
        <v>0</v>
      </c>
      <c r="AV24" t="b">
        <f t="shared" ca="1" si="9"/>
        <v>1</v>
      </c>
      <c r="AX24" s="228">
        <f>SUM(AW$5:AW24)</f>
        <v>-2.9166666666666665</v>
      </c>
    </row>
    <row r="25" spans="1:50">
      <c r="A25" s="308">
        <f t="shared" si="28"/>
        <v>42388</v>
      </c>
      <c r="B25" s="309">
        <f t="shared" si="29"/>
        <v>42388</v>
      </c>
      <c r="C25" s="310">
        <f t="shared" si="36"/>
        <v>4</v>
      </c>
      <c r="D25" s="311">
        <f t="shared" si="37"/>
        <v>42369</v>
      </c>
      <c r="E25" s="321" t="str">
        <f t="shared" si="10"/>
        <v/>
      </c>
      <c r="F25" s="5"/>
      <c r="G25" s="6" t="str">
        <f t="shared" si="11"/>
        <v/>
      </c>
      <c r="H25" s="7"/>
      <c r="I25" s="7">
        <f t="shared" si="12"/>
        <v>0</v>
      </c>
      <c r="J25" s="113">
        <f t="shared" si="0"/>
        <v>0</v>
      </c>
      <c r="K25" s="7"/>
      <c r="L25" s="7">
        <f t="shared" si="13"/>
        <v>0</v>
      </c>
      <c r="M25" s="113">
        <f t="shared" si="14"/>
        <v>0</v>
      </c>
      <c r="N25" s="113"/>
      <c r="O25" s="113">
        <f t="shared" si="1"/>
        <v>0</v>
      </c>
      <c r="P25" s="113"/>
      <c r="Q25" s="113">
        <f t="shared" si="15"/>
        <v>0</v>
      </c>
      <c r="R25" s="113">
        <f t="shared" si="16"/>
        <v>0</v>
      </c>
      <c r="S25" s="113">
        <f t="shared" si="39"/>
        <v>0</v>
      </c>
      <c r="T25" s="113">
        <f t="shared" si="18"/>
        <v>0</v>
      </c>
      <c r="U25" s="113">
        <f t="shared" si="40"/>
        <v>0</v>
      </c>
      <c r="V25" s="146">
        <f t="shared" si="31"/>
        <v>0</v>
      </c>
      <c r="W25" s="66"/>
      <c r="X25" s="115">
        <f t="shared" si="2"/>
        <v>3.125E-2</v>
      </c>
      <c r="Y25" s="110">
        <f t="shared" si="19"/>
        <v>0</v>
      </c>
      <c r="Z25" s="111">
        <f t="shared" si="41"/>
        <v>0.29166666666666669</v>
      </c>
      <c r="AA25" s="112">
        <f t="shared" si="20"/>
        <v>0</v>
      </c>
      <c r="AB25" s="67" t="str">
        <f t="shared" si="21"/>
        <v/>
      </c>
      <c r="AC25" s="193">
        <f t="shared" si="3"/>
        <v>0</v>
      </c>
      <c r="AD25" s="144" t="str">
        <f t="shared" si="4"/>
        <v/>
      </c>
      <c r="AE25" s="228">
        <f t="shared" si="43"/>
        <v>0</v>
      </c>
      <c r="AF25" s="110"/>
      <c r="AG25" s="110" t="str">
        <f t="shared" si="22"/>
        <v/>
      </c>
      <c r="AH25" s="68">
        <f t="shared" si="5"/>
        <v>0</v>
      </c>
      <c r="AI25" s="68">
        <f t="shared" si="6"/>
        <v>0</v>
      </c>
      <c r="AJ25" s="68" t="str">
        <f t="shared" si="7"/>
        <v/>
      </c>
      <c r="AK25">
        <f t="shared" si="8"/>
        <v>1</v>
      </c>
      <c r="AL25" s="122">
        <f>SUM($AD$6:AD25)</f>
        <v>0</v>
      </c>
      <c r="AM25" s="122">
        <f t="shared" ca="1" si="23"/>
        <v>0</v>
      </c>
      <c r="AN25" s="126">
        <f t="shared" si="33"/>
        <v>0</v>
      </c>
      <c r="AO25" s="126">
        <f t="shared" si="34"/>
        <v>0</v>
      </c>
      <c r="AP25" s="126">
        <f t="shared" si="35"/>
        <v>0</v>
      </c>
      <c r="AQ25" s="125">
        <f t="shared" si="24"/>
        <v>30</v>
      </c>
      <c r="AR25" s="125">
        <f t="shared" ca="1" si="25"/>
        <v>30</v>
      </c>
      <c r="AS25" s="135">
        <f t="shared" si="26"/>
        <v>0</v>
      </c>
      <c r="AT25" s="125">
        <f t="shared" si="27"/>
        <v>0</v>
      </c>
      <c r="AU25" t="b">
        <f>OR((F25&gt;0),(NOT(ISBLANK(H25))),SUM(H25:H$373),SUM(G25:G$373))</f>
        <v>0</v>
      </c>
      <c r="AV25" t="b">
        <f t="shared" ca="1" si="9"/>
        <v>0</v>
      </c>
      <c r="AX25" s="228">
        <f>SUM(AW$5:AW25)</f>
        <v>-2.9166666666666665</v>
      </c>
    </row>
    <row r="26" spans="1:50">
      <c r="A26" s="308">
        <f t="shared" si="28"/>
        <v>42389</v>
      </c>
      <c r="B26" s="309">
        <f t="shared" si="29"/>
        <v>42389</v>
      </c>
      <c r="C26" s="310">
        <f t="shared" si="36"/>
        <v>4</v>
      </c>
      <c r="D26" s="311">
        <f t="shared" si="37"/>
        <v>42369</v>
      </c>
      <c r="E26" s="321" t="str">
        <f t="shared" si="10"/>
        <v/>
      </c>
      <c r="F26" s="5"/>
      <c r="G26" s="6" t="str">
        <f t="shared" si="11"/>
        <v/>
      </c>
      <c r="H26" s="7"/>
      <c r="I26" s="7">
        <f t="shared" si="12"/>
        <v>0</v>
      </c>
      <c r="J26" s="113">
        <f t="shared" si="0"/>
        <v>0</v>
      </c>
      <c r="K26" s="7"/>
      <c r="L26" s="7">
        <f t="shared" si="13"/>
        <v>0</v>
      </c>
      <c r="M26" s="113">
        <f t="shared" si="14"/>
        <v>0</v>
      </c>
      <c r="N26" s="113"/>
      <c r="O26" s="113">
        <f t="shared" si="1"/>
        <v>0</v>
      </c>
      <c r="P26" s="113"/>
      <c r="Q26" s="113">
        <f t="shared" si="15"/>
        <v>0</v>
      </c>
      <c r="R26" s="113">
        <f t="shared" si="16"/>
        <v>0</v>
      </c>
      <c r="S26" s="113">
        <f t="shared" si="39"/>
        <v>0</v>
      </c>
      <c r="T26" s="113">
        <f t="shared" si="18"/>
        <v>0</v>
      </c>
      <c r="U26" s="113">
        <f t="shared" si="40"/>
        <v>0</v>
      </c>
      <c r="V26" s="146">
        <f t="shared" si="31"/>
        <v>0</v>
      </c>
      <c r="W26" s="66"/>
      <c r="X26" s="115">
        <f t="shared" si="2"/>
        <v>3.125E-2</v>
      </c>
      <c r="Y26" s="110">
        <f t="shared" si="19"/>
        <v>0</v>
      </c>
      <c r="Z26" s="111">
        <f t="shared" si="41"/>
        <v>0.29166666666666669</v>
      </c>
      <c r="AA26" s="112">
        <f t="shared" si="20"/>
        <v>0</v>
      </c>
      <c r="AB26" s="67" t="str">
        <f t="shared" si="21"/>
        <v/>
      </c>
      <c r="AC26" s="193">
        <f t="shared" si="3"/>
        <v>0</v>
      </c>
      <c r="AD26" s="144" t="str">
        <f t="shared" si="4"/>
        <v/>
      </c>
      <c r="AE26" s="228">
        <f t="shared" si="43"/>
        <v>0</v>
      </c>
      <c r="AF26" s="110"/>
      <c r="AG26" s="110" t="str">
        <f t="shared" si="22"/>
        <v/>
      </c>
      <c r="AH26" s="68">
        <f t="shared" si="5"/>
        <v>0</v>
      </c>
      <c r="AI26" s="68">
        <f t="shared" si="6"/>
        <v>0</v>
      </c>
      <c r="AJ26" s="68" t="str">
        <f t="shared" si="7"/>
        <v/>
      </c>
      <c r="AK26">
        <f t="shared" si="8"/>
        <v>2</v>
      </c>
      <c r="AL26" s="122">
        <f>SUM($AD$6:AD26)</f>
        <v>0</v>
      </c>
      <c r="AM26" s="122">
        <f t="shared" ca="1" si="23"/>
        <v>0</v>
      </c>
      <c r="AN26" s="126">
        <f t="shared" si="33"/>
        <v>0</v>
      </c>
      <c r="AO26" s="126">
        <f t="shared" si="34"/>
        <v>0</v>
      </c>
      <c r="AP26" s="126">
        <f t="shared" si="35"/>
        <v>0</v>
      </c>
      <c r="AQ26" s="125">
        <f t="shared" si="24"/>
        <v>30</v>
      </c>
      <c r="AR26" s="125">
        <f t="shared" ca="1" si="25"/>
        <v>30</v>
      </c>
      <c r="AS26" s="135">
        <f t="shared" si="26"/>
        <v>0</v>
      </c>
      <c r="AT26" s="125">
        <f t="shared" si="27"/>
        <v>0</v>
      </c>
      <c r="AU26" t="b">
        <f>OR((F26&gt;0),(NOT(ISBLANK(H26))),SUM(H26:H$373),SUM(G26:G$373))</f>
        <v>0</v>
      </c>
      <c r="AV26" t="b">
        <f t="shared" ca="1" si="9"/>
        <v>0</v>
      </c>
      <c r="AX26" s="228">
        <f>SUM(AW$5:AW26)</f>
        <v>-2.9166666666666665</v>
      </c>
    </row>
    <row r="27" spans="1:50">
      <c r="A27" s="308">
        <f t="shared" si="28"/>
        <v>42390</v>
      </c>
      <c r="B27" s="309">
        <f t="shared" si="29"/>
        <v>42390</v>
      </c>
      <c r="C27" s="310">
        <f t="shared" ref="C27:C83" si="45">IF(A27="","",NumberOfWeek(A27))</f>
        <v>4</v>
      </c>
      <c r="D27" s="311">
        <f t="shared" ref="D27:D83" si="46">IF(A27="","",DATE(YEAR(A27),MONTH(A27),1))</f>
        <v>42369</v>
      </c>
      <c r="E27" s="321" t="str">
        <f t="shared" si="10"/>
        <v/>
      </c>
      <c r="F27" s="5"/>
      <c r="G27" s="6" t="str">
        <f t="shared" si="11"/>
        <v/>
      </c>
      <c r="H27" s="7"/>
      <c r="I27" s="7">
        <f t="shared" si="12"/>
        <v>0</v>
      </c>
      <c r="J27" s="113">
        <f t="shared" si="0"/>
        <v>0</v>
      </c>
      <c r="K27" s="7"/>
      <c r="L27" s="7">
        <f t="shared" si="13"/>
        <v>0</v>
      </c>
      <c r="M27" s="113">
        <f t="shared" si="14"/>
        <v>0</v>
      </c>
      <c r="N27" s="113"/>
      <c r="O27" s="113">
        <f t="shared" si="1"/>
        <v>0</v>
      </c>
      <c r="P27" s="113"/>
      <c r="Q27" s="113">
        <f t="shared" si="15"/>
        <v>0</v>
      </c>
      <c r="R27" s="113">
        <f t="shared" si="16"/>
        <v>0</v>
      </c>
      <c r="S27" s="113">
        <f t="shared" si="39"/>
        <v>0</v>
      </c>
      <c r="T27" s="113">
        <f t="shared" si="18"/>
        <v>0</v>
      </c>
      <c r="U27" s="113">
        <f t="shared" si="40"/>
        <v>0</v>
      </c>
      <c r="V27" s="146">
        <f t="shared" si="31"/>
        <v>0</v>
      </c>
      <c r="W27" s="66"/>
      <c r="X27" s="115">
        <f t="shared" si="2"/>
        <v>3.125E-2</v>
      </c>
      <c r="Y27" s="110">
        <f t="shared" si="19"/>
        <v>0</v>
      </c>
      <c r="Z27" s="111">
        <f t="shared" ref="Z27:Z83" si="47">IF(AND(AK27&gt;0,AK27&lt;Feiertag),INDEX(Arbeitszeit,AK27),"")</f>
        <v>0.29166666666666669</v>
      </c>
      <c r="AA27" s="112">
        <f t="shared" si="20"/>
        <v>0</v>
      </c>
      <c r="AB27" s="67" t="str">
        <f t="shared" si="21"/>
        <v/>
      </c>
      <c r="AC27" s="193">
        <f t="shared" si="3"/>
        <v>0</v>
      </c>
      <c r="AD27" s="144" t="str">
        <f t="shared" si="4"/>
        <v/>
      </c>
      <c r="AE27" s="228">
        <f t="shared" si="43"/>
        <v>0</v>
      </c>
      <c r="AF27" s="110"/>
      <c r="AG27" s="110" t="str">
        <f t="shared" si="22"/>
        <v/>
      </c>
      <c r="AH27" s="68">
        <f t="shared" si="5"/>
        <v>0</v>
      </c>
      <c r="AI27" s="68">
        <f t="shared" si="6"/>
        <v>0</v>
      </c>
      <c r="AJ27" s="68" t="str">
        <f t="shared" si="7"/>
        <v/>
      </c>
      <c r="AK27">
        <f t="shared" si="8"/>
        <v>3</v>
      </c>
      <c r="AL27" s="122">
        <f>SUM($AD$6:AD27)</f>
        <v>0</v>
      </c>
      <c r="AM27" s="122">
        <f t="shared" ca="1" si="23"/>
        <v>0</v>
      </c>
      <c r="AN27" s="126">
        <f t="shared" si="33"/>
        <v>0</v>
      </c>
      <c r="AO27" s="126">
        <f t="shared" si="34"/>
        <v>0</v>
      </c>
      <c r="AP27" s="126">
        <f t="shared" si="35"/>
        <v>0</v>
      </c>
      <c r="AQ27" s="125">
        <f t="shared" si="24"/>
        <v>30</v>
      </c>
      <c r="AR27" s="125">
        <f t="shared" ca="1" si="25"/>
        <v>30</v>
      </c>
      <c r="AS27" s="135">
        <f t="shared" si="26"/>
        <v>0</v>
      </c>
      <c r="AT27" s="125">
        <f t="shared" si="27"/>
        <v>0</v>
      </c>
      <c r="AU27" t="b">
        <f>OR((F27&gt;0),(NOT(ISBLANK(H27))),SUM(H27:H$373),SUM(G27:G$373))</f>
        <v>0</v>
      </c>
      <c r="AV27" t="b">
        <f t="shared" ca="1" si="9"/>
        <v>0</v>
      </c>
      <c r="AX27" s="228">
        <f>SUM(AW$5:AW27)</f>
        <v>-2.9166666666666665</v>
      </c>
    </row>
    <row r="28" spans="1:50">
      <c r="A28" s="308">
        <f t="shared" si="28"/>
        <v>42391</v>
      </c>
      <c r="B28" s="309">
        <f t="shared" si="29"/>
        <v>42391</v>
      </c>
      <c r="C28" s="310">
        <f t="shared" si="45"/>
        <v>4</v>
      </c>
      <c r="D28" s="311">
        <f t="shared" si="46"/>
        <v>42369</v>
      </c>
      <c r="E28" s="321" t="str">
        <f t="shared" si="10"/>
        <v/>
      </c>
      <c r="F28" s="5"/>
      <c r="G28" s="6" t="str">
        <f t="shared" si="11"/>
        <v/>
      </c>
      <c r="H28" s="7"/>
      <c r="I28" s="7">
        <f t="shared" si="12"/>
        <v>0</v>
      </c>
      <c r="J28" s="113">
        <f t="shared" si="0"/>
        <v>0</v>
      </c>
      <c r="K28" s="7"/>
      <c r="L28" s="7">
        <f t="shared" si="13"/>
        <v>0</v>
      </c>
      <c r="M28" s="113">
        <f t="shared" si="14"/>
        <v>0</v>
      </c>
      <c r="N28" s="113"/>
      <c r="O28" s="113">
        <f t="shared" si="1"/>
        <v>0</v>
      </c>
      <c r="P28" s="113"/>
      <c r="Q28" s="113">
        <f t="shared" si="15"/>
        <v>0</v>
      </c>
      <c r="R28" s="113">
        <f t="shared" si="16"/>
        <v>0</v>
      </c>
      <c r="S28" s="113">
        <f t="shared" si="39"/>
        <v>0</v>
      </c>
      <c r="T28" s="113">
        <f t="shared" si="18"/>
        <v>0</v>
      </c>
      <c r="U28" s="113">
        <f t="shared" si="40"/>
        <v>0</v>
      </c>
      <c r="V28" s="146">
        <f t="shared" si="31"/>
        <v>0</v>
      </c>
      <c r="W28" s="66"/>
      <c r="X28" s="115">
        <f t="shared" si="2"/>
        <v>3.125E-2</v>
      </c>
      <c r="Y28" s="110">
        <f t="shared" si="19"/>
        <v>0</v>
      </c>
      <c r="Z28" s="111">
        <f t="shared" si="47"/>
        <v>0.29166666666666669</v>
      </c>
      <c r="AA28" s="112">
        <f t="shared" si="20"/>
        <v>0</v>
      </c>
      <c r="AB28" s="67" t="str">
        <f t="shared" si="21"/>
        <v/>
      </c>
      <c r="AC28" s="193">
        <f t="shared" si="3"/>
        <v>0</v>
      </c>
      <c r="AD28" s="144" t="str">
        <f t="shared" si="4"/>
        <v/>
      </c>
      <c r="AE28" s="228">
        <f t="shared" si="43"/>
        <v>0</v>
      </c>
      <c r="AF28" s="110"/>
      <c r="AG28" s="110" t="str">
        <f t="shared" si="22"/>
        <v/>
      </c>
      <c r="AH28" s="68">
        <f t="shared" si="5"/>
        <v>0</v>
      </c>
      <c r="AI28" s="68">
        <f t="shared" si="6"/>
        <v>0</v>
      </c>
      <c r="AJ28" s="68" t="str">
        <f t="shared" si="7"/>
        <v/>
      </c>
      <c r="AK28">
        <f t="shared" si="8"/>
        <v>4</v>
      </c>
      <c r="AL28" s="122">
        <f>SUM($AD$6:AD28)</f>
        <v>0</v>
      </c>
      <c r="AM28" s="122">
        <f t="shared" ca="1" si="23"/>
        <v>0</v>
      </c>
      <c r="AN28" s="126">
        <f t="shared" si="33"/>
        <v>0</v>
      </c>
      <c r="AO28" s="126">
        <f t="shared" si="34"/>
        <v>0</v>
      </c>
      <c r="AP28" s="126">
        <f t="shared" si="35"/>
        <v>0</v>
      </c>
      <c r="AQ28" s="125">
        <f t="shared" si="24"/>
        <v>30</v>
      </c>
      <c r="AR28" s="125">
        <f t="shared" ca="1" si="25"/>
        <v>30</v>
      </c>
      <c r="AS28" s="135">
        <f t="shared" si="26"/>
        <v>0</v>
      </c>
      <c r="AT28" s="125">
        <f t="shared" si="27"/>
        <v>0</v>
      </c>
      <c r="AU28" t="b">
        <f>OR((F28&gt;0),(NOT(ISBLANK(H28))),SUM(H28:H$373),SUM(G28:G$373))</f>
        <v>0</v>
      </c>
      <c r="AV28" t="b">
        <f t="shared" ca="1" si="9"/>
        <v>0</v>
      </c>
      <c r="AX28" s="228">
        <f>SUM(AW$5:AW28)</f>
        <v>-2.9166666666666665</v>
      </c>
    </row>
    <row r="29" spans="1:50">
      <c r="A29" s="308">
        <f t="shared" si="28"/>
        <v>42392</v>
      </c>
      <c r="B29" s="309">
        <f t="shared" si="29"/>
        <v>42392</v>
      </c>
      <c r="C29" s="310">
        <f t="shared" si="45"/>
        <v>4</v>
      </c>
      <c r="D29" s="311">
        <f t="shared" si="46"/>
        <v>42369</v>
      </c>
      <c r="E29" s="321" t="str">
        <f t="shared" si="10"/>
        <v/>
      </c>
      <c r="F29" s="5"/>
      <c r="G29" s="6" t="str">
        <f t="shared" si="11"/>
        <v/>
      </c>
      <c r="H29" s="7"/>
      <c r="I29" s="7">
        <f t="shared" si="12"/>
        <v>0</v>
      </c>
      <c r="J29" s="113">
        <f t="shared" si="0"/>
        <v>0</v>
      </c>
      <c r="K29" s="7"/>
      <c r="L29" s="7">
        <f t="shared" si="13"/>
        <v>0</v>
      </c>
      <c r="M29" s="113">
        <f t="shared" si="14"/>
        <v>0</v>
      </c>
      <c r="N29" s="113"/>
      <c r="O29" s="113">
        <f t="shared" si="1"/>
        <v>0</v>
      </c>
      <c r="P29" s="113"/>
      <c r="Q29" s="113">
        <f t="shared" si="15"/>
        <v>0</v>
      </c>
      <c r="R29" s="113">
        <f t="shared" si="16"/>
        <v>0</v>
      </c>
      <c r="S29" s="113">
        <f t="shared" si="39"/>
        <v>0</v>
      </c>
      <c r="T29" s="113">
        <f t="shared" si="18"/>
        <v>0</v>
      </c>
      <c r="U29" s="113">
        <f t="shared" si="40"/>
        <v>0</v>
      </c>
      <c r="V29" s="146">
        <f t="shared" si="31"/>
        <v>0</v>
      </c>
      <c r="W29" s="66"/>
      <c r="X29" s="115">
        <f t="shared" si="2"/>
        <v>3.125E-2</v>
      </c>
      <c r="Y29" s="110">
        <f t="shared" si="19"/>
        <v>0</v>
      </c>
      <c r="Z29" s="111">
        <f t="shared" si="47"/>
        <v>0.29166666666666669</v>
      </c>
      <c r="AA29" s="112">
        <f t="shared" si="20"/>
        <v>0</v>
      </c>
      <c r="AB29" s="67" t="str">
        <f t="shared" si="21"/>
        <v/>
      </c>
      <c r="AC29" s="193">
        <f t="shared" si="3"/>
        <v>0</v>
      </c>
      <c r="AD29" s="144" t="str">
        <f t="shared" si="4"/>
        <v/>
      </c>
      <c r="AE29" s="228">
        <f t="shared" si="43"/>
        <v>0</v>
      </c>
      <c r="AF29" s="110"/>
      <c r="AG29" s="110" t="str">
        <f t="shared" si="22"/>
        <v/>
      </c>
      <c r="AH29" s="68">
        <f t="shared" si="5"/>
        <v>0</v>
      </c>
      <c r="AI29" s="68">
        <f t="shared" si="6"/>
        <v>0</v>
      </c>
      <c r="AJ29" s="68" t="str">
        <f t="shared" si="7"/>
        <v/>
      </c>
      <c r="AK29">
        <f t="shared" si="8"/>
        <v>5</v>
      </c>
      <c r="AL29" s="122">
        <f>SUM($AD$6:AD29)</f>
        <v>0</v>
      </c>
      <c r="AM29" s="122">
        <f t="shared" ca="1" si="23"/>
        <v>0</v>
      </c>
      <c r="AN29" s="126">
        <f t="shared" si="33"/>
        <v>0</v>
      </c>
      <c r="AO29" s="126">
        <f t="shared" si="34"/>
        <v>0</v>
      </c>
      <c r="AP29" s="126">
        <f t="shared" si="35"/>
        <v>0</v>
      </c>
      <c r="AQ29" s="125">
        <f t="shared" si="24"/>
        <v>30</v>
      </c>
      <c r="AR29" s="125">
        <f t="shared" ca="1" si="25"/>
        <v>30</v>
      </c>
      <c r="AS29" s="135">
        <f t="shared" si="26"/>
        <v>0</v>
      </c>
      <c r="AT29" s="125">
        <f t="shared" si="27"/>
        <v>0</v>
      </c>
      <c r="AU29" t="b">
        <f>OR((F29&gt;0),(NOT(ISBLANK(H29))),SUM(H29:H$373),SUM(G29:G$373))</f>
        <v>0</v>
      </c>
      <c r="AV29" t="b">
        <f t="shared" ca="1" si="9"/>
        <v>0</v>
      </c>
      <c r="AX29" s="228">
        <f>SUM(AW$5:AW29)</f>
        <v>-2.9166666666666665</v>
      </c>
    </row>
    <row r="30" spans="1:50">
      <c r="A30" s="308">
        <f t="shared" si="28"/>
        <v>42393</v>
      </c>
      <c r="B30" s="309">
        <f t="shared" si="29"/>
        <v>42393</v>
      </c>
      <c r="C30" s="310">
        <f t="shared" si="45"/>
        <v>4</v>
      </c>
      <c r="D30" s="311">
        <f t="shared" si="46"/>
        <v>42369</v>
      </c>
      <c r="E30" s="321" t="str">
        <f t="shared" si="10"/>
        <v/>
      </c>
      <c r="F30" s="5"/>
      <c r="G30" s="6" t="str">
        <f t="shared" si="11"/>
        <v/>
      </c>
      <c r="H30" s="7"/>
      <c r="I30" s="7">
        <f t="shared" si="12"/>
        <v>0</v>
      </c>
      <c r="J30" s="113">
        <f t="shared" si="0"/>
        <v>0</v>
      </c>
      <c r="K30" s="7"/>
      <c r="L30" s="7">
        <f t="shared" si="13"/>
        <v>0</v>
      </c>
      <c r="M30" s="113">
        <f t="shared" si="14"/>
        <v>0</v>
      </c>
      <c r="N30" s="113"/>
      <c r="O30" s="113">
        <f t="shared" si="1"/>
        <v>0</v>
      </c>
      <c r="P30" s="113"/>
      <c r="Q30" s="113">
        <f t="shared" si="15"/>
        <v>0</v>
      </c>
      <c r="R30" s="113">
        <f t="shared" si="16"/>
        <v>0</v>
      </c>
      <c r="S30" s="113">
        <f t="shared" si="39"/>
        <v>0</v>
      </c>
      <c r="T30" s="113">
        <f t="shared" si="18"/>
        <v>0</v>
      </c>
      <c r="U30" s="113">
        <f t="shared" si="40"/>
        <v>0</v>
      </c>
      <c r="V30" s="146">
        <f t="shared" si="31"/>
        <v>0</v>
      </c>
      <c r="W30" s="66"/>
      <c r="X30" s="115">
        <f t="shared" si="2"/>
        <v>3.125E-2</v>
      </c>
      <c r="Y30" s="110">
        <f t="shared" si="19"/>
        <v>0</v>
      </c>
      <c r="Z30" s="111">
        <f t="shared" si="47"/>
        <v>0</v>
      </c>
      <c r="AA30" s="112">
        <f t="shared" si="20"/>
        <v>0</v>
      </c>
      <c r="AB30" s="67" t="str">
        <f t="shared" si="21"/>
        <v/>
      </c>
      <c r="AC30" s="193">
        <f t="shared" si="3"/>
        <v>0</v>
      </c>
      <c r="AD30" s="144" t="str">
        <f t="shared" si="4"/>
        <v/>
      </c>
      <c r="AE30" s="228">
        <f t="shared" si="43"/>
        <v>0</v>
      </c>
      <c r="AF30" s="110"/>
      <c r="AG30" s="110" t="str">
        <f t="shared" si="22"/>
        <v/>
      </c>
      <c r="AH30" s="68">
        <f t="shared" si="5"/>
        <v>0</v>
      </c>
      <c r="AI30" s="68">
        <f t="shared" si="6"/>
        <v>0</v>
      </c>
      <c r="AJ30" s="68" t="str">
        <f t="shared" si="7"/>
        <v/>
      </c>
      <c r="AK30">
        <f t="shared" si="8"/>
        <v>6</v>
      </c>
      <c r="AL30" s="122">
        <f>SUM($AD$6:AD30)</f>
        <v>0</v>
      </c>
      <c r="AM30" s="122">
        <f t="shared" ca="1" si="23"/>
        <v>0</v>
      </c>
      <c r="AN30" s="126">
        <f t="shared" si="33"/>
        <v>0</v>
      </c>
      <c r="AO30" s="126">
        <f t="shared" si="34"/>
        <v>0</v>
      </c>
      <c r="AP30" s="126">
        <f t="shared" si="35"/>
        <v>0</v>
      </c>
      <c r="AQ30" s="125">
        <f t="shared" si="24"/>
        <v>30</v>
      </c>
      <c r="AR30" s="125">
        <f t="shared" ca="1" si="25"/>
        <v>30</v>
      </c>
      <c r="AS30" s="135">
        <f t="shared" si="26"/>
        <v>0</v>
      </c>
      <c r="AT30" s="125">
        <f t="shared" si="27"/>
        <v>7</v>
      </c>
      <c r="AU30" t="b">
        <f>OR((F30&gt;0),(NOT(ISBLANK(H30))),SUM(H30:H$373),SUM(G30:G$373))</f>
        <v>0</v>
      </c>
      <c r="AV30" t="b">
        <f t="shared" ca="1" si="9"/>
        <v>1</v>
      </c>
      <c r="AX30" s="228">
        <f>SUM(AW$5:AW30)</f>
        <v>-2.9166666666666665</v>
      </c>
    </row>
    <row r="31" spans="1:50">
      <c r="A31" s="308">
        <f t="shared" si="28"/>
        <v>42394</v>
      </c>
      <c r="B31" s="309">
        <f t="shared" si="29"/>
        <v>42394</v>
      </c>
      <c r="C31" s="310">
        <f t="shared" si="45"/>
        <v>4</v>
      </c>
      <c r="D31" s="311">
        <f t="shared" si="46"/>
        <v>42369</v>
      </c>
      <c r="E31" s="321" t="str">
        <f t="shared" si="10"/>
        <v/>
      </c>
      <c r="F31" s="5"/>
      <c r="G31" s="6" t="str">
        <f t="shared" si="11"/>
        <v/>
      </c>
      <c r="H31" s="7"/>
      <c r="I31" s="7">
        <f t="shared" si="12"/>
        <v>0</v>
      </c>
      <c r="J31" s="113">
        <f t="shared" si="0"/>
        <v>0</v>
      </c>
      <c r="K31" s="7"/>
      <c r="L31" s="7">
        <f t="shared" si="13"/>
        <v>0</v>
      </c>
      <c r="M31" s="113">
        <f t="shared" si="14"/>
        <v>0</v>
      </c>
      <c r="N31" s="113"/>
      <c r="O31" s="113">
        <f t="shared" si="1"/>
        <v>0</v>
      </c>
      <c r="P31" s="113"/>
      <c r="Q31" s="113">
        <f t="shared" si="15"/>
        <v>0</v>
      </c>
      <c r="R31" s="113">
        <f t="shared" si="16"/>
        <v>0</v>
      </c>
      <c r="S31" s="113">
        <f t="shared" si="39"/>
        <v>0</v>
      </c>
      <c r="T31" s="113">
        <f t="shared" si="18"/>
        <v>0</v>
      </c>
      <c r="U31" s="113">
        <f t="shared" si="40"/>
        <v>0</v>
      </c>
      <c r="V31" s="146">
        <f t="shared" si="31"/>
        <v>0</v>
      </c>
      <c r="W31" s="66"/>
      <c r="X31" s="115">
        <f t="shared" si="2"/>
        <v>3.125E-2</v>
      </c>
      <c r="Y31" s="110">
        <f t="shared" si="19"/>
        <v>0</v>
      </c>
      <c r="Z31" s="111">
        <f t="shared" si="47"/>
        <v>0</v>
      </c>
      <c r="AA31" s="112">
        <f t="shared" si="20"/>
        <v>0</v>
      </c>
      <c r="AB31" s="67" t="str">
        <f t="shared" si="21"/>
        <v/>
      </c>
      <c r="AC31" s="193">
        <f t="shared" si="3"/>
        <v>0</v>
      </c>
      <c r="AD31" s="144" t="str">
        <f t="shared" si="4"/>
        <v/>
      </c>
      <c r="AE31" s="228">
        <f t="shared" si="43"/>
        <v>0</v>
      </c>
      <c r="AF31" s="110"/>
      <c r="AG31" s="110" t="str">
        <f t="shared" si="22"/>
        <v/>
      </c>
      <c r="AH31" s="68">
        <f t="shared" si="5"/>
        <v>0</v>
      </c>
      <c r="AI31" s="68">
        <f t="shared" si="6"/>
        <v>0</v>
      </c>
      <c r="AJ31" s="68" t="str">
        <f t="shared" si="7"/>
        <v/>
      </c>
      <c r="AK31">
        <f t="shared" si="8"/>
        <v>7</v>
      </c>
      <c r="AL31" s="122">
        <f>SUM($AD$6:AD31)</f>
        <v>0</v>
      </c>
      <c r="AM31" s="122">
        <f t="shared" ca="1" si="23"/>
        <v>0</v>
      </c>
      <c r="AN31" s="126">
        <f t="shared" si="33"/>
        <v>0</v>
      </c>
      <c r="AO31" s="126">
        <f t="shared" si="34"/>
        <v>0</v>
      </c>
      <c r="AP31" s="126">
        <f t="shared" si="35"/>
        <v>0</v>
      </c>
      <c r="AQ31" s="125">
        <f t="shared" si="24"/>
        <v>30</v>
      </c>
      <c r="AR31" s="125">
        <f t="shared" ca="1" si="25"/>
        <v>30</v>
      </c>
      <c r="AS31" s="135">
        <f t="shared" si="26"/>
        <v>0</v>
      </c>
      <c r="AT31" s="125">
        <f t="shared" si="27"/>
        <v>7</v>
      </c>
      <c r="AU31" t="b">
        <f>OR((F31&gt;0),(NOT(ISBLANK(H31))),SUM(H31:H$373),SUM(G31:G$373))</f>
        <v>0</v>
      </c>
      <c r="AV31" t="b">
        <f t="shared" ca="1" si="9"/>
        <v>1</v>
      </c>
      <c r="AX31" s="228">
        <f>SUM(AW$5:AW31)</f>
        <v>-2.9166666666666665</v>
      </c>
    </row>
    <row r="32" spans="1:50">
      <c r="A32" s="308">
        <f t="shared" si="28"/>
        <v>42395</v>
      </c>
      <c r="B32" s="309">
        <f t="shared" si="29"/>
        <v>42395</v>
      </c>
      <c r="C32" s="310">
        <f t="shared" si="45"/>
        <v>5</v>
      </c>
      <c r="D32" s="311">
        <f t="shared" si="46"/>
        <v>42369</v>
      </c>
      <c r="E32" s="321" t="str">
        <f t="shared" si="10"/>
        <v/>
      </c>
      <c r="F32" s="5"/>
      <c r="G32" s="6" t="str">
        <f t="shared" si="11"/>
        <v/>
      </c>
      <c r="H32" s="7"/>
      <c r="I32" s="7">
        <f t="shared" si="12"/>
        <v>0</v>
      </c>
      <c r="J32" s="113">
        <f t="shared" si="0"/>
        <v>0</v>
      </c>
      <c r="K32" s="7"/>
      <c r="L32" s="7">
        <f t="shared" si="13"/>
        <v>0</v>
      </c>
      <c r="M32" s="113">
        <f t="shared" si="14"/>
        <v>0</v>
      </c>
      <c r="N32" s="113"/>
      <c r="O32" s="113">
        <f t="shared" si="1"/>
        <v>0</v>
      </c>
      <c r="P32" s="113"/>
      <c r="Q32" s="113">
        <f t="shared" si="15"/>
        <v>0</v>
      </c>
      <c r="R32" s="113">
        <f t="shared" si="16"/>
        <v>0</v>
      </c>
      <c r="S32" s="113">
        <f t="shared" si="39"/>
        <v>0</v>
      </c>
      <c r="T32" s="113">
        <f t="shared" si="18"/>
        <v>0</v>
      </c>
      <c r="U32" s="113">
        <f t="shared" si="40"/>
        <v>0</v>
      </c>
      <c r="V32" s="146">
        <f t="shared" si="31"/>
        <v>0</v>
      </c>
      <c r="W32" s="66"/>
      <c r="X32" s="115">
        <f t="shared" si="2"/>
        <v>3.125E-2</v>
      </c>
      <c r="Y32" s="110">
        <f t="shared" si="19"/>
        <v>0</v>
      </c>
      <c r="Z32" s="111">
        <f t="shared" si="47"/>
        <v>0.29166666666666669</v>
      </c>
      <c r="AA32" s="112">
        <f t="shared" si="20"/>
        <v>0</v>
      </c>
      <c r="AB32" s="67" t="str">
        <f t="shared" si="21"/>
        <v/>
      </c>
      <c r="AC32" s="193">
        <f t="shared" si="3"/>
        <v>0</v>
      </c>
      <c r="AD32" s="144" t="str">
        <f t="shared" si="4"/>
        <v/>
      </c>
      <c r="AE32" s="228">
        <f t="shared" si="43"/>
        <v>0</v>
      </c>
      <c r="AF32" s="110"/>
      <c r="AG32" s="110" t="str">
        <f t="shared" si="22"/>
        <v/>
      </c>
      <c r="AH32" s="68">
        <f t="shared" si="5"/>
        <v>0</v>
      </c>
      <c r="AI32" s="68">
        <f t="shared" si="6"/>
        <v>0</v>
      </c>
      <c r="AJ32" s="68" t="str">
        <f t="shared" si="7"/>
        <v/>
      </c>
      <c r="AK32">
        <f t="shared" si="8"/>
        <v>1</v>
      </c>
      <c r="AL32" s="122">
        <f>SUM($AD$6:AD32)</f>
        <v>0</v>
      </c>
      <c r="AM32" s="122">
        <f t="shared" ca="1" si="23"/>
        <v>0</v>
      </c>
      <c r="AN32" s="126">
        <f t="shared" si="33"/>
        <v>0</v>
      </c>
      <c r="AO32" s="126">
        <f t="shared" si="34"/>
        <v>0</v>
      </c>
      <c r="AP32" s="126">
        <f t="shared" si="35"/>
        <v>0</v>
      </c>
      <c r="AQ32" s="125">
        <f t="shared" si="24"/>
        <v>30</v>
      </c>
      <c r="AR32" s="125">
        <f t="shared" ca="1" si="25"/>
        <v>30</v>
      </c>
      <c r="AS32" s="135">
        <f t="shared" si="26"/>
        <v>0</v>
      </c>
      <c r="AT32" s="125">
        <f t="shared" si="27"/>
        <v>0</v>
      </c>
      <c r="AU32" t="b">
        <f>OR((F32&gt;0),(NOT(ISBLANK(H32))),SUM(H32:H$373),SUM(G32:G$373))</f>
        <v>0</v>
      </c>
      <c r="AV32" t="b">
        <f t="shared" ca="1" si="9"/>
        <v>0</v>
      </c>
      <c r="AX32" s="228">
        <f>SUM(AW$5:AW32)</f>
        <v>-2.9166666666666665</v>
      </c>
    </row>
    <row r="33" spans="1:50">
      <c r="A33" s="308">
        <f t="shared" si="28"/>
        <v>42396</v>
      </c>
      <c r="B33" s="309">
        <f t="shared" si="29"/>
        <v>42396</v>
      </c>
      <c r="C33" s="310">
        <f t="shared" si="45"/>
        <v>5</v>
      </c>
      <c r="D33" s="311">
        <f t="shared" si="46"/>
        <v>42369</v>
      </c>
      <c r="E33" s="321" t="str">
        <f t="shared" si="10"/>
        <v/>
      </c>
      <c r="F33" s="5"/>
      <c r="G33" s="6" t="str">
        <f t="shared" si="11"/>
        <v/>
      </c>
      <c r="H33" s="7"/>
      <c r="I33" s="7">
        <f t="shared" si="12"/>
        <v>0</v>
      </c>
      <c r="J33" s="113">
        <f t="shared" si="0"/>
        <v>0</v>
      </c>
      <c r="K33" s="7"/>
      <c r="L33" s="7">
        <f t="shared" si="13"/>
        <v>0</v>
      </c>
      <c r="M33" s="113">
        <f t="shared" si="14"/>
        <v>0</v>
      </c>
      <c r="N33" s="113"/>
      <c r="O33" s="113">
        <f t="shared" si="1"/>
        <v>0</v>
      </c>
      <c r="P33" s="113"/>
      <c r="Q33" s="113">
        <f t="shared" si="15"/>
        <v>0</v>
      </c>
      <c r="R33" s="113">
        <f t="shared" si="16"/>
        <v>0</v>
      </c>
      <c r="S33" s="113">
        <f t="shared" si="39"/>
        <v>0</v>
      </c>
      <c r="T33" s="113">
        <f t="shared" si="18"/>
        <v>0</v>
      </c>
      <c r="U33" s="113">
        <f t="shared" si="40"/>
        <v>0</v>
      </c>
      <c r="V33" s="146">
        <f t="shared" si="31"/>
        <v>0</v>
      </c>
      <c r="W33" s="66"/>
      <c r="X33" s="115">
        <f t="shared" si="2"/>
        <v>3.125E-2</v>
      </c>
      <c r="Y33" s="110">
        <f t="shared" si="19"/>
        <v>0</v>
      </c>
      <c r="Z33" s="111">
        <f t="shared" si="47"/>
        <v>0.29166666666666669</v>
      </c>
      <c r="AA33" s="112">
        <f t="shared" si="20"/>
        <v>0</v>
      </c>
      <c r="AB33" s="67" t="str">
        <f t="shared" si="21"/>
        <v/>
      </c>
      <c r="AC33" s="193">
        <f t="shared" si="3"/>
        <v>0</v>
      </c>
      <c r="AD33" s="144" t="str">
        <f t="shared" si="4"/>
        <v/>
      </c>
      <c r="AE33" s="228">
        <f t="shared" si="43"/>
        <v>0</v>
      </c>
      <c r="AF33" s="110"/>
      <c r="AG33" s="110" t="str">
        <f t="shared" si="22"/>
        <v/>
      </c>
      <c r="AH33" s="68">
        <f t="shared" si="5"/>
        <v>0</v>
      </c>
      <c r="AI33" s="68">
        <f t="shared" si="6"/>
        <v>0</v>
      </c>
      <c r="AJ33" s="68" t="str">
        <f t="shared" si="7"/>
        <v/>
      </c>
      <c r="AK33">
        <f t="shared" si="8"/>
        <v>2</v>
      </c>
      <c r="AL33" s="122">
        <f>SUM($AD$6:AD33)</f>
        <v>0</v>
      </c>
      <c r="AM33" s="122">
        <f t="shared" ca="1" si="23"/>
        <v>0</v>
      </c>
      <c r="AN33" s="126">
        <f t="shared" si="33"/>
        <v>0</v>
      </c>
      <c r="AO33" s="126">
        <f t="shared" si="34"/>
        <v>0</v>
      </c>
      <c r="AP33" s="126">
        <f t="shared" si="35"/>
        <v>0</v>
      </c>
      <c r="AQ33" s="125">
        <f t="shared" si="24"/>
        <v>30</v>
      </c>
      <c r="AR33" s="125">
        <f t="shared" ca="1" si="25"/>
        <v>30</v>
      </c>
      <c r="AS33" s="135">
        <f t="shared" si="26"/>
        <v>0</v>
      </c>
      <c r="AT33" s="125">
        <f t="shared" si="27"/>
        <v>0</v>
      </c>
      <c r="AU33" t="b">
        <f>OR((F33&gt;0),(NOT(ISBLANK(H33))),SUM(H33:H$373),SUM(G33:G$373))</f>
        <v>0</v>
      </c>
      <c r="AV33" t="b">
        <f t="shared" ca="1" si="9"/>
        <v>0</v>
      </c>
      <c r="AX33" s="228">
        <f>SUM(AW$5:AW33)</f>
        <v>-2.9166666666666665</v>
      </c>
    </row>
    <row r="34" spans="1:50">
      <c r="A34" s="308">
        <f t="shared" si="28"/>
        <v>42397</v>
      </c>
      <c r="B34" s="309">
        <f t="shared" si="29"/>
        <v>42397</v>
      </c>
      <c r="C34" s="310">
        <f t="shared" si="45"/>
        <v>5</v>
      </c>
      <c r="D34" s="311">
        <f t="shared" si="46"/>
        <v>42369</v>
      </c>
      <c r="E34" s="321" t="str">
        <f t="shared" si="10"/>
        <v/>
      </c>
      <c r="F34" s="5"/>
      <c r="G34" s="6" t="str">
        <f t="shared" si="11"/>
        <v/>
      </c>
      <c r="H34" s="7"/>
      <c r="I34" s="7">
        <f t="shared" si="12"/>
        <v>0</v>
      </c>
      <c r="J34" s="113">
        <f t="shared" si="0"/>
        <v>0</v>
      </c>
      <c r="K34" s="7"/>
      <c r="L34" s="7">
        <f t="shared" si="13"/>
        <v>0</v>
      </c>
      <c r="M34" s="113">
        <f t="shared" si="14"/>
        <v>0</v>
      </c>
      <c r="N34" s="113"/>
      <c r="O34" s="113">
        <f t="shared" si="1"/>
        <v>0</v>
      </c>
      <c r="P34" s="113"/>
      <c r="Q34" s="113">
        <f t="shared" si="15"/>
        <v>0</v>
      </c>
      <c r="R34" s="113">
        <f t="shared" si="16"/>
        <v>0</v>
      </c>
      <c r="S34" s="113">
        <f t="shared" si="39"/>
        <v>0</v>
      </c>
      <c r="T34" s="113">
        <f t="shared" si="18"/>
        <v>0</v>
      </c>
      <c r="U34" s="113">
        <f t="shared" si="40"/>
        <v>0</v>
      </c>
      <c r="V34" s="146">
        <f t="shared" si="31"/>
        <v>0</v>
      </c>
      <c r="W34" s="66"/>
      <c r="X34" s="115">
        <f t="shared" si="2"/>
        <v>3.125E-2</v>
      </c>
      <c r="Y34" s="110">
        <f t="shared" si="19"/>
        <v>0</v>
      </c>
      <c r="Z34" s="111">
        <f t="shared" si="47"/>
        <v>0.29166666666666669</v>
      </c>
      <c r="AA34" s="112">
        <f t="shared" si="20"/>
        <v>0</v>
      </c>
      <c r="AB34" s="67" t="str">
        <f t="shared" si="21"/>
        <v/>
      </c>
      <c r="AC34" s="193">
        <f t="shared" si="3"/>
        <v>0</v>
      </c>
      <c r="AD34" s="144" t="str">
        <f t="shared" si="4"/>
        <v/>
      </c>
      <c r="AE34" s="228">
        <f t="shared" si="43"/>
        <v>0</v>
      </c>
      <c r="AF34" s="110"/>
      <c r="AG34" s="110" t="str">
        <f t="shared" si="22"/>
        <v/>
      </c>
      <c r="AH34" s="68">
        <f t="shared" si="5"/>
        <v>0</v>
      </c>
      <c r="AI34" s="68">
        <f t="shared" si="6"/>
        <v>0</v>
      </c>
      <c r="AJ34" s="68" t="str">
        <f t="shared" si="7"/>
        <v/>
      </c>
      <c r="AK34">
        <f t="shared" si="8"/>
        <v>3</v>
      </c>
      <c r="AL34" s="122">
        <f>SUM($AD$6:AD34)</f>
        <v>0</v>
      </c>
      <c r="AM34" s="122">
        <f t="shared" ca="1" si="23"/>
        <v>0</v>
      </c>
      <c r="AN34" s="126">
        <f t="shared" si="33"/>
        <v>0</v>
      </c>
      <c r="AO34" s="126">
        <f t="shared" si="34"/>
        <v>0</v>
      </c>
      <c r="AP34" s="126">
        <f t="shared" si="35"/>
        <v>0</v>
      </c>
      <c r="AQ34" s="125">
        <f t="shared" si="24"/>
        <v>30</v>
      </c>
      <c r="AR34" s="125">
        <f t="shared" ca="1" si="25"/>
        <v>30</v>
      </c>
      <c r="AS34" s="135">
        <f t="shared" si="26"/>
        <v>0</v>
      </c>
      <c r="AT34" s="125">
        <f t="shared" si="27"/>
        <v>0</v>
      </c>
      <c r="AU34" t="b">
        <f>OR((F34&gt;0),(NOT(ISBLANK(H34))),SUM(H34:H$373),SUM(G34:G$373))</f>
        <v>0</v>
      </c>
      <c r="AV34" t="b">
        <f t="shared" ca="1" si="9"/>
        <v>0</v>
      </c>
      <c r="AX34" s="228">
        <f>SUM(AW$5:AW34)</f>
        <v>-2.9166666666666665</v>
      </c>
    </row>
    <row r="35" spans="1:50">
      <c r="A35" s="308">
        <f t="shared" si="28"/>
        <v>42398</v>
      </c>
      <c r="B35" s="309">
        <f t="shared" si="29"/>
        <v>42398</v>
      </c>
      <c r="C35" s="310">
        <f t="shared" si="45"/>
        <v>5</v>
      </c>
      <c r="D35" s="311">
        <f t="shared" si="46"/>
        <v>42369</v>
      </c>
      <c r="E35" s="321" t="str">
        <f t="shared" si="10"/>
        <v/>
      </c>
      <c r="F35" s="5"/>
      <c r="G35" s="6" t="str">
        <f t="shared" si="11"/>
        <v/>
      </c>
      <c r="H35" s="7"/>
      <c r="I35" s="7">
        <f t="shared" si="12"/>
        <v>0</v>
      </c>
      <c r="J35" s="113">
        <f t="shared" si="0"/>
        <v>0</v>
      </c>
      <c r="K35" s="7"/>
      <c r="L35" s="7">
        <f t="shared" si="13"/>
        <v>0</v>
      </c>
      <c r="M35" s="113">
        <f t="shared" si="14"/>
        <v>0</v>
      </c>
      <c r="N35" s="113"/>
      <c r="O35" s="113">
        <f t="shared" si="1"/>
        <v>0</v>
      </c>
      <c r="P35" s="113"/>
      <c r="Q35" s="113">
        <f t="shared" si="15"/>
        <v>0</v>
      </c>
      <c r="R35" s="113">
        <f t="shared" si="16"/>
        <v>0</v>
      </c>
      <c r="S35" s="113">
        <f t="shared" si="39"/>
        <v>0</v>
      </c>
      <c r="T35" s="113">
        <f t="shared" si="18"/>
        <v>0</v>
      </c>
      <c r="U35" s="113">
        <f t="shared" si="40"/>
        <v>0</v>
      </c>
      <c r="V35" s="146">
        <f t="shared" si="31"/>
        <v>0</v>
      </c>
      <c r="W35" s="66"/>
      <c r="X35" s="115">
        <f t="shared" si="2"/>
        <v>3.125E-2</v>
      </c>
      <c r="Y35" s="110">
        <f t="shared" si="19"/>
        <v>0</v>
      </c>
      <c r="Z35" s="111">
        <f t="shared" si="47"/>
        <v>0.29166666666666669</v>
      </c>
      <c r="AA35" s="112">
        <f t="shared" si="20"/>
        <v>0</v>
      </c>
      <c r="AB35" s="67" t="str">
        <f t="shared" si="21"/>
        <v/>
      </c>
      <c r="AC35" s="193">
        <f t="shared" si="3"/>
        <v>0</v>
      </c>
      <c r="AD35" s="144" t="str">
        <f t="shared" si="4"/>
        <v/>
      </c>
      <c r="AE35" s="228">
        <f t="shared" si="43"/>
        <v>0</v>
      </c>
      <c r="AF35" s="110"/>
      <c r="AG35" s="110" t="str">
        <f t="shared" si="22"/>
        <v/>
      </c>
      <c r="AH35" s="68">
        <f t="shared" si="5"/>
        <v>0</v>
      </c>
      <c r="AI35" s="68">
        <f t="shared" si="6"/>
        <v>0</v>
      </c>
      <c r="AJ35" s="68" t="str">
        <f t="shared" si="7"/>
        <v/>
      </c>
      <c r="AK35">
        <f t="shared" si="8"/>
        <v>4</v>
      </c>
      <c r="AL35" s="122">
        <f>SUM($AD$6:AD35)</f>
        <v>0</v>
      </c>
      <c r="AM35" s="122">
        <f t="shared" ca="1" si="23"/>
        <v>0</v>
      </c>
      <c r="AN35" s="126">
        <f t="shared" si="33"/>
        <v>0</v>
      </c>
      <c r="AO35" s="126">
        <f t="shared" si="34"/>
        <v>0</v>
      </c>
      <c r="AP35" s="126">
        <f t="shared" si="35"/>
        <v>0</v>
      </c>
      <c r="AQ35" s="125">
        <f t="shared" si="24"/>
        <v>30</v>
      </c>
      <c r="AR35" s="125">
        <f t="shared" ca="1" si="25"/>
        <v>30</v>
      </c>
      <c r="AS35" s="135">
        <f t="shared" si="26"/>
        <v>0</v>
      </c>
      <c r="AT35" s="125">
        <f t="shared" si="27"/>
        <v>0</v>
      </c>
      <c r="AU35" t="b">
        <f>OR((F35&gt;0),(NOT(ISBLANK(H35))),SUM(H35:H$373),SUM(G35:G$373))</f>
        <v>0</v>
      </c>
      <c r="AV35" t="b">
        <f t="shared" ca="1" si="9"/>
        <v>0</v>
      </c>
      <c r="AX35" s="228">
        <f>SUM(AW$5:AW35)</f>
        <v>-2.9166666666666665</v>
      </c>
    </row>
    <row r="36" spans="1:50">
      <c r="A36" s="308">
        <f t="shared" si="28"/>
        <v>42399</v>
      </c>
      <c r="B36" s="309">
        <f t="shared" si="29"/>
        <v>42399</v>
      </c>
      <c r="C36" s="310">
        <f t="shared" si="45"/>
        <v>5</v>
      </c>
      <c r="D36" s="311">
        <f t="shared" si="46"/>
        <v>42369</v>
      </c>
      <c r="E36" s="321" t="str">
        <f t="shared" si="10"/>
        <v/>
      </c>
      <c r="F36" s="5"/>
      <c r="G36" s="6" t="str">
        <f t="shared" si="11"/>
        <v/>
      </c>
      <c r="H36" s="7"/>
      <c r="I36" s="7">
        <f t="shared" si="12"/>
        <v>0</v>
      </c>
      <c r="J36" s="113">
        <f t="shared" si="0"/>
        <v>0</v>
      </c>
      <c r="K36" s="7"/>
      <c r="L36" s="7">
        <f t="shared" si="13"/>
        <v>0</v>
      </c>
      <c r="M36" s="113">
        <f t="shared" si="14"/>
        <v>0</v>
      </c>
      <c r="N36" s="113"/>
      <c r="O36" s="113">
        <f t="shared" si="1"/>
        <v>0</v>
      </c>
      <c r="P36" s="113"/>
      <c r="Q36" s="113">
        <f t="shared" si="15"/>
        <v>0</v>
      </c>
      <c r="R36" s="113">
        <f t="shared" si="16"/>
        <v>0</v>
      </c>
      <c r="S36" s="113">
        <f t="shared" si="39"/>
        <v>0</v>
      </c>
      <c r="T36" s="113">
        <f t="shared" si="18"/>
        <v>0</v>
      </c>
      <c r="U36" s="113">
        <f t="shared" si="40"/>
        <v>0</v>
      </c>
      <c r="V36" s="146">
        <f t="shared" si="31"/>
        <v>0</v>
      </c>
      <c r="W36" s="66"/>
      <c r="X36" s="115">
        <f t="shared" si="2"/>
        <v>3.125E-2</v>
      </c>
      <c r="Y36" s="110">
        <f t="shared" si="19"/>
        <v>0</v>
      </c>
      <c r="Z36" s="111">
        <f t="shared" si="47"/>
        <v>0.29166666666666669</v>
      </c>
      <c r="AA36" s="112">
        <f t="shared" si="20"/>
        <v>0</v>
      </c>
      <c r="AB36" s="67" t="str">
        <f t="shared" si="21"/>
        <v/>
      </c>
      <c r="AC36" s="193">
        <f t="shared" si="3"/>
        <v>0</v>
      </c>
      <c r="AD36" s="144" t="str">
        <f t="shared" si="4"/>
        <v/>
      </c>
      <c r="AE36" s="228">
        <f t="shared" si="43"/>
        <v>0</v>
      </c>
      <c r="AF36" s="110"/>
      <c r="AG36" s="110" t="str">
        <f t="shared" si="22"/>
        <v/>
      </c>
      <c r="AH36" s="68">
        <f t="shared" si="5"/>
        <v>0</v>
      </c>
      <c r="AI36" s="68">
        <f t="shared" si="6"/>
        <v>0</v>
      </c>
      <c r="AJ36" s="68" t="str">
        <f t="shared" si="7"/>
        <v/>
      </c>
      <c r="AK36">
        <f t="shared" si="8"/>
        <v>5</v>
      </c>
      <c r="AL36" s="122">
        <f>SUM($AD$6:AD36)</f>
        <v>0</v>
      </c>
      <c r="AM36" s="122">
        <f t="shared" ca="1" si="23"/>
        <v>0</v>
      </c>
      <c r="AN36" s="126">
        <f t="shared" si="33"/>
        <v>0</v>
      </c>
      <c r="AO36" s="126">
        <f t="shared" si="34"/>
        <v>0</v>
      </c>
      <c r="AP36" s="126">
        <f t="shared" si="35"/>
        <v>0</v>
      </c>
      <c r="AQ36" s="125">
        <f t="shared" si="24"/>
        <v>30</v>
      </c>
      <c r="AR36" s="125">
        <f t="shared" ca="1" si="25"/>
        <v>30</v>
      </c>
      <c r="AS36" s="135">
        <f t="shared" si="26"/>
        <v>0</v>
      </c>
      <c r="AT36" s="125">
        <f t="shared" si="27"/>
        <v>0</v>
      </c>
      <c r="AU36" t="b">
        <f>OR((F36&gt;0),(NOT(ISBLANK(H36))),SUM(H36:H$373),SUM(G36:G$373))</f>
        <v>0</v>
      </c>
      <c r="AV36" t="b">
        <f t="shared" ca="1" si="9"/>
        <v>0</v>
      </c>
      <c r="AX36" s="228">
        <f>SUM(AW$5:AW36)</f>
        <v>-2.9166666666666665</v>
      </c>
    </row>
    <row r="37" spans="1:50">
      <c r="A37" s="308">
        <f t="shared" si="28"/>
        <v>42400</v>
      </c>
      <c r="B37" s="309">
        <f t="shared" si="29"/>
        <v>42400</v>
      </c>
      <c r="C37" s="310">
        <f t="shared" si="45"/>
        <v>5</v>
      </c>
      <c r="D37" s="311">
        <f t="shared" si="46"/>
        <v>42400</v>
      </c>
      <c r="E37" s="321" t="str">
        <f t="shared" si="10"/>
        <v/>
      </c>
      <c r="F37" s="5"/>
      <c r="G37" s="6" t="str">
        <f t="shared" si="11"/>
        <v/>
      </c>
      <c r="H37" s="7"/>
      <c r="I37" s="7">
        <f t="shared" si="12"/>
        <v>0</v>
      </c>
      <c r="J37" s="113">
        <f t="shared" si="0"/>
        <v>0</v>
      </c>
      <c r="K37" s="7"/>
      <c r="L37" s="7">
        <f t="shared" si="13"/>
        <v>0</v>
      </c>
      <c r="M37" s="113">
        <f t="shared" si="14"/>
        <v>0</v>
      </c>
      <c r="N37" s="113"/>
      <c r="O37" s="113">
        <f t="shared" si="1"/>
        <v>0</v>
      </c>
      <c r="P37" s="113"/>
      <c r="Q37" s="113">
        <f t="shared" si="15"/>
        <v>0</v>
      </c>
      <c r="R37" s="113">
        <f t="shared" si="16"/>
        <v>0</v>
      </c>
      <c r="S37" s="113">
        <f t="shared" si="39"/>
        <v>0</v>
      </c>
      <c r="T37" s="113">
        <f t="shared" si="18"/>
        <v>0</v>
      </c>
      <c r="U37" s="113">
        <f t="shared" si="40"/>
        <v>0</v>
      </c>
      <c r="V37" s="146">
        <f t="shared" si="31"/>
        <v>0</v>
      </c>
      <c r="W37" s="66"/>
      <c r="X37" s="115">
        <f t="shared" si="2"/>
        <v>3.125E-2</v>
      </c>
      <c r="Y37" s="110">
        <f t="shared" si="19"/>
        <v>0</v>
      </c>
      <c r="Z37" s="111">
        <f t="shared" si="47"/>
        <v>0</v>
      </c>
      <c r="AA37" s="112">
        <f t="shared" si="20"/>
        <v>0</v>
      </c>
      <c r="AB37" s="67" t="str">
        <f t="shared" si="21"/>
        <v/>
      </c>
      <c r="AC37" s="193">
        <f t="shared" si="3"/>
        <v>0</v>
      </c>
      <c r="AD37" s="144" t="str">
        <f t="shared" si="4"/>
        <v/>
      </c>
      <c r="AE37" s="228">
        <f t="shared" si="43"/>
        <v>0</v>
      </c>
      <c r="AF37" s="110"/>
      <c r="AG37" s="110" t="str">
        <f t="shared" si="22"/>
        <v/>
      </c>
      <c r="AH37" s="68">
        <f t="shared" si="5"/>
        <v>0</v>
      </c>
      <c r="AI37" s="68">
        <f t="shared" si="6"/>
        <v>0</v>
      </c>
      <c r="AJ37" s="68" t="str">
        <f t="shared" si="7"/>
        <v/>
      </c>
      <c r="AK37">
        <f t="shared" si="8"/>
        <v>6</v>
      </c>
      <c r="AL37" s="122">
        <f>SUM($AD$6:AD37)</f>
        <v>0</v>
      </c>
      <c r="AM37" s="122">
        <f t="shared" ca="1" si="23"/>
        <v>0</v>
      </c>
      <c r="AN37" s="126">
        <f t="shared" si="33"/>
        <v>0</v>
      </c>
      <c r="AO37" s="126">
        <f t="shared" si="34"/>
        <v>0</v>
      </c>
      <c r="AP37" s="126">
        <f t="shared" si="35"/>
        <v>0</v>
      </c>
      <c r="AQ37" s="125">
        <f t="shared" si="24"/>
        <v>30</v>
      </c>
      <c r="AR37" s="125">
        <f t="shared" ca="1" si="25"/>
        <v>30</v>
      </c>
      <c r="AS37" s="135">
        <f t="shared" si="26"/>
        <v>0</v>
      </c>
      <c r="AT37" s="125">
        <f t="shared" si="27"/>
        <v>7</v>
      </c>
      <c r="AU37" t="b">
        <f>OR((F37&gt;0),(NOT(ISBLANK(H37))),SUM(H37:H$373),SUM(G37:G$373))</f>
        <v>0</v>
      </c>
      <c r="AV37" t="b">
        <f t="shared" ca="1" si="9"/>
        <v>1</v>
      </c>
      <c r="AX37" s="228">
        <f>SUM(AW$5:AW37)</f>
        <v>-2.9166666666666665</v>
      </c>
    </row>
    <row r="38" spans="1:50">
      <c r="A38" s="308">
        <f t="shared" si="28"/>
        <v>42401</v>
      </c>
      <c r="B38" s="309">
        <f t="shared" si="29"/>
        <v>42401</v>
      </c>
      <c r="C38" s="310">
        <f t="shared" si="45"/>
        <v>5</v>
      </c>
      <c r="D38" s="311">
        <f t="shared" si="46"/>
        <v>42400</v>
      </c>
      <c r="E38" s="321" t="str">
        <f t="shared" si="10"/>
        <v/>
      </c>
      <c r="F38" s="5"/>
      <c r="G38" s="6" t="str">
        <f t="shared" si="11"/>
        <v/>
      </c>
      <c r="H38" s="7"/>
      <c r="I38" s="7">
        <f t="shared" si="12"/>
        <v>0</v>
      </c>
      <c r="J38" s="113">
        <f t="shared" si="0"/>
        <v>0</v>
      </c>
      <c r="K38" s="7"/>
      <c r="L38" s="7">
        <f t="shared" si="13"/>
        <v>0</v>
      </c>
      <c r="M38" s="113">
        <f t="shared" si="14"/>
        <v>0</v>
      </c>
      <c r="N38" s="113"/>
      <c r="O38" s="113">
        <f t="shared" si="1"/>
        <v>0</v>
      </c>
      <c r="P38" s="113"/>
      <c r="Q38" s="113">
        <f t="shared" si="15"/>
        <v>0</v>
      </c>
      <c r="R38" s="113">
        <f t="shared" si="16"/>
        <v>0</v>
      </c>
      <c r="S38" s="113">
        <f t="shared" si="39"/>
        <v>0</v>
      </c>
      <c r="T38" s="113">
        <f t="shared" si="18"/>
        <v>0</v>
      </c>
      <c r="U38" s="113">
        <f t="shared" si="40"/>
        <v>0</v>
      </c>
      <c r="V38" s="146">
        <f t="shared" si="31"/>
        <v>0</v>
      </c>
      <c r="W38" s="66"/>
      <c r="X38" s="115">
        <f t="shared" si="2"/>
        <v>3.125E-2</v>
      </c>
      <c r="Y38" s="110">
        <f t="shared" si="19"/>
        <v>0</v>
      </c>
      <c r="Z38" s="111">
        <f t="shared" si="47"/>
        <v>0</v>
      </c>
      <c r="AA38" s="112">
        <f t="shared" si="20"/>
        <v>0</v>
      </c>
      <c r="AB38" s="67" t="str">
        <f t="shared" si="21"/>
        <v/>
      </c>
      <c r="AC38" s="193">
        <f t="shared" si="3"/>
        <v>0</v>
      </c>
      <c r="AD38" s="144" t="str">
        <f t="shared" si="4"/>
        <v/>
      </c>
      <c r="AE38" s="228">
        <f t="shared" si="43"/>
        <v>0</v>
      </c>
      <c r="AF38" s="110"/>
      <c r="AG38" s="110" t="str">
        <f t="shared" si="22"/>
        <v/>
      </c>
      <c r="AH38" s="68">
        <f t="shared" si="5"/>
        <v>0</v>
      </c>
      <c r="AI38" s="68">
        <f t="shared" si="6"/>
        <v>0</v>
      </c>
      <c r="AJ38" s="68" t="str">
        <f t="shared" si="7"/>
        <v/>
      </c>
      <c r="AK38">
        <f t="shared" si="8"/>
        <v>7</v>
      </c>
      <c r="AL38" s="122">
        <f>SUM($AD$6:AD38)</f>
        <v>0</v>
      </c>
      <c r="AM38" s="122">
        <f t="shared" ca="1" si="23"/>
        <v>0</v>
      </c>
      <c r="AN38" s="126">
        <f t="shared" si="33"/>
        <v>0</v>
      </c>
      <c r="AO38" s="126">
        <f t="shared" si="34"/>
        <v>0</v>
      </c>
      <c r="AP38" s="126">
        <f t="shared" si="35"/>
        <v>0</v>
      </c>
      <c r="AQ38" s="125">
        <f t="shared" si="24"/>
        <v>30</v>
      </c>
      <c r="AR38" s="125">
        <f t="shared" ca="1" si="25"/>
        <v>30</v>
      </c>
      <c r="AS38" s="135">
        <f t="shared" si="26"/>
        <v>0</v>
      </c>
      <c r="AT38" s="125">
        <f t="shared" si="27"/>
        <v>7</v>
      </c>
      <c r="AU38" t="b">
        <f>OR((F38&gt;0),(NOT(ISBLANK(H38))),SUM(H38:H$373),SUM(G38:G$373))</f>
        <v>0</v>
      </c>
      <c r="AV38" t="b">
        <f t="shared" ca="1" si="9"/>
        <v>1</v>
      </c>
      <c r="AX38" s="228">
        <f>SUM(AW$5:AW38)</f>
        <v>-2.9166666666666665</v>
      </c>
    </row>
    <row r="39" spans="1:50">
      <c r="A39" s="308">
        <f t="shared" si="28"/>
        <v>42402</v>
      </c>
      <c r="B39" s="309">
        <f t="shared" si="29"/>
        <v>42402</v>
      </c>
      <c r="C39" s="310">
        <f t="shared" si="45"/>
        <v>6</v>
      </c>
      <c r="D39" s="311">
        <f t="shared" si="46"/>
        <v>42400</v>
      </c>
      <c r="E39" s="321" t="str">
        <f t="shared" si="10"/>
        <v/>
      </c>
      <c r="F39" s="5"/>
      <c r="G39" s="6" t="str">
        <f t="shared" si="11"/>
        <v/>
      </c>
      <c r="H39" s="7"/>
      <c r="I39" s="7">
        <f t="shared" si="12"/>
        <v>0</v>
      </c>
      <c r="J39" s="113">
        <f t="shared" si="0"/>
        <v>0</v>
      </c>
      <c r="K39" s="7"/>
      <c r="L39" s="7">
        <f t="shared" si="13"/>
        <v>0</v>
      </c>
      <c r="M39" s="113">
        <f t="shared" si="14"/>
        <v>0</v>
      </c>
      <c r="N39" s="113"/>
      <c r="O39" s="113">
        <f t="shared" si="1"/>
        <v>0</v>
      </c>
      <c r="P39" s="113"/>
      <c r="Q39" s="113">
        <f t="shared" si="15"/>
        <v>0</v>
      </c>
      <c r="R39" s="113">
        <f t="shared" si="16"/>
        <v>0</v>
      </c>
      <c r="S39" s="113">
        <f t="shared" si="39"/>
        <v>0</v>
      </c>
      <c r="T39" s="113">
        <f t="shared" si="18"/>
        <v>0</v>
      </c>
      <c r="U39" s="113">
        <f t="shared" si="40"/>
        <v>0</v>
      </c>
      <c r="V39" s="146">
        <f t="shared" si="31"/>
        <v>0</v>
      </c>
      <c r="W39" s="66"/>
      <c r="X39" s="115">
        <f t="shared" si="2"/>
        <v>3.125E-2</v>
      </c>
      <c r="Y39" s="110">
        <f t="shared" si="19"/>
        <v>0</v>
      </c>
      <c r="Z39" s="111">
        <f t="shared" si="47"/>
        <v>0.29166666666666669</v>
      </c>
      <c r="AA39" s="112">
        <f t="shared" si="20"/>
        <v>0</v>
      </c>
      <c r="AB39" s="67" t="str">
        <f t="shared" si="21"/>
        <v/>
      </c>
      <c r="AC39" s="193">
        <f t="shared" si="3"/>
        <v>0</v>
      </c>
      <c r="AD39" s="144" t="str">
        <f t="shared" si="4"/>
        <v/>
      </c>
      <c r="AE39" s="228">
        <f t="shared" si="43"/>
        <v>0</v>
      </c>
      <c r="AF39" s="110"/>
      <c r="AG39" s="110" t="str">
        <f t="shared" si="22"/>
        <v/>
      </c>
      <c r="AH39" s="68">
        <f t="shared" si="5"/>
        <v>0</v>
      </c>
      <c r="AI39" s="68">
        <f t="shared" si="6"/>
        <v>0</v>
      </c>
      <c r="AJ39" s="68" t="str">
        <f t="shared" si="7"/>
        <v/>
      </c>
      <c r="AK39">
        <f t="shared" si="8"/>
        <v>1</v>
      </c>
      <c r="AL39" s="122">
        <f>SUM($AD$6:AD39)</f>
        <v>0</v>
      </c>
      <c r="AM39" s="122">
        <f t="shared" ca="1" si="23"/>
        <v>0</v>
      </c>
      <c r="AN39" s="126">
        <f t="shared" si="33"/>
        <v>0</v>
      </c>
      <c r="AO39" s="126">
        <f t="shared" si="34"/>
        <v>0</v>
      </c>
      <c r="AP39" s="126">
        <f t="shared" si="35"/>
        <v>0</v>
      </c>
      <c r="AQ39" s="125">
        <f t="shared" si="24"/>
        <v>30</v>
      </c>
      <c r="AR39" s="125">
        <f t="shared" ca="1" si="25"/>
        <v>30</v>
      </c>
      <c r="AS39" s="135">
        <f t="shared" si="26"/>
        <v>0</v>
      </c>
      <c r="AT39" s="125">
        <f t="shared" si="27"/>
        <v>0</v>
      </c>
      <c r="AU39" t="b">
        <f>OR((F39&gt;0),(NOT(ISBLANK(H39))),SUM(H39:H$373),SUM(G39:G$373))</f>
        <v>0</v>
      </c>
      <c r="AV39" t="b">
        <f t="shared" ca="1" si="9"/>
        <v>0</v>
      </c>
      <c r="AX39" s="228">
        <f>SUM(AW$5:AW39)</f>
        <v>-2.9166666666666665</v>
      </c>
    </row>
    <row r="40" spans="1:50">
      <c r="A40" s="308">
        <f t="shared" si="28"/>
        <v>42403</v>
      </c>
      <c r="B40" s="309">
        <f t="shared" si="29"/>
        <v>42403</v>
      </c>
      <c r="C40" s="310">
        <f t="shared" si="45"/>
        <v>6</v>
      </c>
      <c r="D40" s="311">
        <f t="shared" si="46"/>
        <v>42400</v>
      </c>
      <c r="E40" s="321" t="str">
        <f t="shared" si="10"/>
        <v/>
      </c>
      <c r="F40" s="5"/>
      <c r="G40" s="6" t="str">
        <f t="shared" si="11"/>
        <v/>
      </c>
      <c r="H40" s="7"/>
      <c r="I40" s="7">
        <f t="shared" si="12"/>
        <v>0</v>
      </c>
      <c r="J40" s="113">
        <f t="shared" si="0"/>
        <v>0</v>
      </c>
      <c r="K40" s="7"/>
      <c r="L40" s="7">
        <f t="shared" si="13"/>
        <v>0</v>
      </c>
      <c r="M40" s="113">
        <f t="shared" si="14"/>
        <v>0</v>
      </c>
      <c r="N40" s="113"/>
      <c r="O40" s="113">
        <f t="shared" si="1"/>
        <v>0</v>
      </c>
      <c r="P40" s="113"/>
      <c r="Q40" s="113">
        <f t="shared" si="15"/>
        <v>0</v>
      </c>
      <c r="R40" s="113">
        <f t="shared" si="16"/>
        <v>0</v>
      </c>
      <c r="S40" s="113">
        <f t="shared" si="39"/>
        <v>0</v>
      </c>
      <c r="T40" s="113">
        <f t="shared" si="18"/>
        <v>0</v>
      </c>
      <c r="U40" s="113">
        <f t="shared" si="40"/>
        <v>0</v>
      </c>
      <c r="V40" s="146">
        <f t="shared" si="31"/>
        <v>0</v>
      </c>
      <c r="W40" s="66"/>
      <c r="X40" s="115">
        <f t="shared" si="2"/>
        <v>3.125E-2</v>
      </c>
      <c r="Y40" s="110">
        <f t="shared" si="19"/>
        <v>0</v>
      </c>
      <c r="Z40" s="111">
        <f t="shared" si="47"/>
        <v>0.29166666666666669</v>
      </c>
      <c r="AA40" s="112">
        <f t="shared" si="20"/>
        <v>0</v>
      </c>
      <c r="AB40" s="67" t="str">
        <f t="shared" si="21"/>
        <v/>
      </c>
      <c r="AC40" s="193">
        <f t="shared" si="3"/>
        <v>0</v>
      </c>
      <c r="AD40" s="144" t="str">
        <f t="shared" si="4"/>
        <v/>
      </c>
      <c r="AE40" s="228">
        <f t="shared" si="43"/>
        <v>0</v>
      </c>
      <c r="AF40" s="110"/>
      <c r="AG40" s="110" t="str">
        <f t="shared" si="22"/>
        <v/>
      </c>
      <c r="AH40" s="68">
        <f t="shared" si="5"/>
        <v>0</v>
      </c>
      <c r="AI40" s="68">
        <f t="shared" si="6"/>
        <v>0</v>
      </c>
      <c r="AJ40" s="68" t="str">
        <f t="shared" si="7"/>
        <v/>
      </c>
      <c r="AK40">
        <f t="shared" si="8"/>
        <v>2</v>
      </c>
      <c r="AL40" s="122">
        <f>SUM($AD$6:AD40)</f>
        <v>0</v>
      </c>
      <c r="AM40" s="122">
        <f t="shared" ca="1" si="23"/>
        <v>0</v>
      </c>
      <c r="AN40" s="126">
        <f t="shared" si="33"/>
        <v>0</v>
      </c>
      <c r="AO40" s="126">
        <f t="shared" si="34"/>
        <v>0</v>
      </c>
      <c r="AP40" s="126">
        <f t="shared" si="35"/>
        <v>0</v>
      </c>
      <c r="AQ40" s="125">
        <f t="shared" si="24"/>
        <v>30</v>
      </c>
      <c r="AR40" s="125">
        <f t="shared" ca="1" si="25"/>
        <v>30</v>
      </c>
      <c r="AS40" s="135">
        <f t="shared" si="26"/>
        <v>0</v>
      </c>
      <c r="AT40" s="125">
        <f t="shared" si="27"/>
        <v>0</v>
      </c>
      <c r="AU40" t="b">
        <f>OR((F40&gt;0),(NOT(ISBLANK(H40))),SUM(H40:H$373),SUM(G40:G$373))</f>
        <v>0</v>
      </c>
      <c r="AV40" t="b">
        <f t="shared" ca="1" si="9"/>
        <v>0</v>
      </c>
      <c r="AX40" s="228">
        <f>SUM(AW$5:AW40)</f>
        <v>-2.9166666666666665</v>
      </c>
    </row>
    <row r="41" spans="1:50">
      <c r="A41" s="308">
        <f t="shared" si="28"/>
        <v>42404</v>
      </c>
      <c r="B41" s="309">
        <f t="shared" si="29"/>
        <v>42404</v>
      </c>
      <c r="C41" s="310">
        <f t="shared" si="45"/>
        <v>6</v>
      </c>
      <c r="D41" s="311">
        <f t="shared" si="46"/>
        <v>42400</v>
      </c>
      <c r="E41" s="321" t="str">
        <f t="shared" si="10"/>
        <v/>
      </c>
      <c r="F41" s="5"/>
      <c r="G41" s="6" t="str">
        <f t="shared" si="11"/>
        <v/>
      </c>
      <c r="H41" s="7"/>
      <c r="I41" s="7">
        <f t="shared" si="12"/>
        <v>0</v>
      </c>
      <c r="J41" s="113">
        <f t="shared" si="0"/>
        <v>0</v>
      </c>
      <c r="K41" s="7"/>
      <c r="L41" s="7">
        <f t="shared" si="13"/>
        <v>0</v>
      </c>
      <c r="M41" s="113">
        <f t="shared" si="14"/>
        <v>0</v>
      </c>
      <c r="N41" s="113"/>
      <c r="O41" s="113">
        <f t="shared" si="1"/>
        <v>0</v>
      </c>
      <c r="P41" s="113"/>
      <c r="Q41" s="113">
        <f t="shared" si="15"/>
        <v>0</v>
      </c>
      <c r="R41" s="113">
        <f t="shared" si="16"/>
        <v>0</v>
      </c>
      <c r="S41" s="113">
        <f t="shared" si="39"/>
        <v>0</v>
      </c>
      <c r="T41" s="113">
        <f t="shared" si="18"/>
        <v>0</v>
      </c>
      <c r="U41" s="113">
        <f t="shared" si="40"/>
        <v>0</v>
      </c>
      <c r="V41" s="146">
        <f t="shared" si="31"/>
        <v>0</v>
      </c>
      <c r="W41" s="66"/>
      <c r="X41" s="115">
        <f t="shared" si="2"/>
        <v>3.125E-2</v>
      </c>
      <c r="Y41" s="110">
        <f t="shared" si="19"/>
        <v>0</v>
      </c>
      <c r="Z41" s="111">
        <f t="shared" si="47"/>
        <v>0.29166666666666669</v>
      </c>
      <c r="AA41" s="112">
        <f t="shared" si="20"/>
        <v>0</v>
      </c>
      <c r="AB41" s="67" t="str">
        <f t="shared" si="21"/>
        <v/>
      </c>
      <c r="AC41" s="193">
        <f t="shared" si="3"/>
        <v>0</v>
      </c>
      <c r="AD41" s="144" t="str">
        <f t="shared" si="4"/>
        <v/>
      </c>
      <c r="AE41" s="228">
        <f t="shared" si="43"/>
        <v>0</v>
      </c>
      <c r="AF41" s="110"/>
      <c r="AG41" s="110" t="str">
        <f t="shared" si="22"/>
        <v/>
      </c>
      <c r="AH41" s="68">
        <f t="shared" si="5"/>
        <v>0</v>
      </c>
      <c r="AI41" s="68">
        <f t="shared" si="6"/>
        <v>0</v>
      </c>
      <c r="AJ41" s="68" t="str">
        <f t="shared" si="7"/>
        <v/>
      </c>
      <c r="AK41">
        <f t="shared" si="8"/>
        <v>3</v>
      </c>
      <c r="AL41" s="122">
        <f>SUM($AD$6:AD41)</f>
        <v>0</v>
      </c>
      <c r="AM41" s="122">
        <f t="shared" ca="1" si="23"/>
        <v>0</v>
      </c>
      <c r="AN41" s="126">
        <f t="shared" si="33"/>
        <v>0</v>
      </c>
      <c r="AO41" s="126">
        <f t="shared" si="34"/>
        <v>0</v>
      </c>
      <c r="AP41" s="126">
        <f t="shared" si="35"/>
        <v>0</v>
      </c>
      <c r="AQ41" s="125">
        <f t="shared" si="24"/>
        <v>30</v>
      </c>
      <c r="AR41" s="125">
        <f t="shared" ca="1" si="25"/>
        <v>30</v>
      </c>
      <c r="AS41" s="135">
        <f t="shared" si="26"/>
        <v>0</v>
      </c>
      <c r="AT41" s="125">
        <f t="shared" si="27"/>
        <v>0</v>
      </c>
      <c r="AU41" t="b">
        <f>OR((F41&gt;0),(NOT(ISBLANK(H41))),SUM(H41:H$373),SUM(G41:G$373))</f>
        <v>0</v>
      </c>
      <c r="AV41" t="b">
        <f t="shared" ca="1" si="9"/>
        <v>0</v>
      </c>
      <c r="AX41" s="228">
        <f>SUM(AW$5:AW41)</f>
        <v>-2.9166666666666665</v>
      </c>
    </row>
    <row r="42" spans="1:50">
      <c r="A42" s="308">
        <f t="shared" si="28"/>
        <v>42405</v>
      </c>
      <c r="B42" s="309">
        <f t="shared" si="29"/>
        <v>42405</v>
      </c>
      <c r="C42" s="310">
        <f t="shared" si="45"/>
        <v>6</v>
      </c>
      <c r="D42" s="311">
        <f t="shared" si="46"/>
        <v>42400</v>
      </c>
      <c r="E42" s="321" t="str">
        <f t="shared" si="10"/>
        <v/>
      </c>
      <c r="F42" s="5"/>
      <c r="G42" s="6" t="str">
        <f t="shared" si="11"/>
        <v/>
      </c>
      <c r="H42" s="7"/>
      <c r="I42" s="7">
        <f t="shared" si="12"/>
        <v>0</v>
      </c>
      <c r="J42" s="113">
        <f t="shared" si="0"/>
        <v>0</v>
      </c>
      <c r="K42" s="7"/>
      <c r="L42" s="7">
        <f t="shared" si="13"/>
        <v>0</v>
      </c>
      <c r="M42" s="113">
        <f t="shared" si="14"/>
        <v>0</v>
      </c>
      <c r="N42" s="113"/>
      <c r="O42" s="113">
        <f t="shared" si="1"/>
        <v>0</v>
      </c>
      <c r="P42" s="113"/>
      <c r="Q42" s="113">
        <f t="shared" si="15"/>
        <v>0</v>
      </c>
      <c r="R42" s="113">
        <f t="shared" si="16"/>
        <v>0</v>
      </c>
      <c r="S42" s="113">
        <f t="shared" si="39"/>
        <v>0</v>
      </c>
      <c r="T42" s="113">
        <f t="shared" si="18"/>
        <v>0</v>
      </c>
      <c r="U42" s="113">
        <f t="shared" si="40"/>
        <v>0</v>
      </c>
      <c r="V42" s="146">
        <f t="shared" si="31"/>
        <v>0</v>
      </c>
      <c r="W42" s="66"/>
      <c r="X42" s="115">
        <f t="shared" si="2"/>
        <v>3.125E-2</v>
      </c>
      <c r="Y42" s="110">
        <f t="shared" si="19"/>
        <v>0</v>
      </c>
      <c r="Z42" s="111">
        <f t="shared" si="47"/>
        <v>0.29166666666666669</v>
      </c>
      <c r="AA42" s="112">
        <f t="shared" si="20"/>
        <v>0</v>
      </c>
      <c r="AB42" s="67" t="str">
        <f t="shared" si="21"/>
        <v/>
      </c>
      <c r="AC42" s="193">
        <f t="shared" si="3"/>
        <v>0</v>
      </c>
      <c r="AD42" s="144" t="str">
        <f t="shared" si="4"/>
        <v/>
      </c>
      <c r="AE42" s="228">
        <f t="shared" si="43"/>
        <v>0</v>
      </c>
      <c r="AF42" s="110"/>
      <c r="AG42" s="110" t="str">
        <f t="shared" si="22"/>
        <v/>
      </c>
      <c r="AH42" s="68">
        <f t="shared" si="5"/>
        <v>0</v>
      </c>
      <c r="AI42" s="68">
        <f t="shared" si="6"/>
        <v>0</v>
      </c>
      <c r="AJ42" s="68" t="str">
        <f t="shared" si="7"/>
        <v/>
      </c>
      <c r="AK42">
        <f t="shared" si="8"/>
        <v>4</v>
      </c>
      <c r="AL42" s="122">
        <f>SUM($AD$6:AD42)</f>
        <v>0</v>
      </c>
      <c r="AM42" s="122">
        <f t="shared" ca="1" si="23"/>
        <v>0</v>
      </c>
      <c r="AN42" s="126">
        <f t="shared" si="33"/>
        <v>0</v>
      </c>
      <c r="AO42" s="126">
        <f t="shared" si="34"/>
        <v>0</v>
      </c>
      <c r="AP42" s="126">
        <f t="shared" si="35"/>
        <v>0</v>
      </c>
      <c r="AQ42" s="125">
        <f t="shared" si="24"/>
        <v>30</v>
      </c>
      <c r="AR42" s="125">
        <f t="shared" ca="1" si="25"/>
        <v>30</v>
      </c>
      <c r="AS42" s="135">
        <f t="shared" si="26"/>
        <v>0</v>
      </c>
      <c r="AT42" s="125">
        <f t="shared" si="27"/>
        <v>0</v>
      </c>
      <c r="AU42" t="b">
        <f>OR((F42&gt;0),(NOT(ISBLANK(H42))),SUM(H42:H$373),SUM(G42:G$373))</f>
        <v>0</v>
      </c>
      <c r="AV42" t="b">
        <f t="shared" ca="1" si="9"/>
        <v>0</v>
      </c>
      <c r="AX42" s="228">
        <f>SUM(AW$5:AW42)</f>
        <v>-2.9166666666666665</v>
      </c>
    </row>
    <row r="43" spans="1:50">
      <c r="A43" s="308">
        <f t="shared" si="28"/>
        <v>42406</v>
      </c>
      <c r="B43" s="309">
        <f t="shared" si="29"/>
        <v>42406</v>
      </c>
      <c r="C43" s="310">
        <f t="shared" si="45"/>
        <v>6</v>
      </c>
      <c r="D43" s="311">
        <f t="shared" si="46"/>
        <v>42400</v>
      </c>
      <c r="E43" s="321" t="str">
        <f t="shared" si="10"/>
        <v/>
      </c>
      <c r="F43" s="5"/>
      <c r="G43" s="6" t="str">
        <f t="shared" si="11"/>
        <v/>
      </c>
      <c r="H43" s="7"/>
      <c r="I43" s="7">
        <f t="shared" si="12"/>
        <v>0</v>
      </c>
      <c r="J43" s="113">
        <f t="shared" si="0"/>
        <v>0</v>
      </c>
      <c r="K43" s="7"/>
      <c r="L43" s="7">
        <f t="shared" si="13"/>
        <v>0</v>
      </c>
      <c r="M43" s="113">
        <f t="shared" si="14"/>
        <v>0</v>
      </c>
      <c r="N43" s="113"/>
      <c r="O43" s="113">
        <f t="shared" si="1"/>
        <v>0</v>
      </c>
      <c r="P43" s="113"/>
      <c r="Q43" s="113">
        <f t="shared" si="15"/>
        <v>0</v>
      </c>
      <c r="R43" s="113">
        <f t="shared" si="16"/>
        <v>0</v>
      </c>
      <c r="S43" s="113">
        <f t="shared" si="39"/>
        <v>0</v>
      </c>
      <c r="T43" s="113">
        <f t="shared" si="18"/>
        <v>0</v>
      </c>
      <c r="U43" s="113">
        <f t="shared" si="40"/>
        <v>0</v>
      </c>
      <c r="V43" s="146">
        <f t="shared" si="31"/>
        <v>0</v>
      </c>
      <c r="W43" s="66"/>
      <c r="X43" s="115">
        <f t="shared" si="2"/>
        <v>3.125E-2</v>
      </c>
      <c r="Y43" s="110">
        <f t="shared" si="19"/>
        <v>0</v>
      </c>
      <c r="Z43" s="111">
        <f t="shared" si="47"/>
        <v>0.29166666666666669</v>
      </c>
      <c r="AA43" s="112">
        <f t="shared" si="20"/>
        <v>0</v>
      </c>
      <c r="AB43" s="67" t="str">
        <f t="shared" si="21"/>
        <v/>
      </c>
      <c r="AC43" s="193">
        <f t="shared" si="3"/>
        <v>0</v>
      </c>
      <c r="AD43" s="144" t="str">
        <f t="shared" si="4"/>
        <v/>
      </c>
      <c r="AE43" s="228">
        <f t="shared" si="43"/>
        <v>0</v>
      </c>
      <c r="AF43" s="110"/>
      <c r="AG43" s="110" t="str">
        <f t="shared" si="22"/>
        <v/>
      </c>
      <c r="AH43" s="68">
        <f t="shared" si="5"/>
        <v>0</v>
      </c>
      <c r="AI43" s="68">
        <f t="shared" si="6"/>
        <v>0</v>
      </c>
      <c r="AJ43" s="68" t="str">
        <f t="shared" si="7"/>
        <v/>
      </c>
      <c r="AK43">
        <f t="shared" si="8"/>
        <v>5</v>
      </c>
      <c r="AL43" s="122">
        <f>SUM($AD$6:AD43)</f>
        <v>0</v>
      </c>
      <c r="AM43" s="122">
        <f t="shared" ca="1" si="23"/>
        <v>0</v>
      </c>
      <c r="AN43" s="126">
        <f t="shared" si="33"/>
        <v>0</v>
      </c>
      <c r="AO43" s="126">
        <f t="shared" si="34"/>
        <v>0</v>
      </c>
      <c r="AP43" s="126">
        <f t="shared" si="35"/>
        <v>0</v>
      </c>
      <c r="AQ43" s="125">
        <f t="shared" si="24"/>
        <v>30</v>
      </c>
      <c r="AR43" s="125">
        <f t="shared" ca="1" si="25"/>
        <v>30</v>
      </c>
      <c r="AS43" s="135">
        <f t="shared" si="26"/>
        <v>0</v>
      </c>
      <c r="AT43" s="125">
        <f t="shared" si="27"/>
        <v>0</v>
      </c>
      <c r="AU43" t="b">
        <f>OR((F43&gt;0),(NOT(ISBLANK(H43))),SUM(H43:H$373),SUM(G43:G$373))</f>
        <v>0</v>
      </c>
      <c r="AV43" t="b">
        <f t="shared" ca="1" si="9"/>
        <v>0</v>
      </c>
      <c r="AX43" s="228">
        <f>SUM(AW$5:AW43)</f>
        <v>-2.9166666666666665</v>
      </c>
    </row>
    <row r="44" spans="1:50">
      <c r="A44" s="308">
        <f t="shared" si="28"/>
        <v>42407</v>
      </c>
      <c r="B44" s="309">
        <f t="shared" si="29"/>
        <v>42407</v>
      </c>
      <c r="C44" s="310">
        <f t="shared" si="45"/>
        <v>6</v>
      </c>
      <c r="D44" s="311">
        <f t="shared" si="46"/>
        <v>42400</v>
      </c>
      <c r="E44" s="321" t="str">
        <f t="shared" si="10"/>
        <v/>
      </c>
      <c r="F44" s="5"/>
      <c r="G44" s="6" t="str">
        <f t="shared" si="11"/>
        <v/>
      </c>
      <c r="H44" s="7"/>
      <c r="I44" s="7">
        <f t="shared" si="12"/>
        <v>0</v>
      </c>
      <c r="J44" s="113">
        <f t="shared" si="0"/>
        <v>0</v>
      </c>
      <c r="K44" s="7"/>
      <c r="L44" s="7">
        <f t="shared" si="13"/>
        <v>0</v>
      </c>
      <c r="M44" s="113">
        <f t="shared" si="14"/>
        <v>0</v>
      </c>
      <c r="N44" s="113"/>
      <c r="O44" s="113">
        <f t="shared" si="1"/>
        <v>0</v>
      </c>
      <c r="P44" s="113"/>
      <c r="Q44" s="113">
        <f t="shared" si="15"/>
        <v>0</v>
      </c>
      <c r="R44" s="113">
        <f t="shared" si="16"/>
        <v>0</v>
      </c>
      <c r="S44" s="113">
        <f t="shared" si="39"/>
        <v>0</v>
      </c>
      <c r="T44" s="113">
        <f t="shared" si="18"/>
        <v>0</v>
      </c>
      <c r="U44" s="113">
        <f t="shared" si="40"/>
        <v>0</v>
      </c>
      <c r="V44" s="146">
        <f t="shared" si="31"/>
        <v>0</v>
      </c>
      <c r="W44" s="66"/>
      <c r="X44" s="115">
        <f t="shared" si="2"/>
        <v>3.125E-2</v>
      </c>
      <c r="Y44" s="110">
        <f t="shared" si="19"/>
        <v>0</v>
      </c>
      <c r="Z44" s="111">
        <f t="shared" si="47"/>
        <v>0</v>
      </c>
      <c r="AA44" s="112">
        <f t="shared" si="20"/>
        <v>0</v>
      </c>
      <c r="AB44" s="67" t="str">
        <f t="shared" si="21"/>
        <v/>
      </c>
      <c r="AC44" s="193">
        <f t="shared" si="3"/>
        <v>0</v>
      </c>
      <c r="AD44" s="144" t="str">
        <f t="shared" si="4"/>
        <v/>
      </c>
      <c r="AE44" s="228">
        <f t="shared" si="43"/>
        <v>0</v>
      </c>
      <c r="AF44" s="110"/>
      <c r="AG44" s="110" t="str">
        <f t="shared" si="22"/>
        <v/>
      </c>
      <c r="AH44" s="68">
        <f t="shared" si="5"/>
        <v>0</v>
      </c>
      <c r="AI44" s="68">
        <f t="shared" si="6"/>
        <v>0</v>
      </c>
      <c r="AJ44" s="68" t="str">
        <f t="shared" si="7"/>
        <v/>
      </c>
      <c r="AK44">
        <f t="shared" si="8"/>
        <v>6</v>
      </c>
      <c r="AL44" s="122">
        <f>SUM($AD$6:AD44)</f>
        <v>0</v>
      </c>
      <c r="AM44" s="122">
        <f t="shared" ca="1" si="23"/>
        <v>0</v>
      </c>
      <c r="AN44" s="126">
        <f t="shared" si="33"/>
        <v>0</v>
      </c>
      <c r="AO44" s="126">
        <f t="shared" si="34"/>
        <v>0</v>
      </c>
      <c r="AP44" s="126">
        <f t="shared" si="35"/>
        <v>0</v>
      </c>
      <c r="AQ44" s="125">
        <f t="shared" si="24"/>
        <v>30</v>
      </c>
      <c r="AR44" s="125">
        <f t="shared" ca="1" si="25"/>
        <v>30</v>
      </c>
      <c r="AS44" s="135">
        <f t="shared" si="26"/>
        <v>0</v>
      </c>
      <c r="AT44" s="125">
        <f t="shared" si="27"/>
        <v>7</v>
      </c>
      <c r="AU44" t="b">
        <f>OR((F44&gt;0),(NOT(ISBLANK(H44))),SUM(H44:H$373),SUM(G44:G$373))</f>
        <v>0</v>
      </c>
      <c r="AV44" t="b">
        <f t="shared" ca="1" si="9"/>
        <v>1</v>
      </c>
      <c r="AX44" s="228">
        <f>SUM(AW$5:AW44)</f>
        <v>-2.9166666666666665</v>
      </c>
    </row>
    <row r="45" spans="1:50">
      <c r="A45" s="308">
        <f t="shared" si="28"/>
        <v>42408</v>
      </c>
      <c r="B45" s="309">
        <f t="shared" si="29"/>
        <v>42408</v>
      </c>
      <c r="C45" s="310">
        <f t="shared" si="45"/>
        <v>6</v>
      </c>
      <c r="D45" s="311">
        <f t="shared" si="46"/>
        <v>42400</v>
      </c>
      <c r="E45" s="321" t="str">
        <f t="shared" si="10"/>
        <v/>
      </c>
      <c r="F45" s="5"/>
      <c r="G45" s="6" t="str">
        <f t="shared" si="11"/>
        <v/>
      </c>
      <c r="H45" s="7"/>
      <c r="I45" s="7">
        <f t="shared" si="12"/>
        <v>0</v>
      </c>
      <c r="J45" s="113">
        <f t="shared" si="0"/>
        <v>0</v>
      </c>
      <c r="K45" s="7"/>
      <c r="L45" s="7">
        <f t="shared" si="13"/>
        <v>0</v>
      </c>
      <c r="M45" s="113">
        <f t="shared" si="14"/>
        <v>0</v>
      </c>
      <c r="N45" s="113"/>
      <c r="O45" s="113">
        <f t="shared" si="1"/>
        <v>0</v>
      </c>
      <c r="P45" s="113"/>
      <c r="Q45" s="113">
        <f t="shared" si="15"/>
        <v>0</v>
      </c>
      <c r="R45" s="113">
        <f t="shared" si="16"/>
        <v>0</v>
      </c>
      <c r="S45" s="113">
        <f t="shared" si="39"/>
        <v>0</v>
      </c>
      <c r="T45" s="113">
        <f t="shared" si="18"/>
        <v>0</v>
      </c>
      <c r="U45" s="113">
        <f t="shared" si="40"/>
        <v>0</v>
      </c>
      <c r="V45" s="146">
        <f t="shared" si="31"/>
        <v>0</v>
      </c>
      <c r="W45" s="66"/>
      <c r="X45" s="115">
        <f t="shared" si="2"/>
        <v>3.125E-2</v>
      </c>
      <c r="Y45" s="110">
        <f t="shared" si="19"/>
        <v>0</v>
      </c>
      <c r="Z45" s="111">
        <f t="shared" si="47"/>
        <v>0</v>
      </c>
      <c r="AA45" s="112">
        <f t="shared" si="20"/>
        <v>0</v>
      </c>
      <c r="AB45" s="67" t="str">
        <f t="shared" si="21"/>
        <v/>
      </c>
      <c r="AC45" s="193">
        <f t="shared" si="3"/>
        <v>0</v>
      </c>
      <c r="AD45" s="144" t="str">
        <f t="shared" si="4"/>
        <v/>
      </c>
      <c r="AE45" s="228">
        <f t="shared" si="43"/>
        <v>0</v>
      </c>
      <c r="AF45" s="110"/>
      <c r="AG45" s="110" t="str">
        <f t="shared" si="22"/>
        <v/>
      </c>
      <c r="AH45" s="68">
        <f t="shared" si="5"/>
        <v>0</v>
      </c>
      <c r="AI45" s="68">
        <f t="shared" si="6"/>
        <v>0</v>
      </c>
      <c r="AJ45" s="68" t="str">
        <f t="shared" si="7"/>
        <v/>
      </c>
      <c r="AK45">
        <f t="shared" si="8"/>
        <v>7</v>
      </c>
      <c r="AL45" s="122">
        <f>SUM($AD$6:AD45)</f>
        <v>0</v>
      </c>
      <c r="AM45" s="122">
        <f t="shared" ca="1" si="23"/>
        <v>0</v>
      </c>
      <c r="AN45" s="126">
        <f t="shared" si="33"/>
        <v>0</v>
      </c>
      <c r="AO45" s="126">
        <f t="shared" si="34"/>
        <v>0</v>
      </c>
      <c r="AP45" s="126">
        <f t="shared" si="35"/>
        <v>0</v>
      </c>
      <c r="AQ45" s="125">
        <f t="shared" si="24"/>
        <v>30</v>
      </c>
      <c r="AR45" s="125">
        <f t="shared" ca="1" si="25"/>
        <v>30</v>
      </c>
      <c r="AS45" s="135">
        <f t="shared" si="26"/>
        <v>0</v>
      </c>
      <c r="AT45" s="125">
        <f t="shared" si="27"/>
        <v>7</v>
      </c>
      <c r="AU45" t="b">
        <f>OR((F45&gt;0),(NOT(ISBLANK(H45))),SUM(H45:H$373),SUM(G45:G$373))</f>
        <v>0</v>
      </c>
      <c r="AV45" t="b">
        <f t="shared" ca="1" si="9"/>
        <v>1</v>
      </c>
      <c r="AX45" s="228">
        <f>SUM(AW$5:AW45)</f>
        <v>-2.9166666666666665</v>
      </c>
    </row>
    <row r="46" spans="1:50">
      <c r="A46" s="308">
        <f t="shared" si="28"/>
        <v>42409</v>
      </c>
      <c r="B46" s="309">
        <f t="shared" si="29"/>
        <v>42409</v>
      </c>
      <c r="C46" s="310">
        <f t="shared" si="45"/>
        <v>7</v>
      </c>
      <c r="D46" s="311">
        <f t="shared" si="46"/>
        <v>42400</v>
      </c>
      <c r="E46" s="321" t="str">
        <f t="shared" si="10"/>
        <v/>
      </c>
      <c r="F46" s="5"/>
      <c r="G46" s="6" t="str">
        <f t="shared" si="11"/>
        <v/>
      </c>
      <c r="H46" s="7"/>
      <c r="I46" s="7">
        <f t="shared" si="12"/>
        <v>0</v>
      </c>
      <c r="J46" s="113">
        <f t="shared" si="0"/>
        <v>0</v>
      </c>
      <c r="K46" s="7"/>
      <c r="L46" s="7">
        <f t="shared" si="13"/>
        <v>0</v>
      </c>
      <c r="M46" s="113">
        <f t="shared" si="14"/>
        <v>0</v>
      </c>
      <c r="N46" s="113"/>
      <c r="O46" s="113">
        <f t="shared" si="1"/>
        <v>0</v>
      </c>
      <c r="P46" s="113"/>
      <c r="Q46" s="113">
        <f t="shared" si="15"/>
        <v>0</v>
      </c>
      <c r="R46" s="113">
        <f t="shared" si="16"/>
        <v>0</v>
      </c>
      <c r="S46" s="113">
        <f t="shared" si="39"/>
        <v>0</v>
      </c>
      <c r="T46" s="113">
        <f t="shared" si="18"/>
        <v>0</v>
      </c>
      <c r="U46" s="113">
        <f t="shared" si="40"/>
        <v>0</v>
      </c>
      <c r="V46" s="146">
        <f t="shared" si="31"/>
        <v>0</v>
      </c>
      <c r="W46" s="66"/>
      <c r="X46" s="115">
        <f t="shared" si="2"/>
        <v>3.125E-2</v>
      </c>
      <c r="Y46" s="110">
        <f t="shared" si="19"/>
        <v>0</v>
      </c>
      <c r="Z46" s="111">
        <f t="shared" si="47"/>
        <v>0.29166666666666669</v>
      </c>
      <c r="AA46" s="112">
        <f t="shared" si="20"/>
        <v>0</v>
      </c>
      <c r="AB46" s="67" t="str">
        <f t="shared" si="21"/>
        <v/>
      </c>
      <c r="AC46" s="193">
        <f t="shared" si="3"/>
        <v>0</v>
      </c>
      <c r="AD46" s="144" t="str">
        <f t="shared" si="4"/>
        <v/>
      </c>
      <c r="AE46" s="228">
        <f t="shared" si="43"/>
        <v>0</v>
      </c>
      <c r="AF46" s="110"/>
      <c r="AG46" s="110" t="str">
        <f t="shared" si="22"/>
        <v/>
      </c>
      <c r="AH46" s="68">
        <f t="shared" si="5"/>
        <v>0</v>
      </c>
      <c r="AI46" s="68">
        <f t="shared" si="6"/>
        <v>0</v>
      </c>
      <c r="AJ46" s="68" t="str">
        <f t="shared" si="7"/>
        <v/>
      </c>
      <c r="AK46">
        <f t="shared" si="8"/>
        <v>1</v>
      </c>
      <c r="AL46" s="122">
        <f>SUM($AD$6:AD46)</f>
        <v>0</v>
      </c>
      <c r="AM46" s="122">
        <f t="shared" ca="1" si="23"/>
        <v>0</v>
      </c>
      <c r="AN46" s="126">
        <f t="shared" si="33"/>
        <v>0</v>
      </c>
      <c r="AO46" s="126">
        <f t="shared" si="34"/>
        <v>0</v>
      </c>
      <c r="AP46" s="126">
        <f t="shared" si="35"/>
        <v>0</v>
      </c>
      <c r="AQ46" s="125">
        <f t="shared" si="24"/>
        <v>30</v>
      </c>
      <c r="AR46" s="125">
        <f t="shared" ca="1" si="25"/>
        <v>30</v>
      </c>
      <c r="AS46" s="135">
        <f t="shared" si="26"/>
        <v>0</v>
      </c>
      <c r="AT46" s="125">
        <f t="shared" si="27"/>
        <v>0</v>
      </c>
      <c r="AU46" t="b">
        <f>OR((F46&gt;0),(NOT(ISBLANK(H46))),SUM(H46:H$373),SUM(G46:G$373))</f>
        <v>0</v>
      </c>
      <c r="AV46" t="b">
        <f t="shared" ca="1" si="9"/>
        <v>0</v>
      </c>
      <c r="AX46" s="228">
        <f>SUM(AW$5:AW46)</f>
        <v>-2.9166666666666665</v>
      </c>
    </row>
    <row r="47" spans="1:50">
      <c r="A47" s="308">
        <f t="shared" si="28"/>
        <v>42410</v>
      </c>
      <c r="B47" s="309">
        <f t="shared" si="29"/>
        <v>42410</v>
      </c>
      <c r="C47" s="310">
        <f t="shared" si="45"/>
        <v>7</v>
      </c>
      <c r="D47" s="311">
        <f t="shared" si="46"/>
        <v>42400</v>
      </c>
      <c r="E47" s="321" t="str">
        <f t="shared" si="10"/>
        <v/>
      </c>
      <c r="F47" s="5"/>
      <c r="G47" s="6" t="str">
        <f t="shared" si="11"/>
        <v/>
      </c>
      <c r="H47" s="7"/>
      <c r="I47" s="7">
        <f t="shared" si="12"/>
        <v>0</v>
      </c>
      <c r="J47" s="113">
        <f t="shared" si="0"/>
        <v>0</v>
      </c>
      <c r="K47" s="7"/>
      <c r="L47" s="7">
        <f t="shared" si="13"/>
        <v>0</v>
      </c>
      <c r="M47" s="113">
        <f t="shared" si="14"/>
        <v>0</v>
      </c>
      <c r="N47" s="113"/>
      <c r="O47" s="113">
        <f t="shared" si="1"/>
        <v>0</v>
      </c>
      <c r="P47" s="113"/>
      <c r="Q47" s="113">
        <f t="shared" si="15"/>
        <v>0</v>
      </c>
      <c r="R47" s="113">
        <f t="shared" si="16"/>
        <v>0</v>
      </c>
      <c r="S47" s="113">
        <f t="shared" si="39"/>
        <v>0</v>
      </c>
      <c r="T47" s="113">
        <f t="shared" si="18"/>
        <v>0</v>
      </c>
      <c r="U47" s="113">
        <f t="shared" si="40"/>
        <v>0</v>
      </c>
      <c r="V47" s="146">
        <f t="shared" si="31"/>
        <v>0</v>
      </c>
      <c r="W47" s="66"/>
      <c r="X47" s="115">
        <f t="shared" si="2"/>
        <v>3.125E-2</v>
      </c>
      <c r="Y47" s="110">
        <f t="shared" si="19"/>
        <v>0</v>
      </c>
      <c r="Z47" s="111">
        <f t="shared" si="47"/>
        <v>0.29166666666666669</v>
      </c>
      <c r="AA47" s="112">
        <f t="shared" si="20"/>
        <v>0</v>
      </c>
      <c r="AB47" s="67" t="str">
        <f t="shared" si="21"/>
        <v/>
      </c>
      <c r="AC47" s="193">
        <f t="shared" si="3"/>
        <v>0</v>
      </c>
      <c r="AD47" s="144" t="str">
        <f t="shared" si="4"/>
        <v/>
      </c>
      <c r="AE47" s="228">
        <f t="shared" si="43"/>
        <v>0</v>
      </c>
      <c r="AF47" s="110"/>
      <c r="AG47" s="110" t="str">
        <f t="shared" si="22"/>
        <v/>
      </c>
      <c r="AH47" s="68">
        <f t="shared" si="5"/>
        <v>0</v>
      </c>
      <c r="AI47" s="68">
        <f t="shared" si="6"/>
        <v>0</v>
      </c>
      <c r="AJ47" s="68" t="str">
        <f t="shared" si="7"/>
        <v/>
      </c>
      <c r="AK47">
        <f t="shared" si="8"/>
        <v>2</v>
      </c>
      <c r="AL47" s="122">
        <f>SUM($AD$6:AD47)</f>
        <v>0</v>
      </c>
      <c r="AM47" s="122">
        <f t="shared" ca="1" si="23"/>
        <v>0</v>
      </c>
      <c r="AN47" s="126">
        <f t="shared" si="33"/>
        <v>0</v>
      </c>
      <c r="AO47" s="126">
        <f t="shared" si="34"/>
        <v>0</v>
      </c>
      <c r="AP47" s="126">
        <f t="shared" si="35"/>
        <v>0</v>
      </c>
      <c r="AQ47" s="125">
        <f t="shared" si="24"/>
        <v>30</v>
      </c>
      <c r="AR47" s="125">
        <f t="shared" ca="1" si="25"/>
        <v>30</v>
      </c>
      <c r="AS47" s="135">
        <f t="shared" si="26"/>
        <v>0</v>
      </c>
      <c r="AT47" s="125">
        <f t="shared" si="27"/>
        <v>0</v>
      </c>
      <c r="AU47" t="b">
        <f>OR((F47&gt;0),(NOT(ISBLANK(H47))),SUM(H47:H$373),SUM(G47:G$373))</f>
        <v>0</v>
      </c>
      <c r="AV47" t="b">
        <f t="shared" ca="1" si="9"/>
        <v>0</v>
      </c>
      <c r="AX47" s="228">
        <f>SUM(AW$5:AW47)</f>
        <v>-2.9166666666666665</v>
      </c>
    </row>
    <row r="48" spans="1:50">
      <c r="A48" s="308">
        <f t="shared" si="28"/>
        <v>42411</v>
      </c>
      <c r="B48" s="309">
        <f t="shared" si="29"/>
        <v>42411</v>
      </c>
      <c r="C48" s="310">
        <f t="shared" si="45"/>
        <v>7</v>
      </c>
      <c r="D48" s="311">
        <f t="shared" si="46"/>
        <v>42400</v>
      </c>
      <c r="E48" s="321" t="str">
        <f t="shared" si="10"/>
        <v/>
      </c>
      <c r="F48" s="5"/>
      <c r="G48" s="6" t="str">
        <f t="shared" si="11"/>
        <v/>
      </c>
      <c r="H48" s="7"/>
      <c r="I48" s="7">
        <f t="shared" si="12"/>
        <v>0</v>
      </c>
      <c r="J48" s="113">
        <f t="shared" si="0"/>
        <v>0</v>
      </c>
      <c r="K48" s="7"/>
      <c r="L48" s="7">
        <f t="shared" si="13"/>
        <v>0</v>
      </c>
      <c r="M48" s="113">
        <f t="shared" si="14"/>
        <v>0</v>
      </c>
      <c r="N48" s="113"/>
      <c r="O48" s="113">
        <f t="shared" si="1"/>
        <v>0</v>
      </c>
      <c r="P48" s="113"/>
      <c r="Q48" s="113">
        <f t="shared" si="15"/>
        <v>0</v>
      </c>
      <c r="R48" s="113">
        <f t="shared" si="16"/>
        <v>0</v>
      </c>
      <c r="S48" s="113">
        <f t="shared" si="39"/>
        <v>0</v>
      </c>
      <c r="T48" s="113">
        <f t="shared" si="18"/>
        <v>0</v>
      </c>
      <c r="U48" s="113">
        <f t="shared" si="40"/>
        <v>0</v>
      </c>
      <c r="V48" s="146">
        <f t="shared" si="31"/>
        <v>0</v>
      </c>
      <c r="W48" s="66"/>
      <c r="X48" s="115">
        <f t="shared" si="2"/>
        <v>3.125E-2</v>
      </c>
      <c r="Y48" s="110">
        <f t="shared" si="19"/>
        <v>0</v>
      </c>
      <c r="Z48" s="111">
        <f t="shared" si="47"/>
        <v>0.29166666666666669</v>
      </c>
      <c r="AA48" s="112">
        <f t="shared" si="20"/>
        <v>0</v>
      </c>
      <c r="AB48" s="67" t="str">
        <f t="shared" si="21"/>
        <v/>
      </c>
      <c r="AC48" s="193">
        <f t="shared" si="3"/>
        <v>0</v>
      </c>
      <c r="AD48" s="144" t="str">
        <f t="shared" si="4"/>
        <v/>
      </c>
      <c r="AE48" s="228">
        <f t="shared" si="43"/>
        <v>0</v>
      </c>
      <c r="AF48" s="110"/>
      <c r="AG48" s="110" t="str">
        <f t="shared" si="22"/>
        <v/>
      </c>
      <c r="AH48" s="68">
        <f t="shared" si="5"/>
        <v>0</v>
      </c>
      <c r="AI48" s="68">
        <f t="shared" si="6"/>
        <v>0</v>
      </c>
      <c r="AJ48" s="68" t="str">
        <f t="shared" si="7"/>
        <v/>
      </c>
      <c r="AK48">
        <f t="shared" si="8"/>
        <v>3</v>
      </c>
      <c r="AL48" s="122">
        <f>SUM($AD$6:AD48)</f>
        <v>0</v>
      </c>
      <c r="AM48" s="122">
        <f t="shared" ca="1" si="23"/>
        <v>0</v>
      </c>
      <c r="AN48" s="126">
        <f t="shared" si="33"/>
        <v>0</v>
      </c>
      <c r="AO48" s="126">
        <f t="shared" si="34"/>
        <v>0</v>
      </c>
      <c r="AP48" s="126">
        <f t="shared" si="35"/>
        <v>0</v>
      </c>
      <c r="AQ48" s="125">
        <f t="shared" si="24"/>
        <v>30</v>
      </c>
      <c r="AR48" s="125">
        <f t="shared" ca="1" si="25"/>
        <v>30</v>
      </c>
      <c r="AS48" s="135">
        <f t="shared" si="26"/>
        <v>0</v>
      </c>
      <c r="AT48" s="125">
        <f t="shared" si="27"/>
        <v>0</v>
      </c>
      <c r="AU48" t="b">
        <f>OR((F48&gt;0),(NOT(ISBLANK(H48))),SUM(H48:H$373),SUM(G48:G$373))</f>
        <v>0</v>
      </c>
      <c r="AV48" t="b">
        <f t="shared" ca="1" si="9"/>
        <v>0</v>
      </c>
      <c r="AX48" s="228">
        <f>SUM(AW$5:AW48)</f>
        <v>-2.9166666666666665</v>
      </c>
    </row>
    <row r="49" spans="1:50">
      <c r="A49" s="308">
        <f t="shared" si="28"/>
        <v>42412</v>
      </c>
      <c r="B49" s="309">
        <f t="shared" si="29"/>
        <v>42412</v>
      </c>
      <c r="C49" s="310">
        <f t="shared" si="45"/>
        <v>7</v>
      </c>
      <c r="D49" s="311">
        <f t="shared" si="46"/>
        <v>42400</v>
      </c>
      <c r="E49" s="321" t="str">
        <f t="shared" si="10"/>
        <v/>
      </c>
      <c r="F49" s="5"/>
      <c r="G49" s="6" t="str">
        <f t="shared" si="11"/>
        <v/>
      </c>
      <c r="H49" s="7"/>
      <c r="I49" s="7">
        <f t="shared" si="12"/>
        <v>0</v>
      </c>
      <c r="J49" s="113">
        <f t="shared" si="0"/>
        <v>0</v>
      </c>
      <c r="K49" s="7"/>
      <c r="L49" s="7">
        <f t="shared" si="13"/>
        <v>0</v>
      </c>
      <c r="M49" s="113">
        <f t="shared" si="14"/>
        <v>0</v>
      </c>
      <c r="N49" s="113"/>
      <c r="O49" s="113">
        <f t="shared" si="1"/>
        <v>0</v>
      </c>
      <c r="P49" s="113"/>
      <c r="Q49" s="113">
        <f t="shared" si="15"/>
        <v>0</v>
      </c>
      <c r="R49" s="113">
        <f t="shared" si="16"/>
        <v>0</v>
      </c>
      <c r="S49" s="113">
        <f t="shared" si="39"/>
        <v>0</v>
      </c>
      <c r="T49" s="113">
        <f t="shared" si="18"/>
        <v>0</v>
      </c>
      <c r="U49" s="113">
        <f t="shared" si="40"/>
        <v>0</v>
      </c>
      <c r="V49" s="146">
        <f t="shared" si="31"/>
        <v>0</v>
      </c>
      <c r="W49" s="66"/>
      <c r="X49" s="115">
        <f t="shared" si="2"/>
        <v>3.125E-2</v>
      </c>
      <c r="Y49" s="110">
        <f t="shared" si="19"/>
        <v>0</v>
      </c>
      <c r="Z49" s="111">
        <f t="shared" si="47"/>
        <v>0.29166666666666669</v>
      </c>
      <c r="AA49" s="112">
        <f t="shared" si="20"/>
        <v>0</v>
      </c>
      <c r="AB49" s="67" t="str">
        <f t="shared" si="21"/>
        <v/>
      </c>
      <c r="AC49" s="193">
        <f t="shared" si="3"/>
        <v>0</v>
      </c>
      <c r="AD49" s="144" t="str">
        <f t="shared" si="4"/>
        <v/>
      </c>
      <c r="AE49" s="228">
        <f t="shared" si="43"/>
        <v>0</v>
      </c>
      <c r="AF49" s="110"/>
      <c r="AG49" s="110" t="str">
        <f t="shared" si="22"/>
        <v/>
      </c>
      <c r="AH49" s="68">
        <f t="shared" si="5"/>
        <v>0</v>
      </c>
      <c r="AI49" s="68">
        <f t="shared" si="6"/>
        <v>0</v>
      </c>
      <c r="AJ49" s="68" t="str">
        <f t="shared" si="7"/>
        <v/>
      </c>
      <c r="AK49">
        <f t="shared" si="8"/>
        <v>4</v>
      </c>
      <c r="AL49" s="122">
        <f>SUM($AD$6:AD49)</f>
        <v>0</v>
      </c>
      <c r="AM49" s="122">
        <f t="shared" ca="1" si="23"/>
        <v>0</v>
      </c>
      <c r="AN49" s="126">
        <f t="shared" si="33"/>
        <v>0</v>
      </c>
      <c r="AO49" s="126">
        <f t="shared" si="34"/>
        <v>0</v>
      </c>
      <c r="AP49" s="126">
        <f t="shared" si="35"/>
        <v>0</v>
      </c>
      <c r="AQ49" s="125">
        <f t="shared" si="24"/>
        <v>30</v>
      </c>
      <c r="AR49" s="125">
        <f t="shared" ca="1" si="25"/>
        <v>30</v>
      </c>
      <c r="AS49" s="135">
        <f t="shared" si="26"/>
        <v>0</v>
      </c>
      <c r="AT49" s="125">
        <f t="shared" si="27"/>
        <v>0</v>
      </c>
      <c r="AU49" t="b">
        <f>OR((F49&gt;0),(NOT(ISBLANK(H49))),SUM(H49:H$373),SUM(G49:G$373))</f>
        <v>0</v>
      </c>
      <c r="AV49" t="b">
        <f t="shared" ca="1" si="9"/>
        <v>0</v>
      </c>
      <c r="AX49" s="228">
        <f>SUM(AW$5:AW49)</f>
        <v>-2.9166666666666665</v>
      </c>
    </row>
    <row r="50" spans="1:50">
      <c r="A50" s="308">
        <f t="shared" si="28"/>
        <v>42413</v>
      </c>
      <c r="B50" s="309">
        <f t="shared" si="29"/>
        <v>42413</v>
      </c>
      <c r="C50" s="310">
        <f t="shared" si="45"/>
        <v>7</v>
      </c>
      <c r="D50" s="311">
        <f t="shared" si="46"/>
        <v>42400</v>
      </c>
      <c r="E50" s="321" t="str">
        <f t="shared" si="10"/>
        <v/>
      </c>
      <c r="F50" s="5"/>
      <c r="G50" s="6" t="str">
        <f t="shared" si="11"/>
        <v/>
      </c>
      <c r="H50" s="7"/>
      <c r="I50" s="7">
        <f t="shared" si="12"/>
        <v>0</v>
      </c>
      <c r="J50" s="113">
        <f t="shared" si="0"/>
        <v>0</v>
      </c>
      <c r="K50" s="7"/>
      <c r="L50" s="7">
        <f t="shared" si="13"/>
        <v>0</v>
      </c>
      <c r="M50" s="113">
        <f t="shared" si="14"/>
        <v>0</v>
      </c>
      <c r="N50" s="113"/>
      <c r="O50" s="113">
        <f t="shared" si="1"/>
        <v>0</v>
      </c>
      <c r="P50" s="113"/>
      <c r="Q50" s="113">
        <f t="shared" si="15"/>
        <v>0</v>
      </c>
      <c r="R50" s="113">
        <f t="shared" si="16"/>
        <v>0</v>
      </c>
      <c r="S50" s="113">
        <f t="shared" si="39"/>
        <v>0</v>
      </c>
      <c r="T50" s="113">
        <f t="shared" si="18"/>
        <v>0</v>
      </c>
      <c r="U50" s="113">
        <f t="shared" si="40"/>
        <v>0</v>
      </c>
      <c r="V50" s="146">
        <f t="shared" si="31"/>
        <v>0</v>
      </c>
      <c r="W50" s="66"/>
      <c r="X50" s="115">
        <f t="shared" si="2"/>
        <v>3.125E-2</v>
      </c>
      <c r="Y50" s="110">
        <f t="shared" si="19"/>
        <v>0</v>
      </c>
      <c r="Z50" s="111">
        <f t="shared" si="47"/>
        <v>0.29166666666666669</v>
      </c>
      <c r="AA50" s="112">
        <f t="shared" si="20"/>
        <v>0</v>
      </c>
      <c r="AB50" s="67" t="str">
        <f t="shared" si="21"/>
        <v/>
      </c>
      <c r="AC50" s="193">
        <f t="shared" si="3"/>
        <v>0</v>
      </c>
      <c r="AD50" s="144" t="str">
        <f t="shared" si="4"/>
        <v/>
      </c>
      <c r="AE50" s="228">
        <f t="shared" si="43"/>
        <v>0</v>
      </c>
      <c r="AF50" s="110"/>
      <c r="AG50" s="110" t="str">
        <f t="shared" si="22"/>
        <v/>
      </c>
      <c r="AH50" s="68">
        <f t="shared" si="5"/>
        <v>0</v>
      </c>
      <c r="AI50" s="68">
        <f t="shared" si="6"/>
        <v>0</v>
      </c>
      <c r="AJ50" s="68" t="str">
        <f t="shared" si="7"/>
        <v/>
      </c>
      <c r="AK50">
        <f t="shared" si="8"/>
        <v>5</v>
      </c>
      <c r="AL50" s="122">
        <f>SUM($AD$6:AD50)</f>
        <v>0</v>
      </c>
      <c r="AM50" s="122">
        <f t="shared" ca="1" si="23"/>
        <v>0</v>
      </c>
      <c r="AN50" s="126">
        <f t="shared" si="33"/>
        <v>0</v>
      </c>
      <c r="AO50" s="126">
        <f t="shared" si="34"/>
        <v>0</v>
      </c>
      <c r="AP50" s="126">
        <f t="shared" si="35"/>
        <v>0</v>
      </c>
      <c r="AQ50" s="125">
        <f t="shared" si="24"/>
        <v>30</v>
      </c>
      <c r="AR50" s="125">
        <f t="shared" ca="1" si="25"/>
        <v>30</v>
      </c>
      <c r="AS50" s="135">
        <f t="shared" si="26"/>
        <v>0</v>
      </c>
      <c r="AT50" s="125">
        <f t="shared" si="27"/>
        <v>0</v>
      </c>
      <c r="AU50" t="b">
        <f>OR((F50&gt;0),(NOT(ISBLANK(H50))),SUM(H50:H$373),SUM(G50:G$373))</f>
        <v>0</v>
      </c>
      <c r="AV50" t="b">
        <f t="shared" ca="1" si="9"/>
        <v>0</v>
      </c>
      <c r="AX50" s="228">
        <f>SUM(AW$5:AW50)</f>
        <v>-2.9166666666666665</v>
      </c>
    </row>
    <row r="51" spans="1:50">
      <c r="A51" s="308">
        <f t="shared" si="28"/>
        <v>42414</v>
      </c>
      <c r="B51" s="309">
        <f t="shared" si="29"/>
        <v>42414</v>
      </c>
      <c r="C51" s="310">
        <f t="shared" si="45"/>
        <v>7</v>
      </c>
      <c r="D51" s="311">
        <f t="shared" si="46"/>
        <v>42400</v>
      </c>
      <c r="E51" s="321" t="str">
        <f t="shared" si="10"/>
        <v/>
      </c>
      <c r="F51" s="5"/>
      <c r="G51" s="6" t="str">
        <f t="shared" si="11"/>
        <v/>
      </c>
      <c r="H51" s="7"/>
      <c r="I51" s="7">
        <f t="shared" si="12"/>
        <v>0</v>
      </c>
      <c r="J51" s="113">
        <f t="shared" si="0"/>
        <v>0</v>
      </c>
      <c r="K51" s="7"/>
      <c r="L51" s="7">
        <f t="shared" si="13"/>
        <v>0</v>
      </c>
      <c r="M51" s="113">
        <f t="shared" si="14"/>
        <v>0</v>
      </c>
      <c r="N51" s="113"/>
      <c r="O51" s="113">
        <f t="shared" si="1"/>
        <v>0</v>
      </c>
      <c r="P51" s="113"/>
      <c r="Q51" s="113">
        <f t="shared" si="15"/>
        <v>0</v>
      </c>
      <c r="R51" s="113">
        <f t="shared" si="16"/>
        <v>0</v>
      </c>
      <c r="S51" s="113">
        <f t="shared" si="39"/>
        <v>0</v>
      </c>
      <c r="T51" s="113">
        <f t="shared" si="18"/>
        <v>0</v>
      </c>
      <c r="U51" s="113">
        <f t="shared" si="40"/>
        <v>0</v>
      </c>
      <c r="V51" s="146">
        <f t="shared" si="31"/>
        <v>0</v>
      </c>
      <c r="W51" s="66"/>
      <c r="X51" s="115">
        <f t="shared" si="2"/>
        <v>3.125E-2</v>
      </c>
      <c r="Y51" s="110">
        <f t="shared" si="19"/>
        <v>0</v>
      </c>
      <c r="Z51" s="111">
        <f t="shared" si="47"/>
        <v>0</v>
      </c>
      <c r="AA51" s="112">
        <f t="shared" si="20"/>
        <v>0</v>
      </c>
      <c r="AB51" s="67" t="str">
        <f t="shared" si="21"/>
        <v/>
      </c>
      <c r="AC51" s="193">
        <f t="shared" si="3"/>
        <v>0</v>
      </c>
      <c r="AD51" s="144" t="str">
        <f t="shared" si="4"/>
        <v/>
      </c>
      <c r="AE51" s="228">
        <f t="shared" si="43"/>
        <v>0</v>
      </c>
      <c r="AF51" s="110"/>
      <c r="AG51" s="110" t="str">
        <f t="shared" si="22"/>
        <v/>
      </c>
      <c r="AH51" s="68">
        <f t="shared" si="5"/>
        <v>0</v>
      </c>
      <c r="AI51" s="68">
        <f t="shared" si="6"/>
        <v>0</v>
      </c>
      <c r="AJ51" s="68" t="str">
        <f t="shared" si="7"/>
        <v/>
      </c>
      <c r="AK51">
        <f t="shared" si="8"/>
        <v>6</v>
      </c>
      <c r="AL51" s="122">
        <f>SUM($AD$6:AD51)</f>
        <v>0</v>
      </c>
      <c r="AM51" s="122">
        <f t="shared" ca="1" si="23"/>
        <v>0</v>
      </c>
      <c r="AN51" s="126">
        <f t="shared" si="33"/>
        <v>0</v>
      </c>
      <c r="AO51" s="126">
        <f t="shared" si="34"/>
        <v>0</v>
      </c>
      <c r="AP51" s="126">
        <f t="shared" si="35"/>
        <v>0</v>
      </c>
      <c r="AQ51" s="125">
        <f t="shared" si="24"/>
        <v>30</v>
      </c>
      <c r="AR51" s="125">
        <f t="shared" ca="1" si="25"/>
        <v>30</v>
      </c>
      <c r="AS51" s="135">
        <f t="shared" si="26"/>
        <v>0</v>
      </c>
      <c r="AT51" s="125">
        <f t="shared" si="27"/>
        <v>7</v>
      </c>
      <c r="AU51" t="b">
        <f>OR((F51&gt;0),(NOT(ISBLANK(H51))),SUM(H51:H$373),SUM(G51:G$373))</f>
        <v>0</v>
      </c>
      <c r="AV51" t="b">
        <f t="shared" ca="1" si="9"/>
        <v>1</v>
      </c>
      <c r="AX51" s="228">
        <f>SUM(AW$5:AW51)</f>
        <v>-2.9166666666666665</v>
      </c>
    </row>
    <row r="52" spans="1:50">
      <c r="A52" s="308">
        <f t="shared" si="28"/>
        <v>42415</v>
      </c>
      <c r="B52" s="309">
        <f t="shared" si="29"/>
        <v>42415</v>
      </c>
      <c r="C52" s="310">
        <f t="shared" si="45"/>
        <v>7</v>
      </c>
      <c r="D52" s="311">
        <f t="shared" si="46"/>
        <v>42400</v>
      </c>
      <c r="E52" s="321" t="str">
        <f t="shared" si="10"/>
        <v/>
      </c>
      <c r="F52" s="5"/>
      <c r="G52" s="6" t="str">
        <f t="shared" si="11"/>
        <v/>
      </c>
      <c r="H52" s="7"/>
      <c r="I52" s="7">
        <f t="shared" si="12"/>
        <v>0</v>
      </c>
      <c r="J52" s="113">
        <f t="shared" si="0"/>
        <v>0</v>
      </c>
      <c r="K52" s="7"/>
      <c r="L52" s="7">
        <f t="shared" si="13"/>
        <v>0</v>
      </c>
      <c r="M52" s="113">
        <f t="shared" si="14"/>
        <v>0</v>
      </c>
      <c r="N52" s="113"/>
      <c r="O52" s="113">
        <f t="shared" si="1"/>
        <v>0</v>
      </c>
      <c r="P52" s="113"/>
      <c r="Q52" s="113">
        <f t="shared" si="15"/>
        <v>0</v>
      </c>
      <c r="R52" s="113">
        <f t="shared" si="16"/>
        <v>0</v>
      </c>
      <c r="S52" s="113">
        <f t="shared" si="39"/>
        <v>0</v>
      </c>
      <c r="T52" s="113">
        <f t="shared" si="18"/>
        <v>0</v>
      </c>
      <c r="U52" s="113">
        <f t="shared" si="40"/>
        <v>0</v>
      </c>
      <c r="V52" s="146">
        <f t="shared" si="31"/>
        <v>0</v>
      </c>
      <c r="W52" s="66"/>
      <c r="X52" s="115">
        <f t="shared" si="2"/>
        <v>3.125E-2</v>
      </c>
      <c r="Y52" s="110">
        <f t="shared" si="19"/>
        <v>0</v>
      </c>
      <c r="Z52" s="111">
        <f t="shared" si="47"/>
        <v>0</v>
      </c>
      <c r="AA52" s="112">
        <f t="shared" si="20"/>
        <v>0</v>
      </c>
      <c r="AB52" s="67" t="str">
        <f t="shared" si="21"/>
        <v/>
      </c>
      <c r="AC52" s="193">
        <f t="shared" si="3"/>
        <v>0</v>
      </c>
      <c r="AD52" s="144" t="str">
        <f t="shared" si="4"/>
        <v/>
      </c>
      <c r="AE52" s="228">
        <f t="shared" si="43"/>
        <v>0</v>
      </c>
      <c r="AF52" s="110"/>
      <c r="AG52" s="110" t="str">
        <f t="shared" si="22"/>
        <v/>
      </c>
      <c r="AH52" s="68">
        <f t="shared" si="5"/>
        <v>0</v>
      </c>
      <c r="AI52" s="68">
        <f t="shared" si="6"/>
        <v>0</v>
      </c>
      <c r="AJ52" s="68" t="str">
        <f t="shared" si="7"/>
        <v/>
      </c>
      <c r="AK52">
        <f t="shared" si="8"/>
        <v>7</v>
      </c>
      <c r="AL52" s="122">
        <f>SUM($AD$6:AD52)</f>
        <v>0</v>
      </c>
      <c r="AM52" s="122">
        <f t="shared" ca="1" si="23"/>
        <v>0</v>
      </c>
      <c r="AN52" s="126">
        <f t="shared" si="33"/>
        <v>0</v>
      </c>
      <c r="AO52" s="126">
        <f t="shared" si="34"/>
        <v>0</v>
      </c>
      <c r="AP52" s="126">
        <f t="shared" si="35"/>
        <v>0</v>
      </c>
      <c r="AQ52" s="125">
        <f t="shared" si="24"/>
        <v>30</v>
      </c>
      <c r="AR52" s="125">
        <f t="shared" ca="1" si="25"/>
        <v>30</v>
      </c>
      <c r="AS52" s="135">
        <f t="shared" si="26"/>
        <v>0</v>
      </c>
      <c r="AT52" s="125">
        <f t="shared" si="27"/>
        <v>7</v>
      </c>
      <c r="AU52" t="b">
        <f>OR((F52&gt;0),(NOT(ISBLANK(H52))),SUM(H52:H$373),SUM(G52:G$373))</f>
        <v>0</v>
      </c>
      <c r="AV52" t="b">
        <f t="shared" ca="1" si="9"/>
        <v>1</v>
      </c>
      <c r="AX52" s="228">
        <f>SUM(AW$5:AW52)</f>
        <v>-2.9166666666666665</v>
      </c>
    </row>
    <row r="53" spans="1:50">
      <c r="A53" s="308">
        <f t="shared" si="28"/>
        <v>42416</v>
      </c>
      <c r="B53" s="309">
        <f t="shared" si="29"/>
        <v>42416</v>
      </c>
      <c r="C53" s="310">
        <f t="shared" si="45"/>
        <v>8</v>
      </c>
      <c r="D53" s="311">
        <f t="shared" si="46"/>
        <v>42400</v>
      </c>
      <c r="E53" s="321" t="str">
        <f t="shared" si="10"/>
        <v/>
      </c>
      <c r="F53" s="5"/>
      <c r="G53" s="6" t="str">
        <f t="shared" si="11"/>
        <v/>
      </c>
      <c r="H53" s="7"/>
      <c r="I53" s="7">
        <f t="shared" si="12"/>
        <v>0</v>
      </c>
      <c r="J53" s="113">
        <f t="shared" si="0"/>
        <v>0</v>
      </c>
      <c r="K53" s="7"/>
      <c r="L53" s="7">
        <f t="shared" si="13"/>
        <v>0</v>
      </c>
      <c r="M53" s="113">
        <f t="shared" si="14"/>
        <v>0</v>
      </c>
      <c r="N53" s="113"/>
      <c r="O53" s="113">
        <f t="shared" si="1"/>
        <v>0</v>
      </c>
      <c r="P53" s="113"/>
      <c r="Q53" s="113">
        <f t="shared" si="15"/>
        <v>0</v>
      </c>
      <c r="R53" s="113">
        <f t="shared" si="16"/>
        <v>0</v>
      </c>
      <c r="S53" s="113">
        <f t="shared" si="39"/>
        <v>0</v>
      </c>
      <c r="T53" s="113">
        <f t="shared" si="18"/>
        <v>0</v>
      </c>
      <c r="U53" s="113">
        <f t="shared" si="40"/>
        <v>0</v>
      </c>
      <c r="V53" s="146">
        <f t="shared" si="31"/>
        <v>0</v>
      </c>
      <c r="W53" s="66"/>
      <c r="X53" s="115">
        <f t="shared" si="2"/>
        <v>3.125E-2</v>
      </c>
      <c r="Y53" s="110">
        <f t="shared" si="19"/>
        <v>0</v>
      </c>
      <c r="Z53" s="111">
        <f t="shared" si="47"/>
        <v>0.29166666666666669</v>
      </c>
      <c r="AA53" s="112">
        <f t="shared" si="20"/>
        <v>0</v>
      </c>
      <c r="AB53" s="67" t="str">
        <f t="shared" si="21"/>
        <v/>
      </c>
      <c r="AC53" s="193">
        <f t="shared" si="3"/>
        <v>0</v>
      </c>
      <c r="AD53" s="144" t="str">
        <f t="shared" si="4"/>
        <v/>
      </c>
      <c r="AE53" s="228">
        <f t="shared" si="43"/>
        <v>0</v>
      </c>
      <c r="AF53" s="110"/>
      <c r="AG53" s="110" t="str">
        <f t="shared" si="22"/>
        <v/>
      </c>
      <c r="AH53" s="68">
        <f t="shared" si="5"/>
        <v>0</v>
      </c>
      <c r="AI53" s="68">
        <f t="shared" si="6"/>
        <v>0</v>
      </c>
      <c r="AJ53" s="68" t="str">
        <f t="shared" si="7"/>
        <v/>
      </c>
      <c r="AK53">
        <f t="shared" si="8"/>
        <v>1</v>
      </c>
      <c r="AL53" s="122">
        <f>SUM($AD$6:AD53)</f>
        <v>0</v>
      </c>
      <c r="AM53" s="122">
        <f t="shared" ca="1" si="23"/>
        <v>0</v>
      </c>
      <c r="AN53" s="126">
        <f t="shared" si="33"/>
        <v>0</v>
      </c>
      <c r="AO53" s="126">
        <f t="shared" si="34"/>
        <v>0</v>
      </c>
      <c r="AP53" s="126">
        <f t="shared" si="35"/>
        <v>0</v>
      </c>
      <c r="AQ53" s="125">
        <f t="shared" si="24"/>
        <v>30</v>
      </c>
      <c r="AR53" s="125">
        <f t="shared" ca="1" si="25"/>
        <v>30</v>
      </c>
      <c r="AS53" s="135">
        <f t="shared" si="26"/>
        <v>0</v>
      </c>
      <c r="AT53" s="125">
        <f t="shared" si="27"/>
        <v>0</v>
      </c>
      <c r="AU53" t="b">
        <f>OR((F53&gt;0),(NOT(ISBLANK(H53))),SUM(H53:H$373),SUM(G53:G$373))</f>
        <v>0</v>
      </c>
      <c r="AV53" t="b">
        <f t="shared" ca="1" si="9"/>
        <v>0</v>
      </c>
      <c r="AX53" s="228">
        <f>SUM(AW$5:AW53)</f>
        <v>-2.9166666666666665</v>
      </c>
    </row>
    <row r="54" spans="1:50">
      <c r="A54" s="308">
        <f t="shared" si="28"/>
        <v>42417</v>
      </c>
      <c r="B54" s="309">
        <f t="shared" si="29"/>
        <v>42417</v>
      </c>
      <c r="C54" s="310">
        <f t="shared" si="45"/>
        <v>8</v>
      </c>
      <c r="D54" s="311">
        <f t="shared" si="46"/>
        <v>42400</v>
      </c>
      <c r="E54" s="321" t="str">
        <f t="shared" si="10"/>
        <v/>
      </c>
      <c r="F54" s="5"/>
      <c r="G54" s="6" t="str">
        <f t="shared" si="11"/>
        <v/>
      </c>
      <c r="H54" s="7"/>
      <c r="I54" s="7">
        <f t="shared" si="12"/>
        <v>0</v>
      </c>
      <c r="J54" s="113">
        <f t="shared" si="0"/>
        <v>0</v>
      </c>
      <c r="K54" s="7"/>
      <c r="L54" s="7">
        <f t="shared" si="13"/>
        <v>0</v>
      </c>
      <c r="M54" s="113">
        <f t="shared" si="14"/>
        <v>0</v>
      </c>
      <c r="N54" s="113"/>
      <c r="O54" s="113">
        <f t="shared" si="1"/>
        <v>0</v>
      </c>
      <c r="P54" s="113"/>
      <c r="Q54" s="113">
        <f t="shared" si="15"/>
        <v>0</v>
      </c>
      <c r="R54" s="113">
        <f t="shared" si="16"/>
        <v>0</v>
      </c>
      <c r="S54" s="113">
        <f t="shared" si="39"/>
        <v>0</v>
      </c>
      <c r="T54" s="113">
        <f t="shared" si="18"/>
        <v>0</v>
      </c>
      <c r="U54" s="113">
        <f t="shared" si="40"/>
        <v>0</v>
      </c>
      <c r="V54" s="146">
        <f t="shared" si="31"/>
        <v>0</v>
      </c>
      <c r="W54" s="66"/>
      <c r="X54" s="115">
        <f t="shared" si="2"/>
        <v>3.125E-2</v>
      </c>
      <c r="Y54" s="110">
        <f t="shared" si="19"/>
        <v>0</v>
      </c>
      <c r="Z54" s="111">
        <f t="shared" si="47"/>
        <v>0.29166666666666669</v>
      </c>
      <c r="AA54" s="112">
        <f t="shared" si="20"/>
        <v>0</v>
      </c>
      <c r="AB54" s="67" t="str">
        <f t="shared" si="21"/>
        <v/>
      </c>
      <c r="AC54" s="193">
        <f t="shared" si="3"/>
        <v>0</v>
      </c>
      <c r="AD54" s="144" t="str">
        <f t="shared" si="4"/>
        <v/>
      </c>
      <c r="AE54" s="228">
        <f t="shared" si="43"/>
        <v>0</v>
      </c>
      <c r="AF54" s="110"/>
      <c r="AG54" s="110" t="str">
        <f t="shared" si="22"/>
        <v/>
      </c>
      <c r="AH54" s="68">
        <f t="shared" si="5"/>
        <v>0</v>
      </c>
      <c r="AI54" s="68">
        <f t="shared" si="6"/>
        <v>0</v>
      </c>
      <c r="AJ54" s="68" t="str">
        <f t="shared" si="7"/>
        <v/>
      </c>
      <c r="AK54">
        <f t="shared" si="8"/>
        <v>2</v>
      </c>
      <c r="AL54" s="122">
        <f>SUM($AD$6:AD54)</f>
        <v>0</v>
      </c>
      <c r="AM54" s="122">
        <f t="shared" ca="1" si="23"/>
        <v>0</v>
      </c>
      <c r="AN54" s="126">
        <f t="shared" si="33"/>
        <v>0</v>
      </c>
      <c r="AO54" s="126">
        <f t="shared" si="34"/>
        <v>0</v>
      </c>
      <c r="AP54" s="126">
        <f t="shared" si="35"/>
        <v>0</v>
      </c>
      <c r="AQ54" s="125">
        <f t="shared" si="24"/>
        <v>30</v>
      </c>
      <c r="AR54" s="125">
        <f t="shared" ca="1" si="25"/>
        <v>30</v>
      </c>
      <c r="AS54" s="135">
        <f t="shared" si="26"/>
        <v>0</v>
      </c>
      <c r="AT54" s="125">
        <f t="shared" si="27"/>
        <v>0</v>
      </c>
      <c r="AU54" t="b">
        <f>OR((F54&gt;0),(NOT(ISBLANK(H54))),SUM(H54:H$373),SUM(G54:G$373))</f>
        <v>0</v>
      </c>
      <c r="AV54" t="b">
        <f t="shared" ca="1" si="9"/>
        <v>0</v>
      </c>
      <c r="AX54" s="228">
        <f>SUM(AW$5:AW54)</f>
        <v>-2.9166666666666665</v>
      </c>
    </row>
    <row r="55" spans="1:50">
      <c r="A55" s="308">
        <f t="shared" si="28"/>
        <v>42418</v>
      </c>
      <c r="B55" s="309">
        <f t="shared" si="29"/>
        <v>42418</v>
      </c>
      <c r="C55" s="310">
        <f t="shared" si="45"/>
        <v>8</v>
      </c>
      <c r="D55" s="311">
        <f t="shared" si="46"/>
        <v>42400</v>
      </c>
      <c r="E55" s="321" t="str">
        <f t="shared" si="10"/>
        <v/>
      </c>
      <c r="F55" s="5"/>
      <c r="G55" s="6" t="str">
        <f t="shared" si="11"/>
        <v/>
      </c>
      <c r="H55" s="7"/>
      <c r="I55" s="7">
        <f t="shared" si="12"/>
        <v>0</v>
      </c>
      <c r="J55" s="113">
        <f t="shared" si="0"/>
        <v>0</v>
      </c>
      <c r="K55" s="7"/>
      <c r="L55" s="7">
        <f t="shared" si="13"/>
        <v>0</v>
      </c>
      <c r="M55" s="113">
        <f t="shared" si="14"/>
        <v>0</v>
      </c>
      <c r="N55" s="113"/>
      <c r="O55" s="113">
        <f t="shared" si="1"/>
        <v>0</v>
      </c>
      <c r="P55" s="113"/>
      <c r="Q55" s="113">
        <f t="shared" si="15"/>
        <v>0</v>
      </c>
      <c r="R55" s="113">
        <f t="shared" si="16"/>
        <v>0</v>
      </c>
      <c r="S55" s="113">
        <f t="shared" si="39"/>
        <v>0</v>
      </c>
      <c r="T55" s="113">
        <f t="shared" si="18"/>
        <v>0</v>
      </c>
      <c r="U55" s="113">
        <f t="shared" si="40"/>
        <v>0</v>
      </c>
      <c r="V55" s="146">
        <f t="shared" si="31"/>
        <v>0</v>
      </c>
      <c r="W55" s="66"/>
      <c r="X55" s="115">
        <f t="shared" si="2"/>
        <v>3.125E-2</v>
      </c>
      <c r="Y55" s="110">
        <f t="shared" si="19"/>
        <v>0</v>
      </c>
      <c r="Z55" s="111">
        <f t="shared" si="47"/>
        <v>0.29166666666666669</v>
      </c>
      <c r="AA55" s="112">
        <f t="shared" si="20"/>
        <v>0</v>
      </c>
      <c r="AB55" s="67" t="str">
        <f t="shared" si="21"/>
        <v/>
      </c>
      <c r="AC55" s="193">
        <f t="shared" si="3"/>
        <v>0</v>
      </c>
      <c r="AD55" s="144" t="str">
        <f t="shared" si="4"/>
        <v/>
      </c>
      <c r="AE55" s="228">
        <f t="shared" si="43"/>
        <v>0</v>
      </c>
      <c r="AF55" s="110"/>
      <c r="AG55" s="110" t="str">
        <f t="shared" si="22"/>
        <v/>
      </c>
      <c r="AH55" s="68">
        <f t="shared" si="5"/>
        <v>0</v>
      </c>
      <c r="AI55" s="68">
        <f t="shared" si="6"/>
        <v>0</v>
      </c>
      <c r="AJ55" s="68" t="str">
        <f t="shared" si="7"/>
        <v/>
      </c>
      <c r="AK55">
        <f t="shared" si="8"/>
        <v>3</v>
      </c>
      <c r="AL55" s="122">
        <f>SUM($AD$6:AD55)</f>
        <v>0</v>
      </c>
      <c r="AM55" s="122">
        <f t="shared" ca="1" si="23"/>
        <v>0</v>
      </c>
      <c r="AN55" s="126">
        <f t="shared" si="33"/>
        <v>0</v>
      </c>
      <c r="AO55" s="126">
        <f t="shared" si="34"/>
        <v>0</v>
      </c>
      <c r="AP55" s="126">
        <f t="shared" si="35"/>
        <v>0</v>
      </c>
      <c r="AQ55" s="125">
        <f t="shared" si="24"/>
        <v>30</v>
      </c>
      <c r="AR55" s="125">
        <f t="shared" ca="1" si="25"/>
        <v>30</v>
      </c>
      <c r="AS55" s="135">
        <f t="shared" si="26"/>
        <v>0</v>
      </c>
      <c r="AT55" s="125">
        <f t="shared" si="27"/>
        <v>0</v>
      </c>
      <c r="AU55" t="b">
        <f>OR((F55&gt;0),(NOT(ISBLANK(H55))),SUM(H55:H$373),SUM(G55:G$373))</f>
        <v>0</v>
      </c>
      <c r="AV55" t="b">
        <f t="shared" ca="1" si="9"/>
        <v>0</v>
      </c>
      <c r="AX55" s="228">
        <f>SUM(AW$5:AW55)</f>
        <v>-2.9166666666666665</v>
      </c>
    </row>
    <row r="56" spans="1:50">
      <c r="A56" s="308">
        <f t="shared" si="28"/>
        <v>42419</v>
      </c>
      <c r="B56" s="309">
        <f t="shared" si="29"/>
        <v>42419</v>
      </c>
      <c r="C56" s="310">
        <f t="shared" si="45"/>
        <v>8</v>
      </c>
      <c r="D56" s="311">
        <f t="shared" si="46"/>
        <v>42400</v>
      </c>
      <c r="E56" s="321" t="str">
        <f t="shared" si="10"/>
        <v/>
      </c>
      <c r="F56" s="5"/>
      <c r="G56" s="6" t="str">
        <f t="shared" si="11"/>
        <v/>
      </c>
      <c r="H56" s="7"/>
      <c r="I56" s="7">
        <f t="shared" si="12"/>
        <v>0</v>
      </c>
      <c r="J56" s="113">
        <f t="shared" si="0"/>
        <v>0</v>
      </c>
      <c r="K56" s="7"/>
      <c r="L56" s="7">
        <f t="shared" si="13"/>
        <v>0</v>
      </c>
      <c r="M56" s="113">
        <f t="shared" si="14"/>
        <v>0</v>
      </c>
      <c r="N56" s="113"/>
      <c r="O56" s="113">
        <f t="shared" si="1"/>
        <v>0</v>
      </c>
      <c r="P56" s="113"/>
      <c r="Q56" s="113">
        <f t="shared" si="15"/>
        <v>0</v>
      </c>
      <c r="R56" s="113">
        <f t="shared" si="16"/>
        <v>0</v>
      </c>
      <c r="S56" s="113">
        <f t="shared" si="39"/>
        <v>0</v>
      </c>
      <c r="T56" s="113">
        <f t="shared" si="18"/>
        <v>0</v>
      </c>
      <c r="U56" s="113">
        <f t="shared" si="40"/>
        <v>0</v>
      </c>
      <c r="V56" s="146">
        <f t="shared" si="31"/>
        <v>0</v>
      </c>
      <c r="W56" s="66"/>
      <c r="X56" s="115">
        <f t="shared" si="2"/>
        <v>3.125E-2</v>
      </c>
      <c r="Y56" s="110">
        <f t="shared" si="19"/>
        <v>0</v>
      </c>
      <c r="Z56" s="111">
        <f t="shared" si="47"/>
        <v>0.29166666666666669</v>
      </c>
      <c r="AA56" s="112">
        <f t="shared" si="20"/>
        <v>0</v>
      </c>
      <c r="AB56" s="67" t="str">
        <f t="shared" si="21"/>
        <v/>
      </c>
      <c r="AC56" s="193">
        <f t="shared" si="3"/>
        <v>0</v>
      </c>
      <c r="AD56" s="144" t="str">
        <f t="shared" si="4"/>
        <v/>
      </c>
      <c r="AE56" s="228">
        <f t="shared" si="43"/>
        <v>0</v>
      </c>
      <c r="AF56" s="110"/>
      <c r="AG56" s="110" t="str">
        <f t="shared" si="22"/>
        <v/>
      </c>
      <c r="AH56" s="68">
        <f t="shared" si="5"/>
        <v>0</v>
      </c>
      <c r="AI56" s="68">
        <f t="shared" si="6"/>
        <v>0</v>
      </c>
      <c r="AJ56" s="68" t="str">
        <f t="shared" si="7"/>
        <v/>
      </c>
      <c r="AK56">
        <f t="shared" si="8"/>
        <v>4</v>
      </c>
      <c r="AL56" s="122">
        <f>SUM($AD$6:AD56)</f>
        <v>0</v>
      </c>
      <c r="AM56" s="122">
        <f t="shared" ca="1" si="23"/>
        <v>0</v>
      </c>
      <c r="AN56" s="126">
        <f t="shared" si="33"/>
        <v>0</v>
      </c>
      <c r="AO56" s="126">
        <f t="shared" si="34"/>
        <v>0</v>
      </c>
      <c r="AP56" s="126">
        <f t="shared" si="35"/>
        <v>0</v>
      </c>
      <c r="AQ56" s="125">
        <f t="shared" si="24"/>
        <v>30</v>
      </c>
      <c r="AR56" s="125">
        <f t="shared" ca="1" si="25"/>
        <v>30</v>
      </c>
      <c r="AS56" s="135">
        <f t="shared" si="26"/>
        <v>0</v>
      </c>
      <c r="AT56" s="125">
        <f t="shared" si="27"/>
        <v>0</v>
      </c>
      <c r="AU56" t="b">
        <f>OR((F56&gt;0),(NOT(ISBLANK(H56))),SUM(H56:H$373),SUM(G56:G$373))</f>
        <v>0</v>
      </c>
      <c r="AV56" t="b">
        <f t="shared" ca="1" si="9"/>
        <v>0</v>
      </c>
      <c r="AX56" s="228">
        <f>SUM(AW$5:AW56)</f>
        <v>-2.9166666666666665</v>
      </c>
    </row>
    <row r="57" spans="1:50">
      <c r="A57" s="308">
        <f t="shared" si="28"/>
        <v>42420</v>
      </c>
      <c r="B57" s="309">
        <f t="shared" si="29"/>
        <v>42420</v>
      </c>
      <c r="C57" s="310">
        <f t="shared" si="45"/>
        <v>8</v>
      </c>
      <c r="D57" s="311">
        <f t="shared" si="46"/>
        <v>42400</v>
      </c>
      <c r="E57" s="321" t="str">
        <f t="shared" si="10"/>
        <v/>
      </c>
      <c r="F57" s="5"/>
      <c r="G57" s="6" t="str">
        <f t="shared" si="11"/>
        <v/>
      </c>
      <c r="H57" s="7"/>
      <c r="I57" s="7">
        <f t="shared" si="12"/>
        <v>0</v>
      </c>
      <c r="J57" s="113">
        <f t="shared" si="0"/>
        <v>0</v>
      </c>
      <c r="K57" s="7"/>
      <c r="L57" s="7">
        <f t="shared" si="13"/>
        <v>0</v>
      </c>
      <c r="M57" s="113">
        <f t="shared" si="14"/>
        <v>0</v>
      </c>
      <c r="N57" s="113"/>
      <c r="O57" s="113">
        <f t="shared" si="1"/>
        <v>0</v>
      </c>
      <c r="P57" s="113"/>
      <c r="Q57" s="113">
        <f t="shared" si="15"/>
        <v>0</v>
      </c>
      <c r="R57" s="113">
        <f t="shared" si="16"/>
        <v>0</v>
      </c>
      <c r="S57" s="113">
        <f t="shared" si="39"/>
        <v>0</v>
      </c>
      <c r="T57" s="113">
        <f t="shared" si="18"/>
        <v>0</v>
      </c>
      <c r="U57" s="113">
        <f t="shared" si="40"/>
        <v>0</v>
      </c>
      <c r="V57" s="146">
        <f t="shared" si="31"/>
        <v>0</v>
      </c>
      <c r="W57" s="66"/>
      <c r="X57" s="115">
        <f t="shared" si="2"/>
        <v>3.125E-2</v>
      </c>
      <c r="Y57" s="110">
        <f t="shared" si="19"/>
        <v>0</v>
      </c>
      <c r="Z57" s="111">
        <f t="shared" si="47"/>
        <v>0.29166666666666669</v>
      </c>
      <c r="AA57" s="112">
        <f t="shared" si="20"/>
        <v>0</v>
      </c>
      <c r="AB57" s="67" t="str">
        <f t="shared" si="21"/>
        <v/>
      </c>
      <c r="AC57" s="193">
        <f t="shared" si="3"/>
        <v>0</v>
      </c>
      <c r="AD57" s="144" t="str">
        <f t="shared" si="4"/>
        <v/>
      </c>
      <c r="AE57" s="228">
        <f t="shared" si="43"/>
        <v>0</v>
      </c>
      <c r="AF57" s="110"/>
      <c r="AG57" s="110" t="str">
        <f t="shared" si="22"/>
        <v/>
      </c>
      <c r="AH57" s="68">
        <f t="shared" si="5"/>
        <v>0</v>
      </c>
      <c r="AI57" s="68">
        <f t="shared" si="6"/>
        <v>0</v>
      </c>
      <c r="AJ57" s="68" t="str">
        <f t="shared" si="7"/>
        <v/>
      </c>
      <c r="AK57">
        <f t="shared" si="8"/>
        <v>5</v>
      </c>
      <c r="AL57" s="122">
        <f>SUM($AD$6:AD57)</f>
        <v>0</v>
      </c>
      <c r="AM57" s="122">
        <f t="shared" ca="1" si="23"/>
        <v>0</v>
      </c>
      <c r="AN57" s="126">
        <f t="shared" si="33"/>
        <v>0</v>
      </c>
      <c r="AO57" s="126">
        <f t="shared" si="34"/>
        <v>0</v>
      </c>
      <c r="AP57" s="126">
        <f t="shared" si="35"/>
        <v>0</v>
      </c>
      <c r="AQ57" s="125">
        <f t="shared" si="24"/>
        <v>30</v>
      </c>
      <c r="AR57" s="125">
        <f t="shared" ca="1" si="25"/>
        <v>30</v>
      </c>
      <c r="AS57" s="135">
        <f t="shared" si="26"/>
        <v>0</v>
      </c>
      <c r="AT57" s="125">
        <f t="shared" si="27"/>
        <v>0</v>
      </c>
      <c r="AU57" t="b">
        <f>OR((F57&gt;0),(NOT(ISBLANK(H57))),SUM(H57:H$373),SUM(G57:G$373))</f>
        <v>0</v>
      </c>
      <c r="AV57" t="b">
        <f t="shared" ca="1" si="9"/>
        <v>0</v>
      </c>
      <c r="AX57" s="228">
        <f>SUM(AW$5:AW57)</f>
        <v>-2.9166666666666665</v>
      </c>
    </row>
    <row r="58" spans="1:50">
      <c r="A58" s="308">
        <f t="shared" si="28"/>
        <v>42421</v>
      </c>
      <c r="B58" s="309">
        <f t="shared" si="29"/>
        <v>42421</v>
      </c>
      <c r="C58" s="310">
        <f t="shared" si="45"/>
        <v>8</v>
      </c>
      <c r="D58" s="311">
        <f t="shared" si="46"/>
        <v>42400</v>
      </c>
      <c r="E58" s="321" t="str">
        <f t="shared" si="10"/>
        <v/>
      </c>
      <c r="F58" s="5"/>
      <c r="G58" s="6" t="str">
        <f t="shared" si="11"/>
        <v/>
      </c>
      <c r="H58" s="7"/>
      <c r="I58" s="7">
        <f t="shared" si="12"/>
        <v>0</v>
      </c>
      <c r="J58" s="113">
        <f t="shared" si="0"/>
        <v>0</v>
      </c>
      <c r="K58" s="7"/>
      <c r="L58" s="7">
        <f t="shared" si="13"/>
        <v>0</v>
      </c>
      <c r="M58" s="113">
        <f t="shared" si="14"/>
        <v>0</v>
      </c>
      <c r="N58" s="113"/>
      <c r="O58" s="113">
        <f t="shared" si="1"/>
        <v>0</v>
      </c>
      <c r="P58" s="113"/>
      <c r="Q58" s="113">
        <f t="shared" si="15"/>
        <v>0</v>
      </c>
      <c r="R58" s="113">
        <f t="shared" si="16"/>
        <v>0</v>
      </c>
      <c r="S58" s="113">
        <f t="shared" si="39"/>
        <v>0</v>
      </c>
      <c r="T58" s="113">
        <f t="shared" si="18"/>
        <v>0</v>
      </c>
      <c r="U58" s="113">
        <f t="shared" si="40"/>
        <v>0</v>
      </c>
      <c r="V58" s="146">
        <f t="shared" si="31"/>
        <v>0</v>
      </c>
      <c r="W58" s="66"/>
      <c r="X58" s="115">
        <f t="shared" si="2"/>
        <v>3.125E-2</v>
      </c>
      <c r="Y58" s="110">
        <f t="shared" si="19"/>
        <v>0</v>
      </c>
      <c r="Z58" s="111">
        <f t="shared" si="47"/>
        <v>0</v>
      </c>
      <c r="AA58" s="112">
        <f t="shared" si="20"/>
        <v>0</v>
      </c>
      <c r="AB58" s="67" t="str">
        <f t="shared" si="21"/>
        <v/>
      </c>
      <c r="AC58" s="193">
        <f t="shared" si="3"/>
        <v>0</v>
      </c>
      <c r="AD58" s="144" t="str">
        <f t="shared" si="4"/>
        <v/>
      </c>
      <c r="AE58" s="228">
        <f t="shared" si="43"/>
        <v>0</v>
      </c>
      <c r="AF58" s="110"/>
      <c r="AG58" s="110" t="str">
        <f t="shared" si="22"/>
        <v/>
      </c>
      <c r="AH58" s="68">
        <f t="shared" si="5"/>
        <v>0</v>
      </c>
      <c r="AI58" s="68">
        <f t="shared" si="6"/>
        <v>0</v>
      </c>
      <c r="AJ58" s="68" t="str">
        <f t="shared" si="7"/>
        <v/>
      </c>
      <c r="AK58">
        <f t="shared" si="8"/>
        <v>6</v>
      </c>
      <c r="AL58" s="122">
        <f>SUM($AD$6:AD58)</f>
        <v>0</v>
      </c>
      <c r="AM58" s="122">
        <f t="shared" ca="1" si="23"/>
        <v>0</v>
      </c>
      <c r="AN58" s="126">
        <f t="shared" si="33"/>
        <v>0</v>
      </c>
      <c r="AO58" s="126">
        <f t="shared" si="34"/>
        <v>0</v>
      </c>
      <c r="AP58" s="126">
        <f t="shared" si="35"/>
        <v>0</v>
      </c>
      <c r="AQ58" s="125">
        <f t="shared" si="24"/>
        <v>30</v>
      </c>
      <c r="AR58" s="125">
        <f t="shared" ca="1" si="25"/>
        <v>30</v>
      </c>
      <c r="AS58" s="135">
        <f t="shared" si="26"/>
        <v>0</v>
      </c>
      <c r="AT58" s="125">
        <f t="shared" si="27"/>
        <v>7</v>
      </c>
      <c r="AU58" t="b">
        <f>OR((F58&gt;0),(NOT(ISBLANK(H58))),SUM(H58:H$373),SUM(G58:G$373))</f>
        <v>0</v>
      </c>
      <c r="AV58" t="b">
        <f t="shared" ca="1" si="9"/>
        <v>1</v>
      </c>
      <c r="AX58" s="228">
        <f>SUM(AW$5:AW58)</f>
        <v>-2.9166666666666665</v>
      </c>
    </row>
    <row r="59" spans="1:50">
      <c r="A59" s="308">
        <f t="shared" si="28"/>
        <v>42422</v>
      </c>
      <c r="B59" s="309">
        <f t="shared" si="29"/>
        <v>42422</v>
      </c>
      <c r="C59" s="310">
        <f t="shared" si="45"/>
        <v>8</v>
      </c>
      <c r="D59" s="311">
        <f t="shared" si="46"/>
        <v>42400</v>
      </c>
      <c r="E59" s="321" t="str">
        <f t="shared" si="10"/>
        <v/>
      </c>
      <c r="F59" s="5"/>
      <c r="G59" s="6" t="str">
        <f t="shared" si="11"/>
        <v/>
      </c>
      <c r="H59" s="7"/>
      <c r="I59" s="7">
        <f t="shared" si="12"/>
        <v>0</v>
      </c>
      <c r="J59" s="113">
        <f t="shared" si="0"/>
        <v>0</v>
      </c>
      <c r="K59" s="7"/>
      <c r="L59" s="7">
        <f t="shared" si="13"/>
        <v>0</v>
      </c>
      <c r="M59" s="113">
        <f t="shared" si="14"/>
        <v>0</v>
      </c>
      <c r="N59" s="113"/>
      <c r="O59" s="113">
        <f t="shared" si="1"/>
        <v>0</v>
      </c>
      <c r="P59" s="113"/>
      <c r="Q59" s="113">
        <f t="shared" si="15"/>
        <v>0</v>
      </c>
      <c r="R59" s="113">
        <f t="shared" si="16"/>
        <v>0</v>
      </c>
      <c r="S59" s="113">
        <f t="shared" si="39"/>
        <v>0</v>
      </c>
      <c r="T59" s="113">
        <f t="shared" si="18"/>
        <v>0</v>
      </c>
      <c r="U59" s="113">
        <f t="shared" si="40"/>
        <v>0</v>
      </c>
      <c r="V59" s="146">
        <f t="shared" si="31"/>
        <v>0</v>
      </c>
      <c r="W59" s="66"/>
      <c r="X59" s="115">
        <f t="shared" si="2"/>
        <v>3.125E-2</v>
      </c>
      <c r="Y59" s="110">
        <f t="shared" si="19"/>
        <v>0</v>
      </c>
      <c r="Z59" s="111">
        <f t="shared" si="47"/>
        <v>0</v>
      </c>
      <c r="AA59" s="112">
        <f t="shared" si="20"/>
        <v>0</v>
      </c>
      <c r="AB59" s="67" t="str">
        <f t="shared" si="21"/>
        <v/>
      </c>
      <c r="AC59" s="193">
        <f t="shared" si="3"/>
        <v>0</v>
      </c>
      <c r="AD59" s="144" t="str">
        <f t="shared" si="4"/>
        <v/>
      </c>
      <c r="AE59" s="228">
        <f t="shared" si="43"/>
        <v>0</v>
      </c>
      <c r="AF59" s="110"/>
      <c r="AG59" s="110" t="str">
        <f t="shared" si="22"/>
        <v/>
      </c>
      <c r="AH59" s="68">
        <f t="shared" si="5"/>
        <v>0</v>
      </c>
      <c r="AI59" s="68">
        <f t="shared" si="6"/>
        <v>0</v>
      </c>
      <c r="AJ59" s="68" t="str">
        <f t="shared" si="7"/>
        <v/>
      </c>
      <c r="AK59">
        <f t="shared" si="8"/>
        <v>7</v>
      </c>
      <c r="AL59" s="122">
        <f>SUM($AD$6:AD59)</f>
        <v>0</v>
      </c>
      <c r="AM59" s="122">
        <f t="shared" ca="1" si="23"/>
        <v>0</v>
      </c>
      <c r="AN59" s="126">
        <f t="shared" si="33"/>
        <v>0</v>
      </c>
      <c r="AO59" s="126">
        <f t="shared" si="34"/>
        <v>0</v>
      </c>
      <c r="AP59" s="126">
        <f t="shared" si="35"/>
        <v>0</v>
      </c>
      <c r="AQ59" s="125">
        <f t="shared" si="24"/>
        <v>30</v>
      </c>
      <c r="AR59" s="125">
        <f t="shared" ca="1" si="25"/>
        <v>30</v>
      </c>
      <c r="AS59" s="135">
        <f t="shared" si="26"/>
        <v>0</v>
      </c>
      <c r="AT59" s="125">
        <f t="shared" si="27"/>
        <v>7</v>
      </c>
      <c r="AU59" t="b">
        <f>OR((F59&gt;0),(NOT(ISBLANK(H59))),SUM(H59:H$373),SUM(G59:G$373))</f>
        <v>0</v>
      </c>
      <c r="AV59" t="b">
        <f t="shared" ca="1" si="9"/>
        <v>1</v>
      </c>
      <c r="AX59" s="228">
        <f>SUM(AW$5:AW59)</f>
        <v>-2.9166666666666665</v>
      </c>
    </row>
    <row r="60" spans="1:50">
      <c r="A60" s="308">
        <f t="shared" si="28"/>
        <v>42423</v>
      </c>
      <c r="B60" s="309">
        <f t="shared" si="29"/>
        <v>42423</v>
      </c>
      <c r="C60" s="310">
        <f t="shared" si="45"/>
        <v>9</v>
      </c>
      <c r="D60" s="311">
        <f t="shared" si="46"/>
        <v>42400</v>
      </c>
      <c r="E60" s="321" t="str">
        <f t="shared" si="10"/>
        <v/>
      </c>
      <c r="F60" s="5"/>
      <c r="G60" s="6" t="str">
        <f t="shared" si="11"/>
        <v/>
      </c>
      <c r="H60" s="7"/>
      <c r="I60" s="7">
        <f t="shared" si="12"/>
        <v>0</v>
      </c>
      <c r="J60" s="113">
        <f t="shared" si="0"/>
        <v>0</v>
      </c>
      <c r="K60" s="7"/>
      <c r="L60" s="7">
        <f t="shared" si="13"/>
        <v>0</v>
      </c>
      <c r="M60" s="113">
        <f t="shared" si="14"/>
        <v>0</v>
      </c>
      <c r="N60" s="113"/>
      <c r="O60" s="113">
        <f t="shared" si="1"/>
        <v>0</v>
      </c>
      <c r="P60" s="113"/>
      <c r="Q60" s="113">
        <f t="shared" si="15"/>
        <v>0</v>
      </c>
      <c r="R60" s="113">
        <f t="shared" si="16"/>
        <v>0</v>
      </c>
      <c r="S60" s="113">
        <f t="shared" si="39"/>
        <v>0</v>
      </c>
      <c r="T60" s="113">
        <f t="shared" si="18"/>
        <v>0</v>
      </c>
      <c r="U60" s="113">
        <f t="shared" si="40"/>
        <v>0</v>
      </c>
      <c r="V60" s="146">
        <f t="shared" si="31"/>
        <v>0</v>
      </c>
      <c r="W60" s="66"/>
      <c r="X60" s="115">
        <f t="shared" si="2"/>
        <v>3.125E-2</v>
      </c>
      <c r="Y60" s="110">
        <f t="shared" si="19"/>
        <v>0</v>
      </c>
      <c r="Z60" s="111">
        <f t="shared" si="47"/>
        <v>0.29166666666666669</v>
      </c>
      <c r="AA60" s="112">
        <f t="shared" si="20"/>
        <v>0</v>
      </c>
      <c r="AB60" s="67" t="str">
        <f t="shared" si="21"/>
        <v/>
      </c>
      <c r="AC60" s="193">
        <f t="shared" si="3"/>
        <v>0</v>
      </c>
      <c r="AD60" s="144" t="str">
        <f t="shared" si="4"/>
        <v/>
      </c>
      <c r="AE60" s="228">
        <f t="shared" si="43"/>
        <v>0</v>
      </c>
      <c r="AF60" s="110"/>
      <c r="AG60" s="110" t="str">
        <f t="shared" si="22"/>
        <v/>
      </c>
      <c r="AH60" s="68">
        <f t="shared" si="5"/>
        <v>0</v>
      </c>
      <c r="AI60" s="68">
        <f t="shared" si="6"/>
        <v>0</v>
      </c>
      <c r="AJ60" s="68" t="str">
        <f t="shared" si="7"/>
        <v/>
      </c>
      <c r="AK60">
        <f t="shared" si="8"/>
        <v>1</v>
      </c>
      <c r="AL60" s="122">
        <f>SUM($AD$6:AD60)</f>
        <v>0</v>
      </c>
      <c r="AM60" s="122">
        <f t="shared" ca="1" si="23"/>
        <v>0</v>
      </c>
      <c r="AN60" s="126">
        <f t="shared" si="33"/>
        <v>0</v>
      </c>
      <c r="AO60" s="126">
        <f t="shared" si="34"/>
        <v>0</v>
      </c>
      <c r="AP60" s="126">
        <f t="shared" si="35"/>
        <v>0</v>
      </c>
      <c r="AQ60" s="125">
        <f t="shared" si="24"/>
        <v>30</v>
      </c>
      <c r="AR60" s="125">
        <f t="shared" ca="1" si="25"/>
        <v>30</v>
      </c>
      <c r="AS60" s="135">
        <f t="shared" si="26"/>
        <v>0</v>
      </c>
      <c r="AT60" s="125">
        <f t="shared" si="27"/>
        <v>0</v>
      </c>
      <c r="AU60" t="b">
        <f>OR((F60&gt;0),(NOT(ISBLANK(H60))),SUM(H60:H$373),SUM(G60:G$373))</f>
        <v>0</v>
      </c>
      <c r="AV60" t="b">
        <f t="shared" ca="1" si="9"/>
        <v>0</v>
      </c>
      <c r="AX60" s="228">
        <f>SUM(AW$5:AW60)</f>
        <v>-2.9166666666666665</v>
      </c>
    </row>
    <row r="61" spans="1:50">
      <c r="A61" s="308">
        <f t="shared" si="28"/>
        <v>42424</v>
      </c>
      <c r="B61" s="309">
        <f t="shared" si="29"/>
        <v>42424</v>
      </c>
      <c r="C61" s="310">
        <f t="shared" si="45"/>
        <v>9</v>
      </c>
      <c r="D61" s="311">
        <f t="shared" si="46"/>
        <v>42400</v>
      </c>
      <c r="E61" s="321" t="str">
        <f t="shared" si="10"/>
        <v/>
      </c>
      <c r="F61" s="5"/>
      <c r="G61" s="6" t="str">
        <f t="shared" si="11"/>
        <v/>
      </c>
      <c r="H61" s="7"/>
      <c r="I61" s="7">
        <f t="shared" si="12"/>
        <v>0</v>
      </c>
      <c r="J61" s="113">
        <f t="shared" si="0"/>
        <v>0</v>
      </c>
      <c r="K61" s="7"/>
      <c r="L61" s="7">
        <f t="shared" si="13"/>
        <v>0</v>
      </c>
      <c r="M61" s="113">
        <f t="shared" si="14"/>
        <v>0</v>
      </c>
      <c r="N61" s="113"/>
      <c r="O61" s="113">
        <f t="shared" si="1"/>
        <v>0</v>
      </c>
      <c r="P61" s="113"/>
      <c r="Q61" s="113">
        <f t="shared" si="15"/>
        <v>0</v>
      </c>
      <c r="R61" s="113">
        <f t="shared" si="16"/>
        <v>0</v>
      </c>
      <c r="S61" s="113">
        <f t="shared" si="39"/>
        <v>0</v>
      </c>
      <c r="T61" s="113">
        <f t="shared" si="18"/>
        <v>0</v>
      </c>
      <c r="U61" s="113">
        <f t="shared" si="40"/>
        <v>0</v>
      </c>
      <c r="V61" s="146">
        <f t="shared" si="31"/>
        <v>0</v>
      </c>
      <c r="W61" s="66"/>
      <c r="X61" s="115">
        <f t="shared" si="2"/>
        <v>3.125E-2</v>
      </c>
      <c r="Y61" s="110">
        <f t="shared" si="19"/>
        <v>0</v>
      </c>
      <c r="Z61" s="111">
        <f t="shared" si="47"/>
        <v>0.29166666666666669</v>
      </c>
      <c r="AA61" s="112">
        <f t="shared" si="20"/>
        <v>0</v>
      </c>
      <c r="AB61" s="67" t="str">
        <f t="shared" si="21"/>
        <v/>
      </c>
      <c r="AC61" s="193">
        <f t="shared" si="3"/>
        <v>0</v>
      </c>
      <c r="AD61" s="144" t="str">
        <f t="shared" si="4"/>
        <v/>
      </c>
      <c r="AE61" s="228">
        <f t="shared" si="43"/>
        <v>0</v>
      </c>
      <c r="AF61" s="110"/>
      <c r="AG61" s="110" t="str">
        <f t="shared" si="22"/>
        <v/>
      </c>
      <c r="AH61" s="68">
        <f t="shared" si="5"/>
        <v>0</v>
      </c>
      <c r="AI61" s="68">
        <f t="shared" si="6"/>
        <v>0</v>
      </c>
      <c r="AJ61" s="68" t="str">
        <f t="shared" si="7"/>
        <v/>
      </c>
      <c r="AK61">
        <f t="shared" si="8"/>
        <v>2</v>
      </c>
      <c r="AL61" s="122">
        <f>SUM($AD$6:AD61)</f>
        <v>0</v>
      </c>
      <c r="AM61" s="122">
        <f t="shared" ca="1" si="23"/>
        <v>0</v>
      </c>
      <c r="AN61" s="126">
        <f t="shared" si="33"/>
        <v>0</v>
      </c>
      <c r="AO61" s="126">
        <f t="shared" si="34"/>
        <v>0</v>
      </c>
      <c r="AP61" s="126">
        <f t="shared" si="35"/>
        <v>0</v>
      </c>
      <c r="AQ61" s="125">
        <f t="shared" si="24"/>
        <v>30</v>
      </c>
      <c r="AR61" s="125">
        <f t="shared" ca="1" si="25"/>
        <v>30</v>
      </c>
      <c r="AS61" s="135">
        <f t="shared" si="26"/>
        <v>0</v>
      </c>
      <c r="AT61" s="125">
        <f t="shared" si="27"/>
        <v>0</v>
      </c>
      <c r="AU61" t="b">
        <f>OR((F61&gt;0),(NOT(ISBLANK(H61))),SUM(H61:H$373),SUM(G61:G$373))</f>
        <v>0</v>
      </c>
      <c r="AV61" t="b">
        <f t="shared" ca="1" si="9"/>
        <v>0</v>
      </c>
      <c r="AX61" s="228">
        <f>SUM(AW$5:AW61)</f>
        <v>-2.9166666666666665</v>
      </c>
    </row>
    <row r="62" spans="1:50">
      <c r="A62" s="308">
        <f t="shared" si="28"/>
        <v>42425</v>
      </c>
      <c r="B62" s="309">
        <f t="shared" si="29"/>
        <v>42425</v>
      </c>
      <c r="C62" s="310">
        <f t="shared" si="45"/>
        <v>9</v>
      </c>
      <c r="D62" s="311">
        <f t="shared" si="46"/>
        <v>42400</v>
      </c>
      <c r="E62" s="321" t="str">
        <f t="shared" si="10"/>
        <v/>
      </c>
      <c r="F62" s="5"/>
      <c r="G62" s="6" t="str">
        <f t="shared" si="11"/>
        <v/>
      </c>
      <c r="H62" s="7"/>
      <c r="I62" s="7">
        <f t="shared" si="12"/>
        <v>0</v>
      </c>
      <c r="J62" s="113">
        <f t="shared" si="0"/>
        <v>0</v>
      </c>
      <c r="K62" s="7"/>
      <c r="L62" s="7">
        <f t="shared" si="13"/>
        <v>0</v>
      </c>
      <c r="M62" s="113">
        <f t="shared" si="14"/>
        <v>0</v>
      </c>
      <c r="N62" s="113"/>
      <c r="O62" s="113">
        <f t="shared" si="1"/>
        <v>0</v>
      </c>
      <c r="P62" s="113"/>
      <c r="Q62" s="113">
        <f t="shared" si="15"/>
        <v>0</v>
      </c>
      <c r="R62" s="113">
        <f t="shared" si="16"/>
        <v>0</v>
      </c>
      <c r="S62" s="113">
        <f t="shared" si="39"/>
        <v>0</v>
      </c>
      <c r="T62" s="113">
        <f t="shared" si="18"/>
        <v>0</v>
      </c>
      <c r="U62" s="113">
        <f t="shared" si="40"/>
        <v>0</v>
      </c>
      <c r="V62" s="146">
        <f t="shared" si="31"/>
        <v>0</v>
      </c>
      <c r="W62" s="66"/>
      <c r="X62" s="115">
        <f t="shared" si="2"/>
        <v>3.125E-2</v>
      </c>
      <c r="Y62" s="110">
        <f t="shared" si="19"/>
        <v>0</v>
      </c>
      <c r="Z62" s="111">
        <f t="shared" si="47"/>
        <v>0.29166666666666669</v>
      </c>
      <c r="AA62" s="112">
        <f t="shared" si="20"/>
        <v>0</v>
      </c>
      <c r="AB62" s="67" t="str">
        <f t="shared" si="21"/>
        <v/>
      </c>
      <c r="AC62" s="193">
        <f t="shared" si="3"/>
        <v>0</v>
      </c>
      <c r="AD62" s="144" t="str">
        <f t="shared" si="4"/>
        <v/>
      </c>
      <c r="AE62" s="228">
        <f t="shared" si="43"/>
        <v>0</v>
      </c>
      <c r="AF62" s="110"/>
      <c r="AG62" s="110" t="str">
        <f t="shared" si="22"/>
        <v/>
      </c>
      <c r="AH62" s="68">
        <f t="shared" si="5"/>
        <v>0</v>
      </c>
      <c r="AI62" s="68">
        <f t="shared" si="6"/>
        <v>0</v>
      </c>
      <c r="AJ62" s="68" t="str">
        <f t="shared" si="7"/>
        <v/>
      </c>
      <c r="AK62">
        <f t="shared" si="8"/>
        <v>3</v>
      </c>
      <c r="AL62" s="122">
        <f>SUM($AD$6:AD62)</f>
        <v>0</v>
      </c>
      <c r="AM62" s="122">
        <f t="shared" ca="1" si="23"/>
        <v>0</v>
      </c>
      <c r="AN62" s="126">
        <f t="shared" si="33"/>
        <v>0</v>
      </c>
      <c r="AO62" s="126">
        <f t="shared" si="34"/>
        <v>0</v>
      </c>
      <c r="AP62" s="126">
        <f t="shared" si="35"/>
        <v>0</v>
      </c>
      <c r="AQ62" s="125">
        <f t="shared" si="24"/>
        <v>30</v>
      </c>
      <c r="AR62" s="125">
        <f t="shared" ca="1" si="25"/>
        <v>30</v>
      </c>
      <c r="AS62" s="135">
        <f t="shared" si="26"/>
        <v>0</v>
      </c>
      <c r="AT62" s="125">
        <f t="shared" si="27"/>
        <v>0</v>
      </c>
      <c r="AU62" t="b">
        <f>OR((F62&gt;0),(NOT(ISBLANK(H62))),SUM(H62:H$373),SUM(G62:G$373))</f>
        <v>0</v>
      </c>
      <c r="AV62" t="b">
        <f t="shared" ca="1" si="9"/>
        <v>0</v>
      </c>
      <c r="AX62" s="228">
        <f>SUM(AW$5:AW62)</f>
        <v>-2.9166666666666665</v>
      </c>
    </row>
    <row r="63" spans="1:50">
      <c r="A63" s="308">
        <f t="shared" si="28"/>
        <v>42426</v>
      </c>
      <c r="B63" s="309">
        <f t="shared" si="29"/>
        <v>42426</v>
      </c>
      <c r="C63" s="310">
        <f t="shared" si="45"/>
        <v>9</v>
      </c>
      <c r="D63" s="311">
        <f t="shared" si="46"/>
        <v>42400</v>
      </c>
      <c r="E63" s="321" t="str">
        <f t="shared" si="10"/>
        <v/>
      </c>
      <c r="F63" s="5"/>
      <c r="G63" s="6" t="str">
        <f t="shared" si="11"/>
        <v/>
      </c>
      <c r="H63" s="7"/>
      <c r="I63" s="7">
        <f t="shared" si="12"/>
        <v>0</v>
      </c>
      <c r="J63" s="113">
        <f t="shared" si="0"/>
        <v>0</v>
      </c>
      <c r="K63" s="7"/>
      <c r="L63" s="7">
        <f t="shared" si="13"/>
        <v>0</v>
      </c>
      <c r="M63" s="113">
        <f t="shared" si="14"/>
        <v>0</v>
      </c>
      <c r="N63" s="113"/>
      <c r="O63" s="113">
        <f t="shared" si="1"/>
        <v>0</v>
      </c>
      <c r="P63" s="113"/>
      <c r="Q63" s="113">
        <f t="shared" si="15"/>
        <v>0</v>
      </c>
      <c r="R63" s="113">
        <f t="shared" si="16"/>
        <v>0</v>
      </c>
      <c r="S63" s="113">
        <f t="shared" si="39"/>
        <v>0</v>
      </c>
      <c r="T63" s="113">
        <f t="shared" si="18"/>
        <v>0</v>
      </c>
      <c r="U63" s="113">
        <f t="shared" si="40"/>
        <v>0</v>
      </c>
      <c r="V63" s="146">
        <f t="shared" si="31"/>
        <v>0</v>
      </c>
      <c r="W63" s="66"/>
      <c r="X63" s="115">
        <f t="shared" si="2"/>
        <v>3.125E-2</v>
      </c>
      <c r="Y63" s="110">
        <f t="shared" si="19"/>
        <v>0</v>
      </c>
      <c r="Z63" s="111">
        <f t="shared" si="47"/>
        <v>0.29166666666666669</v>
      </c>
      <c r="AA63" s="112">
        <f t="shared" si="20"/>
        <v>0</v>
      </c>
      <c r="AB63" s="67" t="str">
        <f t="shared" si="21"/>
        <v/>
      </c>
      <c r="AC63" s="193">
        <f t="shared" si="3"/>
        <v>0</v>
      </c>
      <c r="AD63" s="144" t="str">
        <f t="shared" si="4"/>
        <v/>
      </c>
      <c r="AE63" s="228">
        <f t="shared" si="43"/>
        <v>0</v>
      </c>
      <c r="AF63" s="110"/>
      <c r="AG63" s="110" t="str">
        <f t="shared" si="22"/>
        <v/>
      </c>
      <c r="AH63" s="68">
        <f t="shared" si="5"/>
        <v>0</v>
      </c>
      <c r="AI63" s="68">
        <f t="shared" si="6"/>
        <v>0</v>
      </c>
      <c r="AJ63" s="68" t="str">
        <f t="shared" si="7"/>
        <v/>
      </c>
      <c r="AK63">
        <f t="shared" si="8"/>
        <v>4</v>
      </c>
      <c r="AL63" s="122">
        <f>SUM($AD$6:AD63)</f>
        <v>0</v>
      </c>
      <c r="AM63" s="122">
        <f t="shared" ca="1" si="23"/>
        <v>0</v>
      </c>
      <c r="AN63" s="126">
        <f t="shared" si="33"/>
        <v>0</v>
      </c>
      <c r="AO63" s="126">
        <f t="shared" si="34"/>
        <v>0</v>
      </c>
      <c r="AP63" s="126">
        <f t="shared" si="35"/>
        <v>0</v>
      </c>
      <c r="AQ63" s="125">
        <f t="shared" si="24"/>
        <v>30</v>
      </c>
      <c r="AR63" s="125">
        <f t="shared" ca="1" si="25"/>
        <v>30</v>
      </c>
      <c r="AS63" s="135">
        <f t="shared" si="26"/>
        <v>0</v>
      </c>
      <c r="AT63" s="125">
        <f t="shared" si="27"/>
        <v>0</v>
      </c>
      <c r="AU63" t="b">
        <f>OR((F63&gt;0),(NOT(ISBLANK(H63))),SUM(H63:H$373),SUM(G63:G$373))</f>
        <v>0</v>
      </c>
      <c r="AV63" t="b">
        <f t="shared" ca="1" si="9"/>
        <v>0</v>
      </c>
      <c r="AX63" s="228">
        <f>SUM(AW$5:AW63)</f>
        <v>-2.9166666666666665</v>
      </c>
    </row>
    <row r="64" spans="1:50">
      <c r="A64" s="308">
        <f t="shared" si="28"/>
        <v>42427</v>
      </c>
      <c r="B64" s="309">
        <f t="shared" si="29"/>
        <v>42427</v>
      </c>
      <c r="C64" s="310">
        <f t="shared" si="45"/>
        <v>9</v>
      </c>
      <c r="D64" s="311">
        <f t="shared" si="46"/>
        <v>42400</v>
      </c>
      <c r="E64" s="321" t="str">
        <f t="shared" si="10"/>
        <v/>
      </c>
      <c r="F64" s="5"/>
      <c r="G64" s="6" t="str">
        <f t="shared" si="11"/>
        <v/>
      </c>
      <c r="H64" s="7"/>
      <c r="I64" s="7">
        <f t="shared" si="12"/>
        <v>0</v>
      </c>
      <c r="J64" s="113">
        <f t="shared" si="0"/>
        <v>0</v>
      </c>
      <c r="K64" s="7"/>
      <c r="L64" s="7">
        <f t="shared" si="13"/>
        <v>0</v>
      </c>
      <c r="M64" s="113">
        <f t="shared" si="14"/>
        <v>0</v>
      </c>
      <c r="N64" s="113"/>
      <c r="O64" s="113">
        <f t="shared" si="1"/>
        <v>0</v>
      </c>
      <c r="P64" s="113"/>
      <c r="Q64" s="113">
        <f t="shared" si="15"/>
        <v>0</v>
      </c>
      <c r="R64" s="113">
        <f t="shared" si="16"/>
        <v>0</v>
      </c>
      <c r="S64" s="113">
        <f t="shared" si="39"/>
        <v>0</v>
      </c>
      <c r="T64" s="113">
        <f t="shared" si="18"/>
        <v>0</v>
      </c>
      <c r="U64" s="113">
        <f t="shared" si="40"/>
        <v>0</v>
      </c>
      <c r="V64" s="146">
        <f t="shared" si="31"/>
        <v>0</v>
      </c>
      <c r="W64" s="66"/>
      <c r="X64" s="115">
        <f t="shared" si="2"/>
        <v>3.125E-2</v>
      </c>
      <c r="Y64" s="110">
        <f t="shared" si="19"/>
        <v>0</v>
      </c>
      <c r="Z64" s="111">
        <f t="shared" si="47"/>
        <v>0.29166666666666669</v>
      </c>
      <c r="AA64" s="112">
        <f t="shared" si="20"/>
        <v>0</v>
      </c>
      <c r="AB64" s="67" t="str">
        <f t="shared" si="21"/>
        <v/>
      </c>
      <c r="AC64" s="193">
        <f t="shared" si="3"/>
        <v>0</v>
      </c>
      <c r="AD64" s="144" t="str">
        <f t="shared" si="4"/>
        <v/>
      </c>
      <c r="AE64" s="228">
        <f t="shared" si="43"/>
        <v>0</v>
      </c>
      <c r="AF64" s="110"/>
      <c r="AG64" s="110" t="str">
        <f t="shared" si="22"/>
        <v/>
      </c>
      <c r="AH64" s="68">
        <f t="shared" si="5"/>
        <v>0</v>
      </c>
      <c r="AI64" s="68">
        <f t="shared" si="6"/>
        <v>0</v>
      </c>
      <c r="AJ64" s="68" t="str">
        <f t="shared" si="7"/>
        <v/>
      </c>
      <c r="AK64">
        <f t="shared" si="8"/>
        <v>5</v>
      </c>
      <c r="AL64" s="122">
        <f>SUM($AD$6:AD64)</f>
        <v>0</v>
      </c>
      <c r="AM64" s="122">
        <f t="shared" ca="1" si="23"/>
        <v>0</v>
      </c>
      <c r="AN64" s="126">
        <f t="shared" si="33"/>
        <v>0</v>
      </c>
      <c r="AO64" s="126">
        <f t="shared" si="34"/>
        <v>0</v>
      </c>
      <c r="AP64" s="126">
        <f t="shared" si="35"/>
        <v>0</v>
      </c>
      <c r="AQ64" s="125">
        <f t="shared" si="24"/>
        <v>30</v>
      </c>
      <c r="AR64" s="125">
        <f t="shared" ca="1" si="25"/>
        <v>30</v>
      </c>
      <c r="AS64" s="135">
        <f t="shared" si="26"/>
        <v>0</v>
      </c>
      <c r="AT64" s="125">
        <f t="shared" si="27"/>
        <v>0</v>
      </c>
      <c r="AU64" t="b">
        <f>OR((F64&gt;0),(NOT(ISBLANK(H64))),SUM(H64:H$373),SUM(G64:G$373))</f>
        <v>0</v>
      </c>
      <c r="AV64" t="b">
        <f t="shared" ca="1" si="9"/>
        <v>0</v>
      </c>
      <c r="AX64" s="228">
        <f>SUM(AW$5:AW64)</f>
        <v>-2.9166666666666665</v>
      </c>
    </row>
    <row r="65" spans="1:50">
      <c r="A65" s="308">
        <f t="shared" si="28"/>
        <v>42428</v>
      </c>
      <c r="B65" s="309">
        <f t="shared" si="29"/>
        <v>42428</v>
      </c>
      <c r="C65" s="310">
        <f t="shared" si="45"/>
        <v>9</v>
      </c>
      <c r="D65" s="311">
        <f t="shared" si="46"/>
        <v>42400</v>
      </c>
      <c r="E65" s="321" t="str">
        <f t="shared" si="10"/>
        <v/>
      </c>
      <c r="F65" s="5"/>
      <c r="G65" s="6" t="str">
        <f t="shared" si="11"/>
        <v/>
      </c>
      <c r="H65" s="7"/>
      <c r="I65" s="7">
        <f t="shared" si="12"/>
        <v>0</v>
      </c>
      <c r="J65" s="113">
        <f t="shared" si="0"/>
        <v>0</v>
      </c>
      <c r="K65" s="7"/>
      <c r="L65" s="7">
        <f t="shared" si="13"/>
        <v>0</v>
      </c>
      <c r="M65" s="113">
        <f t="shared" si="14"/>
        <v>0</v>
      </c>
      <c r="N65" s="113"/>
      <c r="O65" s="113">
        <f t="shared" si="1"/>
        <v>0</v>
      </c>
      <c r="P65" s="113"/>
      <c r="Q65" s="113">
        <f t="shared" si="15"/>
        <v>0</v>
      </c>
      <c r="R65" s="113">
        <f t="shared" si="16"/>
        <v>0</v>
      </c>
      <c r="S65" s="113">
        <f t="shared" si="39"/>
        <v>0</v>
      </c>
      <c r="T65" s="113">
        <f t="shared" si="18"/>
        <v>0</v>
      </c>
      <c r="U65" s="113">
        <f t="shared" si="40"/>
        <v>0</v>
      </c>
      <c r="V65" s="146">
        <f t="shared" si="31"/>
        <v>0</v>
      </c>
      <c r="W65" s="66"/>
      <c r="X65" s="115">
        <f t="shared" si="2"/>
        <v>3.125E-2</v>
      </c>
      <c r="Y65" s="110">
        <f t="shared" si="19"/>
        <v>0</v>
      </c>
      <c r="Z65" s="111">
        <f t="shared" si="47"/>
        <v>0</v>
      </c>
      <c r="AA65" s="112">
        <f t="shared" si="20"/>
        <v>0</v>
      </c>
      <c r="AB65" s="67" t="str">
        <f t="shared" si="21"/>
        <v/>
      </c>
      <c r="AC65" s="193">
        <f t="shared" si="3"/>
        <v>0</v>
      </c>
      <c r="AD65" s="144" t="str">
        <f t="shared" si="4"/>
        <v/>
      </c>
      <c r="AE65" s="228">
        <f t="shared" si="43"/>
        <v>0</v>
      </c>
      <c r="AF65" s="110"/>
      <c r="AG65" s="110" t="str">
        <f t="shared" si="22"/>
        <v/>
      </c>
      <c r="AH65" s="68">
        <f t="shared" si="5"/>
        <v>0</v>
      </c>
      <c r="AI65" s="68">
        <f t="shared" si="6"/>
        <v>0</v>
      </c>
      <c r="AJ65" s="68" t="str">
        <f t="shared" si="7"/>
        <v/>
      </c>
      <c r="AK65">
        <f t="shared" si="8"/>
        <v>6</v>
      </c>
      <c r="AL65" s="122">
        <f>SUM($AD$6:AD65)</f>
        <v>0</v>
      </c>
      <c r="AM65" s="122">
        <f t="shared" ca="1" si="23"/>
        <v>0</v>
      </c>
      <c r="AN65" s="126">
        <f t="shared" si="33"/>
        <v>0</v>
      </c>
      <c r="AO65" s="126">
        <f t="shared" si="34"/>
        <v>0</v>
      </c>
      <c r="AP65" s="126">
        <f t="shared" si="35"/>
        <v>0</v>
      </c>
      <c r="AQ65" s="125">
        <f t="shared" si="24"/>
        <v>30</v>
      </c>
      <c r="AR65" s="125">
        <f t="shared" ca="1" si="25"/>
        <v>30</v>
      </c>
      <c r="AS65" s="135">
        <f t="shared" si="26"/>
        <v>0</v>
      </c>
      <c r="AT65" s="125">
        <f t="shared" si="27"/>
        <v>7</v>
      </c>
      <c r="AU65" t="b">
        <f>OR((F65&gt;0),(NOT(ISBLANK(H65))),SUM(H65:H$373),SUM(G65:G$373))</f>
        <v>0</v>
      </c>
      <c r="AV65" t="b">
        <f t="shared" ca="1" si="9"/>
        <v>1</v>
      </c>
      <c r="AX65" s="228">
        <f>SUM(AW$5:AW65)</f>
        <v>-2.9166666666666665</v>
      </c>
    </row>
    <row r="66" spans="1:50">
      <c r="A66" s="308">
        <f t="shared" si="28"/>
        <v>42429</v>
      </c>
      <c r="B66" s="309">
        <f t="shared" si="29"/>
        <v>42429</v>
      </c>
      <c r="C66" s="310">
        <f t="shared" si="45"/>
        <v>9</v>
      </c>
      <c r="D66" s="311">
        <f t="shared" si="46"/>
        <v>42429</v>
      </c>
      <c r="E66" s="321" t="str">
        <f t="shared" si="10"/>
        <v/>
      </c>
      <c r="F66" s="5"/>
      <c r="G66" s="6" t="str">
        <f t="shared" si="11"/>
        <v/>
      </c>
      <c r="H66" s="7"/>
      <c r="I66" s="7">
        <f t="shared" si="12"/>
        <v>0</v>
      </c>
      <c r="J66" s="113">
        <f t="shared" si="0"/>
        <v>0</v>
      </c>
      <c r="K66" s="7"/>
      <c r="L66" s="7">
        <f t="shared" si="13"/>
        <v>0</v>
      </c>
      <c r="M66" s="113">
        <f t="shared" si="14"/>
        <v>0</v>
      </c>
      <c r="N66" s="113"/>
      <c r="O66" s="113">
        <f t="shared" si="1"/>
        <v>0</v>
      </c>
      <c r="P66" s="113"/>
      <c r="Q66" s="113">
        <f t="shared" si="15"/>
        <v>0</v>
      </c>
      <c r="R66" s="113">
        <f t="shared" si="16"/>
        <v>0</v>
      </c>
      <c r="S66" s="113">
        <f t="shared" si="39"/>
        <v>0</v>
      </c>
      <c r="T66" s="113">
        <f t="shared" si="18"/>
        <v>0</v>
      </c>
      <c r="U66" s="113">
        <f t="shared" si="40"/>
        <v>0</v>
      </c>
      <c r="V66" s="146">
        <f t="shared" si="31"/>
        <v>0</v>
      </c>
      <c r="W66" s="66"/>
      <c r="X66" s="115">
        <f t="shared" si="2"/>
        <v>3.125E-2</v>
      </c>
      <c r="Y66" s="110">
        <f t="shared" si="19"/>
        <v>0</v>
      </c>
      <c r="Z66" s="111">
        <f t="shared" si="47"/>
        <v>0</v>
      </c>
      <c r="AA66" s="112">
        <f t="shared" si="20"/>
        <v>0</v>
      </c>
      <c r="AB66" s="67" t="str">
        <f t="shared" si="21"/>
        <v/>
      </c>
      <c r="AC66" s="193">
        <f t="shared" si="3"/>
        <v>0</v>
      </c>
      <c r="AD66" s="144" t="str">
        <f t="shared" si="4"/>
        <v/>
      </c>
      <c r="AE66" s="228">
        <f t="shared" si="43"/>
        <v>0</v>
      </c>
      <c r="AF66" s="110"/>
      <c r="AG66" s="110" t="str">
        <f t="shared" si="22"/>
        <v/>
      </c>
      <c r="AH66" s="68">
        <f t="shared" si="5"/>
        <v>0</v>
      </c>
      <c r="AI66" s="68">
        <f t="shared" si="6"/>
        <v>0</v>
      </c>
      <c r="AJ66" s="68" t="str">
        <f t="shared" si="7"/>
        <v/>
      </c>
      <c r="AK66">
        <f t="shared" si="8"/>
        <v>7</v>
      </c>
      <c r="AL66" s="122">
        <f>SUM($AD$6:AD66)</f>
        <v>0</v>
      </c>
      <c r="AM66" s="122">
        <f t="shared" ca="1" si="23"/>
        <v>0</v>
      </c>
      <c r="AN66" s="126">
        <f t="shared" si="33"/>
        <v>0</v>
      </c>
      <c r="AO66" s="126">
        <f t="shared" si="34"/>
        <v>0</v>
      </c>
      <c r="AP66" s="126">
        <f t="shared" si="35"/>
        <v>0</v>
      </c>
      <c r="AQ66" s="125">
        <f t="shared" si="24"/>
        <v>30</v>
      </c>
      <c r="AR66" s="125">
        <f t="shared" ca="1" si="25"/>
        <v>30</v>
      </c>
      <c r="AS66" s="135">
        <f t="shared" si="26"/>
        <v>0</v>
      </c>
      <c r="AT66" s="125">
        <f t="shared" si="27"/>
        <v>7</v>
      </c>
      <c r="AU66" t="b">
        <f>OR((F66&gt;0),(NOT(ISBLANK(H66))),SUM(H66:H$373),SUM(G66:G$373))</f>
        <v>0</v>
      </c>
      <c r="AV66" t="b">
        <f t="shared" ca="1" si="9"/>
        <v>1</v>
      </c>
      <c r="AX66" s="228">
        <f>SUM(AW$5:AW66)</f>
        <v>-2.9166666666666665</v>
      </c>
    </row>
    <row r="67" spans="1:50">
      <c r="A67" s="308">
        <f t="shared" si="28"/>
        <v>42430</v>
      </c>
      <c r="B67" s="309">
        <f t="shared" si="29"/>
        <v>42430</v>
      </c>
      <c r="C67" s="310">
        <f t="shared" si="45"/>
        <v>10</v>
      </c>
      <c r="D67" s="311">
        <f t="shared" si="46"/>
        <v>42429</v>
      </c>
      <c r="E67" s="321" t="str">
        <f t="shared" si="10"/>
        <v/>
      </c>
      <c r="F67" s="5"/>
      <c r="G67" s="6" t="str">
        <f t="shared" si="11"/>
        <v/>
      </c>
      <c r="H67" s="7"/>
      <c r="I67" s="7">
        <f t="shared" si="12"/>
        <v>0</v>
      </c>
      <c r="J67" s="113">
        <f t="shared" si="0"/>
        <v>0</v>
      </c>
      <c r="K67" s="7"/>
      <c r="L67" s="7">
        <f t="shared" si="13"/>
        <v>0</v>
      </c>
      <c r="M67" s="113">
        <f t="shared" si="14"/>
        <v>0</v>
      </c>
      <c r="N67" s="113"/>
      <c r="O67" s="113">
        <f t="shared" si="1"/>
        <v>0</v>
      </c>
      <c r="P67" s="113"/>
      <c r="Q67" s="113">
        <f t="shared" si="15"/>
        <v>0</v>
      </c>
      <c r="R67" s="113">
        <f t="shared" si="16"/>
        <v>0</v>
      </c>
      <c r="S67" s="113">
        <f t="shared" si="39"/>
        <v>0</v>
      </c>
      <c r="T67" s="113">
        <f t="shared" si="18"/>
        <v>0</v>
      </c>
      <c r="U67" s="113">
        <f t="shared" si="40"/>
        <v>0</v>
      </c>
      <c r="V67" s="146">
        <f t="shared" si="31"/>
        <v>0</v>
      </c>
      <c r="W67" s="66"/>
      <c r="X67" s="115">
        <f t="shared" si="2"/>
        <v>3.125E-2</v>
      </c>
      <c r="Y67" s="110">
        <f t="shared" si="19"/>
        <v>0</v>
      </c>
      <c r="Z67" s="111">
        <f t="shared" si="47"/>
        <v>0.29166666666666669</v>
      </c>
      <c r="AA67" s="112">
        <f t="shared" si="20"/>
        <v>0</v>
      </c>
      <c r="AB67" s="67" t="str">
        <f t="shared" si="21"/>
        <v/>
      </c>
      <c r="AC67" s="193">
        <f t="shared" si="3"/>
        <v>0</v>
      </c>
      <c r="AD67" s="144" t="str">
        <f t="shared" si="4"/>
        <v/>
      </c>
      <c r="AE67" s="228">
        <f t="shared" si="43"/>
        <v>0</v>
      </c>
      <c r="AF67" s="110"/>
      <c r="AG67" s="110" t="str">
        <f t="shared" si="22"/>
        <v/>
      </c>
      <c r="AH67" s="68">
        <f t="shared" si="5"/>
        <v>0</v>
      </c>
      <c r="AI67" s="68">
        <f t="shared" si="6"/>
        <v>0</v>
      </c>
      <c r="AJ67" s="68" t="str">
        <f t="shared" si="7"/>
        <v/>
      </c>
      <c r="AK67">
        <f t="shared" si="8"/>
        <v>1</v>
      </c>
      <c r="AL67" s="122">
        <f>SUM($AD$6:AD67)</f>
        <v>0</v>
      </c>
      <c r="AM67" s="122">
        <f t="shared" ca="1" si="23"/>
        <v>0</v>
      </c>
      <c r="AN67" s="126">
        <f t="shared" si="33"/>
        <v>0</v>
      </c>
      <c r="AO67" s="126">
        <f t="shared" si="34"/>
        <v>0</v>
      </c>
      <c r="AP67" s="126">
        <f t="shared" si="35"/>
        <v>0</v>
      </c>
      <c r="AQ67" s="125">
        <f t="shared" si="24"/>
        <v>30</v>
      </c>
      <c r="AR67" s="125">
        <f t="shared" ca="1" si="25"/>
        <v>30</v>
      </c>
      <c r="AS67" s="135">
        <f t="shared" si="26"/>
        <v>0</v>
      </c>
      <c r="AT67" s="125">
        <f t="shared" si="27"/>
        <v>0</v>
      </c>
      <c r="AU67" t="b">
        <f>OR((F67&gt;0),(NOT(ISBLANK(H67))),SUM(H67:H$373),SUM(G67:G$373))</f>
        <v>0</v>
      </c>
      <c r="AV67" t="b">
        <f t="shared" ca="1" si="9"/>
        <v>0</v>
      </c>
      <c r="AX67" s="228">
        <f>SUM(AW$5:AW67)</f>
        <v>-2.9166666666666665</v>
      </c>
    </row>
    <row r="68" spans="1:50">
      <c r="A68" s="308">
        <f t="shared" si="28"/>
        <v>42431</v>
      </c>
      <c r="B68" s="309">
        <f t="shared" si="29"/>
        <v>42431</v>
      </c>
      <c r="C68" s="310">
        <f t="shared" si="45"/>
        <v>10</v>
      </c>
      <c r="D68" s="311">
        <f t="shared" si="46"/>
        <v>42429</v>
      </c>
      <c r="E68" s="321" t="str">
        <f t="shared" si="10"/>
        <v/>
      </c>
      <c r="F68" s="5"/>
      <c r="G68" s="6" t="str">
        <f t="shared" si="11"/>
        <v/>
      </c>
      <c r="H68" s="7"/>
      <c r="I68" s="7">
        <f t="shared" si="12"/>
        <v>0</v>
      </c>
      <c r="J68" s="113">
        <f t="shared" si="0"/>
        <v>0</v>
      </c>
      <c r="K68" s="7"/>
      <c r="L68" s="7">
        <f t="shared" si="13"/>
        <v>0</v>
      </c>
      <c r="M68" s="113">
        <f t="shared" si="14"/>
        <v>0</v>
      </c>
      <c r="N68" s="113"/>
      <c r="O68" s="113">
        <f t="shared" si="1"/>
        <v>0</v>
      </c>
      <c r="P68" s="113"/>
      <c r="Q68" s="113">
        <f t="shared" si="15"/>
        <v>0</v>
      </c>
      <c r="R68" s="113">
        <f t="shared" si="16"/>
        <v>0</v>
      </c>
      <c r="S68" s="113">
        <f t="shared" si="39"/>
        <v>0</v>
      </c>
      <c r="T68" s="113">
        <f t="shared" si="18"/>
        <v>0</v>
      </c>
      <c r="U68" s="113">
        <f t="shared" si="40"/>
        <v>0</v>
      </c>
      <c r="V68" s="146">
        <f t="shared" si="31"/>
        <v>0</v>
      </c>
      <c r="W68" s="66"/>
      <c r="X68" s="115">
        <f t="shared" si="2"/>
        <v>3.125E-2</v>
      </c>
      <c r="Y68" s="110">
        <f t="shared" si="19"/>
        <v>0</v>
      </c>
      <c r="Z68" s="111">
        <f t="shared" si="47"/>
        <v>0.29166666666666669</v>
      </c>
      <c r="AA68" s="112">
        <f t="shared" si="20"/>
        <v>0</v>
      </c>
      <c r="AB68" s="67" t="str">
        <f t="shared" si="21"/>
        <v/>
      </c>
      <c r="AC68" s="193">
        <f t="shared" si="3"/>
        <v>0</v>
      </c>
      <c r="AD68" s="144" t="str">
        <f t="shared" si="4"/>
        <v/>
      </c>
      <c r="AE68" s="228">
        <f t="shared" si="43"/>
        <v>0</v>
      </c>
      <c r="AF68" s="110"/>
      <c r="AG68" s="110" t="str">
        <f t="shared" si="22"/>
        <v/>
      </c>
      <c r="AH68" s="68">
        <f t="shared" si="5"/>
        <v>0</v>
      </c>
      <c r="AI68" s="68">
        <f t="shared" si="6"/>
        <v>0</v>
      </c>
      <c r="AJ68" s="68" t="str">
        <f t="shared" si="7"/>
        <v/>
      </c>
      <c r="AK68">
        <f t="shared" si="8"/>
        <v>2</v>
      </c>
      <c r="AL68" s="122">
        <f>SUM($AD$6:AD68)</f>
        <v>0</v>
      </c>
      <c r="AM68" s="122">
        <f t="shared" ca="1" si="23"/>
        <v>0</v>
      </c>
      <c r="AN68" s="126">
        <f t="shared" si="33"/>
        <v>0</v>
      </c>
      <c r="AO68" s="126">
        <f t="shared" si="34"/>
        <v>0</v>
      </c>
      <c r="AP68" s="126">
        <f t="shared" si="35"/>
        <v>0</v>
      </c>
      <c r="AQ68" s="125">
        <f t="shared" si="24"/>
        <v>30</v>
      </c>
      <c r="AR68" s="125">
        <f t="shared" ca="1" si="25"/>
        <v>30</v>
      </c>
      <c r="AS68" s="135">
        <f t="shared" si="26"/>
        <v>0</v>
      </c>
      <c r="AT68" s="125">
        <f t="shared" si="27"/>
        <v>0</v>
      </c>
      <c r="AU68" t="b">
        <f>OR((F68&gt;0),(NOT(ISBLANK(H68))),SUM(H68:H$373),SUM(G68:G$373))</f>
        <v>0</v>
      </c>
      <c r="AV68" t="b">
        <f t="shared" ca="1" si="9"/>
        <v>0</v>
      </c>
      <c r="AX68" s="228">
        <f>SUM(AW$5:AW68)</f>
        <v>-2.9166666666666665</v>
      </c>
    </row>
    <row r="69" spans="1:50">
      <c r="A69" s="308">
        <f t="shared" si="28"/>
        <v>42432</v>
      </c>
      <c r="B69" s="309">
        <f t="shared" si="29"/>
        <v>42432</v>
      </c>
      <c r="C69" s="310">
        <f t="shared" si="45"/>
        <v>10</v>
      </c>
      <c r="D69" s="311">
        <f t="shared" si="46"/>
        <v>42429</v>
      </c>
      <c r="E69" s="321" t="str">
        <f t="shared" si="10"/>
        <v/>
      </c>
      <c r="F69" s="5"/>
      <c r="G69" s="6" t="str">
        <f t="shared" si="11"/>
        <v/>
      </c>
      <c r="H69" s="7"/>
      <c r="I69" s="7">
        <f t="shared" si="12"/>
        <v>0</v>
      </c>
      <c r="J69" s="113">
        <f t="shared" ref="J69:J132" si="48">IF(I69&lt;H69,I69+1,I69)</f>
        <v>0</v>
      </c>
      <c r="K69" s="7"/>
      <c r="L69" s="7">
        <f t="shared" si="13"/>
        <v>0</v>
      </c>
      <c r="M69" s="113">
        <f t="shared" si="14"/>
        <v>0</v>
      </c>
      <c r="N69" s="113"/>
      <c r="O69" s="113">
        <f t="shared" ref="O69:O132" si="49">IF(N69&gt;0,N69+IF((J69-H69+M69-K69)&lt;Y69,Y69-(J69-H69+M69-K69),TIME(0,10,0))+IF((K69-J69+N69-M69)&gt;xNoWorkTime,0,xNoWorkTime-(K69-J69+N69-M69)),0)</f>
        <v>0</v>
      </c>
      <c r="P69" s="113"/>
      <c r="Q69" s="113">
        <f t="shared" si="15"/>
        <v>0</v>
      </c>
      <c r="R69" s="113">
        <f t="shared" si="16"/>
        <v>0</v>
      </c>
      <c r="S69" s="113">
        <f t="shared" si="39"/>
        <v>0</v>
      </c>
      <c r="T69" s="113">
        <f t="shared" si="18"/>
        <v>0</v>
      </c>
      <c r="U69" s="113">
        <f t="shared" si="40"/>
        <v>0</v>
      </c>
      <c r="V69" s="146">
        <f t="shared" si="31"/>
        <v>0</v>
      </c>
      <c r="W69" s="66"/>
      <c r="X69" s="115">
        <f t="shared" ref="X69:X132" si="50">xNoWorkTime</f>
        <v>3.125E-2</v>
      </c>
      <c r="Y69" s="110">
        <f t="shared" si="19"/>
        <v>0</v>
      </c>
      <c r="Z69" s="111">
        <f t="shared" si="47"/>
        <v>0.29166666666666669</v>
      </c>
      <c r="AA69" s="112">
        <f t="shared" si="20"/>
        <v>0</v>
      </c>
      <c r="AB69" s="67" t="str">
        <f t="shared" si="21"/>
        <v/>
      </c>
      <c r="AC69" s="193">
        <f t="shared" ref="AC69:AC132" si="51">xOverTime</f>
        <v>0</v>
      </c>
      <c r="AD69" s="144" t="str">
        <f t="shared" ref="AD69:AD132" si="52">IF((R69-U69)&gt;XWorkTimeMax,(R69-U69-XWorkTimeMax),"")</f>
        <v/>
      </c>
      <c r="AE69" s="228">
        <f t="shared" si="43"/>
        <v>0</v>
      </c>
      <c r="AF69" s="110"/>
      <c r="AG69" s="110" t="str">
        <f t="shared" si="22"/>
        <v/>
      </c>
      <c r="AH69" s="68">
        <f t="shared" ref="AH69:AH132" si="53">IF(ISNUMBER(V69 ), IF( V69 &gt;= Y69, Y69, V69 ),"")</f>
        <v>0</v>
      </c>
      <c r="AI69" s="68">
        <f t="shared" ref="AI69:AI132" si="54">IF( ISNUMBER( V69 ), IF( V69 &gt;= Y69, V69 - Y69, "" ), "" )</f>
        <v>0</v>
      </c>
      <c r="AJ69" s="68" t="str">
        <f t="shared" ref="AJ69:AJ132" si="55">IF( AND(ISNUMBER( V69 ),ISNUMBER( Y69 )), IF( V69 &gt;= Y69, "", Y69 - V69 ), "" )</f>
        <v/>
      </c>
      <c r="AK69">
        <f t="shared" ref="AK69:AK132" si="56">IF(A69="",0,IF(ISERROR(VLOOKUP(A69,db_Feiertag,2,FALSE)),WEEKDAY(A69,2),Feiertag))</f>
        <v>3</v>
      </c>
      <c r="AL69" s="122">
        <f>SUM($AD$6:AD69)</f>
        <v>0</v>
      </c>
      <c r="AM69" s="122">
        <f t="shared" ca="1" si="23"/>
        <v>0</v>
      </c>
      <c r="AN69" s="126">
        <f t="shared" si="33"/>
        <v>0</v>
      </c>
      <c r="AO69" s="126">
        <f t="shared" si="34"/>
        <v>0</v>
      </c>
      <c r="AP69" s="126">
        <f t="shared" si="35"/>
        <v>0</v>
      </c>
      <c r="AQ69" s="125">
        <f t="shared" si="24"/>
        <v>30</v>
      </c>
      <c r="AR69" s="125">
        <f t="shared" ca="1" si="25"/>
        <v>30</v>
      </c>
      <c r="AS69" s="135">
        <f t="shared" si="26"/>
        <v>0</v>
      </c>
      <c r="AT69" s="125">
        <f t="shared" si="27"/>
        <v>0</v>
      </c>
      <c r="AU69" t="b">
        <f>OR((F69&gt;0),(NOT(ISBLANK(H69))),SUM(H69:H$373),SUM(G69:G$373))</f>
        <v>0</v>
      </c>
      <c r="AV69" t="b">
        <f t="shared" ref="AV69:AV132" ca="1" si="57">INDIRECT(ADDRESS(ROW(),COLUMN(xDay)))&gt;5</f>
        <v>0</v>
      </c>
      <c r="AX69" s="228">
        <f>SUM(AW$5:AW69)</f>
        <v>-2.9166666666666665</v>
      </c>
    </row>
    <row r="70" spans="1:50">
      <c r="A70" s="308">
        <f t="shared" si="28"/>
        <v>42433</v>
      </c>
      <c r="B70" s="309">
        <f t="shared" si="29"/>
        <v>42433</v>
      </c>
      <c r="C70" s="310">
        <f t="shared" si="45"/>
        <v>10</v>
      </c>
      <c r="D70" s="311">
        <f t="shared" si="46"/>
        <v>42429</v>
      </c>
      <c r="E70" s="321" t="str">
        <f t="shared" ref="E70:E133" si="58">IF((R70-U70)&gt;XWorkTimeMax,$Z$4,IF(AT70=Feiertag,VLOOKUP(B70,db_Feiertag,2,FALSE),""))</f>
        <v/>
      </c>
      <c r="F70" s="5"/>
      <c r="G70" s="6" t="str">
        <f t="shared" ref="G70:G133" si="59">IF(ISBLANK(F70),IF(ISBLANK(H70),"",0),CODE(UPPER(F70)))</f>
        <v/>
      </c>
      <c r="H70" s="7"/>
      <c r="I70" s="7">
        <f t="shared" ref="I70:I133" si="60">IF(H70&gt;0,H70+Y70+X70+AC70,0)</f>
        <v>0</v>
      </c>
      <c r="J70" s="113">
        <f t="shared" si="48"/>
        <v>0</v>
      </c>
      <c r="K70" s="7"/>
      <c r="L70" s="7">
        <f t="shared" ref="L70:L133" si="61">IF(K70&gt;0,K70+IF((J70-H70)&lt;Y70,Y70-(J70-H70),TIME(0,10,0))+IF((K70-J70)&gt;xNoWorkTime,0,xNoWorkTime-(K70-J70)),0)</f>
        <v>0</v>
      </c>
      <c r="M70" s="113">
        <f t="shared" ref="M70:M133" si="62">IF(L70&lt;K70,L70+1,L70)</f>
        <v>0</v>
      </c>
      <c r="N70" s="113"/>
      <c r="O70" s="113">
        <f t="shared" si="49"/>
        <v>0</v>
      </c>
      <c r="P70" s="113"/>
      <c r="Q70" s="113">
        <f t="shared" ref="Q70:Q133" si="63">IF(O70&lt;N70,O70+1,O70)</f>
        <v>0</v>
      </c>
      <c r="R70" s="113">
        <f t="shared" ref="R70:R133" si="64">J70-H70+M70-K70+Q70-N70</f>
        <v>0</v>
      </c>
      <c r="S70" s="113">
        <f t="shared" si="39"/>
        <v>0</v>
      </c>
      <c r="T70" s="113">
        <f t="shared" ref="T70:T133" si="65">IF(R70&gt;B_Pause1Nach,B_Pause1Dauer,0)+IF(R70&gt;B_Pause2Nach,B_Pause2Dauer,0)</f>
        <v>0</v>
      </c>
      <c r="U70" s="113">
        <f t="shared" si="40"/>
        <v>0</v>
      </c>
      <c r="V70" s="146">
        <f t="shared" ref="V70:V133" si="66">IF(F70="S",Z70,(IF((R70-U70)&gt;XWorkTimeMax,XWorkTimeMax,IF((R70-U70)&gt;0,R70-U70,0))))</f>
        <v>0</v>
      </c>
      <c r="W70" s="66"/>
      <c r="X70" s="115">
        <f t="shared" si="50"/>
        <v>3.125E-2</v>
      </c>
      <c r="Y70" s="110">
        <f t="shared" ref="Y70:Y133" si="67">IF(AND((AK70&lt;Feiertag),(G70&lt;&gt;85)),IF(OR(F70="B",F70="G",F70="S",H70&gt;0),H70-H70+Z70,0),0)</f>
        <v>0</v>
      </c>
      <c r="Z70" s="111">
        <f t="shared" si="47"/>
        <v>0.29166666666666669</v>
      </c>
      <c r="AA70" s="112">
        <f t="shared" ref="AA70:AA133" si="68">V70-Y70</f>
        <v>0</v>
      </c>
      <c r="AB70" s="67" t="str">
        <f t="shared" ref="AB70:AB133" si="69">IF((V70-Y70)&lt;0,"*","")</f>
        <v/>
      </c>
      <c r="AC70" s="193">
        <f t="shared" si="51"/>
        <v>0</v>
      </c>
      <c r="AD70" s="144" t="str">
        <f t="shared" si="52"/>
        <v/>
      </c>
      <c r="AE70" s="228">
        <f t="shared" si="43"/>
        <v>0</v>
      </c>
      <c r="AF70" s="110"/>
      <c r="AG70" s="110" t="str">
        <f t="shared" ref="AG70:AG133" si="70">IF(AND(AF70&lt;&gt;"",AF70&lt;=V70),V70-AF70,"")</f>
        <v/>
      </c>
      <c r="AH70" s="68">
        <f t="shared" si="53"/>
        <v>0</v>
      </c>
      <c r="AI70" s="68">
        <f t="shared" si="54"/>
        <v>0</v>
      </c>
      <c r="AJ70" s="68" t="str">
        <f t="shared" si="55"/>
        <v/>
      </c>
      <c r="AK70">
        <f t="shared" si="56"/>
        <v>4</v>
      </c>
      <c r="AL70" s="122">
        <f>SUM($AD$6:AD70)</f>
        <v>0</v>
      </c>
      <c r="AM70" s="122">
        <f t="shared" ref="AM70:AM133" ca="1" si="71">IF(D70=D69,AM69,OFFSET(AM70,-1,COLUMN(db_jSaldoGes)-COLUMN()))</f>
        <v>0</v>
      </c>
      <c r="AN70" s="126">
        <f t="shared" si="33"/>
        <v>0</v>
      </c>
      <c r="AO70" s="126">
        <f t="shared" si="34"/>
        <v>0</v>
      </c>
      <c r="AP70" s="126">
        <f t="shared" si="35"/>
        <v>0</v>
      </c>
      <c r="AQ70" s="125">
        <f t="shared" ref="AQ70:AQ133" si="72">IF(A70="","",AQ69-IF(F70=Urlaub,1,0)+IF(AND(MONTH(A70)=1,DAY(A70)=1),B_UrlaubNeu,0))</f>
        <v>30</v>
      </c>
      <c r="AR70" s="125">
        <f t="shared" ref="AR70:AR133" ca="1" si="73">IF(A70="","",IF(D70=D69,AR69,OFFSET(AR70,-1,COLUMN(db_jUrlRest)-COLUMN()))+IF(AND(MONTH(A70)=1,DAY(A70)=1),B_UrlaubNeu,0))</f>
        <v>30</v>
      </c>
      <c r="AS70" s="135">
        <f t="shared" ref="AS70:AS133" si="74">(IF(ISNUMBER(V70),V70,0)+IF(ISNUMBER(AD70),AD70,0))*24</f>
        <v>0</v>
      </c>
      <c r="AT70" s="125">
        <f t="shared" ref="AT70:AT133" si="75">IF(ISNUMBER(AD70),K_ArbeitOverMax,IF(AND(ISNUMBER(AA70),AA70&gt;0),K_ArbeitOverTime,IF(AND(ISNUMBER(V70),V70&gt;0),K_ArbeitNormal,IF(F70=Krank,K_Krank,IF(F70=Urlaub,K_Urlaub,IF(AK70=Feiertag,K_Feiertag,IF(OR(AK70=6,AK70=7),K_Wochenende,0)))))))+IF(F70=Gleittag,K_Gleittag,0)</f>
        <v>0</v>
      </c>
      <c r="AU70" t="b">
        <f>OR((F70&gt;0),(NOT(ISBLANK(H70))),SUM(H70:H$373),SUM(G70:G$373))</f>
        <v>0</v>
      </c>
      <c r="AV70" t="b">
        <f t="shared" ca="1" si="57"/>
        <v>0</v>
      </c>
      <c r="AX70" s="228">
        <f>SUM(AW$5:AW70)</f>
        <v>-2.9166666666666665</v>
      </c>
    </row>
    <row r="71" spans="1:50">
      <c r="A71" s="308">
        <f t="shared" ref="A71:A134" si="76">IF(A70="","",IF((A70+1)&gt;=DATE(YEAR(xJahr)+1,MONTH(xJahr),DAY(xJahr)),"",A70+1))</f>
        <v>42434</v>
      </c>
      <c r="B71" s="309">
        <f t="shared" ref="B71:B134" si="77">IF(A71="","",A71)</f>
        <v>42434</v>
      </c>
      <c r="C71" s="310">
        <f t="shared" si="45"/>
        <v>10</v>
      </c>
      <c r="D71" s="311">
        <f t="shared" si="46"/>
        <v>42429</v>
      </c>
      <c r="E71" s="321" t="str">
        <f t="shared" si="58"/>
        <v/>
      </c>
      <c r="F71" s="5"/>
      <c r="G71" s="6" t="str">
        <f t="shared" si="59"/>
        <v/>
      </c>
      <c r="H71" s="7"/>
      <c r="I71" s="7">
        <f t="shared" si="60"/>
        <v>0</v>
      </c>
      <c r="J71" s="113">
        <f t="shared" si="48"/>
        <v>0</v>
      </c>
      <c r="K71" s="7"/>
      <c r="L71" s="7">
        <f t="shared" si="61"/>
        <v>0</v>
      </c>
      <c r="M71" s="113">
        <f t="shared" si="62"/>
        <v>0</v>
      </c>
      <c r="N71" s="113"/>
      <c r="O71" s="113">
        <f t="shared" si="49"/>
        <v>0</v>
      </c>
      <c r="P71" s="113"/>
      <c r="Q71" s="113">
        <f t="shared" si="63"/>
        <v>0</v>
      </c>
      <c r="R71" s="113">
        <f t="shared" si="64"/>
        <v>0</v>
      </c>
      <c r="S71" s="113">
        <f t="shared" si="39"/>
        <v>0</v>
      </c>
      <c r="T71" s="113">
        <f t="shared" si="65"/>
        <v>0</v>
      </c>
      <c r="U71" s="113">
        <f t="shared" si="40"/>
        <v>0</v>
      </c>
      <c r="V71" s="146">
        <f t="shared" si="66"/>
        <v>0</v>
      </c>
      <c r="W71" s="66"/>
      <c r="X71" s="115">
        <f t="shared" si="50"/>
        <v>3.125E-2</v>
      </c>
      <c r="Y71" s="110">
        <f t="shared" si="67"/>
        <v>0</v>
      </c>
      <c r="Z71" s="111">
        <f t="shared" si="47"/>
        <v>0.29166666666666669</v>
      </c>
      <c r="AA71" s="112">
        <f t="shared" si="68"/>
        <v>0</v>
      </c>
      <c r="AB71" s="67" t="str">
        <f t="shared" si="69"/>
        <v/>
      </c>
      <c r="AC71" s="193">
        <f t="shared" si="51"/>
        <v>0</v>
      </c>
      <c r="AD71" s="144" t="str">
        <f t="shared" si="52"/>
        <v/>
      </c>
      <c r="AE71" s="228">
        <f t="shared" ref="AE71:AE134" si="78">IF(AU71,(AE70+SUM(AA71)-AF71),)</f>
        <v>0</v>
      </c>
      <c r="AF71" s="110"/>
      <c r="AG71" s="110" t="str">
        <f t="shared" si="70"/>
        <v/>
      </c>
      <c r="AH71" s="68">
        <f t="shared" si="53"/>
        <v>0</v>
      </c>
      <c r="AI71" s="68">
        <f t="shared" si="54"/>
        <v>0</v>
      </c>
      <c r="AJ71" s="68" t="str">
        <f t="shared" si="55"/>
        <v/>
      </c>
      <c r="AK71">
        <f t="shared" si="56"/>
        <v>5</v>
      </c>
      <c r="AL71" s="122">
        <f>SUM($AD$6:AD71)</f>
        <v>0</v>
      </c>
      <c r="AM71" s="122">
        <f t="shared" ca="1" si="71"/>
        <v>0</v>
      </c>
      <c r="AN71" s="126">
        <f t="shared" ref="AN71:AN134" si="79">IF(OR($G71=-1,$G71=82),-1,IF(OR($G71=0,$G71=83),1,0))</f>
        <v>0</v>
      </c>
      <c r="AO71" s="126">
        <f t="shared" ref="AO71:AO134" si="80">IF($F71=Krank,1,IF($F71="J",-1,0))</f>
        <v>0</v>
      </c>
      <c r="AP71" s="126">
        <f t="shared" ref="AP71:AP134" si="81">IF($F71=Urlaub,1,IF($F71="T",-1,0))</f>
        <v>0</v>
      </c>
      <c r="AQ71" s="125">
        <f t="shared" si="72"/>
        <v>30</v>
      </c>
      <c r="AR71" s="125">
        <f t="shared" ca="1" si="73"/>
        <v>30</v>
      </c>
      <c r="AS71" s="135">
        <f t="shared" si="74"/>
        <v>0</v>
      </c>
      <c r="AT71" s="125">
        <f t="shared" si="75"/>
        <v>0</v>
      </c>
      <c r="AU71" t="b">
        <f>OR((F71&gt;0),(NOT(ISBLANK(H71))),SUM(H71:H$373),SUM(G71:G$373))</f>
        <v>0</v>
      </c>
      <c r="AV71" t="b">
        <f t="shared" ca="1" si="57"/>
        <v>0</v>
      </c>
      <c r="AX71" s="228">
        <f>SUM(AW$5:AW71)</f>
        <v>-2.9166666666666665</v>
      </c>
    </row>
    <row r="72" spans="1:50">
      <c r="A72" s="308">
        <f t="shared" si="76"/>
        <v>42435</v>
      </c>
      <c r="B72" s="309">
        <f t="shared" si="77"/>
        <v>42435</v>
      </c>
      <c r="C72" s="310">
        <f t="shared" si="45"/>
        <v>10</v>
      </c>
      <c r="D72" s="311">
        <f t="shared" si="46"/>
        <v>42429</v>
      </c>
      <c r="E72" s="321" t="str">
        <f t="shared" si="58"/>
        <v/>
      </c>
      <c r="F72" s="5"/>
      <c r="G72" s="6" t="str">
        <f t="shared" si="59"/>
        <v/>
      </c>
      <c r="H72" s="7"/>
      <c r="I72" s="7">
        <f t="shared" si="60"/>
        <v>0</v>
      </c>
      <c r="J72" s="113">
        <f t="shared" si="48"/>
        <v>0</v>
      </c>
      <c r="K72" s="7"/>
      <c r="L72" s="7">
        <f t="shared" si="61"/>
        <v>0</v>
      </c>
      <c r="M72" s="113">
        <f t="shared" si="62"/>
        <v>0</v>
      </c>
      <c r="N72" s="113"/>
      <c r="O72" s="113">
        <f t="shared" si="49"/>
        <v>0</v>
      </c>
      <c r="P72" s="113"/>
      <c r="Q72" s="113">
        <f t="shared" si="63"/>
        <v>0</v>
      </c>
      <c r="R72" s="113">
        <f t="shared" si="64"/>
        <v>0</v>
      </c>
      <c r="S72" s="113">
        <f t="shared" ref="S72:S135" si="82">IF(K72&gt;0,K72-I72,0)+IF(N72&gt;0,N72-L72)</f>
        <v>0</v>
      </c>
      <c r="T72" s="113">
        <f t="shared" si="65"/>
        <v>0</v>
      </c>
      <c r="U72" s="113">
        <f t="shared" ref="U72:U135" si="83">IF(T72&gt;S72,T72-S72,0)</f>
        <v>0</v>
      </c>
      <c r="V72" s="146">
        <f t="shared" si="66"/>
        <v>0</v>
      </c>
      <c r="W72" s="66"/>
      <c r="X72" s="115">
        <f t="shared" si="50"/>
        <v>3.125E-2</v>
      </c>
      <c r="Y72" s="110">
        <f t="shared" si="67"/>
        <v>0</v>
      </c>
      <c r="Z72" s="111">
        <f t="shared" si="47"/>
        <v>0</v>
      </c>
      <c r="AA72" s="112">
        <f t="shared" si="68"/>
        <v>0</v>
      </c>
      <c r="AB72" s="67" t="str">
        <f t="shared" si="69"/>
        <v/>
      </c>
      <c r="AC72" s="193">
        <f t="shared" si="51"/>
        <v>0</v>
      </c>
      <c r="AD72" s="144" t="str">
        <f t="shared" si="52"/>
        <v/>
      </c>
      <c r="AE72" s="228">
        <f t="shared" si="78"/>
        <v>0</v>
      </c>
      <c r="AF72" s="110"/>
      <c r="AG72" s="110" t="str">
        <f t="shared" si="70"/>
        <v/>
      </c>
      <c r="AH72" s="68">
        <f t="shared" si="53"/>
        <v>0</v>
      </c>
      <c r="AI72" s="68">
        <f t="shared" si="54"/>
        <v>0</v>
      </c>
      <c r="AJ72" s="68" t="str">
        <f t="shared" si="55"/>
        <v/>
      </c>
      <c r="AK72">
        <f t="shared" si="56"/>
        <v>6</v>
      </c>
      <c r="AL72" s="122">
        <f>SUM($AD$6:AD72)</f>
        <v>0</v>
      </c>
      <c r="AM72" s="122">
        <f t="shared" ca="1" si="71"/>
        <v>0</v>
      </c>
      <c r="AN72" s="126">
        <f t="shared" si="79"/>
        <v>0</v>
      </c>
      <c r="AO72" s="126">
        <f t="shared" si="80"/>
        <v>0</v>
      </c>
      <c r="AP72" s="126">
        <f t="shared" si="81"/>
        <v>0</v>
      </c>
      <c r="AQ72" s="125">
        <f t="shared" si="72"/>
        <v>30</v>
      </c>
      <c r="AR72" s="125">
        <f t="shared" ca="1" si="73"/>
        <v>30</v>
      </c>
      <c r="AS72" s="135">
        <f t="shared" si="74"/>
        <v>0</v>
      </c>
      <c r="AT72" s="125">
        <f t="shared" si="75"/>
        <v>7</v>
      </c>
      <c r="AU72" t="b">
        <f>OR((F72&gt;0),(NOT(ISBLANK(H72))),SUM(H72:H$373),SUM(G72:G$373))</f>
        <v>0</v>
      </c>
      <c r="AV72" t="b">
        <f t="shared" ca="1" si="57"/>
        <v>1</v>
      </c>
      <c r="AX72" s="228">
        <f>SUM(AW$5:AW72)</f>
        <v>-2.9166666666666665</v>
      </c>
    </row>
    <row r="73" spans="1:50">
      <c r="A73" s="308">
        <f t="shared" si="76"/>
        <v>42436</v>
      </c>
      <c r="B73" s="309">
        <f t="shared" si="77"/>
        <v>42436</v>
      </c>
      <c r="C73" s="310">
        <f t="shared" si="45"/>
        <v>10</v>
      </c>
      <c r="D73" s="311">
        <f t="shared" si="46"/>
        <v>42429</v>
      </c>
      <c r="E73" s="321" t="str">
        <f t="shared" si="58"/>
        <v/>
      </c>
      <c r="F73" s="5"/>
      <c r="G73" s="6" t="str">
        <f t="shared" si="59"/>
        <v/>
      </c>
      <c r="H73" s="7"/>
      <c r="I73" s="7">
        <f t="shared" si="60"/>
        <v>0</v>
      </c>
      <c r="J73" s="113">
        <f t="shared" si="48"/>
        <v>0</v>
      </c>
      <c r="K73" s="7"/>
      <c r="L73" s="7">
        <f t="shared" si="61"/>
        <v>0</v>
      </c>
      <c r="M73" s="113">
        <f t="shared" si="62"/>
        <v>0</v>
      </c>
      <c r="N73" s="113"/>
      <c r="O73" s="113">
        <f t="shared" si="49"/>
        <v>0</v>
      </c>
      <c r="P73" s="113"/>
      <c r="Q73" s="113">
        <f t="shared" si="63"/>
        <v>0</v>
      </c>
      <c r="R73" s="113">
        <f t="shared" si="64"/>
        <v>0</v>
      </c>
      <c r="S73" s="113">
        <f t="shared" si="82"/>
        <v>0</v>
      </c>
      <c r="T73" s="113">
        <f t="shared" si="65"/>
        <v>0</v>
      </c>
      <c r="U73" s="113">
        <f t="shared" si="83"/>
        <v>0</v>
      </c>
      <c r="V73" s="146">
        <f t="shared" si="66"/>
        <v>0</v>
      </c>
      <c r="W73" s="66"/>
      <c r="X73" s="115">
        <f t="shared" si="50"/>
        <v>3.125E-2</v>
      </c>
      <c r="Y73" s="110">
        <f t="shared" si="67"/>
        <v>0</v>
      </c>
      <c r="Z73" s="111">
        <f t="shared" si="47"/>
        <v>0</v>
      </c>
      <c r="AA73" s="112">
        <f t="shared" si="68"/>
        <v>0</v>
      </c>
      <c r="AB73" s="67" t="str">
        <f t="shared" si="69"/>
        <v/>
      </c>
      <c r="AC73" s="193">
        <f t="shared" si="51"/>
        <v>0</v>
      </c>
      <c r="AD73" s="144" t="str">
        <f t="shared" si="52"/>
        <v/>
      </c>
      <c r="AE73" s="228">
        <f t="shared" si="78"/>
        <v>0</v>
      </c>
      <c r="AF73" s="110"/>
      <c r="AG73" s="110" t="str">
        <f t="shared" si="70"/>
        <v/>
      </c>
      <c r="AH73" s="68">
        <f t="shared" si="53"/>
        <v>0</v>
      </c>
      <c r="AI73" s="68">
        <f t="shared" si="54"/>
        <v>0</v>
      </c>
      <c r="AJ73" s="68" t="str">
        <f t="shared" si="55"/>
        <v/>
      </c>
      <c r="AK73">
        <f t="shared" si="56"/>
        <v>7</v>
      </c>
      <c r="AL73" s="122">
        <f>SUM($AD$6:AD73)</f>
        <v>0</v>
      </c>
      <c r="AM73" s="122">
        <f t="shared" ca="1" si="71"/>
        <v>0</v>
      </c>
      <c r="AN73" s="126">
        <f t="shared" si="79"/>
        <v>0</v>
      </c>
      <c r="AO73" s="126">
        <f t="shared" si="80"/>
        <v>0</v>
      </c>
      <c r="AP73" s="126">
        <f t="shared" si="81"/>
        <v>0</v>
      </c>
      <c r="AQ73" s="125">
        <f t="shared" si="72"/>
        <v>30</v>
      </c>
      <c r="AR73" s="125">
        <f t="shared" ca="1" si="73"/>
        <v>30</v>
      </c>
      <c r="AS73" s="135">
        <f t="shared" si="74"/>
        <v>0</v>
      </c>
      <c r="AT73" s="125">
        <f t="shared" si="75"/>
        <v>7</v>
      </c>
      <c r="AU73" t="b">
        <f>OR((F73&gt;0),(NOT(ISBLANK(H73))),SUM(H73:H$373),SUM(G73:G$373))</f>
        <v>0</v>
      </c>
      <c r="AV73" t="b">
        <f t="shared" ca="1" si="57"/>
        <v>1</v>
      </c>
      <c r="AX73" s="228">
        <f>SUM(AW$5:AW73)</f>
        <v>-2.9166666666666665</v>
      </c>
    </row>
    <row r="74" spans="1:50">
      <c r="A74" s="308">
        <f t="shared" si="76"/>
        <v>42437</v>
      </c>
      <c r="B74" s="309">
        <f t="shared" si="77"/>
        <v>42437</v>
      </c>
      <c r="C74" s="310">
        <f t="shared" si="45"/>
        <v>11</v>
      </c>
      <c r="D74" s="311">
        <f t="shared" si="46"/>
        <v>42429</v>
      </c>
      <c r="E74" s="321" t="str">
        <f t="shared" si="58"/>
        <v/>
      </c>
      <c r="F74" s="5"/>
      <c r="G74" s="6" t="str">
        <f t="shared" si="59"/>
        <v/>
      </c>
      <c r="H74" s="7"/>
      <c r="I74" s="7">
        <f t="shared" si="60"/>
        <v>0</v>
      </c>
      <c r="J74" s="113">
        <f t="shared" si="48"/>
        <v>0</v>
      </c>
      <c r="K74" s="7"/>
      <c r="L74" s="7">
        <f t="shared" si="61"/>
        <v>0</v>
      </c>
      <c r="M74" s="113">
        <f t="shared" si="62"/>
        <v>0</v>
      </c>
      <c r="N74" s="113"/>
      <c r="O74" s="113">
        <f t="shared" si="49"/>
        <v>0</v>
      </c>
      <c r="P74" s="113"/>
      <c r="Q74" s="113">
        <f t="shared" si="63"/>
        <v>0</v>
      </c>
      <c r="R74" s="113">
        <f t="shared" si="64"/>
        <v>0</v>
      </c>
      <c r="S74" s="113">
        <f t="shared" si="82"/>
        <v>0</v>
      </c>
      <c r="T74" s="113">
        <f t="shared" si="65"/>
        <v>0</v>
      </c>
      <c r="U74" s="113">
        <f t="shared" si="83"/>
        <v>0</v>
      </c>
      <c r="V74" s="146">
        <f t="shared" si="66"/>
        <v>0</v>
      </c>
      <c r="W74" s="66"/>
      <c r="X74" s="115">
        <f t="shared" si="50"/>
        <v>3.125E-2</v>
      </c>
      <c r="Y74" s="110">
        <f t="shared" si="67"/>
        <v>0</v>
      </c>
      <c r="Z74" s="111">
        <f t="shared" si="47"/>
        <v>0.29166666666666669</v>
      </c>
      <c r="AA74" s="112">
        <f t="shared" si="68"/>
        <v>0</v>
      </c>
      <c r="AB74" s="67" t="str">
        <f t="shared" si="69"/>
        <v/>
      </c>
      <c r="AC74" s="193">
        <f t="shared" si="51"/>
        <v>0</v>
      </c>
      <c r="AD74" s="144" t="str">
        <f t="shared" si="52"/>
        <v/>
      </c>
      <c r="AE74" s="228">
        <f t="shared" si="78"/>
        <v>0</v>
      </c>
      <c r="AF74" s="110"/>
      <c r="AG74" s="110" t="str">
        <f t="shared" si="70"/>
        <v/>
      </c>
      <c r="AH74" s="68">
        <f t="shared" si="53"/>
        <v>0</v>
      </c>
      <c r="AI74" s="68">
        <f t="shared" si="54"/>
        <v>0</v>
      </c>
      <c r="AJ74" s="68" t="str">
        <f t="shared" si="55"/>
        <v/>
      </c>
      <c r="AK74">
        <f t="shared" si="56"/>
        <v>1</v>
      </c>
      <c r="AL74" s="122">
        <f>SUM($AD$6:AD74)</f>
        <v>0</v>
      </c>
      <c r="AM74" s="122">
        <f t="shared" ca="1" si="71"/>
        <v>0</v>
      </c>
      <c r="AN74" s="126">
        <f t="shared" si="79"/>
        <v>0</v>
      </c>
      <c r="AO74" s="126">
        <f t="shared" si="80"/>
        <v>0</v>
      </c>
      <c r="AP74" s="126">
        <f t="shared" si="81"/>
        <v>0</v>
      </c>
      <c r="AQ74" s="125">
        <f t="shared" si="72"/>
        <v>30</v>
      </c>
      <c r="AR74" s="125">
        <f t="shared" ca="1" si="73"/>
        <v>30</v>
      </c>
      <c r="AS74" s="135">
        <f t="shared" si="74"/>
        <v>0</v>
      </c>
      <c r="AT74" s="125">
        <f t="shared" si="75"/>
        <v>0</v>
      </c>
      <c r="AU74" t="b">
        <f>OR((F74&gt;0),(NOT(ISBLANK(H74))),SUM(H74:H$373),SUM(G74:G$373))</f>
        <v>0</v>
      </c>
      <c r="AV74" t="b">
        <f t="shared" ca="1" si="57"/>
        <v>0</v>
      </c>
      <c r="AX74" s="228">
        <f>SUM(AW$5:AW74)</f>
        <v>-2.9166666666666665</v>
      </c>
    </row>
    <row r="75" spans="1:50">
      <c r="A75" s="308">
        <f t="shared" si="76"/>
        <v>42438</v>
      </c>
      <c r="B75" s="309">
        <f t="shared" si="77"/>
        <v>42438</v>
      </c>
      <c r="C75" s="310">
        <f t="shared" si="45"/>
        <v>11</v>
      </c>
      <c r="D75" s="311">
        <f t="shared" si="46"/>
        <v>42429</v>
      </c>
      <c r="E75" s="321" t="str">
        <f t="shared" si="58"/>
        <v/>
      </c>
      <c r="F75" s="5"/>
      <c r="G75" s="6" t="str">
        <f t="shared" si="59"/>
        <v/>
      </c>
      <c r="H75" s="7"/>
      <c r="I75" s="7">
        <f t="shared" si="60"/>
        <v>0</v>
      </c>
      <c r="J75" s="113">
        <f t="shared" si="48"/>
        <v>0</v>
      </c>
      <c r="K75" s="7"/>
      <c r="L75" s="7">
        <f t="shared" si="61"/>
        <v>0</v>
      </c>
      <c r="M75" s="113">
        <f t="shared" si="62"/>
        <v>0</v>
      </c>
      <c r="N75" s="113"/>
      <c r="O75" s="113">
        <f t="shared" si="49"/>
        <v>0</v>
      </c>
      <c r="P75" s="113"/>
      <c r="Q75" s="113">
        <f t="shared" si="63"/>
        <v>0</v>
      </c>
      <c r="R75" s="113">
        <f t="shared" si="64"/>
        <v>0</v>
      </c>
      <c r="S75" s="113">
        <f t="shared" si="82"/>
        <v>0</v>
      </c>
      <c r="T75" s="113">
        <f t="shared" si="65"/>
        <v>0</v>
      </c>
      <c r="U75" s="113">
        <f t="shared" si="83"/>
        <v>0</v>
      </c>
      <c r="V75" s="146">
        <f t="shared" si="66"/>
        <v>0</v>
      </c>
      <c r="W75" s="66"/>
      <c r="X75" s="115">
        <f t="shared" si="50"/>
        <v>3.125E-2</v>
      </c>
      <c r="Y75" s="110">
        <f t="shared" si="67"/>
        <v>0</v>
      </c>
      <c r="Z75" s="111">
        <f t="shared" si="47"/>
        <v>0.29166666666666669</v>
      </c>
      <c r="AA75" s="112">
        <f t="shared" si="68"/>
        <v>0</v>
      </c>
      <c r="AB75" s="67" t="str">
        <f t="shared" si="69"/>
        <v/>
      </c>
      <c r="AC75" s="193">
        <f t="shared" si="51"/>
        <v>0</v>
      </c>
      <c r="AD75" s="144" t="str">
        <f t="shared" si="52"/>
        <v/>
      </c>
      <c r="AE75" s="228">
        <f t="shared" si="78"/>
        <v>0</v>
      </c>
      <c r="AF75" s="110"/>
      <c r="AG75" s="110" t="str">
        <f t="shared" si="70"/>
        <v/>
      </c>
      <c r="AH75" s="68">
        <f t="shared" si="53"/>
        <v>0</v>
      </c>
      <c r="AI75" s="68">
        <f t="shared" si="54"/>
        <v>0</v>
      </c>
      <c r="AJ75" s="68" t="str">
        <f t="shared" si="55"/>
        <v/>
      </c>
      <c r="AK75">
        <f t="shared" si="56"/>
        <v>2</v>
      </c>
      <c r="AL75" s="122">
        <f>SUM($AD$6:AD75)</f>
        <v>0</v>
      </c>
      <c r="AM75" s="122">
        <f t="shared" ca="1" si="71"/>
        <v>0</v>
      </c>
      <c r="AN75" s="126">
        <f t="shared" si="79"/>
        <v>0</v>
      </c>
      <c r="AO75" s="126">
        <f t="shared" si="80"/>
        <v>0</v>
      </c>
      <c r="AP75" s="126">
        <f t="shared" si="81"/>
        <v>0</v>
      </c>
      <c r="AQ75" s="125">
        <f t="shared" si="72"/>
        <v>30</v>
      </c>
      <c r="AR75" s="125">
        <f t="shared" ca="1" si="73"/>
        <v>30</v>
      </c>
      <c r="AS75" s="135">
        <f t="shared" si="74"/>
        <v>0</v>
      </c>
      <c r="AT75" s="125">
        <f t="shared" si="75"/>
        <v>0</v>
      </c>
      <c r="AU75" t="b">
        <f>OR((F75&gt;0),(NOT(ISBLANK(H75))),SUM(H75:H$373),SUM(G75:G$373))</f>
        <v>0</v>
      </c>
      <c r="AV75" t="b">
        <f t="shared" ca="1" si="57"/>
        <v>0</v>
      </c>
      <c r="AX75" s="228">
        <f>SUM(AW$5:AW75)</f>
        <v>-2.9166666666666665</v>
      </c>
    </row>
    <row r="76" spans="1:50">
      <c r="A76" s="308">
        <f t="shared" si="76"/>
        <v>42439</v>
      </c>
      <c r="B76" s="309">
        <f t="shared" si="77"/>
        <v>42439</v>
      </c>
      <c r="C76" s="310">
        <f t="shared" si="45"/>
        <v>11</v>
      </c>
      <c r="D76" s="311">
        <f t="shared" si="46"/>
        <v>42429</v>
      </c>
      <c r="E76" s="321" t="str">
        <f t="shared" si="58"/>
        <v/>
      </c>
      <c r="F76" s="5"/>
      <c r="G76" s="6" t="str">
        <f t="shared" si="59"/>
        <v/>
      </c>
      <c r="H76" s="7"/>
      <c r="I76" s="7">
        <f t="shared" si="60"/>
        <v>0</v>
      </c>
      <c r="J76" s="113">
        <f t="shared" si="48"/>
        <v>0</v>
      </c>
      <c r="K76" s="7"/>
      <c r="L76" s="7">
        <f t="shared" si="61"/>
        <v>0</v>
      </c>
      <c r="M76" s="113">
        <f t="shared" si="62"/>
        <v>0</v>
      </c>
      <c r="N76" s="113"/>
      <c r="O76" s="113">
        <f t="shared" si="49"/>
        <v>0</v>
      </c>
      <c r="P76" s="113"/>
      <c r="Q76" s="113">
        <f t="shared" si="63"/>
        <v>0</v>
      </c>
      <c r="R76" s="113">
        <f t="shared" si="64"/>
        <v>0</v>
      </c>
      <c r="S76" s="113">
        <f t="shared" si="82"/>
        <v>0</v>
      </c>
      <c r="T76" s="113">
        <f t="shared" si="65"/>
        <v>0</v>
      </c>
      <c r="U76" s="113">
        <f t="shared" si="83"/>
        <v>0</v>
      </c>
      <c r="V76" s="146">
        <f t="shared" si="66"/>
        <v>0</v>
      </c>
      <c r="W76" s="66"/>
      <c r="X76" s="115">
        <f t="shared" si="50"/>
        <v>3.125E-2</v>
      </c>
      <c r="Y76" s="110">
        <f t="shared" si="67"/>
        <v>0</v>
      </c>
      <c r="Z76" s="111">
        <f t="shared" si="47"/>
        <v>0.29166666666666669</v>
      </c>
      <c r="AA76" s="112">
        <f t="shared" si="68"/>
        <v>0</v>
      </c>
      <c r="AB76" s="67" t="str">
        <f t="shared" si="69"/>
        <v/>
      </c>
      <c r="AC76" s="193">
        <f t="shared" si="51"/>
        <v>0</v>
      </c>
      <c r="AD76" s="144" t="str">
        <f t="shared" si="52"/>
        <v/>
      </c>
      <c r="AE76" s="228">
        <f t="shared" si="78"/>
        <v>0</v>
      </c>
      <c r="AF76" s="110"/>
      <c r="AG76" s="110" t="str">
        <f t="shared" si="70"/>
        <v/>
      </c>
      <c r="AH76" s="68">
        <f t="shared" si="53"/>
        <v>0</v>
      </c>
      <c r="AI76" s="68">
        <f t="shared" si="54"/>
        <v>0</v>
      </c>
      <c r="AJ76" s="68" t="str">
        <f t="shared" si="55"/>
        <v/>
      </c>
      <c r="AK76">
        <f t="shared" si="56"/>
        <v>3</v>
      </c>
      <c r="AL76" s="122">
        <f>SUM($AD$6:AD76)</f>
        <v>0</v>
      </c>
      <c r="AM76" s="122">
        <f t="shared" ca="1" si="71"/>
        <v>0</v>
      </c>
      <c r="AN76" s="126">
        <f t="shared" si="79"/>
        <v>0</v>
      </c>
      <c r="AO76" s="126">
        <f t="shared" si="80"/>
        <v>0</v>
      </c>
      <c r="AP76" s="126">
        <f t="shared" si="81"/>
        <v>0</v>
      </c>
      <c r="AQ76" s="125">
        <f t="shared" si="72"/>
        <v>30</v>
      </c>
      <c r="AR76" s="125">
        <f t="shared" ca="1" si="73"/>
        <v>30</v>
      </c>
      <c r="AS76" s="135">
        <f t="shared" si="74"/>
        <v>0</v>
      </c>
      <c r="AT76" s="125">
        <f t="shared" si="75"/>
        <v>0</v>
      </c>
      <c r="AU76" t="b">
        <f>OR((F76&gt;0),(NOT(ISBLANK(H76))),SUM(H76:H$373),SUM(G76:G$373))</f>
        <v>0</v>
      </c>
      <c r="AV76" t="b">
        <f t="shared" ca="1" si="57"/>
        <v>0</v>
      </c>
      <c r="AX76" s="228">
        <f>SUM(AW$5:AW76)</f>
        <v>-2.9166666666666665</v>
      </c>
    </row>
    <row r="77" spans="1:50">
      <c r="A77" s="308">
        <f t="shared" si="76"/>
        <v>42440</v>
      </c>
      <c r="B77" s="309">
        <f t="shared" si="77"/>
        <v>42440</v>
      </c>
      <c r="C77" s="310">
        <f t="shared" si="45"/>
        <v>11</v>
      </c>
      <c r="D77" s="311">
        <f t="shared" si="46"/>
        <v>42429</v>
      </c>
      <c r="E77" s="321" t="str">
        <f t="shared" si="58"/>
        <v/>
      </c>
      <c r="F77" s="5"/>
      <c r="G77" s="6" t="str">
        <f t="shared" si="59"/>
        <v/>
      </c>
      <c r="H77" s="7"/>
      <c r="I77" s="7">
        <f t="shared" si="60"/>
        <v>0</v>
      </c>
      <c r="J77" s="113">
        <f t="shared" si="48"/>
        <v>0</v>
      </c>
      <c r="K77" s="7"/>
      <c r="L77" s="7">
        <f t="shared" si="61"/>
        <v>0</v>
      </c>
      <c r="M77" s="113">
        <f t="shared" si="62"/>
        <v>0</v>
      </c>
      <c r="N77" s="113"/>
      <c r="O77" s="113">
        <f t="shared" si="49"/>
        <v>0</v>
      </c>
      <c r="P77" s="113"/>
      <c r="Q77" s="113">
        <f t="shared" si="63"/>
        <v>0</v>
      </c>
      <c r="R77" s="113">
        <f t="shared" si="64"/>
        <v>0</v>
      </c>
      <c r="S77" s="113">
        <f t="shared" si="82"/>
        <v>0</v>
      </c>
      <c r="T77" s="113">
        <f t="shared" si="65"/>
        <v>0</v>
      </c>
      <c r="U77" s="113">
        <f t="shared" si="83"/>
        <v>0</v>
      </c>
      <c r="V77" s="146">
        <f t="shared" si="66"/>
        <v>0</v>
      </c>
      <c r="W77" s="66"/>
      <c r="X77" s="115">
        <f t="shared" si="50"/>
        <v>3.125E-2</v>
      </c>
      <c r="Y77" s="110">
        <f t="shared" si="67"/>
        <v>0</v>
      </c>
      <c r="Z77" s="111">
        <f t="shared" si="47"/>
        <v>0.29166666666666669</v>
      </c>
      <c r="AA77" s="112">
        <f t="shared" si="68"/>
        <v>0</v>
      </c>
      <c r="AB77" s="67" t="str">
        <f t="shared" si="69"/>
        <v/>
      </c>
      <c r="AC77" s="193">
        <f t="shared" si="51"/>
        <v>0</v>
      </c>
      <c r="AD77" s="144" t="str">
        <f t="shared" si="52"/>
        <v/>
      </c>
      <c r="AE77" s="228">
        <f t="shared" si="78"/>
        <v>0</v>
      </c>
      <c r="AF77" s="110"/>
      <c r="AG77" s="110" t="str">
        <f t="shared" si="70"/>
        <v/>
      </c>
      <c r="AH77" s="68">
        <f t="shared" si="53"/>
        <v>0</v>
      </c>
      <c r="AI77" s="68">
        <f t="shared" si="54"/>
        <v>0</v>
      </c>
      <c r="AJ77" s="68" t="str">
        <f t="shared" si="55"/>
        <v/>
      </c>
      <c r="AK77">
        <f t="shared" si="56"/>
        <v>4</v>
      </c>
      <c r="AL77" s="122">
        <f>SUM($AD$6:AD77)</f>
        <v>0</v>
      </c>
      <c r="AM77" s="122">
        <f t="shared" ca="1" si="71"/>
        <v>0</v>
      </c>
      <c r="AN77" s="126">
        <f t="shared" si="79"/>
        <v>0</v>
      </c>
      <c r="AO77" s="126">
        <f t="shared" si="80"/>
        <v>0</v>
      </c>
      <c r="AP77" s="126">
        <f t="shared" si="81"/>
        <v>0</v>
      </c>
      <c r="AQ77" s="125">
        <f t="shared" si="72"/>
        <v>30</v>
      </c>
      <c r="AR77" s="125">
        <f t="shared" ca="1" si="73"/>
        <v>30</v>
      </c>
      <c r="AS77" s="135">
        <f t="shared" si="74"/>
        <v>0</v>
      </c>
      <c r="AT77" s="125">
        <f t="shared" si="75"/>
        <v>0</v>
      </c>
      <c r="AU77" t="b">
        <f>OR((F77&gt;0),(NOT(ISBLANK(H77))),SUM(H77:H$373),SUM(G77:G$373))</f>
        <v>0</v>
      </c>
      <c r="AV77" t="b">
        <f t="shared" ca="1" si="57"/>
        <v>0</v>
      </c>
      <c r="AX77" s="228">
        <f>SUM(AW$5:AW77)</f>
        <v>-2.9166666666666665</v>
      </c>
    </row>
    <row r="78" spans="1:50">
      <c r="A78" s="308">
        <f t="shared" si="76"/>
        <v>42441</v>
      </c>
      <c r="B78" s="309">
        <f t="shared" si="77"/>
        <v>42441</v>
      </c>
      <c r="C78" s="310">
        <f t="shared" si="45"/>
        <v>11</v>
      </c>
      <c r="D78" s="311">
        <f t="shared" si="46"/>
        <v>42429</v>
      </c>
      <c r="E78" s="321" t="str">
        <f t="shared" si="58"/>
        <v/>
      </c>
      <c r="F78" s="5"/>
      <c r="G78" s="6" t="str">
        <f t="shared" si="59"/>
        <v/>
      </c>
      <c r="H78" s="7"/>
      <c r="I78" s="7">
        <f t="shared" si="60"/>
        <v>0</v>
      </c>
      <c r="J78" s="113">
        <f t="shared" si="48"/>
        <v>0</v>
      </c>
      <c r="K78" s="7"/>
      <c r="L78" s="7">
        <f t="shared" si="61"/>
        <v>0</v>
      </c>
      <c r="M78" s="113">
        <f t="shared" si="62"/>
        <v>0</v>
      </c>
      <c r="N78" s="113"/>
      <c r="O78" s="113">
        <f t="shared" si="49"/>
        <v>0</v>
      </c>
      <c r="P78" s="113"/>
      <c r="Q78" s="113">
        <f t="shared" si="63"/>
        <v>0</v>
      </c>
      <c r="R78" s="113">
        <f t="shared" si="64"/>
        <v>0</v>
      </c>
      <c r="S78" s="113">
        <f t="shared" si="82"/>
        <v>0</v>
      </c>
      <c r="T78" s="113">
        <f t="shared" si="65"/>
        <v>0</v>
      </c>
      <c r="U78" s="113">
        <f t="shared" si="83"/>
        <v>0</v>
      </c>
      <c r="V78" s="146">
        <f t="shared" si="66"/>
        <v>0</v>
      </c>
      <c r="W78" s="66"/>
      <c r="X78" s="115">
        <f t="shared" si="50"/>
        <v>3.125E-2</v>
      </c>
      <c r="Y78" s="110">
        <f t="shared" si="67"/>
        <v>0</v>
      </c>
      <c r="Z78" s="111">
        <f t="shared" si="47"/>
        <v>0.29166666666666669</v>
      </c>
      <c r="AA78" s="112">
        <f t="shared" si="68"/>
        <v>0</v>
      </c>
      <c r="AB78" s="67" t="str">
        <f t="shared" si="69"/>
        <v/>
      </c>
      <c r="AC78" s="193">
        <f t="shared" si="51"/>
        <v>0</v>
      </c>
      <c r="AD78" s="144" t="str">
        <f t="shared" si="52"/>
        <v/>
      </c>
      <c r="AE78" s="228">
        <f t="shared" si="78"/>
        <v>0</v>
      </c>
      <c r="AF78" s="110"/>
      <c r="AG78" s="110" t="str">
        <f t="shared" si="70"/>
        <v/>
      </c>
      <c r="AH78" s="68">
        <f t="shared" si="53"/>
        <v>0</v>
      </c>
      <c r="AI78" s="68">
        <f t="shared" si="54"/>
        <v>0</v>
      </c>
      <c r="AJ78" s="68" t="str">
        <f t="shared" si="55"/>
        <v/>
      </c>
      <c r="AK78">
        <f t="shared" si="56"/>
        <v>5</v>
      </c>
      <c r="AL78" s="122">
        <f>SUM($AD$6:AD78)</f>
        <v>0</v>
      </c>
      <c r="AM78" s="122">
        <f t="shared" ca="1" si="71"/>
        <v>0</v>
      </c>
      <c r="AN78" s="126">
        <f t="shared" si="79"/>
        <v>0</v>
      </c>
      <c r="AO78" s="126">
        <f t="shared" si="80"/>
        <v>0</v>
      </c>
      <c r="AP78" s="126">
        <f t="shared" si="81"/>
        <v>0</v>
      </c>
      <c r="AQ78" s="125">
        <f t="shared" si="72"/>
        <v>30</v>
      </c>
      <c r="AR78" s="125">
        <f t="shared" ca="1" si="73"/>
        <v>30</v>
      </c>
      <c r="AS78" s="135">
        <f t="shared" si="74"/>
        <v>0</v>
      </c>
      <c r="AT78" s="125">
        <f t="shared" si="75"/>
        <v>0</v>
      </c>
      <c r="AU78" t="b">
        <f>OR((F78&gt;0),(NOT(ISBLANK(H78))),SUM(H78:H$373),SUM(G78:G$373))</f>
        <v>0</v>
      </c>
      <c r="AV78" t="b">
        <f t="shared" ca="1" si="57"/>
        <v>0</v>
      </c>
      <c r="AX78" s="228">
        <f>SUM(AW$5:AW78)</f>
        <v>-2.9166666666666665</v>
      </c>
    </row>
    <row r="79" spans="1:50">
      <c r="A79" s="308">
        <f t="shared" si="76"/>
        <v>42442</v>
      </c>
      <c r="B79" s="309">
        <f t="shared" si="77"/>
        <v>42442</v>
      </c>
      <c r="C79" s="310">
        <f t="shared" si="45"/>
        <v>11</v>
      </c>
      <c r="D79" s="311">
        <f t="shared" si="46"/>
        <v>42429</v>
      </c>
      <c r="E79" s="321" t="str">
        <f t="shared" si="58"/>
        <v/>
      </c>
      <c r="F79" s="5"/>
      <c r="G79" s="6" t="str">
        <f t="shared" si="59"/>
        <v/>
      </c>
      <c r="H79" s="7"/>
      <c r="I79" s="7">
        <f t="shared" si="60"/>
        <v>0</v>
      </c>
      <c r="J79" s="113">
        <f t="shared" si="48"/>
        <v>0</v>
      </c>
      <c r="K79" s="7"/>
      <c r="L79" s="7">
        <f t="shared" si="61"/>
        <v>0</v>
      </c>
      <c r="M79" s="113">
        <f t="shared" si="62"/>
        <v>0</v>
      </c>
      <c r="N79" s="113"/>
      <c r="O79" s="113">
        <f t="shared" si="49"/>
        <v>0</v>
      </c>
      <c r="P79" s="113"/>
      <c r="Q79" s="113">
        <f t="shared" si="63"/>
        <v>0</v>
      </c>
      <c r="R79" s="113">
        <f t="shared" si="64"/>
        <v>0</v>
      </c>
      <c r="S79" s="113">
        <f t="shared" si="82"/>
        <v>0</v>
      </c>
      <c r="T79" s="113">
        <f t="shared" si="65"/>
        <v>0</v>
      </c>
      <c r="U79" s="113">
        <f t="shared" si="83"/>
        <v>0</v>
      </c>
      <c r="V79" s="146">
        <f t="shared" si="66"/>
        <v>0</v>
      </c>
      <c r="W79" s="66"/>
      <c r="X79" s="115">
        <f t="shared" si="50"/>
        <v>3.125E-2</v>
      </c>
      <c r="Y79" s="110">
        <f t="shared" si="67"/>
        <v>0</v>
      </c>
      <c r="Z79" s="111">
        <f t="shared" si="47"/>
        <v>0</v>
      </c>
      <c r="AA79" s="112">
        <f t="shared" si="68"/>
        <v>0</v>
      </c>
      <c r="AB79" s="67" t="str">
        <f t="shared" si="69"/>
        <v/>
      </c>
      <c r="AC79" s="193">
        <f t="shared" si="51"/>
        <v>0</v>
      </c>
      <c r="AD79" s="144" t="str">
        <f t="shared" si="52"/>
        <v/>
      </c>
      <c r="AE79" s="228">
        <f t="shared" si="78"/>
        <v>0</v>
      </c>
      <c r="AF79" s="110"/>
      <c r="AG79" s="110" t="str">
        <f t="shared" si="70"/>
        <v/>
      </c>
      <c r="AH79" s="68">
        <f t="shared" si="53"/>
        <v>0</v>
      </c>
      <c r="AI79" s="68">
        <f t="shared" si="54"/>
        <v>0</v>
      </c>
      <c r="AJ79" s="68" t="str">
        <f t="shared" si="55"/>
        <v/>
      </c>
      <c r="AK79">
        <f t="shared" si="56"/>
        <v>6</v>
      </c>
      <c r="AL79" s="122">
        <f>SUM($AD$6:AD79)</f>
        <v>0</v>
      </c>
      <c r="AM79" s="122">
        <f t="shared" ca="1" si="71"/>
        <v>0</v>
      </c>
      <c r="AN79" s="126">
        <f t="shared" si="79"/>
        <v>0</v>
      </c>
      <c r="AO79" s="126">
        <f t="shared" si="80"/>
        <v>0</v>
      </c>
      <c r="AP79" s="126">
        <f t="shared" si="81"/>
        <v>0</v>
      </c>
      <c r="AQ79" s="125">
        <f t="shared" si="72"/>
        <v>30</v>
      </c>
      <c r="AR79" s="125">
        <f t="shared" ca="1" si="73"/>
        <v>30</v>
      </c>
      <c r="AS79" s="135">
        <f t="shared" si="74"/>
        <v>0</v>
      </c>
      <c r="AT79" s="125">
        <f t="shared" si="75"/>
        <v>7</v>
      </c>
      <c r="AU79" t="b">
        <f>OR((F79&gt;0),(NOT(ISBLANK(H79))),SUM(H79:H$373),SUM(G79:G$373))</f>
        <v>0</v>
      </c>
      <c r="AV79" t="b">
        <f t="shared" ca="1" si="57"/>
        <v>1</v>
      </c>
      <c r="AX79" s="228">
        <f>SUM(AW$5:AW79)</f>
        <v>-2.9166666666666665</v>
      </c>
    </row>
    <row r="80" spans="1:50">
      <c r="A80" s="308">
        <f t="shared" si="76"/>
        <v>42443</v>
      </c>
      <c r="B80" s="309">
        <f t="shared" si="77"/>
        <v>42443</v>
      </c>
      <c r="C80" s="310">
        <f t="shared" si="45"/>
        <v>11</v>
      </c>
      <c r="D80" s="311">
        <f t="shared" si="46"/>
        <v>42429</v>
      </c>
      <c r="E80" s="321" t="str">
        <f t="shared" si="58"/>
        <v/>
      </c>
      <c r="F80" s="5"/>
      <c r="G80" s="6" t="str">
        <f t="shared" si="59"/>
        <v/>
      </c>
      <c r="H80" s="7"/>
      <c r="I80" s="7">
        <f t="shared" si="60"/>
        <v>0</v>
      </c>
      <c r="J80" s="113">
        <f t="shared" si="48"/>
        <v>0</v>
      </c>
      <c r="K80" s="7"/>
      <c r="L80" s="7">
        <f t="shared" si="61"/>
        <v>0</v>
      </c>
      <c r="M80" s="113">
        <f t="shared" si="62"/>
        <v>0</v>
      </c>
      <c r="N80" s="113"/>
      <c r="O80" s="113">
        <f t="shared" si="49"/>
        <v>0</v>
      </c>
      <c r="P80" s="113"/>
      <c r="Q80" s="113">
        <f t="shared" si="63"/>
        <v>0</v>
      </c>
      <c r="R80" s="113">
        <f t="shared" si="64"/>
        <v>0</v>
      </c>
      <c r="S80" s="113">
        <f t="shared" si="82"/>
        <v>0</v>
      </c>
      <c r="T80" s="113">
        <f t="shared" si="65"/>
        <v>0</v>
      </c>
      <c r="U80" s="113">
        <f t="shared" si="83"/>
        <v>0</v>
      </c>
      <c r="V80" s="146">
        <f t="shared" si="66"/>
        <v>0</v>
      </c>
      <c r="W80" s="66"/>
      <c r="X80" s="115">
        <f t="shared" si="50"/>
        <v>3.125E-2</v>
      </c>
      <c r="Y80" s="110">
        <f t="shared" si="67"/>
        <v>0</v>
      </c>
      <c r="Z80" s="111">
        <f t="shared" si="47"/>
        <v>0</v>
      </c>
      <c r="AA80" s="112">
        <f t="shared" si="68"/>
        <v>0</v>
      </c>
      <c r="AB80" s="67" t="str">
        <f t="shared" si="69"/>
        <v/>
      </c>
      <c r="AC80" s="193">
        <f t="shared" si="51"/>
        <v>0</v>
      </c>
      <c r="AD80" s="144" t="str">
        <f t="shared" si="52"/>
        <v/>
      </c>
      <c r="AE80" s="228">
        <f t="shared" si="78"/>
        <v>0</v>
      </c>
      <c r="AF80" s="110"/>
      <c r="AG80" s="110" t="str">
        <f t="shared" si="70"/>
        <v/>
      </c>
      <c r="AH80" s="68">
        <f t="shared" si="53"/>
        <v>0</v>
      </c>
      <c r="AI80" s="68">
        <f t="shared" si="54"/>
        <v>0</v>
      </c>
      <c r="AJ80" s="68" t="str">
        <f t="shared" si="55"/>
        <v/>
      </c>
      <c r="AK80">
        <f t="shared" si="56"/>
        <v>7</v>
      </c>
      <c r="AL80" s="122">
        <f>SUM($AD$6:AD80)</f>
        <v>0</v>
      </c>
      <c r="AM80" s="122">
        <f t="shared" ca="1" si="71"/>
        <v>0</v>
      </c>
      <c r="AN80" s="126">
        <f t="shared" si="79"/>
        <v>0</v>
      </c>
      <c r="AO80" s="126">
        <f t="shared" si="80"/>
        <v>0</v>
      </c>
      <c r="AP80" s="126">
        <f t="shared" si="81"/>
        <v>0</v>
      </c>
      <c r="AQ80" s="125">
        <f t="shared" si="72"/>
        <v>30</v>
      </c>
      <c r="AR80" s="125">
        <f t="shared" ca="1" si="73"/>
        <v>30</v>
      </c>
      <c r="AS80" s="135">
        <f t="shared" si="74"/>
        <v>0</v>
      </c>
      <c r="AT80" s="125">
        <f t="shared" si="75"/>
        <v>7</v>
      </c>
      <c r="AU80" t="b">
        <f>OR((F80&gt;0),(NOT(ISBLANK(H80))),SUM(H80:H$373),SUM(G80:G$373))</f>
        <v>0</v>
      </c>
      <c r="AV80" t="b">
        <f t="shared" ca="1" si="57"/>
        <v>1</v>
      </c>
      <c r="AX80" s="228">
        <f>SUM(AW$5:AW80)</f>
        <v>-2.9166666666666665</v>
      </c>
    </row>
    <row r="81" spans="1:50">
      <c r="A81" s="308">
        <f t="shared" si="76"/>
        <v>42444</v>
      </c>
      <c r="B81" s="309">
        <f t="shared" si="77"/>
        <v>42444</v>
      </c>
      <c r="C81" s="310">
        <f t="shared" si="45"/>
        <v>12</v>
      </c>
      <c r="D81" s="311">
        <f t="shared" si="46"/>
        <v>42429</v>
      </c>
      <c r="E81" s="321" t="str">
        <f t="shared" si="58"/>
        <v/>
      </c>
      <c r="F81" s="5"/>
      <c r="G81" s="6" t="str">
        <f t="shared" si="59"/>
        <v/>
      </c>
      <c r="H81" s="7"/>
      <c r="I81" s="7">
        <f t="shared" si="60"/>
        <v>0</v>
      </c>
      <c r="J81" s="113">
        <f t="shared" si="48"/>
        <v>0</v>
      </c>
      <c r="K81" s="7"/>
      <c r="L81" s="7">
        <f t="shared" si="61"/>
        <v>0</v>
      </c>
      <c r="M81" s="113">
        <f t="shared" si="62"/>
        <v>0</v>
      </c>
      <c r="N81" s="113"/>
      <c r="O81" s="113">
        <f t="shared" si="49"/>
        <v>0</v>
      </c>
      <c r="P81" s="113"/>
      <c r="Q81" s="113">
        <f t="shared" si="63"/>
        <v>0</v>
      </c>
      <c r="R81" s="113">
        <f t="shared" si="64"/>
        <v>0</v>
      </c>
      <c r="S81" s="113">
        <f t="shared" si="82"/>
        <v>0</v>
      </c>
      <c r="T81" s="113">
        <f t="shared" si="65"/>
        <v>0</v>
      </c>
      <c r="U81" s="113">
        <f t="shared" si="83"/>
        <v>0</v>
      </c>
      <c r="V81" s="146">
        <f t="shared" si="66"/>
        <v>0</v>
      </c>
      <c r="W81" s="66"/>
      <c r="X81" s="115">
        <f t="shared" si="50"/>
        <v>3.125E-2</v>
      </c>
      <c r="Y81" s="110">
        <f t="shared" si="67"/>
        <v>0</v>
      </c>
      <c r="Z81" s="111">
        <f t="shared" si="47"/>
        <v>0.29166666666666669</v>
      </c>
      <c r="AA81" s="112">
        <f t="shared" si="68"/>
        <v>0</v>
      </c>
      <c r="AB81" s="67" t="str">
        <f t="shared" si="69"/>
        <v/>
      </c>
      <c r="AC81" s="193">
        <f t="shared" si="51"/>
        <v>0</v>
      </c>
      <c r="AD81" s="144" t="str">
        <f t="shared" si="52"/>
        <v/>
      </c>
      <c r="AE81" s="228">
        <f t="shared" si="78"/>
        <v>0</v>
      </c>
      <c r="AF81" s="110"/>
      <c r="AG81" s="110" t="str">
        <f t="shared" si="70"/>
        <v/>
      </c>
      <c r="AH81" s="68">
        <f t="shared" si="53"/>
        <v>0</v>
      </c>
      <c r="AI81" s="68">
        <f t="shared" si="54"/>
        <v>0</v>
      </c>
      <c r="AJ81" s="68" t="str">
        <f t="shared" si="55"/>
        <v/>
      </c>
      <c r="AK81">
        <f t="shared" si="56"/>
        <v>1</v>
      </c>
      <c r="AL81" s="122">
        <f>SUM($AD$6:AD81)</f>
        <v>0</v>
      </c>
      <c r="AM81" s="122">
        <f t="shared" ca="1" si="71"/>
        <v>0</v>
      </c>
      <c r="AN81" s="126">
        <f t="shared" si="79"/>
        <v>0</v>
      </c>
      <c r="AO81" s="126">
        <f t="shared" si="80"/>
        <v>0</v>
      </c>
      <c r="AP81" s="126">
        <f t="shared" si="81"/>
        <v>0</v>
      </c>
      <c r="AQ81" s="125">
        <f t="shared" si="72"/>
        <v>30</v>
      </c>
      <c r="AR81" s="125">
        <f t="shared" ca="1" si="73"/>
        <v>30</v>
      </c>
      <c r="AS81" s="135">
        <f t="shared" si="74"/>
        <v>0</v>
      </c>
      <c r="AT81" s="125">
        <f t="shared" si="75"/>
        <v>0</v>
      </c>
      <c r="AU81" t="b">
        <f>OR((F81&gt;0),(NOT(ISBLANK(H81))),SUM(H81:H$373),SUM(G81:G$373))</f>
        <v>0</v>
      </c>
      <c r="AV81" t="b">
        <f t="shared" ca="1" si="57"/>
        <v>0</v>
      </c>
      <c r="AX81" s="228">
        <f>SUM(AW$5:AW81)</f>
        <v>-2.9166666666666665</v>
      </c>
    </row>
    <row r="82" spans="1:50">
      <c r="A82" s="308">
        <f t="shared" si="76"/>
        <v>42445</v>
      </c>
      <c r="B82" s="309">
        <f t="shared" si="77"/>
        <v>42445</v>
      </c>
      <c r="C82" s="310">
        <f t="shared" si="45"/>
        <v>12</v>
      </c>
      <c r="D82" s="311">
        <f t="shared" si="46"/>
        <v>42429</v>
      </c>
      <c r="E82" s="321" t="str">
        <f t="shared" si="58"/>
        <v/>
      </c>
      <c r="F82" s="5"/>
      <c r="G82" s="6" t="str">
        <f t="shared" si="59"/>
        <v/>
      </c>
      <c r="H82" s="7"/>
      <c r="I82" s="7">
        <f t="shared" si="60"/>
        <v>0</v>
      </c>
      <c r="J82" s="113">
        <f t="shared" si="48"/>
        <v>0</v>
      </c>
      <c r="K82" s="7"/>
      <c r="L82" s="7">
        <f t="shared" si="61"/>
        <v>0</v>
      </c>
      <c r="M82" s="113">
        <f t="shared" si="62"/>
        <v>0</v>
      </c>
      <c r="N82" s="113"/>
      <c r="O82" s="113">
        <f t="shared" si="49"/>
        <v>0</v>
      </c>
      <c r="P82" s="113"/>
      <c r="Q82" s="113">
        <f t="shared" si="63"/>
        <v>0</v>
      </c>
      <c r="R82" s="113">
        <f t="shared" si="64"/>
        <v>0</v>
      </c>
      <c r="S82" s="113">
        <f t="shared" si="82"/>
        <v>0</v>
      </c>
      <c r="T82" s="113">
        <f t="shared" si="65"/>
        <v>0</v>
      </c>
      <c r="U82" s="113">
        <f t="shared" si="83"/>
        <v>0</v>
      </c>
      <c r="V82" s="146">
        <f t="shared" si="66"/>
        <v>0</v>
      </c>
      <c r="W82" s="66"/>
      <c r="X82" s="115">
        <f t="shared" si="50"/>
        <v>3.125E-2</v>
      </c>
      <c r="Y82" s="110">
        <f t="shared" si="67"/>
        <v>0</v>
      </c>
      <c r="Z82" s="111">
        <f t="shared" si="47"/>
        <v>0.29166666666666669</v>
      </c>
      <c r="AA82" s="112">
        <f t="shared" si="68"/>
        <v>0</v>
      </c>
      <c r="AB82" s="67" t="str">
        <f t="shared" si="69"/>
        <v/>
      </c>
      <c r="AC82" s="193">
        <f t="shared" si="51"/>
        <v>0</v>
      </c>
      <c r="AD82" s="144" t="str">
        <f t="shared" si="52"/>
        <v/>
      </c>
      <c r="AE82" s="228">
        <f t="shared" si="78"/>
        <v>0</v>
      </c>
      <c r="AF82" s="110"/>
      <c r="AG82" s="110" t="str">
        <f t="shared" si="70"/>
        <v/>
      </c>
      <c r="AH82" s="68">
        <f t="shared" si="53"/>
        <v>0</v>
      </c>
      <c r="AI82" s="68">
        <f t="shared" si="54"/>
        <v>0</v>
      </c>
      <c r="AJ82" s="68" t="str">
        <f t="shared" si="55"/>
        <v/>
      </c>
      <c r="AK82">
        <f t="shared" si="56"/>
        <v>2</v>
      </c>
      <c r="AL82" s="122">
        <f>SUM($AD$6:AD82)</f>
        <v>0</v>
      </c>
      <c r="AM82" s="122">
        <f t="shared" ca="1" si="71"/>
        <v>0</v>
      </c>
      <c r="AN82" s="126">
        <f t="shared" si="79"/>
        <v>0</v>
      </c>
      <c r="AO82" s="126">
        <f t="shared" si="80"/>
        <v>0</v>
      </c>
      <c r="AP82" s="126">
        <f t="shared" si="81"/>
        <v>0</v>
      </c>
      <c r="AQ82" s="125">
        <f t="shared" si="72"/>
        <v>30</v>
      </c>
      <c r="AR82" s="125">
        <f t="shared" ca="1" si="73"/>
        <v>30</v>
      </c>
      <c r="AS82" s="135">
        <f t="shared" si="74"/>
        <v>0</v>
      </c>
      <c r="AT82" s="125">
        <f t="shared" si="75"/>
        <v>0</v>
      </c>
      <c r="AU82" t="b">
        <f>OR((F82&gt;0),(NOT(ISBLANK(H82))),SUM(H82:H$373),SUM(G82:G$373))</f>
        <v>0</v>
      </c>
      <c r="AV82" t="b">
        <f t="shared" ca="1" si="57"/>
        <v>0</v>
      </c>
      <c r="AX82" s="228">
        <f>SUM(AW$5:AW82)</f>
        <v>-2.9166666666666665</v>
      </c>
    </row>
    <row r="83" spans="1:50">
      <c r="A83" s="308">
        <f t="shared" si="76"/>
        <v>42446</v>
      </c>
      <c r="B83" s="309">
        <f t="shared" si="77"/>
        <v>42446</v>
      </c>
      <c r="C83" s="310">
        <f t="shared" si="45"/>
        <v>12</v>
      </c>
      <c r="D83" s="311">
        <f t="shared" si="46"/>
        <v>42429</v>
      </c>
      <c r="E83" s="321" t="str">
        <f t="shared" si="58"/>
        <v/>
      </c>
      <c r="F83" s="5"/>
      <c r="G83" s="6" t="str">
        <f t="shared" si="59"/>
        <v/>
      </c>
      <c r="H83" s="7"/>
      <c r="I83" s="7">
        <f t="shared" si="60"/>
        <v>0</v>
      </c>
      <c r="J83" s="113">
        <f t="shared" si="48"/>
        <v>0</v>
      </c>
      <c r="K83" s="7"/>
      <c r="L83" s="7">
        <f t="shared" si="61"/>
        <v>0</v>
      </c>
      <c r="M83" s="113">
        <f t="shared" si="62"/>
        <v>0</v>
      </c>
      <c r="N83" s="113"/>
      <c r="O83" s="113">
        <f t="shared" si="49"/>
        <v>0</v>
      </c>
      <c r="P83" s="113"/>
      <c r="Q83" s="113">
        <f t="shared" si="63"/>
        <v>0</v>
      </c>
      <c r="R83" s="113">
        <f t="shared" si="64"/>
        <v>0</v>
      </c>
      <c r="S83" s="113">
        <f t="shared" si="82"/>
        <v>0</v>
      </c>
      <c r="T83" s="113">
        <f t="shared" si="65"/>
        <v>0</v>
      </c>
      <c r="U83" s="113">
        <f t="shared" si="83"/>
        <v>0</v>
      </c>
      <c r="V83" s="146">
        <f t="shared" si="66"/>
        <v>0</v>
      </c>
      <c r="W83" s="66"/>
      <c r="X83" s="115">
        <f t="shared" si="50"/>
        <v>3.125E-2</v>
      </c>
      <c r="Y83" s="110">
        <f t="shared" si="67"/>
        <v>0</v>
      </c>
      <c r="Z83" s="111">
        <f t="shared" si="47"/>
        <v>0.29166666666666669</v>
      </c>
      <c r="AA83" s="112">
        <f t="shared" si="68"/>
        <v>0</v>
      </c>
      <c r="AB83" s="67" t="str">
        <f t="shared" si="69"/>
        <v/>
      </c>
      <c r="AC83" s="193">
        <f t="shared" si="51"/>
        <v>0</v>
      </c>
      <c r="AD83" s="144" t="str">
        <f t="shared" si="52"/>
        <v/>
      </c>
      <c r="AE83" s="228">
        <f t="shared" si="78"/>
        <v>0</v>
      </c>
      <c r="AF83" s="110"/>
      <c r="AG83" s="110" t="str">
        <f t="shared" si="70"/>
        <v/>
      </c>
      <c r="AH83" s="68">
        <f t="shared" si="53"/>
        <v>0</v>
      </c>
      <c r="AI83" s="68">
        <f t="shared" si="54"/>
        <v>0</v>
      </c>
      <c r="AJ83" s="68" t="str">
        <f t="shared" si="55"/>
        <v/>
      </c>
      <c r="AK83">
        <f t="shared" si="56"/>
        <v>3</v>
      </c>
      <c r="AL83" s="122">
        <f>SUM($AD$6:AD83)</f>
        <v>0</v>
      </c>
      <c r="AM83" s="122">
        <f t="shared" ca="1" si="71"/>
        <v>0</v>
      </c>
      <c r="AN83" s="126">
        <f t="shared" si="79"/>
        <v>0</v>
      </c>
      <c r="AO83" s="126">
        <f t="shared" si="80"/>
        <v>0</v>
      </c>
      <c r="AP83" s="126">
        <f t="shared" si="81"/>
        <v>0</v>
      </c>
      <c r="AQ83" s="125">
        <f t="shared" si="72"/>
        <v>30</v>
      </c>
      <c r="AR83" s="125">
        <f t="shared" ca="1" si="73"/>
        <v>30</v>
      </c>
      <c r="AS83" s="135">
        <f t="shared" si="74"/>
        <v>0</v>
      </c>
      <c r="AT83" s="125">
        <f t="shared" si="75"/>
        <v>0</v>
      </c>
      <c r="AU83" t="b">
        <f>OR((F83&gt;0),(NOT(ISBLANK(H83))),SUM(H83:H$373),SUM(G83:G$373))</f>
        <v>0</v>
      </c>
      <c r="AV83" t="b">
        <f t="shared" ca="1" si="57"/>
        <v>0</v>
      </c>
      <c r="AX83" s="228">
        <f>SUM(AW$5:AW83)</f>
        <v>-2.9166666666666665</v>
      </c>
    </row>
    <row r="84" spans="1:50">
      <c r="A84" s="308">
        <f t="shared" si="76"/>
        <v>42447</v>
      </c>
      <c r="B84" s="309">
        <f t="shared" si="77"/>
        <v>42447</v>
      </c>
      <c r="C84" s="310">
        <f t="shared" ref="C84:C147" si="84">IF(A84="","",NumberOfWeek(A84))</f>
        <v>12</v>
      </c>
      <c r="D84" s="311">
        <f t="shared" ref="D84:D147" si="85">IF(A84="","",DATE(YEAR(A84),MONTH(A84),1))</f>
        <v>42429</v>
      </c>
      <c r="E84" s="321" t="str">
        <f t="shared" si="58"/>
        <v/>
      </c>
      <c r="F84" s="5"/>
      <c r="G84" s="6" t="str">
        <f t="shared" si="59"/>
        <v/>
      </c>
      <c r="H84" s="7"/>
      <c r="I84" s="7">
        <f t="shared" si="60"/>
        <v>0</v>
      </c>
      <c r="J84" s="113">
        <f t="shared" si="48"/>
        <v>0</v>
      </c>
      <c r="K84" s="7"/>
      <c r="L84" s="7">
        <f t="shared" si="61"/>
        <v>0</v>
      </c>
      <c r="M84" s="113">
        <f t="shared" si="62"/>
        <v>0</v>
      </c>
      <c r="N84" s="113"/>
      <c r="O84" s="113">
        <f t="shared" si="49"/>
        <v>0</v>
      </c>
      <c r="P84" s="113"/>
      <c r="Q84" s="113">
        <f t="shared" si="63"/>
        <v>0</v>
      </c>
      <c r="R84" s="113">
        <f t="shared" si="64"/>
        <v>0</v>
      </c>
      <c r="S84" s="113">
        <f t="shared" si="82"/>
        <v>0</v>
      </c>
      <c r="T84" s="113">
        <f t="shared" si="65"/>
        <v>0</v>
      </c>
      <c r="U84" s="113">
        <f t="shared" si="83"/>
        <v>0</v>
      </c>
      <c r="V84" s="146">
        <f t="shared" si="66"/>
        <v>0</v>
      </c>
      <c r="W84" s="66"/>
      <c r="X84" s="115">
        <f t="shared" si="50"/>
        <v>3.125E-2</v>
      </c>
      <c r="Y84" s="110">
        <f t="shared" si="67"/>
        <v>0</v>
      </c>
      <c r="Z84" s="111">
        <f t="shared" ref="Z84:Z147" si="86">IF(AND(AK84&gt;0,AK84&lt;Feiertag),INDEX(Arbeitszeit,AK84),"")</f>
        <v>0.29166666666666669</v>
      </c>
      <c r="AA84" s="112">
        <f t="shared" si="68"/>
        <v>0</v>
      </c>
      <c r="AB84" s="67" t="str">
        <f t="shared" si="69"/>
        <v/>
      </c>
      <c r="AC84" s="193">
        <f t="shared" si="51"/>
        <v>0</v>
      </c>
      <c r="AD84" s="144" t="str">
        <f t="shared" si="52"/>
        <v/>
      </c>
      <c r="AE84" s="228">
        <f t="shared" si="78"/>
        <v>0</v>
      </c>
      <c r="AF84" s="110"/>
      <c r="AG84" s="110" t="str">
        <f t="shared" si="70"/>
        <v/>
      </c>
      <c r="AH84" s="68">
        <f t="shared" si="53"/>
        <v>0</v>
      </c>
      <c r="AI84" s="68">
        <f t="shared" si="54"/>
        <v>0</v>
      </c>
      <c r="AJ84" s="68" t="str">
        <f t="shared" si="55"/>
        <v/>
      </c>
      <c r="AK84">
        <f t="shared" si="56"/>
        <v>4</v>
      </c>
      <c r="AL84" s="122">
        <f>SUM($AD$6:AD84)</f>
        <v>0</v>
      </c>
      <c r="AM84" s="122">
        <f t="shared" ca="1" si="71"/>
        <v>0</v>
      </c>
      <c r="AN84" s="126">
        <f t="shared" si="79"/>
        <v>0</v>
      </c>
      <c r="AO84" s="126">
        <f t="shared" si="80"/>
        <v>0</v>
      </c>
      <c r="AP84" s="126">
        <f t="shared" si="81"/>
        <v>0</v>
      </c>
      <c r="AQ84" s="125">
        <f t="shared" si="72"/>
        <v>30</v>
      </c>
      <c r="AR84" s="125">
        <f t="shared" ca="1" si="73"/>
        <v>30</v>
      </c>
      <c r="AS84" s="135">
        <f t="shared" si="74"/>
        <v>0</v>
      </c>
      <c r="AT84" s="125">
        <f t="shared" si="75"/>
        <v>0</v>
      </c>
      <c r="AU84" t="b">
        <f>OR((F84&gt;0),(NOT(ISBLANK(H84))),SUM(H84:H$373),SUM(G84:G$373))</f>
        <v>0</v>
      </c>
      <c r="AV84" t="b">
        <f t="shared" ca="1" si="57"/>
        <v>0</v>
      </c>
      <c r="AX84" s="228">
        <f>SUM(AW$5:AW84)</f>
        <v>-2.9166666666666665</v>
      </c>
    </row>
    <row r="85" spans="1:50">
      <c r="A85" s="308">
        <f t="shared" si="76"/>
        <v>42448</v>
      </c>
      <c r="B85" s="309">
        <f t="shared" si="77"/>
        <v>42448</v>
      </c>
      <c r="C85" s="310">
        <f t="shared" si="84"/>
        <v>12</v>
      </c>
      <c r="D85" s="311">
        <f t="shared" si="85"/>
        <v>42429</v>
      </c>
      <c r="E85" s="321" t="str">
        <f t="shared" si="58"/>
        <v/>
      </c>
      <c r="F85" s="5"/>
      <c r="G85" s="6" t="str">
        <f t="shared" si="59"/>
        <v/>
      </c>
      <c r="H85" s="7"/>
      <c r="I85" s="7">
        <f t="shared" si="60"/>
        <v>0</v>
      </c>
      <c r="J85" s="113">
        <f t="shared" si="48"/>
        <v>0</v>
      </c>
      <c r="K85" s="7"/>
      <c r="L85" s="7">
        <f t="shared" si="61"/>
        <v>0</v>
      </c>
      <c r="M85" s="113">
        <f t="shared" si="62"/>
        <v>0</v>
      </c>
      <c r="N85" s="113"/>
      <c r="O85" s="113">
        <f t="shared" si="49"/>
        <v>0</v>
      </c>
      <c r="P85" s="113"/>
      <c r="Q85" s="113">
        <f t="shared" si="63"/>
        <v>0</v>
      </c>
      <c r="R85" s="113">
        <f t="shared" si="64"/>
        <v>0</v>
      </c>
      <c r="S85" s="113">
        <f t="shared" si="82"/>
        <v>0</v>
      </c>
      <c r="T85" s="113">
        <f t="shared" si="65"/>
        <v>0</v>
      </c>
      <c r="U85" s="113">
        <f t="shared" si="83"/>
        <v>0</v>
      </c>
      <c r="V85" s="146">
        <f t="shared" si="66"/>
        <v>0</v>
      </c>
      <c r="W85" s="66"/>
      <c r="X85" s="115">
        <f t="shared" si="50"/>
        <v>3.125E-2</v>
      </c>
      <c r="Y85" s="110">
        <f t="shared" si="67"/>
        <v>0</v>
      </c>
      <c r="Z85" s="111">
        <f t="shared" si="86"/>
        <v>0.29166666666666669</v>
      </c>
      <c r="AA85" s="112">
        <f t="shared" si="68"/>
        <v>0</v>
      </c>
      <c r="AB85" s="67" t="str">
        <f t="shared" si="69"/>
        <v/>
      </c>
      <c r="AC85" s="193">
        <f t="shared" si="51"/>
        <v>0</v>
      </c>
      <c r="AD85" s="144" t="str">
        <f t="shared" si="52"/>
        <v/>
      </c>
      <c r="AE85" s="228">
        <f t="shared" si="78"/>
        <v>0</v>
      </c>
      <c r="AF85" s="110"/>
      <c r="AG85" s="110" t="str">
        <f t="shared" si="70"/>
        <v/>
      </c>
      <c r="AH85" s="68">
        <f t="shared" si="53"/>
        <v>0</v>
      </c>
      <c r="AI85" s="68">
        <f t="shared" si="54"/>
        <v>0</v>
      </c>
      <c r="AJ85" s="68" t="str">
        <f t="shared" si="55"/>
        <v/>
      </c>
      <c r="AK85">
        <f t="shared" si="56"/>
        <v>5</v>
      </c>
      <c r="AL85" s="122">
        <f>SUM($AD$6:AD85)</f>
        <v>0</v>
      </c>
      <c r="AM85" s="122">
        <f t="shared" ca="1" si="71"/>
        <v>0</v>
      </c>
      <c r="AN85" s="126">
        <f t="shared" si="79"/>
        <v>0</v>
      </c>
      <c r="AO85" s="126">
        <f t="shared" si="80"/>
        <v>0</v>
      </c>
      <c r="AP85" s="126">
        <f t="shared" si="81"/>
        <v>0</v>
      </c>
      <c r="AQ85" s="125">
        <f t="shared" si="72"/>
        <v>30</v>
      </c>
      <c r="AR85" s="125">
        <f t="shared" ca="1" si="73"/>
        <v>30</v>
      </c>
      <c r="AS85" s="135">
        <f t="shared" si="74"/>
        <v>0</v>
      </c>
      <c r="AT85" s="125">
        <f t="shared" si="75"/>
        <v>0</v>
      </c>
      <c r="AU85" t="b">
        <f>OR((F85&gt;0),(NOT(ISBLANK(H85))),SUM(H85:H$373),SUM(G85:G$373))</f>
        <v>0</v>
      </c>
      <c r="AV85" t="b">
        <f t="shared" ca="1" si="57"/>
        <v>0</v>
      </c>
      <c r="AX85" s="228">
        <f>SUM(AW$5:AW85)</f>
        <v>-2.9166666666666665</v>
      </c>
    </row>
    <row r="86" spans="1:50">
      <c r="A86" s="308">
        <f t="shared" si="76"/>
        <v>42449</v>
      </c>
      <c r="B86" s="309">
        <f t="shared" si="77"/>
        <v>42449</v>
      </c>
      <c r="C86" s="310">
        <f t="shared" si="84"/>
        <v>12</v>
      </c>
      <c r="D86" s="311">
        <f t="shared" si="85"/>
        <v>42429</v>
      </c>
      <c r="E86" s="321" t="str">
        <f t="shared" si="58"/>
        <v/>
      </c>
      <c r="F86" s="5"/>
      <c r="G86" s="6" t="str">
        <f t="shared" si="59"/>
        <v/>
      </c>
      <c r="H86" s="7"/>
      <c r="I86" s="7">
        <f t="shared" si="60"/>
        <v>0</v>
      </c>
      <c r="J86" s="113">
        <f t="shared" si="48"/>
        <v>0</v>
      </c>
      <c r="K86" s="7"/>
      <c r="L86" s="7">
        <f t="shared" si="61"/>
        <v>0</v>
      </c>
      <c r="M86" s="113">
        <f t="shared" si="62"/>
        <v>0</v>
      </c>
      <c r="N86" s="113"/>
      <c r="O86" s="113">
        <f t="shared" si="49"/>
        <v>0</v>
      </c>
      <c r="P86" s="113"/>
      <c r="Q86" s="113">
        <f t="shared" si="63"/>
        <v>0</v>
      </c>
      <c r="R86" s="113">
        <f t="shared" si="64"/>
        <v>0</v>
      </c>
      <c r="S86" s="113">
        <f t="shared" si="82"/>
        <v>0</v>
      </c>
      <c r="T86" s="113">
        <f t="shared" si="65"/>
        <v>0</v>
      </c>
      <c r="U86" s="113">
        <f t="shared" si="83"/>
        <v>0</v>
      </c>
      <c r="V86" s="146">
        <f t="shared" si="66"/>
        <v>0</v>
      </c>
      <c r="W86" s="66"/>
      <c r="X86" s="115">
        <f t="shared" si="50"/>
        <v>3.125E-2</v>
      </c>
      <c r="Y86" s="110">
        <f t="shared" si="67"/>
        <v>0</v>
      </c>
      <c r="Z86" s="111">
        <f t="shared" si="86"/>
        <v>0</v>
      </c>
      <c r="AA86" s="112">
        <f t="shared" si="68"/>
        <v>0</v>
      </c>
      <c r="AB86" s="67" t="str">
        <f t="shared" si="69"/>
        <v/>
      </c>
      <c r="AC86" s="193">
        <f t="shared" si="51"/>
        <v>0</v>
      </c>
      <c r="AD86" s="144" t="str">
        <f t="shared" si="52"/>
        <v/>
      </c>
      <c r="AE86" s="228">
        <f t="shared" si="78"/>
        <v>0</v>
      </c>
      <c r="AF86" s="110"/>
      <c r="AG86" s="110" t="str">
        <f t="shared" si="70"/>
        <v/>
      </c>
      <c r="AH86" s="68">
        <f t="shared" si="53"/>
        <v>0</v>
      </c>
      <c r="AI86" s="68">
        <f t="shared" si="54"/>
        <v>0</v>
      </c>
      <c r="AJ86" s="68" t="str">
        <f t="shared" si="55"/>
        <v/>
      </c>
      <c r="AK86">
        <f t="shared" si="56"/>
        <v>6</v>
      </c>
      <c r="AL86" s="122">
        <f>SUM($AD$6:AD86)</f>
        <v>0</v>
      </c>
      <c r="AM86" s="122">
        <f t="shared" ca="1" si="71"/>
        <v>0</v>
      </c>
      <c r="AN86" s="126">
        <f t="shared" si="79"/>
        <v>0</v>
      </c>
      <c r="AO86" s="126">
        <f t="shared" si="80"/>
        <v>0</v>
      </c>
      <c r="AP86" s="126">
        <f t="shared" si="81"/>
        <v>0</v>
      </c>
      <c r="AQ86" s="125">
        <f t="shared" si="72"/>
        <v>30</v>
      </c>
      <c r="AR86" s="125">
        <f t="shared" ca="1" si="73"/>
        <v>30</v>
      </c>
      <c r="AS86" s="135">
        <f t="shared" si="74"/>
        <v>0</v>
      </c>
      <c r="AT86" s="125">
        <f t="shared" si="75"/>
        <v>7</v>
      </c>
      <c r="AU86" t="b">
        <f>OR((F86&gt;0),(NOT(ISBLANK(H86))),SUM(H86:H$373),SUM(G86:G$373))</f>
        <v>0</v>
      </c>
      <c r="AV86" t="b">
        <f t="shared" ca="1" si="57"/>
        <v>1</v>
      </c>
      <c r="AX86" s="228">
        <f>SUM(AW$5:AW86)</f>
        <v>-2.9166666666666665</v>
      </c>
    </row>
    <row r="87" spans="1:50">
      <c r="A87" s="308">
        <f t="shared" si="76"/>
        <v>42450</v>
      </c>
      <c r="B87" s="309">
        <f t="shared" si="77"/>
        <v>42450</v>
      </c>
      <c r="C87" s="310">
        <f t="shared" si="84"/>
        <v>12</v>
      </c>
      <c r="D87" s="311">
        <f t="shared" si="85"/>
        <v>42429</v>
      </c>
      <c r="E87" s="321" t="str">
        <f t="shared" si="58"/>
        <v/>
      </c>
      <c r="F87" s="5"/>
      <c r="G87" s="6" t="str">
        <f t="shared" si="59"/>
        <v/>
      </c>
      <c r="H87" s="7"/>
      <c r="I87" s="7">
        <f t="shared" si="60"/>
        <v>0</v>
      </c>
      <c r="J87" s="113">
        <f t="shared" si="48"/>
        <v>0</v>
      </c>
      <c r="K87" s="7"/>
      <c r="L87" s="7">
        <f t="shared" si="61"/>
        <v>0</v>
      </c>
      <c r="M87" s="113">
        <f t="shared" si="62"/>
        <v>0</v>
      </c>
      <c r="N87" s="113"/>
      <c r="O87" s="113">
        <f t="shared" si="49"/>
        <v>0</v>
      </c>
      <c r="P87" s="113"/>
      <c r="Q87" s="113">
        <f t="shared" si="63"/>
        <v>0</v>
      </c>
      <c r="R87" s="113">
        <f t="shared" si="64"/>
        <v>0</v>
      </c>
      <c r="S87" s="113">
        <f t="shared" si="82"/>
        <v>0</v>
      </c>
      <c r="T87" s="113">
        <f t="shared" si="65"/>
        <v>0</v>
      </c>
      <c r="U87" s="113">
        <f t="shared" si="83"/>
        <v>0</v>
      </c>
      <c r="V87" s="146">
        <f t="shared" si="66"/>
        <v>0</v>
      </c>
      <c r="W87" s="66"/>
      <c r="X87" s="115">
        <f t="shared" si="50"/>
        <v>3.125E-2</v>
      </c>
      <c r="Y87" s="110">
        <f t="shared" si="67"/>
        <v>0</v>
      </c>
      <c r="Z87" s="111">
        <f t="shared" si="86"/>
        <v>0</v>
      </c>
      <c r="AA87" s="112">
        <f t="shared" si="68"/>
        <v>0</v>
      </c>
      <c r="AB87" s="67" t="str">
        <f t="shared" si="69"/>
        <v/>
      </c>
      <c r="AC87" s="193">
        <f t="shared" si="51"/>
        <v>0</v>
      </c>
      <c r="AD87" s="144" t="str">
        <f t="shared" si="52"/>
        <v/>
      </c>
      <c r="AE87" s="228">
        <f t="shared" si="78"/>
        <v>0</v>
      </c>
      <c r="AF87" s="110"/>
      <c r="AG87" s="110" t="str">
        <f t="shared" si="70"/>
        <v/>
      </c>
      <c r="AH87" s="68">
        <f t="shared" si="53"/>
        <v>0</v>
      </c>
      <c r="AI87" s="68">
        <f t="shared" si="54"/>
        <v>0</v>
      </c>
      <c r="AJ87" s="68" t="str">
        <f t="shared" si="55"/>
        <v/>
      </c>
      <c r="AK87">
        <f t="shared" si="56"/>
        <v>7</v>
      </c>
      <c r="AL87" s="122">
        <f>SUM($AD$6:AD87)</f>
        <v>0</v>
      </c>
      <c r="AM87" s="122">
        <f t="shared" ca="1" si="71"/>
        <v>0</v>
      </c>
      <c r="AN87" s="126">
        <f t="shared" si="79"/>
        <v>0</v>
      </c>
      <c r="AO87" s="126">
        <f t="shared" si="80"/>
        <v>0</v>
      </c>
      <c r="AP87" s="126">
        <f t="shared" si="81"/>
        <v>0</v>
      </c>
      <c r="AQ87" s="125">
        <f t="shared" si="72"/>
        <v>30</v>
      </c>
      <c r="AR87" s="125">
        <f t="shared" ca="1" si="73"/>
        <v>30</v>
      </c>
      <c r="AS87" s="135">
        <f t="shared" si="74"/>
        <v>0</v>
      </c>
      <c r="AT87" s="125">
        <f t="shared" si="75"/>
        <v>7</v>
      </c>
      <c r="AU87" t="b">
        <f>OR((F87&gt;0),(NOT(ISBLANK(H87))),SUM(H87:H$373),SUM(G87:G$373))</f>
        <v>0</v>
      </c>
      <c r="AV87" t="b">
        <f t="shared" ca="1" si="57"/>
        <v>1</v>
      </c>
      <c r="AX87" s="228">
        <f>SUM(AW$5:AW87)</f>
        <v>-2.9166666666666665</v>
      </c>
    </row>
    <row r="88" spans="1:50">
      <c r="A88" s="308">
        <f t="shared" si="76"/>
        <v>42451</v>
      </c>
      <c r="B88" s="309">
        <f t="shared" si="77"/>
        <v>42451</v>
      </c>
      <c r="C88" s="310">
        <f t="shared" si="84"/>
        <v>13</v>
      </c>
      <c r="D88" s="311">
        <f t="shared" si="85"/>
        <v>42429</v>
      </c>
      <c r="E88" s="321" t="str">
        <f t="shared" si="58"/>
        <v/>
      </c>
      <c r="F88" s="5"/>
      <c r="G88" s="6" t="str">
        <f t="shared" si="59"/>
        <v/>
      </c>
      <c r="H88" s="7"/>
      <c r="I88" s="7">
        <f t="shared" si="60"/>
        <v>0</v>
      </c>
      <c r="J88" s="113">
        <f t="shared" si="48"/>
        <v>0</v>
      </c>
      <c r="K88" s="7"/>
      <c r="L88" s="7">
        <f t="shared" si="61"/>
        <v>0</v>
      </c>
      <c r="M88" s="113">
        <f t="shared" si="62"/>
        <v>0</v>
      </c>
      <c r="N88" s="113"/>
      <c r="O88" s="113">
        <f t="shared" si="49"/>
        <v>0</v>
      </c>
      <c r="P88" s="113"/>
      <c r="Q88" s="113">
        <f t="shared" si="63"/>
        <v>0</v>
      </c>
      <c r="R88" s="113">
        <f t="shared" si="64"/>
        <v>0</v>
      </c>
      <c r="S88" s="113">
        <f t="shared" si="82"/>
        <v>0</v>
      </c>
      <c r="T88" s="113">
        <f t="shared" si="65"/>
        <v>0</v>
      </c>
      <c r="U88" s="113">
        <f t="shared" si="83"/>
        <v>0</v>
      </c>
      <c r="V88" s="146">
        <f t="shared" si="66"/>
        <v>0</v>
      </c>
      <c r="W88" s="66"/>
      <c r="X88" s="115">
        <f t="shared" si="50"/>
        <v>3.125E-2</v>
      </c>
      <c r="Y88" s="110">
        <f t="shared" si="67"/>
        <v>0</v>
      </c>
      <c r="Z88" s="111">
        <f t="shared" si="86"/>
        <v>0.29166666666666669</v>
      </c>
      <c r="AA88" s="112">
        <f t="shared" si="68"/>
        <v>0</v>
      </c>
      <c r="AB88" s="67" t="str">
        <f t="shared" si="69"/>
        <v/>
      </c>
      <c r="AC88" s="193">
        <f t="shared" si="51"/>
        <v>0</v>
      </c>
      <c r="AD88" s="144" t="str">
        <f t="shared" si="52"/>
        <v/>
      </c>
      <c r="AE88" s="228">
        <f t="shared" si="78"/>
        <v>0</v>
      </c>
      <c r="AF88" s="110"/>
      <c r="AG88" s="110" t="str">
        <f t="shared" si="70"/>
        <v/>
      </c>
      <c r="AH88" s="68">
        <f t="shared" si="53"/>
        <v>0</v>
      </c>
      <c r="AI88" s="68">
        <f t="shared" si="54"/>
        <v>0</v>
      </c>
      <c r="AJ88" s="68" t="str">
        <f t="shared" si="55"/>
        <v/>
      </c>
      <c r="AK88">
        <f t="shared" si="56"/>
        <v>1</v>
      </c>
      <c r="AL88" s="122">
        <f>SUM($AD$6:AD88)</f>
        <v>0</v>
      </c>
      <c r="AM88" s="122">
        <f t="shared" ca="1" si="71"/>
        <v>0</v>
      </c>
      <c r="AN88" s="126">
        <f t="shared" si="79"/>
        <v>0</v>
      </c>
      <c r="AO88" s="126">
        <f t="shared" si="80"/>
        <v>0</v>
      </c>
      <c r="AP88" s="126">
        <f t="shared" si="81"/>
        <v>0</v>
      </c>
      <c r="AQ88" s="125">
        <f t="shared" si="72"/>
        <v>30</v>
      </c>
      <c r="AR88" s="125">
        <f t="shared" ca="1" si="73"/>
        <v>30</v>
      </c>
      <c r="AS88" s="135">
        <f t="shared" si="74"/>
        <v>0</v>
      </c>
      <c r="AT88" s="125">
        <f t="shared" si="75"/>
        <v>0</v>
      </c>
      <c r="AU88" t="b">
        <f>OR((F88&gt;0),(NOT(ISBLANK(H88))),SUM(H88:H$373),SUM(G88:G$373))</f>
        <v>0</v>
      </c>
      <c r="AV88" t="b">
        <f t="shared" ca="1" si="57"/>
        <v>0</v>
      </c>
      <c r="AX88" s="228">
        <f>SUM(AW$5:AW88)</f>
        <v>-2.9166666666666665</v>
      </c>
    </row>
    <row r="89" spans="1:50">
      <c r="A89" s="308">
        <f t="shared" si="76"/>
        <v>42452</v>
      </c>
      <c r="B89" s="309">
        <f t="shared" si="77"/>
        <v>42452</v>
      </c>
      <c r="C89" s="310">
        <f t="shared" si="84"/>
        <v>13</v>
      </c>
      <c r="D89" s="311">
        <f t="shared" si="85"/>
        <v>42429</v>
      </c>
      <c r="E89" s="321" t="str">
        <f t="shared" si="58"/>
        <v/>
      </c>
      <c r="F89" s="5"/>
      <c r="G89" s="6" t="str">
        <f t="shared" si="59"/>
        <v/>
      </c>
      <c r="H89" s="7"/>
      <c r="I89" s="7">
        <f t="shared" si="60"/>
        <v>0</v>
      </c>
      <c r="J89" s="113">
        <f t="shared" si="48"/>
        <v>0</v>
      </c>
      <c r="K89" s="7"/>
      <c r="L89" s="7">
        <f t="shared" si="61"/>
        <v>0</v>
      </c>
      <c r="M89" s="113">
        <f t="shared" si="62"/>
        <v>0</v>
      </c>
      <c r="N89" s="113"/>
      <c r="O89" s="113">
        <f t="shared" si="49"/>
        <v>0</v>
      </c>
      <c r="P89" s="113"/>
      <c r="Q89" s="113">
        <f t="shared" si="63"/>
        <v>0</v>
      </c>
      <c r="R89" s="113">
        <f t="shared" si="64"/>
        <v>0</v>
      </c>
      <c r="S89" s="113">
        <f t="shared" si="82"/>
        <v>0</v>
      </c>
      <c r="T89" s="113">
        <f t="shared" si="65"/>
        <v>0</v>
      </c>
      <c r="U89" s="113">
        <f t="shared" si="83"/>
        <v>0</v>
      </c>
      <c r="V89" s="146">
        <f t="shared" si="66"/>
        <v>0</v>
      </c>
      <c r="W89" s="66"/>
      <c r="X89" s="115">
        <f t="shared" si="50"/>
        <v>3.125E-2</v>
      </c>
      <c r="Y89" s="110">
        <f t="shared" si="67"/>
        <v>0</v>
      </c>
      <c r="Z89" s="111">
        <f t="shared" si="86"/>
        <v>0.29166666666666669</v>
      </c>
      <c r="AA89" s="112">
        <f t="shared" si="68"/>
        <v>0</v>
      </c>
      <c r="AB89" s="67" t="str">
        <f t="shared" si="69"/>
        <v/>
      </c>
      <c r="AC89" s="193">
        <f t="shared" si="51"/>
        <v>0</v>
      </c>
      <c r="AD89" s="144" t="str">
        <f t="shared" si="52"/>
        <v/>
      </c>
      <c r="AE89" s="228">
        <f t="shared" si="78"/>
        <v>0</v>
      </c>
      <c r="AF89" s="110"/>
      <c r="AG89" s="110" t="str">
        <f t="shared" si="70"/>
        <v/>
      </c>
      <c r="AH89" s="68">
        <f t="shared" si="53"/>
        <v>0</v>
      </c>
      <c r="AI89" s="68">
        <f t="shared" si="54"/>
        <v>0</v>
      </c>
      <c r="AJ89" s="68" t="str">
        <f t="shared" si="55"/>
        <v/>
      </c>
      <c r="AK89">
        <f t="shared" si="56"/>
        <v>2</v>
      </c>
      <c r="AL89" s="122">
        <f>SUM($AD$6:AD89)</f>
        <v>0</v>
      </c>
      <c r="AM89" s="122">
        <f t="shared" ca="1" si="71"/>
        <v>0</v>
      </c>
      <c r="AN89" s="126">
        <f t="shared" si="79"/>
        <v>0</v>
      </c>
      <c r="AO89" s="126">
        <f t="shared" si="80"/>
        <v>0</v>
      </c>
      <c r="AP89" s="126">
        <f t="shared" si="81"/>
        <v>0</v>
      </c>
      <c r="AQ89" s="125">
        <f t="shared" si="72"/>
        <v>30</v>
      </c>
      <c r="AR89" s="125">
        <f t="shared" ca="1" si="73"/>
        <v>30</v>
      </c>
      <c r="AS89" s="135">
        <f t="shared" si="74"/>
        <v>0</v>
      </c>
      <c r="AT89" s="125">
        <f t="shared" si="75"/>
        <v>0</v>
      </c>
      <c r="AU89" t="b">
        <f>OR((F89&gt;0),(NOT(ISBLANK(H89))),SUM(H89:H$373),SUM(G89:G$373))</f>
        <v>0</v>
      </c>
      <c r="AV89" t="b">
        <f t="shared" ca="1" si="57"/>
        <v>0</v>
      </c>
      <c r="AX89" s="228">
        <f>SUM(AW$5:AW89)</f>
        <v>-2.9166666666666665</v>
      </c>
    </row>
    <row r="90" spans="1:50">
      <c r="A90" s="308">
        <f t="shared" si="76"/>
        <v>42453</v>
      </c>
      <c r="B90" s="309">
        <f t="shared" si="77"/>
        <v>42453</v>
      </c>
      <c r="C90" s="310">
        <f t="shared" si="84"/>
        <v>13</v>
      </c>
      <c r="D90" s="311">
        <f t="shared" si="85"/>
        <v>42429</v>
      </c>
      <c r="E90" s="321" t="str">
        <f t="shared" si="58"/>
        <v/>
      </c>
      <c r="F90" s="5"/>
      <c r="G90" s="6" t="str">
        <f t="shared" si="59"/>
        <v/>
      </c>
      <c r="H90" s="7"/>
      <c r="I90" s="7">
        <f t="shared" si="60"/>
        <v>0</v>
      </c>
      <c r="J90" s="113">
        <f t="shared" si="48"/>
        <v>0</v>
      </c>
      <c r="K90" s="7"/>
      <c r="L90" s="7">
        <f t="shared" si="61"/>
        <v>0</v>
      </c>
      <c r="M90" s="113">
        <f t="shared" si="62"/>
        <v>0</v>
      </c>
      <c r="N90" s="113"/>
      <c r="O90" s="113">
        <f t="shared" si="49"/>
        <v>0</v>
      </c>
      <c r="P90" s="113"/>
      <c r="Q90" s="113">
        <f t="shared" si="63"/>
        <v>0</v>
      </c>
      <c r="R90" s="113">
        <f t="shared" si="64"/>
        <v>0</v>
      </c>
      <c r="S90" s="113">
        <f t="shared" si="82"/>
        <v>0</v>
      </c>
      <c r="T90" s="113">
        <f t="shared" si="65"/>
        <v>0</v>
      </c>
      <c r="U90" s="113">
        <f t="shared" si="83"/>
        <v>0</v>
      </c>
      <c r="V90" s="146">
        <f t="shared" si="66"/>
        <v>0</v>
      </c>
      <c r="W90" s="66"/>
      <c r="X90" s="115">
        <f t="shared" si="50"/>
        <v>3.125E-2</v>
      </c>
      <c r="Y90" s="110">
        <f t="shared" si="67"/>
        <v>0</v>
      </c>
      <c r="Z90" s="111">
        <f t="shared" si="86"/>
        <v>0.29166666666666669</v>
      </c>
      <c r="AA90" s="112">
        <f t="shared" si="68"/>
        <v>0</v>
      </c>
      <c r="AB90" s="67" t="str">
        <f t="shared" si="69"/>
        <v/>
      </c>
      <c r="AC90" s="193">
        <f t="shared" si="51"/>
        <v>0</v>
      </c>
      <c r="AD90" s="144" t="str">
        <f t="shared" si="52"/>
        <v/>
      </c>
      <c r="AE90" s="228">
        <f t="shared" si="78"/>
        <v>0</v>
      </c>
      <c r="AF90" s="110"/>
      <c r="AG90" s="110" t="str">
        <f t="shared" si="70"/>
        <v/>
      </c>
      <c r="AH90" s="68">
        <f t="shared" si="53"/>
        <v>0</v>
      </c>
      <c r="AI90" s="68">
        <f t="shared" si="54"/>
        <v>0</v>
      </c>
      <c r="AJ90" s="68" t="str">
        <f t="shared" si="55"/>
        <v/>
      </c>
      <c r="AK90">
        <f t="shared" si="56"/>
        <v>3</v>
      </c>
      <c r="AL90" s="122">
        <f>SUM($AD$6:AD90)</f>
        <v>0</v>
      </c>
      <c r="AM90" s="122">
        <f t="shared" ca="1" si="71"/>
        <v>0</v>
      </c>
      <c r="AN90" s="126">
        <f t="shared" si="79"/>
        <v>0</v>
      </c>
      <c r="AO90" s="126">
        <f t="shared" si="80"/>
        <v>0</v>
      </c>
      <c r="AP90" s="126">
        <f t="shared" si="81"/>
        <v>0</v>
      </c>
      <c r="AQ90" s="125">
        <f t="shared" si="72"/>
        <v>30</v>
      </c>
      <c r="AR90" s="125">
        <f t="shared" ca="1" si="73"/>
        <v>30</v>
      </c>
      <c r="AS90" s="135">
        <f t="shared" si="74"/>
        <v>0</v>
      </c>
      <c r="AT90" s="125">
        <f t="shared" si="75"/>
        <v>0</v>
      </c>
      <c r="AU90" t="b">
        <f>OR((F90&gt;0),(NOT(ISBLANK(H90))),SUM(H90:H$373),SUM(G90:G$373))</f>
        <v>0</v>
      </c>
      <c r="AV90" t="b">
        <f t="shared" ca="1" si="57"/>
        <v>0</v>
      </c>
      <c r="AX90" s="228">
        <f>SUM(AW$5:AW90)</f>
        <v>-2.9166666666666665</v>
      </c>
    </row>
    <row r="91" spans="1:50">
      <c r="A91" s="308">
        <f t="shared" si="76"/>
        <v>42454</v>
      </c>
      <c r="B91" s="309">
        <f t="shared" si="77"/>
        <v>42454</v>
      </c>
      <c r="C91" s="310">
        <f t="shared" si="84"/>
        <v>13</v>
      </c>
      <c r="D91" s="311">
        <f t="shared" si="85"/>
        <v>42429</v>
      </c>
      <c r="E91" s="321" t="str">
        <f t="shared" si="58"/>
        <v/>
      </c>
      <c r="F91" s="5"/>
      <c r="G91" s="6" t="str">
        <f t="shared" si="59"/>
        <v/>
      </c>
      <c r="H91" s="7"/>
      <c r="I91" s="7">
        <f t="shared" si="60"/>
        <v>0</v>
      </c>
      <c r="J91" s="113">
        <f t="shared" si="48"/>
        <v>0</v>
      </c>
      <c r="K91" s="7"/>
      <c r="L91" s="7">
        <f t="shared" si="61"/>
        <v>0</v>
      </c>
      <c r="M91" s="113">
        <f t="shared" si="62"/>
        <v>0</v>
      </c>
      <c r="N91" s="113"/>
      <c r="O91" s="113">
        <f t="shared" si="49"/>
        <v>0</v>
      </c>
      <c r="P91" s="113"/>
      <c r="Q91" s="113">
        <f t="shared" si="63"/>
        <v>0</v>
      </c>
      <c r="R91" s="113">
        <f t="shared" si="64"/>
        <v>0</v>
      </c>
      <c r="S91" s="113">
        <f t="shared" si="82"/>
        <v>0</v>
      </c>
      <c r="T91" s="113">
        <f t="shared" si="65"/>
        <v>0</v>
      </c>
      <c r="U91" s="113">
        <f t="shared" si="83"/>
        <v>0</v>
      </c>
      <c r="V91" s="146">
        <f t="shared" si="66"/>
        <v>0</v>
      </c>
      <c r="W91" s="66"/>
      <c r="X91" s="115">
        <f t="shared" si="50"/>
        <v>3.125E-2</v>
      </c>
      <c r="Y91" s="110">
        <f t="shared" si="67"/>
        <v>0</v>
      </c>
      <c r="Z91" s="111">
        <f t="shared" si="86"/>
        <v>0.29166666666666669</v>
      </c>
      <c r="AA91" s="112">
        <f t="shared" si="68"/>
        <v>0</v>
      </c>
      <c r="AB91" s="67" t="str">
        <f t="shared" si="69"/>
        <v/>
      </c>
      <c r="AC91" s="193">
        <f t="shared" si="51"/>
        <v>0</v>
      </c>
      <c r="AD91" s="144" t="str">
        <f t="shared" si="52"/>
        <v/>
      </c>
      <c r="AE91" s="228">
        <f t="shared" si="78"/>
        <v>0</v>
      </c>
      <c r="AF91" s="110"/>
      <c r="AG91" s="110" t="str">
        <f t="shared" si="70"/>
        <v/>
      </c>
      <c r="AH91" s="68">
        <f t="shared" si="53"/>
        <v>0</v>
      </c>
      <c r="AI91" s="68">
        <f t="shared" si="54"/>
        <v>0</v>
      </c>
      <c r="AJ91" s="68" t="str">
        <f t="shared" si="55"/>
        <v/>
      </c>
      <c r="AK91">
        <f t="shared" si="56"/>
        <v>4</v>
      </c>
      <c r="AL91" s="122">
        <f>SUM($AD$6:AD91)</f>
        <v>0</v>
      </c>
      <c r="AM91" s="122">
        <f t="shared" ca="1" si="71"/>
        <v>0</v>
      </c>
      <c r="AN91" s="126">
        <f t="shared" si="79"/>
        <v>0</v>
      </c>
      <c r="AO91" s="126">
        <f t="shared" si="80"/>
        <v>0</v>
      </c>
      <c r="AP91" s="126">
        <f t="shared" si="81"/>
        <v>0</v>
      </c>
      <c r="AQ91" s="125">
        <f t="shared" si="72"/>
        <v>30</v>
      </c>
      <c r="AR91" s="125">
        <f t="shared" ca="1" si="73"/>
        <v>30</v>
      </c>
      <c r="AS91" s="135">
        <f t="shared" si="74"/>
        <v>0</v>
      </c>
      <c r="AT91" s="125">
        <f t="shared" si="75"/>
        <v>0</v>
      </c>
      <c r="AU91" t="b">
        <f>OR((F91&gt;0),(NOT(ISBLANK(H91))),SUM(H91:H$373),SUM(G91:G$373))</f>
        <v>0</v>
      </c>
      <c r="AV91" t="b">
        <f t="shared" ca="1" si="57"/>
        <v>0</v>
      </c>
      <c r="AX91" s="228">
        <f>SUM(AW$5:AW91)</f>
        <v>-2.9166666666666665</v>
      </c>
    </row>
    <row r="92" spans="1:50">
      <c r="A92" s="308">
        <f t="shared" si="76"/>
        <v>42455</v>
      </c>
      <c r="B92" s="309">
        <f t="shared" si="77"/>
        <v>42455</v>
      </c>
      <c r="C92" s="310">
        <f t="shared" si="84"/>
        <v>13</v>
      </c>
      <c r="D92" s="311">
        <f t="shared" si="85"/>
        <v>42429</v>
      </c>
      <c r="E92" s="321" t="str">
        <f t="shared" si="58"/>
        <v/>
      </c>
      <c r="F92" s="5"/>
      <c r="G92" s="6" t="str">
        <f t="shared" si="59"/>
        <v/>
      </c>
      <c r="H92" s="7"/>
      <c r="I92" s="7">
        <f t="shared" si="60"/>
        <v>0</v>
      </c>
      <c r="J92" s="113">
        <f t="shared" si="48"/>
        <v>0</v>
      </c>
      <c r="K92" s="7"/>
      <c r="L92" s="7">
        <f t="shared" si="61"/>
        <v>0</v>
      </c>
      <c r="M92" s="113">
        <f t="shared" si="62"/>
        <v>0</v>
      </c>
      <c r="N92" s="113"/>
      <c r="O92" s="113">
        <f t="shared" si="49"/>
        <v>0</v>
      </c>
      <c r="P92" s="113"/>
      <c r="Q92" s="113">
        <f t="shared" si="63"/>
        <v>0</v>
      </c>
      <c r="R92" s="113">
        <f t="shared" si="64"/>
        <v>0</v>
      </c>
      <c r="S92" s="113">
        <f t="shared" si="82"/>
        <v>0</v>
      </c>
      <c r="T92" s="113">
        <f t="shared" si="65"/>
        <v>0</v>
      </c>
      <c r="U92" s="113">
        <f t="shared" si="83"/>
        <v>0</v>
      </c>
      <c r="V92" s="146">
        <f t="shared" si="66"/>
        <v>0</v>
      </c>
      <c r="W92" s="66"/>
      <c r="X92" s="115">
        <f t="shared" si="50"/>
        <v>3.125E-2</v>
      </c>
      <c r="Y92" s="110">
        <f t="shared" si="67"/>
        <v>0</v>
      </c>
      <c r="Z92" s="111">
        <f t="shared" si="86"/>
        <v>0.29166666666666669</v>
      </c>
      <c r="AA92" s="112">
        <f t="shared" si="68"/>
        <v>0</v>
      </c>
      <c r="AB92" s="67" t="str">
        <f t="shared" si="69"/>
        <v/>
      </c>
      <c r="AC92" s="193">
        <f t="shared" si="51"/>
        <v>0</v>
      </c>
      <c r="AD92" s="144" t="str">
        <f t="shared" si="52"/>
        <v/>
      </c>
      <c r="AE92" s="228">
        <f t="shared" si="78"/>
        <v>0</v>
      </c>
      <c r="AF92" s="110"/>
      <c r="AG92" s="110" t="str">
        <f t="shared" si="70"/>
        <v/>
      </c>
      <c r="AH92" s="68">
        <f t="shared" si="53"/>
        <v>0</v>
      </c>
      <c r="AI92" s="68">
        <f t="shared" si="54"/>
        <v>0</v>
      </c>
      <c r="AJ92" s="68" t="str">
        <f t="shared" si="55"/>
        <v/>
      </c>
      <c r="AK92">
        <f t="shared" si="56"/>
        <v>5</v>
      </c>
      <c r="AL92" s="122">
        <f>SUM($AD$6:AD92)</f>
        <v>0</v>
      </c>
      <c r="AM92" s="122">
        <f t="shared" ca="1" si="71"/>
        <v>0</v>
      </c>
      <c r="AN92" s="126">
        <f t="shared" si="79"/>
        <v>0</v>
      </c>
      <c r="AO92" s="126">
        <f t="shared" si="80"/>
        <v>0</v>
      </c>
      <c r="AP92" s="126">
        <f t="shared" si="81"/>
        <v>0</v>
      </c>
      <c r="AQ92" s="125">
        <f t="shared" si="72"/>
        <v>30</v>
      </c>
      <c r="AR92" s="125">
        <f t="shared" ca="1" si="73"/>
        <v>30</v>
      </c>
      <c r="AS92" s="135">
        <f t="shared" si="74"/>
        <v>0</v>
      </c>
      <c r="AT92" s="125">
        <f t="shared" si="75"/>
        <v>0</v>
      </c>
      <c r="AU92" t="b">
        <f>OR((F92&gt;0),(NOT(ISBLANK(H92))),SUM(H92:H$373),SUM(G92:G$373))</f>
        <v>0</v>
      </c>
      <c r="AV92" t="b">
        <f t="shared" ca="1" si="57"/>
        <v>0</v>
      </c>
      <c r="AX92" s="228">
        <f>SUM(AW$5:AW92)</f>
        <v>-2.9166666666666665</v>
      </c>
    </row>
    <row r="93" spans="1:50">
      <c r="A93" s="308">
        <f t="shared" si="76"/>
        <v>42456</v>
      </c>
      <c r="B93" s="309">
        <f t="shared" si="77"/>
        <v>42456</v>
      </c>
      <c r="C93" s="310">
        <f t="shared" si="84"/>
        <v>13</v>
      </c>
      <c r="D93" s="311">
        <f t="shared" si="85"/>
        <v>42429</v>
      </c>
      <c r="E93" s="321" t="str">
        <f t="shared" si="58"/>
        <v/>
      </c>
      <c r="F93" s="5"/>
      <c r="G93" s="6" t="str">
        <f t="shared" si="59"/>
        <v/>
      </c>
      <c r="H93" s="7"/>
      <c r="I93" s="7">
        <f t="shared" si="60"/>
        <v>0</v>
      </c>
      <c r="J93" s="113">
        <f t="shared" si="48"/>
        <v>0</v>
      </c>
      <c r="K93" s="7"/>
      <c r="L93" s="7">
        <f t="shared" si="61"/>
        <v>0</v>
      </c>
      <c r="M93" s="113">
        <f t="shared" si="62"/>
        <v>0</v>
      </c>
      <c r="N93" s="113"/>
      <c r="O93" s="113">
        <f t="shared" si="49"/>
        <v>0</v>
      </c>
      <c r="P93" s="113"/>
      <c r="Q93" s="113">
        <f t="shared" si="63"/>
        <v>0</v>
      </c>
      <c r="R93" s="113">
        <f t="shared" si="64"/>
        <v>0</v>
      </c>
      <c r="S93" s="113">
        <f t="shared" si="82"/>
        <v>0</v>
      </c>
      <c r="T93" s="113">
        <f t="shared" si="65"/>
        <v>0</v>
      </c>
      <c r="U93" s="113">
        <f t="shared" si="83"/>
        <v>0</v>
      </c>
      <c r="V93" s="146">
        <f t="shared" si="66"/>
        <v>0</v>
      </c>
      <c r="W93" s="66"/>
      <c r="X93" s="115">
        <f t="shared" si="50"/>
        <v>3.125E-2</v>
      </c>
      <c r="Y93" s="110">
        <f t="shared" si="67"/>
        <v>0</v>
      </c>
      <c r="Z93" s="111">
        <f t="shared" si="86"/>
        <v>0</v>
      </c>
      <c r="AA93" s="112">
        <f t="shared" si="68"/>
        <v>0</v>
      </c>
      <c r="AB93" s="67" t="str">
        <f t="shared" si="69"/>
        <v/>
      </c>
      <c r="AC93" s="193">
        <f t="shared" si="51"/>
        <v>0</v>
      </c>
      <c r="AD93" s="144" t="str">
        <f t="shared" si="52"/>
        <v/>
      </c>
      <c r="AE93" s="228">
        <f t="shared" si="78"/>
        <v>0</v>
      </c>
      <c r="AF93" s="110"/>
      <c r="AG93" s="110" t="str">
        <f t="shared" si="70"/>
        <v/>
      </c>
      <c r="AH93" s="68">
        <f t="shared" si="53"/>
        <v>0</v>
      </c>
      <c r="AI93" s="68">
        <f t="shared" si="54"/>
        <v>0</v>
      </c>
      <c r="AJ93" s="68" t="str">
        <f t="shared" si="55"/>
        <v/>
      </c>
      <c r="AK93">
        <f t="shared" si="56"/>
        <v>6</v>
      </c>
      <c r="AL93" s="122">
        <f>SUM($AD$6:AD93)</f>
        <v>0</v>
      </c>
      <c r="AM93" s="122">
        <f t="shared" ca="1" si="71"/>
        <v>0</v>
      </c>
      <c r="AN93" s="126">
        <f t="shared" si="79"/>
        <v>0</v>
      </c>
      <c r="AO93" s="126">
        <f t="shared" si="80"/>
        <v>0</v>
      </c>
      <c r="AP93" s="126">
        <f t="shared" si="81"/>
        <v>0</v>
      </c>
      <c r="AQ93" s="125">
        <f t="shared" si="72"/>
        <v>30</v>
      </c>
      <c r="AR93" s="125">
        <f t="shared" ca="1" si="73"/>
        <v>30</v>
      </c>
      <c r="AS93" s="135">
        <f t="shared" si="74"/>
        <v>0</v>
      </c>
      <c r="AT93" s="125">
        <f t="shared" si="75"/>
        <v>7</v>
      </c>
      <c r="AU93" t="b">
        <f>OR((F93&gt;0),(NOT(ISBLANK(H93))),SUM(H93:H$373),SUM(G93:G$373))</f>
        <v>0</v>
      </c>
      <c r="AV93" t="b">
        <f t="shared" ca="1" si="57"/>
        <v>1</v>
      </c>
      <c r="AX93" s="228">
        <f>SUM(AW$5:AW93)</f>
        <v>-2.9166666666666665</v>
      </c>
    </row>
    <row r="94" spans="1:50">
      <c r="A94" s="308">
        <f t="shared" si="76"/>
        <v>42457</v>
      </c>
      <c r="B94" s="309">
        <f t="shared" si="77"/>
        <v>42457</v>
      </c>
      <c r="C94" s="310">
        <f t="shared" si="84"/>
        <v>13</v>
      </c>
      <c r="D94" s="311">
        <f t="shared" si="85"/>
        <v>42429</v>
      </c>
      <c r="E94" s="321" t="str">
        <f t="shared" si="58"/>
        <v/>
      </c>
      <c r="F94" s="5"/>
      <c r="G94" s="6" t="str">
        <f t="shared" si="59"/>
        <v/>
      </c>
      <c r="H94" s="7"/>
      <c r="I94" s="7">
        <f t="shared" si="60"/>
        <v>0</v>
      </c>
      <c r="J94" s="113">
        <f t="shared" si="48"/>
        <v>0</v>
      </c>
      <c r="K94" s="7"/>
      <c r="L94" s="7">
        <f t="shared" si="61"/>
        <v>0</v>
      </c>
      <c r="M94" s="113">
        <f t="shared" si="62"/>
        <v>0</v>
      </c>
      <c r="N94" s="113"/>
      <c r="O94" s="113">
        <f t="shared" si="49"/>
        <v>0</v>
      </c>
      <c r="P94" s="113"/>
      <c r="Q94" s="113">
        <f t="shared" si="63"/>
        <v>0</v>
      </c>
      <c r="R94" s="113">
        <f t="shared" si="64"/>
        <v>0</v>
      </c>
      <c r="S94" s="113">
        <f t="shared" si="82"/>
        <v>0</v>
      </c>
      <c r="T94" s="113">
        <f t="shared" si="65"/>
        <v>0</v>
      </c>
      <c r="U94" s="113">
        <f t="shared" si="83"/>
        <v>0</v>
      </c>
      <c r="V94" s="146">
        <f t="shared" si="66"/>
        <v>0</v>
      </c>
      <c r="W94" s="66"/>
      <c r="X94" s="115">
        <f t="shared" si="50"/>
        <v>3.125E-2</v>
      </c>
      <c r="Y94" s="110">
        <f t="shared" si="67"/>
        <v>0</v>
      </c>
      <c r="Z94" s="111">
        <f t="shared" si="86"/>
        <v>0</v>
      </c>
      <c r="AA94" s="112">
        <f t="shared" si="68"/>
        <v>0</v>
      </c>
      <c r="AB94" s="67" t="str">
        <f t="shared" si="69"/>
        <v/>
      </c>
      <c r="AC94" s="193">
        <f t="shared" si="51"/>
        <v>0</v>
      </c>
      <c r="AD94" s="144" t="str">
        <f t="shared" si="52"/>
        <v/>
      </c>
      <c r="AE94" s="228">
        <f t="shared" si="78"/>
        <v>0</v>
      </c>
      <c r="AF94" s="110"/>
      <c r="AG94" s="110" t="str">
        <f t="shared" si="70"/>
        <v/>
      </c>
      <c r="AH94" s="68">
        <f t="shared" si="53"/>
        <v>0</v>
      </c>
      <c r="AI94" s="68">
        <f t="shared" si="54"/>
        <v>0</v>
      </c>
      <c r="AJ94" s="68" t="str">
        <f t="shared" si="55"/>
        <v/>
      </c>
      <c r="AK94">
        <f t="shared" si="56"/>
        <v>7</v>
      </c>
      <c r="AL94" s="122">
        <f>SUM($AD$6:AD94)</f>
        <v>0</v>
      </c>
      <c r="AM94" s="122">
        <f t="shared" ca="1" si="71"/>
        <v>0</v>
      </c>
      <c r="AN94" s="126">
        <f t="shared" si="79"/>
        <v>0</v>
      </c>
      <c r="AO94" s="126">
        <f t="shared" si="80"/>
        <v>0</v>
      </c>
      <c r="AP94" s="126">
        <f t="shared" si="81"/>
        <v>0</v>
      </c>
      <c r="AQ94" s="125">
        <f t="shared" si="72"/>
        <v>30</v>
      </c>
      <c r="AR94" s="125">
        <f t="shared" ca="1" si="73"/>
        <v>30</v>
      </c>
      <c r="AS94" s="135">
        <f t="shared" si="74"/>
        <v>0</v>
      </c>
      <c r="AT94" s="125">
        <f t="shared" si="75"/>
        <v>7</v>
      </c>
      <c r="AU94" t="b">
        <f>OR((F94&gt;0),(NOT(ISBLANK(H94))),SUM(H94:H$373),SUM(G94:G$373))</f>
        <v>0</v>
      </c>
      <c r="AV94" t="b">
        <f t="shared" ca="1" si="57"/>
        <v>1</v>
      </c>
      <c r="AX94" s="228">
        <f>SUM(AW$5:AW94)</f>
        <v>-2.9166666666666665</v>
      </c>
    </row>
    <row r="95" spans="1:50">
      <c r="A95" s="308">
        <f t="shared" si="76"/>
        <v>42458</v>
      </c>
      <c r="B95" s="309">
        <f t="shared" si="77"/>
        <v>42458</v>
      </c>
      <c r="C95" s="310">
        <f t="shared" si="84"/>
        <v>14</v>
      </c>
      <c r="D95" s="311">
        <f t="shared" si="85"/>
        <v>42429</v>
      </c>
      <c r="E95" s="321" t="str">
        <f t="shared" si="58"/>
        <v/>
      </c>
      <c r="F95" s="5"/>
      <c r="G95" s="6" t="str">
        <f t="shared" si="59"/>
        <v/>
      </c>
      <c r="H95" s="7"/>
      <c r="I95" s="7">
        <f t="shared" si="60"/>
        <v>0</v>
      </c>
      <c r="J95" s="113">
        <f t="shared" si="48"/>
        <v>0</v>
      </c>
      <c r="K95" s="7"/>
      <c r="L95" s="7">
        <f t="shared" si="61"/>
        <v>0</v>
      </c>
      <c r="M95" s="113">
        <f t="shared" si="62"/>
        <v>0</v>
      </c>
      <c r="N95" s="113"/>
      <c r="O95" s="113">
        <f t="shared" si="49"/>
        <v>0</v>
      </c>
      <c r="P95" s="113"/>
      <c r="Q95" s="113">
        <f t="shared" si="63"/>
        <v>0</v>
      </c>
      <c r="R95" s="113">
        <f t="shared" si="64"/>
        <v>0</v>
      </c>
      <c r="S95" s="113">
        <f t="shared" si="82"/>
        <v>0</v>
      </c>
      <c r="T95" s="113">
        <f t="shared" si="65"/>
        <v>0</v>
      </c>
      <c r="U95" s="113">
        <f t="shared" si="83"/>
        <v>0</v>
      </c>
      <c r="V95" s="146">
        <f t="shared" si="66"/>
        <v>0</v>
      </c>
      <c r="W95" s="66"/>
      <c r="X95" s="115">
        <f t="shared" si="50"/>
        <v>3.125E-2</v>
      </c>
      <c r="Y95" s="110">
        <f t="shared" si="67"/>
        <v>0</v>
      </c>
      <c r="Z95" s="111">
        <f t="shared" si="86"/>
        <v>0.29166666666666669</v>
      </c>
      <c r="AA95" s="112">
        <f t="shared" si="68"/>
        <v>0</v>
      </c>
      <c r="AB95" s="67" t="str">
        <f t="shared" si="69"/>
        <v/>
      </c>
      <c r="AC95" s="193">
        <f t="shared" si="51"/>
        <v>0</v>
      </c>
      <c r="AD95" s="144" t="str">
        <f t="shared" si="52"/>
        <v/>
      </c>
      <c r="AE95" s="228">
        <f t="shared" si="78"/>
        <v>0</v>
      </c>
      <c r="AF95" s="110"/>
      <c r="AG95" s="110" t="str">
        <f t="shared" si="70"/>
        <v/>
      </c>
      <c r="AH95" s="68">
        <f t="shared" si="53"/>
        <v>0</v>
      </c>
      <c r="AI95" s="68">
        <f t="shared" si="54"/>
        <v>0</v>
      </c>
      <c r="AJ95" s="68" t="str">
        <f t="shared" si="55"/>
        <v/>
      </c>
      <c r="AK95">
        <f t="shared" si="56"/>
        <v>1</v>
      </c>
      <c r="AL95" s="122">
        <f>SUM($AD$6:AD95)</f>
        <v>0</v>
      </c>
      <c r="AM95" s="122">
        <f t="shared" ca="1" si="71"/>
        <v>0</v>
      </c>
      <c r="AN95" s="126">
        <f t="shared" si="79"/>
        <v>0</v>
      </c>
      <c r="AO95" s="126">
        <f t="shared" si="80"/>
        <v>0</v>
      </c>
      <c r="AP95" s="126">
        <f t="shared" si="81"/>
        <v>0</v>
      </c>
      <c r="AQ95" s="125">
        <f t="shared" si="72"/>
        <v>30</v>
      </c>
      <c r="AR95" s="125">
        <f t="shared" ca="1" si="73"/>
        <v>30</v>
      </c>
      <c r="AS95" s="135">
        <f t="shared" si="74"/>
        <v>0</v>
      </c>
      <c r="AT95" s="125">
        <f t="shared" si="75"/>
        <v>0</v>
      </c>
      <c r="AU95" t="b">
        <f>OR((F95&gt;0),(NOT(ISBLANK(H95))),SUM(H95:H$373),SUM(G95:G$373))</f>
        <v>0</v>
      </c>
      <c r="AV95" t="b">
        <f t="shared" ca="1" si="57"/>
        <v>0</v>
      </c>
      <c r="AX95" s="228">
        <f>SUM(AW$5:AW95)</f>
        <v>-2.9166666666666665</v>
      </c>
    </row>
    <row r="96" spans="1:50">
      <c r="A96" s="308">
        <f t="shared" si="76"/>
        <v>42459</v>
      </c>
      <c r="B96" s="309">
        <f t="shared" si="77"/>
        <v>42459</v>
      </c>
      <c r="C96" s="310">
        <f t="shared" si="84"/>
        <v>14</v>
      </c>
      <c r="D96" s="311">
        <f t="shared" si="85"/>
        <v>42429</v>
      </c>
      <c r="E96" s="321" t="str">
        <f t="shared" si="58"/>
        <v/>
      </c>
      <c r="F96" s="5"/>
      <c r="G96" s="6" t="str">
        <f t="shared" si="59"/>
        <v/>
      </c>
      <c r="H96" s="7"/>
      <c r="I96" s="7">
        <f t="shared" si="60"/>
        <v>0</v>
      </c>
      <c r="J96" s="113">
        <f t="shared" si="48"/>
        <v>0</v>
      </c>
      <c r="K96" s="7"/>
      <c r="L96" s="7">
        <f t="shared" si="61"/>
        <v>0</v>
      </c>
      <c r="M96" s="113">
        <f t="shared" si="62"/>
        <v>0</v>
      </c>
      <c r="N96" s="113"/>
      <c r="O96" s="113">
        <f t="shared" si="49"/>
        <v>0</v>
      </c>
      <c r="P96" s="113"/>
      <c r="Q96" s="113">
        <f t="shared" si="63"/>
        <v>0</v>
      </c>
      <c r="R96" s="113">
        <f t="shared" si="64"/>
        <v>0</v>
      </c>
      <c r="S96" s="113">
        <f t="shared" si="82"/>
        <v>0</v>
      </c>
      <c r="T96" s="113">
        <f t="shared" si="65"/>
        <v>0</v>
      </c>
      <c r="U96" s="113">
        <f t="shared" si="83"/>
        <v>0</v>
      </c>
      <c r="V96" s="146">
        <f t="shared" si="66"/>
        <v>0</v>
      </c>
      <c r="W96" s="66"/>
      <c r="X96" s="115">
        <f t="shared" si="50"/>
        <v>3.125E-2</v>
      </c>
      <c r="Y96" s="110">
        <f t="shared" si="67"/>
        <v>0</v>
      </c>
      <c r="Z96" s="111">
        <f t="shared" si="86"/>
        <v>0.29166666666666669</v>
      </c>
      <c r="AA96" s="112">
        <f t="shared" si="68"/>
        <v>0</v>
      </c>
      <c r="AB96" s="67" t="str">
        <f t="shared" si="69"/>
        <v/>
      </c>
      <c r="AC96" s="193">
        <f t="shared" si="51"/>
        <v>0</v>
      </c>
      <c r="AD96" s="144" t="str">
        <f t="shared" si="52"/>
        <v/>
      </c>
      <c r="AE96" s="228">
        <f t="shared" si="78"/>
        <v>0</v>
      </c>
      <c r="AF96" s="110"/>
      <c r="AG96" s="110" t="str">
        <f t="shared" si="70"/>
        <v/>
      </c>
      <c r="AH96" s="68">
        <f t="shared" si="53"/>
        <v>0</v>
      </c>
      <c r="AI96" s="68">
        <f t="shared" si="54"/>
        <v>0</v>
      </c>
      <c r="AJ96" s="68" t="str">
        <f t="shared" si="55"/>
        <v/>
      </c>
      <c r="AK96">
        <f t="shared" si="56"/>
        <v>2</v>
      </c>
      <c r="AL96" s="122">
        <f>SUM($AD$6:AD96)</f>
        <v>0</v>
      </c>
      <c r="AM96" s="122">
        <f t="shared" ca="1" si="71"/>
        <v>0</v>
      </c>
      <c r="AN96" s="126">
        <f t="shared" si="79"/>
        <v>0</v>
      </c>
      <c r="AO96" s="126">
        <f t="shared" si="80"/>
        <v>0</v>
      </c>
      <c r="AP96" s="126">
        <f t="shared" si="81"/>
        <v>0</v>
      </c>
      <c r="AQ96" s="125">
        <f t="shared" si="72"/>
        <v>30</v>
      </c>
      <c r="AR96" s="125">
        <f t="shared" ca="1" si="73"/>
        <v>30</v>
      </c>
      <c r="AS96" s="135">
        <f t="shared" si="74"/>
        <v>0</v>
      </c>
      <c r="AT96" s="125">
        <f t="shared" si="75"/>
        <v>0</v>
      </c>
      <c r="AU96" t="b">
        <f>OR((F96&gt;0),(NOT(ISBLANK(H96))),SUM(H96:H$373),SUM(G96:G$373))</f>
        <v>0</v>
      </c>
      <c r="AV96" t="b">
        <f t="shared" ca="1" si="57"/>
        <v>0</v>
      </c>
      <c r="AX96" s="228">
        <f>SUM(AW$5:AW96)</f>
        <v>-2.9166666666666665</v>
      </c>
    </row>
    <row r="97" spans="1:50">
      <c r="A97" s="308">
        <f t="shared" si="76"/>
        <v>42460</v>
      </c>
      <c r="B97" s="309">
        <f t="shared" si="77"/>
        <v>42460</v>
      </c>
      <c r="C97" s="310">
        <f t="shared" si="84"/>
        <v>14</v>
      </c>
      <c r="D97" s="311">
        <f t="shared" si="85"/>
        <v>42460</v>
      </c>
      <c r="E97" s="321" t="str">
        <f t="shared" si="58"/>
        <v/>
      </c>
      <c r="F97" s="5"/>
      <c r="G97" s="6" t="str">
        <f t="shared" si="59"/>
        <v/>
      </c>
      <c r="H97" s="7"/>
      <c r="I97" s="7">
        <f t="shared" si="60"/>
        <v>0</v>
      </c>
      <c r="J97" s="113">
        <f t="shared" si="48"/>
        <v>0</v>
      </c>
      <c r="K97" s="7"/>
      <c r="L97" s="7">
        <f t="shared" si="61"/>
        <v>0</v>
      </c>
      <c r="M97" s="113">
        <f t="shared" si="62"/>
        <v>0</v>
      </c>
      <c r="N97" s="113"/>
      <c r="O97" s="113">
        <f t="shared" si="49"/>
        <v>0</v>
      </c>
      <c r="P97" s="113"/>
      <c r="Q97" s="113">
        <f t="shared" si="63"/>
        <v>0</v>
      </c>
      <c r="R97" s="113">
        <f t="shared" si="64"/>
        <v>0</v>
      </c>
      <c r="S97" s="113">
        <f t="shared" si="82"/>
        <v>0</v>
      </c>
      <c r="T97" s="113">
        <f t="shared" si="65"/>
        <v>0</v>
      </c>
      <c r="U97" s="113">
        <f t="shared" si="83"/>
        <v>0</v>
      </c>
      <c r="V97" s="146">
        <f t="shared" si="66"/>
        <v>0</v>
      </c>
      <c r="W97" s="66"/>
      <c r="X97" s="115">
        <f t="shared" si="50"/>
        <v>3.125E-2</v>
      </c>
      <c r="Y97" s="110">
        <f t="shared" si="67"/>
        <v>0</v>
      </c>
      <c r="Z97" s="111">
        <f t="shared" si="86"/>
        <v>0.29166666666666669</v>
      </c>
      <c r="AA97" s="112">
        <f t="shared" si="68"/>
        <v>0</v>
      </c>
      <c r="AB97" s="67" t="str">
        <f t="shared" si="69"/>
        <v/>
      </c>
      <c r="AC97" s="193">
        <f t="shared" si="51"/>
        <v>0</v>
      </c>
      <c r="AD97" s="144" t="str">
        <f t="shared" si="52"/>
        <v/>
      </c>
      <c r="AE97" s="228">
        <f t="shared" si="78"/>
        <v>0</v>
      </c>
      <c r="AF97" s="110"/>
      <c r="AG97" s="110" t="str">
        <f t="shared" si="70"/>
        <v/>
      </c>
      <c r="AH97" s="68">
        <f t="shared" si="53"/>
        <v>0</v>
      </c>
      <c r="AI97" s="68">
        <f t="shared" si="54"/>
        <v>0</v>
      </c>
      <c r="AJ97" s="68" t="str">
        <f t="shared" si="55"/>
        <v/>
      </c>
      <c r="AK97">
        <f t="shared" si="56"/>
        <v>3</v>
      </c>
      <c r="AL97" s="122">
        <f>SUM($AD$6:AD97)</f>
        <v>0</v>
      </c>
      <c r="AM97" s="122">
        <f t="shared" ca="1" si="71"/>
        <v>0</v>
      </c>
      <c r="AN97" s="126">
        <f t="shared" si="79"/>
        <v>0</v>
      </c>
      <c r="AO97" s="126">
        <f t="shared" si="80"/>
        <v>0</v>
      </c>
      <c r="AP97" s="126">
        <f t="shared" si="81"/>
        <v>0</v>
      </c>
      <c r="AQ97" s="125">
        <f t="shared" si="72"/>
        <v>30</v>
      </c>
      <c r="AR97" s="125">
        <f t="shared" ca="1" si="73"/>
        <v>30</v>
      </c>
      <c r="AS97" s="135">
        <f t="shared" si="74"/>
        <v>0</v>
      </c>
      <c r="AT97" s="125">
        <f t="shared" si="75"/>
        <v>0</v>
      </c>
      <c r="AU97" t="b">
        <f>OR((F97&gt;0),(NOT(ISBLANK(H97))),SUM(H97:H$373),SUM(G97:G$373))</f>
        <v>0</v>
      </c>
      <c r="AV97" t="b">
        <f t="shared" ca="1" si="57"/>
        <v>0</v>
      </c>
      <c r="AX97" s="228">
        <f>SUM(AW$5:AW97)</f>
        <v>-2.9166666666666665</v>
      </c>
    </row>
    <row r="98" spans="1:50">
      <c r="A98" s="308">
        <f t="shared" si="76"/>
        <v>42461</v>
      </c>
      <c r="B98" s="309">
        <f t="shared" si="77"/>
        <v>42461</v>
      </c>
      <c r="C98" s="310">
        <f t="shared" si="84"/>
        <v>14</v>
      </c>
      <c r="D98" s="311">
        <f t="shared" si="85"/>
        <v>42460</v>
      </c>
      <c r="E98" s="321" t="str">
        <f t="shared" si="58"/>
        <v/>
      </c>
      <c r="F98" s="5"/>
      <c r="G98" s="6" t="str">
        <f t="shared" si="59"/>
        <v/>
      </c>
      <c r="H98" s="7"/>
      <c r="I98" s="7">
        <f t="shared" si="60"/>
        <v>0</v>
      </c>
      <c r="J98" s="113">
        <f t="shared" si="48"/>
        <v>0</v>
      </c>
      <c r="K98" s="7"/>
      <c r="L98" s="7">
        <f t="shared" si="61"/>
        <v>0</v>
      </c>
      <c r="M98" s="113">
        <f t="shared" si="62"/>
        <v>0</v>
      </c>
      <c r="N98" s="113"/>
      <c r="O98" s="113">
        <f t="shared" si="49"/>
        <v>0</v>
      </c>
      <c r="P98" s="113"/>
      <c r="Q98" s="113">
        <f t="shared" si="63"/>
        <v>0</v>
      </c>
      <c r="R98" s="113">
        <f t="shared" si="64"/>
        <v>0</v>
      </c>
      <c r="S98" s="113">
        <f t="shared" si="82"/>
        <v>0</v>
      </c>
      <c r="T98" s="113">
        <f t="shared" si="65"/>
        <v>0</v>
      </c>
      <c r="U98" s="113">
        <f t="shared" si="83"/>
        <v>0</v>
      </c>
      <c r="V98" s="146">
        <f t="shared" si="66"/>
        <v>0</v>
      </c>
      <c r="W98" s="66"/>
      <c r="X98" s="115">
        <f t="shared" si="50"/>
        <v>3.125E-2</v>
      </c>
      <c r="Y98" s="110">
        <f t="shared" si="67"/>
        <v>0</v>
      </c>
      <c r="Z98" s="111">
        <f t="shared" si="86"/>
        <v>0.29166666666666669</v>
      </c>
      <c r="AA98" s="112">
        <f t="shared" si="68"/>
        <v>0</v>
      </c>
      <c r="AB98" s="67" t="str">
        <f t="shared" si="69"/>
        <v/>
      </c>
      <c r="AC98" s="193">
        <f t="shared" si="51"/>
        <v>0</v>
      </c>
      <c r="AD98" s="144" t="str">
        <f t="shared" si="52"/>
        <v/>
      </c>
      <c r="AE98" s="228">
        <f t="shared" si="78"/>
        <v>0</v>
      </c>
      <c r="AF98" s="110"/>
      <c r="AG98" s="110" t="str">
        <f t="shared" si="70"/>
        <v/>
      </c>
      <c r="AH98" s="68">
        <f t="shared" si="53"/>
        <v>0</v>
      </c>
      <c r="AI98" s="68">
        <f t="shared" si="54"/>
        <v>0</v>
      </c>
      <c r="AJ98" s="68" t="str">
        <f t="shared" si="55"/>
        <v/>
      </c>
      <c r="AK98">
        <f t="shared" si="56"/>
        <v>4</v>
      </c>
      <c r="AL98" s="122">
        <f>SUM($AD$6:AD98)</f>
        <v>0</v>
      </c>
      <c r="AM98" s="122">
        <f t="shared" ca="1" si="71"/>
        <v>0</v>
      </c>
      <c r="AN98" s="126">
        <f t="shared" si="79"/>
        <v>0</v>
      </c>
      <c r="AO98" s="126">
        <f t="shared" si="80"/>
        <v>0</v>
      </c>
      <c r="AP98" s="126">
        <f t="shared" si="81"/>
        <v>0</v>
      </c>
      <c r="AQ98" s="125">
        <f t="shared" si="72"/>
        <v>30</v>
      </c>
      <c r="AR98" s="125">
        <f t="shared" ca="1" si="73"/>
        <v>30</v>
      </c>
      <c r="AS98" s="135">
        <f t="shared" si="74"/>
        <v>0</v>
      </c>
      <c r="AT98" s="125">
        <f t="shared" si="75"/>
        <v>0</v>
      </c>
      <c r="AU98" t="b">
        <f>OR((F98&gt;0),(NOT(ISBLANK(H98))),SUM(H98:H$373),SUM(G98:G$373))</f>
        <v>0</v>
      </c>
      <c r="AV98" t="b">
        <f t="shared" ca="1" si="57"/>
        <v>0</v>
      </c>
      <c r="AX98" s="228">
        <f>SUM(AW$5:AW98)</f>
        <v>-2.9166666666666665</v>
      </c>
    </row>
    <row r="99" spans="1:50">
      <c r="A99" s="308">
        <f t="shared" si="76"/>
        <v>42462</v>
      </c>
      <c r="B99" s="309">
        <f t="shared" si="77"/>
        <v>42462</v>
      </c>
      <c r="C99" s="310">
        <f t="shared" si="84"/>
        <v>14</v>
      </c>
      <c r="D99" s="311">
        <f t="shared" si="85"/>
        <v>42460</v>
      </c>
      <c r="E99" s="321" t="str">
        <f t="shared" si="58"/>
        <v/>
      </c>
      <c r="F99" s="5"/>
      <c r="G99" s="6" t="str">
        <f t="shared" si="59"/>
        <v/>
      </c>
      <c r="H99" s="7"/>
      <c r="I99" s="7">
        <f t="shared" si="60"/>
        <v>0</v>
      </c>
      <c r="J99" s="113">
        <f t="shared" si="48"/>
        <v>0</v>
      </c>
      <c r="K99" s="7"/>
      <c r="L99" s="7">
        <f t="shared" si="61"/>
        <v>0</v>
      </c>
      <c r="M99" s="113">
        <f t="shared" si="62"/>
        <v>0</v>
      </c>
      <c r="N99" s="113"/>
      <c r="O99" s="113">
        <f t="shared" si="49"/>
        <v>0</v>
      </c>
      <c r="P99" s="113"/>
      <c r="Q99" s="113">
        <f t="shared" si="63"/>
        <v>0</v>
      </c>
      <c r="R99" s="113">
        <f t="shared" si="64"/>
        <v>0</v>
      </c>
      <c r="S99" s="113">
        <f t="shared" si="82"/>
        <v>0</v>
      </c>
      <c r="T99" s="113">
        <f t="shared" si="65"/>
        <v>0</v>
      </c>
      <c r="U99" s="113">
        <f t="shared" si="83"/>
        <v>0</v>
      </c>
      <c r="V99" s="146">
        <f t="shared" si="66"/>
        <v>0</v>
      </c>
      <c r="W99" s="66"/>
      <c r="X99" s="115">
        <f t="shared" si="50"/>
        <v>3.125E-2</v>
      </c>
      <c r="Y99" s="110">
        <f t="shared" si="67"/>
        <v>0</v>
      </c>
      <c r="Z99" s="111">
        <f t="shared" si="86"/>
        <v>0.29166666666666669</v>
      </c>
      <c r="AA99" s="112">
        <f t="shared" si="68"/>
        <v>0</v>
      </c>
      <c r="AB99" s="67" t="str">
        <f t="shared" si="69"/>
        <v/>
      </c>
      <c r="AC99" s="193">
        <f t="shared" si="51"/>
        <v>0</v>
      </c>
      <c r="AD99" s="144" t="str">
        <f t="shared" si="52"/>
        <v/>
      </c>
      <c r="AE99" s="228">
        <f t="shared" si="78"/>
        <v>0</v>
      </c>
      <c r="AF99" s="110"/>
      <c r="AG99" s="110" t="str">
        <f t="shared" si="70"/>
        <v/>
      </c>
      <c r="AH99" s="68">
        <f t="shared" si="53"/>
        <v>0</v>
      </c>
      <c r="AI99" s="68">
        <f t="shared" si="54"/>
        <v>0</v>
      </c>
      <c r="AJ99" s="68" t="str">
        <f t="shared" si="55"/>
        <v/>
      </c>
      <c r="AK99">
        <f t="shared" si="56"/>
        <v>5</v>
      </c>
      <c r="AL99" s="122">
        <f>SUM($AD$6:AD99)</f>
        <v>0</v>
      </c>
      <c r="AM99" s="122">
        <f t="shared" ca="1" si="71"/>
        <v>0</v>
      </c>
      <c r="AN99" s="126">
        <f t="shared" si="79"/>
        <v>0</v>
      </c>
      <c r="AO99" s="126">
        <f t="shared" si="80"/>
        <v>0</v>
      </c>
      <c r="AP99" s="126">
        <f t="shared" si="81"/>
        <v>0</v>
      </c>
      <c r="AQ99" s="125">
        <f t="shared" si="72"/>
        <v>30</v>
      </c>
      <c r="AR99" s="125">
        <f t="shared" ca="1" si="73"/>
        <v>30</v>
      </c>
      <c r="AS99" s="135">
        <f t="shared" si="74"/>
        <v>0</v>
      </c>
      <c r="AT99" s="125">
        <f t="shared" si="75"/>
        <v>0</v>
      </c>
      <c r="AU99" t="b">
        <f>OR((F99&gt;0),(NOT(ISBLANK(H99))),SUM(H99:H$373),SUM(G99:G$373))</f>
        <v>0</v>
      </c>
      <c r="AV99" t="b">
        <f t="shared" ca="1" si="57"/>
        <v>0</v>
      </c>
      <c r="AX99" s="228">
        <f>SUM(AW$5:AW99)</f>
        <v>-2.9166666666666665</v>
      </c>
    </row>
    <row r="100" spans="1:50">
      <c r="A100" s="308">
        <f t="shared" si="76"/>
        <v>42463</v>
      </c>
      <c r="B100" s="309">
        <f t="shared" si="77"/>
        <v>42463</v>
      </c>
      <c r="C100" s="310">
        <f t="shared" si="84"/>
        <v>14</v>
      </c>
      <c r="D100" s="311">
        <f t="shared" si="85"/>
        <v>42460</v>
      </c>
      <c r="E100" s="321" t="str">
        <f t="shared" si="58"/>
        <v/>
      </c>
      <c r="F100" s="5"/>
      <c r="G100" s="6" t="str">
        <f t="shared" si="59"/>
        <v/>
      </c>
      <c r="H100" s="7"/>
      <c r="I100" s="7">
        <f t="shared" si="60"/>
        <v>0</v>
      </c>
      <c r="J100" s="113">
        <f t="shared" si="48"/>
        <v>0</v>
      </c>
      <c r="K100" s="7"/>
      <c r="L100" s="7">
        <f t="shared" si="61"/>
        <v>0</v>
      </c>
      <c r="M100" s="113">
        <f t="shared" si="62"/>
        <v>0</v>
      </c>
      <c r="N100" s="113"/>
      <c r="O100" s="113">
        <f t="shared" si="49"/>
        <v>0</v>
      </c>
      <c r="P100" s="113"/>
      <c r="Q100" s="113">
        <f t="shared" si="63"/>
        <v>0</v>
      </c>
      <c r="R100" s="113">
        <f t="shared" si="64"/>
        <v>0</v>
      </c>
      <c r="S100" s="113">
        <f t="shared" si="82"/>
        <v>0</v>
      </c>
      <c r="T100" s="113">
        <f t="shared" si="65"/>
        <v>0</v>
      </c>
      <c r="U100" s="113">
        <f t="shared" si="83"/>
        <v>0</v>
      </c>
      <c r="V100" s="146">
        <f t="shared" si="66"/>
        <v>0</v>
      </c>
      <c r="W100" s="66"/>
      <c r="X100" s="115">
        <f t="shared" si="50"/>
        <v>3.125E-2</v>
      </c>
      <c r="Y100" s="110">
        <f t="shared" si="67"/>
        <v>0</v>
      </c>
      <c r="Z100" s="111">
        <f t="shared" si="86"/>
        <v>0</v>
      </c>
      <c r="AA100" s="112">
        <f t="shared" si="68"/>
        <v>0</v>
      </c>
      <c r="AB100" s="67" t="str">
        <f t="shared" si="69"/>
        <v/>
      </c>
      <c r="AC100" s="193">
        <f t="shared" si="51"/>
        <v>0</v>
      </c>
      <c r="AD100" s="144" t="str">
        <f t="shared" si="52"/>
        <v/>
      </c>
      <c r="AE100" s="228">
        <f>IF(AU100,(AE99+SUM(AA100)-AF100),)</f>
        <v>0</v>
      </c>
      <c r="AF100" s="110"/>
      <c r="AG100" s="110" t="str">
        <f t="shared" si="70"/>
        <v/>
      </c>
      <c r="AH100" s="68">
        <f t="shared" si="53"/>
        <v>0</v>
      </c>
      <c r="AI100" s="68">
        <f t="shared" si="54"/>
        <v>0</v>
      </c>
      <c r="AJ100" s="68" t="str">
        <f t="shared" si="55"/>
        <v/>
      </c>
      <c r="AK100">
        <f t="shared" si="56"/>
        <v>6</v>
      </c>
      <c r="AL100" s="122">
        <f>SUM($AD$6:AD100)</f>
        <v>0</v>
      </c>
      <c r="AM100" s="122">
        <f t="shared" ca="1" si="71"/>
        <v>0</v>
      </c>
      <c r="AN100" s="126">
        <f t="shared" si="79"/>
        <v>0</v>
      </c>
      <c r="AO100" s="126">
        <f t="shared" si="80"/>
        <v>0</v>
      </c>
      <c r="AP100" s="126">
        <f t="shared" si="81"/>
        <v>0</v>
      </c>
      <c r="AQ100" s="125">
        <f t="shared" si="72"/>
        <v>30</v>
      </c>
      <c r="AR100" s="125">
        <f t="shared" ca="1" si="73"/>
        <v>30</v>
      </c>
      <c r="AS100" s="135">
        <f t="shared" si="74"/>
        <v>0</v>
      </c>
      <c r="AT100" s="125">
        <f t="shared" si="75"/>
        <v>7</v>
      </c>
      <c r="AU100" t="b">
        <f>OR((F100&gt;0),(NOT(ISBLANK(H100))),SUM(H100:H$373),SUM(G100:G$373))</f>
        <v>0</v>
      </c>
      <c r="AV100" t="b">
        <f t="shared" ca="1" si="57"/>
        <v>1</v>
      </c>
      <c r="AX100" s="228">
        <f>SUM(AW$5:AW100)</f>
        <v>-2.9166666666666665</v>
      </c>
    </row>
    <row r="101" spans="1:50">
      <c r="A101" s="308">
        <f t="shared" si="76"/>
        <v>42464</v>
      </c>
      <c r="B101" s="309">
        <f t="shared" si="77"/>
        <v>42464</v>
      </c>
      <c r="C101" s="310">
        <f t="shared" si="84"/>
        <v>14</v>
      </c>
      <c r="D101" s="311">
        <f t="shared" si="85"/>
        <v>42460</v>
      </c>
      <c r="E101" s="321" t="str">
        <f t="shared" si="58"/>
        <v/>
      </c>
      <c r="F101" s="5"/>
      <c r="G101" s="6" t="str">
        <f t="shared" si="59"/>
        <v/>
      </c>
      <c r="H101" s="7"/>
      <c r="I101" s="7">
        <f t="shared" si="60"/>
        <v>0</v>
      </c>
      <c r="J101" s="113">
        <f t="shared" si="48"/>
        <v>0</v>
      </c>
      <c r="K101" s="7"/>
      <c r="L101" s="7">
        <f t="shared" si="61"/>
        <v>0</v>
      </c>
      <c r="M101" s="113">
        <f t="shared" si="62"/>
        <v>0</v>
      </c>
      <c r="N101" s="113"/>
      <c r="O101" s="113">
        <f t="shared" si="49"/>
        <v>0</v>
      </c>
      <c r="P101" s="113"/>
      <c r="Q101" s="113">
        <f t="shared" si="63"/>
        <v>0</v>
      </c>
      <c r="R101" s="113">
        <f t="shared" si="64"/>
        <v>0</v>
      </c>
      <c r="S101" s="113">
        <f t="shared" si="82"/>
        <v>0</v>
      </c>
      <c r="T101" s="113">
        <f t="shared" si="65"/>
        <v>0</v>
      </c>
      <c r="U101" s="113">
        <f t="shared" si="83"/>
        <v>0</v>
      </c>
      <c r="V101" s="146">
        <f t="shared" si="66"/>
        <v>0</v>
      </c>
      <c r="W101" s="66"/>
      <c r="X101" s="115">
        <f t="shared" si="50"/>
        <v>3.125E-2</v>
      </c>
      <c r="Y101" s="110">
        <f t="shared" si="67"/>
        <v>0</v>
      </c>
      <c r="Z101" s="111">
        <f t="shared" si="86"/>
        <v>0</v>
      </c>
      <c r="AA101" s="112">
        <f t="shared" si="68"/>
        <v>0</v>
      </c>
      <c r="AB101" s="67" t="str">
        <f t="shared" si="69"/>
        <v/>
      </c>
      <c r="AC101" s="193">
        <f t="shared" si="51"/>
        <v>0</v>
      </c>
      <c r="AD101" s="144" t="str">
        <f t="shared" si="52"/>
        <v/>
      </c>
      <c r="AE101" s="228">
        <f>IF(AU101,(AE100+SUM(AA101)-AF101),)</f>
        <v>0</v>
      </c>
      <c r="AF101" s="110"/>
      <c r="AG101" s="110" t="str">
        <f t="shared" si="70"/>
        <v/>
      </c>
      <c r="AH101" s="68">
        <f t="shared" si="53"/>
        <v>0</v>
      </c>
      <c r="AI101" s="68">
        <f t="shared" si="54"/>
        <v>0</v>
      </c>
      <c r="AJ101" s="68" t="str">
        <f t="shared" si="55"/>
        <v/>
      </c>
      <c r="AK101">
        <f t="shared" si="56"/>
        <v>7</v>
      </c>
      <c r="AL101" s="122">
        <f>SUM($AD$6:AD101)</f>
        <v>0</v>
      </c>
      <c r="AM101" s="122">
        <f t="shared" ca="1" si="71"/>
        <v>0</v>
      </c>
      <c r="AN101" s="126">
        <f t="shared" si="79"/>
        <v>0</v>
      </c>
      <c r="AO101" s="126">
        <f t="shared" si="80"/>
        <v>0</v>
      </c>
      <c r="AP101" s="126">
        <f t="shared" si="81"/>
        <v>0</v>
      </c>
      <c r="AQ101" s="125">
        <f t="shared" si="72"/>
        <v>30</v>
      </c>
      <c r="AR101" s="125">
        <f t="shared" ca="1" si="73"/>
        <v>30</v>
      </c>
      <c r="AS101" s="135">
        <f t="shared" si="74"/>
        <v>0</v>
      </c>
      <c r="AT101" s="125">
        <f t="shared" si="75"/>
        <v>7</v>
      </c>
      <c r="AU101" t="b">
        <f>OR((F101&gt;0),(NOT(ISBLANK(H101))),SUM(H101:H$373),SUM(G101:G$373))</f>
        <v>0</v>
      </c>
      <c r="AV101" t="b">
        <f t="shared" ca="1" si="57"/>
        <v>1</v>
      </c>
      <c r="AX101" s="228">
        <f>SUM(AW$5:AW101)</f>
        <v>-2.9166666666666665</v>
      </c>
    </row>
    <row r="102" spans="1:50">
      <c r="A102" s="308">
        <f t="shared" si="76"/>
        <v>42465</v>
      </c>
      <c r="B102" s="309">
        <f t="shared" si="77"/>
        <v>42465</v>
      </c>
      <c r="C102" s="310">
        <f t="shared" si="84"/>
        <v>15</v>
      </c>
      <c r="D102" s="311">
        <f t="shared" si="85"/>
        <v>42460</v>
      </c>
      <c r="E102" s="321" t="str">
        <f t="shared" si="58"/>
        <v/>
      </c>
      <c r="F102" s="5"/>
      <c r="G102" s="6" t="str">
        <f t="shared" si="59"/>
        <v/>
      </c>
      <c r="H102" s="7"/>
      <c r="I102" s="7">
        <f t="shared" si="60"/>
        <v>0</v>
      </c>
      <c r="J102" s="113">
        <f t="shared" si="48"/>
        <v>0</v>
      </c>
      <c r="K102" s="7"/>
      <c r="L102" s="7">
        <f t="shared" si="61"/>
        <v>0</v>
      </c>
      <c r="M102" s="113">
        <f t="shared" si="62"/>
        <v>0</v>
      </c>
      <c r="N102" s="113"/>
      <c r="O102" s="113">
        <f t="shared" si="49"/>
        <v>0</v>
      </c>
      <c r="P102" s="113"/>
      <c r="Q102" s="113">
        <f t="shared" si="63"/>
        <v>0</v>
      </c>
      <c r="R102" s="113">
        <f t="shared" si="64"/>
        <v>0</v>
      </c>
      <c r="S102" s="113">
        <f t="shared" si="82"/>
        <v>0</v>
      </c>
      <c r="T102" s="113">
        <f t="shared" si="65"/>
        <v>0</v>
      </c>
      <c r="U102" s="113">
        <f t="shared" si="83"/>
        <v>0</v>
      </c>
      <c r="V102" s="146">
        <f t="shared" si="66"/>
        <v>0</v>
      </c>
      <c r="W102" s="66"/>
      <c r="X102" s="115">
        <f t="shared" si="50"/>
        <v>3.125E-2</v>
      </c>
      <c r="Y102" s="110">
        <f t="shared" si="67"/>
        <v>0</v>
      </c>
      <c r="Z102" s="111">
        <f t="shared" si="86"/>
        <v>0.29166666666666669</v>
      </c>
      <c r="AA102" s="112">
        <f t="shared" si="68"/>
        <v>0</v>
      </c>
      <c r="AB102" s="67" t="str">
        <f t="shared" si="69"/>
        <v/>
      </c>
      <c r="AC102" s="193">
        <f t="shared" si="51"/>
        <v>0</v>
      </c>
      <c r="AD102" s="144" t="str">
        <f t="shared" si="52"/>
        <v/>
      </c>
      <c r="AE102" s="228">
        <f t="shared" si="78"/>
        <v>0</v>
      </c>
      <c r="AF102" s="110"/>
      <c r="AG102" s="110" t="str">
        <f t="shared" si="70"/>
        <v/>
      </c>
      <c r="AH102" s="68">
        <f t="shared" si="53"/>
        <v>0</v>
      </c>
      <c r="AI102" s="68">
        <f t="shared" si="54"/>
        <v>0</v>
      </c>
      <c r="AJ102" s="68" t="str">
        <f t="shared" si="55"/>
        <v/>
      </c>
      <c r="AK102">
        <f t="shared" si="56"/>
        <v>1</v>
      </c>
      <c r="AL102" s="122">
        <f>SUM($AD$6:AD102)</f>
        <v>0</v>
      </c>
      <c r="AM102" s="122">
        <f t="shared" ca="1" si="71"/>
        <v>0</v>
      </c>
      <c r="AN102" s="126">
        <f t="shared" si="79"/>
        <v>0</v>
      </c>
      <c r="AO102" s="126">
        <f t="shared" si="80"/>
        <v>0</v>
      </c>
      <c r="AP102" s="126">
        <f t="shared" si="81"/>
        <v>0</v>
      </c>
      <c r="AQ102" s="125">
        <f t="shared" si="72"/>
        <v>30</v>
      </c>
      <c r="AR102" s="125">
        <f t="shared" ca="1" si="73"/>
        <v>30</v>
      </c>
      <c r="AS102" s="135">
        <f t="shared" si="74"/>
        <v>0</v>
      </c>
      <c r="AT102" s="125">
        <f t="shared" si="75"/>
        <v>0</v>
      </c>
      <c r="AU102" t="b">
        <f>OR((F102&gt;0),(NOT(ISBLANK(H102))),SUM(H102:H$373),SUM(G102:G$373))</f>
        <v>0</v>
      </c>
      <c r="AV102" t="b">
        <f t="shared" ca="1" si="57"/>
        <v>0</v>
      </c>
      <c r="AX102" s="228">
        <f>SUM(AW$5:AW102)</f>
        <v>-2.9166666666666665</v>
      </c>
    </row>
    <row r="103" spans="1:50">
      <c r="A103" s="308">
        <f t="shared" si="76"/>
        <v>42466</v>
      </c>
      <c r="B103" s="309">
        <f t="shared" si="77"/>
        <v>42466</v>
      </c>
      <c r="C103" s="310">
        <f t="shared" si="84"/>
        <v>15</v>
      </c>
      <c r="D103" s="311">
        <f t="shared" si="85"/>
        <v>42460</v>
      </c>
      <c r="E103" s="321" t="str">
        <f t="shared" si="58"/>
        <v/>
      </c>
      <c r="F103" s="5"/>
      <c r="G103" s="6" t="str">
        <f t="shared" si="59"/>
        <v/>
      </c>
      <c r="H103" s="7"/>
      <c r="I103" s="7">
        <f t="shared" si="60"/>
        <v>0</v>
      </c>
      <c r="J103" s="113">
        <f t="shared" si="48"/>
        <v>0</v>
      </c>
      <c r="K103" s="7"/>
      <c r="L103" s="7">
        <f t="shared" si="61"/>
        <v>0</v>
      </c>
      <c r="M103" s="113">
        <f t="shared" si="62"/>
        <v>0</v>
      </c>
      <c r="N103" s="113"/>
      <c r="O103" s="113">
        <f t="shared" si="49"/>
        <v>0</v>
      </c>
      <c r="P103" s="113"/>
      <c r="Q103" s="113">
        <f t="shared" si="63"/>
        <v>0</v>
      </c>
      <c r="R103" s="113">
        <f t="shared" si="64"/>
        <v>0</v>
      </c>
      <c r="S103" s="113">
        <f t="shared" si="82"/>
        <v>0</v>
      </c>
      <c r="T103" s="113">
        <f t="shared" si="65"/>
        <v>0</v>
      </c>
      <c r="U103" s="113">
        <f t="shared" si="83"/>
        <v>0</v>
      </c>
      <c r="V103" s="146">
        <f t="shared" si="66"/>
        <v>0</v>
      </c>
      <c r="W103" s="66"/>
      <c r="X103" s="115">
        <f t="shared" si="50"/>
        <v>3.125E-2</v>
      </c>
      <c r="Y103" s="110">
        <f t="shared" si="67"/>
        <v>0</v>
      </c>
      <c r="Z103" s="111">
        <f t="shared" si="86"/>
        <v>0.29166666666666669</v>
      </c>
      <c r="AA103" s="112">
        <f t="shared" si="68"/>
        <v>0</v>
      </c>
      <c r="AB103" s="67" t="str">
        <f t="shared" si="69"/>
        <v/>
      </c>
      <c r="AC103" s="193">
        <f t="shared" si="51"/>
        <v>0</v>
      </c>
      <c r="AD103" s="144" t="str">
        <f t="shared" si="52"/>
        <v/>
      </c>
      <c r="AE103" s="228">
        <f t="shared" si="78"/>
        <v>0</v>
      </c>
      <c r="AF103" s="110"/>
      <c r="AG103" s="110" t="str">
        <f t="shared" si="70"/>
        <v/>
      </c>
      <c r="AH103" s="68">
        <f t="shared" si="53"/>
        <v>0</v>
      </c>
      <c r="AI103" s="68">
        <f t="shared" si="54"/>
        <v>0</v>
      </c>
      <c r="AJ103" s="68" t="str">
        <f t="shared" si="55"/>
        <v/>
      </c>
      <c r="AK103">
        <f t="shared" si="56"/>
        <v>2</v>
      </c>
      <c r="AL103" s="122">
        <f>SUM($AD$6:AD103)</f>
        <v>0</v>
      </c>
      <c r="AM103" s="122">
        <f t="shared" ca="1" si="71"/>
        <v>0</v>
      </c>
      <c r="AN103" s="126">
        <f t="shared" si="79"/>
        <v>0</v>
      </c>
      <c r="AO103" s="126">
        <f t="shared" si="80"/>
        <v>0</v>
      </c>
      <c r="AP103" s="126">
        <f t="shared" si="81"/>
        <v>0</v>
      </c>
      <c r="AQ103" s="125">
        <f t="shared" si="72"/>
        <v>30</v>
      </c>
      <c r="AR103" s="125">
        <f t="shared" ca="1" si="73"/>
        <v>30</v>
      </c>
      <c r="AS103" s="135">
        <f t="shared" si="74"/>
        <v>0</v>
      </c>
      <c r="AT103" s="125">
        <f t="shared" si="75"/>
        <v>0</v>
      </c>
      <c r="AU103" t="b">
        <f>OR((F103&gt;0),(NOT(ISBLANK(H103))),SUM(H103:H$373),SUM(G103:G$373))</f>
        <v>0</v>
      </c>
      <c r="AV103" t="b">
        <f t="shared" ca="1" si="57"/>
        <v>0</v>
      </c>
      <c r="AX103" s="228">
        <f>SUM(AW$5:AW103)</f>
        <v>-2.9166666666666665</v>
      </c>
    </row>
    <row r="104" spans="1:50">
      <c r="A104" s="308">
        <f t="shared" si="76"/>
        <v>42467</v>
      </c>
      <c r="B104" s="309">
        <f t="shared" si="77"/>
        <v>42467</v>
      </c>
      <c r="C104" s="310">
        <f t="shared" si="84"/>
        <v>15</v>
      </c>
      <c r="D104" s="311">
        <f t="shared" si="85"/>
        <v>42460</v>
      </c>
      <c r="E104" s="321" t="str">
        <f t="shared" si="58"/>
        <v/>
      </c>
      <c r="F104" s="5"/>
      <c r="G104" s="6" t="str">
        <f t="shared" si="59"/>
        <v/>
      </c>
      <c r="H104" s="7"/>
      <c r="I104" s="7">
        <f t="shared" si="60"/>
        <v>0</v>
      </c>
      <c r="J104" s="113">
        <f t="shared" si="48"/>
        <v>0</v>
      </c>
      <c r="K104" s="7"/>
      <c r="L104" s="7">
        <f t="shared" si="61"/>
        <v>0</v>
      </c>
      <c r="M104" s="113">
        <f t="shared" si="62"/>
        <v>0</v>
      </c>
      <c r="N104" s="113"/>
      <c r="O104" s="113">
        <f t="shared" si="49"/>
        <v>0</v>
      </c>
      <c r="P104" s="113"/>
      <c r="Q104" s="113">
        <f t="shared" si="63"/>
        <v>0</v>
      </c>
      <c r="R104" s="113">
        <f t="shared" si="64"/>
        <v>0</v>
      </c>
      <c r="S104" s="113">
        <f t="shared" si="82"/>
        <v>0</v>
      </c>
      <c r="T104" s="113">
        <f t="shared" si="65"/>
        <v>0</v>
      </c>
      <c r="U104" s="113">
        <f t="shared" si="83"/>
        <v>0</v>
      </c>
      <c r="V104" s="146">
        <f t="shared" si="66"/>
        <v>0</v>
      </c>
      <c r="W104" s="66"/>
      <c r="X104" s="115">
        <f t="shared" si="50"/>
        <v>3.125E-2</v>
      </c>
      <c r="Y104" s="110">
        <f t="shared" si="67"/>
        <v>0</v>
      </c>
      <c r="Z104" s="111">
        <f t="shared" si="86"/>
        <v>0.29166666666666669</v>
      </c>
      <c r="AA104" s="112">
        <f t="shared" si="68"/>
        <v>0</v>
      </c>
      <c r="AB104" s="67" t="str">
        <f t="shared" si="69"/>
        <v/>
      </c>
      <c r="AC104" s="193">
        <f t="shared" si="51"/>
        <v>0</v>
      </c>
      <c r="AD104" s="144" t="str">
        <f t="shared" si="52"/>
        <v/>
      </c>
      <c r="AE104" s="228">
        <f t="shared" si="78"/>
        <v>0</v>
      </c>
      <c r="AF104" s="110"/>
      <c r="AG104" s="110" t="str">
        <f t="shared" si="70"/>
        <v/>
      </c>
      <c r="AH104" s="68">
        <f t="shared" si="53"/>
        <v>0</v>
      </c>
      <c r="AI104" s="68">
        <f t="shared" si="54"/>
        <v>0</v>
      </c>
      <c r="AJ104" s="68" t="str">
        <f t="shared" si="55"/>
        <v/>
      </c>
      <c r="AK104">
        <f t="shared" si="56"/>
        <v>3</v>
      </c>
      <c r="AL104" s="122">
        <f>SUM($AD$6:AD104)</f>
        <v>0</v>
      </c>
      <c r="AM104" s="122">
        <f t="shared" ca="1" si="71"/>
        <v>0</v>
      </c>
      <c r="AN104" s="126">
        <f t="shared" si="79"/>
        <v>0</v>
      </c>
      <c r="AO104" s="126">
        <f t="shared" si="80"/>
        <v>0</v>
      </c>
      <c r="AP104" s="126">
        <f t="shared" si="81"/>
        <v>0</v>
      </c>
      <c r="AQ104" s="125">
        <f t="shared" si="72"/>
        <v>30</v>
      </c>
      <c r="AR104" s="125">
        <f t="shared" ca="1" si="73"/>
        <v>30</v>
      </c>
      <c r="AS104" s="135">
        <f t="shared" si="74"/>
        <v>0</v>
      </c>
      <c r="AT104" s="125">
        <f t="shared" si="75"/>
        <v>0</v>
      </c>
      <c r="AU104" t="b">
        <f>OR((F104&gt;0),(NOT(ISBLANK(H104))),SUM(H104:H$373),SUM(G104:G$373))</f>
        <v>0</v>
      </c>
      <c r="AV104" t="b">
        <f t="shared" ca="1" si="57"/>
        <v>0</v>
      </c>
      <c r="AX104" s="228">
        <f>SUM(AW$5:AW104)</f>
        <v>-2.9166666666666665</v>
      </c>
    </row>
    <row r="105" spans="1:50">
      <c r="A105" s="308">
        <f t="shared" si="76"/>
        <v>42468</v>
      </c>
      <c r="B105" s="309">
        <f t="shared" si="77"/>
        <v>42468</v>
      </c>
      <c r="C105" s="310">
        <f t="shared" si="84"/>
        <v>15</v>
      </c>
      <c r="D105" s="311">
        <f t="shared" si="85"/>
        <v>42460</v>
      </c>
      <c r="E105" s="321" t="str">
        <f t="shared" si="58"/>
        <v/>
      </c>
      <c r="F105" s="5"/>
      <c r="G105" s="6" t="str">
        <f t="shared" si="59"/>
        <v/>
      </c>
      <c r="H105" s="7"/>
      <c r="I105" s="7">
        <f t="shared" si="60"/>
        <v>0</v>
      </c>
      <c r="J105" s="113">
        <f t="shared" si="48"/>
        <v>0</v>
      </c>
      <c r="K105" s="7"/>
      <c r="L105" s="7">
        <f t="shared" si="61"/>
        <v>0</v>
      </c>
      <c r="M105" s="113">
        <f t="shared" si="62"/>
        <v>0</v>
      </c>
      <c r="N105" s="113"/>
      <c r="O105" s="113">
        <f t="shared" si="49"/>
        <v>0</v>
      </c>
      <c r="P105" s="113"/>
      <c r="Q105" s="113">
        <f t="shared" si="63"/>
        <v>0</v>
      </c>
      <c r="R105" s="113">
        <f t="shared" si="64"/>
        <v>0</v>
      </c>
      <c r="S105" s="113">
        <f t="shared" si="82"/>
        <v>0</v>
      </c>
      <c r="T105" s="113">
        <f t="shared" si="65"/>
        <v>0</v>
      </c>
      <c r="U105" s="113">
        <f t="shared" si="83"/>
        <v>0</v>
      </c>
      <c r="V105" s="146">
        <f t="shared" si="66"/>
        <v>0</v>
      </c>
      <c r="W105" s="66"/>
      <c r="X105" s="115">
        <f t="shared" si="50"/>
        <v>3.125E-2</v>
      </c>
      <c r="Y105" s="110">
        <f t="shared" si="67"/>
        <v>0</v>
      </c>
      <c r="Z105" s="111">
        <f t="shared" si="86"/>
        <v>0.29166666666666669</v>
      </c>
      <c r="AA105" s="112">
        <f t="shared" si="68"/>
        <v>0</v>
      </c>
      <c r="AB105" s="67" t="str">
        <f t="shared" si="69"/>
        <v/>
      </c>
      <c r="AC105" s="193">
        <f t="shared" si="51"/>
        <v>0</v>
      </c>
      <c r="AD105" s="144" t="str">
        <f t="shared" si="52"/>
        <v/>
      </c>
      <c r="AE105" s="228">
        <f t="shared" si="78"/>
        <v>0</v>
      </c>
      <c r="AF105" s="110"/>
      <c r="AG105" s="110" t="str">
        <f t="shared" si="70"/>
        <v/>
      </c>
      <c r="AH105" s="68">
        <f t="shared" si="53"/>
        <v>0</v>
      </c>
      <c r="AI105" s="68">
        <f t="shared" si="54"/>
        <v>0</v>
      </c>
      <c r="AJ105" s="68" t="str">
        <f t="shared" si="55"/>
        <v/>
      </c>
      <c r="AK105">
        <f t="shared" si="56"/>
        <v>4</v>
      </c>
      <c r="AL105" s="122">
        <f>SUM($AD$6:AD105)</f>
        <v>0</v>
      </c>
      <c r="AM105" s="122">
        <f t="shared" ca="1" si="71"/>
        <v>0</v>
      </c>
      <c r="AN105" s="126">
        <f t="shared" si="79"/>
        <v>0</v>
      </c>
      <c r="AO105" s="126">
        <f t="shared" si="80"/>
        <v>0</v>
      </c>
      <c r="AP105" s="126">
        <f t="shared" si="81"/>
        <v>0</v>
      </c>
      <c r="AQ105" s="125">
        <f t="shared" si="72"/>
        <v>30</v>
      </c>
      <c r="AR105" s="125">
        <f t="shared" ca="1" si="73"/>
        <v>30</v>
      </c>
      <c r="AS105" s="135">
        <f t="shared" si="74"/>
        <v>0</v>
      </c>
      <c r="AT105" s="125">
        <f t="shared" si="75"/>
        <v>0</v>
      </c>
      <c r="AU105" t="b">
        <f>OR((F105&gt;0),(NOT(ISBLANK(H105))),SUM(H105:H$373),SUM(G105:G$373))</f>
        <v>0</v>
      </c>
      <c r="AV105" t="b">
        <f t="shared" ca="1" si="57"/>
        <v>0</v>
      </c>
      <c r="AX105" s="228">
        <f>SUM(AW$5:AW105)</f>
        <v>-2.9166666666666665</v>
      </c>
    </row>
    <row r="106" spans="1:50">
      <c r="A106" s="308">
        <f t="shared" si="76"/>
        <v>42469</v>
      </c>
      <c r="B106" s="309">
        <f t="shared" si="77"/>
        <v>42469</v>
      </c>
      <c r="C106" s="310">
        <f t="shared" si="84"/>
        <v>15</v>
      </c>
      <c r="D106" s="311">
        <f t="shared" si="85"/>
        <v>42460</v>
      </c>
      <c r="E106" s="321" t="str">
        <f t="shared" si="58"/>
        <v>Karfreitag</v>
      </c>
      <c r="F106" s="5"/>
      <c r="G106" s="6" t="str">
        <f t="shared" si="59"/>
        <v/>
      </c>
      <c r="H106" s="7"/>
      <c r="I106" s="7">
        <f t="shared" si="60"/>
        <v>0</v>
      </c>
      <c r="J106" s="113">
        <f t="shared" si="48"/>
        <v>0</v>
      </c>
      <c r="K106" s="7"/>
      <c r="L106" s="7">
        <f t="shared" si="61"/>
        <v>0</v>
      </c>
      <c r="M106" s="113">
        <f t="shared" si="62"/>
        <v>0</v>
      </c>
      <c r="N106" s="113"/>
      <c r="O106" s="113">
        <f t="shared" si="49"/>
        <v>0</v>
      </c>
      <c r="P106" s="113"/>
      <c r="Q106" s="113">
        <f t="shared" si="63"/>
        <v>0</v>
      </c>
      <c r="R106" s="113">
        <f t="shared" si="64"/>
        <v>0</v>
      </c>
      <c r="S106" s="113">
        <f t="shared" si="82"/>
        <v>0</v>
      </c>
      <c r="T106" s="113">
        <f t="shared" si="65"/>
        <v>0</v>
      </c>
      <c r="U106" s="113">
        <f t="shared" si="83"/>
        <v>0</v>
      </c>
      <c r="V106" s="146">
        <f t="shared" si="66"/>
        <v>0</v>
      </c>
      <c r="W106" s="66"/>
      <c r="X106" s="115">
        <f t="shared" si="50"/>
        <v>3.125E-2</v>
      </c>
      <c r="Y106" s="110">
        <f t="shared" si="67"/>
        <v>0</v>
      </c>
      <c r="Z106" s="111" t="str">
        <f t="shared" si="86"/>
        <v/>
      </c>
      <c r="AA106" s="112">
        <f t="shared" si="68"/>
        <v>0</v>
      </c>
      <c r="AB106" s="67" t="str">
        <f t="shared" si="69"/>
        <v/>
      </c>
      <c r="AC106" s="193">
        <f t="shared" si="51"/>
        <v>0</v>
      </c>
      <c r="AD106" s="144" t="str">
        <f t="shared" si="52"/>
        <v/>
      </c>
      <c r="AE106" s="228">
        <f t="shared" si="78"/>
        <v>0</v>
      </c>
      <c r="AF106" s="110"/>
      <c r="AG106" s="110" t="str">
        <f t="shared" si="70"/>
        <v/>
      </c>
      <c r="AH106" s="68">
        <f t="shared" si="53"/>
        <v>0</v>
      </c>
      <c r="AI106" s="68">
        <f t="shared" si="54"/>
        <v>0</v>
      </c>
      <c r="AJ106" s="68" t="str">
        <f t="shared" si="55"/>
        <v/>
      </c>
      <c r="AK106">
        <f t="shared" si="56"/>
        <v>8</v>
      </c>
      <c r="AL106" s="122">
        <f>SUM($AD$6:AD106)</f>
        <v>0</v>
      </c>
      <c r="AM106" s="122">
        <f t="shared" ca="1" si="71"/>
        <v>0</v>
      </c>
      <c r="AN106" s="126">
        <f t="shared" si="79"/>
        <v>0</v>
      </c>
      <c r="AO106" s="126">
        <f t="shared" si="80"/>
        <v>0</v>
      </c>
      <c r="AP106" s="126">
        <f t="shared" si="81"/>
        <v>0</v>
      </c>
      <c r="AQ106" s="125">
        <f t="shared" si="72"/>
        <v>30</v>
      </c>
      <c r="AR106" s="125">
        <f t="shared" ca="1" si="73"/>
        <v>30</v>
      </c>
      <c r="AS106" s="135">
        <f t="shared" si="74"/>
        <v>0</v>
      </c>
      <c r="AT106" s="125">
        <f t="shared" si="75"/>
        <v>8</v>
      </c>
      <c r="AU106" t="b">
        <f>OR((F106&gt;0),(NOT(ISBLANK(H106))),SUM(H106:H$373),SUM(G106:G$373))</f>
        <v>0</v>
      </c>
      <c r="AV106" t="b">
        <f t="shared" ca="1" si="57"/>
        <v>1</v>
      </c>
      <c r="AX106" s="228">
        <f>SUM(AW$5:AW106)</f>
        <v>-2.9166666666666665</v>
      </c>
    </row>
    <row r="107" spans="1:50">
      <c r="A107" s="308">
        <f t="shared" si="76"/>
        <v>42470</v>
      </c>
      <c r="B107" s="309">
        <f t="shared" si="77"/>
        <v>42470</v>
      </c>
      <c r="C107" s="310">
        <f t="shared" si="84"/>
        <v>15</v>
      </c>
      <c r="D107" s="311">
        <f t="shared" si="85"/>
        <v>42460</v>
      </c>
      <c r="E107" s="321" t="str">
        <f t="shared" si="58"/>
        <v/>
      </c>
      <c r="F107" s="5"/>
      <c r="G107" s="6" t="str">
        <f t="shared" si="59"/>
        <v/>
      </c>
      <c r="H107" s="7"/>
      <c r="I107" s="7">
        <f t="shared" si="60"/>
        <v>0</v>
      </c>
      <c r="J107" s="113">
        <f t="shared" si="48"/>
        <v>0</v>
      </c>
      <c r="K107" s="7"/>
      <c r="L107" s="7">
        <f t="shared" si="61"/>
        <v>0</v>
      </c>
      <c r="M107" s="113">
        <f t="shared" si="62"/>
        <v>0</v>
      </c>
      <c r="N107" s="113"/>
      <c r="O107" s="113">
        <f t="shared" si="49"/>
        <v>0</v>
      </c>
      <c r="P107" s="113"/>
      <c r="Q107" s="113">
        <f t="shared" si="63"/>
        <v>0</v>
      </c>
      <c r="R107" s="113">
        <f t="shared" si="64"/>
        <v>0</v>
      </c>
      <c r="S107" s="113">
        <f t="shared" si="82"/>
        <v>0</v>
      </c>
      <c r="T107" s="113">
        <f t="shared" si="65"/>
        <v>0</v>
      </c>
      <c r="U107" s="113">
        <f t="shared" si="83"/>
        <v>0</v>
      </c>
      <c r="V107" s="146">
        <f t="shared" si="66"/>
        <v>0</v>
      </c>
      <c r="W107" s="66"/>
      <c r="X107" s="115">
        <f t="shared" si="50"/>
        <v>3.125E-2</v>
      </c>
      <c r="Y107" s="110">
        <f t="shared" si="67"/>
        <v>0</v>
      </c>
      <c r="Z107" s="111">
        <f t="shared" si="86"/>
        <v>0</v>
      </c>
      <c r="AA107" s="112">
        <f t="shared" si="68"/>
        <v>0</v>
      </c>
      <c r="AB107" s="67" t="str">
        <f t="shared" si="69"/>
        <v/>
      </c>
      <c r="AC107" s="193">
        <f t="shared" si="51"/>
        <v>0</v>
      </c>
      <c r="AD107" s="144" t="str">
        <f t="shared" si="52"/>
        <v/>
      </c>
      <c r="AE107" s="228">
        <f t="shared" si="78"/>
        <v>0</v>
      </c>
      <c r="AF107" s="110"/>
      <c r="AG107" s="110" t="str">
        <f t="shared" si="70"/>
        <v/>
      </c>
      <c r="AH107" s="68">
        <f t="shared" si="53"/>
        <v>0</v>
      </c>
      <c r="AI107" s="68">
        <f t="shared" si="54"/>
        <v>0</v>
      </c>
      <c r="AJ107" s="68" t="str">
        <f t="shared" si="55"/>
        <v/>
      </c>
      <c r="AK107">
        <f t="shared" si="56"/>
        <v>6</v>
      </c>
      <c r="AL107" s="122">
        <f>SUM($AD$6:AD107)</f>
        <v>0</v>
      </c>
      <c r="AM107" s="122">
        <f t="shared" ca="1" si="71"/>
        <v>0</v>
      </c>
      <c r="AN107" s="126">
        <f t="shared" si="79"/>
        <v>0</v>
      </c>
      <c r="AO107" s="126">
        <f t="shared" si="80"/>
        <v>0</v>
      </c>
      <c r="AP107" s="126">
        <f t="shared" si="81"/>
        <v>0</v>
      </c>
      <c r="AQ107" s="125">
        <f t="shared" si="72"/>
        <v>30</v>
      </c>
      <c r="AR107" s="125">
        <f t="shared" ca="1" si="73"/>
        <v>30</v>
      </c>
      <c r="AS107" s="135">
        <f t="shared" si="74"/>
        <v>0</v>
      </c>
      <c r="AT107" s="125">
        <f t="shared" si="75"/>
        <v>7</v>
      </c>
      <c r="AU107" t="b">
        <f>OR((F107&gt;0),(NOT(ISBLANK(H107))),SUM(H107:H$373),SUM(G107:G$373))</f>
        <v>0</v>
      </c>
      <c r="AV107" t="b">
        <f t="shared" ca="1" si="57"/>
        <v>1</v>
      </c>
      <c r="AX107" s="228">
        <f>SUM(AW$5:AW107)</f>
        <v>-2.9166666666666665</v>
      </c>
    </row>
    <row r="108" spans="1:50">
      <c r="A108" s="308">
        <f t="shared" si="76"/>
        <v>42471</v>
      </c>
      <c r="B108" s="309">
        <f t="shared" si="77"/>
        <v>42471</v>
      </c>
      <c r="C108" s="310">
        <f t="shared" si="84"/>
        <v>15</v>
      </c>
      <c r="D108" s="311">
        <f t="shared" si="85"/>
        <v>42460</v>
      </c>
      <c r="E108" s="321" t="str">
        <f t="shared" si="58"/>
        <v>Ostersonntag</v>
      </c>
      <c r="F108" s="5"/>
      <c r="G108" s="6" t="str">
        <f t="shared" si="59"/>
        <v/>
      </c>
      <c r="H108" s="7"/>
      <c r="I108" s="7">
        <f t="shared" si="60"/>
        <v>0</v>
      </c>
      <c r="J108" s="113">
        <f t="shared" si="48"/>
        <v>0</v>
      </c>
      <c r="K108" s="7"/>
      <c r="L108" s="7">
        <f t="shared" si="61"/>
        <v>0</v>
      </c>
      <c r="M108" s="113">
        <f t="shared" si="62"/>
        <v>0</v>
      </c>
      <c r="N108" s="113"/>
      <c r="O108" s="113">
        <f t="shared" si="49"/>
        <v>0</v>
      </c>
      <c r="P108" s="113"/>
      <c r="Q108" s="113">
        <f t="shared" si="63"/>
        <v>0</v>
      </c>
      <c r="R108" s="113">
        <f t="shared" si="64"/>
        <v>0</v>
      </c>
      <c r="S108" s="113">
        <f t="shared" si="82"/>
        <v>0</v>
      </c>
      <c r="T108" s="113">
        <f t="shared" si="65"/>
        <v>0</v>
      </c>
      <c r="U108" s="113">
        <f t="shared" si="83"/>
        <v>0</v>
      </c>
      <c r="V108" s="146">
        <f t="shared" si="66"/>
        <v>0</v>
      </c>
      <c r="W108" s="66"/>
      <c r="X108" s="115">
        <f t="shared" si="50"/>
        <v>3.125E-2</v>
      </c>
      <c r="Y108" s="110">
        <f t="shared" si="67"/>
        <v>0</v>
      </c>
      <c r="Z108" s="111" t="str">
        <f t="shared" si="86"/>
        <v/>
      </c>
      <c r="AA108" s="112">
        <f t="shared" si="68"/>
        <v>0</v>
      </c>
      <c r="AB108" s="67" t="str">
        <f t="shared" si="69"/>
        <v/>
      </c>
      <c r="AC108" s="193">
        <f t="shared" si="51"/>
        <v>0</v>
      </c>
      <c r="AD108" s="144" t="str">
        <f t="shared" si="52"/>
        <v/>
      </c>
      <c r="AE108" s="228">
        <f t="shared" si="78"/>
        <v>0</v>
      </c>
      <c r="AF108" s="110"/>
      <c r="AG108" s="110" t="str">
        <f t="shared" si="70"/>
        <v/>
      </c>
      <c r="AH108" s="68">
        <f t="shared" si="53"/>
        <v>0</v>
      </c>
      <c r="AI108" s="68">
        <f t="shared" si="54"/>
        <v>0</v>
      </c>
      <c r="AJ108" s="68" t="str">
        <f t="shared" si="55"/>
        <v/>
      </c>
      <c r="AK108">
        <f t="shared" si="56"/>
        <v>8</v>
      </c>
      <c r="AL108" s="122">
        <f>SUM($AD$6:AD108)</f>
        <v>0</v>
      </c>
      <c r="AM108" s="122">
        <f t="shared" ca="1" si="71"/>
        <v>0</v>
      </c>
      <c r="AN108" s="126">
        <f t="shared" si="79"/>
        <v>0</v>
      </c>
      <c r="AO108" s="126">
        <f t="shared" si="80"/>
        <v>0</v>
      </c>
      <c r="AP108" s="126">
        <f t="shared" si="81"/>
        <v>0</v>
      </c>
      <c r="AQ108" s="125">
        <f t="shared" si="72"/>
        <v>30</v>
      </c>
      <c r="AR108" s="125">
        <f t="shared" ca="1" si="73"/>
        <v>30</v>
      </c>
      <c r="AS108" s="135">
        <f t="shared" si="74"/>
        <v>0</v>
      </c>
      <c r="AT108" s="125">
        <f t="shared" si="75"/>
        <v>8</v>
      </c>
      <c r="AU108" t="b">
        <f>OR((F108&gt;0),(NOT(ISBLANK(H108))),SUM(H108:H$373),SUM(G108:G$373))</f>
        <v>0</v>
      </c>
      <c r="AV108" t="b">
        <f t="shared" ca="1" si="57"/>
        <v>1</v>
      </c>
      <c r="AX108" s="228">
        <f>SUM(AW$5:AW108)</f>
        <v>-2.9166666666666665</v>
      </c>
    </row>
    <row r="109" spans="1:50">
      <c r="A109" s="308">
        <f t="shared" si="76"/>
        <v>42472</v>
      </c>
      <c r="B109" s="309">
        <f t="shared" si="77"/>
        <v>42472</v>
      </c>
      <c r="C109" s="310">
        <f t="shared" si="84"/>
        <v>16</v>
      </c>
      <c r="D109" s="311">
        <f t="shared" si="85"/>
        <v>42460</v>
      </c>
      <c r="E109" s="321" t="str">
        <f t="shared" si="58"/>
        <v>Ostermontag</v>
      </c>
      <c r="F109" s="5"/>
      <c r="G109" s="6" t="str">
        <f t="shared" si="59"/>
        <v/>
      </c>
      <c r="H109" s="7"/>
      <c r="I109" s="7">
        <f t="shared" si="60"/>
        <v>0</v>
      </c>
      <c r="J109" s="113">
        <f t="shared" si="48"/>
        <v>0</v>
      </c>
      <c r="K109" s="7"/>
      <c r="L109" s="7">
        <f t="shared" si="61"/>
        <v>0</v>
      </c>
      <c r="M109" s="113">
        <f t="shared" si="62"/>
        <v>0</v>
      </c>
      <c r="N109" s="113"/>
      <c r="O109" s="113">
        <f t="shared" si="49"/>
        <v>0</v>
      </c>
      <c r="P109" s="113"/>
      <c r="Q109" s="113">
        <f t="shared" si="63"/>
        <v>0</v>
      </c>
      <c r="R109" s="113">
        <f t="shared" si="64"/>
        <v>0</v>
      </c>
      <c r="S109" s="113">
        <f t="shared" si="82"/>
        <v>0</v>
      </c>
      <c r="T109" s="113">
        <f t="shared" si="65"/>
        <v>0</v>
      </c>
      <c r="U109" s="113">
        <f t="shared" si="83"/>
        <v>0</v>
      </c>
      <c r="V109" s="146">
        <f t="shared" si="66"/>
        <v>0</v>
      </c>
      <c r="W109" s="66"/>
      <c r="X109" s="115">
        <f t="shared" si="50"/>
        <v>3.125E-2</v>
      </c>
      <c r="Y109" s="110">
        <f t="shared" si="67"/>
        <v>0</v>
      </c>
      <c r="Z109" s="111" t="str">
        <f t="shared" si="86"/>
        <v/>
      </c>
      <c r="AA109" s="112">
        <f t="shared" si="68"/>
        <v>0</v>
      </c>
      <c r="AB109" s="67" t="str">
        <f t="shared" si="69"/>
        <v/>
      </c>
      <c r="AC109" s="193">
        <f t="shared" si="51"/>
        <v>0</v>
      </c>
      <c r="AD109" s="144" t="str">
        <f t="shared" si="52"/>
        <v/>
      </c>
      <c r="AE109" s="228">
        <f t="shared" si="78"/>
        <v>0</v>
      </c>
      <c r="AF109" s="110"/>
      <c r="AG109" s="110" t="str">
        <f t="shared" si="70"/>
        <v/>
      </c>
      <c r="AH109" s="68">
        <f t="shared" si="53"/>
        <v>0</v>
      </c>
      <c r="AI109" s="68">
        <f t="shared" si="54"/>
        <v>0</v>
      </c>
      <c r="AJ109" s="68" t="str">
        <f t="shared" si="55"/>
        <v/>
      </c>
      <c r="AK109">
        <f t="shared" si="56"/>
        <v>8</v>
      </c>
      <c r="AL109" s="122">
        <f>SUM($AD$6:AD109)</f>
        <v>0</v>
      </c>
      <c r="AM109" s="122">
        <f t="shared" ca="1" si="71"/>
        <v>0</v>
      </c>
      <c r="AN109" s="126">
        <f t="shared" si="79"/>
        <v>0</v>
      </c>
      <c r="AO109" s="126">
        <f t="shared" si="80"/>
        <v>0</v>
      </c>
      <c r="AP109" s="126">
        <f t="shared" si="81"/>
        <v>0</v>
      </c>
      <c r="AQ109" s="125">
        <f t="shared" si="72"/>
        <v>30</v>
      </c>
      <c r="AR109" s="125">
        <f t="shared" ca="1" si="73"/>
        <v>30</v>
      </c>
      <c r="AS109" s="135">
        <f t="shared" si="74"/>
        <v>0</v>
      </c>
      <c r="AT109" s="125">
        <f t="shared" si="75"/>
        <v>8</v>
      </c>
      <c r="AU109" t="b">
        <f>OR((F109&gt;0),(NOT(ISBLANK(H109))),SUM(H109:H$373),SUM(G109:G$373))</f>
        <v>0</v>
      </c>
      <c r="AV109" t="b">
        <f t="shared" ca="1" si="57"/>
        <v>1</v>
      </c>
      <c r="AX109" s="228">
        <f>SUM(AW$5:AW109)</f>
        <v>-2.9166666666666665</v>
      </c>
    </row>
    <row r="110" spans="1:50">
      <c r="A110" s="308">
        <f t="shared" si="76"/>
        <v>42473</v>
      </c>
      <c r="B110" s="309">
        <f t="shared" si="77"/>
        <v>42473</v>
      </c>
      <c r="C110" s="310">
        <f t="shared" si="84"/>
        <v>16</v>
      </c>
      <c r="D110" s="311">
        <f t="shared" si="85"/>
        <v>42460</v>
      </c>
      <c r="E110" s="321" t="str">
        <f t="shared" si="58"/>
        <v/>
      </c>
      <c r="F110" s="5"/>
      <c r="G110" s="6" t="str">
        <f t="shared" si="59"/>
        <v/>
      </c>
      <c r="H110" s="7"/>
      <c r="I110" s="7">
        <f t="shared" si="60"/>
        <v>0</v>
      </c>
      <c r="J110" s="113">
        <f t="shared" si="48"/>
        <v>0</v>
      </c>
      <c r="K110" s="7"/>
      <c r="L110" s="7">
        <f t="shared" si="61"/>
        <v>0</v>
      </c>
      <c r="M110" s="113">
        <f t="shared" si="62"/>
        <v>0</v>
      </c>
      <c r="N110" s="113"/>
      <c r="O110" s="113">
        <f t="shared" si="49"/>
        <v>0</v>
      </c>
      <c r="P110" s="113"/>
      <c r="Q110" s="113">
        <f t="shared" si="63"/>
        <v>0</v>
      </c>
      <c r="R110" s="113">
        <f t="shared" si="64"/>
        <v>0</v>
      </c>
      <c r="S110" s="113">
        <f t="shared" si="82"/>
        <v>0</v>
      </c>
      <c r="T110" s="113">
        <f t="shared" si="65"/>
        <v>0</v>
      </c>
      <c r="U110" s="113">
        <f t="shared" si="83"/>
        <v>0</v>
      </c>
      <c r="V110" s="146">
        <f t="shared" si="66"/>
        <v>0</v>
      </c>
      <c r="W110" s="66"/>
      <c r="X110" s="115">
        <f t="shared" si="50"/>
        <v>3.125E-2</v>
      </c>
      <c r="Y110" s="110">
        <f t="shared" si="67"/>
        <v>0</v>
      </c>
      <c r="Z110" s="111">
        <f t="shared" si="86"/>
        <v>0.29166666666666669</v>
      </c>
      <c r="AA110" s="112">
        <f t="shared" si="68"/>
        <v>0</v>
      </c>
      <c r="AB110" s="67" t="str">
        <f t="shared" si="69"/>
        <v/>
      </c>
      <c r="AC110" s="193">
        <f t="shared" si="51"/>
        <v>0</v>
      </c>
      <c r="AD110" s="144" t="str">
        <f t="shared" si="52"/>
        <v/>
      </c>
      <c r="AE110" s="228">
        <f t="shared" si="78"/>
        <v>0</v>
      </c>
      <c r="AF110" s="110"/>
      <c r="AG110" s="110" t="str">
        <f t="shared" si="70"/>
        <v/>
      </c>
      <c r="AH110" s="68">
        <f t="shared" si="53"/>
        <v>0</v>
      </c>
      <c r="AI110" s="68">
        <f t="shared" si="54"/>
        <v>0</v>
      </c>
      <c r="AJ110" s="68" t="str">
        <f t="shared" si="55"/>
        <v/>
      </c>
      <c r="AK110">
        <f t="shared" si="56"/>
        <v>2</v>
      </c>
      <c r="AL110" s="122">
        <f>SUM($AD$6:AD110)</f>
        <v>0</v>
      </c>
      <c r="AM110" s="122">
        <f t="shared" ca="1" si="71"/>
        <v>0</v>
      </c>
      <c r="AN110" s="126">
        <f t="shared" si="79"/>
        <v>0</v>
      </c>
      <c r="AO110" s="126">
        <f t="shared" si="80"/>
        <v>0</v>
      </c>
      <c r="AP110" s="126">
        <f t="shared" si="81"/>
        <v>0</v>
      </c>
      <c r="AQ110" s="125">
        <f t="shared" si="72"/>
        <v>30</v>
      </c>
      <c r="AR110" s="125">
        <f t="shared" ca="1" si="73"/>
        <v>30</v>
      </c>
      <c r="AS110" s="135">
        <f t="shared" si="74"/>
        <v>0</v>
      </c>
      <c r="AT110" s="125">
        <f t="shared" si="75"/>
        <v>0</v>
      </c>
      <c r="AU110" t="b">
        <f>OR((F110&gt;0),(NOT(ISBLANK(H110))),SUM(H110:H$373),SUM(G110:G$373))</f>
        <v>0</v>
      </c>
      <c r="AV110" t="b">
        <f t="shared" ca="1" si="57"/>
        <v>0</v>
      </c>
      <c r="AX110" s="228">
        <f>SUM(AW$5:AW110)</f>
        <v>-2.9166666666666665</v>
      </c>
    </row>
    <row r="111" spans="1:50">
      <c r="A111" s="308">
        <f t="shared" si="76"/>
        <v>42474</v>
      </c>
      <c r="B111" s="309">
        <f t="shared" si="77"/>
        <v>42474</v>
      </c>
      <c r="C111" s="310">
        <f t="shared" si="84"/>
        <v>16</v>
      </c>
      <c r="D111" s="311">
        <f t="shared" si="85"/>
        <v>42460</v>
      </c>
      <c r="E111" s="321" t="str">
        <f t="shared" si="58"/>
        <v/>
      </c>
      <c r="F111" s="5"/>
      <c r="G111" s="6" t="str">
        <f t="shared" si="59"/>
        <v/>
      </c>
      <c r="H111" s="7"/>
      <c r="I111" s="7">
        <f t="shared" si="60"/>
        <v>0</v>
      </c>
      <c r="J111" s="113">
        <f t="shared" si="48"/>
        <v>0</v>
      </c>
      <c r="K111" s="7"/>
      <c r="L111" s="7">
        <f t="shared" si="61"/>
        <v>0</v>
      </c>
      <c r="M111" s="113">
        <f t="shared" si="62"/>
        <v>0</v>
      </c>
      <c r="N111" s="113"/>
      <c r="O111" s="113">
        <f t="shared" si="49"/>
        <v>0</v>
      </c>
      <c r="P111" s="113"/>
      <c r="Q111" s="113">
        <f t="shared" si="63"/>
        <v>0</v>
      </c>
      <c r="R111" s="113">
        <f t="shared" si="64"/>
        <v>0</v>
      </c>
      <c r="S111" s="113">
        <f t="shared" si="82"/>
        <v>0</v>
      </c>
      <c r="T111" s="113">
        <f t="shared" si="65"/>
        <v>0</v>
      </c>
      <c r="U111" s="113">
        <f t="shared" si="83"/>
        <v>0</v>
      </c>
      <c r="V111" s="146">
        <f t="shared" si="66"/>
        <v>0</v>
      </c>
      <c r="W111" s="66"/>
      <c r="X111" s="115">
        <f t="shared" si="50"/>
        <v>3.125E-2</v>
      </c>
      <c r="Y111" s="110">
        <f t="shared" si="67"/>
        <v>0</v>
      </c>
      <c r="Z111" s="111">
        <f t="shared" si="86"/>
        <v>0.29166666666666669</v>
      </c>
      <c r="AA111" s="112">
        <f t="shared" si="68"/>
        <v>0</v>
      </c>
      <c r="AB111" s="67" t="str">
        <f t="shared" si="69"/>
        <v/>
      </c>
      <c r="AC111" s="193">
        <f t="shared" si="51"/>
        <v>0</v>
      </c>
      <c r="AD111" s="144" t="str">
        <f t="shared" si="52"/>
        <v/>
      </c>
      <c r="AE111" s="228">
        <f t="shared" si="78"/>
        <v>0</v>
      </c>
      <c r="AF111" s="110"/>
      <c r="AG111" s="110" t="str">
        <f t="shared" si="70"/>
        <v/>
      </c>
      <c r="AH111" s="68">
        <f t="shared" si="53"/>
        <v>0</v>
      </c>
      <c r="AI111" s="68">
        <f t="shared" si="54"/>
        <v>0</v>
      </c>
      <c r="AJ111" s="68" t="str">
        <f t="shared" si="55"/>
        <v/>
      </c>
      <c r="AK111">
        <f t="shared" si="56"/>
        <v>3</v>
      </c>
      <c r="AL111" s="122">
        <f>SUM($AD$6:AD111)</f>
        <v>0</v>
      </c>
      <c r="AM111" s="122">
        <f t="shared" ca="1" si="71"/>
        <v>0</v>
      </c>
      <c r="AN111" s="126">
        <f t="shared" si="79"/>
        <v>0</v>
      </c>
      <c r="AO111" s="126">
        <f t="shared" si="80"/>
        <v>0</v>
      </c>
      <c r="AP111" s="126">
        <f t="shared" si="81"/>
        <v>0</v>
      </c>
      <c r="AQ111" s="125">
        <f t="shared" si="72"/>
        <v>30</v>
      </c>
      <c r="AR111" s="125">
        <f t="shared" ca="1" si="73"/>
        <v>30</v>
      </c>
      <c r="AS111" s="135">
        <f t="shared" si="74"/>
        <v>0</v>
      </c>
      <c r="AT111" s="125">
        <f t="shared" si="75"/>
        <v>0</v>
      </c>
      <c r="AU111" t="b">
        <f>OR((F111&gt;0),(NOT(ISBLANK(H111))),SUM(H111:H$373),SUM(G111:G$373))</f>
        <v>0</v>
      </c>
      <c r="AV111" t="b">
        <f t="shared" ca="1" si="57"/>
        <v>0</v>
      </c>
      <c r="AX111" s="228">
        <f>SUM(AW$5:AW111)</f>
        <v>-2.9166666666666665</v>
      </c>
    </row>
    <row r="112" spans="1:50">
      <c r="A112" s="308">
        <f t="shared" si="76"/>
        <v>42475</v>
      </c>
      <c r="B112" s="309">
        <f t="shared" si="77"/>
        <v>42475</v>
      </c>
      <c r="C112" s="310">
        <f t="shared" si="84"/>
        <v>16</v>
      </c>
      <c r="D112" s="311">
        <f t="shared" si="85"/>
        <v>42460</v>
      </c>
      <c r="E112" s="321" t="str">
        <f t="shared" si="58"/>
        <v/>
      </c>
      <c r="F112" s="5"/>
      <c r="G112" s="6" t="str">
        <f t="shared" si="59"/>
        <v/>
      </c>
      <c r="H112" s="7"/>
      <c r="I112" s="7">
        <f t="shared" si="60"/>
        <v>0</v>
      </c>
      <c r="J112" s="113">
        <f t="shared" si="48"/>
        <v>0</v>
      </c>
      <c r="K112" s="7"/>
      <c r="L112" s="7">
        <f t="shared" si="61"/>
        <v>0</v>
      </c>
      <c r="M112" s="113">
        <f t="shared" si="62"/>
        <v>0</v>
      </c>
      <c r="N112" s="113"/>
      <c r="O112" s="113">
        <f t="shared" si="49"/>
        <v>0</v>
      </c>
      <c r="P112" s="113"/>
      <c r="Q112" s="113">
        <f t="shared" si="63"/>
        <v>0</v>
      </c>
      <c r="R112" s="113">
        <f t="shared" si="64"/>
        <v>0</v>
      </c>
      <c r="S112" s="113">
        <f t="shared" si="82"/>
        <v>0</v>
      </c>
      <c r="T112" s="113">
        <f t="shared" si="65"/>
        <v>0</v>
      </c>
      <c r="U112" s="113">
        <f t="shared" si="83"/>
        <v>0</v>
      </c>
      <c r="V112" s="146">
        <f t="shared" si="66"/>
        <v>0</v>
      </c>
      <c r="W112" s="66"/>
      <c r="X112" s="115">
        <f t="shared" si="50"/>
        <v>3.125E-2</v>
      </c>
      <c r="Y112" s="110">
        <f t="shared" si="67"/>
        <v>0</v>
      </c>
      <c r="Z112" s="111">
        <f t="shared" si="86"/>
        <v>0.29166666666666669</v>
      </c>
      <c r="AA112" s="112">
        <f t="shared" si="68"/>
        <v>0</v>
      </c>
      <c r="AB112" s="67" t="str">
        <f t="shared" si="69"/>
        <v/>
      </c>
      <c r="AC112" s="193">
        <f t="shared" si="51"/>
        <v>0</v>
      </c>
      <c r="AD112" s="144" t="str">
        <f t="shared" si="52"/>
        <v/>
      </c>
      <c r="AE112" s="228">
        <f t="shared" si="78"/>
        <v>0</v>
      </c>
      <c r="AF112" s="110"/>
      <c r="AG112" s="110" t="str">
        <f t="shared" si="70"/>
        <v/>
      </c>
      <c r="AH112" s="68">
        <f t="shared" si="53"/>
        <v>0</v>
      </c>
      <c r="AI112" s="68">
        <f t="shared" si="54"/>
        <v>0</v>
      </c>
      <c r="AJ112" s="68" t="str">
        <f t="shared" si="55"/>
        <v/>
      </c>
      <c r="AK112">
        <f t="shared" si="56"/>
        <v>4</v>
      </c>
      <c r="AL112" s="122">
        <f>SUM($AD$6:AD112)</f>
        <v>0</v>
      </c>
      <c r="AM112" s="122">
        <f t="shared" ca="1" si="71"/>
        <v>0</v>
      </c>
      <c r="AN112" s="126">
        <f t="shared" si="79"/>
        <v>0</v>
      </c>
      <c r="AO112" s="126">
        <f t="shared" si="80"/>
        <v>0</v>
      </c>
      <c r="AP112" s="126">
        <f t="shared" si="81"/>
        <v>0</v>
      </c>
      <c r="AQ112" s="125">
        <f t="shared" si="72"/>
        <v>30</v>
      </c>
      <c r="AR112" s="125">
        <f t="shared" ca="1" si="73"/>
        <v>30</v>
      </c>
      <c r="AS112" s="135">
        <f t="shared" si="74"/>
        <v>0</v>
      </c>
      <c r="AT112" s="125">
        <f t="shared" si="75"/>
        <v>0</v>
      </c>
      <c r="AU112" t="b">
        <f>OR((F112&gt;0),(NOT(ISBLANK(H112))),SUM(H112:H$373),SUM(G112:G$373))</f>
        <v>0</v>
      </c>
      <c r="AV112" t="b">
        <f t="shared" ca="1" si="57"/>
        <v>0</v>
      </c>
      <c r="AX112" s="228">
        <f>SUM(AW$5:AW112)</f>
        <v>-2.9166666666666665</v>
      </c>
    </row>
    <row r="113" spans="1:50">
      <c r="A113" s="308">
        <f t="shared" si="76"/>
        <v>42476</v>
      </c>
      <c r="B113" s="309">
        <f t="shared" si="77"/>
        <v>42476</v>
      </c>
      <c r="C113" s="310">
        <f t="shared" si="84"/>
        <v>16</v>
      </c>
      <c r="D113" s="311">
        <f t="shared" si="85"/>
        <v>42460</v>
      </c>
      <c r="E113" s="321" t="str">
        <f t="shared" si="58"/>
        <v/>
      </c>
      <c r="F113" s="5"/>
      <c r="G113" s="6" t="str">
        <f t="shared" si="59"/>
        <v/>
      </c>
      <c r="H113" s="7"/>
      <c r="I113" s="7">
        <f t="shared" si="60"/>
        <v>0</v>
      </c>
      <c r="J113" s="113">
        <f t="shared" si="48"/>
        <v>0</v>
      </c>
      <c r="K113" s="7"/>
      <c r="L113" s="7">
        <f t="shared" si="61"/>
        <v>0</v>
      </c>
      <c r="M113" s="113">
        <f t="shared" si="62"/>
        <v>0</v>
      </c>
      <c r="N113" s="113"/>
      <c r="O113" s="113">
        <f t="shared" si="49"/>
        <v>0</v>
      </c>
      <c r="P113" s="113"/>
      <c r="Q113" s="113">
        <f t="shared" si="63"/>
        <v>0</v>
      </c>
      <c r="R113" s="113">
        <f t="shared" si="64"/>
        <v>0</v>
      </c>
      <c r="S113" s="113">
        <f t="shared" si="82"/>
        <v>0</v>
      </c>
      <c r="T113" s="113">
        <f t="shared" si="65"/>
        <v>0</v>
      </c>
      <c r="U113" s="113">
        <f t="shared" si="83"/>
        <v>0</v>
      </c>
      <c r="V113" s="146">
        <f t="shared" si="66"/>
        <v>0</v>
      </c>
      <c r="W113" s="66"/>
      <c r="X113" s="115">
        <f t="shared" si="50"/>
        <v>3.125E-2</v>
      </c>
      <c r="Y113" s="110">
        <f t="shared" si="67"/>
        <v>0</v>
      </c>
      <c r="Z113" s="111">
        <f t="shared" si="86"/>
        <v>0.29166666666666669</v>
      </c>
      <c r="AA113" s="112">
        <f t="shared" si="68"/>
        <v>0</v>
      </c>
      <c r="AB113" s="67" t="str">
        <f t="shared" si="69"/>
        <v/>
      </c>
      <c r="AC113" s="193">
        <f t="shared" si="51"/>
        <v>0</v>
      </c>
      <c r="AD113" s="144" t="str">
        <f t="shared" si="52"/>
        <v/>
      </c>
      <c r="AE113" s="228">
        <f t="shared" si="78"/>
        <v>0</v>
      </c>
      <c r="AF113" s="110"/>
      <c r="AG113" s="110" t="str">
        <f t="shared" si="70"/>
        <v/>
      </c>
      <c r="AH113" s="68">
        <f t="shared" si="53"/>
        <v>0</v>
      </c>
      <c r="AI113" s="68">
        <f t="shared" si="54"/>
        <v>0</v>
      </c>
      <c r="AJ113" s="68" t="str">
        <f t="shared" si="55"/>
        <v/>
      </c>
      <c r="AK113">
        <f t="shared" si="56"/>
        <v>5</v>
      </c>
      <c r="AL113" s="122">
        <f>SUM($AD$6:AD113)</f>
        <v>0</v>
      </c>
      <c r="AM113" s="122">
        <f t="shared" ca="1" si="71"/>
        <v>0</v>
      </c>
      <c r="AN113" s="126">
        <f t="shared" si="79"/>
        <v>0</v>
      </c>
      <c r="AO113" s="126">
        <f t="shared" si="80"/>
        <v>0</v>
      </c>
      <c r="AP113" s="126">
        <f t="shared" si="81"/>
        <v>0</v>
      </c>
      <c r="AQ113" s="125">
        <f t="shared" si="72"/>
        <v>30</v>
      </c>
      <c r="AR113" s="125">
        <f t="shared" ca="1" si="73"/>
        <v>30</v>
      </c>
      <c r="AS113" s="135">
        <f t="shared" si="74"/>
        <v>0</v>
      </c>
      <c r="AT113" s="125">
        <f t="shared" si="75"/>
        <v>0</v>
      </c>
      <c r="AU113" t="b">
        <f>OR((F113&gt;0),(NOT(ISBLANK(H113))),SUM(H113:H$373),SUM(G113:G$373))</f>
        <v>0</v>
      </c>
      <c r="AV113" t="b">
        <f t="shared" ca="1" si="57"/>
        <v>0</v>
      </c>
      <c r="AX113" s="228">
        <f>SUM(AW$5:AW113)</f>
        <v>-2.9166666666666665</v>
      </c>
    </row>
    <row r="114" spans="1:50">
      <c r="A114" s="308">
        <f t="shared" si="76"/>
        <v>42477</v>
      </c>
      <c r="B114" s="309">
        <f t="shared" si="77"/>
        <v>42477</v>
      </c>
      <c r="C114" s="310">
        <f t="shared" si="84"/>
        <v>16</v>
      </c>
      <c r="D114" s="311">
        <f t="shared" si="85"/>
        <v>42460</v>
      </c>
      <c r="E114" s="321" t="str">
        <f t="shared" si="58"/>
        <v/>
      </c>
      <c r="F114" s="5"/>
      <c r="G114" s="6" t="str">
        <f t="shared" si="59"/>
        <v/>
      </c>
      <c r="H114" s="7"/>
      <c r="I114" s="7">
        <f t="shared" si="60"/>
        <v>0</v>
      </c>
      <c r="J114" s="113">
        <f t="shared" si="48"/>
        <v>0</v>
      </c>
      <c r="K114" s="7"/>
      <c r="L114" s="7">
        <f t="shared" si="61"/>
        <v>0</v>
      </c>
      <c r="M114" s="113">
        <f t="shared" si="62"/>
        <v>0</v>
      </c>
      <c r="N114" s="113"/>
      <c r="O114" s="113">
        <f t="shared" si="49"/>
        <v>0</v>
      </c>
      <c r="P114" s="113"/>
      <c r="Q114" s="113">
        <f t="shared" si="63"/>
        <v>0</v>
      </c>
      <c r="R114" s="113">
        <f t="shared" si="64"/>
        <v>0</v>
      </c>
      <c r="S114" s="113">
        <f t="shared" si="82"/>
        <v>0</v>
      </c>
      <c r="T114" s="113">
        <f t="shared" si="65"/>
        <v>0</v>
      </c>
      <c r="U114" s="113">
        <f t="shared" si="83"/>
        <v>0</v>
      </c>
      <c r="V114" s="146">
        <f t="shared" si="66"/>
        <v>0</v>
      </c>
      <c r="W114" s="66"/>
      <c r="X114" s="115">
        <f t="shared" si="50"/>
        <v>3.125E-2</v>
      </c>
      <c r="Y114" s="110">
        <f t="shared" si="67"/>
        <v>0</v>
      </c>
      <c r="Z114" s="111">
        <f t="shared" si="86"/>
        <v>0</v>
      </c>
      <c r="AA114" s="112">
        <f t="shared" si="68"/>
        <v>0</v>
      </c>
      <c r="AB114" s="67" t="str">
        <f t="shared" si="69"/>
        <v/>
      </c>
      <c r="AC114" s="193">
        <f t="shared" si="51"/>
        <v>0</v>
      </c>
      <c r="AD114" s="144" t="str">
        <f t="shared" si="52"/>
        <v/>
      </c>
      <c r="AE114" s="228">
        <f t="shared" si="78"/>
        <v>0</v>
      </c>
      <c r="AF114" s="110"/>
      <c r="AG114" s="110" t="str">
        <f t="shared" si="70"/>
        <v/>
      </c>
      <c r="AH114" s="68">
        <f t="shared" si="53"/>
        <v>0</v>
      </c>
      <c r="AI114" s="68">
        <f t="shared" si="54"/>
        <v>0</v>
      </c>
      <c r="AJ114" s="68" t="str">
        <f t="shared" si="55"/>
        <v/>
      </c>
      <c r="AK114">
        <f t="shared" si="56"/>
        <v>6</v>
      </c>
      <c r="AL114" s="122">
        <f>SUM($AD$6:AD114)</f>
        <v>0</v>
      </c>
      <c r="AM114" s="122">
        <f t="shared" ca="1" si="71"/>
        <v>0</v>
      </c>
      <c r="AN114" s="126">
        <f t="shared" si="79"/>
        <v>0</v>
      </c>
      <c r="AO114" s="126">
        <f t="shared" si="80"/>
        <v>0</v>
      </c>
      <c r="AP114" s="126">
        <f t="shared" si="81"/>
        <v>0</v>
      </c>
      <c r="AQ114" s="125">
        <f t="shared" si="72"/>
        <v>30</v>
      </c>
      <c r="AR114" s="125">
        <f t="shared" ca="1" si="73"/>
        <v>30</v>
      </c>
      <c r="AS114" s="135">
        <f t="shared" si="74"/>
        <v>0</v>
      </c>
      <c r="AT114" s="125">
        <f t="shared" si="75"/>
        <v>7</v>
      </c>
      <c r="AU114" t="b">
        <f>OR((F114&gt;0),(NOT(ISBLANK(H114))),SUM(H114:H$373),SUM(G114:G$373))</f>
        <v>0</v>
      </c>
      <c r="AV114" t="b">
        <f t="shared" ca="1" si="57"/>
        <v>1</v>
      </c>
      <c r="AX114" s="228">
        <f>SUM(AW$5:AW114)</f>
        <v>-2.9166666666666665</v>
      </c>
    </row>
    <row r="115" spans="1:50">
      <c r="A115" s="308">
        <f t="shared" si="76"/>
        <v>42478</v>
      </c>
      <c r="B115" s="309">
        <f t="shared" si="77"/>
        <v>42478</v>
      </c>
      <c r="C115" s="310">
        <f t="shared" si="84"/>
        <v>16</v>
      </c>
      <c r="D115" s="311">
        <f t="shared" si="85"/>
        <v>42460</v>
      </c>
      <c r="E115" s="321" t="str">
        <f t="shared" si="58"/>
        <v/>
      </c>
      <c r="F115" s="5"/>
      <c r="G115" s="6" t="str">
        <f t="shared" si="59"/>
        <v/>
      </c>
      <c r="H115" s="7"/>
      <c r="I115" s="7">
        <f t="shared" si="60"/>
        <v>0</v>
      </c>
      <c r="J115" s="113">
        <f t="shared" si="48"/>
        <v>0</v>
      </c>
      <c r="K115" s="7"/>
      <c r="L115" s="7">
        <f t="shared" si="61"/>
        <v>0</v>
      </c>
      <c r="M115" s="113">
        <f t="shared" si="62"/>
        <v>0</v>
      </c>
      <c r="N115" s="113"/>
      <c r="O115" s="113">
        <f t="shared" si="49"/>
        <v>0</v>
      </c>
      <c r="P115" s="113"/>
      <c r="Q115" s="113">
        <f t="shared" si="63"/>
        <v>0</v>
      </c>
      <c r="R115" s="113">
        <f t="shared" si="64"/>
        <v>0</v>
      </c>
      <c r="S115" s="113">
        <f t="shared" si="82"/>
        <v>0</v>
      </c>
      <c r="T115" s="113">
        <f t="shared" si="65"/>
        <v>0</v>
      </c>
      <c r="U115" s="113">
        <f t="shared" si="83"/>
        <v>0</v>
      </c>
      <c r="V115" s="146">
        <f t="shared" si="66"/>
        <v>0</v>
      </c>
      <c r="W115" s="66"/>
      <c r="X115" s="115">
        <f t="shared" si="50"/>
        <v>3.125E-2</v>
      </c>
      <c r="Y115" s="110">
        <f t="shared" si="67"/>
        <v>0</v>
      </c>
      <c r="Z115" s="111">
        <f t="shared" si="86"/>
        <v>0</v>
      </c>
      <c r="AA115" s="112">
        <f t="shared" si="68"/>
        <v>0</v>
      </c>
      <c r="AB115" s="67" t="str">
        <f t="shared" si="69"/>
        <v/>
      </c>
      <c r="AC115" s="193">
        <f t="shared" si="51"/>
        <v>0</v>
      </c>
      <c r="AD115" s="144" t="str">
        <f t="shared" si="52"/>
        <v/>
      </c>
      <c r="AE115" s="228">
        <f t="shared" si="78"/>
        <v>0</v>
      </c>
      <c r="AF115" s="110"/>
      <c r="AG115" s="110" t="str">
        <f t="shared" si="70"/>
        <v/>
      </c>
      <c r="AH115" s="68">
        <f t="shared" si="53"/>
        <v>0</v>
      </c>
      <c r="AI115" s="68">
        <f t="shared" si="54"/>
        <v>0</v>
      </c>
      <c r="AJ115" s="68" t="str">
        <f t="shared" si="55"/>
        <v/>
      </c>
      <c r="AK115">
        <f t="shared" si="56"/>
        <v>7</v>
      </c>
      <c r="AL115" s="122">
        <f>SUM($AD$6:AD115)</f>
        <v>0</v>
      </c>
      <c r="AM115" s="122">
        <f t="shared" ca="1" si="71"/>
        <v>0</v>
      </c>
      <c r="AN115" s="126">
        <f t="shared" si="79"/>
        <v>0</v>
      </c>
      <c r="AO115" s="126">
        <f t="shared" si="80"/>
        <v>0</v>
      </c>
      <c r="AP115" s="126">
        <f t="shared" si="81"/>
        <v>0</v>
      </c>
      <c r="AQ115" s="125">
        <f t="shared" si="72"/>
        <v>30</v>
      </c>
      <c r="AR115" s="125">
        <f t="shared" ca="1" si="73"/>
        <v>30</v>
      </c>
      <c r="AS115" s="135">
        <f t="shared" si="74"/>
        <v>0</v>
      </c>
      <c r="AT115" s="125">
        <f t="shared" si="75"/>
        <v>7</v>
      </c>
      <c r="AU115" t="b">
        <f>OR((F115&gt;0),(NOT(ISBLANK(H115))),SUM(H115:H$373),SUM(G115:G$373))</f>
        <v>0</v>
      </c>
      <c r="AV115" t="b">
        <f t="shared" ca="1" si="57"/>
        <v>1</v>
      </c>
      <c r="AX115" s="228">
        <f>SUM(AW$5:AW115)</f>
        <v>-2.9166666666666665</v>
      </c>
    </row>
    <row r="116" spans="1:50">
      <c r="A116" s="308">
        <f t="shared" si="76"/>
        <v>42479</v>
      </c>
      <c r="B116" s="309">
        <f t="shared" si="77"/>
        <v>42479</v>
      </c>
      <c r="C116" s="310">
        <f t="shared" si="84"/>
        <v>17</v>
      </c>
      <c r="D116" s="311">
        <f t="shared" si="85"/>
        <v>42460</v>
      </c>
      <c r="E116" s="321" t="str">
        <f t="shared" si="58"/>
        <v/>
      </c>
      <c r="F116" s="5"/>
      <c r="G116" s="6" t="str">
        <f t="shared" si="59"/>
        <v/>
      </c>
      <c r="H116" s="7"/>
      <c r="I116" s="7">
        <f t="shared" si="60"/>
        <v>0</v>
      </c>
      <c r="J116" s="113">
        <f t="shared" si="48"/>
        <v>0</v>
      </c>
      <c r="K116" s="7"/>
      <c r="L116" s="7">
        <f t="shared" si="61"/>
        <v>0</v>
      </c>
      <c r="M116" s="113">
        <f t="shared" si="62"/>
        <v>0</v>
      </c>
      <c r="N116" s="113"/>
      <c r="O116" s="113">
        <f t="shared" si="49"/>
        <v>0</v>
      </c>
      <c r="P116" s="113"/>
      <c r="Q116" s="113">
        <f t="shared" si="63"/>
        <v>0</v>
      </c>
      <c r="R116" s="113">
        <f t="shared" si="64"/>
        <v>0</v>
      </c>
      <c r="S116" s="113">
        <f t="shared" si="82"/>
        <v>0</v>
      </c>
      <c r="T116" s="113">
        <f t="shared" si="65"/>
        <v>0</v>
      </c>
      <c r="U116" s="113">
        <f t="shared" si="83"/>
        <v>0</v>
      </c>
      <c r="V116" s="146">
        <f t="shared" si="66"/>
        <v>0</v>
      </c>
      <c r="W116" s="66"/>
      <c r="X116" s="115">
        <f t="shared" si="50"/>
        <v>3.125E-2</v>
      </c>
      <c r="Y116" s="110">
        <f t="shared" si="67"/>
        <v>0</v>
      </c>
      <c r="Z116" s="111">
        <f t="shared" si="86"/>
        <v>0.29166666666666669</v>
      </c>
      <c r="AA116" s="112">
        <f t="shared" si="68"/>
        <v>0</v>
      </c>
      <c r="AB116" s="67" t="str">
        <f t="shared" si="69"/>
        <v/>
      </c>
      <c r="AC116" s="193">
        <f t="shared" si="51"/>
        <v>0</v>
      </c>
      <c r="AD116" s="144" t="str">
        <f t="shared" si="52"/>
        <v/>
      </c>
      <c r="AE116" s="228">
        <f t="shared" si="78"/>
        <v>0</v>
      </c>
      <c r="AF116" s="110"/>
      <c r="AG116" s="110" t="str">
        <f t="shared" si="70"/>
        <v/>
      </c>
      <c r="AH116" s="68">
        <f t="shared" si="53"/>
        <v>0</v>
      </c>
      <c r="AI116" s="68">
        <f t="shared" si="54"/>
        <v>0</v>
      </c>
      <c r="AJ116" s="68" t="str">
        <f t="shared" si="55"/>
        <v/>
      </c>
      <c r="AK116">
        <f t="shared" si="56"/>
        <v>1</v>
      </c>
      <c r="AL116" s="122">
        <f>SUM($AD$6:AD116)</f>
        <v>0</v>
      </c>
      <c r="AM116" s="122">
        <f t="shared" ca="1" si="71"/>
        <v>0</v>
      </c>
      <c r="AN116" s="126">
        <f t="shared" si="79"/>
        <v>0</v>
      </c>
      <c r="AO116" s="126">
        <f t="shared" si="80"/>
        <v>0</v>
      </c>
      <c r="AP116" s="126">
        <f t="shared" si="81"/>
        <v>0</v>
      </c>
      <c r="AQ116" s="125">
        <f t="shared" si="72"/>
        <v>30</v>
      </c>
      <c r="AR116" s="125">
        <f t="shared" ca="1" si="73"/>
        <v>30</v>
      </c>
      <c r="AS116" s="135">
        <f t="shared" si="74"/>
        <v>0</v>
      </c>
      <c r="AT116" s="125">
        <f t="shared" si="75"/>
        <v>0</v>
      </c>
      <c r="AU116" t="b">
        <f>OR((F116&gt;0),(NOT(ISBLANK(H116))),SUM(H116:H$373),SUM(G116:G$373))</f>
        <v>0</v>
      </c>
      <c r="AV116" t="b">
        <f t="shared" ca="1" si="57"/>
        <v>0</v>
      </c>
      <c r="AX116" s="228">
        <f>SUM(AW$5:AW116)</f>
        <v>-2.9166666666666665</v>
      </c>
    </row>
    <row r="117" spans="1:50">
      <c r="A117" s="308">
        <f t="shared" si="76"/>
        <v>42480</v>
      </c>
      <c r="B117" s="309">
        <f t="shared" si="77"/>
        <v>42480</v>
      </c>
      <c r="C117" s="310">
        <f t="shared" si="84"/>
        <v>17</v>
      </c>
      <c r="D117" s="311">
        <f t="shared" si="85"/>
        <v>42460</v>
      </c>
      <c r="E117" s="321" t="str">
        <f t="shared" si="58"/>
        <v/>
      </c>
      <c r="F117" s="5"/>
      <c r="G117" s="6" t="str">
        <f t="shared" si="59"/>
        <v/>
      </c>
      <c r="H117" s="7"/>
      <c r="I117" s="7">
        <f t="shared" si="60"/>
        <v>0</v>
      </c>
      <c r="J117" s="113">
        <f t="shared" si="48"/>
        <v>0</v>
      </c>
      <c r="K117" s="7"/>
      <c r="L117" s="7">
        <f t="shared" si="61"/>
        <v>0</v>
      </c>
      <c r="M117" s="113">
        <f t="shared" si="62"/>
        <v>0</v>
      </c>
      <c r="N117" s="113"/>
      <c r="O117" s="113">
        <f t="shared" si="49"/>
        <v>0</v>
      </c>
      <c r="P117" s="113"/>
      <c r="Q117" s="113">
        <f t="shared" si="63"/>
        <v>0</v>
      </c>
      <c r="R117" s="113">
        <f t="shared" si="64"/>
        <v>0</v>
      </c>
      <c r="S117" s="113">
        <f t="shared" si="82"/>
        <v>0</v>
      </c>
      <c r="T117" s="113">
        <f t="shared" si="65"/>
        <v>0</v>
      </c>
      <c r="U117" s="113">
        <f t="shared" si="83"/>
        <v>0</v>
      </c>
      <c r="V117" s="146">
        <f t="shared" si="66"/>
        <v>0</v>
      </c>
      <c r="W117" s="66"/>
      <c r="X117" s="115">
        <f t="shared" si="50"/>
        <v>3.125E-2</v>
      </c>
      <c r="Y117" s="110">
        <f t="shared" si="67"/>
        <v>0</v>
      </c>
      <c r="Z117" s="111">
        <f t="shared" si="86"/>
        <v>0.29166666666666669</v>
      </c>
      <c r="AA117" s="112">
        <f t="shared" si="68"/>
        <v>0</v>
      </c>
      <c r="AB117" s="67" t="str">
        <f t="shared" si="69"/>
        <v/>
      </c>
      <c r="AC117" s="193">
        <f t="shared" si="51"/>
        <v>0</v>
      </c>
      <c r="AD117" s="144" t="str">
        <f t="shared" si="52"/>
        <v/>
      </c>
      <c r="AE117" s="228">
        <f t="shared" si="78"/>
        <v>0</v>
      </c>
      <c r="AF117" s="110"/>
      <c r="AG117" s="110" t="str">
        <f t="shared" si="70"/>
        <v/>
      </c>
      <c r="AH117" s="68">
        <f t="shared" si="53"/>
        <v>0</v>
      </c>
      <c r="AI117" s="68">
        <f t="shared" si="54"/>
        <v>0</v>
      </c>
      <c r="AJ117" s="68" t="str">
        <f t="shared" si="55"/>
        <v/>
      </c>
      <c r="AK117">
        <f t="shared" si="56"/>
        <v>2</v>
      </c>
      <c r="AL117" s="122">
        <f>SUM($AD$6:AD117)</f>
        <v>0</v>
      </c>
      <c r="AM117" s="122">
        <f t="shared" ca="1" si="71"/>
        <v>0</v>
      </c>
      <c r="AN117" s="126">
        <f t="shared" si="79"/>
        <v>0</v>
      </c>
      <c r="AO117" s="126">
        <f t="shared" si="80"/>
        <v>0</v>
      </c>
      <c r="AP117" s="126">
        <f t="shared" si="81"/>
        <v>0</v>
      </c>
      <c r="AQ117" s="125">
        <f t="shared" si="72"/>
        <v>30</v>
      </c>
      <c r="AR117" s="125">
        <f t="shared" ca="1" si="73"/>
        <v>30</v>
      </c>
      <c r="AS117" s="135">
        <f t="shared" si="74"/>
        <v>0</v>
      </c>
      <c r="AT117" s="125">
        <f t="shared" si="75"/>
        <v>0</v>
      </c>
      <c r="AU117" t="b">
        <f>OR((F117&gt;0),(NOT(ISBLANK(H117))),SUM(H117:H$373),SUM(G117:G$373))</f>
        <v>0</v>
      </c>
      <c r="AV117" t="b">
        <f t="shared" ca="1" si="57"/>
        <v>0</v>
      </c>
      <c r="AX117" s="228">
        <f>SUM(AW$5:AW117)</f>
        <v>-2.9166666666666665</v>
      </c>
    </row>
    <row r="118" spans="1:50">
      <c r="A118" s="308">
        <f t="shared" si="76"/>
        <v>42481</v>
      </c>
      <c r="B118" s="309">
        <f t="shared" si="77"/>
        <v>42481</v>
      </c>
      <c r="C118" s="310">
        <f t="shared" si="84"/>
        <v>17</v>
      </c>
      <c r="D118" s="311">
        <f t="shared" si="85"/>
        <v>42460</v>
      </c>
      <c r="E118" s="321" t="str">
        <f t="shared" si="58"/>
        <v/>
      </c>
      <c r="F118" s="5"/>
      <c r="G118" s="6" t="str">
        <f t="shared" si="59"/>
        <v/>
      </c>
      <c r="H118" s="7"/>
      <c r="I118" s="7">
        <f t="shared" si="60"/>
        <v>0</v>
      </c>
      <c r="J118" s="113">
        <f t="shared" si="48"/>
        <v>0</v>
      </c>
      <c r="K118" s="7"/>
      <c r="L118" s="7">
        <f t="shared" si="61"/>
        <v>0</v>
      </c>
      <c r="M118" s="113">
        <f t="shared" si="62"/>
        <v>0</v>
      </c>
      <c r="N118" s="113"/>
      <c r="O118" s="113">
        <f t="shared" si="49"/>
        <v>0</v>
      </c>
      <c r="P118" s="113"/>
      <c r="Q118" s="113">
        <f t="shared" si="63"/>
        <v>0</v>
      </c>
      <c r="R118" s="113">
        <f t="shared" si="64"/>
        <v>0</v>
      </c>
      <c r="S118" s="113">
        <f t="shared" si="82"/>
        <v>0</v>
      </c>
      <c r="T118" s="113">
        <f t="shared" si="65"/>
        <v>0</v>
      </c>
      <c r="U118" s="113">
        <f t="shared" si="83"/>
        <v>0</v>
      </c>
      <c r="V118" s="146">
        <f t="shared" si="66"/>
        <v>0</v>
      </c>
      <c r="W118" s="66"/>
      <c r="X118" s="115">
        <f t="shared" si="50"/>
        <v>3.125E-2</v>
      </c>
      <c r="Y118" s="110">
        <f t="shared" si="67"/>
        <v>0</v>
      </c>
      <c r="Z118" s="111">
        <f t="shared" si="86"/>
        <v>0.29166666666666669</v>
      </c>
      <c r="AA118" s="112">
        <f t="shared" si="68"/>
        <v>0</v>
      </c>
      <c r="AB118" s="67" t="str">
        <f t="shared" si="69"/>
        <v/>
      </c>
      <c r="AC118" s="193">
        <f t="shared" si="51"/>
        <v>0</v>
      </c>
      <c r="AD118" s="144" t="str">
        <f t="shared" si="52"/>
        <v/>
      </c>
      <c r="AE118" s="228">
        <f t="shared" si="78"/>
        <v>0</v>
      </c>
      <c r="AF118" s="110"/>
      <c r="AG118" s="110" t="str">
        <f t="shared" si="70"/>
        <v/>
      </c>
      <c r="AH118" s="68">
        <f t="shared" si="53"/>
        <v>0</v>
      </c>
      <c r="AI118" s="68">
        <f t="shared" si="54"/>
        <v>0</v>
      </c>
      <c r="AJ118" s="68" t="str">
        <f t="shared" si="55"/>
        <v/>
      </c>
      <c r="AK118">
        <f t="shared" si="56"/>
        <v>3</v>
      </c>
      <c r="AL118" s="122">
        <f>SUM($AD$6:AD118)</f>
        <v>0</v>
      </c>
      <c r="AM118" s="122">
        <f t="shared" ca="1" si="71"/>
        <v>0</v>
      </c>
      <c r="AN118" s="126">
        <f t="shared" si="79"/>
        <v>0</v>
      </c>
      <c r="AO118" s="126">
        <f t="shared" si="80"/>
        <v>0</v>
      </c>
      <c r="AP118" s="126">
        <f t="shared" si="81"/>
        <v>0</v>
      </c>
      <c r="AQ118" s="125">
        <f t="shared" si="72"/>
        <v>30</v>
      </c>
      <c r="AR118" s="125">
        <f t="shared" ca="1" si="73"/>
        <v>30</v>
      </c>
      <c r="AS118" s="135">
        <f t="shared" si="74"/>
        <v>0</v>
      </c>
      <c r="AT118" s="125">
        <f t="shared" si="75"/>
        <v>0</v>
      </c>
      <c r="AU118" t="b">
        <f>OR((F118&gt;0),(NOT(ISBLANK(H118))),SUM(H118:H$373),SUM(G118:G$373))</f>
        <v>0</v>
      </c>
      <c r="AV118" t="b">
        <f t="shared" ca="1" si="57"/>
        <v>0</v>
      </c>
      <c r="AX118" s="228">
        <f>SUM(AW$5:AW118)</f>
        <v>-2.9166666666666665</v>
      </c>
    </row>
    <row r="119" spans="1:50">
      <c r="A119" s="308">
        <f t="shared" si="76"/>
        <v>42482</v>
      </c>
      <c r="B119" s="309">
        <f t="shared" si="77"/>
        <v>42482</v>
      </c>
      <c r="C119" s="310">
        <f t="shared" si="84"/>
        <v>17</v>
      </c>
      <c r="D119" s="311">
        <f t="shared" si="85"/>
        <v>42460</v>
      </c>
      <c r="E119" s="321" t="str">
        <f t="shared" si="58"/>
        <v/>
      </c>
      <c r="F119" s="5"/>
      <c r="G119" s="6" t="str">
        <f t="shared" si="59"/>
        <v/>
      </c>
      <c r="H119" s="7"/>
      <c r="I119" s="7">
        <f t="shared" si="60"/>
        <v>0</v>
      </c>
      <c r="J119" s="113">
        <f t="shared" si="48"/>
        <v>0</v>
      </c>
      <c r="K119" s="7"/>
      <c r="L119" s="7">
        <f t="shared" si="61"/>
        <v>0</v>
      </c>
      <c r="M119" s="113">
        <f t="shared" si="62"/>
        <v>0</v>
      </c>
      <c r="N119" s="113"/>
      <c r="O119" s="113">
        <f t="shared" si="49"/>
        <v>0</v>
      </c>
      <c r="P119" s="113"/>
      <c r="Q119" s="113">
        <f t="shared" si="63"/>
        <v>0</v>
      </c>
      <c r="R119" s="113">
        <f t="shared" si="64"/>
        <v>0</v>
      </c>
      <c r="S119" s="113">
        <f t="shared" si="82"/>
        <v>0</v>
      </c>
      <c r="T119" s="113">
        <f t="shared" si="65"/>
        <v>0</v>
      </c>
      <c r="U119" s="113">
        <f t="shared" si="83"/>
        <v>0</v>
      </c>
      <c r="V119" s="146">
        <f t="shared" si="66"/>
        <v>0</v>
      </c>
      <c r="W119" s="66"/>
      <c r="X119" s="115">
        <f t="shared" si="50"/>
        <v>3.125E-2</v>
      </c>
      <c r="Y119" s="110">
        <f t="shared" si="67"/>
        <v>0</v>
      </c>
      <c r="Z119" s="111">
        <f t="shared" si="86"/>
        <v>0.29166666666666669</v>
      </c>
      <c r="AA119" s="112">
        <f t="shared" si="68"/>
        <v>0</v>
      </c>
      <c r="AB119" s="67" t="str">
        <f t="shared" si="69"/>
        <v/>
      </c>
      <c r="AC119" s="193">
        <f t="shared" si="51"/>
        <v>0</v>
      </c>
      <c r="AD119" s="144" t="str">
        <f t="shared" si="52"/>
        <v/>
      </c>
      <c r="AE119" s="228">
        <f t="shared" si="78"/>
        <v>0</v>
      </c>
      <c r="AF119" s="110"/>
      <c r="AG119" s="110" t="str">
        <f t="shared" si="70"/>
        <v/>
      </c>
      <c r="AH119" s="68">
        <f t="shared" si="53"/>
        <v>0</v>
      </c>
      <c r="AI119" s="68">
        <f t="shared" si="54"/>
        <v>0</v>
      </c>
      <c r="AJ119" s="68" t="str">
        <f t="shared" si="55"/>
        <v/>
      </c>
      <c r="AK119">
        <f t="shared" si="56"/>
        <v>4</v>
      </c>
      <c r="AL119" s="122">
        <f>SUM($AD$6:AD119)</f>
        <v>0</v>
      </c>
      <c r="AM119" s="122">
        <f t="shared" ca="1" si="71"/>
        <v>0</v>
      </c>
      <c r="AN119" s="126">
        <f t="shared" si="79"/>
        <v>0</v>
      </c>
      <c r="AO119" s="126">
        <f t="shared" si="80"/>
        <v>0</v>
      </c>
      <c r="AP119" s="126">
        <f t="shared" si="81"/>
        <v>0</v>
      </c>
      <c r="AQ119" s="125">
        <f t="shared" si="72"/>
        <v>30</v>
      </c>
      <c r="AR119" s="125">
        <f t="shared" ca="1" si="73"/>
        <v>30</v>
      </c>
      <c r="AS119" s="135">
        <f t="shared" si="74"/>
        <v>0</v>
      </c>
      <c r="AT119" s="125">
        <f t="shared" si="75"/>
        <v>0</v>
      </c>
      <c r="AU119" t="b">
        <f>OR((F119&gt;0),(NOT(ISBLANK(H119))),SUM(H119:H$373),SUM(G119:G$373))</f>
        <v>0</v>
      </c>
      <c r="AV119" t="b">
        <f t="shared" ca="1" si="57"/>
        <v>0</v>
      </c>
      <c r="AX119" s="228">
        <f>SUM(AW$5:AW119)</f>
        <v>-2.9166666666666665</v>
      </c>
    </row>
    <row r="120" spans="1:50">
      <c r="A120" s="308">
        <f t="shared" si="76"/>
        <v>42483</v>
      </c>
      <c r="B120" s="309">
        <f t="shared" si="77"/>
        <v>42483</v>
      </c>
      <c r="C120" s="310">
        <f t="shared" si="84"/>
        <v>17</v>
      </c>
      <c r="D120" s="311">
        <f t="shared" si="85"/>
        <v>42460</v>
      </c>
      <c r="E120" s="321" t="str">
        <f t="shared" si="58"/>
        <v/>
      </c>
      <c r="F120" s="5"/>
      <c r="G120" s="6" t="str">
        <f t="shared" si="59"/>
        <v/>
      </c>
      <c r="H120" s="7"/>
      <c r="I120" s="7">
        <f t="shared" si="60"/>
        <v>0</v>
      </c>
      <c r="J120" s="113">
        <f t="shared" si="48"/>
        <v>0</v>
      </c>
      <c r="K120" s="7"/>
      <c r="L120" s="7">
        <f t="shared" si="61"/>
        <v>0</v>
      </c>
      <c r="M120" s="113">
        <f t="shared" si="62"/>
        <v>0</v>
      </c>
      <c r="N120" s="113"/>
      <c r="O120" s="113">
        <f t="shared" si="49"/>
        <v>0</v>
      </c>
      <c r="P120" s="113"/>
      <c r="Q120" s="113">
        <f t="shared" si="63"/>
        <v>0</v>
      </c>
      <c r="R120" s="113">
        <f t="shared" si="64"/>
        <v>0</v>
      </c>
      <c r="S120" s="113">
        <f t="shared" si="82"/>
        <v>0</v>
      </c>
      <c r="T120" s="113">
        <f t="shared" si="65"/>
        <v>0</v>
      </c>
      <c r="U120" s="113">
        <f t="shared" si="83"/>
        <v>0</v>
      </c>
      <c r="V120" s="146">
        <f t="shared" si="66"/>
        <v>0</v>
      </c>
      <c r="W120" s="66"/>
      <c r="X120" s="115">
        <f t="shared" si="50"/>
        <v>3.125E-2</v>
      </c>
      <c r="Y120" s="110">
        <f t="shared" si="67"/>
        <v>0</v>
      </c>
      <c r="Z120" s="111">
        <f t="shared" si="86"/>
        <v>0.29166666666666669</v>
      </c>
      <c r="AA120" s="112">
        <f t="shared" si="68"/>
        <v>0</v>
      </c>
      <c r="AB120" s="67" t="str">
        <f t="shared" si="69"/>
        <v/>
      </c>
      <c r="AC120" s="193">
        <f t="shared" si="51"/>
        <v>0</v>
      </c>
      <c r="AD120" s="144" t="str">
        <f t="shared" si="52"/>
        <v/>
      </c>
      <c r="AE120" s="228">
        <f t="shared" si="78"/>
        <v>0</v>
      </c>
      <c r="AF120" s="110"/>
      <c r="AG120" s="110" t="str">
        <f t="shared" si="70"/>
        <v/>
      </c>
      <c r="AH120" s="68">
        <f t="shared" si="53"/>
        <v>0</v>
      </c>
      <c r="AI120" s="68">
        <f t="shared" si="54"/>
        <v>0</v>
      </c>
      <c r="AJ120" s="68" t="str">
        <f t="shared" si="55"/>
        <v/>
      </c>
      <c r="AK120">
        <f t="shared" si="56"/>
        <v>5</v>
      </c>
      <c r="AL120" s="122">
        <f>SUM($AD$6:AD120)</f>
        <v>0</v>
      </c>
      <c r="AM120" s="122">
        <f t="shared" ca="1" si="71"/>
        <v>0</v>
      </c>
      <c r="AN120" s="126">
        <f t="shared" si="79"/>
        <v>0</v>
      </c>
      <c r="AO120" s="126">
        <f t="shared" si="80"/>
        <v>0</v>
      </c>
      <c r="AP120" s="126">
        <f t="shared" si="81"/>
        <v>0</v>
      </c>
      <c r="AQ120" s="125">
        <f t="shared" si="72"/>
        <v>30</v>
      </c>
      <c r="AR120" s="125">
        <f t="shared" ca="1" si="73"/>
        <v>30</v>
      </c>
      <c r="AS120" s="135">
        <f t="shared" si="74"/>
        <v>0</v>
      </c>
      <c r="AT120" s="125">
        <f t="shared" si="75"/>
        <v>0</v>
      </c>
      <c r="AU120" t="b">
        <f>OR((F120&gt;0),(NOT(ISBLANK(H120))),SUM(H120:H$373),SUM(G120:G$373))</f>
        <v>0</v>
      </c>
      <c r="AV120" t="b">
        <f t="shared" ca="1" si="57"/>
        <v>0</v>
      </c>
      <c r="AX120" s="228">
        <f>SUM(AW$5:AW120)</f>
        <v>-2.9166666666666665</v>
      </c>
    </row>
    <row r="121" spans="1:50">
      <c r="A121" s="308">
        <f t="shared" si="76"/>
        <v>42484</v>
      </c>
      <c r="B121" s="309">
        <f t="shared" si="77"/>
        <v>42484</v>
      </c>
      <c r="C121" s="310">
        <f t="shared" si="84"/>
        <v>17</v>
      </c>
      <c r="D121" s="311">
        <f t="shared" si="85"/>
        <v>42460</v>
      </c>
      <c r="E121" s="321" t="str">
        <f t="shared" si="58"/>
        <v/>
      </c>
      <c r="F121" s="5"/>
      <c r="G121" s="6" t="str">
        <f t="shared" si="59"/>
        <v/>
      </c>
      <c r="H121" s="7"/>
      <c r="I121" s="7">
        <f t="shared" si="60"/>
        <v>0</v>
      </c>
      <c r="J121" s="113">
        <f t="shared" si="48"/>
        <v>0</v>
      </c>
      <c r="K121" s="7"/>
      <c r="L121" s="7">
        <f t="shared" si="61"/>
        <v>0</v>
      </c>
      <c r="M121" s="113">
        <f t="shared" si="62"/>
        <v>0</v>
      </c>
      <c r="N121" s="113"/>
      <c r="O121" s="113">
        <f t="shared" si="49"/>
        <v>0</v>
      </c>
      <c r="P121" s="113"/>
      <c r="Q121" s="113">
        <f t="shared" si="63"/>
        <v>0</v>
      </c>
      <c r="R121" s="113">
        <f t="shared" si="64"/>
        <v>0</v>
      </c>
      <c r="S121" s="113">
        <f t="shared" si="82"/>
        <v>0</v>
      </c>
      <c r="T121" s="113">
        <f t="shared" si="65"/>
        <v>0</v>
      </c>
      <c r="U121" s="113">
        <f t="shared" si="83"/>
        <v>0</v>
      </c>
      <c r="V121" s="146">
        <f t="shared" si="66"/>
        <v>0</v>
      </c>
      <c r="W121" s="66"/>
      <c r="X121" s="115">
        <f t="shared" si="50"/>
        <v>3.125E-2</v>
      </c>
      <c r="Y121" s="110">
        <f t="shared" si="67"/>
        <v>0</v>
      </c>
      <c r="Z121" s="111">
        <f t="shared" si="86"/>
        <v>0</v>
      </c>
      <c r="AA121" s="112">
        <f t="shared" si="68"/>
        <v>0</v>
      </c>
      <c r="AB121" s="67" t="str">
        <f t="shared" si="69"/>
        <v/>
      </c>
      <c r="AC121" s="193">
        <f t="shared" si="51"/>
        <v>0</v>
      </c>
      <c r="AD121" s="144" t="str">
        <f t="shared" si="52"/>
        <v/>
      </c>
      <c r="AE121" s="228">
        <f t="shared" si="78"/>
        <v>0</v>
      </c>
      <c r="AF121" s="110"/>
      <c r="AG121" s="110" t="str">
        <f t="shared" si="70"/>
        <v/>
      </c>
      <c r="AH121" s="68">
        <f t="shared" si="53"/>
        <v>0</v>
      </c>
      <c r="AI121" s="68">
        <f t="shared" si="54"/>
        <v>0</v>
      </c>
      <c r="AJ121" s="68" t="str">
        <f t="shared" si="55"/>
        <v/>
      </c>
      <c r="AK121">
        <f t="shared" si="56"/>
        <v>6</v>
      </c>
      <c r="AL121" s="122">
        <f>SUM($AD$6:AD121)</f>
        <v>0</v>
      </c>
      <c r="AM121" s="122">
        <f t="shared" ca="1" si="71"/>
        <v>0</v>
      </c>
      <c r="AN121" s="126">
        <f t="shared" si="79"/>
        <v>0</v>
      </c>
      <c r="AO121" s="126">
        <f t="shared" si="80"/>
        <v>0</v>
      </c>
      <c r="AP121" s="126">
        <f t="shared" si="81"/>
        <v>0</v>
      </c>
      <c r="AQ121" s="125">
        <f t="shared" si="72"/>
        <v>30</v>
      </c>
      <c r="AR121" s="125">
        <f t="shared" ca="1" si="73"/>
        <v>30</v>
      </c>
      <c r="AS121" s="135">
        <f t="shared" si="74"/>
        <v>0</v>
      </c>
      <c r="AT121" s="125">
        <f t="shared" si="75"/>
        <v>7</v>
      </c>
      <c r="AU121" t="b">
        <f>OR((F121&gt;0),(NOT(ISBLANK(H121))),SUM(H121:H$373),SUM(G121:G$373))</f>
        <v>0</v>
      </c>
      <c r="AV121" t="b">
        <f t="shared" ca="1" si="57"/>
        <v>1</v>
      </c>
      <c r="AX121" s="228">
        <f>SUM(AW$5:AW121)</f>
        <v>-2.9166666666666665</v>
      </c>
    </row>
    <row r="122" spans="1:50">
      <c r="A122" s="308">
        <f t="shared" si="76"/>
        <v>42485</v>
      </c>
      <c r="B122" s="309">
        <f t="shared" si="77"/>
        <v>42485</v>
      </c>
      <c r="C122" s="310">
        <f t="shared" si="84"/>
        <v>17</v>
      </c>
      <c r="D122" s="311">
        <f t="shared" si="85"/>
        <v>42460</v>
      </c>
      <c r="E122" s="321" t="str">
        <f t="shared" si="58"/>
        <v/>
      </c>
      <c r="F122" s="5"/>
      <c r="G122" s="6" t="str">
        <f t="shared" si="59"/>
        <v/>
      </c>
      <c r="H122" s="7"/>
      <c r="I122" s="7">
        <f t="shared" si="60"/>
        <v>0</v>
      </c>
      <c r="J122" s="113">
        <f t="shared" si="48"/>
        <v>0</v>
      </c>
      <c r="K122" s="7"/>
      <c r="L122" s="7">
        <f t="shared" si="61"/>
        <v>0</v>
      </c>
      <c r="M122" s="113">
        <f t="shared" si="62"/>
        <v>0</v>
      </c>
      <c r="N122" s="113"/>
      <c r="O122" s="113">
        <f t="shared" si="49"/>
        <v>0</v>
      </c>
      <c r="P122" s="113"/>
      <c r="Q122" s="113">
        <f t="shared" si="63"/>
        <v>0</v>
      </c>
      <c r="R122" s="113">
        <f t="shared" si="64"/>
        <v>0</v>
      </c>
      <c r="S122" s="113">
        <f t="shared" si="82"/>
        <v>0</v>
      </c>
      <c r="T122" s="113">
        <f t="shared" si="65"/>
        <v>0</v>
      </c>
      <c r="U122" s="113">
        <f t="shared" si="83"/>
        <v>0</v>
      </c>
      <c r="V122" s="146">
        <f t="shared" si="66"/>
        <v>0</v>
      </c>
      <c r="W122" s="66"/>
      <c r="X122" s="115">
        <f t="shared" si="50"/>
        <v>3.125E-2</v>
      </c>
      <c r="Y122" s="110">
        <f t="shared" si="67"/>
        <v>0</v>
      </c>
      <c r="Z122" s="111">
        <f t="shared" si="86"/>
        <v>0</v>
      </c>
      <c r="AA122" s="112">
        <f t="shared" si="68"/>
        <v>0</v>
      </c>
      <c r="AB122" s="67" t="str">
        <f t="shared" si="69"/>
        <v/>
      </c>
      <c r="AC122" s="193">
        <f t="shared" si="51"/>
        <v>0</v>
      </c>
      <c r="AD122" s="144" t="str">
        <f t="shared" si="52"/>
        <v/>
      </c>
      <c r="AE122" s="228">
        <f t="shared" si="78"/>
        <v>0</v>
      </c>
      <c r="AF122" s="110"/>
      <c r="AG122" s="110" t="str">
        <f t="shared" si="70"/>
        <v/>
      </c>
      <c r="AH122" s="68">
        <f t="shared" si="53"/>
        <v>0</v>
      </c>
      <c r="AI122" s="68">
        <f t="shared" si="54"/>
        <v>0</v>
      </c>
      <c r="AJ122" s="68" t="str">
        <f t="shared" si="55"/>
        <v/>
      </c>
      <c r="AK122">
        <f t="shared" si="56"/>
        <v>7</v>
      </c>
      <c r="AL122" s="122">
        <f>SUM($AD$6:AD122)</f>
        <v>0</v>
      </c>
      <c r="AM122" s="122">
        <f t="shared" ca="1" si="71"/>
        <v>0</v>
      </c>
      <c r="AN122" s="126">
        <f t="shared" si="79"/>
        <v>0</v>
      </c>
      <c r="AO122" s="126">
        <f t="shared" si="80"/>
        <v>0</v>
      </c>
      <c r="AP122" s="126">
        <f t="shared" si="81"/>
        <v>0</v>
      </c>
      <c r="AQ122" s="125">
        <f t="shared" si="72"/>
        <v>30</v>
      </c>
      <c r="AR122" s="125">
        <f t="shared" ca="1" si="73"/>
        <v>30</v>
      </c>
      <c r="AS122" s="135">
        <f t="shared" si="74"/>
        <v>0</v>
      </c>
      <c r="AT122" s="125">
        <f t="shared" si="75"/>
        <v>7</v>
      </c>
      <c r="AU122" t="b">
        <f>OR((F122&gt;0),(NOT(ISBLANK(H122))),SUM(H122:H$373),SUM(G122:G$373))</f>
        <v>0</v>
      </c>
      <c r="AV122" t="b">
        <f t="shared" ca="1" si="57"/>
        <v>1</v>
      </c>
      <c r="AX122" s="228">
        <f>SUM(AW$5:AW122)</f>
        <v>-2.9166666666666665</v>
      </c>
    </row>
    <row r="123" spans="1:50">
      <c r="A123" s="308">
        <f t="shared" si="76"/>
        <v>42486</v>
      </c>
      <c r="B123" s="309">
        <f t="shared" si="77"/>
        <v>42486</v>
      </c>
      <c r="C123" s="310">
        <f t="shared" si="84"/>
        <v>18</v>
      </c>
      <c r="D123" s="311">
        <f t="shared" si="85"/>
        <v>42460</v>
      </c>
      <c r="E123" s="321" t="str">
        <f t="shared" si="58"/>
        <v/>
      </c>
      <c r="F123" s="5"/>
      <c r="G123" s="6" t="str">
        <f t="shared" si="59"/>
        <v/>
      </c>
      <c r="H123" s="7"/>
      <c r="I123" s="7">
        <f t="shared" si="60"/>
        <v>0</v>
      </c>
      <c r="J123" s="113">
        <f t="shared" si="48"/>
        <v>0</v>
      </c>
      <c r="K123" s="7"/>
      <c r="L123" s="7">
        <f t="shared" si="61"/>
        <v>0</v>
      </c>
      <c r="M123" s="113">
        <f t="shared" si="62"/>
        <v>0</v>
      </c>
      <c r="N123" s="113"/>
      <c r="O123" s="113">
        <f t="shared" si="49"/>
        <v>0</v>
      </c>
      <c r="P123" s="113"/>
      <c r="Q123" s="113">
        <f t="shared" si="63"/>
        <v>0</v>
      </c>
      <c r="R123" s="113">
        <f t="shared" si="64"/>
        <v>0</v>
      </c>
      <c r="S123" s="113">
        <f t="shared" si="82"/>
        <v>0</v>
      </c>
      <c r="T123" s="113">
        <f t="shared" si="65"/>
        <v>0</v>
      </c>
      <c r="U123" s="113">
        <f t="shared" si="83"/>
        <v>0</v>
      </c>
      <c r="V123" s="146">
        <f t="shared" si="66"/>
        <v>0</v>
      </c>
      <c r="W123" s="66"/>
      <c r="X123" s="115">
        <f t="shared" si="50"/>
        <v>3.125E-2</v>
      </c>
      <c r="Y123" s="110">
        <f t="shared" si="67"/>
        <v>0</v>
      </c>
      <c r="Z123" s="111">
        <f t="shared" si="86"/>
        <v>0.29166666666666669</v>
      </c>
      <c r="AA123" s="112">
        <f t="shared" si="68"/>
        <v>0</v>
      </c>
      <c r="AB123" s="67" t="str">
        <f t="shared" si="69"/>
        <v/>
      </c>
      <c r="AC123" s="193">
        <f t="shared" si="51"/>
        <v>0</v>
      </c>
      <c r="AD123" s="144" t="str">
        <f t="shared" si="52"/>
        <v/>
      </c>
      <c r="AE123" s="228">
        <f t="shared" si="78"/>
        <v>0</v>
      </c>
      <c r="AF123" s="110"/>
      <c r="AG123" s="110" t="str">
        <f t="shared" si="70"/>
        <v/>
      </c>
      <c r="AH123" s="68">
        <f t="shared" si="53"/>
        <v>0</v>
      </c>
      <c r="AI123" s="68">
        <f t="shared" si="54"/>
        <v>0</v>
      </c>
      <c r="AJ123" s="68" t="str">
        <f t="shared" si="55"/>
        <v/>
      </c>
      <c r="AK123">
        <f t="shared" si="56"/>
        <v>1</v>
      </c>
      <c r="AL123" s="122">
        <f>SUM($AD$6:AD123)</f>
        <v>0</v>
      </c>
      <c r="AM123" s="122">
        <f t="shared" ca="1" si="71"/>
        <v>0</v>
      </c>
      <c r="AN123" s="126">
        <f t="shared" si="79"/>
        <v>0</v>
      </c>
      <c r="AO123" s="126">
        <f t="shared" si="80"/>
        <v>0</v>
      </c>
      <c r="AP123" s="126">
        <f t="shared" si="81"/>
        <v>0</v>
      </c>
      <c r="AQ123" s="125">
        <f t="shared" si="72"/>
        <v>30</v>
      </c>
      <c r="AR123" s="125">
        <f t="shared" ca="1" si="73"/>
        <v>30</v>
      </c>
      <c r="AS123" s="135">
        <f t="shared" si="74"/>
        <v>0</v>
      </c>
      <c r="AT123" s="125">
        <f t="shared" si="75"/>
        <v>0</v>
      </c>
      <c r="AU123" t="b">
        <f>OR((F123&gt;0),(NOT(ISBLANK(H123))),SUM(H123:H$373),SUM(G123:G$373))</f>
        <v>0</v>
      </c>
      <c r="AV123" t="b">
        <f t="shared" ca="1" si="57"/>
        <v>0</v>
      </c>
      <c r="AX123" s="228">
        <f>SUM(AW$5:AW123)</f>
        <v>-2.9166666666666665</v>
      </c>
    </row>
    <row r="124" spans="1:50">
      <c r="A124" s="308">
        <f t="shared" si="76"/>
        <v>42487</v>
      </c>
      <c r="B124" s="309">
        <f t="shared" si="77"/>
        <v>42487</v>
      </c>
      <c r="C124" s="310">
        <f t="shared" si="84"/>
        <v>18</v>
      </c>
      <c r="D124" s="311">
        <f t="shared" si="85"/>
        <v>42460</v>
      </c>
      <c r="E124" s="321" t="str">
        <f t="shared" si="58"/>
        <v/>
      </c>
      <c r="F124" s="5"/>
      <c r="G124" s="6" t="str">
        <f t="shared" si="59"/>
        <v/>
      </c>
      <c r="H124" s="7"/>
      <c r="I124" s="7">
        <f t="shared" si="60"/>
        <v>0</v>
      </c>
      <c r="J124" s="113">
        <f t="shared" si="48"/>
        <v>0</v>
      </c>
      <c r="K124" s="7"/>
      <c r="L124" s="7">
        <f t="shared" si="61"/>
        <v>0</v>
      </c>
      <c r="M124" s="113">
        <f t="shared" si="62"/>
        <v>0</v>
      </c>
      <c r="N124" s="113"/>
      <c r="O124" s="113">
        <f t="shared" si="49"/>
        <v>0</v>
      </c>
      <c r="P124" s="113"/>
      <c r="Q124" s="113">
        <f t="shared" si="63"/>
        <v>0</v>
      </c>
      <c r="R124" s="113">
        <f t="shared" si="64"/>
        <v>0</v>
      </c>
      <c r="S124" s="113">
        <f t="shared" si="82"/>
        <v>0</v>
      </c>
      <c r="T124" s="113">
        <f t="shared" si="65"/>
        <v>0</v>
      </c>
      <c r="U124" s="113">
        <f t="shared" si="83"/>
        <v>0</v>
      </c>
      <c r="V124" s="146">
        <f t="shared" si="66"/>
        <v>0</v>
      </c>
      <c r="W124" s="66"/>
      <c r="X124" s="115">
        <f t="shared" si="50"/>
        <v>3.125E-2</v>
      </c>
      <c r="Y124" s="110">
        <f t="shared" si="67"/>
        <v>0</v>
      </c>
      <c r="Z124" s="111">
        <f t="shared" si="86"/>
        <v>0.29166666666666669</v>
      </c>
      <c r="AA124" s="112">
        <f t="shared" si="68"/>
        <v>0</v>
      </c>
      <c r="AB124" s="67" t="str">
        <f t="shared" si="69"/>
        <v/>
      </c>
      <c r="AC124" s="193">
        <f t="shared" si="51"/>
        <v>0</v>
      </c>
      <c r="AD124" s="144" t="str">
        <f t="shared" si="52"/>
        <v/>
      </c>
      <c r="AE124" s="228">
        <f t="shared" si="78"/>
        <v>0</v>
      </c>
      <c r="AF124" s="110"/>
      <c r="AG124" s="110" t="str">
        <f t="shared" si="70"/>
        <v/>
      </c>
      <c r="AH124" s="68">
        <f t="shared" si="53"/>
        <v>0</v>
      </c>
      <c r="AI124" s="68">
        <f t="shared" si="54"/>
        <v>0</v>
      </c>
      <c r="AJ124" s="68" t="str">
        <f t="shared" si="55"/>
        <v/>
      </c>
      <c r="AK124">
        <f t="shared" si="56"/>
        <v>2</v>
      </c>
      <c r="AL124" s="122">
        <f>SUM($AD$6:AD124)</f>
        <v>0</v>
      </c>
      <c r="AM124" s="122">
        <f t="shared" ca="1" si="71"/>
        <v>0</v>
      </c>
      <c r="AN124" s="126">
        <f t="shared" si="79"/>
        <v>0</v>
      </c>
      <c r="AO124" s="126">
        <f t="shared" si="80"/>
        <v>0</v>
      </c>
      <c r="AP124" s="126">
        <f t="shared" si="81"/>
        <v>0</v>
      </c>
      <c r="AQ124" s="125">
        <f t="shared" si="72"/>
        <v>30</v>
      </c>
      <c r="AR124" s="125">
        <f t="shared" ca="1" si="73"/>
        <v>30</v>
      </c>
      <c r="AS124" s="135">
        <f t="shared" si="74"/>
        <v>0</v>
      </c>
      <c r="AT124" s="125">
        <f t="shared" si="75"/>
        <v>0</v>
      </c>
      <c r="AU124" t="b">
        <f>OR((F124&gt;0),(NOT(ISBLANK(H124))),SUM(H124:H$373),SUM(G124:G$373))</f>
        <v>0</v>
      </c>
      <c r="AV124" t="b">
        <f t="shared" ca="1" si="57"/>
        <v>0</v>
      </c>
      <c r="AX124" s="228">
        <f>SUM(AW$5:AW124)</f>
        <v>-2.9166666666666665</v>
      </c>
    </row>
    <row r="125" spans="1:50">
      <c r="A125" s="308">
        <f t="shared" si="76"/>
        <v>42488</v>
      </c>
      <c r="B125" s="309">
        <f t="shared" si="77"/>
        <v>42488</v>
      </c>
      <c r="C125" s="310">
        <f t="shared" si="84"/>
        <v>18</v>
      </c>
      <c r="D125" s="311">
        <f t="shared" si="85"/>
        <v>42460</v>
      </c>
      <c r="E125" s="321" t="str">
        <f t="shared" si="58"/>
        <v/>
      </c>
      <c r="F125" s="5"/>
      <c r="G125" s="6" t="str">
        <f t="shared" si="59"/>
        <v/>
      </c>
      <c r="H125" s="7"/>
      <c r="I125" s="7">
        <f t="shared" si="60"/>
        <v>0</v>
      </c>
      <c r="J125" s="113">
        <f t="shared" si="48"/>
        <v>0</v>
      </c>
      <c r="K125" s="7"/>
      <c r="L125" s="7">
        <f t="shared" si="61"/>
        <v>0</v>
      </c>
      <c r="M125" s="113">
        <f t="shared" si="62"/>
        <v>0</v>
      </c>
      <c r="N125" s="113"/>
      <c r="O125" s="113">
        <f t="shared" si="49"/>
        <v>0</v>
      </c>
      <c r="P125" s="113"/>
      <c r="Q125" s="113">
        <f t="shared" si="63"/>
        <v>0</v>
      </c>
      <c r="R125" s="113">
        <f t="shared" si="64"/>
        <v>0</v>
      </c>
      <c r="S125" s="113">
        <f t="shared" si="82"/>
        <v>0</v>
      </c>
      <c r="T125" s="113">
        <f t="shared" si="65"/>
        <v>0</v>
      </c>
      <c r="U125" s="113">
        <f t="shared" si="83"/>
        <v>0</v>
      </c>
      <c r="V125" s="146">
        <f t="shared" si="66"/>
        <v>0</v>
      </c>
      <c r="W125" s="66"/>
      <c r="X125" s="115">
        <f t="shared" si="50"/>
        <v>3.125E-2</v>
      </c>
      <c r="Y125" s="110">
        <f t="shared" si="67"/>
        <v>0</v>
      </c>
      <c r="Z125" s="111">
        <f t="shared" si="86"/>
        <v>0.29166666666666669</v>
      </c>
      <c r="AA125" s="112">
        <f t="shared" si="68"/>
        <v>0</v>
      </c>
      <c r="AB125" s="67" t="str">
        <f t="shared" si="69"/>
        <v/>
      </c>
      <c r="AC125" s="193">
        <f t="shared" si="51"/>
        <v>0</v>
      </c>
      <c r="AD125" s="144" t="str">
        <f t="shared" si="52"/>
        <v/>
      </c>
      <c r="AE125" s="228">
        <f t="shared" si="78"/>
        <v>0</v>
      </c>
      <c r="AF125" s="110"/>
      <c r="AG125" s="110" t="str">
        <f t="shared" si="70"/>
        <v/>
      </c>
      <c r="AH125" s="68">
        <f t="shared" si="53"/>
        <v>0</v>
      </c>
      <c r="AI125" s="68">
        <f t="shared" si="54"/>
        <v>0</v>
      </c>
      <c r="AJ125" s="68" t="str">
        <f t="shared" si="55"/>
        <v/>
      </c>
      <c r="AK125">
        <f t="shared" si="56"/>
        <v>3</v>
      </c>
      <c r="AL125" s="122">
        <f>SUM($AD$6:AD125)</f>
        <v>0</v>
      </c>
      <c r="AM125" s="122">
        <f t="shared" ca="1" si="71"/>
        <v>0</v>
      </c>
      <c r="AN125" s="126">
        <f t="shared" si="79"/>
        <v>0</v>
      </c>
      <c r="AO125" s="126">
        <f t="shared" si="80"/>
        <v>0</v>
      </c>
      <c r="AP125" s="126">
        <f t="shared" si="81"/>
        <v>0</v>
      </c>
      <c r="AQ125" s="125">
        <f t="shared" si="72"/>
        <v>30</v>
      </c>
      <c r="AR125" s="125">
        <f t="shared" ca="1" si="73"/>
        <v>30</v>
      </c>
      <c r="AS125" s="135">
        <f t="shared" si="74"/>
        <v>0</v>
      </c>
      <c r="AT125" s="125">
        <f t="shared" si="75"/>
        <v>0</v>
      </c>
      <c r="AU125" t="b">
        <f>OR((F125&gt;0),(NOT(ISBLANK(H125))),SUM(H125:H$373),SUM(G125:G$373))</f>
        <v>0</v>
      </c>
      <c r="AV125" t="b">
        <f t="shared" ca="1" si="57"/>
        <v>0</v>
      </c>
      <c r="AX125" s="228">
        <f>SUM(AW$5:AW125)</f>
        <v>-2.9166666666666665</v>
      </c>
    </row>
    <row r="126" spans="1:50">
      <c r="A126" s="308">
        <f t="shared" si="76"/>
        <v>42489</v>
      </c>
      <c r="B126" s="309">
        <f t="shared" si="77"/>
        <v>42489</v>
      </c>
      <c r="C126" s="310">
        <f t="shared" si="84"/>
        <v>18</v>
      </c>
      <c r="D126" s="311">
        <f t="shared" si="85"/>
        <v>42460</v>
      </c>
      <c r="E126" s="321" t="str">
        <f t="shared" si="58"/>
        <v/>
      </c>
      <c r="F126" s="5"/>
      <c r="G126" s="6" t="str">
        <f t="shared" si="59"/>
        <v/>
      </c>
      <c r="H126" s="7"/>
      <c r="I126" s="7">
        <f t="shared" si="60"/>
        <v>0</v>
      </c>
      <c r="J126" s="113">
        <f t="shared" si="48"/>
        <v>0</v>
      </c>
      <c r="K126" s="7"/>
      <c r="L126" s="7">
        <f t="shared" si="61"/>
        <v>0</v>
      </c>
      <c r="M126" s="113">
        <f t="shared" si="62"/>
        <v>0</v>
      </c>
      <c r="N126" s="113"/>
      <c r="O126" s="113">
        <f t="shared" si="49"/>
        <v>0</v>
      </c>
      <c r="P126" s="113"/>
      <c r="Q126" s="113">
        <f t="shared" si="63"/>
        <v>0</v>
      </c>
      <c r="R126" s="113">
        <f t="shared" si="64"/>
        <v>0</v>
      </c>
      <c r="S126" s="113">
        <f t="shared" si="82"/>
        <v>0</v>
      </c>
      <c r="T126" s="113">
        <f t="shared" si="65"/>
        <v>0</v>
      </c>
      <c r="U126" s="113">
        <f t="shared" si="83"/>
        <v>0</v>
      </c>
      <c r="V126" s="146">
        <f t="shared" si="66"/>
        <v>0</v>
      </c>
      <c r="W126" s="66"/>
      <c r="X126" s="115">
        <f t="shared" si="50"/>
        <v>3.125E-2</v>
      </c>
      <c r="Y126" s="110">
        <f t="shared" si="67"/>
        <v>0</v>
      </c>
      <c r="Z126" s="111">
        <f t="shared" si="86"/>
        <v>0.29166666666666669</v>
      </c>
      <c r="AA126" s="112">
        <f t="shared" si="68"/>
        <v>0</v>
      </c>
      <c r="AB126" s="67" t="str">
        <f t="shared" si="69"/>
        <v/>
      </c>
      <c r="AC126" s="193">
        <f t="shared" si="51"/>
        <v>0</v>
      </c>
      <c r="AD126" s="144" t="str">
        <f t="shared" si="52"/>
        <v/>
      </c>
      <c r="AE126" s="228">
        <f t="shared" si="78"/>
        <v>0</v>
      </c>
      <c r="AF126" s="110"/>
      <c r="AG126" s="110" t="str">
        <f t="shared" si="70"/>
        <v/>
      </c>
      <c r="AH126" s="68">
        <f t="shared" si="53"/>
        <v>0</v>
      </c>
      <c r="AI126" s="68">
        <f t="shared" si="54"/>
        <v>0</v>
      </c>
      <c r="AJ126" s="68" t="str">
        <f t="shared" si="55"/>
        <v/>
      </c>
      <c r="AK126">
        <f t="shared" si="56"/>
        <v>4</v>
      </c>
      <c r="AL126" s="122">
        <f>SUM($AD$6:AD126)</f>
        <v>0</v>
      </c>
      <c r="AM126" s="122">
        <f t="shared" ca="1" si="71"/>
        <v>0</v>
      </c>
      <c r="AN126" s="126">
        <f t="shared" si="79"/>
        <v>0</v>
      </c>
      <c r="AO126" s="126">
        <f t="shared" si="80"/>
        <v>0</v>
      </c>
      <c r="AP126" s="126">
        <f t="shared" si="81"/>
        <v>0</v>
      </c>
      <c r="AQ126" s="125">
        <f t="shared" si="72"/>
        <v>30</v>
      </c>
      <c r="AR126" s="125">
        <f t="shared" ca="1" si="73"/>
        <v>30</v>
      </c>
      <c r="AS126" s="135">
        <f t="shared" si="74"/>
        <v>0</v>
      </c>
      <c r="AT126" s="125">
        <f t="shared" si="75"/>
        <v>0</v>
      </c>
      <c r="AU126" t="b">
        <f>OR((F126&gt;0),(NOT(ISBLANK(H126))),SUM(H126:H$373),SUM(G126:G$373))</f>
        <v>0</v>
      </c>
      <c r="AV126" t="b">
        <f t="shared" ca="1" si="57"/>
        <v>0</v>
      </c>
      <c r="AX126" s="228">
        <f>SUM(AW$5:AW126)</f>
        <v>-2.9166666666666665</v>
      </c>
    </row>
    <row r="127" spans="1:50">
      <c r="A127" s="308">
        <f t="shared" si="76"/>
        <v>42490</v>
      </c>
      <c r="B127" s="309">
        <f t="shared" si="77"/>
        <v>42490</v>
      </c>
      <c r="C127" s="310">
        <f t="shared" si="84"/>
        <v>18</v>
      </c>
      <c r="D127" s="311">
        <f t="shared" si="85"/>
        <v>42490</v>
      </c>
      <c r="E127" s="321" t="str">
        <f t="shared" si="58"/>
        <v>Tag der Arbeit</v>
      </c>
      <c r="F127" s="5"/>
      <c r="G127" s="6" t="str">
        <f t="shared" si="59"/>
        <v/>
      </c>
      <c r="H127" s="7"/>
      <c r="I127" s="7">
        <f t="shared" si="60"/>
        <v>0</v>
      </c>
      <c r="J127" s="113">
        <f t="shared" si="48"/>
        <v>0</v>
      </c>
      <c r="K127" s="7"/>
      <c r="L127" s="7">
        <f t="shared" si="61"/>
        <v>0</v>
      </c>
      <c r="M127" s="113">
        <f t="shared" si="62"/>
        <v>0</v>
      </c>
      <c r="N127" s="113"/>
      <c r="O127" s="113">
        <f t="shared" si="49"/>
        <v>0</v>
      </c>
      <c r="P127" s="113"/>
      <c r="Q127" s="113">
        <f t="shared" si="63"/>
        <v>0</v>
      </c>
      <c r="R127" s="113">
        <f t="shared" si="64"/>
        <v>0</v>
      </c>
      <c r="S127" s="113">
        <f t="shared" si="82"/>
        <v>0</v>
      </c>
      <c r="T127" s="113">
        <f t="shared" si="65"/>
        <v>0</v>
      </c>
      <c r="U127" s="113">
        <f t="shared" si="83"/>
        <v>0</v>
      </c>
      <c r="V127" s="146">
        <f t="shared" si="66"/>
        <v>0</v>
      </c>
      <c r="W127" s="66"/>
      <c r="X127" s="115">
        <f t="shared" si="50"/>
        <v>3.125E-2</v>
      </c>
      <c r="Y127" s="110">
        <f t="shared" si="67"/>
        <v>0</v>
      </c>
      <c r="Z127" s="111" t="str">
        <f t="shared" si="86"/>
        <v/>
      </c>
      <c r="AA127" s="112">
        <f t="shared" si="68"/>
        <v>0</v>
      </c>
      <c r="AB127" s="67" t="str">
        <f t="shared" si="69"/>
        <v/>
      </c>
      <c r="AC127" s="193">
        <f t="shared" si="51"/>
        <v>0</v>
      </c>
      <c r="AD127" s="144" t="str">
        <f t="shared" si="52"/>
        <v/>
      </c>
      <c r="AE127" s="228">
        <f t="shared" si="78"/>
        <v>0</v>
      </c>
      <c r="AF127" s="110"/>
      <c r="AG127" s="110" t="str">
        <f t="shared" si="70"/>
        <v/>
      </c>
      <c r="AH127" s="68">
        <f t="shared" si="53"/>
        <v>0</v>
      </c>
      <c r="AI127" s="68">
        <f t="shared" si="54"/>
        <v>0</v>
      </c>
      <c r="AJ127" s="68" t="str">
        <f t="shared" si="55"/>
        <v/>
      </c>
      <c r="AK127">
        <f t="shared" si="56"/>
        <v>8</v>
      </c>
      <c r="AL127" s="122">
        <f>SUM($AD$6:AD127)</f>
        <v>0</v>
      </c>
      <c r="AM127" s="122">
        <f t="shared" ca="1" si="71"/>
        <v>0</v>
      </c>
      <c r="AN127" s="126">
        <f t="shared" si="79"/>
        <v>0</v>
      </c>
      <c r="AO127" s="126">
        <f t="shared" si="80"/>
        <v>0</v>
      </c>
      <c r="AP127" s="126">
        <f t="shared" si="81"/>
        <v>0</v>
      </c>
      <c r="AQ127" s="125">
        <f t="shared" si="72"/>
        <v>30</v>
      </c>
      <c r="AR127" s="125">
        <f t="shared" ca="1" si="73"/>
        <v>30</v>
      </c>
      <c r="AS127" s="135">
        <f t="shared" si="74"/>
        <v>0</v>
      </c>
      <c r="AT127" s="125">
        <f t="shared" si="75"/>
        <v>8</v>
      </c>
      <c r="AU127" t="b">
        <f>OR((F127&gt;0),(NOT(ISBLANK(H127))),SUM(H127:H$373),SUM(G127:G$373))</f>
        <v>0</v>
      </c>
      <c r="AV127" t="b">
        <f t="shared" ca="1" si="57"/>
        <v>1</v>
      </c>
      <c r="AX127" s="228">
        <f>SUM(AW$5:AW127)</f>
        <v>-2.9166666666666665</v>
      </c>
    </row>
    <row r="128" spans="1:50">
      <c r="A128" s="308">
        <f t="shared" si="76"/>
        <v>42491</v>
      </c>
      <c r="B128" s="309">
        <f t="shared" si="77"/>
        <v>42491</v>
      </c>
      <c r="C128" s="310">
        <f t="shared" si="84"/>
        <v>18</v>
      </c>
      <c r="D128" s="311">
        <f t="shared" si="85"/>
        <v>42490</v>
      </c>
      <c r="E128" s="321" t="str">
        <f t="shared" si="58"/>
        <v/>
      </c>
      <c r="F128" s="5"/>
      <c r="G128" s="6" t="str">
        <f t="shared" si="59"/>
        <v/>
      </c>
      <c r="H128" s="7"/>
      <c r="I128" s="7">
        <f t="shared" si="60"/>
        <v>0</v>
      </c>
      <c r="J128" s="113">
        <f t="shared" si="48"/>
        <v>0</v>
      </c>
      <c r="K128" s="7"/>
      <c r="L128" s="7">
        <f t="shared" si="61"/>
        <v>0</v>
      </c>
      <c r="M128" s="113">
        <f t="shared" si="62"/>
        <v>0</v>
      </c>
      <c r="N128" s="113"/>
      <c r="O128" s="113">
        <f t="shared" si="49"/>
        <v>0</v>
      </c>
      <c r="P128" s="113"/>
      <c r="Q128" s="113">
        <f t="shared" si="63"/>
        <v>0</v>
      </c>
      <c r="R128" s="113">
        <f t="shared" si="64"/>
        <v>0</v>
      </c>
      <c r="S128" s="113">
        <f t="shared" si="82"/>
        <v>0</v>
      </c>
      <c r="T128" s="113">
        <f t="shared" si="65"/>
        <v>0</v>
      </c>
      <c r="U128" s="113">
        <f t="shared" si="83"/>
        <v>0</v>
      </c>
      <c r="V128" s="146">
        <f t="shared" si="66"/>
        <v>0</v>
      </c>
      <c r="W128" s="66"/>
      <c r="X128" s="115">
        <f t="shared" si="50"/>
        <v>3.125E-2</v>
      </c>
      <c r="Y128" s="110">
        <f t="shared" si="67"/>
        <v>0</v>
      </c>
      <c r="Z128" s="111">
        <f t="shared" si="86"/>
        <v>0</v>
      </c>
      <c r="AA128" s="112">
        <f t="shared" si="68"/>
        <v>0</v>
      </c>
      <c r="AB128" s="67" t="str">
        <f t="shared" si="69"/>
        <v/>
      </c>
      <c r="AC128" s="193">
        <f t="shared" si="51"/>
        <v>0</v>
      </c>
      <c r="AD128" s="144" t="str">
        <f t="shared" si="52"/>
        <v/>
      </c>
      <c r="AE128" s="228">
        <f t="shared" si="78"/>
        <v>0</v>
      </c>
      <c r="AF128" s="110"/>
      <c r="AG128" s="110" t="str">
        <f t="shared" si="70"/>
        <v/>
      </c>
      <c r="AH128" s="68">
        <f t="shared" si="53"/>
        <v>0</v>
      </c>
      <c r="AI128" s="68">
        <f t="shared" si="54"/>
        <v>0</v>
      </c>
      <c r="AJ128" s="68" t="str">
        <f t="shared" si="55"/>
        <v/>
      </c>
      <c r="AK128">
        <f t="shared" si="56"/>
        <v>6</v>
      </c>
      <c r="AL128" s="122">
        <f>SUM($AD$6:AD128)</f>
        <v>0</v>
      </c>
      <c r="AM128" s="122">
        <f t="shared" ca="1" si="71"/>
        <v>0</v>
      </c>
      <c r="AN128" s="126">
        <f t="shared" si="79"/>
        <v>0</v>
      </c>
      <c r="AO128" s="126">
        <f t="shared" si="80"/>
        <v>0</v>
      </c>
      <c r="AP128" s="126">
        <f t="shared" si="81"/>
        <v>0</v>
      </c>
      <c r="AQ128" s="125">
        <f t="shared" si="72"/>
        <v>30</v>
      </c>
      <c r="AR128" s="125">
        <f t="shared" ca="1" si="73"/>
        <v>30</v>
      </c>
      <c r="AS128" s="135">
        <f t="shared" si="74"/>
        <v>0</v>
      </c>
      <c r="AT128" s="125">
        <f t="shared" si="75"/>
        <v>7</v>
      </c>
      <c r="AU128" t="b">
        <f>OR((F128&gt;0),(NOT(ISBLANK(H128))),SUM(H128:H$373),SUM(G128:G$373))</f>
        <v>0</v>
      </c>
      <c r="AV128" t="b">
        <f t="shared" ca="1" si="57"/>
        <v>1</v>
      </c>
      <c r="AX128" s="228">
        <f>SUM(AW$5:AW128)</f>
        <v>-2.9166666666666665</v>
      </c>
    </row>
    <row r="129" spans="1:50">
      <c r="A129" s="308">
        <f t="shared" si="76"/>
        <v>42492</v>
      </c>
      <c r="B129" s="309">
        <f t="shared" si="77"/>
        <v>42492</v>
      </c>
      <c r="C129" s="310">
        <f t="shared" si="84"/>
        <v>18</v>
      </c>
      <c r="D129" s="311">
        <f t="shared" si="85"/>
        <v>42490</v>
      </c>
      <c r="E129" s="321" t="str">
        <f t="shared" si="58"/>
        <v/>
      </c>
      <c r="F129" s="5"/>
      <c r="G129" s="6" t="str">
        <f t="shared" si="59"/>
        <v/>
      </c>
      <c r="H129" s="7"/>
      <c r="I129" s="7">
        <f t="shared" si="60"/>
        <v>0</v>
      </c>
      <c r="J129" s="113">
        <f t="shared" si="48"/>
        <v>0</v>
      </c>
      <c r="K129" s="7"/>
      <c r="L129" s="7">
        <f t="shared" si="61"/>
        <v>0</v>
      </c>
      <c r="M129" s="113">
        <f t="shared" si="62"/>
        <v>0</v>
      </c>
      <c r="N129" s="113"/>
      <c r="O129" s="113">
        <f t="shared" si="49"/>
        <v>0</v>
      </c>
      <c r="P129" s="113"/>
      <c r="Q129" s="113">
        <f t="shared" si="63"/>
        <v>0</v>
      </c>
      <c r="R129" s="113">
        <f t="shared" si="64"/>
        <v>0</v>
      </c>
      <c r="S129" s="113">
        <f t="shared" si="82"/>
        <v>0</v>
      </c>
      <c r="T129" s="113">
        <f t="shared" si="65"/>
        <v>0</v>
      </c>
      <c r="U129" s="113">
        <f t="shared" si="83"/>
        <v>0</v>
      </c>
      <c r="V129" s="146">
        <f t="shared" si="66"/>
        <v>0</v>
      </c>
      <c r="W129" s="66"/>
      <c r="X129" s="115">
        <f t="shared" si="50"/>
        <v>3.125E-2</v>
      </c>
      <c r="Y129" s="110">
        <f t="shared" si="67"/>
        <v>0</v>
      </c>
      <c r="Z129" s="111">
        <f t="shared" si="86"/>
        <v>0</v>
      </c>
      <c r="AA129" s="112">
        <f t="shared" si="68"/>
        <v>0</v>
      </c>
      <c r="AB129" s="67" t="str">
        <f t="shared" si="69"/>
        <v/>
      </c>
      <c r="AC129" s="193">
        <f t="shared" si="51"/>
        <v>0</v>
      </c>
      <c r="AD129" s="144" t="str">
        <f t="shared" si="52"/>
        <v/>
      </c>
      <c r="AE129" s="228">
        <f t="shared" si="78"/>
        <v>0</v>
      </c>
      <c r="AF129" s="110"/>
      <c r="AG129" s="110" t="str">
        <f t="shared" si="70"/>
        <v/>
      </c>
      <c r="AH129" s="68">
        <f t="shared" si="53"/>
        <v>0</v>
      </c>
      <c r="AI129" s="68">
        <f t="shared" si="54"/>
        <v>0</v>
      </c>
      <c r="AJ129" s="68" t="str">
        <f t="shared" si="55"/>
        <v/>
      </c>
      <c r="AK129">
        <f t="shared" si="56"/>
        <v>7</v>
      </c>
      <c r="AL129" s="122">
        <f>SUM($AD$6:AD129)</f>
        <v>0</v>
      </c>
      <c r="AM129" s="122">
        <f t="shared" ca="1" si="71"/>
        <v>0</v>
      </c>
      <c r="AN129" s="126">
        <f t="shared" si="79"/>
        <v>0</v>
      </c>
      <c r="AO129" s="126">
        <f t="shared" si="80"/>
        <v>0</v>
      </c>
      <c r="AP129" s="126">
        <f t="shared" si="81"/>
        <v>0</v>
      </c>
      <c r="AQ129" s="125">
        <f t="shared" si="72"/>
        <v>30</v>
      </c>
      <c r="AR129" s="125">
        <f t="shared" ca="1" si="73"/>
        <v>30</v>
      </c>
      <c r="AS129" s="135">
        <f t="shared" si="74"/>
        <v>0</v>
      </c>
      <c r="AT129" s="125">
        <f t="shared" si="75"/>
        <v>7</v>
      </c>
      <c r="AU129" t="b">
        <f>OR((F129&gt;0),(NOT(ISBLANK(H129))),SUM(H129:H$373),SUM(G129:G$373))</f>
        <v>0</v>
      </c>
      <c r="AV129" t="b">
        <f t="shared" ca="1" si="57"/>
        <v>1</v>
      </c>
      <c r="AX129" s="228">
        <f>SUM(AW$5:AW129)</f>
        <v>-2.9166666666666665</v>
      </c>
    </row>
    <row r="130" spans="1:50">
      <c r="A130" s="308">
        <f t="shared" si="76"/>
        <v>42493</v>
      </c>
      <c r="B130" s="309">
        <f t="shared" si="77"/>
        <v>42493</v>
      </c>
      <c r="C130" s="310">
        <f t="shared" si="84"/>
        <v>19</v>
      </c>
      <c r="D130" s="311">
        <f t="shared" si="85"/>
        <v>42490</v>
      </c>
      <c r="E130" s="321" t="str">
        <f t="shared" si="58"/>
        <v/>
      </c>
      <c r="F130" s="5"/>
      <c r="G130" s="6" t="str">
        <f t="shared" si="59"/>
        <v/>
      </c>
      <c r="H130" s="7"/>
      <c r="I130" s="7">
        <f t="shared" si="60"/>
        <v>0</v>
      </c>
      <c r="J130" s="113">
        <f t="shared" si="48"/>
        <v>0</v>
      </c>
      <c r="K130" s="7"/>
      <c r="L130" s="7">
        <f t="shared" si="61"/>
        <v>0</v>
      </c>
      <c r="M130" s="113">
        <f t="shared" si="62"/>
        <v>0</v>
      </c>
      <c r="N130" s="113"/>
      <c r="O130" s="113">
        <f t="shared" si="49"/>
        <v>0</v>
      </c>
      <c r="P130" s="113"/>
      <c r="Q130" s="113">
        <f t="shared" si="63"/>
        <v>0</v>
      </c>
      <c r="R130" s="113">
        <f t="shared" si="64"/>
        <v>0</v>
      </c>
      <c r="S130" s="113">
        <f t="shared" si="82"/>
        <v>0</v>
      </c>
      <c r="T130" s="113">
        <f t="shared" si="65"/>
        <v>0</v>
      </c>
      <c r="U130" s="113">
        <f t="shared" si="83"/>
        <v>0</v>
      </c>
      <c r="V130" s="146">
        <f t="shared" si="66"/>
        <v>0</v>
      </c>
      <c r="W130" s="66"/>
      <c r="X130" s="115">
        <f t="shared" si="50"/>
        <v>3.125E-2</v>
      </c>
      <c r="Y130" s="110">
        <f t="shared" si="67"/>
        <v>0</v>
      </c>
      <c r="Z130" s="111">
        <f t="shared" si="86"/>
        <v>0.29166666666666669</v>
      </c>
      <c r="AA130" s="112">
        <f t="shared" si="68"/>
        <v>0</v>
      </c>
      <c r="AB130" s="67" t="str">
        <f t="shared" si="69"/>
        <v/>
      </c>
      <c r="AC130" s="193">
        <f t="shared" si="51"/>
        <v>0</v>
      </c>
      <c r="AD130" s="144" t="str">
        <f t="shared" si="52"/>
        <v/>
      </c>
      <c r="AE130" s="228">
        <f t="shared" si="78"/>
        <v>0</v>
      </c>
      <c r="AF130" s="110"/>
      <c r="AG130" s="110" t="str">
        <f t="shared" si="70"/>
        <v/>
      </c>
      <c r="AH130" s="68">
        <f t="shared" si="53"/>
        <v>0</v>
      </c>
      <c r="AI130" s="68">
        <f t="shared" si="54"/>
        <v>0</v>
      </c>
      <c r="AJ130" s="68" t="str">
        <f t="shared" si="55"/>
        <v/>
      </c>
      <c r="AK130">
        <f t="shared" si="56"/>
        <v>1</v>
      </c>
      <c r="AL130" s="122">
        <f>SUM($AD$6:AD130)</f>
        <v>0</v>
      </c>
      <c r="AM130" s="122">
        <f t="shared" ca="1" si="71"/>
        <v>0</v>
      </c>
      <c r="AN130" s="126">
        <f t="shared" si="79"/>
        <v>0</v>
      </c>
      <c r="AO130" s="126">
        <f t="shared" si="80"/>
        <v>0</v>
      </c>
      <c r="AP130" s="126">
        <f t="shared" si="81"/>
        <v>0</v>
      </c>
      <c r="AQ130" s="125">
        <f t="shared" si="72"/>
        <v>30</v>
      </c>
      <c r="AR130" s="125">
        <f t="shared" ca="1" si="73"/>
        <v>30</v>
      </c>
      <c r="AS130" s="135">
        <f t="shared" si="74"/>
        <v>0</v>
      </c>
      <c r="AT130" s="125">
        <f t="shared" si="75"/>
        <v>0</v>
      </c>
      <c r="AU130" t="b">
        <f>OR((F130&gt;0),(NOT(ISBLANK(H130))),SUM(H130:H$373),SUM(G130:G$373))</f>
        <v>0</v>
      </c>
      <c r="AV130" t="b">
        <f t="shared" ca="1" si="57"/>
        <v>0</v>
      </c>
      <c r="AX130" s="228">
        <f>SUM(AW$5:AW130)</f>
        <v>-2.9166666666666665</v>
      </c>
    </row>
    <row r="131" spans="1:50">
      <c r="A131" s="308">
        <f t="shared" si="76"/>
        <v>42494</v>
      </c>
      <c r="B131" s="309">
        <f t="shared" si="77"/>
        <v>42494</v>
      </c>
      <c r="C131" s="310">
        <f t="shared" si="84"/>
        <v>19</v>
      </c>
      <c r="D131" s="311">
        <f t="shared" si="85"/>
        <v>42490</v>
      </c>
      <c r="E131" s="321" t="str">
        <f t="shared" si="58"/>
        <v/>
      </c>
      <c r="F131" s="5"/>
      <c r="G131" s="6" t="str">
        <f t="shared" si="59"/>
        <v/>
      </c>
      <c r="H131" s="7"/>
      <c r="I131" s="7">
        <f t="shared" si="60"/>
        <v>0</v>
      </c>
      <c r="J131" s="113">
        <f t="shared" si="48"/>
        <v>0</v>
      </c>
      <c r="K131" s="7"/>
      <c r="L131" s="7">
        <f t="shared" si="61"/>
        <v>0</v>
      </c>
      <c r="M131" s="113">
        <f t="shared" si="62"/>
        <v>0</v>
      </c>
      <c r="N131" s="113"/>
      <c r="O131" s="113">
        <f t="shared" si="49"/>
        <v>0</v>
      </c>
      <c r="P131" s="113"/>
      <c r="Q131" s="113">
        <f t="shared" si="63"/>
        <v>0</v>
      </c>
      <c r="R131" s="113">
        <f t="shared" si="64"/>
        <v>0</v>
      </c>
      <c r="S131" s="113">
        <f t="shared" si="82"/>
        <v>0</v>
      </c>
      <c r="T131" s="113">
        <f t="shared" si="65"/>
        <v>0</v>
      </c>
      <c r="U131" s="113">
        <f t="shared" si="83"/>
        <v>0</v>
      </c>
      <c r="V131" s="146">
        <f t="shared" si="66"/>
        <v>0</v>
      </c>
      <c r="W131" s="66"/>
      <c r="X131" s="115">
        <f t="shared" si="50"/>
        <v>3.125E-2</v>
      </c>
      <c r="Y131" s="110">
        <f t="shared" si="67"/>
        <v>0</v>
      </c>
      <c r="Z131" s="111">
        <f t="shared" si="86"/>
        <v>0.29166666666666669</v>
      </c>
      <c r="AA131" s="112">
        <f t="shared" si="68"/>
        <v>0</v>
      </c>
      <c r="AB131" s="67" t="str">
        <f t="shared" si="69"/>
        <v/>
      </c>
      <c r="AC131" s="193">
        <f t="shared" si="51"/>
        <v>0</v>
      </c>
      <c r="AD131" s="144" t="str">
        <f t="shared" si="52"/>
        <v/>
      </c>
      <c r="AE131" s="228">
        <f t="shared" si="78"/>
        <v>0</v>
      </c>
      <c r="AF131" s="110"/>
      <c r="AG131" s="110" t="str">
        <f t="shared" si="70"/>
        <v/>
      </c>
      <c r="AH131" s="68">
        <f t="shared" si="53"/>
        <v>0</v>
      </c>
      <c r="AI131" s="68">
        <f t="shared" si="54"/>
        <v>0</v>
      </c>
      <c r="AJ131" s="68" t="str">
        <f t="shared" si="55"/>
        <v/>
      </c>
      <c r="AK131">
        <f t="shared" si="56"/>
        <v>2</v>
      </c>
      <c r="AL131" s="122">
        <f>SUM($AD$6:AD131)</f>
        <v>0</v>
      </c>
      <c r="AM131" s="122">
        <f t="shared" ca="1" si="71"/>
        <v>0</v>
      </c>
      <c r="AN131" s="126">
        <f t="shared" si="79"/>
        <v>0</v>
      </c>
      <c r="AO131" s="126">
        <f t="shared" si="80"/>
        <v>0</v>
      </c>
      <c r="AP131" s="126">
        <f t="shared" si="81"/>
        <v>0</v>
      </c>
      <c r="AQ131" s="125">
        <f t="shared" si="72"/>
        <v>30</v>
      </c>
      <c r="AR131" s="125">
        <f t="shared" ca="1" si="73"/>
        <v>30</v>
      </c>
      <c r="AS131" s="135">
        <f t="shared" si="74"/>
        <v>0</v>
      </c>
      <c r="AT131" s="125">
        <f t="shared" si="75"/>
        <v>0</v>
      </c>
      <c r="AU131" t="b">
        <f>OR((F131&gt;0),(NOT(ISBLANK(H131))),SUM(H131:H$373),SUM(G131:G$373))</f>
        <v>0</v>
      </c>
      <c r="AV131" t="b">
        <f t="shared" ca="1" si="57"/>
        <v>0</v>
      </c>
      <c r="AX131" s="228">
        <f>SUM(AW$5:AW131)</f>
        <v>-2.9166666666666665</v>
      </c>
    </row>
    <row r="132" spans="1:50">
      <c r="A132" s="308">
        <f t="shared" si="76"/>
        <v>42495</v>
      </c>
      <c r="B132" s="309">
        <f t="shared" si="77"/>
        <v>42495</v>
      </c>
      <c r="C132" s="310">
        <f t="shared" si="84"/>
        <v>19</v>
      </c>
      <c r="D132" s="311">
        <f t="shared" si="85"/>
        <v>42490</v>
      </c>
      <c r="E132" s="321" t="str">
        <f t="shared" si="58"/>
        <v/>
      </c>
      <c r="F132" s="5"/>
      <c r="G132" s="6" t="str">
        <f t="shared" si="59"/>
        <v/>
      </c>
      <c r="H132" s="7"/>
      <c r="I132" s="7">
        <f t="shared" si="60"/>
        <v>0</v>
      </c>
      <c r="J132" s="113">
        <f t="shared" si="48"/>
        <v>0</v>
      </c>
      <c r="K132" s="7"/>
      <c r="L132" s="7">
        <f t="shared" si="61"/>
        <v>0</v>
      </c>
      <c r="M132" s="113">
        <f t="shared" si="62"/>
        <v>0</v>
      </c>
      <c r="N132" s="113"/>
      <c r="O132" s="113">
        <f t="shared" si="49"/>
        <v>0</v>
      </c>
      <c r="P132" s="113"/>
      <c r="Q132" s="113">
        <f t="shared" si="63"/>
        <v>0</v>
      </c>
      <c r="R132" s="113">
        <f t="shared" si="64"/>
        <v>0</v>
      </c>
      <c r="S132" s="113">
        <f t="shared" si="82"/>
        <v>0</v>
      </c>
      <c r="T132" s="113">
        <f t="shared" si="65"/>
        <v>0</v>
      </c>
      <c r="U132" s="113">
        <f t="shared" si="83"/>
        <v>0</v>
      </c>
      <c r="V132" s="146">
        <f t="shared" si="66"/>
        <v>0</v>
      </c>
      <c r="W132" s="66"/>
      <c r="X132" s="115">
        <f t="shared" si="50"/>
        <v>3.125E-2</v>
      </c>
      <c r="Y132" s="110">
        <f t="shared" si="67"/>
        <v>0</v>
      </c>
      <c r="Z132" s="111">
        <f t="shared" si="86"/>
        <v>0.29166666666666669</v>
      </c>
      <c r="AA132" s="112">
        <f t="shared" si="68"/>
        <v>0</v>
      </c>
      <c r="AB132" s="67" t="str">
        <f t="shared" si="69"/>
        <v/>
      </c>
      <c r="AC132" s="193">
        <f t="shared" si="51"/>
        <v>0</v>
      </c>
      <c r="AD132" s="144" t="str">
        <f t="shared" si="52"/>
        <v/>
      </c>
      <c r="AE132" s="228">
        <f t="shared" si="78"/>
        <v>0</v>
      </c>
      <c r="AF132" s="110"/>
      <c r="AG132" s="110" t="str">
        <f t="shared" si="70"/>
        <v/>
      </c>
      <c r="AH132" s="68">
        <f t="shared" si="53"/>
        <v>0</v>
      </c>
      <c r="AI132" s="68">
        <f t="shared" si="54"/>
        <v>0</v>
      </c>
      <c r="AJ132" s="68" t="str">
        <f t="shared" si="55"/>
        <v/>
      </c>
      <c r="AK132">
        <f t="shared" si="56"/>
        <v>3</v>
      </c>
      <c r="AL132" s="122">
        <f>SUM($AD$6:AD132)</f>
        <v>0</v>
      </c>
      <c r="AM132" s="122">
        <f t="shared" ca="1" si="71"/>
        <v>0</v>
      </c>
      <c r="AN132" s="126">
        <f t="shared" si="79"/>
        <v>0</v>
      </c>
      <c r="AO132" s="126">
        <f t="shared" si="80"/>
        <v>0</v>
      </c>
      <c r="AP132" s="126">
        <f t="shared" si="81"/>
        <v>0</v>
      </c>
      <c r="AQ132" s="125">
        <f t="shared" si="72"/>
        <v>30</v>
      </c>
      <c r="AR132" s="125">
        <f t="shared" ca="1" si="73"/>
        <v>30</v>
      </c>
      <c r="AS132" s="135">
        <f t="shared" si="74"/>
        <v>0</v>
      </c>
      <c r="AT132" s="125">
        <f t="shared" si="75"/>
        <v>0</v>
      </c>
      <c r="AU132" t="b">
        <f>OR((F132&gt;0),(NOT(ISBLANK(H132))),SUM(H132:H$373),SUM(G132:G$373))</f>
        <v>0</v>
      </c>
      <c r="AV132" t="b">
        <f t="shared" ca="1" si="57"/>
        <v>0</v>
      </c>
      <c r="AX132" s="228">
        <f>SUM(AW$5:AW132)</f>
        <v>-2.9166666666666665</v>
      </c>
    </row>
    <row r="133" spans="1:50">
      <c r="A133" s="308">
        <f t="shared" si="76"/>
        <v>42496</v>
      </c>
      <c r="B133" s="309">
        <f t="shared" si="77"/>
        <v>42496</v>
      </c>
      <c r="C133" s="310">
        <f t="shared" si="84"/>
        <v>19</v>
      </c>
      <c r="D133" s="311">
        <f t="shared" si="85"/>
        <v>42490</v>
      </c>
      <c r="E133" s="321" t="str">
        <f t="shared" si="58"/>
        <v/>
      </c>
      <c r="F133" s="5"/>
      <c r="G133" s="6" t="str">
        <f t="shared" si="59"/>
        <v/>
      </c>
      <c r="H133" s="7"/>
      <c r="I133" s="7">
        <f t="shared" si="60"/>
        <v>0</v>
      </c>
      <c r="J133" s="113">
        <f t="shared" ref="J133:J196" si="87">IF(I133&lt;H133,I133+1,I133)</f>
        <v>0</v>
      </c>
      <c r="K133" s="7"/>
      <c r="L133" s="7">
        <f t="shared" si="61"/>
        <v>0</v>
      </c>
      <c r="M133" s="113">
        <f t="shared" si="62"/>
        <v>0</v>
      </c>
      <c r="N133" s="113"/>
      <c r="O133" s="113">
        <f t="shared" ref="O133:O196" si="88">IF(N133&gt;0,N133+IF((J133-H133+M133-K133)&lt;Y133,Y133-(J133-H133+M133-K133),TIME(0,10,0))+IF((K133-J133+N133-M133)&gt;xNoWorkTime,0,xNoWorkTime-(K133-J133+N133-M133)),0)</f>
        <v>0</v>
      </c>
      <c r="P133" s="113"/>
      <c r="Q133" s="113">
        <f t="shared" si="63"/>
        <v>0</v>
      </c>
      <c r="R133" s="113">
        <f t="shared" si="64"/>
        <v>0</v>
      </c>
      <c r="S133" s="113">
        <f t="shared" si="82"/>
        <v>0</v>
      </c>
      <c r="T133" s="113">
        <f t="shared" si="65"/>
        <v>0</v>
      </c>
      <c r="U133" s="113">
        <f t="shared" si="83"/>
        <v>0</v>
      </c>
      <c r="V133" s="146">
        <f t="shared" si="66"/>
        <v>0</v>
      </c>
      <c r="W133" s="66"/>
      <c r="X133" s="115">
        <f t="shared" ref="X133:X196" si="89">xNoWorkTime</f>
        <v>3.125E-2</v>
      </c>
      <c r="Y133" s="110">
        <f t="shared" si="67"/>
        <v>0</v>
      </c>
      <c r="Z133" s="111">
        <f t="shared" si="86"/>
        <v>0.29166666666666669</v>
      </c>
      <c r="AA133" s="112">
        <f t="shared" si="68"/>
        <v>0</v>
      </c>
      <c r="AB133" s="67" t="str">
        <f t="shared" si="69"/>
        <v/>
      </c>
      <c r="AC133" s="193">
        <f t="shared" ref="AC133:AC196" si="90">xOverTime</f>
        <v>0</v>
      </c>
      <c r="AD133" s="144" t="str">
        <f t="shared" ref="AD133:AD196" si="91">IF((R133-U133)&gt;XWorkTimeMax,(R133-U133-XWorkTimeMax),"")</f>
        <v/>
      </c>
      <c r="AE133" s="228">
        <f t="shared" si="78"/>
        <v>0</v>
      </c>
      <c r="AF133" s="110"/>
      <c r="AG133" s="110" t="str">
        <f t="shared" si="70"/>
        <v/>
      </c>
      <c r="AH133" s="68">
        <f t="shared" ref="AH133:AH196" si="92">IF(ISNUMBER(V133 ), IF( V133 &gt;= Y133, Y133, V133 ),"")</f>
        <v>0</v>
      </c>
      <c r="AI133" s="68">
        <f t="shared" ref="AI133:AI196" si="93">IF( ISNUMBER( V133 ), IF( V133 &gt;= Y133, V133 - Y133, "" ), "" )</f>
        <v>0</v>
      </c>
      <c r="AJ133" s="68" t="str">
        <f t="shared" ref="AJ133:AJ196" si="94">IF( AND(ISNUMBER( V133 ),ISNUMBER( Y133 )), IF( V133 &gt;= Y133, "", Y133 - V133 ), "" )</f>
        <v/>
      </c>
      <c r="AK133">
        <f t="shared" ref="AK133:AK196" si="95">IF(A133="",0,IF(ISERROR(VLOOKUP(A133,db_Feiertag,2,FALSE)),WEEKDAY(A133,2),Feiertag))</f>
        <v>4</v>
      </c>
      <c r="AL133" s="122">
        <f>SUM($AD$6:AD133)</f>
        <v>0</v>
      </c>
      <c r="AM133" s="122">
        <f t="shared" ca="1" si="71"/>
        <v>0</v>
      </c>
      <c r="AN133" s="126">
        <f t="shared" si="79"/>
        <v>0</v>
      </c>
      <c r="AO133" s="126">
        <f t="shared" si="80"/>
        <v>0</v>
      </c>
      <c r="AP133" s="126">
        <f t="shared" si="81"/>
        <v>0</v>
      </c>
      <c r="AQ133" s="125">
        <f t="shared" si="72"/>
        <v>30</v>
      </c>
      <c r="AR133" s="125">
        <f t="shared" ca="1" si="73"/>
        <v>30</v>
      </c>
      <c r="AS133" s="135">
        <f t="shared" si="74"/>
        <v>0</v>
      </c>
      <c r="AT133" s="125">
        <f t="shared" si="75"/>
        <v>0</v>
      </c>
      <c r="AU133" t="b">
        <f>OR((F133&gt;0),(NOT(ISBLANK(H133))),SUM(H133:H$373),SUM(G133:G$373))</f>
        <v>0</v>
      </c>
      <c r="AV133" t="b">
        <f t="shared" ref="AV133:AV196" ca="1" si="96">INDIRECT(ADDRESS(ROW(),COLUMN(xDay)))&gt;5</f>
        <v>0</v>
      </c>
      <c r="AX133" s="228">
        <f>SUM(AW$5:AW133)</f>
        <v>-2.9166666666666665</v>
      </c>
    </row>
    <row r="134" spans="1:50">
      <c r="A134" s="308">
        <f t="shared" si="76"/>
        <v>42497</v>
      </c>
      <c r="B134" s="309">
        <f t="shared" si="77"/>
        <v>42497</v>
      </c>
      <c r="C134" s="310">
        <f t="shared" si="84"/>
        <v>19</v>
      </c>
      <c r="D134" s="311">
        <f t="shared" si="85"/>
        <v>42490</v>
      </c>
      <c r="E134" s="321" t="str">
        <f t="shared" ref="E134:E197" si="97">IF((R134-U134)&gt;XWorkTimeMax,$Z$4,IF(AT134=Feiertag,VLOOKUP(B134,db_Feiertag,2,FALSE),""))</f>
        <v/>
      </c>
      <c r="F134" s="5"/>
      <c r="G134" s="6" t="str">
        <f t="shared" ref="G134:G197" si="98">IF(ISBLANK(F134),IF(ISBLANK(H134),"",0),CODE(UPPER(F134)))</f>
        <v/>
      </c>
      <c r="H134" s="7"/>
      <c r="I134" s="7">
        <f t="shared" ref="I134:I197" si="99">IF(H134&gt;0,H134+Y134+X134+AC134,0)</f>
        <v>0</v>
      </c>
      <c r="J134" s="113">
        <f t="shared" si="87"/>
        <v>0</v>
      </c>
      <c r="K134" s="7"/>
      <c r="L134" s="7">
        <f t="shared" ref="L134:L197" si="100">IF(K134&gt;0,K134+IF((J134-H134)&lt;Y134,Y134-(J134-H134),TIME(0,10,0))+IF((K134-J134)&gt;xNoWorkTime,0,xNoWorkTime-(K134-J134)),0)</f>
        <v>0</v>
      </c>
      <c r="M134" s="113">
        <f t="shared" ref="M134:M197" si="101">IF(L134&lt;K134,L134+1,L134)</f>
        <v>0</v>
      </c>
      <c r="N134" s="113"/>
      <c r="O134" s="113">
        <f t="shared" si="88"/>
        <v>0</v>
      </c>
      <c r="P134" s="113"/>
      <c r="Q134" s="113">
        <f t="shared" ref="Q134:Q197" si="102">IF(O134&lt;N134,O134+1,O134)</f>
        <v>0</v>
      </c>
      <c r="R134" s="113">
        <f t="shared" ref="R134:R197" si="103">J134-H134+M134-K134+Q134-N134</f>
        <v>0</v>
      </c>
      <c r="S134" s="113">
        <f t="shared" si="82"/>
        <v>0</v>
      </c>
      <c r="T134" s="113">
        <f t="shared" ref="T134:T197" si="104">IF(R134&gt;B_Pause1Nach,B_Pause1Dauer,0)+IF(R134&gt;B_Pause2Nach,B_Pause2Dauer,0)</f>
        <v>0</v>
      </c>
      <c r="U134" s="113">
        <f t="shared" si="83"/>
        <v>0</v>
      </c>
      <c r="V134" s="146">
        <f t="shared" ref="V134:V197" si="105">IF(F134="S",Z134,(IF((R134-U134)&gt;XWorkTimeMax,XWorkTimeMax,IF((R134-U134)&gt;0,R134-U134,0))))</f>
        <v>0</v>
      </c>
      <c r="W134" s="66"/>
      <c r="X134" s="115">
        <f t="shared" si="89"/>
        <v>3.125E-2</v>
      </c>
      <c r="Y134" s="110">
        <f t="shared" ref="Y134:Y197" si="106">IF(AND((AK134&lt;Feiertag),(G134&lt;&gt;85)),IF(OR(F134="B",F134="G",F134="S",H134&gt;0),H134-H134+Z134,0),0)</f>
        <v>0</v>
      </c>
      <c r="Z134" s="111">
        <f t="shared" si="86"/>
        <v>0.29166666666666669</v>
      </c>
      <c r="AA134" s="112">
        <f t="shared" ref="AA134:AA197" si="107">V134-Y134</f>
        <v>0</v>
      </c>
      <c r="AB134" s="67" t="str">
        <f t="shared" ref="AB134:AB197" si="108">IF((V134-Y134)&lt;0,"*","")</f>
        <v/>
      </c>
      <c r="AC134" s="193">
        <f t="shared" si="90"/>
        <v>0</v>
      </c>
      <c r="AD134" s="144" t="str">
        <f t="shared" si="91"/>
        <v/>
      </c>
      <c r="AE134" s="228">
        <f t="shared" si="78"/>
        <v>0</v>
      </c>
      <c r="AF134" s="110"/>
      <c r="AG134" s="110" t="str">
        <f t="shared" ref="AG134:AG197" si="109">IF(AND(AF134&lt;&gt;"",AF134&lt;=V134),V134-AF134,"")</f>
        <v/>
      </c>
      <c r="AH134" s="68">
        <f t="shared" si="92"/>
        <v>0</v>
      </c>
      <c r="AI134" s="68">
        <f t="shared" si="93"/>
        <v>0</v>
      </c>
      <c r="AJ134" s="68" t="str">
        <f t="shared" si="94"/>
        <v/>
      </c>
      <c r="AK134">
        <f t="shared" si="95"/>
        <v>5</v>
      </c>
      <c r="AL134" s="122">
        <f>SUM($AD$6:AD134)</f>
        <v>0</v>
      </c>
      <c r="AM134" s="122">
        <f t="shared" ref="AM134:AM197" ca="1" si="110">IF(D134=D133,AM133,OFFSET(AM134,-1,COLUMN(db_jSaldoGes)-COLUMN()))</f>
        <v>0</v>
      </c>
      <c r="AN134" s="126">
        <f t="shared" si="79"/>
        <v>0</v>
      </c>
      <c r="AO134" s="126">
        <f t="shared" si="80"/>
        <v>0</v>
      </c>
      <c r="AP134" s="126">
        <f t="shared" si="81"/>
        <v>0</v>
      </c>
      <c r="AQ134" s="125">
        <f t="shared" ref="AQ134:AQ197" si="111">IF(A134="","",AQ133-IF(F134=Urlaub,1,0)+IF(AND(MONTH(A134)=1,DAY(A134)=1),B_UrlaubNeu,0))</f>
        <v>30</v>
      </c>
      <c r="AR134" s="125">
        <f t="shared" ref="AR134:AR197" ca="1" si="112">IF(A134="","",IF(D134=D133,AR133,OFFSET(AR134,-1,COLUMN(db_jUrlRest)-COLUMN()))+IF(AND(MONTH(A134)=1,DAY(A134)=1),B_UrlaubNeu,0))</f>
        <v>30</v>
      </c>
      <c r="AS134" s="135">
        <f t="shared" ref="AS134:AS197" si="113">(IF(ISNUMBER(V134),V134,0)+IF(ISNUMBER(AD134),AD134,0))*24</f>
        <v>0</v>
      </c>
      <c r="AT134" s="125">
        <f t="shared" ref="AT134:AT197" si="114">IF(ISNUMBER(AD134),K_ArbeitOverMax,IF(AND(ISNUMBER(AA134),AA134&gt;0),K_ArbeitOverTime,IF(AND(ISNUMBER(V134),V134&gt;0),K_ArbeitNormal,IF(F134=Krank,K_Krank,IF(F134=Urlaub,K_Urlaub,IF(AK134=Feiertag,K_Feiertag,IF(OR(AK134=6,AK134=7),K_Wochenende,0)))))))+IF(F134=Gleittag,K_Gleittag,0)</f>
        <v>0</v>
      </c>
      <c r="AU134" t="b">
        <f>OR((F134&gt;0),(NOT(ISBLANK(H134))),SUM(H134:H$373),SUM(G134:G$373))</f>
        <v>0</v>
      </c>
      <c r="AV134" t="b">
        <f t="shared" ca="1" si="96"/>
        <v>0</v>
      </c>
      <c r="AX134" s="228">
        <f>SUM(AW$5:AW134)</f>
        <v>-2.9166666666666665</v>
      </c>
    </row>
    <row r="135" spans="1:50">
      <c r="A135" s="308">
        <f t="shared" ref="A135:A198" si="115">IF(A134="","",IF((A134+1)&gt;=DATE(YEAR(xJahr)+1,MONTH(xJahr),DAY(xJahr)),"",A134+1))</f>
        <v>42498</v>
      </c>
      <c r="B135" s="309">
        <f t="shared" ref="B135:B198" si="116">IF(A135="","",A135)</f>
        <v>42498</v>
      </c>
      <c r="C135" s="310">
        <f t="shared" si="84"/>
        <v>19</v>
      </c>
      <c r="D135" s="311">
        <f t="shared" si="85"/>
        <v>42490</v>
      </c>
      <c r="E135" s="321" t="str">
        <f t="shared" si="97"/>
        <v/>
      </c>
      <c r="F135" s="5"/>
      <c r="G135" s="6" t="str">
        <f t="shared" si="98"/>
        <v/>
      </c>
      <c r="H135" s="7"/>
      <c r="I135" s="7">
        <f t="shared" si="99"/>
        <v>0</v>
      </c>
      <c r="J135" s="113">
        <f t="shared" si="87"/>
        <v>0</v>
      </c>
      <c r="K135" s="7"/>
      <c r="L135" s="7">
        <f t="shared" si="100"/>
        <v>0</v>
      </c>
      <c r="M135" s="113">
        <f t="shared" si="101"/>
        <v>0</v>
      </c>
      <c r="N135" s="113"/>
      <c r="O135" s="113">
        <f t="shared" si="88"/>
        <v>0</v>
      </c>
      <c r="P135" s="113"/>
      <c r="Q135" s="113">
        <f t="shared" si="102"/>
        <v>0</v>
      </c>
      <c r="R135" s="113">
        <f t="shared" si="103"/>
        <v>0</v>
      </c>
      <c r="S135" s="113">
        <f t="shared" si="82"/>
        <v>0</v>
      </c>
      <c r="T135" s="113">
        <f t="shared" si="104"/>
        <v>0</v>
      </c>
      <c r="U135" s="113">
        <f t="shared" si="83"/>
        <v>0</v>
      </c>
      <c r="V135" s="146">
        <f t="shared" si="105"/>
        <v>0</v>
      </c>
      <c r="W135" s="66"/>
      <c r="X135" s="115">
        <f t="shared" si="89"/>
        <v>3.125E-2</v>
      </c>
      <c r="Y135" s="110">
        <f t="shared" si="106"/>
        <v>0</v>
      </c>
      <c r="Z135" s="111">
        <f t="shared" si="86"/>
        <v>0</v>
      </c>
      <c r="AA135" s="112">
        <f t="shared" si="107"/>
        <v>0</v>
      </c>
      <c r="AB135" s="67" t="str">
        <f t="shared" si="108"/>
        <v/>
      </c>
      <c r="AC135" s="193">
        <f t="shared" si="90"/>
        <v>0</v>
      </c>
      <c r="AD135" s="144" t="str">
        <f t="shared" si="91"/>
        <v/>
      </c>
      <c r="AE135" s="228">
        <f t="shared" ref="AE135:AE198" si="117">IF(AU135,(AE134+SUM(AA135)-AF135),)</f>
        <v>0</v>
      </c>
      <c r="AF135" s="110"/>
      <c r="AG135" s="110" t="str">
        <f t="shared" si="109"/>
        <v/>
      </c>
      <c r="AH135" s="68">
        <f t="shared" si="92"/>
        <v>0</v>
      </c>
      <c r="AI135" s="68">
        <f t="shared" si="93"/>
        <v>0</v>
      </c>
      <c r="AJ135" s="68" t="str">
        <f t="shared" si="94"/>
        <v/>
      </c>
      <c r="AK135">
        <f t="shared" si="95"/>
        <v>6</v>
      </c>
      <c r="AL135" s="122">
        <f>SUM($AD$6:AD135)</f>
        <v>0</v>
      </c>
      <c r="AM135" s="122">
        <f t="shared" ca="1" si="110"/>
        <v>0</v>
      </c>
      <c r="AN135" s="126">
        <f t="shared" ref="AN135:AN198" si="118">IF(OR($G135=-1,$G135=82),-1,IF(OR($G135=0,$G135=83),1,0))</f>
        <v>0</v>
      </c>
      <c r="AO135" s="126">
        <f t="shared" ref="AO135:AO198" si="119">IF($F135=Krank,1,IF($F135="J",-1,0))</f>
        <v>0</v>
      </c>
      <c r="AP135" s="126">
        <f t="shared" ref="AP135:AP198" si="120">IF($F135=Urlaub,1,IF($F135="T",-1,0))</f>
        <v>0</v>
      </c>
      <c r="AQ135" s="125">
        <f t="shared" si="111"/>
        <v>30</v>
      </c>
      <c r="AR135" s="125">
        <f t="shared" ca="1" si="112"/>
        <v>30</v>
      </c>
      <c r="AS135" s="135">
        <f t="shared" si="113"/>
        <v>0</v>
      </c>
      <c r="AT135" s="125">
        <f t="shared" si="114"/>
        <v>7</v>
      </c>
      <c r="AU135" t="b">
        <f>OR((F135&gt;0),(NOT(ISBLANK(H135))),SUM(H135:H$373),SUM(G135:G$373))</f>
        <v>0</v>
      </c>
      <c r="AV135" t="b">
        <f t="shared" ca="1" si="96"/>
        <v>1</v>
      </c>
      <c r="AX135" s="228">
        <f>SUM(AW$5:AW135)</f>
        <v>-2.9166666666666665</v>
      </c>
    </row>
    <row r="136" spans="1:50">
      <c r="A136" s="308">
        <f t="shared" si="115"/>
        <v>42499</v>
      </c>
      <c r="B136" s="309">
        <f t="shared" si="116"/>
        <v>42499</v>
      </c>
      <c r="C136" s="310">
        <f t="shared" si="84"/>
        <v>19</v>
      </c>
      <c r="D136" s="311">
        <f t="shared" si="85"/>
        <v>42490</v>
      </c>
      <c r="E136" s="321" t="str">
        <f t="shared" si="97"/>
        <v/>
      </c>
      <c r="F136" s="5"/>
      <c r="G136" s="6" t="str">
        <f t="shared" si="98"/>
        <v/>
      </c>
      <c r="H136" s="7"/>
      <c r="I136" s="7">
        <f t="shared" si="99"/>
        <v>0</v>
      </c>
      <c r="J136" s="113">
        <f t="shared" si="87"/>
        <v>0</v>
      </c>
      <c r="K136" s="7"/>
      <c r="L136" s="7">
        <f t="shared" si="100"/>
        <v>0</v>
      </c>
      <c r="M136" s="113">
        <f t="shared" si="101"/>
        <v>0</v>
      </c>
      <c r="N136" s="113"/>
      <c r="O136" s="113">
        <f t="shared" si="88"/>
        <v>0</v>
      </c>
      <c r="P136" s="113"/>
      <c r="Q136" s="113">
        <f t="shared" si="102"/>
        <v>0</v>
      </c>
      <c r="R136" s="113">
        <f t="shared" si="103"/>
        <v>0</v>
      </c>
      <c r="S136" s="113">
        <f t="shared" ref="S136:S199" si="121">IF(K136&gt;0,K136-I136,0)+IF(N136&gt;0,N136-L136)</f>
        <v>0</v>
      </c>
      <c r="T136" s="113">
        <f t="shared" si="104"/>
        <v>0</v>
      </c>
      <c r="U136" s="113">
        <f t="shared" ref="U136:U199" si="122">IF(T136&gt;S136,T136-S136,0)</f>
        <v>0</v>
      </c>
      <c r="V136" s="146">
        <f t="shared" si="105"/>
        <v>0</v>
      </c>
      <c r="W136" s="66"/>
      <c r="X136" s="115">
        <f t="shared" si="89"/>
        <v>3.125E-2</v>
      </c>
      <c r="Y136" s="110">
        <f t="shared" si="106"/>
        <v>0</v>
      </c>
      <c r="Z136" s="111">
        <f t="shared" si="86"/>
        <v>0</v>
      </c>
      <c r="AA136" s="112">
        <f t="shared" si="107"/>
        <v>0</v>
      </c>
      <c r="AB136" s="67" t="str">
        <f t="shared" si="108"/>
        <v/>
      </c>
      <c r="AC136" s="193">
        <f t="shared" si="90"/>
        <v>0</v>
      </c>
      <c r="AD136" s="144" t="str">
        <f t="shared" si="91"/>
        <v/>
      </c>
      <c r="AE136" s="228">
        <f t="shared" si="117"/>
        <v>0</v>
      </c>
      <c r="AF136" s="110"/>
      <c r="AG136" s="110" t="str">
        <f t="shared" si="109"/>
        <v/>
      </c>
      <c r="AH136" s="68">
        <f t="shared" si="92"/>
        <v>0</v>
      </c>
      <c r="AI136" s="68">
        <f t="shared" si="93"/>
        <v>0</v>
      </c>
      <c r="AJ136" s="68" t="str">
        <f t="shared" si="94"/>
        <v/>
      </c>
      <c r="AK136">
        <f t="shared" si="95"/>
        <v>7</v>
      </c>
      <c r="AL136" s="122">
        <f>SUM($AD$6:AD136)</f>
        <v>0</v>
      </c>
      <c r="AM136" s="122">
        <f t="shared" ca="1" si="110"/>
        <v>0</v>
      </c>
      <c r="AN136" s="126">
        <f t="shared" si="118"/>
        <v>0</v>
      </c>
      <c r="AO136" s="126">
        <f t="shared" si="119"/>
        <v>0</v>
      </c>
      <c r="AP136" s="126">
        <f t="shared" si="120"/>
        <v>0</v>
      </c>
      <c r="AQ136" s="125">
        <f t="shared" si="111"/>
        <v>30</v>
      </c>
      <c r="AR136" s="125">
        <f t="shared" ca="1" si="112"/>
        <v>30</v>
      </c>
      <c r="AS136" s="135">
        <f t="shared" si="113"/>
        <v>0</v>
      </c>
      <c r="AT136" s="125">
        <f t="shared" si="114"/>
        <v>7</v>
      </c>
      <c r="AU136" t="b">
        <f>OR((F136&gt;0),(NOT(ISBLANK(H136))),SUM(H136:H$373),SUM(G136:G$373))</f>
        <v>0</v>
      </c>
      <c r="AV136" t="b">
        <f t="shared" ca="1" si="96"/>
        <v>1</v>
      </c>
      <c r="AX136" s="228">
        <f>SUM(AW$5:AW136)</f>
        <v>-2.9166666666666665</v>
      </c>
    </row>
    <row r="137" spans="1:50">
      <c r="A137" s="308">
        <f t="shared" si="115"/>
        <v>42500</v>
      </c>
      <c r="B137" s="309">
        <f t="shared" si="116"/>
        <v>42500</v>
      </c>
      <c r="C137" s="310">
        <f t="shared" si="84"/>
        <v>20</v>
      </c>
      <c r="D137" s="311">
        <f t="shared" si="85"/>
        <v>42490</v>
      </c>
      <c r="E137" s="321" t="str">
        <f t="shared" si="97"/>
        <v/>
      </c>
      <c r="F137" s="5"/>
      <c r="G137" s="6" t="str">
        <f t="shared" si="98"/>
        <v/>
      </c>
      <c r="H137" s="7"/>
      <c r="I137" s="7">
        <f t="shared" si="99"/>
        <v>0</v>
      </c>
      <c r="J137" s="113">
        <f t="shared" si="87"/>
        <v>0</v>
      </c>
      <c r="K137" s="7"/>
      <c r="L137" s="7">
        <f t="shared" si="100"/>
        <v>0</v>
      </c>
      <c r="M137" s="113">
        <f t="shared" si="101"/>
        <v>0</v>
      </c>
      <c r="N137" s="113"/>
      <c r="O137" s="113">
        <f t="shared" si="88"/>
        <v>0</v>
      </c>
      <c r="P137" s="113"/>
      <c r="Q137" s="113">
        <f t="shared" si="102"/>
        <v>0</v>
      </c>
      <c r="R137" s="113">
        <f t="shared" si="103"/>
        <v>0</v>
      </c>
      <c r="S137" s="113">
        <f t="shared" si="121"/>
        <v>0</v>
      </c>
      <c r="T137" s="113">
        <f t="shared" si="104"/>
        <v>0</v>
      </c>
      <c r="U137" s="113">
        <f t="shared" si="122"/>
        <v>0</v>
      </c>
      <c r="V137" s="146">
        <f t="shared" si="105"/>
        <v>0</v>
      </c>
      <c r="W137" s="66"/>
      <c r="X137" s="115">
        <f t="shared" si="89"/>
        <v>3.125E-2</v>
      </c>
      <c r="Y137" s="110">
        <f t="shared" si="106"/>
        <v>0</v>
      </c>
      <c r="Z137" s="111">
        <f t="shared" si="86"/>
        <v>0.29166666666666669</v>
      </c>
      <c r="AA137" s="112">
        <f t="shared" si="107"/>
        <v>0</v>
      </c>
      <c r="AB137" s="67" t="str">
        <f t="shared" si="108"/>
        <v/>
      </c>
      <c r="AC137" s="193">
        <f t="shared" si="90"/>
        <v>0</v>
      </c>
      <c r="AD137" s="144" t="str">
        <f t="shared" si="91"/>
        <v/>
      </c>
      <c r="AE137" s="228">
        <f t="shared" si="117"/>
        <v>0</v>
      </c>
      <c r="AF137" s="110"/>
      <c r="AG137" s="110" t="str">
        <f t="shared" si="109"/>
        <v/>
      </c>
      <c r="AH137" s="68">
        <f t="shared" si="92"/>
        <v>0</v>
      </c>
      <c r="AI137" s="68">
        <f t="shared" si="93"/>
        <v>0</v>
      </c>
      <c r="AJ137" s="68" t="str">
        <f t="shared" si="94"/>
        <v/>
      </c>
      <c r="AK137">
        <f t="shared" si="95"/>
        <v>1</v>
      </c>
      <c r="AL137" s="122">
        <f>SUM($AD$6:AD137)</f>
        <v>0</v>
      </c>
      <c r="AM137" s="122">
        <f t="shared" ca="1" si="110"/>
        <v>0</v>
      </c>
      <c r="AN137" s="126">
        <f t="shared" si="118"/>
        <v>0</v>
      </c>
      <c r="AO137" s="126">
        <f t="shared" si="119"/>
        <v>0</v>
      </c>
      <c r="AP137" s="126">
        <f t="shared" si="120"/>
        <v>0</v>
      </c>
      <c r="AQ137" s="125">
        <f t="shared" si="111"/>
        <v>30</v>
      </c>
      <c r="AR137" s="125">
        <f t="shared" ca="1" si="112"/>
        <v>30</v>
      </c>
      <c r="AS137" s="135">
        <f t="shared" si="113"/>
        <v>0</v>
      </c>
      <c r="AT137" s="125">
        <f t="shared" si="114"/>
        <v>0</v>
      </c>
      <c r="AU137" t="b">
        <f>OR((F137&gt;0),(NOT(ISBLANK(H137))),SUM(H137:H$373),SUM(G137:G$373))</f>
        <v>0</v>
      </c>
      <c r="AV137" t="b">
        <f t="shared" ca="1" si="96"/>
        <v>0</v>
      </c>
      <c r="AX137" s="228">
        <f>SUM(AW$5:AW137)</f>
        <v>-2.9166666666666665</v>
      </c>
    </row>
    <row r="138" spans="1:50">
      <c r="A138" s="308">
        <f t="shared" si="115"/>
        <v>42501</v>
      </c>
      <c r="B138" s="309">
        <f t="shared" si="116"/>
        <v>42501</v>
      </c>
      <c r="C138" s="310">
        <f t="shared" si="84"/>
        <v>20</v>
      </c>
      <c r="D138" s="311">
        <f t="shared" si="85"/>
        <v>42490</v>
      </c>
      <c r="E138" s="321" t="str">
        <f t="shared" si="97"/>
        <v/>
      </c>
      <c r="F138" s="5"/>
      <c r="G138" s="6" t="str">
        <f t="shared" si="98"/>
        <v/>
      </c>
      <c r="H138" s="7"/>
      <c r="I138" s="7">
        <f t="shared" si="99"/>
        <v>0</v>
      </c>
      <c r="J138" s="113">
        <f t="shared" si="87"/>
        <v>0</v>
      </c>
      <c r="K138" s="7"/>
      <c r="L138" s="7">
        <f t="shared" si="100"/>
        <v>0</v>
      </c>
      <c r="M138" s="113">
        <f t="shared" si="101"/>
        <v>0</v>
      </c>
      <c r="N138" s="113"/>
      <c r="O138" s="113">
        <f t="shared" si="88"/>
        <v>0</v>
      </c>
      <c r="P138" s="113"/>
      <c r="Q138" s="113">
        <f t="shared" si="102"/>
        <v>0</v>
      </c>
      <c r="R138" s="113">
        <f t="shared" si="103"/>
        <v>0</v>
      </c>
      <c r="S138" s="113">
        <f t="shared" si="121"/>
        <v>0</v>
      </c>
      <c r="T138" s="113">
        <f t="shared" si="104"/>
        <v>0</v>
      </c>
      <c r="U138" s="113">
        <f t="shared" si="122"/>
        <v>0</v>
      </c>
      <c r="V138" s="146">
        <f t="shared" si="105"/>
        <v>0</v>
      </c>
      <c r="W138" s="66"/>
      <c r="X138" s="115">
        <f t="shared" si="89"/>
        <v>3.125E-2</v>
      </c>
      <c r="Y138" s="110">
        <f t="shared" si="106"/>
        <v>0</v>
      </c>
      <c r="Z138" s="111">
        <f t="shared" si="86"/>
        <v>0.29166666666666669</v>
      </c>
      <c r="AA138" s="112">
        <f t="shared" si="107"/>
        <v>0</v>
      </c>
      <c r="AB138" s="67" t="str">
        <f t="shared" si="108"/>
        <v/>
      </c>
      <c r="AC138" s="193">
        <f t="shared" si="90"/>
        <v>0</v>
      </c>
      <c r="AD138" s="144" t="str">
        <f t="shared" si="91"/>
        <v/>
      </c>
      <c r="AE138" s="228">
        <f t="shared" si="117"/>
        <v>0</v>
      </c>
      <c r="AF138" s="110"/>
      <c r="AG138" s="110" t="str">
        <f t="shared" si="109"/>
        <v/>
      </c>
      <c r="AH138" s="68">
        <f t="shared" si="92"/>
        <v>0</v>
      </c>
      <c r="AI138" s="68">
        <f t="shared" si="93"/>
        <v>0</v>
      </c>
      <c r="AJ138" s="68" t="str">
        <f t="shared" si="94"/>
        <v/>
      </c>
      <c r="AK138">
        <f t="shared" si="95"/>
        <v>2</v>
      </c>
      <c r="AL138" s="122">
        <f>SUM($AD$6:AD138)</f>
        <v>0</v>
      </c>
      <c r="AM138" s="122">
        <f t="shared" ca="1" si="110"/>
        <v>0</v>
      </c>
      <c r="AN138" s="126">
        <f t="shared" si="118"/>
        <v>0</v>
      </c>
      <c r="AO138" s="126">
        <f t="shared" si="119"/>
        <v>0</v>
      </c>
      <c r="AP138" s="126">
        <f t="shared" si="120"/>
        <v>0</v>
      </c>
      <c r="AQ138" s="125">
        <f t="shared" si="111"/>
        <v>30</v>
      </c>
      <c r="AR138" s="125">
        <f t="shared" ca="1" si="112"/>
        <v>30</v>
      </c>
      <c r="AS138" s="135">
        <f t="shared" si="113"/>
        <v>0</v>
      </c>
      <c r="AT138" s="125">
        <f t="shared" si="114"/>
        <v>0</v>
      </c>
      <c r="AU138" t="b">
        <f>OR((F138&gt;0),(NOT(ISBLANK(H138))),SUM(H138:H$373),SUM(G138:G$373))</f>
        <v>0</v>
      </c>
      <c r="AV138" t="b">
        <f t="shared" ca="1" si="96"/>
        <v>0</v>
      </c>
      <c r="AX138" s="228">
        <f>SUM(AW$5:AW138)</f>
        <v>-2.9166666666666665</v>
      </c>
    </row>
    <row r="139" spans="1:50">
      <c r="A139" s="308">
        <f t="shared" si="115"/>
        <v>42502</v>
      </c>
      <c r="B139" s="309">
        <f t="shared" si="116"/>
        <v>42502</v>
      </c>
      <c r="C139" s="310">
        <f t="shared" si="84"/>
        <v>20</v>
      </c>
      <c r="D139" s="311">
        <f t="shared" si="85"/>
        <v>42490</v>
      </c>
      <c r="E139" s="321" t="str">
        <f t="shared" si="97"/>
        <v/>
      </c>
      <c r="F139" s="5"/>
      <c r="G139" s="6" t="str">
        <f t="shared" si="98"/>
        <v/>
      </c>
      <c r="H139" s="7"/>
      <c r="I139" s="7">
        <f t="shared" si="99"/>
        <v>0</v>
      </c>
      <c r="J139" s="113">
        <f t="shared" si="87"/>
        <v>0</v>
      </c>
      <c r="K139" s="7"/>
      <c r="L139" s="7">
        <f t="shared" si="100"/>
        <v>0</v>
      </c>
      <c r="M139" s="113">
        <f t="shared" si="101"/>
        <v>0</v>
      </c>
      <c r="N139" s="113"/>
      <c r="O139" s="113">
        <f t="shared" si="88"/>
        <v>0</v>
      </c>
      <c r="P139" s="113"/>
      <c r="Q139" s="113">
        <f t="shared" si="102"/>
        <v>0</v>
      </c>
      <c r="R139" s="113">
        <f t="shared" si="103"/>
        <v>0</v>
      </c>
      <c r="S139" s="113">
        <f t="shared" si="121"/>
        <v>0</v>
      </c>
      <c r="T139" s="113">
        <f t="shared" si="104"/>
        <v>0</v>
      </c>
      <c r="U139" s="113">
        <f t="shared" si="122"/>
        <v>0</v>
      </c>
      <c r="V139" s="146">
        <f t="shared" si="105"/>
        <v>0</v>
      </c>
      <c r="W139" s="66"/>
      <c r="X139" s="115">
        <f t="shared" si="89"/>
        <v>3.125E-2</v>
      </c>
      <c r="Y139" s="110">
        <f t="shared" si="106"/>
        <v>0</v>
      </c>
      <c r="Z139" s="111">
        <f t="shared" si="86"/>
        <v>0.29166666666666669</v>
      </c>
      <c r="AA139" s="112">
        <f t="shared" si="107"/>
        <v>0</v>
      </c>
      <c r="AB139" s="67" t="str">
        <f t="shared" si="108"/>
        <v/>
      </c>
      <c r="AC139" s="193">
        <f t="shared" si="90"/>
        <v>0</v>
      </c>
      <c r="AD139" s="144" t="str">
        <f t="shared" si="91"/>
        <v/>
      </c>
      <c r="AE139" s="228">
        <f t="shared" si="117"/>
        <v>0</v>
      </c>
      <c r="AF139" s="110"/>
      <c r="AG139" s="110" t="str">
        <f t="shared" si="109"/>
        <v/>
      </c>
      <c r="AH139" s="68">
        <f t="shared" si="92"/>
        <v>0</v>
      </c>
      <c r="AI139" s="68">
        <f t="shared" si="93"/>
        <v>0</v>
      </c>
      <c r="AJ139" s="68" t="str">
        <f t="shared" si="94"/>
        <v/>
      </c>
      <c r="AK139">
        <f t="shared" si="95"/>
        <v>3</v>
      </c>
      <c r="AL139" s="122">
        <f>SUM($AD$6:AD139)</f>
        <v>0</v>
      </c>
      <c r="AM139" s="122">
        <f t="shared" ca="1" si="110"/>
        <v>0</v>
      </c>
      <c r="AN139" s="126">
        <f t="shared" si="118"/>
        <v>0</v>
      </c>
      <c r="AO139" s="126">
        <f t="shared" si="119"/>
        <v>0</v>
      </c>
      <c r="AP139" s="126">
        <f t="shared" si="120"/>
        <v>0</v>
      </c>
      <c r="AQ139" s="125">
        <f t="shared" si="111"/>
        <v>30</v>
      </c>
      <c r="AR139" s="125">
        <f t="shared" ca="1" si="112"/>
        <v>30</v>
      </c>
      <c r="AS139" s="135">
        <f t="shared" si="113"/>
        <v>0</v>
      </c>
      <c r="AT139" s="125">
        <f t="shared" si="114"/>
        <v>0</v>
      </c>
      <c r="AU139" t="b">
        <f>OR((F139&gt;0),(NOT(ISBLANK(H139))),SUM(H139:H$373),SUM(G139:G$373))</f>
        <v>0</v>
      </c>
      <c r="AV139" t="b">
        <f t="shared" ca="1" si="96"/>
        <v>0</v>
      </c>
      <c r="AX139" s="228">
        <f>SUM(AW$5:AW139)</f>
        <v>-2.9166666666666665</v>
      </c>
    </row>
    <row r="140" spans="1:50">
      <c r="A140" s="308">
        <f t="shared" si="115"/>
        <v>42503</v>
      </c>
      <c r="B140" s="309">
        <f t="shared" si="116"/>
        <v>42503</v>
      </c>
      <c r="C140" s="310">
        <f t="shared" si="84"/>
        <v>20</v>
      </c>
      <c r="D140" s="311">
        <f t="shared" si="85"/>
        <v>42490</v>
      </c>
      <c r="E140" s="321" t="str">
        <f t="shared" si="97"/>
        <v/>
      </c>
      <c r="F140" s="5"/>
      <c r="G140" s="6" t="str">
        <f t="shared" si="98"/>
        <v/>
      </c>
      <c r="H140" s="7"/>
      <c r="I140" s="7">
        <f t="shared" si="99"/>
        <v>0</v>
      </c>
      <c r="J140" s="113">
        <f t="shared" si="87"/>
        <v>0</v>
      </c>
      <c r="K140" s="7"/>
      <c r="L140" s="7">
        <f t="shared" si="100"/>
        <v>0</v>
      </c>
      <c r="M140" s="113">
        <f t="shared" si="101"/>
        <v>0</v>
      </c>
      <c r="N140" s="113"/>
      <c r="O140" s="113">
        <f t="shared" si="88"/>
        <v>0</v>
      </c>
      <c r="P140" s="113"/>
      <c r="Q140" s="113">
        <f t="shared" si="102"/>
        <v>0</v>
      </c>
      <c r="R140" s="113">
        <f t="shared" si="103"/>
        <v>0</v>
      </c>
      <c r="S140" s="113">
        <f t="shared" si="121"/>
        <v>0</v>
      </c>
      <c r="T140" s="113">
        <f t="shared" si="104"/>
        <v>0</v>
      </c>
      <c r="U140" s="113">
        <f t="shared" si="122"/>
        <v>0</v>
      </c>
      <c r="V140" s="146">
        <f t="shared" si="105"/>
        <v>0</v>
      </c>
      <c r="W140" s="66"/>
      <c r="X140" s="115">
        <f t="shared" si="89"/>
        <v>3.125E-2</v>
      </c>
      <c r="Y140" s="110">
        <f t="shared" si="106"/>
        <v>0</v>
      </c>
      <c r="Z140" s="111">
        <f t="shared" si="86"/>
        <v>0.29166666666666669</v>
      </c>
      <c r="AA140" s="112">
        <f t="shared" si="107"/>
        <v>0</v>
      </c>
      <c r="AB140" s="67" t="str">
        <f t="shared" si="108"/>
        <v/>
      </c>
      <c r="AC140" s="193">
        <f t="shared" si="90"/>
        <v>0</v>
      </c>
      <c r="AD140" s="144" t="str">
        <f t="shared" si="91"/>
        <v/>
      </c>
      <c r="AE140" s="228">
        <f t="shared" si="117"/>
        <v>0</v>
      </c>
      <c r="AF140" s="110"/>
      <c r="AG140" s="110" t="str">
        <f t="shared" si="109"/>
        <v/>
      </c>
      <c r="AH140" s="68">
        <f t="shared" si="92"/>
        <v>0</v>
      </c>
      <c r="AI140" s="68">
        <f t="shared" si="93"/>
        <v>0</v>
      </c>
      <c r="AJ140" s="68" t="str">
        <f t="shared" si="94"/>
        <v/>
      </c>
      <c r="AK140">
        <f t="shared" si="95"/>
        <v>4</v>
      </c>
      <c r="AL140" s="122">
        <f>SUM($AD$6:AD140)</f>
        <v>0</v>
      </c>
      <c r="AM140" s="122">
        <f t="shared" ca="1" si="110"/>
        <v>0</v>
      </c>
      <c r="AN140" s="126">
        <f t="shared" si="118"/>
        <v>0</v>
      </c>
      <c r="AO140" s="126">
        <f t="shared" si="119"/>
        <v>0</v>
      </c>
      <c r="AP140" s="126">
        <f t="shared" si="120"/>
        <v>0</v>
      </c>
      <c r="AQ140" s="125">
        <f t="shared" si="111"/>
        <v>30</v>
      </c>
      <c r="AR140" s="125">
        <f t="shared" ca="1" si="112"/>
        <v>30</v>
      </c>
      <c r="AS140" s="135">
        <f t="shared" si="113"/>
        <v>0</v>
      </c>
      <c r="AT140" s="125">
        <f t="shared" si="114"/>
        <v>0</v>
      </c>
      <c r="AU140" t="b">
        <f>OR((F140&gt;0),(NOT(ISBLANK(H140))),SUM(H140:H$373),SUM(G140:G$373))</f>
        <v>0</v>
      </c>
      <c r="AV140" t="b">
        <f t="shared" ca="1" si="96"/>
        <v>0</v>
      </c>
      <c r="AX140" s="228">
        <f>SUM(AW$5:AW140)</f>
        <v>-2.9166666666666665</v>
      </c>
    </row>
    <row r="141" spans="1:50">
      <c r="A141" s="308">
        <f t="shared" si="115"/>
        <v>42504</v>
      </c>
      <c r="B141" s="309">
        <f t="shared" si="116"/>
        <v>42504</v>
      </c>
      <c r="C141" s="310">
        <f t="shared" si="84"/>
        <v>20</v>
      </c>
      <c r="D141" s="311">
        <f t="shared" si="85"/>
        <v>42490</v>
      </c>
      <c r="E141" s="321" t="str">
        <f t="shared" si="97"/>
        <v/>
      </c>
      <c r="F141" s="5"/>
      <c r="G141" s="6" t="str">
        <f t="shared" si="98"/>
        <v/>
      </c>
      <c r="H141" s="7"/>
      <c r="I141" s="7">
        <f t="shared" si="99"/>
        <v>0</v>
      </c>
      <c r="J141" s="113">
        <f t="shared" si="87"/>
        <v>0</v>
      </c>
      <c r="K141" s="7"/>
      <c r="L141" s="7">
        <f t="shared" si="100"/>
        <v>0</v>
      </c>
      <c r="M141" s="113">
        <f t="shared" si="101"/>
        <v>0</v>
      </c>
      <c r="N141" s="113"/>
      <c r="O141" s="113">
        <f t="shared" si="88"/>
        <v>0</v>
      </c>
      <c r="P141" s="113"/>
      <c r="Q141" s="113">
        <f t="shared" si="102"/>
        <v>0</v>
      </c>
      <c r="R141" s="113">
        <f t="shared" si="103"/>
        <v>0</v>
      </c>
      <c r="S141" s="113">
        <f t="shared" si="121"/>
        <v>0</v>
      </c>
      <c r="T141" s="113">
        <f t="shared" si="104"/>
        <v>0</v>
      </c>
      <c r="U141" s="113">
        <f t="shared" si="122"/>
        <v>0</v>
      </c>
      <c r="V141" s="146">
        <f t="shared" si="105"/>
        <v>0</v>
      </c>
      <c r="W141" s="66"/>
      <c r="X141" s="115">
        <f t="shared" si="89"/>
        <v>3.125E-2</v>
      </c>
      <c r="Y141" s="110">
        <f t="shared" si="106"/>
        <v>0</v>
      </c>
      <c r="Z141" s="111">
        <f t="shared" si="86"/>
        <v>0.29166666666666669</v>
      </c>
      <c r="AA141" s="112">
        <f t="shared" si="107"/>
        <v>0</v>
      </c>
      <c r="AB141" s="67" t="str">
        <f t="shared" si="108"/>
        <v/>
      </c>
      <c r="AC141" s="193">
        <f t="shared" si="90"/>
        <v>0</v>
      </c>
      <c r="AD141" s="144" t="str">
        <f t="shared" si="91"/>
        <v/>
      </c>
      <c r="AE141" s="228">
        <f t="shared" si="117"/>
        <v>0</v>
      </c>
      <c r="AF141" s="110"/>
      <c r="AG141" s="110" t="str">
        <f t="shared" si="109"/>
        <v/>
      </c>
      <c r="AH141" s="68">
        <f t="shared" si="92"/>
        <v>0</v>
      </c>
      <c r="AI141" s="68">
        <f t="shared" si="93"/>
        <v>0</v>
      </c>
      <c r="AJ141" s="68" t="str">
        <f t="shared" si="94"/>
        <v/>
      </c>
      <c r="AK141">
        <f t="shared" si="95"/>
        <v>5</v>
      </c>
      <c r="AL141" s="122">
        <f>SUM($AD$6:AD141)</f>
        <v>0</v>
      </c>
      <c r="AM141" s="122">
        <f t="shared" ca="1" si="110"/>
        <v>0</v>
      </c>
      <c r="AN141" s="126">
        <f t="shared" si="118"/>
        <v>0</v>
      </c>
      <c r="AO141" s="126">
        <f t="shared" si="119"/>
        <v>0</v>
      </c>
      <c r="AP141" s="126">
        <f t="shared" si="120"/>
        <v>0</v>
      </c>
      <c r="AQ141" s="125">
        <f t="shared" si="111"/>
        <v>30</v>
      </c>
      <c r="AR141" s="125">
        <f t="shared" ca="1" si="112"/>
        <v>30</v>
      </c>
      <c r="AS141" s="135">
        <f t="shared" si="113"/>
        <v>0</v>
      </c>
      <c r="AT141" s="125">
        <f t="shared" si="114"/>
        <v>0</v>
      </c>
      <c r="AU141" t="b">
        <f>OR((F141&gt;0),(NOT(ISBLANK(H141))),SUM(H141:H$373),SUM(G141:G$373))</f>
        <v>0</v>
      </c>
      <c r="AV141" t="b">
        <f t="shared" ca="1" si="96"/>
        <v>0</v>
      </c>
      <c r="AX141" s="228">
        <f>SUM(AW$5:AW141)</f>
        <v>-2.9166666666666665</v>
      </c>
    </row>
    <row r="142" spans="1:50">
      <c r="A142" s="308">
        <f t="shared" si="115"/>
        <v>42505</v>
      </c>
      <c r="B142" s="309">
        <f t="shared" si="116"/>
        <v>42505</v>
      </c>
      <c r="C142" s="310">
        <f t="shared" si="84"/>
        <v>20</v>
      </c>
      <c r="D142" s="311">
        <f t="shared" si="85"/>
        <v>42490</v>
      </c>
      <c r="E142" s="321" t="str">
        <f t="shared" si="97"/>
        <v/>
      </c>
      <c r="F142" s="5"/>
      <c r="G142" s="6" t="str">
        <f t="shared" si="98"/>
        <v/>
      </c>
      <c r="H142" s="7"/>
      <c r="I142" s="7">
        <f t="shared" si="99"/>
        <v>0</v>
      </c>
      <c r="J142" s="113">
        <f t="shared" si="87"/>
        <v>0</v>
      </c>
      <c r="K142" s="7"/>
      <c r="L142" s="7">
        <f t="shared" si="100"/>
        <v>0</v>
      </c>
      <c r="M142" s="113">
        <f t="shared" si="101"/>
        <v>0</v>
      </c>
      <c r="N142" s="113"/>
      <c r="O142" s="113">
        <f t="shared" si="88"/>
        <v>0</v>
      </c>
      <c r="P142" s="113"/>
      <c r="Q142" s="113">
        <f t="shared" si="102"/>
        <v>0</v>
      </c>
      <c r="R142" s="113">
        <f t="shared" si="103"/>
        <v>0</v>
      </c>
      <c r="S142" s="113">
        <f t="shared" si="121"/>
        <v>0</v>
      </c>
      <c r="T142" s="113">
        <f t="shared" si="104"/>
        <v>0</v>
      </c>
      <c r="U142" s="113">
        <f t="shared" si="122"/>
        <v>0</v>
      </c>
      <c r="V142" s="146">
        <f t="shared" si="105"/>
        <v>0</v>
      </c>
      <c r="W142" s="66"/>
      <c r="X142" s="115">
        <f t="shared" si="89"/>
        <v>3.125E-2</v>
      </c>
      <c r="Y142" s="110">
        <f t="shared" si="106"/>
        <v>0</v>
      </c>
      <c r="Z142" s="111">
        <f t="shared" si="86"/>
        <v>0</v>
      </c>
      <c r="AA142" s="112">
        <f t="shared" si="107"/>
        <v>0</v>
      </c>
      <c r="AB142" s="67" t="str">
        <f t="shared" si="108"/>
        <v/>
      </c>
      <c r="AC142" s="193">
        <f t="shared" si="90"/>
        <v>0</v>
      </c>
      <c r="AD142" s="144" t="str">
        <f t="shared" si="91"/>
        <v/>
      </c>
      <c r="AE142" s="228">
        <f t="shared" si="117"/>
        <v>0</v>
      </c>
      <c r="AF142" s="110"/>
      <c r="AG142" s="110" t="str">
        <f t="shared" si="109"/>
        <v/>
      </c>
      <c r="AH142" s="68">
        <f t="shared" si="92"/>
        <v>0</v>
      </c>
      <c r="AI142" s="68">
        <f t="shared" si="93"/>
        <v>0</v>
      </c>
      <c r="AJ142" s="68" t="str">
        <f t="shared" si="94"/>
        <v/>
      </c>
      <c r="AK142">
        <f t="shared" si="95"/>
        <v>6</v>
      </c>
      <c r="AL142" s="122">
        <f>SUM($AD$6:AD142)</f>
        <v>0</v>
      </c>
      <c r="AM142" s="122">
        <f t="shared" ca="1" si="110"/>
        <v>0</v>
      </c>
      <c r="AN142" s="126">
        <f t="shared" si="118"/>
        <v>0</v>
      </c>
      <c r="AO142" s="126">
        <f t="shared" si="119"/>
        <v>0</v>
      </c>
      <c r="AP142" s="126">
        <f t="shared" si="120"/>
        <v>0</v>
      </c>
      <c r="AQ142" s="125">
        <f t="shared" si="111"/>
        <v>30</v>
      </c>
      <c r="AR142" s="125">
        <f t="shared" ca="1" si="112"/>
        <v>30</v>
      </c>
      <c r="AS142" s="135">
        <f t="shared" si="113"/>
        <v>0</v>
      </c>
      <c r="AT142" s="125">
        <f t="shared" si="114"/>
        <v>7</v>
      </c>
      <c r="AU142" t="b">
        <f>OR((F142&gt;0),(NOT(ISBLANK(H142))),SUM(H142:H$373),SUM(G142:G$373))</f>
        <v>0</v>
      </c>
      <c r="AV142" t="b">
        <f t="shared" ca="1" si="96"/>
        <v>1</v>
      </c>
      <c r="AX142" s="228">
        <f>SUM(AW$5:AW142)</f>
        <v>-2.9166666666666665</v>
      </c>
    </row>
    <row r="143" spans="1:50">
      <c r="A143" s="308">
        <f t="shared" si="115"/>
        <v>42506</v>
      </c>
      <c r="B143" s="309">
        <f t="shared" si="116"/>
        <v>42506</v>
      </c>
      <c r="C143" s="310">
        <f t="shared" si="84"/>
        <v>20</v>
      </c>
      <c r="D143" s="311">
        <f t="shared" si="85"/>
        <v>42490</v>
      </c>
      <c r="E143" s="321" t="str">
        <f t="shared" si="97"/>
        <v/>
      </c>
      <c r="F143" s="5"/>
      <c r="G143" s="6" t="str">
        <f t="shared" si="98"/>
        <v/>
      </c>
      <c r="H143" s="7"/>
      <c r="I143" s="7">
        <f t="shared" si="99"/>
        <v>0</v>
      </c>
      <c r="J143" s="113">
        <f t="shared" si="87"/>
        <v>0</v>
      </c>
      <c r="K143" s="7"/>
      <c r="L143" s="7">
        <f t="shared" si="100"/>
        <v>0</v>
      </c>
      <c r="M143" s="113">
        <f t="shared" si="101"/>
        <v>0</v>
      </c>
      <c r="N143" s="113"/>
      <c r="O143" s="113">
        <f t="shared" si="88"/>
        <v>0</v>
      </c>
      <c r="P143" s="113"/>
      <c r="Q143" s="113">
        <f t="shared" si="102"/>
        <v>0</v>
      </c>
      <c r="R143" s="113">
        <f t="shared" si="103"/>
        <v>0</v>
      </c>
      <c r="S143" s="113">
        <f t="shared" si="121"/>
        <v>0</v>
      </c>
      <c r="T143" s="113">
        <f t="shared" si="104"/>
        <v>0</v>
      </c>
      <c r="U143" s="113">
        <f t="shared" si="122"/>
        <v>0</v>
      </c>
      <c r="V143" s="146">
        <f t="shared" si="105"/>
        <v>0</v>
      </c>
      <c r="W143" s="66"/>
      <c r="X143" s="115">
        <f t="shared" si="89"/>
        <v>3.125E-2</v>
      </c>
      <c r="Y143" s="110">
        <f t="shared" si="106"/>
        <v>0</v>
      </c>
      <c r="Z143" s="111">
        <f t="shared" si="86"/>
        <v>0</v>
      </c>
      <c r="AA143" s="112">
        <f t="shared" si="107"/>
        <v>0</v>
      </c>
      <c r="AB143" s="67" t="str">
        <f t="shared" si="108"/>
        <v/>
      </c>
      <c r="AC143" s="193">
        <f t="shared" si="90"/>
        <v>0</v>
      </c>
      <c r="AD143" s="144" t="str">
        <f t="shared" si="91"/>
        <v/>
      </c>
      <c r="AE143" s="228">
        <f t="shared" si="117"/>
        <v>0</v>
      </c>
      <c r="AF143" s="110"/>
      <c r="AG143" s="110" t="str">
        <f t="shared" si="109"/>
        <v/>
      </c>
      <c r="AH143" s="68">
        <f t="shared" si="92"/>
        <v>0</v>
      </c>
      <c r="AI143" s="68">
        <f t="shared" si="93"/>
        <v>0</v>
      </c>
      <c r="AJ143" s="68" t="str">
        <f t="shared" si="94"/>
        <v/>
      </c>
      <c r="AK143">
        <f t="shared" si="95"/>
        <v>7</v>
      </c>
      <c r="AL143" s="122">
        <f>SUM($AD$6:AD143)</f>
        <v>0</v>
      </c>
      <c r="AM143" s="122">
        <f t="shared" ca="1" si="110"/>
        <v>0</v>
      </c>
      <c r="AN143" s="126">
        <f t="shared" si="118"/>
        <v>0</v>
      </c>
      <c r="AO143" s="126">
        <f t="shared" si="119"/>
        <v>0</v>
      </c>
      <c r="AP143" s="126">
        <f t="shared" si="120"/>
        <v>0</v>
      </c>
      <c r="AQ143" s="125">
        <f t="shared" si="111"/>
        <v>30</v>
      </c>
      <c r="AR143" s="125">
        <f t="shared" ca="1" si="112"/>
        <v>30</v>
      </c>
      <c r="AS143" s="135">
        <f t="shared" si="113"/>
        <v>0</v>
      </c>
      <c r="AT143" s="125">
        <f t="shared" si="114"/>
        <v>7</v>
      </c>
      <c r="AU143" t="b">
        <f>OR((F143&gt;0),(NOT(ISBLANK(H143))),SUM(H143:H$373),SUM(G143:G$373))</f>
        <v>0</v>
      </c>
      <c r="AV143" t="b">
        <f t="shared" ca="1" si="96"/>
        <v>1</v>
      </c>
      <c r="AX143" s="228">
        <f>SUM(AW$5:AW143)</f>
        <v>-2.9166666666666665</v>
      </c>
    </row>
    <row r="144" spans="1:50">
      <c r="A144" s="308">
        <f t="shared" si="115"/>
        <v>42507</v>
      </c>
      <c r="B144" s="309">
        <f t="shared" si="116"/>
        <v>42507</v>
      </c>
      <c r="C144" s="310">
        <f t="shared" si="84"/>
        <v>21</v>
      </c>
      <c r="D144" s="311">
        <f t="shared" si="85"/>
        <v>42490</v>
      </c>
      <c r="E144" s="321" t="str">
        <f t="shared" si="97"/>
        <v/>
      </c>
      <c r="F144" s="5"/>
      <c r="G144" s="6" t="str">
        <f t="shared" si="98"/>
        <v/>
      </c>
      <c r="H144" s="7"/>
      <c r="I144" s="7">
        <f t="shared" si="99"/>
        <v>0</v>
      </c>
      <c r="J144" s="113">
        <f t="shared" si="87"/>
        <v>0</v>
      </c>
      <c r="K144" s="7"/>
      <c r="L144" s="7">
        <f t="shared" si="100"/>
        <v>0</v>
      </c>
      <c r="M144" s="113">
        <f t="shared" si="101"/>
        <v>0</v>
      </c>
      <c r="N144" s="113"/>
      <c r="O144" s="113">
        <f t="shared" si="88"/>
        <v>0</v>
      </c>
      <c r="P144" s="113"/>
      <c r="Q144" s="113">
        <f t="shared" si="102"/>
        <v>0</v>
      </c>
      <c r="R144" s="113">
        <f t="shared" si="103"/>
        <v>0</v>
      </c>
      <c r="S144" s="113">
        <f t="shared" si="121"/>
        <v>0</v>
      </c>
      <c r="T144" s="113">
        <f t="shared" si="104"/>
        <v>0</v>
      </c>
      <c r="U144" s="113">
        <f t="shared" si="122"/>
        <v>0</v>
      </c>
      <c r="V144" s="146">
        <f t="shared" si="105"/>
        <v>0</v>
      </c>
      <c r="W144" s="66"/>
      <c r="X144" s="115">
        <f t="shared" si="89"/>
        <v>3.125E-2</v>
      </c>
      <c r="Y144" s="110">
        <f t="shared" si="106"/>
        <v>0</v>
      </c>
      <c r="Z144" s="111">
        <f t="shared" si="86"/>
        <v>0.29166666666666669</v>
      </c>
      <c r="AA144" s="112">
        <f t="shared" si="107"/>
        <v>0</v>
      </c>
      <c r="AB144" s="67" t="str">
        <f t="shared" si="108"/>
        <v/>
      </c>
      <c r="AC144" s="193">
        <f t="shared" si="90"/>
        <v>0</v>
      </c>
      <c r="AD144" s="144" t="str">
        <f t="shared" si="91"/>
        <v/>
      </c>
      <c r="AE144" s="228">
        <f t="shared" si="117"/>
        <v>0</v>
      </c>
      <c r="AF144" s="110"/>
      <c r="AG144" s="110" t="str">
        <f t="shared" si="109"/>
        <v/>
      </c>
      <c r="AH144" s="68">
        <f t="shared" si="92"/>
        <v>0</v>
      </c>
      <c r="AI144" s="68">
        <f t="shared" si="93"/>
        <v>0</v>
      </c>
      <c r="AJ144" s="68" t="str">
        <f t="shared" si="94"/>
        <v/>
      </c>
      <c r="AK144">
        <f t="shared" si="95"/>
        <v>1</v>
      </c>
      <c r="AL144" s="122">
        <f>SUM($AD$6:AD144)</f>
        <v>0</v>
      </c>
      <c r="AM144" s="122">
        <f t="shared" ca="1" si="110"/>
        <v>0</v>
      </c>
      <c r="AN144" s="126">
        <f t="shared" si="118"/>
        <v>0</v>
      </c>
      <c r="AO144" s="126">
        <f t="shared" si="119"/>
        <v>0</v>
      </c>
      <c r="AP144" s="126">
        <f t="shared" si="120"/>
        <v>0</v>
      </c>
      <c r="AQ144" s="125">
        <f t="shared" si="111"/>
        <v>30</v>
      </c>
      <c r="AR144" s="125">
        <f t="shared" ca="1" si="112"/>
        <v>30</v>
      </c>
      <c r="AS144" s="135">
        <f t="shared" si="113"/>
        <v>0</v>
      </c>
      <c r="AT144" s="125">
        <f t="shared" si="114"/>
        <v>0</v>
      </c>
      <c r="AU144" t="b">
        <f>OR((F144&gt;0),(NOT(ISBLANK(H144))),SUM(H144:H$373),SUM(G144:G$373))</f>
        <v>0</v>
      </c>
      <c r="AV144" t="b">
        <f t="shared" ca="1" si="96"/>
        <v>0</v>
      </c>
      <c r="AX144" s="228">
        <f>SUM(AW$5:AW144)</f>
        <v>-2.9166666666666665</v>
      </c>
    </row>
    <row r="145" spans="1:50">
      <c r="A145" s="308">
        <f t="shared" si="115"/>
        <v>42508</v>
      </c>
      <c r="B145" s="309">
        <f t="shared" si="116"/>
        <v>42508</v>
      </c>
      <c r="C145" s="310">
        <f t="shared" si="84"/>
        <v>21</v>
      </c>
      <c r="D145" s="311">
        <f t="shared" si="85"/>
        <v>42490</v>
      </c>
      <c r="E145" s="321" t="str">
        <f t="shared" si="97"/>
        <v/>
      </c>
      <c r="F145" s="5"/>
      <c r="G145" s="6" t="str">
        <f t="shared" si="98"/>
        <v/>
      </c>
      <c r="H145" s="7"/>
      <c r="I145" s="7">
        <f t="shared" si="99"/>
        <v>0</v>
      </c>
      <c r="J145" s="113">
        <f t="shared" si="87"/>
        <v>0</v>
      </c>
      <c r="K145" s="7"/>
      <c r="L145" s="7">
        <f t="shared" si="100"/>
        <v>0</v>
      </c>
      <c r="M145" s="113">
        <f t="shared" si="101"/>
        <v>0</v>
      </c>
      <c r="N145" s="113"/>
      <c r="O145" s="113">
        <f t="shared" si="88"/>
        <v>0</v>
      </c>
      <c r="P145" s="113"/>
      <c r="Q145" s="113">
        <f t="shared" si="102"/>
        <v>0</v>
      </c>
      <c r="R145" s="113">
        <f t="shared" si="103"/>
        <v>0</v>
      </c>
      <c r="S145" s="113">
        <f t="shared" si="121"/>
        <v>0</v>
      </c>
      <c r="T145" s="113">
        <f t="shared" si="104"/>
        <v>0</v>
      </c>
      <c r="U145" s="113">
        <f t="shared" si="122"/>
        <v>0</v>
      </c>
      <c r="V145" s="146">
        <f t="shared" si="105"/>
        <v>0</v>
      </c>
      <c r="W145" s="66"/>
      <c r="X145" s="115">
        <f t="shared" si="89"/>
        <v>3.125E-2</v>
      </c>
      <c r="Y145" s="110">
        <f t="shared" si="106"/>
        <v>0</v>
      </c>
      <c r="Z145" s="111">
        <f t="shared" si="86"/>
        <v>0.29166666666666669</v>
      </c>
      <c r="AA145" s="112">
        <f t="shared" si="107"/>
        <v>0</v>
      </c>
      <c r="AB145" s="67" t="str">
        <f t="shared" si="108"/>
        <v/>
      </c>
      <c r="AC145" s="193">
        <f t="shared" si="90"/>
        <v>0</v>
      </c>
      <c r="AD145" s="144" t="str">
        <f t="shared" si="91"/>
        <v/>
      </c>
      <c r="AE145" s="228">
        <f t="shared" si="117"/>
        <v>0</v>
      </c>
      <c r="AF145" s="110"/>
      <c r="AG145" s="110" t="str">
        <f t="shared" si="109"/>
        <v/>
      </c>
      <c r="AH145" s="68">
        <f t="shared" si="92"/>
        <v>0</v>
      </c>
      <c r="AI145" s="68">
        <f t="shared" si="93"/>
        <v>0</v>
      </c>
      <c r="AJ145" s="68" t="str">
        <f t="shared" si="94"/>
        <v/>
      </c>
      <c r="AK145">
        <f t="shared" si="95"/>
        <v>2</v>
      </c>
      <c r="AL145" s="122">
        <f>SUM($AD$6:AD145)</f>
        <v>0</v>
      </c>
      <c r="AM145" s="122">
        <f t="shared" ca="1" si="110"/>
        <v>0</v>
      </c>
      <c r="AN145" s="126">
        <f t="shared" si="118"/>
        <v>0</v>
      </c>
      <c r="AO145" s="126">
        <f t="shared" si="119"/>
        <v>0</v>
      </c>
      <c r="AP145" s="126">
        <f t="shared" si="120"/>
        <v>0</v>
      </c>
      <c r="AQ145" s="125">
        <f t="shared" si="111"/>
        <v>30</v>
      </c>
      <c r="AR145" s="125">
        <f t="shared" ca="1" si="112"/>
        <v>30</v>
      </c>
      <c r="AS145" s="135">
        <f t="shared" si="113"/>
        <v>0</v>
      </c>
      <c r="AT145" s="125">
        <f t="shared" si="114"/>
        <v>0</v>
      </c>
      <c r="AU145" t="b">
        <f>OR((F145&gt;0),(NOT(ISBLANK(H145))),SUM(H145:H$373),SUM(G145:G$373))</f>
        <v>0</v>
      </c>
      <c r="AV145" t="b">
        <f t="shared" ca="1" si="96"/>
        <v>0</v>
      </c>
      <c r="AX145" s="228">
        <f>SUM(AW$5:AW145)</f>
        <v>-2.9166666666666665</v>
      </c>
    </row>
    <row r="146" spans="1:50">
      <c r="A146" s="308">
        <f t="shared" si="115"/>
        <v>42509</v>
      </c>
      <c r="B146" s="309">
        <f t="shared" si="116"/>
        <v>42509</v>
      </c>
      <c r="C146" s="310">
        <f t="shared" si="84"/>
        <v>21</v>
      </c>
      <c r="D146" s="311">
        <f t="shared" si="85"/>
        <v>42490</v>
      </c>
      <c r="E146" s="321" t="str">
        <f t="shared" si="97"/>
        <v/>
      </c>
      <c r="F146" s="5"/>
      <c r="G146" s="6" t="str">
        <f t="shared" si="98"/>
        <v/>
      </c>
      <c r="H146" s="7"/>
      <c r="I146" s="7">
        <f t="shared" si="99"/>
        <v>0</v>
      </c>
      <c r="J146" s="113">
        <f t="shared" si="87"/>
        <v>0</v>
      </c>
      <c r="K146" s="7"/>
      <c r="L146" s="7">
        <f t="shared" si="100"/>
        <v>0</v>
      </c>
      <c r="M146" s="113">
        <f t="shared" si="101"/>
        <v>0</v>
      </c>
      <c r="N146" s="113"/>
      <c r="O146" s="113">
        <f t="shared" si="88"/>
        <v>0</v>
      </c>
      <c r="P146" s="113"/>
      <c r="Q146" s="113">
        <f t="shared" si="102"/>
        <v>0</v>
      </c>
      <c r="R146" s="113">
        <f t="shared" si="103"/>
        <v>0</v>
      </c>
      <c r="S146" s="113">
        <f t="shared" si="121"/>
        <v>0</v>
      </c>
      <c r="T146" s="113">
        <f t="shared" si="104"/>
        <v>0</v>
      </c>
      <c r="U146" s="113">
        <f t="shared" si="122"/>
        <v>0</v>
      </c>
      <c r="V146" s="146">
        <f t="shared" si="105"/>
        <v>0</v>
      </c>
      <c r="W146" s="66"/>
      <c r="X146" s="115">
        <f t="shared" si="89"/>
        <v>3.125E-2</v>
      </c>
      <c r="Y146" s="110">
        <f t="shared" si="106"/>
        <v>0</v>
      </c>
      <c r="Z146" s="111">
        <f t="shared" si="86"/>
        <v>0.29166666666666669</v>
      </c>
      <c r="AA146" s="112">
        <f t="shared" si="107"/>
        <v>0</v>
      </c>
      <c r="AB146" s="67" t="str">
        <f t="shared" si="108"/>
        <v/>
      </c>
      <c r="AC146" s="193">
        <f t="shared" si="90"/>
        <v>0</v>
      </c>
      <c r="AD146" s="144" t="str">
        <f t="shared" si="91"/>
        <v/>
      </c>
      <c r="AE146" s="228">
        <f t="shared" si="117"/>
        <v>0</v>
      </c>
      <c r="AF146" s="110"/>
      <c r="AG146" s="110" t="str">
        <f t="shared" si="109"/>
        <v/>
      </c>
      <c r="AH146" s="68">
        <f t="shared" si="92"/>
        <v>0</v>
      </c>
      <c r="AI146" s="68">
        <f t="shared" si="93"/>
        <v>0</v>
      </c>
      <c r="AJ146" s="68" t="str">
        <f t="shared" si="94"/>
        <v/>
      </c>
      <c r="AK146">
        <f t="shared" si="95"/>
        <v>3</v>
      </c>
      <c r="AL146" s="122">
        <f>SUM($AD$6:AD146)</f>
        <v>0</v>
      </c>
      <c r="AM146" s="122">
        <f t="shared" ca="1" si="110"/>
        <v>0</v>
      </c>
      <c r="AN146" s="126">
        <f t="shared" si="118"/>
        <v>0</v>
      </c>
      <c r="AO146" s="126">
        <f t="shared" si="119"/>
        <v>0</v>
      </c>
      <c r="AP146" s="126">
        <f t="shared" si="120"/>
        <v>0</v>
      </c>
      <c r="AQ146" s="125">
        <f t="shared" si="111"/>
        <v>30</v>
      </c>
      <c r="AR146" s="125">
        <f t="shared" ca="1" si="112"/>
        <v>30</v>
      </c>
      <c r="AS146" s="135">
        <f t="shared" si="113"/>
        <v>0</v>
      </c>
      <c r="AT146" s="125">
        <f t="shared" si="114"/>
        <v>0</v>
      </c>
      <c r="AU146" t="b">
        <f>OR((F146&gt;0),(NOT(ISBLANK(H146))),SUM(H146:H$373),SUM(G146:G$373))</f>
        <v>0</v>
      </c>
      <c r="AV146" t="b">
        <f t="shared" ca="1" si="96"/>
        <v>0</v>
      </c>
      <c r="AX146" s="228">
        <f>SUM(AW$5:AW146)</f>
        <v>-2.9166666666666665</v>
      </c>
    </row>
    <row r="147" spans="1:50">
      <c r="A147" s="308">
        <f t="shared" si="115"/>
        <v>42510</v>
      </c>
      <c r="B147" s="309">
        <f t="shared" si="116"/>
        <v>42510</v>
      </c>
      <c r="C147" s="310">
        <f t="shared" si="84"/>
        <v>21</v>
      </c>
      <c r="D147" s="311">
        <f t="shared" si="85"/>
        <v>42490</v>
      </c>
      <c r="E147" s="321" t="str">
        <f t="shared" si="97"/>
        <v>Christi Himmelfahrt</v>
      </c>
      <c r="F147" s="5"/>
      <c r="G147" s="6" t="str">
        <f t="shared" si="98"/>
        <v/>
      </c>
      <c r="H147" s="7"/>
      <c r="I147" s="7">
        <f t="shared" si="99"/>
        <v>0</v>
      </c>
      <c r="J147" s="113">
        <f t="shared" si="87"/>
        <v>0</v>
      </c>
      <c r="K147" s="7"/>
      <c r="L147" s="7">
        <f t="shared" si="100"/>
        <v>0</v>
      </c>
      <c r="M147" s="113">
        <f t="shared" si="101"/>
        <v>0</v>
      </c>
      <c r="N147" s="113"/>
      <c r="O147" s="113">
        <f t="shared" si="88"/>
        <v>0</v>
      </c>
      <c r="P147" s="113"/>
      <c r="Q147" s="113">
        <f t="shared" si="102"/>
        <v>0</v>
      </c>
      <c r="R147" s="113">
        <f t="shared" si="103"/>
        <v>0</v>
      </c>
      <c r="S147" s="113">
        <f t="shared" si="121"/>
        <v>0</v>
      </c>
      <c r="T147" s="113">
        <f t="shared" si="104"/>
        <v>0</v>
      </c>
      <c r="U147" s="113">
        <f t="shared" si="122"/>
        <v>0</v>
      </c>
      <c r="V147" s="146">
        <f t="shared" si="105"/>
        <v>0</v>
      </c>
      <c r="W147" s="66"/>
      <c r="X147" s="115">
        <f t="shared" si="89"/>
        <v>3.125E-2</v>
      </c>
      <c r="Y147" s="110">
        <f t="shared" si="106"/>
        <v>0</v>
      </c>
      <c r="Z147" s="111" t="str">
        <f t="shared" si="86"/>
        <v/>
      </c>
      <c r="AA147" s="112">
        <f t="shared" si="107"/>
        <v>0</v>
      </c>
      <c r="AB147" s="67" t="str">
        <f t="shared" si="108"/>
        <v/>
      </c>
      <c r="AC147" s="193">
        <f t="shared" si="90"/>
        <v>0</v>
      </c>
      <c r="AD147" s="144" t="str">
        <f t="shared" si="91"/>
        <v/>
      </c>
      <c r="AE147" s="228">
        <f t="shared" si="117"/>
        <v>0</v>
      </c>
      <c r="AF147" s="110"/>
      <c r="AG147" s="110" t="str">
        <f t="shared" si="109"/>
        <v/>
      </c>
      <c r="AH147" s="68">
        <f t="shared" si="92"/>
        <v>0</v>
      </c>
      <c r="AI147" s="68">
        <f t="shared" si="93"/>
        <v>0</v>
      </c>
      <c r="AJ147" s="68" t="str">
        <f t="shared" si="94"/>
        <v/>
      </c>
      <c r="AK147">
        <f t="shared" si="95"/>
        <v>8</v>
      </c>
      <c r="AL147" s="122">
        <f>SUM($AD$6:AD147)</f>
        <v>0</v>
      </c>
      <c r="AM147" s="122">
        <f t="shared" ca="1" si="110"/>
        <v>0</v>
      </c>
      <c r="AN147" s="126">
        <f t="shared" si="118"/>
        <v>0</v>
      </c>
      <c r="AO147" s="126">
        <f t="shared" si="119"/>
        <v>0</v>
      </c>
      <c r="AP147" s="126">
        <f t="shared" si="120"/>
        <v>0</v>
      </c>
      <c r="AQ147" s="125">
        <f t="shared" si="111"/>
        <v>30</v>
      </c>
      <c r="AR147" s="125">
        <f t="shared" ca="1" si="112"/>
        <v>30</v>
      </c>
      <c r="AS147" s="135">
        <f t="shared" si="113"/>
        <v>0</v>
      </c>
      <c r="AT147" s="125">
        <f t="shared" si="114"/>
        <v>8</v>
      </c>
      <c r="AU147" t="b">
        <f>OR((F147&gt;0),(NOT(ISBLANK(H147))),SUM(H147:H$373),SUM(G147:G$373))</f>
        <v>0</v>
      </c>
      <c r="AV147" t="b">
        <f t="shared" ca="1" si="96"/>
        <v>1</v>
      </c>
      <c r="AX147" s="228">
        <f>SUM(AW$5:AW147)</f>
        <v>-2.9166666666666665</v>
      </c>
    </row>
    <row r="148" spans="1:50">
      <c r="A148" s="308">
        <f t="shared" si="115"/>
        <v>42511</v>
      </c>
      <c r="B148" s="309">
        <f t="shared" si="116"/>
        <v>42511</v>
      </c>
      <c r="C148" s="310">
        <f t="shared" ref="C148:C211" si="123">IF(A148="","",NumberOfWeek(A148))</f>
        <v>21</v>
      </c>
      <c r="D148" s="311">
        <f t="shared" ref="D148:D211" si="124">IF(A148="","",DATE(YEAR(A148),MONTH(A148),1))</f>
        <v>42490</v>
      </c>
      <c r="E148" s="321" t="str">
        <f t="shared" si="97"/>
        <v/>
      </c>
      <c r="F148" s="5"/>
      <c r="G148" s="6" t="str">
        <f t="shared" si="98"/>
        <v/>
      </c>
      <c r="H148" s="7"/>
      <c r="I148" s="7">
        <f t="shared" si="99"/>
        <v>0</v>
      </c>
      <c r="J148" s="113">
        <f t="shared" si="87"/>
        <v>0</v>
      </c>
      <c r="K148" s="7"/>
      <c r="L148" s="7">
        <f t="shared" si="100"/>
        <v>0</v>
      </c>
      <c r="M148" s="113">
        <f t="shared" si="101"/>
        <v>0</v>
      </c>
      <c r="N148" s="113"/>
      <c r="O148" s="113">
        <f t="shared" si="88"/>
        <v>0</v>
      </c>
      <c r="P148" s="113"/>
      <c r="Q148" s="113">
        <f t="shared" si="102"/>
        <v>0</v>
      </c>
      <c r="R148" s="113">
        <f t="shared" si="103"/>
        <v>0</v>
      </c>
      <c r="S148" s="113">
        <f t="shared" si="121"/>
        <v>0</v>
      </c>
      <c r="T148" s="113">
        <f t="shared" si="104"/>
        <v>0</v>
      </c>
      <c r="U148" s="113">
        <f t="shared" si="122"/>
        <v>0</v>
      </c>
      <c r="V148" s="146">
        <f t="shared" si="105"/>
        <v>0</v>
      </c>
      <c r="W148" s="66"/>
      <c r="X148" s="115">
        <f t="shared" si="89"/>
        <v>3.125E-2</v>
      </c>
      <c r="Y148" s="110">
        <f t="shared" si="106"/>
        <v>0</v>
      </c>
      <c r="Z148" s="111">
        <f t="shared" ref="Z148:Z211" si="125">IF(AND(AK148&gt;0,AK148&lt;Feiertag),INDEX(Arbeitszeit,AK148),"")</f>
        <v>0.29166666666666669</v>
      </c>
      <c r="AA148" s="112">
        <f t="shared" si="107"/>
        <v>0</v>
      </c>
      <c r="AB148" s="67" t="str">
        <f t="shared" si="108"/>
        <v/>
      </c>
      <c r="AC148" s="193">
        <f t="shared" si="90"/>
        <v>0</v>
      </c>
      <c r="AD148" s="144" t="str">
        <f t="shared" si="91"/>
        <v/>
      </c>
      <c r="AE148" s="228">
        <f t="shared" si="117"/>
        <v>0</v>
      </c>
      <c r="AF148" s="110"/>
      <c r="AG148" s="110" t="str">
        <f t="shared" si="109"/>
        <v/>
      </c>
      <c r="AH148" s="68">
        <f t="shared" si="92"/>
        <v>0</v>
      </c>
      <c r="AI148" s="68">
        <f t="shared" si="93"/>
        <v>0</v>
      </c>
      <c r="AJ148" s="68" t="str">
        <f t="shared" si="94"/>
        <v/>
      </c>
      <c r="AK148">
        <f t="shared" si="95"/>
        <v>5</v>
      </c>
      <c r="AL148" s="122">
        <f>SUM($AD$6:AD148)</f>
        <v>0</v>
      </c>
      <c r="AM148" s="122">
        <f t="shared" ca="1" si="110"/>
        <v>0</v>
      </c>
      <c r="AN148" s="126">
        <f t="shared" si="118"/>
        <v>0</v>
      </c>
      <c r="AO148" s="126">
        <f t="shared" si="119"/>
        <v>0</v>
      </c>
      <c r="AP148" s="126">
        <f t="shared" si="120"/>
        <v>0</v>
      </c>
      <c r="AQ148" s="125">
        <f t="shared" si="111"/>
        <v>30</v>
      </c>
      <c r="AR148" s="125">
        <f t="shared" ca="1" si="112"/>
        <v>30</v>
      </c>
      <c r="AS148" s="135">
        <f t="shared" si="113"/>
        <v>0</v>
      </c>
      <c r="AT148" s="125">
        <f t="shared" si="114"/>
        <v>0</v>
      </c>
      <c r="AU148" t="b">
        <f>OR((F148&gt;0),(NOT(ISBLANK(H148))),SUM(H148:H$373),SUM(G148:G$373))</f>
        <v>0</v>
      </c>
      <c r="AV148" t="b">
        <f t="shared" ca="1" si="96"/>
        <v>0</v>
      </c>
      <c r="AX148" s="228">
        <f>SUM(AW$5:AW148)</f>
        <v>-2.9166666666666665</v>
      </c>
    </row>
    <row r="149" spans="1:50">
      <c r="A149" s="308">
        <f t="shared" si="115"/>
        <v>42512</v>
      </c>
      <c r="B149" s="309">
        <f t="shared" si="116"/>
        <v>42512</v>
      </c>
      <c r="C149" s="310">
        <f t="shared" si="123"/>
        <v>21</v>
      </c>
      <c r="D149" s="311">
        <f t="shared" si="124"/>
        <v>42490</v>
      </c>
      <c r="E149" s="321" t="str">
        <f t="shared" si="97"/>
        <v/>
      </c>
      <c r="F149" s="5"/>
      <c r="G149" s="6" t="str">
        <f t="shared" si="98"/>
        <v/>
      </c>
      <c r="H149" s="7"/>
      <c r="I149" s="7">
        <f t="shared" si="99"/>
        <v>0</v>
      </c>
      <c r="J149" s="113">
        <f t="shared" si="87"/>
        <v>0</v>
      </c>
      <c r="K149" s="7"/>
      <c r="L149" s="7">
        <f t="shared" si="100"/>
        <v>0</v>
      </c>
      <c r="M149" s="113">
        <f t="shared" si="101"/>
        <v>0</v>
      </c>
      <c r="N149" s="113"/>
      <c r="O149" s="113">
        <f t="shared" si="88"/>
        <v>0</v>
      </c>
      <c r="P149" s="113"/>
      <c r="Q149" s="113">
        <f t="shared" si="102"/>
        <v>0</v>
      </c>
      <c r="R149" s="113">
        <f t="shared" si="103"/>
        <v>0</v>
      </c>
      <c r="S149" s="113">
        <f t="shared" si="121"/>
        <v>0</v>
      </c>
      <c r="T149" s="113">
        <f t="shared" si="104"/>
        <v>0</v>
      </c>
      <c r="U149" s="113">
        <f t="shared" si="122"/>
        <v>0</v>
      </c>
      <c r="V149" s="146">
        <f t="shared" si="105"/>
        <v>0</v>
      </c>
      <c r="W149" s="66"/>
      <c r="X149" s="115">
        <f t="shared" si="89"/>
        <v>3.125E-2</v>
      </c>
      <c r="Y149" s="110">
        <f t="shared" si="106"/>
        <v>0</v>
      </c>
      <c r="Z149" s="111">
        <f t="shared" si="125"/>
        <v>0</v>
      </c>
      <c r="AA149" s="112">
        <f t="shared" si="107"/>
        <v>0</v>
      </c>
      <c r="AB149" s="67" t="str">
        <f t="shared" si="108"/>
        <v/>
      </c>
      <c r="AC149" s="193">
        <f t="shared" si="90"/>
        <v>0</v>
      </c>
      <c r="AD149" s="144" t="str">
        <f t="shared" si="91"/>
        <v/>
      </c>
      <c r="AE149" s="228">
        <f t="shared" si="117"/>
        <v>0</v>
      </c>
      <c r="AF149" s="110"/>
      <c r="AG149" s="110" t="str">
        <f t="shared" si="109"/>
        <v/>
      </c>
      <c r="AH149" s="68">
        <f t="shared" si="92"/>
        <v>0</v>
      </c>
      <c r="AI149" s="68">
        <f t="shared" si="93"/>
        <v>0</v>
      </c>
      <c r="AJ149" s="68" t="str">
        <f t="shared" si="94"/>
        <v/>
      </c>
      <c r="AK149">
        <f t="shared" si="95"/>
        <v>6</v>
      </c>
      <c r="AL149" s="122">
        <f>SUM($AD$6:AD149)</f>
        <v>0</v>
      </c>
      <c r="AM149" s="122">
        <f t="shared" ca="1" si="110"/>
        <v>0</v>
      </c>
      <c r="AN149" s="126">
        <f t="shared" si="118"/>
        <v>0</v>
      </c>
      <c r="AO149" s="126">
        <f t="shared" si="119"/>
        <v>0</v>
      </c>
      <c r="AP149" s="126">
        <f t="shared" si="120"/>
        <v>0</v>
      </c>
      <c r="AQ149" s="125">
        <f t="shared" si="111"/>
        <v>30</v>
      </c>
      <c r="AR149" s="125">
        <f t="shared" ca="1" si="112"/>
        <v>30</v>
      </c>
      <c r="AS149" s="135">
        <f t="shared" si="113"/>
        <v>0</v>
      </c>
      <c r="AT149" s="125">
        <f t="shared" si="114"/>
        <v>7</v>
      </c>
      <c r="AU149" t="b">
        <f>OR((F149&gt;0),(NOT(ISBLANK(H149))),SUM(H149:H$373),SUM(G149:G$373))</f>
        <v>0</v>
      </c>
      <c r="AV149" t="b">
        <f t="shared" ca="1" si="96"/>
        <v>1</v>
      </c>
      <c r="AX149" s="228">
        <f>SUM(AW$5:AW149)</f>
        <v>-2.9166666666666665</v>
      </c>
    </row>
    <row r="150" spans="1:50">
      <c r="A150" s="308">
        <f t="shared" si="115"/>
        <v>42513</v>
      </c>
      <c r="B150" s="309">
        <f t="shared" si="116"/>
        <v>42513</v>
      </c>
      <c r="C150" s="310">
        <f t="shared" si="123"/>
        <v>21</v>
      </c>
      <c r="D150" s="311">
        <f t="shared" si="124"/>
        <v>42490</v>
      </c>
      <c r="E150" s="321" t="str">
        <f t="shared" si="97"/>
        <v/>
      </c>
      <c r="F150" s="5"/>
      <c r="G150" s="6" t="str">
        <f t="shared" si="98"/>
        <v/>
      </c>
      <c r="H150" s="7"/>
      <c r="I150" s="7">
        <f t="shared" si="99"/>
        <v>0</v>
      </c>
      <c r="J150" s="113">
        <f t="shared" si="87"/>
        <v>0</v>
      </c>
      <c r="K150" s="7"/>
      <c r="L150" s="7">
        <f t="shared" si="100"/>
        <v>0</v>
      </c>
      <c r="M150" s="113">
        <f t="shared" si="101"/>
        <v>0</v>
      </c>
      <c r="N150" s="113"/>
      <c r="O150" s="113">
        <f t="shared" si="88"/>
        <v>0</v>
      </c>
      <c r="P150" s="113"/>
      <c r="Q150" s="113">
        <f t="shared" si="102"/>
        <v>0</v>
      </c>
      <c r="R150" s="113">
        <f t="shared" si="103"/>
        <v>0</v>
      </c>
      <c r="S150" s="113">
        <f t="shared" si="121"/>
        <v>0</v>
      </c>
      <c r="T150" s="113">
        <f t="shared" si="104"/>
        <v>0</v>
      </c>
      <c r="U150" s="113">
        <f t="shared" si="122"/>
        <v>0</v>
      </c>
      <c r="V150" s="146">
        <f t="shared" si="105"/>
        <v>0</v>
      </c>
      <c r="W150" s="66"/>
      <c r="X150" s="115">
        <f t="shared" si="89"/>
        <v>3.125E-2</v>
      </c>
      <c r="Y150" s="110">
        <f t="shared" si="106"/>
        <v>0</v>
      </c>
      <c r="Z150" s="111">
        <f t="shared" si="125"/>
        <v>0</v>
      </c>
      <c r="AA150" s="112">
        <f t="shared" si="107"/>
        <v>0</v>
      </c>
      <c r="AB150" s="67" t="str">
        <f t="shared" si="108"/>
        <v/>
      </c>
      <c r="AC150" s="193">
        <f t="shared" si="90"/>
        <v>0</v>
      </c>
      <c r="AD150" s="144" t="str">
        <f t="shared" si="91"/>
        <v/>
      </c>
      <c r="AE150" s="228">
        <f t="shared" si="117"/>
        <v>0</v>
      </c>
      <c r="AF150" s="110"/>
      <c r="AG150" s="110" t="str">
        <f t="shared" si="109"/>
        <v/>
      </c>
      <c r="AH150" s="68">
        <f t="shared" si="92"/>
        <v>0</v>
      </c>
      <c r="AI150" s="68">
        <f t="shared" si="93"/>
        <v>0</v>
      </c>
      <c r="AJ150" s="68" t="str">
        <f t="shared" si="94"/>
        <v/>
      </c>
      <c r="AK150">
        <f t="shared" si="95"/>
        <v>7</v>
      </c>
      <c r="AL150" s="122">
        <f>SUM($AD$6:AD150)</f>
        <v>0</v>
      </c>
      <c r="AM150" s="122">
        <f t="shared" ca="1" si="110"/>
        <v>0</v>
      </c>
      <c r="AN150" s="126">
        <f t="shared" si="118"/>
        <v>0</v>
      </c>
      <c r="AO150" s="126">
        <f t="shared" si="119"/>
        <v>0</v>
      </c>
      <c r="AP150" s="126">
        <f t="shared" si="120"/>
        <v>0</v>
      </c>
      <c r="AQ150" s="125">
        <f t="shared" si="111"/>
        <v>30</v>
      </c>
      <c r="AR150" s="125">
        <f t="shared" ca="1" si="112"/>
        <v>30</v>
      </c>
      <c r="AS150" s="135">
        <f t="shared" si="113"/>
        <v>0</v>
      </c>
      <c r="AT150" s="125">
        <f t="shared" si="114"/>
        <v>7</v>
      </c>
      <c r="AU150" t="b">
        <f>OR((F150&gt;0),(NOT(ISBLANK(H150))),SUM(H150:H$373),SUM(G150:G$373))</f>
        <v>0</v>
      </c>
      <c r="AV150" t="b">
        <f t="shared" ca="1" si="96"/>
        <v>1</v>
      </c>
      <c r="AX150" s="228">
        <f>SUM(AW$5:AW150)</f>
        <v>-2.9166666666666665</v>
      </c>
    </row>
    <row r="151" spans="1:50">
      <c r="A151" s="308">
        <f t="shared" si="115"/>
        <v>42514</v>
      </c>
      <c r="B151" s="309">
        <f t="shared" si="116"/>
        <v>42514</v>
      </c>
      <c r="C151" s="310">
        <f t="shared" si="123"/>
        <v>22</v>
      </c>
      <c r="D151" s="311">
        <f t="shared" si="124"/>
        <v>42490</v>
      </c>
      <c r="E151" s="321" t="str">
        <f t="shared" si="97"/>
        <v/>
      </c>
      <c r="F151" s="5"/>
      <c r="G151" s="6" t="str">
        <f t="shared" si="98"/>
        <v/>
      </c>
      <c r="H151" s="7"/>
      <c r="I151" s="7">
        <f t="shared" si="99"/>
        <v>0</v>
      </c>
      <c r="J151" s="113">
        <f t="shared" si="87"/>
        <v>0</v>
      </c>
      <c r="K151" s="7"/>
      <c r="L151" s="7">
        <f t="shared" si="100"/>
        <v>0</v>
      </c>
      <c r="M151" s="113">
        <f t="shared" si="101"/>
        <v>0</v>
      </c>
      <c r="N151" s="113"/>
      <c r="O151" s="113">
        <f t="shared" si="88"/>
        <v>0</v>
      </c>
      <c r="P151" s="113"/>
      <c r="Q151" s="113">
        <f t="shared" si="102"/>
        <v>0</v>
      </c>
      <c r="R151" s="113">
        <f t="shared" si="103"/>
        <v>0</v>
      </c>
      <c r="S151" s="113">
        <f t="shared" si="121"/>
        <v>0</v>
      </c>
      <c r="T151" s="113">
        <f t="shared" si="104"/>
        <v>0</v>
      </c>
      <c r="U151" s="113">
        <f t="shared" si="122"/>
        <v>0</v>
      </c>
      <c r="V151" s="146">
        <f t="shared" si="105"/>
        <v>0</v>
      </c>
      <c r="W151" s="66"/>
      <c r="X151" s="115">
        <f t="shared" si="89"/>
        <v>3.125E-2</v>
      </c>
      <c r="Y151" s="110">
        <f t="shared" si="106"/>
        <v>0</v>
      </c>
      <c r="Z151" s="111">
        <f t="shared" si="125"/>
        <v>0.29166666666666669</v>
      </c>
      <c r="AA151" s="112">
        <f t="shared" si="107"/>
        <v>0</v>
      </c>
      <c r="AB151" s="67" t="str">
        <f t="shared" si="108"/>
        <v/>
      </c>
      <c r="AC151" s="193">
        <f t="shared" si="90"/>
        <v>0</v>
      </c>
      <c r="AD151" s="144" t="str">
        <f t="shared" si="91"/>
        <v/>
      </c>
      <c r="AE151" s="228">
        <f t="shared" si="117"/>
        <v>0</v>
      </c>
      <c r="AF151" s="110"/>
      <c r="AG151" s="110" t="str">
        <f t="shared" si="109"/>
        <v/>
      </c>
      <c r="AH151" s="68">
        <f t="shared" si="92"/>
        <v>0</v>
      </c>
      <c r="AI151" s="68">
        <f t="shared" si="93"/>
        <v>0</v>
      </c>
      <c r="AJ151" s="68" t="str">
        <f t="shared" si="94"/>
        <v/>
      </c>
      <c r="AK151">
        <f t="shared" si="95"/>
        <v>1</v>
      </c>
      <c r="AL151" s="122">
        <f>SUM($AD$6:AD151)</f>
        <v>0</v>
      </c>
      <c r="AM151" s="122">
        <f t="shared" ca="1" si="110"/>
        <v>0</v>
      </c>
      <c r="AN151" s="126">
        <f t="shared" si="118"/>
        <v>0</v>
      </c>
      <c r="AO151" s="126">
        <f t="shared" si="119"/>
        <v>0</v>
      </c>
      <c r="AP151" s="126">
        <f t="shared" si="120"/>
        <v>0</v>
      </c>
      <c r="AQ151" s="125">
        <f t="shared" si="111"/>
        <v>30</v>
      </c>
      <c r="AR151" s="125">
        <f t="shared" ca="1" si="112"/>
        <v>30</v>
      </c>
      <c r="AS151" s="135">
        <f t="shared" si="113"/>
        <v>0</v>
      </c>
      <c r="AT151" s="125">
        <f t="shared" si="114"/>
        <v>0</v>
      </c>
      <c r="AU151" t="b">
        <f>OR((F151&gt;0),(NOT(ISBLANK(H151))),SUM(H151:H$373),SUM(G151:G$373))</f>
        <v>0</v>
      </c>
      <c r="AV151" t="b">
        <f t="shared" ca="1" si="96"/>
        <v>0</v>
      </c>
      <c r="AX151" s="228">
        <f>SUM(AW$5:AW151)</f>
        <v>-2.9166666666666665</v>
      </c>
    </row>
    <row r="152" spans="1:50">
      <c r="A152" s="308">
        <f t="shared" si="115"/>
        <v>42515</v>
      </c>
      <c r="B152" s="309">
        <f t="shared" si="116"/>
        <v>42515</v>
      </c>
      <c r="C152" s="310">
        <f t="shared" si="123"/>
        <v>22</v>
      </c>
      <c r="D152" s="311">
        <f t="shared" si="124"/>
        <v>42490</v>
      </c>
      <c r="E152" s="321" t="str">
        <f t="shared" si="97"/>
        <v/>
      </c>
      <c r="F152" s="5"/>
      <c r="G152" s="6" t="str">
        <f t="shared" si="98"/>
        <v/>
      </c>
      <c r="H152" s="7"/>
      <c r="I152" s="7">
        <f t="shared" si="99"/>
        <v>0</v>
      </c>
      <c r="J152" s="113">
        <f t="shared" si="87"/>
        <v>0</v>
      </c>
      <c r="K152" s="7"/>
      <c r="L152" s="7">
        <f t="shared" si="100"/>
        <v>0</v>
      </c>
      <c r="M152" s="113">
        <f t="shared" si="101"/>
        <v>0</v>
      </c>
      <c r="N152" s="113"/>
      <c r="O152" s="113">
        <f t="shared" si="88"/>
        <v>0</v>
      </c>
      <c r="P152" s="113"/>
      <c r="Q152" s="113">
        <f t="shared" si="102"/>
        <v>0</v>
      </c>
      <c r="R152" s="113">
        <f t="shared" si="103"/>
        <v>0</v>
      </c>
      <c r="S152" s="113">
        <f t="shared" si="121"/>
        <v>0</v>
      </c>
      <c r="T152" s="113">
        <f t="shared" si="104"/>
        <v>0</v>
      </c>
      <c r="U152" s="113">
        <f t="shared" si="122"/>
        <v>0</v>
      </c>
      <c r="V152" s="146">
        <f t="shared" si="105"/>
        <v>0</v>
      </c>
      <c r="W152" s="66"/>
      <c r="X152" s="115">
        <f t="shared" si="89"/>
        <v>3.125E-2</v>
      </c>
      <c r="Y152" s="110">
        <f t="shared" si="106"/>
        <v>0</v>
      </c>
      <c r="Z152" s="111">
        <f t="shared" si="125"/>
        <v>0.29166666666666669</v>
      </c>
      <c r="AA152" s="112">
        <f t="shared" si="107"/>
        <v>0</v>
      </c>
      <c r="AB152" s="67" t="str">
        <f t="shared" si="108"/>
        <v/>
      </c>
      <c r="AC152" s="193">
        <f t="shared" si="90"/>
        <v>0</v>
      </c>
      <c r="AD152" s="144" t="str">
        <f t="shared" si="91"/>
        <v/>
      </c>
      <c r="AE152" s="228">
        <f t="shared" si="117"/>
        <v>0</v>
      </c>
      <c r="AF152" s="110"/>
      <c r="AG152" s="110" t="str">
        <f t="shared" si="109"/>
        <v/>
      </c>
      <c r="AH152" s="68">
        <f t="shared" si="92"/>
        <v>0</v>
      </c>
      <c r="AI152" s="68">
        <f t="shared" si="93"/>
        <v>0</v>
      </c>
      <c r="AJ152" s="68" t="str">
        <f t="shared" si="94"/>
        <v/>
      </c>
      <c r="AK152">
        <f t="shared" si="95"/>
        <v>2</v>
      </c>
      <c r="AL152" s="122">
        <f>SUM($AD$6:AD152)</f>
        <v>0</v>
      </c>
      <c r="AM152" s="122">
        <f t="shared" ca="1" si="110"/>
        <v>0</v>
      </c>
      <c r="AN152" s="126">
        <f t="shared" si="118"/>
        <v>0</v>
      </c>
      <c r="AO152" s="126">
        <f t="shared" si="119"/>
        <v>0</v>
      </c>
      <c r="AP152" s="126">
        <f t="shared" si="120"/>
        <v>0</v>
      </c>
      <c r="AQ152" s="125">
        <f t="shared" si="111"/>
        <v>30</v>
      </c>
      <c r="AR152" s="125">
        <f t="shared" ca="1" si="112"/>
        <v>30</v>
      </c>
      <c r="AS152" s="135">
        <f t="shared" si="113"/>
        <v>0</v>
      </c>
      <c r="AT152" s="125">
        <f t="shared" si="114"/>
        <v>0</v>
      </c>
      <c r="AU152" t="b">
        <f>OR((F152&gt;0),(NOT(ISBLANK(H152))),SUM(H152:H$373),SUM(G152:G$373))</f>
        <v>0</v>
      </c>
      <c r="AV152" t="b">
        <f t="shared" ca="1" si="96"/>
        <v>0</v>
      </c>
      <c r="AX152" s="228">
        <f>SUM(AW$5:AW152)</f>
        <v>-2.9166666666666665</v>
      </c>
    </row>
    <row r="153" spans="1:50">
      <c r="A153" s="308">
        <f t="shared" si="115"/>
        <v>42516</v>
      </c>
      <c r="B153" s="309">
        <f t="shared" si="116"/>
        <v>42516</v>
      </c>
      <c r="C153" s="310">
        <f t="shared" si="123"/>
        <v>22</v>
      </c>
      <c r="D153" s="311">
        <f t="shared" si="124"/>
        <v>42490</v>
      </c>
      <c r="E153" s="321" t="str">
        <f t="shared" si="97"/>
        <v/>
      </c>
      <c r="F153" s="5"/>
      <c r="G153" s="6" t="str">
        <f t="shared" si="98"/>
        <v/>
      </c>
      <c r="H153" s="7"/>
      <c r="I153" s="7">
        <f t="shared" si="99"/>
        <v>0</v>
      </c>
      <c r="J153" s="113">
        <f t="shared" si="87"/>
        <v>0</v>
      </c>
      <c r="K153" s="7"/>
      <c r="L153" s="7">
        <f t="shared" si="100"/>
        <v>0</v>
      </c>
      <c r="M153" s="113">
        <f t="shared" si="101"/>
        <v>0</v>
      </c>
      <c r="N153" s="113"/>
      <c r="O153" s="113">
        <f t="shared" si="88"/>
        <v>0</v>
      </c>
      <c r="P153" s="113"/>
      <c r="Q153" s="113">
        <f t="shared" si="102"/>
        <v>0</v>
      </c>
      <c r="R153" s="113">
        <f t="shared" si="103"/>
        <v>0</v>
      </c>
      <c r="S153" s="113">
        <f t="shared" si="121"/>
        <v>0</v>
      </c>
      <c r="T153" s="113">
        <f t="shared" si="104"/>
        <v>0</v>
      </c>
      <c r="U153" s="113">
        <f t="shared" si="122"/>
        <v>0</v>
      </c>
      <c r="V153" s="146">
        <f t="shared" si="105"/>
        <v>0</v>
      </c>
      <c r="W153" s="66"/>
      <c r="X153" s="115">
        <f t="shared" si="89"/>
        <v>3.125E-2</v>
      </c>
      <c r="Y153" s="110">
        <f t="shared" si="106"/>
        <v>0</v>
      </c>
      <c r="Z153" s="111">
        <f t="shared" si="125"/>
        <v>0.29166666666666669</v>
      </c>
      <c r="AA153" s="112">
        <f t="shared" si="107"/>
        <v>0</v>
      </c>
      <c r="AB153" s="67" t="str">
        <f t="shared" si="108"/>
        <v/>
      </c>
      <c r="AC153" s="193">
        <f t="shared" si="90"/>
        <v>0</v>
      </c>
      <c r="AD153" s="144" t="str">
        <f t="shared" si="91"/>
        <v/>
      </c>
      <c r="AE153" s="228">
        <f t="shared" si="117"/>
        <v>0</v>
      </c>
      <c r="AF153" s="110"/>
      <c r="AG153" s="110" t="str">
        <f t="shared" si="109"/>
        <v/>
      </c>
      <c r="AH153" s="68">
        <f t="shared" si="92"/>
        <v>0</v>
      </c>
      <c r="AI153" s="68">
        <f t="shared" si="93"/>
        <v>0</v>
      </c>
      <c r="AJ153" s="68" t="str">
        <f t="shared" si="94"/>
        <v/>
      </c>
      <c r="AK153">
        <f t="shared" si="95"/>
        <v>3</v>
      </c>
      <c r="AL153" s="122">
        <f>SUM($AD$6:AD153)</f>
        <v>0</v>
      </c>
      <c r="AM153" s="122">
        <f t="shared" ca="1" si="110"/>
        <v>0</v>
      </c>
      <c r="AN153" s="126">
        <f t="shared" si="118"/>
        <v>0</v>
      </c>
      <c r="AO153" s="126">
        <f t="shared" si="119"/>
        <v>0</v>
      </c>
      <c r="AP153" s="126">
        <f t="shared" si="120"/>
        <v>0</v>
      </c>
      <c r="AQ153" s="125">
        <f t="shared" si="111"/>
        <v>30</v>
      </c>
      <c r="AR153" s="125">
        <f t="shared" ca="1" si="112"/>
        <v>30</v>
      </c>
      <c r="AS153" s="135">
        <f t="shared" si="113"/>
        <v>0</v>
      </c>
      <c r="AT153" s="125">
        <f t="shared" si="114"/>
        <v>0</v>
      </c>
      <c r="AU153" t="b">
        <f>OR((F153&gt;0),(NOT(ISBLANK(H153))),SUM(H153:H$373),SUM(G153:G$373))</f>
        <v>0</v>
      </c>
      <c r="AV153" t="b">
        <f t="shared" ca="1" si="96"/>
        <v>0</v>
      </c>
      <c r="AX153" s="228">
        <f>SUM(AW$5:AW153)</f>
        <v>-2.9166666666666665</v>
      </c>
    </row>
    <row r="154" spans="1:50">
      <c r="A154" s="308">
        <f t="shared" si="115"/>
        <v>42517</v>
      </c>
      <c r="B154" s="309">
        <f t="shared" si="116"/>
        <v>42517</v>
      </c>
      <c r="C154" s="310">
        <f t="shared" si="123"/>
        <v>22</v>
      </c>
      <c r="D154" s="311">
        <f t="shared" si="124"/>
        <v>42490</v>
      </c>
      <c r="E154" s="321" t="str">
        <f t="shared" si="97"/>
        <v/>
      </c>
      <c r="F154" s="5"/>
      <c r="G154" s="6" t="str">
        <f t="shared" si="98"/>
        <v/>
      </c>
      <c r="H154" s="7"/>
      <c r="I154" s="7">
        <f t="shared" si="99"/>
        <v>0</v>
      </c>
      <c r="J154" s="113">
        <f t="shared" si="87"/>
        <v>0</v>
      </c>
      <c r="K154" s="7"/>
      <c r="L154" s="7">
        <f t="shared" si="100"/>
        <v>0</v>
      </c>
      <c r="M154" s="113">
        <f t="shared" si="101"/>
        <v>0</v>
      </c>
      <c r="N154" s="113"/>
      <c r="O154" s="113">
        <f t="shared" si="88"/>
        <v>0</v>
      </c>
      <c r="P154" s="113"/>
      <c r="Q154" s="113">
        <f t="shared" si="102"/>
        <v>0</v>
      </c>
      <c r="R154" s="113">
        <f t="shared" si="103"/>
        <v>0</v>
      </c>
      <c r="S154" s="113">
        <f t="shared" si="121"/>
        <v>0</v>
      </c>
      <c r="T154" s="113">
        <f t="shared" si="104"/>
        <v>0</v>
      </c>
      <c r="U154" s="113">
        <f t="shared" si="122"/>
        <v>0</v>
      </c>
      <c r="V154" s="146">
        <f t="shared" si="105"/>
        <v>0</v>
      </c>
      <c r="W154" s="66"/>
      <c r="X154" s="115">
        <f t="shared" si="89"/>
        <v>3.125E-2</v>
      </c>
      <c r="Y154" s="110">
        <f t="shared" si="106"/>
        <v>0</v>
      </c>
      <c r="Z154" s="111">
        <f t="shared" si="125"/>
        <v>0.29166666666666669</v>
      </c>
      <c r="AA154" s="112">
        <f t="shared" si="107"/>
        <v>0</v>
      </c>
      <c r="AB154" s="67" t="str">
        <f t="shared" si="108"/>
        <v/>
      </c>
      <c r="AC154" s="193">
        <f t="shared" si="90"/>
        <v>0</v>
      </c>
      <c r="AD154" s="144" t="str">
        <f t="shared" si="91"/>
        <v/>
      </c>
      <c r="AE154" s="228">
        <f t="shared" si="117"/>
        <v>0</v>
      </c>
      <c r="AF154" s="110"/>
      <c r="AG154" s="110" t="str">
        <f t="shared" si="109"/>
        <v/>
      </c>
      <c r="AH154" s="68">
        <f t="shared" si="92"/>
        <v>0</v>
      </c>
      <c r="AI154" s="68">
        <f t="shared" si="93"/>
        <v>0</v>
      </c>
      <c r="AJ154" s="68" t="str">
        <f t="shared" si="94"/>
        <v/>
      </c>
      <c r="AK154">
        <f t="shared" si="95"/>
        <v>4</v>
      </c>
      <c r="AL154" s="122">
        <f>SUM($AD$6:AD154)</f>
        <v>0</v>
      </c>
      <c r="AM154" s="122">
        <f t="shared" ca="1" si="110"/>
        <v>0</v>
      </c>
      <c r="AN154" s="126">
        <f t="shared" si="118"/>
        <v>0</v>
      </c>
      <c r="AO154" s="126">
        <f t="shared" si="119"/>
        <v>0</v>
      </c>
      <c r="AP154" s="126">
        <f t="shared" si="120"/>
        <v>0</v>
      </c>
      <c r="AQ154" s="125">
        <f t="shared" si="111"/>
        <v>30</v>
      </c>
      <c r="AR154" s="125">
        <f t="shared" ca="1" si="112"/>
        <v>30</v>
      </c>
      <c r="AS154" s="135">
        <f t="shared" si="113"/>
        <v>0</v>
      </c>
      <c r="AT154" s="125">
        <f t="shared" si="114"/>
        <v>0</v>
      </c>
      <c r="AU154" t="b">
        <f>OR((F154&gt;0),(NOT(ISBLANK(H154))),SUM(H154:H$373),SUM(G154:G$373))</f>
        <v>0</v>
      </c>
      <c r="AV154" t="b">
        <f t="shared" ca="1" si="96"/>
        <v>0</v>
      </c>
      <c r="AX154" s="228">
        <f>SUM(AW$5:AW154)</f>
        <v>-2.9166666666666665</v>
      </c>
    </row>
    <row r="155" spans="1:50">
      <c r="A155" s="308">
        <f t="shared" si="115"/>
        <v>42518</v>
      </c>
      <c r="B155" s="309">
        <f t="shared" si="116"/>
        <v>42518</v>
      </c>
      <c r="C155" s="310">
        <f t="shared" si="123"/>
        <v>22</v>
      </c>
      <c r="D155" s="311">
        <f t="shared" si="124"/>
        <v>42490</v>
      </c>
      <c r="E155" s="321" t="str">
        <f t="shared" si="97"/>
        <v/>
      </c>
      <c r="F155" s="5"/>
      <c r="G155" s="6" t="str">
        <f t="shared" si="98"/>
        <v/>
      </c>
      <c r="H155" s="7"/>
      <c r="I155" s="7">
        <f t="shared" si="99"/>
        <v>0</v>
      </c>
      <c r="J155" s="113">
        <f t="shared" si="87"/>
        <v>0</v>
      </c>
      <c r="K155" s="7"/>
      <c r="L155" s="7">
        <f t="shared" si="100"/>
        <v>0</v>
      </c>
      <c r="M155" s="113">
        <f t="shared" si="101"/>
        <v>0</v>
      </c>
      <c r="N155" s="113"/>
      <c r="O155" s="113">
        <f t="shared" si="88"/>
        <v>0</v>
      </c>
      <c r="P155" s="113"/>
      <c r="Q155" s="113">
        <f t="shared" si="102"/>
        <v>0</v>
      </c>
      <c r="R155" s="113">
        <f t="shared" si="103"/>
        <v>0</v>
      </c>
      <c r="S155" s="113">
        <f t="shared" si="121"/>
        <v>0</v>
      </c>
      <c r="T155" s="113">
        <f t="shared" si="104"/>
        <v>0</v>
      </c>
      <c r="U155" s="113">
        <f t="shared" si="122"/>
        <v>0</v>
      </c>
      <c r="V155" s="146">
        <f t="shared" si="105"/>
        <v>0</v>
      </c>
      <c r="W155" s="66"/>
      <c r="X155" s="115">
        <f t="shared" si="89"/>
        <v>3.125E-2</v>
      </c>
      <c r="Y155" s="110">
        <f t="shared" si="106"/>
        <v>0</v>
      </c>
      <c r="Z155" s="111">
        <f t="shared" si="125"/>
        <v>0.29166666666666669</v>
      </c>
      <c r="AA155" s="112">
        <f t="shared" si="107"/>
        <v>0</v>
      </c>
      <c r="AB155" s="67" t="str">
        <f t="shared" si="108"/>
        <v/>
      </c>
      <c r="AC155" s="193">
        <f t="shared" si="90"/>
        <v>0</v>
      </c>
      <c r="AD155" s="144" t="str">
        <f t="shared" si="91"/>
        <v/>
      </c>
      <c r="AE155" s="228">
        <f t="shared" si="117"/>
        <v>0</v>
      </c>
      <c r="AF155" s="110"/>
      <c r="AG155" s="110" t="str">
        <f t="shared" si="109"/>
        <v/>
      </c>
      <c r="AH155" s="68">
        <f t="shared" si="92"/>
        <v>0</v>
      </c>
      <c r="AI155" s="68">
        <f t="shared" si="93"/>
        <v>0</v>
      </c>
      <c r="AJ155" s="68" t="str">
        <f t="shared" si="94"/>
        <v/>
      </c>
      <c r="AK155">
        <f t="shared" si="95"/>
        <v>5</v>
      </c>
      <c r="AL155" s="122">
        <f>SUM($AD$6:AD155)</f>
        <v>0</v>
      </c>
      <c r="AM155" s="122">
        <f t="shared" ca="1" si="110"/>
        <v>0</v>
      </c>
      <c r="AN155" s="126">
        <f t="shared" si="118"/>
        <v>0</v>
      </c>
      <c r="AO155" s="126">
        <f t="shared" si="119"/>
        <v>0</v>
      </c>
      <c r="AP155" s="126">
        <f t="shared" si="120"/>
        <v>0</v>
      </c>
      <c r="AQ155" s="125">
        <f t="shared" si="111"/>
        <v>30</v>
      </c>
      <c r="AR155" s="125">
        <f t="shared" ca="1" si="112"/>
        <v>30</v>
      </c>
      <c r="AS155" s="135">
        <f t="shared" si="113"/>
        <v>0</v>
      </c>
      <c r="AT155" s="125">
        <f t="shared" si="114"/>
        <v>0</v>
      </c>
      <c r="AU155" t="b">
        <f>OR((F155&gt;0),(NOT(ISBLANK(H155))),SUM(H155:H$373),SUM(G155:G$373))</f>
        <v>0</v>
      </c>
      <c r="AV155" t="b">
        <f t="shared" ca="1" si="96"/>
        <v>0</v>
      </c>
      <c r="AX155" s="228">
        <f>SUM(AW$5:AW155)</f>
        <v>-2.9166666666666665</v>
      </c>
    </row>
    <row r="156" spans="1:50">
      <c r="A156" s="308">
        <f t="shared" si="115"/>
        <v>42519</v>
      </c>
      <c r="B156" s="309">
        <f t="shared" si="116"/>
        <v>42519</v>
      </c>
      <c r="C156" s="310">
        <f t="shared" si="123"/>
        <v>22</v>
      </c>
      <c r="D156" s="311">
        <f t="shared" si="124"/>
        <v>42490</v>
      </c>
      <c r="E156" s="321" t="str">
        <f t="shared" si="97"/>
        <v/>
      </c>
      <c r="F156" s="5"/>
      <c r="G156" s="6" t="str">
        <f t="shared" si="98"/>
        <v/>
      </c>
      <c r="H156" s="7"/>
      <c r="I156" s="7">
        <f t="shared" si="99"/>
        <v>0</v>
      </c>
      <c r="J156" s="113">
        <f t="shared" si="87"/>
        <v>0</v>
      </c>
      <c r="K156" s="7"/>
      <c r="L156" s="7">
        <f t="shared" si="100"/>
        <v>0</v>
      </c>
      <c r="M156" s="113">
        <f t="shared" si="101"/>
        <v>0</v>
      </c>
      <c r="N156" s="113"/>
      <c r="O156" s="113">
        <f t="shared" si="88"/>
        <v>0</v>
      </c>
      <c r="P156" s="113"/>
      <c r="Q156" s="113">
        <f t="shared" si="102"/>
        <v>0</v>
      </c>
      <c r="R156" s="113">
        <f t="shared" si="103"/>
        <v>0</v>
      </c>
      <c r="S156" s="113">
        <f t="shared" si="121"/>
        <v>0</v>
      </c>
      <c r="T156" s="113">
        <f t="shared" si="104"/>
        <v>0</v>
      </c>
      <c r="U156" s="113">
        <f t="shared" si="122"/>
        <v>0</v>
      </c>
      <c r="V156" s="146">
        <f t="shared" si="105"/>
        <v>0</v>
      </c>
      <c r="W156" s="66"/>
      <c r="X156" s="115">
        <f t="shared" si="89"/>
        <v>3.125E-2</v>
      </c>
      <c r="Y156" s="110">
        <f t="shared" si="106"/>
        <v>0</v>
      </c>
      <c r="Z156" s="111">
        <f t="shared" si="125"/>
        <v>0</v>
      </c>
      <c r="AA156" s="112">
        <f t="shared" si="107"/>
        <v>0</v>
      </c>
      <c r="AB156" s="67" t="str">
        <f t="shared" si="108"/>
        <v/>
      </c>
      <c r="AC156" s="193">
        <f t="shared" si="90"/>
        <v>0</v>
      </c>
      <c r="AD156" s="144" t="str">
        <f t="shared" si="91"/>
        <v/>
      </c>
      <c r="AE156" s="228">
        <f t="shared" si="117"/>
        <v>0</v>
      </c>
      <c r="AF156" s="110"/>
      <c r="AG156" s="110" t="str">
        <f t="shared" si="109"/>
        <v/>
      </c>
      <c r="AH156" s="68">
        <f t="shared" si="92"/>
        <v>0</v>
      </c>
      <c r="AI156" s="68">
        <f t="shared" si="93"/>
        <v>0</v>
      </c>
      <c r="AJ156" s="68" t="str">
        <f t="shared" si="94"/>
        <v/>
      </c>
      <c r="AK156">
        <f t="shared" si="95"/>
        <v>6</v>
      </c>
      <c r="AL156" s="122">
        <f>SUM($AD$6:AD156)</f>
        <v>0</v>
      </c>
      <c r="AM156" s="122">
        <f t="shared" ca="1" si="110"/>
        <v>0</v>
      </c>
      <c r="AN156" s="126">
        <f t="shared" si="118"/>
        <v>0</v>
      </c>
      <c r="AO156" s="126">
        <f t="shared" si="119"/>
        <v>0</v>
      </c>
      <c r="AP156" s="126">
        <f t="shared" si="120"/>
        <v>0</v>
      </c>
      <c r="AQ156" s="125">
        <f t="shared" si="111"/>
        <v>30</v>
      </c>
      <c r="AR156" s="125">
        <f t="shared" ca="1" si="112"/>
        <v>30</v>
      </c>
      <c r="AS156" s="135">
        <f t="shared" si="113"/>
        <v>0</v>
      </c>
      <c r="AT156" s="125">
        <f t="shared" si="114"/>
        <v>7</v>
      </c>
      <c r="AU156" t="b">
        <f>OR((F156&gt;0),(NOT(ISBLANK(H156))),SUM(H156:H$373),SUM(G156:G$373))</f>
        <v>0</v>
      </c>
      <c r="AV156" t="b">
        <f t="shared" ca="1" si="96"/>
        <v>1</v>
      </c>
      <c r="AX156" s="228">
        <f>SUM(AW$5:AW156)</f>
        <v>-2.9166666666666665</v>
      </c>
    </row>
    <row r="157" spans="1:50">
      <c r="A157" s="308">
        <f t="shared" si="115"/>
        <v>42520</v>
      </c>
      <c r="B157" s="309">
        <f t="shared" si="116"/>
        <v>42520</v>
      </c>
      <c r="C157" s="310">
        <f t="shared" si="123"/>
        <v>22</v>
      </c>
      <c r="D157" s="311">
        <f t="shared" si="124"/>
        <v>42490</v>
      </c>
      <c r="E157" s="321" t="str">
        <f t="shared" si="97"/>
        <v>Pfingstsonntag</v>
      </c>
      <c r="F157" s="5"/>
      <c r="G157" s="6" t="str">
        <f t="shared" si="98"/>
        <v/>
      </c>
      <c r="H157" s="7"/>
      <c r="I157" s="7">
        <f t="shared" si="99"/>
        <v>0</v>
      </c>
      <c r="J157" s="113">
        <f t="shared" si="87"/>
        <v>0</v>
      </c>
      <c r="K157" s="7"/>
      <c r="L157" s="7">
        <f t="shared" si="100"/>
        <v>0</v>
      </c>
      <c r="M157" s="113">
        <f t="shared" si="101"/>
        <v>0</v>
      </c>
      <c r="N157" s="113"/>
      <c r="O157" s="113">
        <f t="shared" si="88"/>
        <v>0</v>
      </c>
      <c r="P157" s="113"/>
      <c r="Q157" s="113">
        <f t="shared" si="102"/>
        <v>0</v>
      </c>
      <c r="R157" s="113">
        <f t="shared" si="103"/>
        <v>0</v>
      </c>
      <c r="S157" s="113">
        <f t="shared" si="121"/>
        <v>0</v>
      </c>
      <c r="T157" s="113">
        <f t="shared" si="104"/>
        <v>0</v>
      </c>
      <c r="U157" s="113">
        <f t="shared" si="122"/>
        <v>0</v>
      </c>
      <c r="V157" s="146">
        <f t="shared" si="105"/>
        <v>0</v>
      </c>
      <c r="W157" s="66"/>
      <c r="X157" s="115">
        <f t="shared" si="89"/>
        <v>3.125E-2</v>
      </c>
      <c r="Y157" s="110">
        <f t="shared" si="106"/>
        <v>0</v>
      </c>
      <c r="Z157" s="111" t="str">
        <f t="shared" si="125"/>
        <v/>
      </c>
      <c r="AA157" s="112">
        <f t="shared" si="107"/>
        <v>0</v>
      </c>
      <c r="AB157" s="67" t="str">
        <f t="shared" si="108"/>
        <v/>
      </c>
      <c r="AC157" s="193">
        <f t="shared" si="90"/>
        <v>0</v>
      </c>
      <c r="AD157" s="144" t="str">
        <f t="shared" si="91"/>
        <v/>
      </c>
      <c r="AE157" s="228">
        <f t="shared" si="117"/>
        <v>0</v>
      </c>
      <c r="AF157" s="110"/>
      <c r="AG157" s="110" t="str">
        <f t="shared" si="109"/>
        <v/>
      </c>
      <c r="AH157" s="68">
        <f t="shared" si="92"/>
        <v>0</v>
      </c>
      <c r="AI157" s="68">
        <f t="shared" si="93"/>
        <v>0</v>
      </c>
      <c r="AJ157" s="68" t="str">
        <f t="shared" si="94"/>
        <v/>
      </c>
      <c r="AK157">
        <f t="shared" si="95"/>
        <v>8</v>
      </c>
      <c r="AL157" s="122">
        <f>SUM($AD$6:AD157)</f>
        <v>0</v>
      </c>
      <c r="AM157" s="122">
        <f t="shared" ca="1" si="110"/>
        <v>0</v>
      </c>
      <c r="AN157" s="126">
        <f t="shared" si="118"/>
        <v>0</v>
      </c>
      <c r="AO157" s="126">
        <f t="shared" si="119"/>
        <v>0</v>
      </c>
      <c r="AP157" s="126">
        <f t="shared" si="120"/>
        <v>0</v>
      </c>
      <c r="AQ157" s="125">
        <f t="shared" si="111"/>
        <v>30</v>
      </c>
      <c r="AR157" s="125">
        <f t="shared" ca="1" si="112"/>
        <v>30</v>
      </c>
      <c r="AS157" s="135">
        <f t="shared" si="113"/>
        <v>0</v>
      </c>
      <c r="AT157" s="125">
        <f t="shared" si="114"/>
        <v>8</v>
      </c>
      <c r="AU157" t="b">
        <f>OR((F157&gt;0),(NOT(ISBLANK(H157))),SUM(H157:H$373),SUM(G157:G$373))</f>
        <v>0</v>
      </c>
      <c r="AV157" t="b">
        <f t="shared" ca="1" si="96"/>
        <v>1</v>
      </c>
      <c r="AX157" s="228">
        <f>SUM(AW$5:AW157)</f>
        <v>-2.9166666666666665</v>
      </c>
    </row>
    <row r="158" spans="1:50">
      <c r="A158" s="308">
        <f t="shared" si="115"/>
        <v>42521</v>
      </c>
      <c r="B158" s="309">
        <f t="shared" si="116"/>
        <v>42521</v>
      </c>
      <c r="C158" s="310">
        <f t="shared" si="123"/>
        <v>23</v>
      </c>
      <c r="D158" s="311">
        <f t="shared" si="124"/>
        <v>42521</v>
      </c>
      <c r="E158" s="321" t="str">
        <f t="shared" si="97"/>
        <v>Pfingstmontag</v>
      </c>
      <c r="F158" s="5"/>
      <c r="G158" s="6" t="str">
        <f t="shared" si="98"/>
        <v/>
      </c>
      <c r="H158" s="7"/>
      <c r="I158" s="7">
        <f t="shared" si="99"/>
        <v>0</v>
      </c>
      <c r="J158" s="113">
        <f t="shared" si="87"/>
        <v>0</v>
      </c>
      <c r="K158" s="7"/>
      <c r="L158" s="7">
        <f t="shared" si="100"/>
        <v>0</v>
      </c>
      <c r="M158" s="113">
        <f t="shared" si="101"/>
        <v>0</v>
      </c>
      <c r="N158" s="113"/>
      <c r="O158" s="113">
        <f t="shared" si="88"/>
        <v>0</v>
      </c>
      <c r="P158" s="113"/>
      <c r="Q158" s="113">
        <f t="shared" si="102"/>
        <v>0</v>
      </c>
      <c r="R158" s="113">
        <f t="shared" si="103"/>
        <v>0</v>
      </c>
      <c r="S158" s="113">
        <f t="shared" si="121"/>
        <v>0</v>
      </c>
      <c r="T158" s="113">
        <f t="shared" si="104"/>
        <v>0</v>
      </c>
      <c r="U158" s="113">
        <f t="shared" si="122"/>
        <v>0</v>
      </c>
      <c r="V158" s="146">
        <f t="shared" si="105"/>
        <v>0</v>
      </c>
      <c r="W158" s="66"/>
      <c r="X158" s="115">
        <f t="shared" si="89"/>
        <v>3.125E-2</v>
      </c>
      <c r="Y158" s="110">
        <f t="shared" si="106"/>
        <v>0</v>
      </c>
      <c r="Z158" s="111" t="str">
        <f t="shared" si="125"/>
        <v/>
      </c>
      <c r="AA158" s="112">
        <f t="shared" si="107"/>
        <v>0</v>
      </c>
      <c r="AB158" s="67" t="str">
        <f t="shared" si="108"/>
        <v/>
      </c>
      <c r="AC158" s="193">
        <f t="shared" si="90"/>
        <v>0</v>
      </c>
      <c r="AD158" s="144" t="str">
        <f t="shared" si="91"/>
        <v/>
      </c>
      <c r="AE158" s="228">
        <f t="shared" si="117"/>
        <v>0</v>
      </c>
      <c r="AF158" s="110"/>
      <c r="AG158" s="110" t="str">
        <f t="shared" si="109"/>
        <v/>
      </c>
      <c r="AH158" s="68">
        <f t="shared" si="92"/>
        <v>0</v>
      </c>
      <c r="AI158" s="68">
        <f t="shared" si="93"/>
        <v>0</v>
      </c>
      <c r="AJ158" s="68" t="str">
        <f t="shared" si="94"/>
        <v/>
      </c>
      <c r="AK158">
        <f t="shared" si="95"/>
        <v>8</v>
      </c>
      <c r="AL158" s="122">
        <f>SUM($AD$6:AD158)</f>
        <v>0</v>
      </c>
      <c r="AM158" s="122">
        <f t="shared" ca="1" si="110"/>
        <v>0</v>
      </c>
      <c r="AN158" s="126">
        <f t="shared" si="118"/>
        <v>0</v>
      </c>
      <c r="AO158" s="126">
        <f t="shared" si="119"/>
        <v>0</v>
      </c>
      <c r="AP158" s="126">
        <f t="shared" si="120"/>
        <v>0</v>
      </c>
      <c r="AQ158" s="125">
        <f t="shared" si="111"/>
        <v>30</v>
      </c>
      <c r="AR158" s="125">
        <f t="shared" ca="1" si="112"/>
        <v>30</v>
      </c>
      <c r="AS158" s="135">
        <f t="shared" si="113"/>
        <v>0</v>
      </c>
      <c r="AT158" s="125">
        <f t="shared" si="114"/>
        <v>8</v>
      </c>
      <c r="AU158" t="b">
        <f>OR((F158&gt;0),(NOT(ISBLANK(H158))),SUM(H158:H$373),SUM(G158:G$373))</f>
        <v>0</v>
      </c>
      <c r="AV158" t="b">
        <f t="shared" ca="1" si="96"/>
        <v>1</v>
      </c>
      <c r="AX158" s="228">
        <f>SUM(AW$5:AW158)</f>
        <v>-2.9166666666666665</v>
      </c>
    </row>
    <row r="159" spans="1:50">
      <c r="A159" s="308">
        <f t="shared" si="115"/>
        <v>42522</v>
      </c>
      <c r="B159" s="309">
        <f t="shared" si="116"/>
        <v>42522</v>
      </c>
      <c r="C159" s="310">
        <f t="shared" si="123"/>
        <v>23</v>
      </c>
      <c r="D159" s="311">
        <f t="shared" si="124"/>
        <v>42521</v>
      </c>
      <c r="E159" s="321" t="str">
        <f t="shared" si="97"/>
        <v/>
      </c>
      <c r="F159" s="5"/>
      <c r="G159" s="6" t="str">
        <f t="shared" si="98"/>
        <v/>
      </c>
      <c r="H159" s="7"/>
      <c r="I159" s="7">
        <f t="shared" si="99"/>
        <v>0</v>
      </c>
      <c r="J159" s="113">
        <f t="shared" si="87"/>
        <v>0</v>
      </c>
      <c r="K159" s="7"/>
      <c r="L159" s="7">
        <f t="shared" si="100"/>
        <v>0</v>
      </c>
      <c r="M159" s="113">
        <f t="shared" si="101"/>
        <v>0</v>
      </c>
      <c r="N159" s="113"/>
      <c r="O159" s="113">
        <f t="shared" si="88"/>
        <v>0</v>
      </c>
      <c r="P159" s="113"/>
      <c r="Q159" s="113">
        <f t="shared" si="102"/>
        <v>0</v>
      </c>
      <c r="R159" s="113">
        <f t="shared" si="103"/>
        <v>0</v>
      </c>
      <c r="S159" s="113">
        <f t="shared" si="121"/>
        <v>0</v>
      </c>
      <c r="T159" s="113">
        <f t="shared" si="104"/>
        <v>0</v>
      </c>
      <c r="U159" s="113">
        <f t="shared" si="122"/>
        <v>0</v>
      </c>
      <c r="V159" s="146">
        <f t="shared" si="105"/>
        <v>0</v>
      </c>
      <c r="W159" s="66"/>
      <c r="X159" s="115">
        <f t="shared" si="89"/>
        <v>3.125E-2</v>
      </c>
      <c r="Y159" s="110">
        <f t="shared" si="106"/>
        <v>0</v>
      </c>
      <c r="Z159" s="111">
        <f t="shared" si="125"/>
        <v>0.29166666666666669</v>
      </c>
      <c r="AA159" s="112">
        <f t="shared" si="107"/>
        <v>0</v>
      </c>
      <c r="AB159" s="67" t="str">
        <f t="shared" si="108"/>
        <v/>
      </c>
      <c r="AC159" s="193">
        <f t="shared" si="90"/>
        <v>0</v>
      </c>
      <c r="AD159" s="144" t="str">
        <f t="shared" si="91"/>
        <v/>
      </c>
      <c r="AE159" s="228">
        <f t="shared" si="117"/>
        <v>0</v>
      </c>
      <c r="AF159" s="110"/>
      <c r="AG159" s="110" t="str">
        <f t="shared" si="109"/>
        <v/>
      </c>
      <c r="AH159" s="68">
        <f t="shared" si="92"/>
        <v>0</v>
      </c>
      <c r="AI159" s="68">
        <f t="shared" si="93"/>
        <v>0</v>
      </c>
      <c r="AJ159" s="68" t="str">
        <f t="shared" si="94"/>
        <v/>
      </c>
      <c r="AK159">
        <f t="shared" si="95"/>
        <v>2</v>
      </c>
      <c r="AL159" s="122">
        <f>SUM($AD$6:AD159)</f>
        <v>0</v>
      </c>
      <c r="AM159" s="122">
        <f t="shared" ca="1" si="110"/>
        <v>0</v>
      </c>
      <c r="AN159" s="126">
        <f t="shared" si="118"/>
        <v>0</v>
      </c>
      <c r="AO159" s="126">
        <f t="shared" si="119"/>
        <v>0</v>
      </c>
      <c r="AP159" s="126">
        <f t="shared" si="120"/>
        <v>0</v>
      </c>
      <c r="AQ159" s="125">
        <f t="shared" si="111"/>
        <v>30</v>
      </c>
      <c r="AR159" s="125">
        <f t="shared" ca="1" si="112"/>
        <v>30</v>
      </c>
      <c r="AS159" s="135">
        <f t="shared" si="113"/>
        <v>0</v>
      </c>
      <c r="AT159" s="125">
        <f t="shared" si="114"/>
        <v>0</v>
      </c>
      <c r="AU159" t="b">
        <f>OR((F159&gt;0),(NOT(ISBLANK(H159))),SUM(H159:H$373),SUM(G159:G$373))</f>
        <v>0</v>
      </c>
      <c r="AV159" t="b">
        <f t="shared" ca="1" si="96"/>
        <v>0</v>
      </c>
      <c r="AX159" s="228">
        <f>SUM(AW$5:AW159)</f>
        <v>-2.9166666666666665</v>
      </c>
    </row>
    <row r="160" spans="1:50">
      <c r="A160" s="308">
        <f t="shared" si="115"/>
        <v>42523</v>
      </c>
      <c r="B160" s="309">
        <f t="shared" si="116"/>
        <v>42523</v>
      </c>
      <c r="C160" s="310">
        <f t="shared" si="123"/>
        <v>23</v>
      </c>
      <c r="D160" s="311">
        <f t="shared" si="124"/>
        <v>42521</v>
      </c>
      <c r="E160" s="321" t="str">
        <f t="shared" si="97"/>
        <v/>
      </c>
      <c r="F160" s="5"/>
      <c r="G160" s="6" t="str">
        <f t="shared" si="98"/>
        <v/>
      </c>
      <c r="H160" s="7"/>
      <c r="I160" s="7">
        <f t="shared" si="99"/>
        <v>0</v>
      </c>
      <c r="J160" s="113">
        <f t="shared" si="87"/>
        <v>0</v>
      </c>
      <c r="K160" s="7"/>
      <c r="L160" s="7">
        <f t="shared" si="100"/>
        <v>0</v>
      </c>
      <c r="M160" s="113">
        <f t="shared" si="101"/>
        <v>0</v>
      </c>
      <c r="N160" s="113"/>
      <c r="O160" s="113">
        <f t="shared" si="88"/>
        <v>0</v>
      </c>
      <c r="P160" s="113"/>
      <c r="Q160" s="113">
        <f t="shared" si="102"/>
        <v>0</v>
      </c>
      <c r="R160" s="113">
        <f t="shared" si="103"/>
        <v>0</v>
      </c>
      <c r="S160" s="113">
        <f t="shared" si="121"/>
        <v>0</v>
      </c>
      <c r="T160" s="113">
        <f t="shared" si="104"/>
        <v>0</v>
      </c>
      <c r="U160" s="113">
        <f t="shared" si="122"/>
        <v>0</v>
      </c>
      <c r="V160" s="146">
        <f t="shared" si="105"/>
        <v>0</v>
      </c>
      <c r="W160" s="66"/>
      <c r="X160" s="115">
        <f t="shared" si="89"/>
        <v>3.125E-2</v>
      </c>
      <c r="Y160" s="110">
        <f t="shared" si="106"/>
        <v>0</v>
      </c>
      <c r="Z160" s="111">
        <f t="shared" si="125"/>
        <v>0.29166666666666669</v>
      </c>
      <c r="AA160" s="112">
        <f t="shared" si="107"/>
        <v>0</v>
      </c>
      <c r="AB160" s="67" t="str">
        <f t="shared" si="108"/>
        <v/>
      </c>
      <c r="AC160" s="193">
        <f t="shared" si="90"/>
        <v>0</v>
      </c>
      <c r="AD160" s="144" t="str">
        <f t="shared" si="91"/>
        <v/>
      </c>
      <c r="AE160" s="228">
        <f t="shared" si="117"/>
        <v>0</v>
      </c>
      <c r="AF160" s="110"/>
      <c r="AG160" s="110" t="str">
        <f t="shared" si="109"/>
        <v/>
      </c>
      <c r="AH160" s="68">
        <f t="shared" si="92"/>
        <v>0</v>
      </c>
      <c r="AI160" s="68">
        <f t="shared" si="93"/>
        <v>0</v>
      </c>
      <c r="AJ160" s="68" t="str">
        <f t="shared" si="94"/>
        <v/>
      </c>
      <c r="AK160">
        <f t="shared" si="95"/>
        <v>3</v>
      </c>
      <c r="AL160" s="122">
        <f>SUM($AD$6:AD160)</f>
        <v>0</v>
      </c>
      <c r="AM160" s="122">
        <f t="shared" ca="1" si="110"/>
        <v>0</v>
      </c>
      <c r="AN160" s="126">
        <f t="shared" si="118"/>
        <v>0</v>
      </c>
      <c r="AO160" s="126">
        <f t="shared" si="119"/>
        <v>0</v>
      </c>
      <c r="AP160" s="126">
        <f t="shared" si="120"/>
        <v>0</v>
      </c>
      <c r="AQ160" s="125">
        <f t="shared" si="111"/>
        <v>30</v>
      </c>
      <c r="AR160" s="125">
        <f t="shared" ca="1" si="112"/>
        <v>30</v>
      </c>
      <c r="AS160" s="135">
        <f t="shared" si="113"/>
        <v>0</v>
      </c>
      <c r="AT160" s="125">
        <f t="shared" si="114"/>
        <v>0</v>
      </c>
      <c r="AU160" t="b">
        <f>OR((F160&gt;0),(NOT(ISBLANK(H160))),SUM(H160:H$373),SUM(G160:G$373))</f>
        <v>0</v>
      </c>
      <c r="AV160" t="b">
        <f t="shared" ca="1" si="96"/>
        <v>0</v>
      </c>
      <c r="AX160" s="228">
        <f>SUM(AW$5:AW160)</f>
        <v>-2.9166666666666665</v>
      </c>
    </row>
    <row r="161" spans="1:50">
      <c r="A161" s="308">
        <f t="shared" si="115"/>
        <v>42524</v>
      </c>
      <c r="B161" s="309">
        <f t="shared" si="116"/>
        <v>42524</v>
      </c>
      <c r="C161" s="310">
        <f t="shared" si="123"/>
        <v>23</v>
      </c>
      <c r="D161" s="311">
        <f t="shared" si="124"/>
        <v>42521</v>
      </c>
      <c r="E161" s="321" t="str">
        <f t="shared" si="97"/>
        <v/>
      </c>
      <c r="F161" s="5"/>
      <c r="G161" s="6" t="str">
        <f t="shared" si="98"/>
        <v/>
      </c>
      <c r="H161" s="7"/>
      <c r="I161" s="7">
        <f t="shared" si="99"/>
        <v>0</v>
      </c>
      <c r="J161" s="113">
        <f t="shared" si="87"/>
        <v>0</v>
      </c>
      <c r="K161" s="7"/>
      <c r="L161" s="7">
        <f t="shared" si="100"/>
        <v>0</v>
      </c>
      <c r="M161" s="113">
        <f t="shared" si="101"/>
        <v>0</v>
      </c>
      <c r="N161" s="113"/>
      <c r="O161" s="113">
        <f t="shared" si="88"/>
        <v>0</v>
      </c>
      <c r="P161" s="113"/>
      <c r="Q161" s="113">
        <f t="shared" si="102"/>
        <v>0</v>
      </c>
      <c r="R161" s="113">
        <f t="shared" si="103"/>
        <v>0</v>
      </c>
      <c r="S161" s="113">
        <f t="shared" si="121"/>
        <v>0</v>
      </c>
      <c r="T161" s="113">
        <f t="shared" si="104"/>
        <v>0</v>
      </c>
      <c r="U161" s="113">
        <f t="shared" si="122"/>
        <v>0</v>
      </c>
      <c r="V161" s="146">
        <f t="shared" si="105"/>
        <v>0</v>
      </c>
      <c r="W161" s="66"/>
      <c r="X161" s="115">
        <f t="shared" si="89"/>
        <v>3.125E-2</v>
      </c>
      <c r="Y161" s="110">
        <f t="shared" si="106"/>
        <v>0</v>
      </c>
      <c r="Z161" s="111">
        <f t="shared" si="125"/>
        <v>0.29166666666666669</v>
      </c>
      <c r="AA161" s="112">
        <f t="shared" si="107"/>
        <v>0</v>
      </c>
      <c r="AB161" s="67" t="str">
        <f t="shared" si="108"/>
        <v/>
      </c>
      <c r="AC161" s="193">
        <f t="shared" si="90"/>
        <v>0</v>
      </c>
      <c r="AD161" s="144" t="str">
        <f t="shared" si="91"/>
        <v/>
      </c>
      <c r="AE161" s="228">
        <f t="shared" si="117"/>
        <v>0</v>
      </c>
      <c r="AF161" s="110"/>
      <c r="AG161" s="110" t="str">
        <f t="shared" si="109"/>
        <v/>
      </c>
      <c r="AH161" s="68">
        <f t="shared" si="92"/>
        <v>0</v>
      </c>
      <c r="AI161" s="68">
        <f t="shared" si="93"/>
        <v>0</v>
      </c>
      <c r="AJ161" s="68" t="str">
        <f t="shared" si="94"/>
        <v/>
      </c>
      <c r="AK161">
        <f t="shared" si="95"/>
        <v>4</v>
      </c>
      <c r="AL161" s="122">
        <f>SUM($AD$6:AD161)</f>
        <v>0</v>
      </c>
      <c r="AM161" s="122">
        <f t="shared" ca="1" si="110"/>
        <v>0</v>
      </c>
      <c r="AN161" s="126">
        <f t="shared" si="118"/>
        <v>0</v>
      </c>
      <c r="AO161" s="126">
        <f t="shared" si="119"/>
        <v>0</v>
      </c>
      <c r="AP161" s="126">
        <f t="shared" si="120"/>
        <v>0</v>
      </c>
      <c r="AQ161" s="125">
        <f t="shared" si="111"/>
        <v>30</v>
      </c>
      <c r="AR161" s="125">
        <f t="shared" ca="1" si="112"/>
        <v>30</v>
      </c>
      <c r="AS161" s="135">
        <f t="shared" si="113"/>
        <v>0</v>
      </c>
      <c r="AT161" s="125">
        <f t="shared" si="114"/>
        <v>0</v>
      </c>
      <c r="AU161" t="b">
        <f>OR((F161&gt;0),(NOT(ISBLANK(H161))),SUM(H161:H$373),SUM(G161:G$373))</f>
        <v>0</v>
      </c>
      <c r="AV161" t="b">
        <f t="shared" ca="1" si="96"/>
        <v>0</v>
      </c>
      <c r="AX161" s="228">
        <f>SUM(AW$5:AW161)</f>
        <v>-2.9166666666666665</v>
      </c>
    </row>
    <row r="162" spans="1:50">
      <c r="A162" s="308">
        <f t="shared" si="115"/>
        <v>42525</v>
      </c>
      <c r="B162" s="309">
        <f t="shared" si="116"/>
        <v>42525</v>
      </c>
      <c r="C162" s="310">
        <f t="shared" si="123"/>
        <v>23</v>
      </c>
      <c r="D162" s="311">
        <f t="shared" si="124"/>
        <v>42521</v>
      </c>
      <c r="E162" s="321" t="str">
        <f t="shared" si="97"/>
        <v/>
      </c>
      <c r="F162" s="5"/>
      <c r="G162" s="6" t="str">
        <f t="shared" si="98"/>
        <v/>
      </c>
      <c r="H162" s="7"/>
      <c r="I162" s="7">
        <f t="shared" si="99"/>
        <v>0</v>
      </c>
      <c r="J162" s="113">
        <f t="shared" si="87"/>
        <v>0</v>
      </c>
      <c r="K162" s="7"/>
      <c r="L162" s="7">
        <f t="shared" si="100"/>
        <v>0</v>
      </c>
      <c r="M162" s="113">
        <f t="shared" si="101"/>
        <v>0</v>
      </c>
      <c r="N162" s="113"/>
      <c r="O162" s="113">
        <f t="shared" si="88"/>
        <v>0</v>
      </c>
      <c r="P162" s="113"/>
      <c r="Q162" s="113">
        <f t="shared" si="102"/>
        <v>0</v>
      </c>
      <c r="R162" s="113">
        <f t="shared" si="103"/>
        <v>0</v>
      </c>
      <c r="S162" s="113">
        <f t="shared" si="121"/>
        <v>0</v>
      </c>
      <c r="T162" s="113">
        <f t="shared" si="104"/>
        <v>0</v>
      </c>
      <c r="U162" s="113">
        <f t="shared" si="122"/>
        <v>0</v>
      </c>
      <c r="V162" s="146">
        <f t="shared" si="105"/>
        <v>0</v>
      </c>
      <c r="W162" s="66"/>
      <c r="X162" s="115">
        <f t="shared" si="89"/>
        <v>3.125E-2</v>
      </c>
      <c r="Y162" s="110">
        <f t="shared" si="106"/>
        <v>0</v>
      </c>
      <c r="Z162" s="111">
        <f t="shared" si="125"/>
        <v>0.29166666666666669</v>
      </c>
      <c r="AA162" s="112">
        <f t="shared" si="107"/>
        <v>0</v>
      </c>
      <c r="AB162" s="67" t="str">
        <f t="shared" si="108"/>
        <v/>
      </c>
      <c r="AC162" s="193">
        <f t="shared" si="90"/>
        <v>0</v>
      </c>
      <c r="AD162" s="144" t="str">
        <f t="shared" si="91"/>
        <v/>
      </c>
      <c r="AE162" s="228">
        <f t="shared" si="117"/>
        <v>0</v>
      </c>
      <c r="AF162" s="110"/>
      <c r="AG162" s="110" t="str">
        <f t="shared" si="109"/>
        <v/>
      </c>
      <c r="AH162" s="68">
        <f t="shared" si="92"/>
        <v>0</v>
      </c>
      <c r="AI162" s="68">
        <f t="shared" si="93"/>
        <v>0</v>
      </c>
      <c r="AJ162" s="68" t="str">
        <f t="shared" si="94"/>
        <v/>
      </c>
      <c r="AK162">
        <f t="shared" si="95"/>
        <v>5</v>
      </c>
      <c r="AL162" s="122">
        <f>SUM($AD$6:AD162)</f>
        <v>0</v>
      </c>
      <c r="AM162" s="122">
        <f t="shared" ca="1" si="110"/>
        <v>0</v>
      </c>
      <c r="AN162" s="126">
        <f t="shared" si="118"/>
        <v>0</v>
      </c>
      <c r="AO162" s="126">
        <f t="shared" si="119"/>
        <v>0</v>
      </c>
      <c r="AP162" s="126">
        <f t="shared" si="120"/>
        <v>0</v>
      </c>
      <c r="AQ162" s="125">
        <f t="shared" si="111"/>
        <v>30</v>
      </c>
      <c r="AR162" s="125">
        <f t="shared" ca="1" si="112"/>
        <v>30</v>
      </c>
      <c r="AS162" s="135">
        <f t="shared" si="113"/>
        <v>0</v>
      </c>
      <c r="AT162" s="125">
        <f t="shared" si="114"/>
        <v>0</v>
      </c>
      <c r="AU162" t="b">
        <f>OR((F162&gt;0),(NOT(ISBLANK(H162))),SUM(H162:H$373),SUM(G162:G$373))</f>
        <v>0</v>
      </c>
      <c r="AV162" t="b">
        <f t="shared" ca="1" si="96"/>
        <v>0</v>
      </c>
      <c r="AX162" s="228">
        <f>SUM(AW$5:AW162)</f>
        <v>-2.9166666666666665</v>
      </c>
    </row>
    <row r="163" spans="1:50">
      <c r="A163" s="308">
        <f t="shared" si="115"/>
        <v>42526</v>
      </c>
      <c r="B163" s="309">
        <f t="shared" si="116"/>
        <v>42526</v>
      </c>
      <c r="C163" s="310">
        <f t="shared" si="123"/>
        <v>23</v>
      </c>
      <c r="D163" s="311">
        <f t="shared" si="124"/>
        <v>42521</v>
      </c>
      <c r="E163" s="321" t="str">
        <f t="shared" si="97"/>
        <v/>
      </c>
      <c r="F163" s="5"/>
      <c r="G163" s="6" t="str">
        <f t="shared" si="98"/>
        <v/>
      </c>
      <c r="H163" s="7"/>
      <c r="I163" s="7">
        <f t="shared" si="99"/>
        <v>0</v>
      </c>
      <c r="J163" s="113">
        <f t="shared" si="87"/>
        <v>0</v>
      </c>
      <c r="K163" s="7"/>
      <c r="L163" s="7">
        <f t="shared" si="100"/>
        <v>0</v>
      </c>
      <c r="M163" s="113">
        <f t="shared" si="101"/>
        <v>0</v>
      </c>
      <c r="N163" s="113"/>
      <c r="O163" s="113">
        <f t="shared" si="88"/>
        <v>0</v>
      </c>
      <c r="P163" s="113"/>
      <c r="Q163" s="113">
        <f t="shared" si="102"/>
        <v>0</v>
      </c>
      <c r="R163" s="113">
        <f t="shared" si="103"/>
        <v>0</v>
      </c>
      <c r="S163" s="113">
        <f t="shared" si="121"/>
        <v>0</v>
      </c>
      <c r="T163" s="113">
        <f t="shared" si="104"/>
        <v>0</v>
      </c>
      <c r="U163" s="113">
        <f t="shared" si="122"/>
        <v>0</v>
      </c>
      <c r="V163" s="146">
        <f t="shared" si="105"/>
        <v>0</v>
      </c>
      <c r="W163" s="66"/>
      <c r="X163" s="115">
        <f t="shared" si="89"/>
        <v>3.125E-2</v>
      </c>
      <c r="Y163" s="110">
        <f t="shared" si="106"/>
        <v>0</v>
      </c>
      <c r="Z163" s="111">
        <f t="shared" si="125"/>
        <v>0</v>
      </c>
      <c r="AA163" s="112">
        <f t="shared" si="107"/>
        <v>0</v>
      </c>
      <c r="AB163" s="67" t="str">
        <f t="shared" si="108"/>
        <v/>
      </c>
      <c r="AC163" s="193">
        <f t="shared" si="90"/>
        <v>0</v>
      </c>
      <c r="AD163" s="144" t="str">
        <f t="shared" si="91"/>
        <v/>
      </c>
      <c r="AE163" s="228">
        <f t="shared" si="117"/>
        <v>0</v>
      </c>
      <c r="AF163" s="110"/>
      <c r="AG163" s="110" t="str">
        <f t="shared" si="109"/>
        <v/>
      </c>
      <c r="AH163" s="68">
        <f t="shared" si="92"/>
        <v>0</v>
      </c>
      <c r="AI163" s="68">
        <f t="shared" si="93"/>
        <v>0</v>
      </c>
      <c r="AJ163" s="68" t="str">
        <f t="shared" si="94"/>
        <v/>
      </c>
      <c r="AK163">
        <f t="shared" si="95"/>
        <v>6</v>
      </c>
      <c r="AL163" s="122">
        <f>SUM($AD$6:AD163)</f>
        <v>0</v>
      </c>
      <c r="AM163" s="122">
        <f t="shared" ca="1" si="110"/>
        <v>0</v>
      </c>
      <c r="AN163" s="126">
        <f t="shared" si="118"/>
        <v>0</v>
      </c>
      <c r="AO163" s="126">
        <f t="shared" si="119"/>
        <v>0</v>
      </c>
      <c r="AP163" s="126">
        <f t="shared" si="120"/>
        <v>0</v>
      </c>
      <c r="AQ163" s="125">
        <f t="shared" si="111"/>
        <v>30</v>
      </c>
      <c r="AR163" s="125">
        <f t="shared" ca="1" si="112"/>
        <v>30</v>
      </c>
      <c r="AS163" s="135">
        <f t="shared" si="113"/>
        <v>0</v>
      </c>
      <c r="AT163" s="125">
        <f t="shared" si="114"/>
        <v>7</v>
      </c>
      <c r="AU163" t="b">
        <f>OR((F163&gt;0),(NOT(ISBLANK(H163))),SUM(H163:H$373),SUM(G163:G$373))</f>
        <v>0</v>
      </c>
      <c r="AV163" t="b">
        <f t="shared" ca="1" si="96"/>
        <v>1</v>
      </c>
      <c r="AX163" s="228">
        <f>SUM(AW$5:AW163)</f>
        <v>-2.9166666666666665</v>
      </c>
    </row>
    <row r="164" spans="1:50">
      <c r="A164" s="308">
        <f t="shared" si="115"/>
        <v>42527</v>
      </c>
      <c r="B164" s="309">
        <f t="shared" si="116"/>
        <v>42527</v>
      </c>
      <c r="C164" s="310">
        <f t="shared" si="123"/>
        <v>23</v>
      </c>
      <c r="D164" s="311">
        <f t="shared" si="124"/>
        <v>42521</v>
      </c>
      <c r="E164" s="321" t="str">
        <f t="shared" si="97"/>
        <v/>
      </c>
      <c r="F164" s="5"/>
      <c r="G164" s="6" t="str">
        <f t="shared" si="98"/>
        <v/>
      </c>
      <c r="H164" s="7"/>
      <c r="I164" s="7">
        <f t="shared" si="99"/>
        <v>0</v>
      </c>
      <c r="J164" s="113">
        <f t="shared" si="87"/>
        <v>0</v>
      </c>
      <c r="K164" s="7"/>
      <c r="L164" s="7">
        <f t="shared" si="100"/>
        <v>0</v>
      </c>
      <c r="M164" s="113">
        <f t="shared" si="101"/>
        <v>0</v>
      </c>
      <c r="N164" s="113"/>
      <c r="O164" s="113">
        <f t="shared" si="88"/>
        <v>0</v>
      </c>
      <c r="P164" s="113"/>
      <c r="Q164" s="113">
        <f t="shared" si="102"/>
        <v>0</v>
      </c>
      <c r="R164" s="113">
        <f t="shared" si="103"/>
        <v>0</v>
      </c>
      <c r="S164" s="113">
        <f t="shared" si="121"/>
        <v>0</v>
      </c>
      <c r="T164" s="113">
        <f t="shared" si="104"/>
        <v>0</v>
      </c>
      <c r="U164" s="113">
        <f t="shared" si="122"/>
        <v>0</v>
      </c>
      <c r="V164" s="146">
        <f t="shared" si="105"/>
        <v>0</v>
      </c>
      <c r="W164" s="66"/>
      <c r="X164" s="115">
        <f t="shared" si="89"/>
        <v>3.125E-2</v>
      </c>
      <c r="Y164" s="110">
        <f t="shared" si="106"/>
        <v>0</v>
      </c>
      <c r="Z164" s="111">
        <f t="shared" si="125"/>
        <v>0</v>
      </c>
      <c r="AA164" s="112">
        <f t="shared" si="107"/>
        <v>0</v>
      </c>
      <c r="AB164" s="67" t="str">
        <f t="shared" si="108"/>
        <v/>
      </c>
      <c r="AC164" s="193">
        <f t="shared" si="90"/>
        <v>0</v>
      </c>
      <c r="AD164" s="144" t="str">
        <f t="shared" si="91"/>
        <v/>
      </c>
      <c r="AE164" s="228">
        <f t="shared" si="117"/>
        <v>0</v>
      </c>
      <c r="AF164" s="110"/>
      <c r="AG164" s="110" t="str">
        <f t="shared" si="109"/>
        <v/>
      </c>
      <c r="AH164" s="68">
        <f t="shared" si="92"/>
        <v>0</v>
      </c>
      <c r="AI164" s="68">
        <f t="shared" si="93"/>
        <v>0</v>
      </c>
      <c r="AJ164" s="68" t="str">
        <f t="shared" si="94"/>
        <v/>
      </c>
      <c r="AK164">
        <f t="shared" si="95"/>
        <v>7</v>
      </c>
      <c r="AL164" s="122">
        <f>SUM($AD$6:AD164)</f>
        <v>0</v>
      </c>
      <c r="AM164" s="122">
        <f t="shared" ca="1" si="110"/>
        <v>0</v>
      </c>
      <c r="AN164" s="126">
        <f t="shared" si="118"/>
        <v>0</v>
      </c>
      <c r="AO164" s="126">
        <f t="shared" si="119"/>
        <v>0</v>
      </c>
      <c r="AP164" s="126">
        <f t="shared" si="120"/>
        <v>0</v>
      </c>
      <c r="AQ164" s="125">
        <f t="shared" si="111"/>
        <v>30</v>
      </c>
      <c r="AR164" s="125">
        <f t="shared" ca="1" si="112"/>
        <v>30</v>
      </c>
      <c r="AS164" s="135">
        <f t="shared" si="113"/>
        <v>0</v>
      </c>
      <c r="AT164" s="125">
        <f t="shared" si="114"/>
        <v>7</v>
      </c>
      <c r="AU164" t="b">
        <f>OR((F164&gt;0),(NOT(ISBLANK(H164))),SUM(H164:H$373),SUM(G164:G$373))</f>
        <v>0</v>
      </c>
      <c r="AV164" t="b">
        <f t="shared" ca="1" si="96"/>
        <v>1</v>
      </c>
      <c r="AX164" s="228">
        <f>SUM(AW$5:AW164)</f>
        <v>-2.9166666666666665</v>
      </c>
    </row>
    <row r="165" spans="1:50">
      <c r="A165" s="308">
        <f t="shared" si="115"/>
        <v>42528</v>
      </c>
      <c r="B165" s="309">
        <f t="shared" si="116"/>
        <v>42528</v>
      </c>
      <c r="C165" s="310">
        <f t="shared" si="123"/>
        <v>24</v>
      </c>
      <c r="D165" s="311">
        <f t="shared" si="124"/>
        <v>42521</v>
      </c>
      <c r="E165" s="321" t="str">
        <f t="shared" si="97"/>
        <v/>
      </c>
      <c r="F165" s="5"/>
      <c r="G165" s="6" t="str">
        <f t="shared" si="98"/>
        <v/>
      </c>
      <c r="H165" s="7"/>
      <c r="I165" s="7">
        <f t="shared" si="99"/>
        <v>0</v>
      </c>
      <c r="J165" s="113">
        <f t="shared" si="87"/>
        <v>0</v>
      </c>
      <c r="K165" s="7"/>
      <c r="L165" s="7">
        <f t="shared" si="100"/>
        <v>0</v>
      </c>
      <c r="M165" s="113">
        <f t="shared" si="101"/>
        <v>0</v>
      </c>
      <c r="N165" s="113"/>
      <c r="O165" s="113">
        <f t="shared" si="88"/>
        <v>0</v>
      </c>
      <c r="P165" s="113"/>
      <c r="Q165" s="113">
        <f t="shared" si="102"/>
        <v>0</v>
      </c>
      <c r="R165" s="113">
        <f t="shared" si="103"/>
        <v>0</v>
      </c>
      <c r="S165" s="113">
        <f t="shared" si="121"/>
        <v>0</v>
      </c>
      <c r="T165" s="113">
        <f t="shared" si="104"/>
        <v>0</v>
      </c>
      <c r="U165" s="113">
        <f t="shared" si="122"/>
        <v>0</v>
      </c>
      <c r="V165" s="146">
        <f t="shared" si="105"/>
        <v>0</v>
      </c>
      <c r="W165" s="66"/>
      <c r="X165" s="115">
        <f t="shared" si="89"/>
        <v>3.125E-2</v>
      </c>
      <c r="Y165" s="110">
        <f t="shared" si="106"/>
        <v>0</v>
      </c>
      <c r="Z165" s="111">
        <f t="shared" si="125"/>
        <v>0.29166666666666669</v>
      </c>
      <c r="AA165" s="112">
        <f t="shared" si="107"/>
        <v>0</v>
      </c>
      <c r="AB165" s="67" t="str">
        <f t="shared" si="108"/>
        <v/>
      </c>
      <c r="AC165" s="193">
        <f t="shared" si="90"/>
        <v>0</v>
      </c>
      <c r="AD165" s="144" t="str">
        <f t="shared" si="91"/>
        <v/>
      </c>
      <c r="AE165" s="228">
        <f t="shared" si="117"/>
        <v>0</v>
      </c>
      <c r="AF165" s="110"/>
      <c r="AG165" s="110" t="str">
        <f t="shared" si="109"/>
        <v/>
      </c>
      <c r="AH165" s="68">
        <f t="shared" si="92"/>
        <v>0</v>
      </c>
      <c r="AI165" s="68">
        <f t="shared" si="93"/>
        <v>0</v>
      </c>
      <c r="AJ165" s="68" t="str">
        <f t="shared" si="94"/>
        <v/>
      </c>
      <c r="AK165">
        <f t="shared" si="95"/>
        <v>1</v>
      </c>
      <c r="AL165" s="122">
        <f>SUM($AD$6:AD165)</f>
        <v>0</v>
      </c>
      <c r="AM165" s="122">
        <f t="shared" ca="1" si="110"/>
        <v>0</v>
      </c>
      <c r="AN165" s="126">
        <f t="shared" si="118"/>
        <v>0</v>
      </c>
      <c r="AO165" s="126">
        <f t="shared" si="119"/>
        <v>0</v>
      </c>
      <c r="AP165" s="126">
        <f t="shared" si="120"/>
        <v>0</v>
      </c>
      <c r="AQ165" s="125">
        <f t="shared" si="111"/>
        <v>30</v>
      </c>
      <c r="AR165" s="125">
        <f t="shared" ca="1" si="112"/>
        <v>30</v>
      </c>
      <c r="AS165" s="135">
        <f t="shared" si="113"/>
        <v>0</v>
      </c>
      <c r="AT165" s="125">
        <f t="shared" si="114"/>
        <v>0</v>
      </c>
      <c r="AU165" t="b">
        <f>OR((F165&gt;0),(NOT(ISBLANK(H165))),SUM(H165:H$373),SUM(G165:G$373))</f>
        <v>0</v>
      </c>
      <c r="AV165" t="b">
        <f t="shared" ca="1" si="96"/>
        <v>0</v>
      </c>
      <c r="AX165" s="228">
        <f>SUM(AW$5:AW165)</f>
        <v>-2.9166666666666665</v>
      </c>
    </row>
    <row r="166" spans="1:50">
      <c r="A166" s="308">
        <f t="shared" si="115"/>
        <v>42529</v>
      </c>
      <c r="B166" s="309">
        <f t="shared" si="116"/>
        <v>42529</v>
      </c>
      <c r="C166" s="310">
        <f t="shared" si="123"/>
        <v>24</v>
      </c>
      <c r="D166" s="311">
        <f t="shared" si="124"/>
        <v>42521</v>
      </c>
      <c r="E166" s="321" t="str">
        <f t="shared" si="97"/>
        <v/>
      </c>
      <c r="F166" s="5"/>
      <c r="G166" s="6" t="str">
        <f t="shared" si="98"/>
        <v/>
      </c>
      <c r="H166" s="7"/>
      <c r="I166" s="7">
        <f t="shared" si="99"/>
        <v>0</v>
      </c>
      <c r="J166" s="113">
        <f t="shared" si="87"/>
        <v>0</v>
      </c>
      <c r="K166" s="7"/>
      <c r="L166" s="7">
        <f t="shared" si="100"/>
        <v>0</v>
      </c>
      <c r="M166" s="113">
        <f t="shared" si="101"/>
        <v>0</v>
      </c>
      <c r="N166" s="113"/>
      <c r="O166" s="113">
        <f t="shared" si="88"/>
        <v>0</v>
      </c>
      <c r="P166" s="113"/>
      <c r="Q166" s="113">
        <f t="shared" si="102"/>
        <v>0</v>
      </c>
      <c r="R166" s="113">
        <f t="shared" si="103"/>
        <v>0</v>
      </c>
      <c r="S166" s="113">
        <f t="shared" si="121"/>
        <v>0</v>
      </c>
      <c r="T166" s="113">
        <f t="shared" si="104"/>
        <v>0</v>
      </c>
      <c r="U166" s="113">
        <f t="shared" si="122"/>
        <v>0</v>
      </c>
      <c r="V166" s="146">
        <f t="shared" si="105"/>
        <v>0</v>
      </c>
      <c r="W166" s="66"/>
      <c r="X166" s="115">
        <f t="shared" si="89"/>
        <v>3.125E-2</v>
      </c>
      <c r="Y166" s="110">
        <f t="shared" si="106"/>
        <v>0</v>
      </c>
      <c r="Z166" s="111">
        <f t="shared" si="125"/>
        <v>0.29166666666666669</v>
      </c>
      <c r="AA166" s="112">
        <f t="shared" si="107"/>
        <v>0</v>
      </c>
      <c r="AB166" s="67" t="str">
        <f t="shared" si="108"/>
        <v/>
      </c>
      <c r="AC166" s="193">
        <f t="shared" si="90"/>
        <v>0</v>
      </c>
      <c r="AD166" s="144" t="str">
        <f t="shared" si="91"/>
        <v/>
      </c>
      <c r="AE166" s="228">
        <f t="shared" si="117"/>
        <v>0</v>
      </c>
      <c r="AF166" s="110"/>
      <c r="AG166" s="110" t="str">
        <f t="shared" si="109"/>
        <v/>
      </c>
      <c r="AH166" s="68">
        <f t="shared" si="92"/>
        <v>0</v>
      </c>
      <c r="AI166" s="68">
        <f t="shared" si="93"/>
        <v>0</v>
      </c>
      <c r="AJ166" s="68" t="str">
        <f t="shared" si="94"/>
        <v/>
      </c>
      <c r="AK166">
        <f t="shared" si="95"/>
        <v>2</v>
      </c>
      <c r="AL166" s="122">
        <f>SUM($AD$6:AD166)</f>
        <v>0</v>
      </c>
      <c r="AM166" s="122">
        <f t="shared" ca="1" si="110"/>
        <v>0</v>
      </c>
      <c r="AN166" s="126">
        <f t="shared" si="118"/>
        <v>0</v>
      </c>
      <c r="AO166" s="126">
        <f t="shared" si="119"/>
        <v>0</v>
      </c>
      <c r="AP166" s="126">
        <f t="shared" si="120"/>
        <v>0</v>
      </c>
      <c r="AQ166" s="125">
        <f t="shared" si="111"/>
        <v>30</v>
      </c>
      <c r="AR166" s="125">
        <f t="shared" ca="1" si="112"/>
        <v>30</v>
      </c>
      <c r="AS166" s="135">
        <f t="shared" si="113"/>
        <v>0</v>
      </c>
      <c r="AT166" s="125">
        <f t="shared" si="114"/>
        <v>0</v>
      </c>
      <c r="AU166" t="b">
        <f>OR((F166&gt;0),(NOT(ISBLANK(H166))),SUM(H166:H$373),SUM(G166:G$373))</f>
        <v>0</v>
      </c>
      <c r="AV166" t="b">
        <f t="shared" ca="1" si="96"/>
        <v>0</v>
      </c>
      <c r="AX166" s="228">
        <f>SUM(AW$5:AW166)</f>
        <v>-2.9166666666666665</v>
      </c>
    </row>
    <row r="167" spans="1:50">
      <c r="A167" s="308">
        <f t="shared" si="115"/>
        <v>42530</v>
      </c>
      <c r="B167" s="309">
        <f t="shared" si="116"/>
        <v>42530</v>
      </c>
      <c r="C167" s="310">
        <f t="shared" si="123"/>
        <v>24</v>
      </c>
      <c r="D167" s="311">
        <f t="shared" si="124"/>
        <v>42521</v>
      </c>
      <c r="E167" s="321" t="str">
        <f t="shared" si="97"/>
        <v/>
      </c>
      <c r="F167" s="5"/>
      <c r="G167" s="6" t="str">
        <f t="shared" si="98"/>
        <v/>
      </c>
      <c r="H167" s="7"/>
      <c r="I167" s="7">
        <f t="shared" si="99"/>
        <v>0</v>
      </c>
      <c r="J167" s="113">
        <f t="shared" si="87"/>
        <v>0</v>
      </c>
      <c r="K167" s="7"/>
      <c r="L167" s="7">
        <f t="shared" si="100"/>
        <v>0</v>
      </c>
      <c r="M167" s="113">
        <f t="shared" si="101"/>
        <v>0</v>
      </c>
      <c r="N167" s="113"/>
      <c r="O167" s="113">
        <f t="shared" si="88"/>
        <v>0</v>
      </c>
      <c r="P167" s="113"/>
      <c r="Q167" s="113">
        <f t="shared" si="102"/>
        <v>0</v>
      </c>
      <c r="R167" s="113">
        <f t="shared" si="103"/>
        <v>0</v>
      </c>
      <c r="S167" s="113">
        <f t="shared" si="121"/>
        <v>0</v>
      </c>
      <c r="T167" s="113">
        <f t="shared" si="104"/>
        <v>0</v>
      </c>
      <c r="U167" s="113">
        <f t="shared" si="122"/>
        <v>0</v>
      </c>
      <c r="V167" s="146">
        <f t="shared" si="105"/>
        <v>0</v>
      </c>
      <c r="W167" s="66"/>
      <c r="X167" s="115">
        <f t="shared" si="89"/>
        <v>3.125E-2</v>
      </c>
      <c r="Y167" s="110">
        <f t="shared" si="106"/>
        <v>0</v>
      </c>
      <c r="Z167" s="111">
        <f t="shared" si="125"/>
        <v>0.29166666666666669</v>
      </c>
      <c r="AA167" s="112">
        <f t="shared" si="107"/>
        <v>0</v>
      </c>
      <c r="AB167" s="67" t="str">
        <f t="shared" si="108"/>
        <v/>
      </c>
      <c r="AC167" s="193">
        <f t="shared" si="90"/>
        <v>0</v>
      </c>
      <c r="AD167" s="144" t="str">
        <f t="shared" si="91"/>
        <v/>
      </c>
      <c r="AE167" s="228">
        <f t="shared" si="117"/>
        <v>0</v>
      </c>
      <c r="AF167" s="110"/>
      <c r="AG167" s="110" t="str">
        <f t="shared" si="109"/>
        <v/>
      </c>
      <c r="AH167" s="68">
        <f t="shared" si="92"/>
        <v>0</v>
      </c>
      <c r="AI167" s="68">
        <f t="shared" si="93"/>
        <v>0</v>
      </c>
      <c r="AJ167" s="68" t="str">
        <f t="shared" si="94"/>
        <v/>
      </c>
      <c r="AK167">
        <f t="shared" si="95"/>
        <v>3</v>
      </c>
      <c r="AL167" s="122">
        <f>SUM($AD$6:AD167)</f>
        <v>0</v>
      </c>
      <c r="AM167" s="122">
        <f t="shared" ca="1" si="110"/>
        <v>0</v>
      </c>
      <c r="AN167" s="126">
        <f t="shared" si="118"/>
        <v>0</v>
      </c>
      <c r="AO167" s="126">
        <f t="shared" si="119"/>
        <v>0</v>
      </c>
      <c r="AP167" s="126">
        <f t="shared" si="120"/>
        <v>0</v>
      </c>
      <c r="AQ167" s="125">
        <f t="shared" si="111"/>
        <v>30</v>
      </c>
      <c r="AR167" s="125">
        <f t="shared" ca="1" si="112"/>
        <v>30</v>
      </c>
      <c r="AS167" s="135">
        <f t="shared" si="113"/>
        <v>0</v>
      </c>
      <c r="AT167" s="125">
        <f t="shared" si="114"/>
        <v>0</v>
      </c>
      <c r="AU167" t="b">
        <f>OR((F167&gt;0),(NOT(ISBLANK(H167))),SUM(H167:H$373),SUM(G167:G$373))</f>
        <v>0</v>
      </c>
      <c r="AV167" t="b">
        <f t="shared" ca="1" si="96"/>
        <v>0</v>
      </c>
      <c r="AX167" s="228">
        <f>SUM(AW$5:AW167)</f>
        <v>-2.9166666666666665</v>
      </c>
    </row>
    <row r="168" spans="1:50">
      <c r="A168" s="308">
        <f t="shared" si="115"/>
        <v>42531</v>
      </c>
      <c r="B168" s="309">
        <f t="shared" si="116"/>
        <v>42531</v>
      </c>
      <c r="C168" s="310">
        <f t="shared" si="123"/>
        <v>24</v>
      </c>
      <c r="D168" s="311">
        <f t="shared" si="124"/>
        <v>42521</v>
      </c>
      <c r="E168" s="321" t="str">
        <f t="shared" si="97"/>
        <v>Fronleichnam</v>
      </c>
      <c r="F168" s="5"/>
      <c r="G168" s="6" t="str">
        <f t="shared" si="98"/>
        <v/>
      </c>
      <c r="H168" s="7"/>
      <c r="I168" s="7">
        <f t="shared" si="99"/>
        <v>0</v>
      </c>
      <c r="J168" s="113">
        <f t="shared" si="87"/>
        <v>0</v>
      </c>
      <c r="K168" s="7"/>
      <c r="L168" s="7">
        <f t="shared" si="100"/>
        <v>0</v>
      </c>
      <c r="M168" s="113">
        <f t="shared" si="101"/>
        <v>0</v>
      </c>
      <c r="N168" s="113"/>
      <c r="O168" s="113">
        <f t="shared" si="88"/>
        <v>0</v>
      </c>
      <c r="P168" s="113"/>
      <c r="Q168" s="113">
        <f t="shared" si="102"/>
        <v>0</v>
      </c>
      <c r="R168" s="113">
        <f t="shared" si="103"/>
        <v>0</v>
      </c>
      <c r="S168" s="113">
        <f t="shared" si="121"/>
        <v>0</v>
      </c>
      <c r="T168" s="113">
        <f t="shared" si="104"/>
        <v>0</v>
      </c>
      <c r="U168" s="113">
        <f t="shared" si="122"/>
        <v>0</v>
      </c>
      <c r="V168" s="146">
        <f t="shared" si="105"/>
        <v>0</v>
      </c>
      <c r="W168" s="66"/>
      <c r="X168" s="115">
        <f t="shared" si="89"/>
        <v>3.125E-2</v>
      </c>
      <c r="Y168" s="110">
        <f t="shared" si="106"/>
        <v>0</v>
      </c>
      <c r="Z168" s="111" t="str">
        <f t="shared" si="125"/>
        <v/>
      </c>
      <c r="AA168" s="112">
        <f t="shared" si="107"/>
        <v>0</v>
      </c>
      <c r="AB168" s="67" t="str">
        <f t="shared" si="108"/>
        <v/>
      </c>
      <c r="AC168" s="193">
        <f t="shared" si="90"/>
        <v>0</v>
      </c>
      <c r="AD168" s="144" t="str">
        <f t="shared" si="91"/>
        <v/>
      </c>
      <c r="AE168" s="228">
        <f t="shared" si="117"/>
        <v>0</v>
      </c>
      <c r="AF168" s="110"/>
      <c r="AG168" s="110" t="str">
        <f t="shared" si="109"/>
        <v/>
      </c>
      <c r="AH168" s="68">
        <f t="shared" si="92"/>
        <v>0</v>
      </c>
      <c r="AI168" s="68">
        <f t="shared" si="93"/>
        <v>0</v>
      </c>
      <c r="AJ168" s="68" t="str">
        <f t="shared" si="94"/>
        <v/>
      </c>
      <c r="AK168">
        <f t="shared" si="95"/>
        <v>8</v>
      </c>
      <c r="AL168" s="122">
        <f>SUM($AD$6:AD168)</f>
        <v>0</v>
      </c>
      <c r="AM168" s="122">
        <f t="shared" ca="1" si="110"/>
        <v>0</v>
      </c>
      <c r="AN168" s="126">
        <f t="shared" si="118"/>
        <v>0</v>
      </c>
      <c r="AO168" s="126">
        <f t="shared" si="119"/>
        <v>0</v>
      </c>
      <c r="AP168" s="126">
        <f t="shared" si="120"/>
        <v>0</v>
      </c>
      <c r="AQ168" s="125">
        <f t="shared" si="111"/>
        <v>30</v>
      </c>
      <c r="AR168" s="125">
        <f t="shared" ca="1" si="112"/>
        <v>30</v>
      </c>
      <c r="AS168" s="135">
        <f t="shared" si="113"/>
        <v>0</v>
      </c>
      <c r="AT168" s="125">
        <f t="shared" si="114"/>
        <v>8</v>
      </c>
      <c r="AU168" t="b">
        <f>OR((F168&gt;0),(NOT(ISBLANK(H168))),SUM(H168:H$373),SUM(G168:G$373))</f>
        <v>0</v>
      </c>
      <c r="AV168" t="b">
        <f t="shared" ca="1" si="96"/>
        <v>1</v>
      </c>
      <c r="AX168" s="228">
        <f>SUM(AW$5:AW168)</f>
        <v>-2.9166666666666665</v>
      </c>
    </row>
    <row r="169" spans="1:50">
      <c r="A169" s="308">
        <f t="shared" si="115"/>
        <v>42532</v>
      </c>
      <c r="B169" s="309">
        <f t="shared" si="116"/>
        <v>42532</v>
      </c>
      <c r="C169" s="310">
        <f t="shared" si="123"/>
        <v>24</v>
      </c>
      <c r="D169" s="311">
        <f t="shared" si="124"/>
        <v>42521</v>
      </c>
      <c r="E169" s="321" t="str">
        <f t="shared" si="97"/>
        <v/>
      </c>
      <c r="F169" s="5"/>
      <c r="G169" s="6" t="str">
        <f t="shared" si="98"/>
        <v/>
      </c>
      <c r="H169" s="7"/>
      <c r="I169" s="7">
        <f t="shared" si="99"/>
        <v>0</v>
      </c>
      <c r="J169" s="113">
        <f t="shared" si="87"/>
        <v>0</v>
      </c>
      <c r="K169" s="7"/>
      <c r="L169" s="7">
        <f t="shared" si="100"/>
        <v>0</v>
      </c>
      <c r="M169" s="113">
        <f t="shared" si="101"/>
        <v>0</v>
      </c>
      <c r="N169" s="113"/>
      <c r="O169" s="113">
        <f t="shared" si="88"/>
        <v>0</v>
      </c>
      <c r="P169" s="113"/>
      <c r="Q169" s="113">
        <f t="shared" si="102"/>
        <v>0</v>
      </c>
      <c r="R169" s="113">
        <f t="shared" si="103"/>
        <v>0</v>
      </c>
      <c r="S169" s="113">
        <f t="shared" si="121"/>
        <v>0</v>
      </c>
      <c r="T169" s="113">
        <f t="shared" si="104"/>
        <v>0</v>
      </c>
      <c r="U169" s="113">
        <f t="shared" si="122"/>
        <v>0</v>
      </c>
      <c r="V169" s="146">
        <f t="shared" si="105"/>
        <v>0</v>
      </c>
      <c r="W169" s="66"/>
      <c r="X169" s="115">
        <f t="shared" si="89"/>
        <v>3.125E-2</v>
      </c>
      <c r="Y169" s="110">
        <f t="shared" si="106"/>
        <v>0</v>
      </c>
      <c r="Z169" s="111">
        <f t="shared" si="125"/>
        <v>0.29166666666666669</v>
      </c>
      <c r="AA169" s="112">
        <f t="shared" si="107"/>
        <v>0</v>
      </c>
      <c r="AB169" s="67" t="str">
        <f t="shared" si="108"/>
        <v/>
      </c>
      <c r="AC169" s="193">
        <f t="shared" si="90"/>
        <v>0</v>
      </c>
      <c r="AD169" s="144" t="str">
        <f t="shared" si="91"/>
        <v/>
      </c>
      <c r="AE169" s="228">
        <f t="shared" si="117"/>
        <v>0</v>
      </c>
      <c r="AF169" s="110"/>
      <c r="AG169" s="110" t="str">
        <f t="shared" si="109"/>
        <v/>
      </c>
      <c r="AH169" s="68">
        <f t="shared" si="92"/>
        <v>0</v>
      </c>
      <c r="AI169" s="68">
        <f t="shared" si="93"/>
        <v>0</v>
      </c>
      <c r="AJ169" s="68" t="str">
        <f t="shared" si="94"/>
        <v/>
      </c>
      <c r="AK169">
        <f t="shared" si="95"/>
        <v>5</v>
      </c>
      <c r="AL169" s="122">
        <f>SUM($AD$6:AD169)</f>
        <v>0</v>
      </c>
      <c r="AM169" s="122">
        <f t="shared" ca="1" si="110"/>
        <v>0</v>
      </c>
      <c r="AN169" s="126">
        <f t="shared" si="118"/>
        <v>0</v>
      </c>
      <c r="AO169" s="126">
        <f t="shared" si="119"/>
        <v>0</v>
      </c>
      <c r="AP169" s="126">
        <f t="shared" si="120"/>
        <v>0</v>
      </c>
      <c r="AQ169" s="125">
        <f t="shared" si="111"/>
        <v>30</v>
      </c>
      <c r="AR169" s="125">
        <f t="shared" ca="1" si="112"/>
        <v>30</v>
      </c>
      <c r="AS169" s="135">
        <f t="shared" si="113"/>
        <v>0</v>
      </c>
      <c r="AT169" s="125">
        <f t="shared" si="114"/>
        <v>0</v>
      </c>
      <c r="AU169" t="b">
        <f>OR((F169&gt;0),(NOT(ISBLANK(H169))),SUM(H169:H$373),SUM(G169:G$373))</f>
        <v>0</v>
      </c>
      <c r="AV169" t="b">
        <f t="shared" ca="1" si="96"/>
        <v>0</v>
      </c>
      <c r="AX169" s="228">
        <f>SUM(AW$5:AW169)</f>
        <v>-2.9166666666666665</v>
      </c>
    </row>
    <row r="170" spans="1:50">
      <c r="A170" s="308">
        <f t="shared" si="115"/>
        <v>42533</v>
      </c>
      <c r="B170" s="309">
        <f t="shared" si="116"/>
        <v>42533</v>
      </c>
      <c r="C170" s="310">
        <f t="shared" si="123"/>
        <v>24</v>
      </c>
      <c r="D170" s="311">
        <f t="shared" si="124"/>
        <v>42521</v>
      </c>
      <c r="E170" s="321" t="str">
        <f t="shared" si="97"/>
        <v/>
      </c>
      <c r="F170" s="5"/>
      <c r="G170" s="6" t="str">
        <f t="shared" si="98"/>
        <v/>
      </c>
      <c r="H170" s="7"/>
      <c r="I170" s="7">
        <f t="shared" si="99"/>
        <v>0</v>
      </c>
      <c r="J170" s="113">
        <f t="shared" si="87"/>
        <v>0</v>
      </c>
      <c r="K170" s="7"/>
      <c r="L170" s="7">
        <f t="shared" si="100"/>
        <v>0</v>
      </c>
      <c r="M170" s="113">
        <f t="shared" si="101"/>
        <v>0</v>
      </c>
      <c r="N170" s="113"/>
      <c r="O170" s="113">
        <f t="shared" si="88"/>
        <v>0</v>
      </c>
      <c r="P170" s="113"/>
      <c r="Q170" s="113">
        <f t="shared" si="102"/>
        <v>0</v>
      </c>
      <c r="R170" s="113">
        <f t="shared" si="103"/>
        <v>0</v>
      </c>
      <c r="S170" s="113">
        <f t="shared" si="121"/>
        <v>0</v>
      </c>
      <c r="T170" s="113">
        <f t="shared" si="104"/>
        <v>0</v>
      </c>
      <c r="U170" s="113">
        <f t="shared" si="122"/>
        <v>0</v>
      </c>
      <c r="V170" s="146">
        <f t="shared" si="105"/>
        <v>0</v>
      </c>
      <c r="W170" s="66"/>
      <c r="X170" s="115">
        <f t="shared" si="89"/>
        <v>3.125E-2</v>
      </c>
      <c r="Y170" s="110">
        <f t="shared" si="106"/>
        <v>0</v>
      </c>
      <c r="Z170" s="111">
        <f t="shared" si="125"/>
        <v>0</v>
      </c>
      <c r="AA170" s="112">
        <f t="shared" si="107"/>
        <v>0</v>
      </c>
      <c r="AB170" s="67" t="str">
        <f t="shared" si="108"/>
        <v/>
      </c>
      <c r="AC170" s="193">
        <f t="shared" si="90"/>
        <v>0</v>
      </c>
      <c r="AD170" s="144" t="str">
        <f t="shared" si="91"/>
        <v/>
      </c>
      <c r="AE170" s="228">
        <f t="shared" si="117"/>
        <v>0</v>
      </c>
      <c r="AF170" s="110"/>
      <c r="AG170" s="110" t="str">
        <f t="shared" si="109"/>
        <v/>
      </c>
      <c r="AH170" s="68">
        <f t="shared" si="92"/>
        <v>0</v>
      </c>
      <c r="AI170" s="68">
        <f t="shared" si="93"/>
        <v>0</v>
      </c>
      <c r="AJ170" s="68" t="str">
        <f t="shared" si="94"/>
        <v/>
      </c>
      <c r="AK170">
        <f t="shared" si="95"/>
        <v>6</v>
      </c>
      <c r="AL170" s="122">
        <f>SUM($AD$6:AD170)</f>
        <v>0</v>
      </c>
      <c r="AM170" s="122">
        <f t="shared" ca="1" si="110"/>
        <v>0</v>
      </c>
      <c r="AN170" s="126">
        <f t="shared" si="118"/>
        <v>0</v>
      </c>
      <c r="AO170" s="126">
        <f t="shared" si="119"/>
        <v>0</v>
      </c>
      <c r="AP170" s="126">
        <f t="shared" si="120"/>
        <v>0</v>
      </c>
      <c r="AQ170" s="125">
        <f t="shared" si="111"/>
        <v>30</v>
      </c>
      <c r="AR170" s="125">
        <f t="shared" ca="1" si="112"/>
        <v>30</v>
      </c>
      <c r="AS170" s="135">
        <f t="shared" si="113"/>
        <v>0</v>
      </c>
      <c r="AT170" s="125">
        <f t="shared" si="114"/>
        <v>7</v>
      </c>
      <c r="AU170" t="b">
        <f>OR((F170&gt;0),(NOT(ISBLANK(H170))),SUM(H170:H$373),SUM(G170:G$373))</f>
        <v>0</v>
      </c>
      <c r="AV170" t="b">
        <f t="shared" ca="1" si="96"/>
        <v>1</v>
      </c>
      <c r="AX170" s="228">
        <f>SUM(AW$5:AW170)</f>
        <v>-2.9166666666666665</v>
      </c>
    </row>
    <row r="171" spans="1:50">
      <c r="A171" s="308">
        <f t="shared" si="115"/>
        <v>42534</v>
      </c>
      <c r="B171" s="309">
        <f t="shared" si="116"/>
        <v>42534</v>
      </c>
      <c r="C171" s="310">
        <f t="shared" si="123"/>
        <v>24</v>
      </c>
      <c r="D171" s="311">
        <f t="shared" si="124"/>
        <v>42521</v>
      </c>
      <c r="E171" s="321" t="str">
        <f t="shared" si="97"/>
        <v/>
      </c>
      <c r="F171" s="5"/>
      <c r="G171" s="6" t="str">
        <f t="shared" si="98"/>
        <v/>
      </c>
      <c r="H171" s="7"/>
      <c r="I171" s="7">
        <f t="shared" si="99"/>
        <v>0</v>
      </c>
      <c r="J171" s="113">
        <f t="shared" si="87"/>
        <v>0</v>
      </c>
      <c r="K171" s="7"/>
      <c r="L171" s="7">
        <f t="shared" si="100"/>
        <v>0</v>
      </c>
      <c r="M171" s="113">
        <f t="shared" si="101"/>
        <v>0</v>
      </c>
      <c r="N171" s="113"/>
      <c r="O171" s="113">
        <f t="shared" si="88"/>
        <v>0</v>
      </c>
      <c r="P171" s="113"/>
      <c r="Q171" s="113">
        <f t="shared" si="102"/>
        <v>0</v>
      </c>
      <c r="R171" s="113">
        <f t="shared" si="103"/>
        <v>0</v>
      </c>
      <c r="S171" s="113">
        <f t="shared" si="121"/>
        <v>0</v>
      </c>
      <c r="T171" s="113">
        <f t="shared" si="104"/>
        <v>0</v>
      </c>
      <c r="U171" s="113">
        <f t="shared" si="122"/>
        <v>0</v>
      </c>
      <c r="V171" s="146">
        <f t="shared" si="105"/>
        <v>0</v>
      </c>
      <c r="W171" s="66"/>
      <c r="X171" s="115">
        <f t="shared" si="89"/>
        <v>3.125E-2</v>
      </c>
      <c r="Y171" s="110">
        <f t="shared" si="106"/>
        <v>0</v>
      </c>
      <c r="Z171" s="111">
        <f t="shared" si="125"/>
        <v>0</v>
      </c>
      <c r="AA171" s="112">
        <f t="shared" si="107"/>
        <v>0</v>
      </c>
      <c r="AB171" s="67" t="str">
        <f t="shared" si="108"/>
        <v/>
      </c>
      <c r="AC171" s="193">
        <f t="shared" si="90"/>
        <v>0</v>
      </c>
      <c r="AD171" s="144" t="str">
        <f t="shared" si="91"/>
        <v/>
      </c>
      <c r="AE171" s="228">
        <f t="shared" si="117"/>
        <v>0</v>
      </c>
      <c r="AF171" s="110"/>
      <c r="AG171" s="110" t="str">
        <f t="shared" si="109"/>
        <v/>
      </c>
      <c r="AH171" s="68">
        <f t="shared" si="92"/>
        <v>0</v>
      </c>
      <c r="AI171" s="68">
        <f t="shared" si="93"/>
        <v>0</v>
      </c>
      <c r="AJ171" s="68" t="str">
        <f t="shared" si="94"/>
        <v/>
      </c>
      <c r="AK171">
        <f t="shared" si="95"/>
        <v>7</v>
      </c>
      <c r="AL171" s="122">
        <f>SUM($AD$6:AD171)</f>
        <v>0</v>
      </c>
      <c r="AM171" s="122">
        <f t="shared" ca="1" si="110"/>
        <v>0</v>
      </c>
      <c r="AN171" s="126">
        <f t="shared" si="118"/>
        <v>0</v>
      </c>
      <c r="AO171" s="126">
        <f t="shared" si="119"/>
        <v>0</v>
      </c>
      <c r="AP171" s="126">
        <f t="shared" si="120"/>
        <v>0</v>
      </c>
      <c r="AQ171" s="125">
        <f t="shared" si="111"/>
        <v>30</v>
      </c>
      <c r="AR171" s="125">
        <f t="shared" ca="1" si="112"/>
        <v>30</v>
      </c>
      <c r="AS171" s="135">
        <f t="shared" si="113"/>
        <v>0</v>
      </c>
      <c r="AT171" s="125">
        <f t="shared" si="114"/>
        <v>7</v>
      </c>
      <c r="AU171" t="b">
        <f>OR((F171&gt;0),(NOT(ISBLANK(H171))),SUM(H171:H$373),SUM(G171:G$373))</f>
        <v>0</v>
      </c>
      <c r="AV171" t="b">
        <f t="shared" ca="1" si="96"/>
        <v>1</v>
      </c>
      <c r="AX171" s="228">
        <f>SUM(AW$5:AW171)</f>
        <v>-2.9166666666666665</v>
      </c>
    </row>
    <row r="172" spans="1:50">
      <c r="A172" s="308">
        <f t="shared" si="115"/>
        <v>42535</v>
      </c>
      <c r="B172" s="309">
        <f t="shared" si="116"/>
        <v>42535</v>
      </c>
      <c r="C172" s="310">
        <f t="shared" si="123"/>
        <v>25</v>
      </c>
      <c r="D172" s="311">
        <f t="shared" si="124"/>
        <v>42521</v>
      </c>
      <c r="E172" s="321" t="str">
        <f t="shared" si="97"/>
        <v/>
      </c>
      <c r="F172" s="5"/>
      <c r="G172" s="6" t="str">
        <f t="shared" si="98"/>
        <v/>
      </c>
      <c r="H172" s="7"/>
      <c r="I172" s="7">
        <f t="shared" si="99"/>
        <v>0</v>
      </c>
      <c r="J172" s="113">
        <f t="shared" si="87"/>
        <v>0</v>
      </c>
      <c r="K172" s="7"/>
      <c r="L172" s="7">
        <f t="shared" si="100"/>
        <v>0</v>
      </c>
      <c r="M172" s="113">
        <f t="shared" si="101"/>
        <v>0</v>
      </c>
      <c r="N172" s="113"/>
      <c r="O172" s="113">
        <f t="shared" si="88"/>
        <v>0</v>
      </c>
      <c r="P172" s="113"/>
      <c r="Q172" s="113">
        <f t="shared" si="102"/>
        <v>0</v>
      </c>
      <c r="R172" s="113">
        <f t="shared" si="103"/>
        <v>0</v>
      </c>
      <c r="S172" s="113">
        <f t="shared" si="121"/>
        <v>0</v>
      </c>
      <c r="T172" s="113">
        <f t="shared" si="104"/>
        <v>0</v>
      </c>
      <c r="U172" s="113">
        <f t="shared" si="122"/>
        <v>0</v>
      </c>
      <c r="V172" s="146">
        <f t="shared" si="105"/>
        <v>0</v>
      </c>
      <c r="W172" s="66"/>
      <c r="X172" s="115">
        <f t="shared" si="89"/>
        <v>3.125E-2</v>
      </c>
      <c r="Y172" s="110">
        <f t="shared" si="106"/>
        <v>0</v>
      </c>
      <c r="Z172" s="111">
        <f t="shared" si="125"/>
        <v>0.29166666666666669</v>
      </c>
      <c r="AA172" s="112">
        <f t="shared" si="107"/>
        <v>0</v>
      </c>
      <c r="AB172" s="67" t="str">
        <f t="shared" si="108"/>
        <v/>
      </c>
      <c r="AC172" s="193">
        <f t="shared" si="90"/>
        <v>0</v>
      </c>
      <c r="AD172" s="144" t="str">
        <f t="shared" si="91"/>
        <v/>
      </c>
      <c r="AE172" s="228">
        <f t="shared" si="117"/>
        <v>0</v>
      </c>
      <c r="AF172" s="110"/>
      <c r="AG172" s="110" t="str">
        <f t="shared" si="109"/>
        <v/>
      </c>
      <c r="AH172" s="68">
        <f t="shared" si="92"/>
        <v>0</v>
      </c>
      <c r="AI172" s="68">
        <f t="shared" si="93"/>
        <v>0</v>
      </c>
      <c r="AJ172" s="68" t="str">
        <f t="shared" si="94"/>
        <v/>
      </c>
      <c r="AK172">
        <f t="shared" si="95"/>
        <v>1</v>
      </c>
      <c r="AL172" s="122">
        <f>SUM($AD$6:AD172)</f>
        <v>0</v>
      </c>
      <c r="AM172" s="122">
        <f t="shared" ca="1" si="110"/>
        <v>0</v>
      </c>
      <c r="AN172" s="126">
        <f t="shared" si="118"/>
        <v>0</v>
      </c>
      <c r="AO172" s="126">
        <f t="shared" si="119"/>
        <v>0</v>
      </c>
      <c r="AP172" s="126">
        <f t="shared" si="120"/>
        <v>0</v>
      </c>
      <c r="AQ172" s="125">
        <f t="shared" si="111"/>
        <v>30</v>
      </c>
      <c r="AR172" s="125">
        <f t="shared" ca="1" si="112"/>
        <v>30</v>
      </c>
      <c r="AS172" s="135">
        <f t="shared" si="113"/>
        <v>0</v>
      </c>
      <c r="AT172" s="125">
        <f t="shared" si="114"/>
        <v>0</v>
      </c>
      <c r="AU172" t="b">
        <f>OR((F172&gt;0),(NOT(ISBLANK(H172))),SUM(H172:H$373),SUM(G172:G$373))</f>
        <v>0</v>
      </c>
      <c r="AV172" t="b">
        <f t="shared" ca="1" si="96"/>
        <v>0</v>
      </c>
      <c r="AX172" s="228">
        <f>SUM(AW$5:AW172)</f>
        <v>-2.9166666666666665</v>
      </c>
    </row>
    <row r="173" spans="1:50">
      <c r="A173" s="308">
        <f t="shared" si="115"/>
        <v>42536</v>
      </c>
      <c r="B173" s="309">
        <f t="shared" si="116"/>
        <v>42536</v>
      </c>
      <c r="C173" s="310">
        <f t="shared" si="123"/>
        <v>25</v>
      </c>
      <c r="D173" s="311">
        <f t="shared" si="124"/>
        <v>42521</v>
      </c>
      <c r="E173" s="321" t="str">
        <f t="shared" si="97"/>
        <v/>
      </c>
      <c r="F173" s="5"/>
      <c r="G173" s="6" t="str">
        <f t="shared" si="98"/>
        <v/>
      </c>
      <c r="H173" s="7"/>
      <c r="I173" s="7">
        <f t="shared" si="99"/>
        <v>0</v>
      </c>
      <c r="J173" s="113">
        <f t="shared" si="87"/>
        <v>0</v>
      </c>
      <c r="K173" s="7"/>
      <c r="L173" s="7">
        <f t="shared" si="100"/>
        <v>0</v>
      </c>
      <c r="M173" s="113">
        <f t="shared" si="101"/>
        <v>0</v>
      </c>
      <c r="N173" s="113"/>
      <c r="O173" s="113">
        <f t="shared" si="88"/>
        <v>0</v>
      </c>
      <c r="P173" s="113"/>
      <c r="Q173" s="113">
        <f t="shared" si="102"/>
        <v>0</v>
      </c>
      <c r="R173" s="113">
        <f t="shared" si="103"/>
        <v>0</v>
      </c>
      <c r="S173" s="113">
        <f t="shared" si="121"/>
        <v>0</v>
      </c>
      <c r="T173" s="113">
        <f t="shared" si="104"/>
        <v>0</v>
      </c>
      <c r="U173" s="113">
        <f t="shared" si="122"/>
        <v>0</v>
      </c>
      <c r="V173" s="146">
        <f t="shared" si="105"/>
        <v>0</v>
      </c>
      <c r="W173" s="66"/>
      <c r="X173" s="115">
        <f t="shared" si="89"/>
        <v>3.125E-2</v>
      </c>
      <c r="Y173" s="110">
        <f t="shared" si="106"/>
        <v>0</v>
      </c>
      <c r="Z173" s="111">
        <f t="shared" si="125"/>
        <v>0.29166666666666669</v>
      </c>
      <c r="AA173" s="112">
        <f t="shared" si="107"/>
        <v>0</v>
      </c>
      <c r="AB173" s="67" t="str">
        <f t="shared" si="108"/>
        <v/>
      </c>
      <c r="AC173" s="193">
        <f t="shared" si="90"/>
        <v>0</v>
      </c>
      <c r="AD173" s="144" t="str">
        <f t="shared" si="91"/>
        <v/>
      </c>
      <c r="AE173" s="228">
        <f t="shared" si="117"/>
        <v>0</v>
      </c>
      <c r="AF173" s="110"/>
      <c r="AG173" s="110" t="str">
        <f t="shared" si="109"/>
        <v/>
      </c>
      <c r="AH173" s="68">
        <f t="shared" si="92"/>
        <v>0</v>
      </c>
      <c r="AI173" s="68">
        <f t="shared" si="93"/>
        <v>0</v>
      </c>
      <c r="AJ173" s="68" t="str">
        <f t="shared" si="94"/>
        <v/>
      </c>
      <c r="AK173">
        <f t="shared" si="95"/>
        <v>2</v>
      </c>
      <c r="AL173" s="122">
        <f>SUM($AD$6:AD173)</f>
        <v>0</v>
      </c>
      <c r="AM173" s="122">
        <f t="shared" ca="1" si="110"/>
        <v>0</v>
      </c>
      <c r="AN173" s="126">
        <f t="shared" si="118"/>
        <v>0</v>
      </c>
      <c r="AO173" s="126">
        <f t="shared" si="119"/>
        <v>0</v>
      </c>
      <c r="AP173" s="126">
        <f t="shared" si="120"/>
        <v>0</v>
      </c>
      <c r="AQ173" s="125">
        <f t="shared" si="111"/>
        <v>30</v>
      </c>
      <c r="AR173" s="125">
        <f t="shared" ca="1" si="112"/>
        <v>30</v>
      </c>
      <c r="AS173" s="135">
        <f t="shared" si="113"/>
        <v>0</v>
      </c>
      <c r="AT173" s="125">
        <f t="shared" si="114"/>
        <v>0</v>
      </c>
      <c r="AU173" t="b">
        <f>OR((F173&gt;0),(NOT(ISBLANK(H173))),SUM(H173:H$373),SUM(G173:G$373))</f>
        <v>0</v>
      </c>
      <c r="AV173" t="b">
        <f t="shared" ca="1" si="96"/>
        <v>0</v>
      </c>
      <c r="AX173" s="228">
        <f>SUM(AW$5:AW173)</f>
        <v>-2.9166666666666665</v>
      </c>
    </row>
    <row r="174" spans="1:50">
      <c r="A174" s="308">
        <f t="shared" si="115"/>
        <v>42537</v>
      </c>
      <c r="B174" s="309">
        <f t="shared" si="116"/>
        <v>42537</v>
      </c>
      <c r="C174" s="310">
        <f t="shared" si="123"/>
        <v>25</v>
      </c>
      <c r="D174" s="311">
        <f t="shared" si="124"/>
        <v>42521</v>
      </c>
      <c r="E174" s="321" t="str">
        <f t="shared" si="97"/>
        <v/>
      </c>
      <c r="F174" s="5"/>
      <c r="G174" s="6" t="str">
        <f t="shared" si="98"/>
        <v/>
      </c>
      <c r="H174" s="7"/>
      <c r="I174" s="7">
        <f t="shared" si="99"/>
        <v>0</v>
      </c>
      <c r="J174" s="113">
        <f t="shared" si="87"/>
        <v>0</v>
      </c>
      <c r="K174" s="7"/>
      <c r="L174" s="7">
        <f t="shared" si="100"/>
        <v>0</v>
      </c>
      <c r="M174" s="113">
        <f t="shared" si="101"/>
        <v>0</v>
      </c>
      <c r="N174" s="113"/>
      <c r="O174" s="113">
        <f t="shared" si="88"/>
        <v>0</v>
      </c>
      <c r="P174" s="113"/>
      <c r="Q174" s="113">
        <f t="shared" si="102"/>
        <v>0</v>
      </c>
      <c r="R174" s="113">
        <f t="shared" si="103"/>
        <v>0</v>
      </c>
      <c r="S174" s="113">
        <f t="shared" si="121"/>
        <v>0</v>
      </c>
      <c r="T174" s="113">
        <f t="shared" si="104"/>
        <v>0</v>
      </c>
      <c r="U174" s="113">
        <f t="shared" si="122"/>
        <v>0</v>
      </c>
      <c r="V174" s="146">
        <f t="shared" si="105"/>
        <v>0</v>
      </c>
      <c r="W174" s="66"/>
      <c r="X174" s="115">
        <f t="shared" si="89"/>
        <v>3.125E-2</v>
      </c>
      <c r="Y174" s="110">
        <f t="shared" si="106"/>
        <v>0</v>
      </c>
      <c r="Z174" s="111">
        <f t="shared" si="125"/>
        <v>0.29166666666666669</v>
      </c>
      <c r="AA174" s="112">
        <f t="shared" si="107"/>
        <v>0</v>
      </c>
      <c r="AB174" s="67" t="str">
        <f t="shared" si="108"/>
        <v/>
      </c>
      <c r="AC174" s="193">
        <f t="shared" si="90"/>
        <v>0</v>
      </c>
      <c r="AD174" s="144" t="str">
        <f t="shared" si="91"/>
        <v/>
      </c>
      <c r="AE174" s="228">
        <f t="shared" si="117"/>
        <v>0</v>
      </c>
      <c r="AF174" s="110"/>
      <c r="AG174" s="110" t="str">
        <f t="shared" si="109"/>
        <v/>
      </c>
      <c r="AH174" s="68">
        <f t="shared" si="92"/>
        <v>0</v>
      </c>
      <c r="AI174" s="68">
        <f t="shared" si="93"/>
        <v>0</v>
      </c>
      <c r="AJ174" s="68" t="str">
        <f t="shared" si="94"/>
        <v/>
      </c>
      <c r="AK174">
        <f t="shared" si="95"/>
        <v>3</v>
      </c>
      <c r="AL174" s="122">
        <f>SUM($AD$6:AD174)</f>
        <v>0</v>
      </c>
      <c r="AM174" s="122">
        <f t="shared" ca="1" si="110"/>
        <v>0</v>
      </c>
      <c r="AN174" s="126">
        <f t="shared" si="118"/>
        <v>0</v>
      </c>
      <c r="AO174" s="126">
        <f t="shared" si="119"/>
        <v>0</v>
      </c>
      <c r="AP174" s="126">
        <f t="shared" si="120"/>
        <v>0</v>
      </c>
      <c r="AQ174" s="125">
        <f t="shared" si="111"/>
        <v>30</v>
      </c>
      <c r="AR174" s="125">
        <f t="shared" ca="1" si="112"/>
        <v>30</v>
      </c>
      <c r="AS174" s="135">
        <f t="shared" si="113"/>
        <v>0</v>
      </c>
      <c r="AT174" s="125">
        <f t="shared" si="114"/>
        <v>0</v>
      </c>
      <c r="AU174" t="b">
        <f>OR((F174&gt;0),(NOT(ISBLANK(H174))),SUM(H174:H$373),SUM(G174:G$373))</f>
        <v>0</v>
      </c>
      <c r="AV174" t="b">
        <f t="shared" ca="1" si="96"/>
        <v>0</v>
      </c>
      <c r="AX174" s="228">
        <f>SUM(AW$5:AW174)</f>
        <v>-2.9166666666666665</v>
      </c>
    </row>
    <row r="175" spans="1:50">
      <c r="A175" s="308">
        <f t="shared" si="115"/>
        <v>42538</v>
      </c>
      <c r="B175" s="309">
        <f t="shared" si="116"/>
        <v>42538</v>
      </c>
      <c r="C175" s="310">
        <f t="shared" si="123"/>
        <v>25</v>
      </c>
      <c r="D175" s="311">
        <f t="shared" si="124"/>
        <v>42521</v>
      </c>
      <c r="E175" s="321" t="str">
        <f t="shared" si="97"/>
        <v/>
      </c>
      <c r="F175" s="5"/>
      <c r="G175" s="6" t="str">
        <f t="shared" si="98"/>
        <v/>
      </c>
      <c r="H175" s="7"/>
      <c r="I175" s="7">
        <f t="shared" si="99"/>
        <v>0</v>
      </c>
      <c r="J175" s="113">
        <f t="shared" si="87"/>
        <v>0</v>
      </c>
      <c r="K175" s="7"/>
      <c r="L175" s="7">
        <f t="shared" si="100"/>
        <v>0</v>
      </c>
      <c r="M175" s="113">
        <f t="shared" si="101"/>
        <v>0</v>
      </c>
      <c r="N175" s="113"/>
      <c r="O175" s="113">
        <f t="shared" si="88"/>
        <v>0</v>
      </c>
      <c r="P175" s="113"/>
      <c r="Q175" s="113">
        <f t="shared" si="102"/>
        <v>0</v>
      </c>
      <c r="R175" s="113">
        <f t="shared" si="103"/>
        <v>0</v>
      </c>
      <c r="S175" s="113">
        <f t="shared" si="121"/>
        <v>0</v>
      </c>
      <c r="T175" s="113">
        <f t="shared" si="104"/>
        <v>0</v>
      </c>
      <c r="U175" s="113">
        <f t="shared" si="122"/>
        <v>0</v>
      </c>
      <c r="V175" s="146">
        <f t="shared" si="105"/>
        <v>0</v>
      </c>
      <c r="W175" s="66"/>
      <c r="X175" s="115">
        <f t="shared" si="89"/>
        <v>3.125E-2</v>
      </c>
      <c r="Y175" s="110">
        <f t="shared" si="106"/>
        <v>0</v>
      </c>
      <c r="Z175" s="111">
        <f t="shared" si="125"/>
        <v>0.29166666666666669</v>
      </c>
      <c r="AA175" s="112">
        <f t="shared" si="107"/>
        <v>0</v>
      </c>
      <c r="AB175" s="67" t="str">
        <f t="shared" si="108"/>
        <v/>
      </c>
      <c r="AC175" s="193">
        <f t="shared" si="90"/>
        <v>0</v>
      </c>
      <c r="AD175" s="144" t="str">
        <f t="shared" si="91"/>
        <v/>
      </c>
      <c r="AE175" s="228">
        <f t="shared" si="117"/>
        <v>0</v>
      </c>
      <c r="AF175" s="110"/>
      <c r="AG175" s="110" t="str">
        <f t="shared" si="109"/>
        <v/>
      </c>
      <c r="AH175" s="68">
        <f t="shared" si="92"/>
        <v>0</v>
      </c>
      <c r="AI175" s="68">
        <f t="shared" si="93"/>
        <v>0</v>
      </c>
      <c r="AJ175" s="68" t="str">
        <f t="shared" si="94"/>
        <v/>
      </c>
      <c r="AK175">
        <f t="shared" si="95"/>
        <v>4</v>
      </c>
      <c r="AL175" s="122">
        <f>SUM($AD$6:AD175)</f>
        <v>0</v>
      </c>
      <c r="AM175" s="122">
        <f t="shared" ca="1" si="110"/>
        <v>0</v>
      </c>
      <c r="AN175" s="126">
        <f t="shared" si="118"/>
        <v>0</v>
      </c>
      <c r="AO175" s="126">
        <f t="shared" si="119"/>
        <v>0</v>
      </c>
      <c r="AP175" s="126">
        <f t="shared" si="120"/>
        <v>0</v>
      </c>
      <c r="AQ175" s="125">
        <f t="shared" si="111"/>
        <v>30</v>
      </c>
      <c r="AR175" s="125">
        <f t="shared" ca="1" si="112"/>
        <v>30</v>
      </c>
      <c r="AS175" s="135">
        <f t="shared" si="113"/>
        <v>0</v>
      </c>
      <c r="AT175" s="125">
        <f t="shared" si="114"/>
        <v>0</v>
      </c>
      <c r="AU175" t="b">
        <f>OR((F175&gt;0),(NOT(ISBLANK(H175))),SUM(H175:H$373),SUM(G175:G$373))</f>
        <v>0</v>
      </c>
      <c r="AV175" t="b">
        <f t="shared" ca="1" si="96"/>
        <v>0</v>
      </c>
      <c r="AX175" s="228">
        <f>SUM(AW$5:AW175)</f>
        <v>-2.9166666666666665</v>
      </c>
    </row>
    <row r="176" spans="1:50">
      <c r="A176" s="308">
        <f t="shared" si="115"/>
        <v>42539</v>
      </c>
      <c r="B176" s="309">
        <f t="shared" si="116"/>
        <v>42539</v>
      </c>
      <c r="C176" s="310">
        <f t="shared" si="123"/>
        <v>25</v>
      </c>
      <c r="D176" s="311">
        <f t="shared" si="124"/>
        <v>42521</v>
      </c>
      <c r="E176" s="321" t="str">
        <f t="shared" si="97"/>
        <v/>
      </c>
      <c r="F176" s="5"/>
      <c r="G176" s="6" t="str">
        <f t="shared" si="98"/>
        <v/>
      </c>
      <c r="H176" s="7"/>
      <c r="I176" s="7">
        <f t="shared" si="99"/>
        <v>0</v>
      </c>
      <c r="J176" s="113">
        <f t="shared" si="87"/>
        <v>0</v>
      </c>
      <c r="K176" s="7"/>
      <c r="L176" s="7">
        <f t="shared" si="100"/>
        <v>0</v>
      </c>
      <c r="M176" s="113">
        <f t="shared" si="101"/>
        <v>0</v>
      </c>
      <c r="N176" s="113"/>
      <c r="O176" s="113">
        <f t="shared" si="88"/>
        <v>0</v>
      </c>
      <c r="P176" s="113"/>
      <c r="Q176" s="113">
        <f t="shared" si="102"/>
        <v>0</v>
      </c>
      <c r="R176" s="113">
        <f t="shared" si="103"/>
        <v>0</v>
      </c>
      <c r="S176" s="113">
        <f t="shared" si="121"/>
        <v>0</v>
      </c>
      <c r="T176" s="113">
        <f t="shared" si="104"/>
        <v>0</v>
      </c>
      <c r="U176" s="113">
        <f t="shared" si="122"/>
        <v>0</v>
      </c>
      <c r="V176" s="146">
        <f t="shared" si="105"/>
        <v>0</v>
      </c>
      <c r="W176" s="66"/>
      <c r="X176" s="115">
        <f t="shared" si="89"/>
        <v>3.125E-2</v>
      </c>
      <c r="Y176" s="110">
        <f t="shared" si="106"/>
        <v>0</v>
      </c>
      <c r="Z176" s="111">
        <f t="shared" si="125"/>
        <v>0.29166666666666669</v>
      </c>
      <c r="AA176" s="112">
        <f t="shared" si="107"/>
        <v>0</v>
      </c>
      <c r="AB176" s="67" t="str">
        <f t="shared" si="108"/>
        <v/>
      </c>
      <c r="AC176" s="193">
        <f t="shared" si="90"/>
        <v>0</v>
      </c>
      <c r="AD176" s="144" t="str">
        <f t="shared" si="91"/>
        <v/>
      </c>
      <c r="AE176" s="228">
        <f t="shared" si="117"/>
        <v>0</v>
      </c>
      <c r="AF176" s="110"/>
      <c r="AG176" s="110" t="str">
        <f t="shared" si="109"/>
        <v/>
      </c>
      <c r="AH176" s="68">
        <f t="shared" si="92"/>
        <v>0</v>
      </c>
      <c r="AI176" s="68">
        <f t="shared" si="93"/>
        <v>0</v>
      </c>
      <c r="AJ176" s="68" t="str">
        <f t="shared" si="94"/>
        <v/>
      </c>
      <c r="AK176">
        <f t="shared" si="95"/>
        <v>5</v>
      </c>
      <c r="AL176" s="122">
        <f>SUM($AD$6:AD176)</f>
        <v>0</v>
      </c>
      <c r="AM176" s="122">
        <f t="shared" ca="1" si="110"/>
        <v>0</v>
      </c>
      <c r="AN176" s="126">
        <f t="shared" si="118"/>
        <v>0</v>
      </c>
      <c r="AO176" s="126">
        <f t="shared" si="119"/>
        <v>0</v>
      </c>
      <c r="AP176" s="126">
        <f t="shared" si="120"/>
        <v>0</v>
      </c>
      <c r="AQ176" s="125">
        <f t="shared" si="111"/>
        <v>30</v>
      </c>
      <c r="AR176" s="125">
        <f t="shared" ca="1" si="112"/>
        <v>30</v>
      </c>
      <c r="AS176" s="135">
        <f t="shared" si="113"/>
        <v>0</v>
      </c>
      <c r="AT176" s="125">
        <f t="shared" si="114"/>
        <v>0</v>
      </c>
      <c r="AU176" t="b">
        <f>OR((F176&gt;0),(NOT(ISBLANK(H176))),SUM(H176:H$373),SUM(G176:G$373))</f>
        <v>0</v>
      </c>
      <c r="AV176" t="b">
        <f t="shared" ca="1" si="96"/>
        <v>0</v>
      </c>
      <c r="AX176" s="228">
        <f>SUM(AW$5:AW176)</f>
        <v>-2.9166666666666665</v>
      </c>
    </row>
    <row r="177" spans="1:50">
      <c r="A177" s="308">
        <f t="shared" si="115"/>
        <v>42540</v>
      </c>
      <c r="B177" s="309">
        <f t="shared" si="116"/>
        <v>42540</v>
      </c>
      <c r="C177" s="310">
        <f t="shared" si="123"/>
        <v>25</v>
      </c>
      <c r="D177" s="311">
        <f t="shared" si="124"/>
        <v>42521</v>
      </c>
      <c r="E177" s="321" t="str">
        <f t="shared" si="97"/>
        <v/>
      </c>
      <c r="F177" s="5"/>
      <c r="G177" s="6" t="str">
        <f t="shared" si="98"/>
        <v/>
      </c>
      <c r="H177" s="7"/>
      <c r="I177" s="7">
        <f t="shared" si="99"/>
        <v>0</v>
      </c>
      <c r="J177" s="113">
        <f t="shared" si="87"/>
        <v>0</v>
      </c>
      <c r="K177" s="7"/>
      <c r="L177" s="7">
        <f t="shared" si="100"/>
        <v>0</v>
      </c>
      <c r="M177" s="113">
        <f t="shared" si="101"/>
        <v>0</v>
      </c>
      <c r="N177" s="113"/>
      <c r="O177" s="113">
        <f t="shared" si="88"/>
        <v>0</v>
      </c>
      <c r="P177" s="113"/>
      <c r="Q177" s="113">
        <f t="shared" si="102"/>
        <v>0</v>
      </c>
      <c r="R177" s="113">
        <f t="shared" si="103"/>
        <v>0</v>
      </c>
      <c r="S177" s="113">
        <f t="shared" si="121"/>
        <v>0</v>
      </c>
      <c r="T177" s="113">
        <f t="shared" si="104"/>
        <v>0</v>
      </c>
      <c r="U177" s="113">
        <f t="shared" si="122"/>
        <v>0</v>
      </c>
      <c r="V177" s="146">
        <f t="shared" si="105"/>
        <v>0</v>
      </c>
      <c r="W177" s="66"/>
      <c r="X177" s="115">
        <f t="shared" si="89"/>
        <v>3.125E-2</v>
      </c>
      <c r="Y177" s="110">
        <f t="shared" si="106"/>
        <v>0</v>
      </c>
      <c r="Z177" s="111">
        <f t="shared" si="125"/>
        <v>0</v>
      </c>
      <c r="AA177" s="112">
        <f t="shared" si="107"/>
        <v>0</v>
      </c>
      <c r="AB177" s="67" t="str">
        <f t="shared" si="108"/>
        <v/>
      </c>
      <c r="AC177" s="193">
        <f t="shared" si="90"/>
        <v>0</v>
      </c>
      <c r="AD177" s="144" t="str">
        <f t="shared" si="91"/>
        <v/>
      </c>
      <c r="AE177" s="228">
        <f t="shared" si="117"/>
        <v>0</v>
      </c>
      <c r="AF177" s="110"/>
      <c r="AG177" s="110" t="str">
        <f t="shared" si="109"/>
        <v/>
      </c>
      <c r="AH177" s="68">
        <f t="shared" si="92"/>
        <v>0</v>
      </c>
      <c r="AI177" s="68">
        <f t="shared" si="93"/>
        <v>0</v>
      </c>
      <c r="AJ177" s="68" t="str">
        <f t="shared" si="94"/>
        <v/>
      </c>
      <c r="AK177">
        <f t="shared" si="95"/>
        <v>6</v>
      </c>
      <c r="AL177" s="122">
        <f>SUM($AD$6:AD177)</f>
        <v>0</v>
      </c>
      <c r="AM177" s="122">
        <f t="shared" ca="1" si="110"/>
        <v>0</v>
      </c>
      <c r="AN177" s="126">
        <f t="shared" si="118"/>
        <v>0</v>
      </c>
      <c r="AO177" s="126">
        <f t="shared" si="119"/>
        <v>0</v>
      </c>
      <c r="AP177" s="126">
        <f t="shared" si="120"/>
        <v>0</v>
      </c>
      <c r="AQ177" s="125">
        <f t="shared" si="111"/>
        <v>30</v>
      </c>
      <c r="AR177" s="125">
        <f t="shared" ca="1" si="112"/>
        <v>30</v>
      </c>
      <c r="AS177" s="135">
        <f t="shared" si="113"/>
        <v>0</v>
      </c>
      <c r="AT177" s="125">
        <f t="shared" si="114"/>
        <v>7</v>
      </c>
      <c r="AU177" t="b">
        <f>OR((F177&gt;0),(NOT(ISBLANK(H177))),SUM(H177:H$373),SUM(G177:G$373))</f>
        <v>0</v>
      </c>
      <c r="AV177" t="b">
        <f t="shared" ca="1" si="96"/>
        <v>1</v>
      </c>
      <c r="AX177" s="228">
        <f>SUM(AW$5:AW177)</f>
        <v>-2.9166666666666665</v>
      </c>
    </row>
    <row r="178" spans="1:50">
      <c r="A178" s="308">
        <f t="shared" si="115"/>
        <v>42541</v>
      </c>
      <c r="B178" s="309">
        <f t="shared" si="116"/>
        <v>42541</v>
      </c>
      <c r="C178" s="310">
        <f t="shared" si="123"/>
        <v>25</v>
      </c>
      <c r="D178" s="311">
        <f t="shared" si="124"/>
        <v>42521</v>
      </c>
      <c r="E178" s="321" t="str">
        <f t="shared" si="97"/>
        <v/>
      </c>
      <c r="F178" s="5"/>
      <c r="G178" s="6" t="str">
        <f t="shared" si="98"/>
        <v/>
      </c>
      <c r="H178" s="7"/>
      <c r="I178" s="7">
        <f t="shared" si="99"/>
        <v>0</v>
      </c>
      <c r="J178" s="113">
        <f t="shared" si="87"/>
        <v>0</v>
      </c>
      <c r="K178" s="7"/>
      <c r="L178" s="7">
        <f t="shared" si="100"/>
        <v>0</v>
      </c>
      <c r="M178" s="113">
        <f t="shared" si="101"/>
        <v>0</v>
      </c>
      <c r="N178" s="113"/>
      <c r="O178" s="113">
        <f t="shared" si="88"/>
        <v>0</v>
      </c>
      <c r="P178" s="113"/>
      <c r="Q178" s="113">
        <f t="shared" si="102"/>
        <v>0</v>
      </c>
      <c r="R178" s="113">
        <f t="shared" si="103"/>
        <v>0</v>
      </c>
      <c r="S178" s="113">
        <f t="shared" si="121"/>
        <v>0</v>
      </c>
      <c r="T178" s="113">
        <f t="shared" si="104"/>
        <v>0</v>
      </c>
      <c r="U178" s="113">
        <f t="shared" si="122"/>
        <v>0</v>
      </c>
      <c r="V178" s="146">
        <f t="shared" si="105"/>
        <v>0</v>
      </c>
      <c r="W178" s="66"/>
      <c r="X178" s="115">
        <f t="shared" si="89"/>
        <v>3.125E-2</v>
      </c>
      <c r="Y178" s="110">
        <f t="shared" si="106"/>
        <v>0</v>
      </c>
      <c r="Z178" s="111">
        <f t="shared" si="125"/>
        <v>0</v>
      </c>
      <c r="AA178" s="112">
        <f t="shared" si="107"/>
        <v>0</v>
      </c>
      <c r="AB178" s="67" t="str">
        <f t="shared" si="108"/>
        <v/>
      </c>
      <c r="AC178" s="193">
        <f t="shared" si="90"/>
        <v>0</v>
      </c>
      <c r="AD178" s="144" t="str">
        <f t="shared" si="91"/>
        <v/>
      </c>
      <c r="AE178" s="228">
        <f t="shared" si="117"/>
        <v>0</v>
      </c>
      <c r="AF178" s="110"/>
      <c r="AG178" s="110" t="str">
        <f t="shared" si="109"/>
        <v/>
      </c>
      <c r="AH178" s="68">
        <f t="shared" si="92"/>
        <v>0</v>
      </c>
      <c r="AI178" s="68">
        <f t="shared" si="93"/>
        <v>0</v>
      </c>
      <c r="AJ178" s="68" t="str">
        <f t="shared" si="94"/>
        <v/>
      </c>
      <c r="AK178">
        <f t="shared" si="95"/>
        <v>7</v>
      </c>
      <c r="AL178" s="122">
        <f>SUM($AD$6:AD178)</f>
        <v>0</v>
      </c>
      <c r="AM178" s="122">
        <f t="shared" ca="1" si="110"/>
        <v>0</v>
      </c>
      <c r="AN178" s="126">
        <f t="shared" si="118"/>
        <v>0</v>
      </c>
      <c r="AO178" s="126">
        <f t="shared" si="119"/>
        <v>0</v>
      </c>
      <c r="AP178" s="126">
        <f t="shared" si="120"/>
        <v>0</v>
      </c>
      <c r="AQ178" s="125">
        <f t="shared" si="111"/>
        <v>30</v>
      </c>
      <c r="AR178" s="125">
        <f t="shared" ca="1" si="112"/>
        <v>30</v>
      </c>
      <c r="AS178" s="135">
        <f t="shared" si="113"/>
        <v>0</v>
      </c>
      <c r="AT178" s="125">
        <f t="shared" si="114"/>
        <v>7</v>
      </c>
      <c r="AU178" t="b">
        <f>OR((F178&gt;0),(NOT(ISBLANK(H178))),SUM(H178:H$373),SUM(G178:G$373))</f>
        <v>0</v>
      </c>
      <c r="AV178" t="b">
        <f t="shared" ca="1" si="96"/>
        <v>1</v>
      </c>
      <c r="AX178" s="228">
        <f>SUM(AW$5:AW178)</f>
        <v>-2.9166666666666665</v>
      </c>
    </row>
    <row r="179" spans="1:50">
      <c r="A179" s="308">
        <f t="shared" si="115"/>
        <v>42542</v>
      </c>
      <c r="B179" s="309">
        <f t="shared" si="116"/>
        <v>42542</v>
      </c>
      <c r="C179" s="310">
        <f t="shared" si="123"/>
        <v>26</v>
      </c>
      <c r="D179" s="311">
        <f t="shared" si="124"/>
        <v>42521</v>
      </c>
      <c r="E179" s="321" t="str">
        <f t="shared" si="97"/>
        <v/>
      </c>
      <c r="F179" s="5"/>
      <c r="G179" s="6" t="str">
        <f t="shared" si="98"/>
        <v/>
      </c>
      <c r="H179" s="7"/>
      <c r="I179" s="7">
        <f t="shared" si="99"/>
        <v>0</v>
      </c>
      <c r="J179" s="113">
        <f t="shared" si="87"/>
        <v>0</v>
      </c>
      <c r="K179" s="7"/>
      <c r="L179" s="7">
        <f t="shared" si="100"/>
        <v>0</v>
      </c>
      <c r="M179" s="113">
        <f t="shared" si="101"/>
        <v>0</v>
      </c>
      <c r="N179" s="113"/>
      <c r="O179" s="113">
        <f t="shared" si="88"/>
        <v>0</v>
      </c>
      <c r="P179" s="113"/>
      <c r="Q179" s="113">
        <f t="shared" si="102"/>
        <v>0</v>
      </c>
      <c r="R179" s="113">
        <f t="shared" si="103"/>
        <v>0</v>
      </c>
      <c r="S179" s="113">
        <f t="shared" si="121"/>
        <v>0</v>
      </c>
      <c r="T179" s="113">
        <f t="shared" si="104"/>
        <v>0</v>
      </c>
      <c r="U179" s="113">
        <f t="shared" si="122"/>
        <v>0</v>
      </c>
      <c r="V179" s="146">
        <f t="shared" si="105"/>
        <v>0</v>
      </c>
      <c r="W179" s="66"/>
      <c r="X179" s="115">
        <f t="shared" si="89"/>
        <v>3.125E-2</v>
      </c>
      <c r="Y179" s="110">
        <f t="shared" si="106"/>
        <v>0</v>
      </c>
      <c r="Z179" s="111">
        <f t="shared" si="125"/>
        <v>0.29166666666666669</v>
      </c>
      <c r="AA179" s="112">
        <f t="shared" si="107"/>
        <v>0</v>
      </c>
      <c r="AB179" s="67" t="str">
        <f t="shared" si="108"/>
        <v/>
      </c>
      <c r="AC179" s="193">
        <f t="shared" si="90"/>
        <v>0</v>
      </c>
      <c r="AD179" s="144" t="str">
        <f t="shared" si="91"/>
        <v/>
      </c>
      <c r="AE179" s="228">
        <f t="shared" si="117"/>
        <v>0</v>
      </c>
      <c r="AF179" s="110"/>
      <c r="AG179" s="110" t="str">
        <f t="shared" si="109"/>
        <v/>
      </c>
      <c r="AH179" s="68">
        <f t="shared" si="92"/>
        <v>0</v>
      </c>
      <c r="AI179" s="68">
        <f t="shared" si="93"/>
        <v>0</v>
      </c>
      <c r="AJ179" s="68" t="str">
        <f t="shared" si="94"/>
        <v/>
      </c>
      <c r="AK179">
        <f t="shared" si="95"/>
        <v>1</v>
      </c>
      <c r="AL179" s="122">
        <f>SUM($AD$6:AD179)</f>
        <v>0</v>
      </c>
      <c r="AM179" s="122">
        <f t="shared" ca="1" si="110"/>
        <v>0</v>
      </c>
      <c r="AN179" s="126">
        <f t="shared" si="118"/>
        <v>0</v>
      </c>
      <c r="AO179" s="126">
        <f t="shared" si="119"/>
        <v>0</v>
      </c>
      <c r="AP179" s="126">
        <f t="shared" si="120"/>
        <v>0</v>
      </c>
      <c r="AQ179" s="125">
        <f t="shared" si="111"/>
        <v>30</v>
      </c>
      <c r="AR179" s="125">
        <f t="shared" ca="1" si="112"/>
        <v>30</v>
      </c>
      <c r="AS179" s="135">
        <f t="shared" si="113"/>
        <v>0</v>
      </c>
      <c r="AT179" s="125">
        <f t="shared" si="114"/>
        <v>0</v>
      </c>
      <c r="AU179" t="b">
        <f>OR((F179&gt;0),(NOT(ISBLANK(H179))),SUM(H179:H$373),SUM(G179:G$373))</f>
        <v>0</v>
      </c>
      <c r="AV179" t="b">
        <f t="shared" ca="1" si="96"/>
        <v>0</v>
      </c>
      <c r="AX179" s="228">
        <f>SUM(AW$5:AW179)</f>
        <v>-2.9166666666666665</v>
      </c>
    </row>
    <row r="180" spans="1:50">
      <c r="A180" s="308">
        <f t="shared" si="115"/>
        <v>42543</v>
      </c>
      <c r="B180" s="309">
        <f t="shared" si="116"/>
        <v>42543</v>
      </c>
      <c r="C180" s="310">
        <f t="shared" si="123"/>
        <v>26</v>
      </c>
      <c r="D180" s="311">
        <f t="shared" si="124"/>
        <v>42521</v>
      </c>
      <c r="E180" s="321" t="str">
        <f t="shared" si="97"/>
        <v/>
      </c>
      <c r="F180" s="5"/>
      <c r="G180" s="6" t="str">
        <f t="shared" si="98"/>
        <v/>
      </c>
      <c r="H180" s="7"/>
      <c r="I180" s="7">
        <f t="shared" si="99"/>
        <v>0</v>
      </c>
      <c r="J180" s="113">
        <f t="shared" si="87"/>
        <v>0</v>
      </c>
      <c r="K180" s="7"/>
      <c r="L180" s="7">
        <f t="shared" si="100"/>
        <v>0</v>
      </c>
      <c r="M180" s="113">
        <f t="shared" si="101"/>
        <v>0</v>
      </c>
      <c r="N180" s="113"/>
      <c r="O180" s="113">
        <f t="shared" si="88"/>
        <v>0</v>
      </c>
      <c r="P180" s="113"/>
      <c r="Q180" s="113">
        <f t="shared" si="102"/>
        <v>0</v>
      </c>
      <c r="R180" s="113">
        <f t="shared" si="103"/>
        <v>0</v>
      </c>
      <c r="S180" s="113">
        <f t="shared" si="121"/>
        <v>0</v>
      </c>
      <c r="T180" s="113">
        <f t="shared" si="104"/>
        <v>0</v>
      </c>
      <c r="U180" s="113">
        <f t="shared" si="122"/>
        <v>0</v>
      </c>
      <c r="V180" s="146">
        <f t="shared" si="105"/>
        <v>0</v>
      </c>
      <c r="W180" s="66"/>
      <c r="X180" s="115">
        <f t="shared" si="89"/>
        <v>3.125E-2</v>
      </c>
      <c r="Y180" s="110">
        <f t="shared" si="106"/>
        <v>0</v>
      </c>
      <c r="Z180" s="111">
        <f t="shared" si="125"/>
        <v>0.29166666666666669</v>
      </c>
      <c r="AA180" s="112">
        <f t="shared" si="107"/>
        <v>0</v>
      </c>
      <c r="AB180" s="67" t="str">
        <f t="shared" si="108"/>
        <v/>
      </c>
      <c r="AC180" s="193">
        <f t="shared" si="90"/>
        <v>0</v>
      </c>
      <c r="AD180" s="144" t="str">
        <f t="shared" si="91"/>
        <v/>
      </c>
      <c r="AE180" s="228">
        <f t="shared" si="117"/>
        <v>0</v>
      </c>
      <c r="AF180" s="110"/>
      <c r="AG180" s="110" t="str">
        <f t="shared" si="109"/>
        <v/>
      </c>
      <c r="AH180" s="68">
        <f t="shared" si="92"/>
        <v>0</v>
      </c>
      <c r="AI180" s="68">
        <f t="shared" si="93"/>
        <v>0</v>
      </c>
      <c r="AJ180" s="68" t="str">
        <f t="shared" si="94"/>
        <v/>
      </c>
      <c r="AK180">
        <f t="shared" si="95"/>
        <v>2</v>
      </c>
      <c r="AL180" s="122">
        <f>SUM($AD$6:AD180)</f>
        <v>0</v>
      </c>
      <c r="AM180" s="122">
        <f t="shared" ca="1" si="110"/>
        <v>0</v>
      </c>
      <c r="AN180" s="126">
        <f t="shared" si="118"/>
        <v>0</v>
      </c>
      <c r="AO180" s="126">
        <f t="shared" si="119"/>
        <v>0</v>
      </c>
      <c r="AP180" s="126">
        <f t="shared" si="120"/>
        <v>0</v>
      </c>
      <c r="AQ180" s="125">
        <f t="shared" si="111"/>
        <v>30</v>
      </c>
      <c r="AR180" s="125">
        <f t="shared" ca="1" si="112"/>
        <v>30</v>
      </c>
      <c r="AS180" s="135">
        <f t="shared" si="113"/>
        <v>0</v>
      </c>
      <c r="AT180" s="125">
        <f t="shared" si="114"/>
        <v>0</v>
      </c>
      <c r="AU180" t="b">
        <f>OR((F180&gt;0),(NOT(ISBLANK(H180))),SUM(H180:H$373),SUM(G180:G$373))</f>
        <v>0</v>
      </c>
      <c r="AV180" t="b">
        <f t="shared" ca="1" si="96"/>
        <v>0</v>
      </c>
      <c r="AX180" s="228">
        <f>SUM(AW$5:AW180)</f>
        <v>-2.9166666666666665</v>
      </c>
    </row>
    <row r="181" spans="1:50">
      <c r="A181" s="308">
        <f t="shared" si="115"/>
        <v>42544</v>
      </c>
      <c r="B181" s="309">
        <f t="shared" si="116"/>
        <v>42544</v>
      </c>
      <c r="C181" s="310">
        <f t="shared" si="123"/>
        <v>26</v>
      </c>
      <c r="D181" s="311">
        <f t="shared" si="124"/>
        <v>42521</v>
      </c>
      <c r="E181" s="321" t="str">
        <f t="shared" si="97"/>
        <v/>
      </c>
      <c r="F181" s="5"/>
      <c r="G181" s="6" t="str">
        <f t="shared" si="98"/>
        <v/>
      </c>
      <c r="H181" s="7"/>
      <c r="I181" s="7">
        <f t="shared" si="99"/>
        <v>0</v>
      </c>
      <c r="J181" s="113">
        <f t="shared" si="87"/>
        <v>0</v>
      </c>
      <c r="K181" s="7"/>
      <c r="L181" s="7">
        <f t="shared" si="100"/>
        <v>0</v>
      </c>
      <c r="M181" s="113">
        <f t="shared" si="101"/>
        <v>0</v>
      </c>
      <c r="N181" s="113"/>
      <c r="O181" s="113">
        <f t="shared" si="88"/>
        <v>0</v>
      </c>
      <c r="P181" s="113"/>
      <c r="Q181" s="113">
        <f t="shared" si="102"/>
        <v>0</v>
      </c>
      <c r="R181" s="113">
        <f t="shared" si="103"/>
        <v>0</v>
      </c>
      <c r="S181" s="113">
        <f t="shared" si="121"/>
        <v>0</v>
      </c>
      <c r="T181" s="113">
        <f t="shared" si="104"/>
        <v>0</v>
      </c>
      <c r="U181" s="113">
        <f t="shared" si="122"/>
        <v>0</v>
      </c>
      <c r="V181" s="146">
        <f t="shared" si="105"/>
        <v>0</v>
      </c>
      <c r="W181" s="66"/>
      <c r="X181" s="115">
        <f t="shared" si="89"/>
        <v>3.125E-2</v>
      </c>
      <c r="Y181" s="110">
        <f t="shared" si="106"/>
        <v>0</v>
      </c>
      <c r="Z181" s="111">
        <f t="shared" si="125"/>
        <v>0.29166666666666669</v>
      </c>
      <c r="AA181" s="112">
        <f t="shared" si="107"/>
        <v>0</v>
      </c>
      <c r="AB181" s="67" t="str">
        <f t="shared" si="108"/>
        <v/>
      </c>
      <c r="AC181" s="193">
        <f t="shared" si="90"/>
        <v>0</v>
      </c>
      <c r="AD181" s="144" t="str">
        <f t="shared" si="91"/>
        <v/>
      </c>
      <c r="AE181" s="228">
        <f t="shared" si="117"/>
        <v>0</v>
      </c>
      <c r="AF181" s="110"/>
      <c r="AG181" s="110" t="str">
        <f t="shared" si="109"/>
        <v/>
      </c>
      <c r="AH181" s="68">
        <f t="shared" si="92"/>
        <v>0</v>
      </c>
      <c r="AI181" s="68">
        <f t="shared" si="93"/>
        <v>0</v>
      </c>
      <c r="AJ181" s="68" t="str">
        <f t="shared" si="94"/>
        <v/>
      </c>
      <c r="AK181">
        <f t="shared" si="95"/>
        <v>3</v>
      </c>
      <c r="AL181" s="122">
        <f>SUM($AD$6:AD181)</f>
        <v>0</v>
      </c>
      <c r="AM181" s="122">
        <f t="shared" ca="1" si="110"/>
        <v>0</v>
      </c>
      <c r="AN181" s="126">
        <f t="shared" si="118"/>
        <v>0</v>
      </c>
      <c r="AO181" s="126">
        <f t="shared" si="119"/>
        <v>0</v>
      </c>
      <c r="AP181" s="126">
        <f t="shared" si="120"/>
        <v>0</v>
      </c>
      <c r="AQ181" s="125">
        <f t="shared" si="111"/>
        <v>30</v>
      </c>
      <c r="AR181" s="125">
        <f t="shared" ca="1" si="112"/>
        <v>30</v>
      </c>
      <c r="AS181" s="135">
        <f t="shared" si="113"/>
        <v>0</v>
      </c>
      <c r="AT181" s="125">
        <f t="shared" si="114"/>
        <v>0</v>
      </c>
      <c r="AU181" t="b">
        <f>OR((F181&gt;0),(NOT(ISBLANK(H181))),SUM(H181:H$373),SUM(G181:G$373))</f>
        <v>0</v>
      </c>
      <c r="AV181" t="b">
        <f t="shared" ca="1" si="96"/>
        <v>0</v>
      </c>
      <c r="AX181" s="228">
        <f>SUM(AW$5:AW181)</f>
        <v>-2.9166666666666665</v>
      </c>
    </row>
    <row r="182" spans="1:50">
      <c r="A182" s="308">
        <f t="shared" si="115"/>
        <v>42545</v>
      </c>
      <c r="B182" s="309">
        <f t="shared" si="116"/>
        <v>42545</v>
      </c>
      <c r="C182" s="310">
        <f t="shared" si="123"/>
        <v>26</v>
      </c>
      <c r="D182" s="311">
        <f t="shared" si="124"/>
        <v>42521</v>
      </c>
      <c r="E182" s="321" t="str">
        <f t="shared" si="97"/>
        <v/>
      </c>
      <c r="F182" s="5"/>
      <c r="G182" s="6" t="str">
        <f t="shared" si="98"/>
        <v/>
      </c>
      <c r="H182" s="7"/>
      <c r="I182" s="7">
        <f t="shared" si="99"/>
        <v>0</v>
      </c>
      <c r="J182" s="113">
        <f t="shared" si="87"/>
        <v>0</v>
      </c>
      <c r="K182" s="7"/>
      <c r="L182" s="7">
        <f t="shared" si="100"/>
        <v>0</v>
      </c>
      <c r="M182" s="113">
        <f t="shared" si="101"/>
        <v>0</v>
      </c>
      <c r="N182" s="113"/>
      <c r="O182" s="113">
        <f t="shared" si="88"/>
        <v>0</v>
      </c>
      <c r="P182" s="113"/>
      <c r="Q182" s="113">
        <f t="shared" si="102"/>
        <v>0</v>
      </c>
      <c r="R182" s="113">
        <f t="shared" si="103"/>
        <v>0</v>
      </c>
      <c r="S182" s="113">
        <f t="shared" si="121"/>
        <v>0</v>
      </c>
      <c r="T182" s="113">
        <f t="shared" si="104"/>
        <v>0</v>
      </c>
      <c r="U182" s="113">
        <f t="shared" si="122"/>
        <v>0</v>
      </c>
      <c r="V182" s="146">
        <f t="shared" si="105"/>
        <v>0</v>
      </c>
      <c r="W182" s="66"/>
      <c r="X182" s="115">
        <f t="shared" si="89"/>
        <v>3.125E-2</v>
      </c>
      <c r="Y182" s="110">
        <f t="shared" si="106"/>
        <v>0</v>
      </c>
      <c r="Z182" s="111">
        <f t="shared" si="125"/>
        <v>0.29166666666666669</v>
      </c>
      <c r="AA182" s="112">
        <f t="shared" si="107"/>
        <v>0</v>
      </c>
      <c r="AB182" s="67" t="str">
        <f t="shared" si="108"/>
        <v/>
      </c>
      <c r="AC182" s="193">
        <f t="shared" si="90"/>
        <v>0</v>
      </c>
      <c r="AD182" s="144" t="str">
        <f t="shared" si="91"/>
        <v/>
      </c>
      <c r="AE182" s="228">
        <f t="shared" si="117"/>
        <v>0</v>
      </c>
      <c r="AF182" s="110"/>
      <c r="AG182" s="110" t="str">
        <f t="shared" si="109"/>
        <v/>
      </c>
      <c r="AH182" s="68">
        <f t="shared" si="92"/>
        <v>0</v>
      </c>
      <c r="AI182" s="68">
        <f t="shared" si="93"/>
        <v>0</v>
      </c>
      <c r="AJ182" s="68" t="str">
        <f t="shared" si="94"/>
        <v/>
      </c>
      <c r="AK182">
        <f t="shared" si="95"/>
        <v>4</v>
      </c>
      <c r="AL182" s="122">
        <f>SUM($AD$6:AD182)</f>
        <v>0</v>
      </c>
      <c r="AM182" s="122">
        <f t="shared" ca="1" si="110"/>
        <v>0</v>
      </c>
      <c r="AN182" s="126">
        <f t="shared" si="118"/>
        <v>0</v>
      </c>
      <c r="AO182" s="126">
        <f t="shared" si="119"/>
        <v>0</v>
      </c>
      <c r="AP182" s="126">
        <f t="shared" si="120"/>
        <v>0</v>
      </c>
      <c r="AQ182" s="125">
        <f t="shared" si="111"/>
        <v>30</v>
      </c>
      <c r="AR182" s="125">
        <f t="shared" ca="1" si="112"/>
        <v>30</v>
      </c>
      <c r="AS182" s="135">
        <f t="shared" si="113"/>
        <v>0</v>
      </c>
      <c r="AT182" s="125">
        <f t="shared" si="114"/>
        <v>0</v>
      </c>
      <c r="AU182" t="b">
        <f>OR((F182&gt;0),(NOT(ISBLANK(H182))),SUM(H182:H$373),SUM(G182:G$373))</f>
        <v>0</v>
      </c>
      <c r="AV182" t="b">
        <f t="shared" ca="1" si="96"/>
        <v>0</v>
      </c>
      <c r="AX182" s="228">
        <f>SUM(AW$5:AW182)</f>
        <v>-2.9166666666666665</v>
      </c>
    </row>
    <row r="183" spans="1:50">
      <c r="A183" s="308">
        <f t="shared" si="115"/>
        <v>42546</v>
      </c>
      <c r="B183" s="309">
        <f t="shared" si="116"/>
        <v>42546</v>
      </c>
      <c r="C183" s="310">
        <f t="shared" si="123"/>
        <v>26</v>
      </c>
      <c r="D183" s="311">
        <f t="shared" si="124"/>
        <v>42521</v>
      </c>
      <c r="E183" s="321" t="str">
        <f t="shared" si="97"/>
        <v/>
      </c>
      <c r="F183" s="5"/>
      <c r="G183" s="6" t="str">
        <f t="shared" si="98"/>
        <v/>
      </c>
      <c r="H183" s="7"/>
      <c r="I183" s="7">
        <f t="shared" si="99"/>
        <v>0</v>
      </c>
      <c r="J183" s="113">
        <f t="shared" si="87"/>
        <v>0</v>
      </c>
      <c r="K183" s="7"/>
      <c r="L183" s="7">
        <f t="shared" si="100"/>
        <v>0</v>
      </c>
      <c r="M183" s="113">
        <f t="shared" si="101"/>
        <v>0</v>
      </c>
      <c r="N183" s="113"/>
      <c r="O183" s="113">
        <f t="shared" si="88"/>
        <v>0</v>
      </c>
      <c r="P183" s="113"/>
      <c r="Q183" s="113">
        <f t="shared" si="102"/>
        <v>0</v>
      </c>
      <c r="R183" s="113">
        <f t="shared" si="103"/>
        <v>0</v>
      </c>
      <c r="S183" s="113">
        <f t="shared" si="121"/>
        <v>0</v>
      </c>
      <c r="T183" s="113">
        <f t="shared" si="104"/>
        <v>0</v>
      </c>
      <c r="U183" s="113">
        <f t="shared" si="122"/>
        <v>0</v>
      </c>
      <c r="V183" s="146">
        <f t="shared" si="105"/>
        <v>0</v>
      </c>
      <c r="W183" s="66"/>
      <c r="X183" s="115">
        <f t="shared" si="89"/>
        <v>3.125E-2</v>
      </c>
      <c r="Y183" s="110">
        <f t="shared" si="106"/>
        <v>0</v>
      </c>
      <c r="Z183" s="111">
        <f t="shared" si="125"/>
        <v>0.29166666666666669</v>
      </c>
      <c r="AA183" s="112">
        <f t="shared" si="107"/>
        <v>0</v>
      </c>
      <c r="AB183" s="67" t="str">
        <f t="shared" si="108"/>
        <v/>
      </c>
      <c r="AC183" s="193">
        <f t="shared" si="90"/>
        <v>0</v>
      </c>
      <c r="AD183" s="144" t="str">
        <f t="shared" si="91"/>
        <v/>
      </c>
      <c r="AE183" s="228">
        <f t="shared" si="117"/>
        <v>0</v>
      </c>
      <c r="AF183" s="110"/>
      <c r="AG183" s="110" t="str">
        <f t="shared" si="109"/>
        <v/>
      </c>
      <c r="AH183" s="68">
        <f t="shared" si="92"/>
        <v>0</v>
      </c>
      <c r="AI183" s="68">
        <f t="shared" si="93"/>
        <v>0</v>
      </c>
      <c r="AJ183" s="68" t="str">
        <f t="shared" si="94"/>
        <v/>
      </c>
      <c r="AK183">
        <f t="shared" si="95"/>
        <v>5</v>
      </c>
      <c r="AL183" s="122">
        <f>SUM($AD$6:AD183)</f>
        <v>0</v>
      </c>
      <c r="AM183" s="122">
        <f t="shared" ca="1" si="110"/>
        <v>0</v>
      </c>
      <c r="AN183" s="126">
        <f t="shared" si="118"/>
        <v>0</v>
      </c>
      <c r="AO183" s="126">
        <f t="shared" si="119"/>
        <v>0</v>
      </c>
      <c r="AP183" s="126">
        <f t="shared" si="120"/>
        <v>0</v>
      </c>
      <c r="AQ183" s="125">
        <f t="shared" si="111"/>
        <v>30</v>
      </c>
      <c r="AR183" s="125">
        <f t="shared" ca="1" si="112"/>
        <v>30</v>
      </c>
      <c r="AS183" s="135">
        <f t="shared" si="113"/>
        <v>0</v>
      </c>
      <c r="AT183" s="125">
        <f t="shared" si="114"/>
        <v>0</v>
      </c>
      <c r="AU183" t="b">
        <f>OR((F183&gt;0),(NOT(ISBLANK(H183))),SUM(H183:H$373),SUM(G183:G$373))</f>
        <v>0</v>
      </c>
      <c r="AV183" t="b">
        <f t="shared" ca="1" si="96"/>
        <v>0</v>
      </c>
      <c r="AX183" s="228">
        <f>SUM(AW$5:AW183)</f>
        <v>-2.9166666666666665</v>
      </c>
    </row>
    <row r="184" spans="1:50">
      <c r="A184" s="308">
        <f t="shared" si="115"/>
        <v>42547</v>
      </c>
      <c r="B184" s="309">
        <f t="shared" si="116"/>
        <v>42547</v>
      </c>
      <c r="C184" s="310">
        <f t="shared" si="123"/>
        <v>26</v>
      </c>
      <c r="D184" s="311">
        <f t="shared" si="124"/>
        <v>42521</v>
      </c>
      <c r="E184" s="321" t="str">
        <f t="shared" si="97"/>
        <v/>
      </c>
      <c r="F184" s="5"/>
      <c r="G184" s="6" t="str">
        <f t="shared" si="98"/>
        <v/>
      </c>
      <c r="H184" s="7"/>
      <c r="I184" s="7">
        <f t="shared" si="99"/>
        <v>0</v>
      </c>
      <c r="J184" s="113">
        <f t="shared" si="87"/>
        <v>0</v>
      </c>
      <c r="K184" s="7"/>
      <c r="L184" s="7">
        <f t="shared" si="100"/>
        <v>0</v>
      </c>
      <c r="M184" s="113">
        <f t="shared" si="101"/>
        <v>0</v>
      </c>
      <c r="N184" s="113"/>
      <c r="O184" s="113">
        <f t="shared" si="88"/>
        <v>0</v>
      </c>
      <c r="P184" s="113"/>
      <c r="Q184" s="113">
        <f t="shared" si="102"/>
        <v>0</v>
      </c>
      <c r="R184" s="113">
        <f t="shared" si="103"/>
        <v>0</v>
      </c>
      <c r="S184" s="113">
        <f t="shared" si="121"/>
        <v>0</v>
      </c>
      <c r="T184" s="113">
        <f t="shared" si="104"/>
        <v>0</v>
      </c>
      <c r="U184" s="113">
        <f t="shared" si="122"/>
        <v>0</v>
      </c>
      <c r="V184" s="146">
        <f t="shared" si="105"/>
        <v>0</v>
      </c>
      <c r="W184" s="66"/>
      <c r="X184" s="115">
        <f t="shared" si="89"/>
        <v>3.125E-2</v>
      </c>
      <c r="Y184" s="110">
        <f t="shared" si="106"/>
        <v>0</v>
      </c>
      <c r="Z184" s="111">
        <f t="shared" si="125"/>
        <v>0</v>
      </c>
      <c r="AA184" s="112">
        <f t="shared" si="107"/>
        <v>0</v>
      </c>
      <c r="AB184" s="67" t="str">
        <f t="shared" si="108"/>
        <v/>
      </c>
      <c r="AC184" s="193">
        <f t="shared" si="90"/>
        <v>0</v>
      </c>
      <c r="AD184" s="144" t="str">
        <f t="shared" si="91"/>
        <v/>
      </c>
      <c r="AE184" s="228">
        <f t="shared" si="117"/>
        <v>0</v>
      </c>
      <c r="AF184" s="110"/>
      <c r="AG184" s="110" t="str">
        <f t="shared" si="109"/>
        <v/>
      </c>
      <c r="AH184" s="68">
        <f t="shared" si="92"/>
        <v>0</v>
      </c>
      <c r="AI184" s="68">
        <f t="shared" si="93"/>
        <v>0</v>
      </c>
      <c r="AJ184" s="68" t="str">
        <f t="shared" si="94"/>
        <v/>
      </c>
      <c r="AK184">
        <f t="shared" si="95"/>
        <v>6</v>
      </c>
      <c r="AL184" s="122">
        <f>SUM($AD$6:AD184)</f>
        <v>0</v>
      </c>
      <c r="AM184" s="122">
        <f t="shared" ca="1" si="110"/>
        <v>0</v>
      </c>
      <c r="AN184" s="126">
        <f t="shared" si="118"/>
        <v>0</v>
      </c>
      <c r="AO184" s="126">
        <f t="shared" si="119"/>
        <v>0</v>
      </c>
      <c r="AP184" s="126">
        <f t="shared" si="120"/>
        <v>0</v>
      </c>
      <c r="AQ184" s="125">
        <f t="shared" si="111"/>
        <v>30</v>
      </c>
      <c r="AR184" s="125">
        <f t="shared" ca="1" si="112"/>
        <v>30</v>
      </c>
      <c r="AS184" s="135">
        <f t="shared" si="113"/>
        <v>0</v>
      </c>
      <c r="AT184" s="125">
        <f t="shared" si="114"/>
        <v>7</v>
      </c>
      <c r="AU184" t="b">
        <f>OR((F184&gt;0),(NOT(ISBLANK(H184))),SUM(H184:H$373),SUM(G184:G$373))</f>
        <v>0</v>
      </c>
      <c r="AV184" t="b">
        <f t="shared" ca="1" si="96"/>
        <v>1</v>
      </c>
      <c r="AX184" s="228">
        <f>SUM(AW$5:AW184)</f>
        <v>-2.9166666666666665</v>
      </c>
    </row>
    <row r="185" spans="1:50">
      <c r="A185" s="308">
        <f t="shared" si="115"/>
        <v>42548</v>
      </c>
      <c r="B185" s="309">
        <f t="shared" si="116"/>
        <v>42548</v>
      </c>
      <c r="C185" s="310">
        <f t="shared" si="123"/>
        <v>26</v>
      </c>
      <c r="D185" s="311">
        <f t="shared" si="124"/>
        <v>42521</v>
      </c>
      <c r="E185" s="321" t="str">
        <f t="shared" si="97"/>
        <v/>
      </c>
      <c r="F185" s="5"/>
      <c r="G185" s="6" t="str">
        <f t="shared" si="98"/>
        <v/>
      </c>
      <c r="H185" s="7"/>
      <c r="I185" s="7">
        <f t="shared" si="99"/>
        <v>0</v>
      </c>
      <c r="J185" s="113">
        <f t="shared" si="87"/>
        <v>0</v>
      </c>
      <c r="K185" s="7"/>
      <c r="L185" s="7">
        <f t="shared" si="100"/>
        <v>0</v>
      </c>
      <c r="M185" s="113">
        <f t="shared" si="101"/>
        <v>0</v>
      </c>
      <c r="N185" s="113"/>
      <c r="O185" s="113">
        <f t="shared" si="88"/>
        <v>0</v>
      </c>
      <c r="P185" s="113"/>
      <c r="Q185" s="113">
        <f t="shared" si="102"/>
        <v>0</v>
      </c>
      <c r="R185" s="113">
        <f t="shared" si="103"/>
        <v>0</v>
      </c>
      <c r="S185" s="113">
        <f t="shared" si="121"/>
        <v>0</v>
      </c>
      <c r="T185" s="113">
        <f t="shared" si="104"/>
        <v>0</v>
      </c>
      <c r="U185" s="113">
        <f t="shared" si="122"/>
        <v>0</v>
      </c>
      <c r="V185" s="146">
        <f t="shared" si="105"/>
        <v>0</v>
      </c>
      <c r="W185" s="66"/>
      <c r="X185" s="115">
        <f t="shared" si="89"/>
        <v>3.125E-2</v>
      </c>
      <c r="Y185" s="110">
        <f t="shared" si="106"/>
        <v>0</v>
      </c>
      <c r="Z185" s="111">
        <f t="shared" si="125"/>
        <v>0</v>
      </c>
      <c r="AA185" s="112">
        <f t="shared" si="107"/>
        <v>0</v>
      </c>
      <c r="AB185" s="67" t="str">
        <f t="shared" si="108"/>
        <v/>
      </c>
      <c r="AC185" s="193">
        <f t="shared" si="90"/>
        <v>0</v>
      </c>
      <c r="AD185" s="144" t="str">
        <f t="shared" si="91"/>
        <v/>
      </c>
      <c r="AE185" s="228">
        <f t="shared" si="117"/>
        <v>0</v>
      </c>
      <c r="AF185" s="110"/>
      <c r="AG185" s="110" t="str">
        <f t="shared" si="109"/>
        <v/>
      </c>
      <c r="AH185" s="68">
        <f t="shared" si="92"/>
        <v>0</v>
      </c>
      <c r="AI185" s="68">
        <f t="shared" si="93"/>
        <v>0</v>
      </c>
      <c r="AJ185" s="68" t="str">
        <f t="shared" si="94"/>
        <v/>
      </c>
      <c r="AK185">
        <f t="shared" si="95"/>
        <v>7</v>
      </c>
      <c r="AL185" s="122">
        <f>SUM($AD$6:AD185)</f>
        <v>0</v>
      </c>
      <c r="AM185" s="122">
        <f t="shared" ca="1" si="110"/>
        <v>0</v>
      </c>
      <c r="AN185" s="126">
        <f t="shared" si="118"/>
        <v>0</v>
      </c>
      <c r="AO185" s="126">
        <f t="shared" si="119"/>
        <v>0</v>
      </c>
      <c r="AP185" s="126">
        <f t="shared" si="120"/>
        <v>0</v>
      </c>
      <c r="AQ185" s="125">
        <f t="shared" si="111"/>
        <v>30</v>
      </c>
      <c r="AR185" s="125">
        <f t="shared" ca="1" si="112"/>
        <v>30</v>
      </c>
      <c r="AS185" s="135">
        <f t="shared" si="113"/>
        <v>0</v>
      </c>
      <c r="AT185" s="125">
        <f t="shared" si="114"/>
        <v>7</v>
      </c>
      <c r="AU185" t="b">
        <f>OR((F185&gt;0),(NOT(ISBLANK(H185))),SUM(H185:H$373),SUM(G185:G$373))</f>
        <v>0</v>
      </c>
      <c r="AV185" t="b">
        <f t="shared" ca="1" si="96"/>
        <v>1</v>
      </c>
      <c r="AX185" s="228">
        <f>SUM(AW$5:AW185)</f>
        <v>-2.9166666666666665</v>
      </c>
    </row>
    <row r="186" spans="1:50">
      <c r="A186" s="308">
        <f t="shared" si="115"/>
        <v>42549</v>
      </c>
      <c r="B186" s="309">
        <f t="shared" si="116"/>
        <v>42549</v>
      </c>
      <c r="C186" s="310">
        <f t="shared" si="123"/>
        <v>27</v>
      </c>
      <c r="D186" s="311">
        <f t="shared" si="124"/>
        <v>42521</v>
      </c>
      <c r="E186" s="321" t="str">
        <f t="shared" si="97"/>
        <v/>
      </c>
      <c r="F186" s="5"/>
      <c r="G186" s="6" t="str">
        <f t="shared" si="98"/>
        <v/>
      </c>
      <c r="H186" s="7"/>
      <c r="I186" s="7">
        <f t="shared" si="99"/>
        <v>0</v>
      </c>
      <c r="J186" s="113">
        <f t="shared" si="87"/>
        <v>0</v>
      </c>
      <c r="K186" s="7"/>
      <c r="L186" s="7">
        <f t="shared" si="100"/>
        <v>0</v>
      </c>
      <c r="M186" s="113">
        <f t="shared" si="101"/>
        <v>0</v>
      </c>
      <c r="N186" s="113"/>
      <c r="O186" s="113">
        <f t="shared" si="88"/>
        <v>0</v>
      </c>
      <c r="P186" s="113"/>
      <c r="Q186" s="113">
        <f t="shared" si="102"/>
        <v>0</v>
      </c>
      <c r="R186" s="113">
        <f t="shared" si="103"/>
        <v>0</v>
      </c>
      <c r="S186" s="113">
        <f t="shared" si="121"/>
        <v>0</v>
      </c>
      <c r="T186" s="113">
        <f t="shared" si="104"/>
        <v>0</v>
      </c>
      <c r="U186" s="113">
        <f t="shared" si="122"/>
        <v>0</v>
      </c>
      <c r="V186" s="146">
        <f t="shared" si="105"/>
        <v>0</v>
      </c>
      <c r="W186" s="66"/>
      <c r="X186" s="115">
        <f t="shared" si="89"/>
        <v>3.125E-2</v>
      </c>
      <c r="Y186" s="110">
        <f t="shared" si="106"/>
        <v>0</v>
      </c>
      <c r="Z186" s="111">
        <f t="shared" si="125"/>
        <v>0.29166666666666669</v>
      </c>
      <c r="AA186" s="112">
        <f t="shared" si="107"/>
        <v>0</v>
      </c>
      <c r="AB186" s="67" t="str">
        <f t="shared" si="108"/>
        <v/>
      </c>
      <c r="AC186" s="193">
        <f t="shared" si="90"/>
        <v>0</v>
      </c>
      <c r="AD186" s="144" t="str">
        <f t="shared" si="91"/>
        <v/>
      </c>
      <c r="AE186" s="228">
        <f t="shared" si="117"/>
        <v>0</v>
      </c>
      <c r="AF186" s="110"/>
      <c r="AG186" s="110" t="str">
        <f t="shared" si="109"/>
        <v/>
      </c>
      <c r="AH186" s="68">
        <f t="shared" si="92"/>
        <v>0</v>
      </c>
      <c r="AI186" s="68">
        <f t="shared" si="93"/>
        <v>0</v>
      </c>
      <c r="AJ186" s="68" t="str">
        <f t="shared" si="94"/>
        <v/>
      </c>
      <c r="AK186">
        <f t="shared" si="95"/>
        <v>1</v>
      </c>
      <c r="AL186" s="122">
        <f>SUM($AD$6:AD186)</f>
        <v>0</v>
      </c>
      <c r="AM186" s="122">
        <f t="shared" ca="1" si="110"/>
        <v>0</v>
      </c>
      <c r="AN186" s="126">
        <f t="shared" si="118"/>
        <v>0</v>
      </c>
      <c r="AO186" s="126">
        <f t="shared" si="119"/>
        <v>0</v>
      </c>
      <c r="AP186" s="126">
        <f t="shared" si="120"/>
        <v>0</v>
      </c>
      <c r="AQ186" s="125">
        <f t="shared" si="111"/>
        <v>30</v>
      </c>
      <c r="AR186" s="125">
        <f t="shared" ca="1" si="112"/>
        <v>30</v>
      </c>
      <c r="AS186" s="135">
        <f t="shared" si="113"/>
        <v>0</v>
      </c>
      <c r="AT186" s="125">
        <f t="shared" si="114"/>
        <v>0</v>
      </c>
      <c r="AU186" t="b">
        <f>OR((F186&gt;0),(NOT(ISBLANK(H186))),SUM(H186:H$373),SUM(G186:G$373))</f>
        <v>0</v>
      </c>
      <c r="AV186" t="b">
        <f t="shared" ca="1" si="96"/>
        <v>0</v>
      </c>
      <c r="AX186" s="228">
        <f>SUM(AW$5:AW186)</f>
        <v>-2.9166666666666665</v>
      </c>
    </row>
    <row r="187" spans="1:50">
      <c r="A187" s="308">
        <f t="shared" si="115"/>
        <v>42550</v>
      </c>
      <c r="B187" s="309">
        <f t="shared" si="116"/>
        <v>42550</v>
      </c>
      <c r="C187" s="310">
        <f t="shared" si="123"/>
        <v>27</v>
      </c>
      <c r="D187" s="311">
        <f t="shared" si="124"/>
        <v>42521</v>
      </c>
      <c r="E187" s="321" t="str">
        <f t="shared" si="97"/>
        <v/>
      </c>
      <c r="F187" s="5"/>
      <c r="G187" s="6" t="str">
        <f t="shared" si="98"/>
        <v/>
      </c>
      <c r="H187" s="7"/>
      <c r="I187" s="7">
        <f t="shared" si="99"/>
        <v>0</v>
      </c>
      <c r="J187" s="113">
        <f t="shared" si="87"/>
        <v>0</v>
      </c>
      <c r="K187" s="7"/>
      <c r="L187" s="7">
        <f t="shared" si="100"/>
        <v>0</v>
      </c>
      <c r="M187" s="113">
        <f t="shared" si="101"/>
        <v>0</v>
      </c>
      <c r="N187" s="113"/>
      <c r="O187" s="113">
        <f t="shared" si="88"/>
        <v>0</v>
      </c>
      <c r="P187" s="113"/>
      <c r="Q187" s="113">
        <f t="shared" si="102"/>
        <v>0</v>
      </c>
      <c r="R187" s="113">
        <f t="shared" si="103"/>
        <v>0</v>
      </c>
      <c r="S187" s="113">
        <f t="shared" si="121"/>
        <v>0</v>
      </c>
      <c r="T187" s="113">
        <f t="shared" si="104"/>
        <v>0</v>
      </c>
      <c r="U187" s="113">
        <f t="shared" si="122"/>
        <v>0</v>
      </c>
      <c r="V187" s="146">
        <f t="shared" si="105"/>
        <v>0</v>
      </c>
      <c r="W187" s="66"/>
      <c r="X187" s="115">
        <f t="shared" si="89"/>
        <v>3.125E-2</v>
      </c>
      <c r="Y187" s="110">
        <f t="shared" si="106"/>
        <v>0</v>
      </c>
      <c r="Z187" s="111">
        <f t="shared" si="125"/>
        <v>0.29166666666666669</v>
      </c>
      <c r="AA187" s="112">
        <f t="shared" si="107"/>
        <v>0</v>
      </c>
      <c r="AB187" s="67" t="str">
        <f t="shared" si="108"/>
        <v/>
      </c>
      <c r="AC187" s="193">
        <f t="shared" si="90"/>
        <v>0</v>
      </c>
      <c r="AD187" s="144" t="str">
        <f t="shared" si="91"/>
        <v/>
      </c>
      <c r="AE187" s="228">
        <f t="shared" si="117"/>
        <v>0</v>
      </c>
      <c r="AF187" s="110"/>
      <c r="AG187" s="110" t="str">
        <f t="shared" si="109"/>
        <v/>
      </c>
      <c r="AH187" s="68">
        <f t="shared" si="92"/>
        <v>0</v>
      </c>
      <c r="AI187" s="68">
        <f t="shared" si="93"/>
        <v>0</v>
      </c>
      <c r="AJ187" s="68" t="str">
        <f t="shared" si="94"/>
        <v/>
      </c>
      <c r="AK187">
        <f t="shared" si="95"/>
        <v>2</v>
      </c>
      <c r="AL187" s="122">
        <f>SUM($AD$6:AD187)</f>
        <v>0</v>
      </c>
      <c r="AM187" s="122">
        <f t="shared" ca="1" si="110"/>
        <v>0</v>
      </c>
      <c r="AN187" s="126">
        <f t="shared" si="118"/>
        <v>0</v>
      </c>
      <c r="AO187" s="126">
        <f t="shared" si="119"/>
        <v>0</v>
      </c>
      <c r="AP187" s="126">
        <f t="shared" si="120"/>
        <v>0</v>
      </c>
      <c r="AQ187" s="125">
        <f t="shared" si="111"/>
        <v>30</v>
      </c>
      <c r="AR187" s="125">
        <f t="shared" ca="1" si="112"/>
        <v>30</v>
      </c>
      <c r="AS187" s="135">
        <f t="shared" si="113"/>
        <v>0</v>
      </c>
      <c r="AT187" s="125">
        <f t="shared" si="114"/>
        <v>0</v>
      </c>
      <c r="AU187" t="b">
        <f>OR((F187&gt;0),(NOT(ISBLANK(H187))),SUM(H187:H$373),SUM(G187:G$373))</f>
        <v>0</v>
      </c>
      <c r="AV187" t="b">
        <f t="shared" ca="1" si="96"/>
        <v>0</v>
      </c>
      <c r="AX187" s="228">
        <f>SUM(AW$5:AW187)</f>
        <v>-2.9166666666666665</v>
      </c>
    </row>
    <row r="188" spans="1:50">
      <c r="A188" s="308">
        <f t="shared" si="115"/>
        <v>42551</v>
      </c>
      <c r="B188" s="309">
        <f t="shared" si="116"/>
        <v>42551</v>
      </c>
      <c r="C188" s="310">
        <f t="shared" si="123"/>
        <v>27</v>
      </c>
      <c r="D188" s="311">
        <f t="shared" si="124"/>
        <v>42551</v>
      </c>
      <c r="E188" s="321" t="str">
        <f t="shared" si="97"/>
        <v/>
      </c>
      <c r="F188" s="5"/>
      <c r="G188" s="6" t="str">
        <f t="shared" si="98"/>
        <v/>
      </c>
      <c r="H188" s="7"/>
      <c r="I188" s="7">
        <f t="shared" si="99"/>
        <v>0</v>
      </c>
      <c r="J188" s="113">
        <f t="shared" si="87"/>
        <v>0</v>
      </c>
      <c r="K188" s="7"/>
      <c r="L188" s="7">
        <f t="shared" si="100"/>
        <v>0</v>
      </c>
      <c r="M188" s="113">
        <f t="shared" si="101"/>
        <v>0</v>
      </c>
      <c r="N188" s="113"/>
      <c r="O188" s="113">
        <f t="shared" si="88"/>
        <v>0</v>
      </c>
      <c r="P188" s="113"/>
      <c r="Q188" s="113">
        <f t="shared" si="102"/>
        <v>0</v>
      </c>
      <c r="R188" s="113">
        <f t="shared" si="103"/>
        <v>0</v>
      </c>
      <c r="S188" s="113">
        <f t="shared" si="121"/>
        <v>0</v>
      </c>
      <c r="T188" s="113">
        <f t="shared" si="104"/>
        <v>0</v>
      </c>
      <c r="U188" s="113">
        <f t="shared" si="122"/>
        <v>0</v>
      </c>
      <c r="V188" s="146">
        <f t="shared" si="105"/>
        <v>0</v>
      </c>
      <c r="W188" s="66"/>
      <c r="X188" s="115">
        <f t="shared" si="89"/>
        <v>3.125E-2</v>
      </c>
      <c r="Y188" s="110">
        <f t="shared" si="106"/>
        <v>0</v>
      </c>
      <c r="Z188" s="111">
        <f t="shared" si="125"/>
        <v>0.29166666666666669</v>
      </c>
      <c r="AA188" s="112">
        <f t="shared" si="107"/>
        <v>0</v>
      </c>
      <c r="AB188" s="67" t="str">
        <f t="shared" si="108"/>
        <v/>
      </c>
      <c r="AC188" s="193">
        <f t="shared" si="90"/>
        <v>0</v>
      </c>
      <c r="AD188" s="144" t="str">
        <f t="shared" si="91"/>
        <v/>
      </c>
      <c r="AE188" s="228">
        <f t="shared" si="117"/>
        <v>0</v>
      </c>
      <c r="AF188" s="110"/>
      <c r="AG188" s="110" t="str">
        <f t="shared" si="109"/>
        <v/>
      </c>
      <c r="AH188" s="68">
        <f t="shared" si="92"/>
        <v>0</v>
      </c>
      <c r="AI188" s="68">
        <f t="shared" si="93"/>
        <v>0</v>
      </c>
      <c r="AJ188" s="68" t="str">
        <f t="shared" si="94"/>
        <v/>
      </c>
      <c r="AK188">
        <f t="shared" si="95"/>
        <v>3</v>
      </c>
      <c r="AL188" s="122">
        <f>SUM($AD$6:AD188)</f>
        <v>0</v>
      </c>
      <c r="AM188" s="122">
        <f t="shared" ca="1" si="110"/>
        <v>0</v>
      </c>
      <c r="AN188" s="126">
        <f t="shared" si="118"/>
        <v>0</v>
      </c>
      <c r="AO188" s="126">
        <f t="shared" si="119"/>
        <v>0</v>
      </c>
      <c r="AP188" s="126">
        <f t="shared" si="120"/>
        <v>0</v>
      </c>
      <c r="AQ188" s="125">
        <f t="shared" si="111"/>
        <v>30</v>
      </c>
      <c r="AR188" s="125">
        <f t="shared" ca="1" si="112"/>
        <v>30</v>
      </c>
      <c r="AS188" s="135">
        <f t="shared" si="113"/>
        <v>0</v>
      </c>
      <c r="AT188" s="125">
        <f t="shared" si="114"/>
        <v>0</v>
      </c>
      <c r="AU188" t="b">
        <f>OR((F188&gt;0),(NOT(ISBLANK(H188))),SUM(H188:H$373),SUM(G188:G$373))</f>
        <v>0</v>
      </c>
      <c r="AV188" t="b">
        <f t="shared" ca="1" si="96"/>
        <v>0</v>
      </c>
      <c r="AX188" s="228">
        <f>SUM(AW$5:AW188)</f>
        <v>-2.9166666666666665</v>
      </c>
    </row>
    <row r="189" spans="1:50">
      <c r="A189" s="308">
        <f t="shared" si="115"/>
        <v>42552</v>
      </c>
      <c r="B189" s="309">
        <f t="shared" si="116"/>
        <v>42552</v>
      </c>
      <c r="C189" s="310">
        <f t="shared" si="123"/>
        <v>27</v>
      </c>
      <c r="D189" s="311">
        <f t="shared" si="124"/>
        <v>42551</v>
      </c>
      <c r="E189" s="321" t="str">
        <f t="shared" si="97"/>
        <v/>
      </c>
      <c r="F189" s="5"/>
      <c r="G189" s="6" t="str">
        <f t="shared" si="98"/>
        <v/>
      </c>
      <c r="H189" s="7"/>
      <c r="I189" s="7">
        <f t="shared" si="99"/>
        <v>0</v>
      </c>
      <c r="J189" s="113">
        <f t="shared" si="87"/>
        <v>0</v>
      </c>
      <c r="K189" s="7"/>
      <c r="L189" s="7">
        <f t="shared" si="100"/>
        <v>0</v>
      </c>
      <c r="M189" s="113">
        <f t="shared" si="101"/>
        <v>0</v>
      </c>
      <c r="N189" s="113"/>
      <c r="O189" s="113">
        <f t="shared" si="88"/>
        <v>0</v>
      </c>
      <c r="P189" s="113"/>
      <c r="Q189" s="113">
        <f t="shared" si="102"/>
        <v>0</v>
      </c>
      <c r="R189" s="113">
        <f t="shared" si="103"/>
        <v>0</v>
      </c>
      <c r="S189" s="113">
        <f t="shared" si="121"/>
        <v>0</v>
      </c>
      <c r="T189" s="113">
        <f t="shared" si="104"/>
        <v>0</v>
      </c>
      <c r="U189" s="113">
        <f t="shared" si="122"/>
        <v>0</v>
      </c>
      <c r="V189" s="146">
        <f t="shared" si="105"/>
        <v>0</v>
      </c>
      <c r="W189" s="66"/>
      <c r="X189" s="115">
        <f t="shared" si="89"/>
        <v>3.125E-2</v>
      </c>
      <c r="Y189" s="110">
        <f t="shared" si="106"/>
        <v>0</v>
      </c>
      <c r="Z189" s="111">
        <f t="shared" si="125"/>
        <v>0.29166666666666669</v>
      </c>
      <c r="AA189" s="112">
        <f t="shared" si="107"/>
        <v>0</v>
      </c>
      <c r="AB189" s="67" t="str">
        <f t="shared" si="108"/>
        <v/>
      </c>
      <c r="AC189" s="193">
        <f t="shared" si="90"/>
        <v>0</v>
      </c>
      <c r="AD189" s="144" t="str">
        <f t="shared" si="91"/>
        <v/>
      </c>
      <c r="AE189" s="228">
        <f t="shared" si="117"/>
        <v>0</v>
      </c>
      <c r="AF189" s="110"/>
      <c r="AG189" s="110" t="str">
        <f t="shared" si="109"/>
        <v/>
      </c>
      <c r="AH189" s="68">
        <f t="shared" si="92"/>
        <v>0</v>
      </c>
      <c r="AI189" s="68">
        <f t="shared" si="93"/>
        <v>0</v>
      </c>
      <c r="AJ189" s="68" t="str">
        <f t="shared" si="94"/>
        <v/>
      </c>
      <c r="AK189">
        <f t="shared" si="95"/>
        <v>4</v>
      </c>
      <c r="AL189" s="122">
        <f>SUM($AD$6:AD189)</f>
        <v>0</v>
      </c>
      <c r="AM189" s="122">
        <f t="shared" ca="1" si="110"/>
        <v>0</v>
      </c>
      <c r="AN189" s="126">
        <f t="shared" si="118"/>
        <v>0</v>
      </c>
      <c r="AO189" s="126">
        <f t="shared" si="119"/>
        <v>0</v>
      </c>
      <c r="AP189" s="126">
        <f t="shared" si="120"/>
        <v>0</v>
      </c>
      <c r="AQ189" s="125">
        <f t="shared" si="111"/>
        <v>30</v>
      </c>
      <c r="AR189" s="125">
        <f t="shared" ca="1" si="112"/>
        <v>30</v>
      </c>
      <c r="AS189" s="135">
        <f t="shared" si="113"/>
        <v>0</v>
      </c>
      <c r="AT189" s="125">
        <f t="shared" si="114"/>
        <v>0</v>
      </c>
      <c r="AU189" t="b">
        <f>OR((F189&gt;0),(NOT(ISBLANK(H189))),SUM(H189:H$373),SUM(G189:G$373))</f>
        <v>0</v>
      </c>
      <c r="AV189" t="b">
        <f t="shared" ca="1" si="96"/>
        <v>0</v>
      </c>
      <c r="AX189" s="228">
        <f>SUM(AW$5:AW189)</f>
        <v>-2.9166666666666665</v>
      </c>
    </row>
    <row r="190" spans="1:50">
      <c r="A190" s="308">
        <f t="shared" si="115"/>
        <v>42553</v>
      </c>
      <c r="B190" s="309">
        <f t="shared" si="116"/>
        <v>42553</v>
      </c>
      <c r="C190" s="310">
        <f t="shared" si="123"/>
        <v>27</v>
      </c>
      <c r="D190" s="311">
        <f t="shared" si="124"/>
        <v>42551</v>
      </c>
      <c r="E190" s="321" t="str">
        <f t="shared" si="97"/>
        <v/>
      </c>
      <c r="F190" s="5"/>
      <c r="G190" s="6" t="str">
        <f t="shared" si="98"/>
        <v/>
      </c>
      <c r="H190" s="7"/>
      <c r="I190" s="7">
        <f t="shared" si="99"/>
        <v>0</v>
      </c>
      <c r="J190" s="113">
        <f t="shared" si="87"/>
        <v>0</v>
      </c>
      <c r="K190" s="7"/>
      <c r="L190" s="7">
        <f t="shared" si="100"/>
        <v>0</v>
      </c>
      <c r="M190" s="113">
        <f t="shared" si="101"/>
        <v>0</v>
      </c>
      <c r="N190" s="113"/>
      <c r="O190" s="113">
        <f t="shared" si="88"/>
        <v>0</v>
      </c>
      <c r="P190" s="113"/>
      <c r="Q190" s="113">
        <f t="shared" si="102"/>
        <v>0</v>
      </c>
      <c r="R190" s="113">
        <f t="shared" si="103"/>
        <v>0</v>
      </c>
      <c r="S190" s="113">
        <f t="shared" si="121"/>
        <v>0</v>
      </c>
      <c r="T190" s="113">
        <f t="shared" si="104"/>
        <v>0</v>
      </c>
      <c r="U190" s="113">
        <f t="shared" si="122"/>
        <v>0</v>
      </c>
      <c r="V190" s="146">
        <f t="shared" si="105"/>
        <v>0</v>
      </c>
      <c r="W190" s="66"/>
      <c r="X190" s="115">
        <f t="shared" si="89"/>
        <v>3.125E-2</v>
      </c>
      <c r="Y190" s="110">
        <f t="shared" si="106"/>
        <v>0</v>
      </c>
      <c r="Z190" s="111">
        <f t="shared" si="125"/>
        <v>0.29166666666666669</v>
      </c>
      <c r="AA190" s="112">
        <f t="shared" si="107"/>
        <v>0</v>
      </c>
      <c r="AB190" s="67" t="str">
        <f t="shared" si="108"/>
        <v/>
      </c>
      <c r="AC190" s="193">
        <f t="shared" si="90"/>
        <v>0</v>
      </c>
      <c r="AD190" s="144" t="str">
        <f t="shared" si="91"/>
        <v/>
      </c>
      <c r="AE190" s="228">
        <f t="shared" si="117"/>
        <v>0</v>
      </c>
      <c r="AF190" s="110"/>
      <c r="AG190" s="110" t="str">
        <f t="shared" si="109"/>
        <v/>
      </c>
      <c r="AH190" s="68">
        <f t="shared" si="92"/>
        <v>0</v>
      </c>
      <c r="AI190" s="68">
        <f t="shared" si="93"/>
        <v>0</v>
      </c>
      <c r="AJ190" s="68" t="str">
        <f t="shared" si="94"/>
        <v/>
      </c>
      <c r="AK190">
        <f t="shared" si="95"/>
        <v>5</v>
      </c>
      <c r="AL190" s="122">
        <f>SUM($AD$6:AD190)</f>
        <v>0</v>
      </c>
      <c r="AM190" s="122">
        <f t="shared" ca="1" si="110"/>
        <v>0</v>
      </c>
      <c r="AN190" s="126">
        <f t="shared" si="118"/>
        <v>0</v>
      </c>
      <c r="AO190" s="126">
        <f t="shared" si="119"/>
        <v>0</v>
      </c>
      <c r="AP190" s="126">
        <f t="shared" si="120"/>
        <v>0</v>
      </c>
      <c r="AQ190" s="125">
        <f t="shared" si="111"/>
        <v>30</v>
      </c>
      <c r="AR190" s="125">
        <f t="shared" ca="1" si="112"/>
        <v>30</v>
      </c>
      <c r="AS190" s="135">
        <f t="shared" si="113"/>
        <v>0</v>
      </c>
      <c r="AT190" s="125">
        <f t="shared" si="114"/>
        <v>0</v>
      </c>
      <c r="AU190" t="b">
        <f>OR((F190&gt;0),(NOT(ISBLANK(H190))),SUM(H190:H$373),SUM(G190:G$373))</f>
        <v>0</v>
      </c>
      <c r="AV190" t="b">
        <f t="shared" ca="1" si="96"/>
        <v>0</v>
      </c>
      <c r="AX190" s="228">
        <f>SUM(AW$5:AW190)</f>
        <v>-2.9166666666666665</v>
      </c>
    </row>
    <row r="191" spans="1:50">
      <c r="A191" s="308">
        <f t="shared" si="115"/>
        <v>42554</v>
      </c>
      <c r="B191" s="309">
        <f t="shared" si="116"/>
        <v>42554</v>
      </c>
      <c r="C191" s="310">
        <f t="shared" si="123"/>
        <v>27</v>
      </c>
      <c r="D191" s="311">
        <f t="shared" si="124"/>
        <v>42551</v>
      </c>
      <c r="E191" s="321" t="str">
        <f t="shared" si="97"/>
        <v/>
      </c>
      <c r="F191" s="5"/>
      <c r="G191" s="6" t="str">
        <f t="shared" si="98"/>
        <v/>
      </c>
      <c r="H191" s="7"/>
      <c r="I191" s="7">
        <f t="shared" si="99"/>
        <v>0</v>
      </c>
      <c r="J191" s="113">
        <f t="shared" si="87"/>
        <v>0</v>
      </c>
      <c r="K191" s="7"/>
      <c r="L191" s="7">
        <f t="shared" si="100"/>
        <v>0</v>
      </c>
      <c r="M191" s="113">
        <f t="shared" si="101"/>
        <v>0</v>
      </c>
      <c r="N191" s="113"/>
      <c r="O191" s="113">
        <f t="shared" si="88"/>
        <v>0</v>
      </c>
      <c r="P191" s="113"/>
      <c r="Q191" s="113">
        <f t="shared" si="102"/>
        <v>0</v>
      </c>
      <c r="R191" s="113">
        <f t="shared" si="103"/>
        <v>0</v>
      </c>
      <c r="S191" s="113">
        <f t="shared" si="121"/>
        <v>0</v>
      </c>
      <c r="T191" s="113">
        <f t="shared" si="104"/>
        <v>0</v>
      </c>
      <c r="U191" s="113">
        <f t="shared" si="122"/>
        <v>0</v>
      </c>
      <c r="V191" s="146">
        <f t="shared" si="105"/>
        <v>0</v>
      </c>
      <c r="W191" s="66"/>
      <c r="X191" s="115">
        <f t="shared" si="89"/>
        <v>3.125E-2</v>
      </c>
      <c r="Y191" s="110">
        <f t="shared" si="106"/>
        <v>0</v>
      </c>
      <c r="Z191" s="111">
        <f t="shared" si="125"/>
        <v>0</v>
      </c>
      <c r="AA191" s="112">
        <f t="shared" si="107"/>
        <v>0</v>
      </c>
      <c r="AB191" s="67" t="str">
        <f t="shared" si="108"/>
        <v/>
      </c>
      <c r="AC191" s="193">
        <f t="shared" si="90"/>
        <v>0</v>
      </c>
      <c r="AD191" s="144" t="str">
        <f t="shared" si="91"/>
        <v/>
      </c>
      <c r="AE191" s="228">
        <f t="shared" si="117"/>
        <v>0</v>
      </c>
      <c r="AF191" s="110"/>
      <c r="AG191" s="110" t="str">
        <f t="shared" si="109"/>
        <v/>
      </c>
      <c r="AH191" s="68">
        <f t="shared" si="92"/>
        <v>0</v>
      </c>
      <c r="AI191" s="68">
        <f t="shared" si="93"/>
        <v>0</v>
      </c>
      <c r="AJ191" s="68" t="str">
        <f t="shared" si="94"/>
        <v/>
      </c>
      <c r="AK191">
        <f t="shared" si="95"/>
        <v>6</v>
      </c>
      <c r="AL191" s="122">
        <f>SUM($AD$6:AD191)</f>
        <v>0</v>
      </c>
      <c r="AM191" s="122">
        <f t="shared" ca="1" si="110"/>
        <v>0</v>
      </c>
      <c r="AN191" s="126">
        <f t="shared" si="118"/>
        <v>0</v>
      </c>
      <c r="AO191" s="126">
        <f t="shared" si="119"/>
        <v>0</v>
      </c>
      <c r="AP191" s="126">
        <f t="shared" si="120"/>
        <v>0</v>
      </c>
      <c r="AQ191" s="125">
        <f t="shared" si="111"/>
        <v>30</v>
      </c>
      <c r="AR191" s="125">
        <f t="shared" ca="1" si="112"/>
        <v>30</v>
      </c>
      <c r="AS191" s="135">
        <f t="shared" si="113"/>
        <v>0</v>
      </c>
      <c r="AT191" s="125">
        <f t="shared" si="114"/>
        <v>7</v>
      </c>
      <c r="AU191" t="b">
        <f>OR((F191&gt;0),(NOT(ISBLANK(H191))),SUM(H191:H$373),SUM(G191:G$373))</f>
        <v>0</v>
      </c>
      <c r="AV191" t="b">
        <f t="shared" ca="1" si="96"/>
        <v>1</v>
      </c>
      <c r="AX191" s="228">
        <f>SUM(AW$5:AW191)</f>
        <v>-2.9166666666666665</v>
      </c>
    </row>
    <row r="192" spans="1:50">
      <c r="A192" s="308">
        <f t="shared" si="115"/>
        <v>42555</v>
      </c>
      <c r="B192" s="309">
        <f t="shared" si="116"/>
        <v>42555</v>
      </c>
      <c r="C192" s="310">
        <f t="shared" si="123"/>
        <v>27</v>
      </c>
      <c r="D192" s="311">
        <f t="shared" si="124"/>
        <v>42551</v>
      </c>
      <c r="E192" s="321" t="str">
        <f t="shared" si="97"/>
        <v/>
      </c>
      <c r="F192" s="5"/>
      <c r="G192" s="6" t="str">
        <f t="shared" si="98"/>
        <v/>
      </c>
      <c r="H192" s="7"/>
      <c r="I192" s="7">
        <f t="shared" si="99"/>
        <v>0</v>
      </c>
      <c r="J192" s="113">
        <f t="shared" si="87"/>
        <v>0</v>
      </c>
      <c r="K192" s="7"/>
      <c r="L192" s="7">
        <f t="shared" si="100"/>
        <v>0</v>
      </c>
      <c r="M192" s="113">
        <f t="shared" si="101"/>
        <v>0</v>
      </c>
      <c r="N192" s="113"/>
      <c r="O192" s="113">
        <f t="shared" si="88"/>
        <v>0</v>
      </c>
      <c r="P192" s="113"/>
      <c r="Q192" s="113">
        <f t="shared" si="102"/>
        <v>0</v>
      </c>
      <c r="R192" s="113">
        <f t="shared" si="103"/>
        <v>0</v>
      </c>
      <c r="S192" s="113">
        <f t="shared" si="121"/>
        <v>0</v>
      </c>
      <c r="T192" s="113">
        <f t="shared" si="104"/>
        <v>0</v>
      </c>
      <c r="U192" s="113">
        <f t="shared" si="122"/>
        <v>0</v>
      </c>
      <c r="V192" s="146">
        <f t="shared" si="105"/>
        <v>0</v>
      </c>
      <c r="W192" s="66"/>
      <c r="X192" s="115">
        <f t="shared" si="89"/>
        <v>3.125E-2</v>
      </c>
      <c r="Y192" s="110">
        <f t="shared" si="106"/>
        <v>0</v>
      </c>
      <c r="Z192" s="111">
        <f t="shared" si="125"/>
        <v>0</v>
      </c>
      <c r="AA192" s="112">
        <f t="shared" si="107"/>
        <v>0</v>
      </c>
      <c r="AB192" s="67" t="str">
        <f t="shared" si="108"/>
        <v/>
      </c>
      <c r="AC192" s="193">
        <f t="shared" si="90"/>
        <v>0</v>
      </c>
      <c r="AD192" s="144" t="str">
        <f t="shared" si="91"/>
        <v/>
      </c>
      <c r="AE192" s="228">
        <f t="shared" si="117"/>
        <v>0</v>
      </c>
      <c r="AF192" s="110"/>
      <c r="AG192" s="110" t="str">
        <f t="shared" si="109"/>
        <v/>
      </c>
      <c r="AH192" s="68">
        <f t="shared" si="92"/>
        <v>0</v>
      </c>
      <c r="AI192" s="68">
        <f t="shared" si="93"/>
        <v>0</v>
      </c>
      <c r="AJ192" s="68" t="str">
        <f t="shared" si="94"/>
        <v/>
      </c>
      <c r="AK192">
        <f t="shared" si="95"/>
        <v>7</v>
      </c>
      <c r="AL192" s="122">
        <f>SUM($AD$6:AD192)</f>
        <v>0</v>
      </c>
      <c r="AM192" s="122">
        <f t="shared" ca="1" si="110"/>
        <v>0</v>
      </c>
      <c r="AN192" s="126">
        <f t="shared" si="118"/>
        <v>0</v>
      </c>
      <c r="AO192" s="126">
        <f t="shared" si="119"/>
        <v>0</v>
      </c>
      <c r="AP192" s="126">
        <f t="shared" si="120"/>
        <v>0</v>
      </c>
      <c r="AQ192" s="125">
        <f t="shared" si="111"/>
        <v>30</v>
      </c>
      <c r="AR192" s="125">
        <f t="shared" ca="1" si="112"/>
        <v>30</v>
      </c>
      <c r="AS192" s="135">
        <f t="shared" si="113"/>
        <v>0</v>
      </c>
      <c r="AT192" s="125">
        <f t="shared" si="114"/>
        <v>7</v>
      </c>
      <c r="AU192" t="b">
        <f>OR((F192&gt;0),(NOT(ISBLANK(H192))),SUM(H192:H$373),SUM(G192:G$373))</f>
        <v>0</v>
      </c>
      <c r="AV192" t="b">
        <f t="shared" ca="1" si="96"/>
        <v>1</v>
      </c>
      <c r="AX192" s="228">
        <f>SUM(AW$5:AW192)</f>
        <v>-2.9166666666666665</v>
      </c>
    </row>
    <row r="193" spans="1:50">
      <c r="A193" s="308">
        <f t="shared" si="115"/>
        <v>42556</v>
      </c>
      <c r="B193" s="309">
        <f t="shared" si="116"/>
        <v>42556</v>
      </c>
      <c r="C193" s="310">
        <f t="shared" si="123"/>
        <v>28</v>
      </c>
      <c r="D193" s="311">
        <f t="shared" si="124"/>
        <v>42551</v>
      </c>
      <c r="E193" s="321" t="str">
        <f t="shared" si="97"/>
        <v/>
      </c>
      <c r="F193" s="5"/>
      <c r="G193" s="6" t="str">
        <f t="shared" si="98"/>
        <v/>
      </c>
      <c r="H193" s="7"/>
      <c r="I193" s="7">
        <f t="shared" si="99"/>
        <v>0</v>
      </c>
      <c r="J193" s="113">
        <f t="shared" si="87"/>
        <v>0</v>
      </c>
      <c r="K193" s="7"/>
      <c r="L193" s="7">
        <f t="shared" si="100"/>
        <v>0</v>
      </c>
      <c r="M193" s="113">
        <f t="shared" si="101"/>
        <v>0</v>
      </c>
      <c r="N193" s="113"/>
      <c r="O193" s="113">
        <f t="shared" si="88"/>
        <v>0</v>
      </c>
      <c r="P193" s="113"/>
      <c r="Q193" s="113">
        <f t="shared" si="102"/>
        <v>0</v>
      </c>
      <c r="R193" s="113">
        <f t="shared" si="103"/>
        <v>0</v>
      </c>
      <c r="S193" s="113">
        <f t="shared" si="121"/>
        <v>0</v>
      </c>
      <c r="T193" s="113">
        <f t="shared" si="104"/>
        <v>0</v>
      </c>
      <c r="U193" s="113">
        <f t="shared" si="122"/>
        <v>0</v>
      </c>
      <c r="V193" s="146">
        <f t="shared" si="105"/>
        <v>0</v>
      </c>
      <c r="W193" s="66"/>
      <c r="X193" s="115">
        <f t="shared" si="89"/>
        <v>3.125E-2</v>
      </c>
      <c r="Y193" s="110">
        <f t="shared" si="106"/>
        <v>0</v>
      </c>
      <c r="Z193" s="111">
        <f t="shared" si="125"/>
        <v>0.29166666666666669</v>
      </c>
      <c r="AA193" s="112">
        <f t="shared" si="107"/>
        <v>0</v>
      </c>
      <c r="AB193" s="67" t="str">
        <f t="shared" si="108"/>
        <v/>
      </c>
      <c r="AC193" s="193">
        <f t="shared" si="90"/>
        <v>0</v>
      </c>
      <c r="AD193" s="144" t="str">
        <f t="shared" si="91"/>
        <v/>
      </c>
      <c r="AE193" s="228">
        <f t="shared" si="117"/>
        <v>0</v>
      </c>
      <c r="AF193" s="110"/>
      <c r="AG193" s="110" t="str">
        <f t="shared" si="109"/>
        <v/>
      </c>
      <c r="AH193" s="68">
        <f t="shared" si="92"/>
        <v>0</v>
      </c>
      <c r="AI193" s="68">
        <f t="shared" si="93"/>
        <v>0</v>
      </c>
      <c r="AJ193" s="68" t="str">
        <f t="shared" si="94"/>
        <v/>
      </c>
      <c r="AK193">
        <f t="shared" si="95"/>
        <v>1</v>
      </c>
      <c r="AL193" s="122">
        <f>SUM($AD$6:AD193)</f>
        <v>0</v>
      </c>
      <c r="AM193" s="122">
        <f t="shared" ca="1" si="110"/>
        <v>0</v>
      </c>
      <c r="AN193" s="126">
        <f t="shared" si="118"/>
        <v>0</v>
      </c>
      <c r="AO193" s="126">
        <f t="shared" si="119"/>
        <v>0</v>
      </c>
      <c r="AP193" s="126">
        <f t="shared" si="120"/>
        <v>0</v>
      </c>
      <c r="AQ193" s="125">
        <f t="shared" si="111"/>
        <v>30</v>
      </c>
      <c r="AR193" s="125">
        <f t="shared" ca="1" si="112"/>
        <v>30</v>
      </c>
      <c r="AS193" s="135">
        <f t="shared" si="113"/>
        <v>0</v>
      </c>
      <c r="AT193" s="125">
        <f t="shared" si="114"/>
        <v>0</v>
      </c>
      <c r="AU193" t="b">
        <f>OR((F193&gt;0),(NOT(ISBLANK(H193))),SUM(H193:H$373),SUM(G193:G$373))</f>
        <v>0</v>
      </c>
      <c r="AV193" t="b">
        <f t="shared" ca="1" si="96"/>
        <v>0</v>
      </c>
      <c r="AX193" s="228">
        <f>SUM(AW$5:AW193)</f>
        <v>-2.9166666666666665</v>
      </c>
    </row>
    <row r="194" spans="1:50">
      <c r="A194" s="308">
        <f t="shared" si="115"/>
        <v>42557</v>
      </c>
      <c r="B194" s="309">
        <f t="shared" si="116"/>
        <v>42557</v>
      </c>
      <c r="C194" s="310">
        <f t="shared" si="123"/>
        <v>28</v>
      </c>
      <c r="D194" s="311">
        <f t="shared" si="124"/>
        <v>42551</v>
      </c>
      <c r="E194" s="321" t="str">
        <f t="shared" si="97"/>
        <v/>
      </c>
      <c r="F194" s="5"/>
      <c r="G194" s="6" t="str">
        <f t="shared" si="98"/>
        <v/>
      </c>
      <c r="H194" s="7"/>
      <c r="I194" s="7">
        <f t="shared" si="99"/>
        <v>0</v>
      </c>
      <c r="J194" s="113">
        <f t="shared" si="87"/>
        <v>0</v>
      </c>
      <c r="K194" s="7"/>
      <c r="L194" s="7">
        <f t="shared" si="100"/>
        <v>0</v>
      </c>
      <c r="M194" s="113">
        <f t="shared" si="101"/>
        <v>0</v>
      </c>
      <c r="N194" s="113"/>
      <c r="O194" s="113">
        <f t="shared" si="88"/>
        <v>0</v>
      </c>
      <c r="P194" s="113"/>
      <c r="Q194" s="113">
        <f t="shared" si="102"/>
        <v>0</v>
      </c>
      <c r="R194" s="113">
        <f t="shared" si="103"/>
        <v>0</v>
      </c>
      <c r="S194" s="113">
        <f t="shared" si="121"/>
        <v>0</v>
      </c>
      <c r="T194" s="113">
        <f t="shared" si="104"/>
        <v>0</v>
      </c>
      <c r="U194" s="113">
        <f t="shared" si="122"/>
        <v>0</v>
      </c>
      <c r="V194" s="146">
        <f t="shared" si="105"/>
        <v>0</v>
      </c>
      <c r="W194" s="66"/>
      <c r="X194" s="115">
        <f t="shared" si="89"/>
        <v>3.125E-2</v>
      </c>
      <c r="Y194" s="110">
        <f t="shared" si="106"/>
        <v>0</v>
      </c>
      <c r="Z194" s="111">
        <f t="shared" si="125"/>
        <v>0.29166666666666669</v>
      </c>
      <c r="AA194" s="112">
        <f t="shared" si="107"/>
        <v>0</v>
      </c>
      <c r="AB194" s="67" t="str">
        <f t="shared" si="108"/>
        <v/>
      </c>
      <c r="AC194" s="193">
        <f t="shared" si="90"/>
        <v>0</v>
      </c>
      <c r="AD194" s="144" t="str">
        <f t="shared" si="91"/>
        <v/>
      </c>
      <c r="AE194" s="228">
        <f t="shared" si="117"/>
        <v>0</v>
      </c>
      <c r="AF194" s="110"/>
      <c r="AG194" s="110" t="str">
        <f t="shared" si="109"/>
        <v/>
      </c>
      <c r="AH194" s="68">
        <f t="shared" si="92"/>
        <v>0</v>
      </c>
      <c r="AI194" s="68">
        <f t="shared" si="93"/>
        <v>0</v>
      </c>
      <c r="AJ194" s="68" t="str">
        <f t="shared" si="94"/>
        <v/>
      </c>
      <c r="AK194">
        <f t="shared" si="95"/>
        <v>2</v>
      </c>
      <c r="AL194" s="122">
        <f>SUM($AD$6:AD194)</f>
        <v>0</v>
      </c>
      <c r="AM194" s="122">
        <f t="shared" ca="1" si="110"/>
        <v>0</v>
      </c>
      <c r="AN194" s="126">
        <f t="shared" si="118"/>
        <v>0</v>
      </c>
      <c r="AO194" s="126">
        <f t="shared" si="119"/>
        <v>0</v>
      </c>
      <c r="AP194" s="126">
        <f t="shared" si="120"/>
        <v>0</v>
      </c>
      <c r="AQ194" s="125">
        <f t="shared" si="111"/>
        <v>30</v>
      </c>
      <c r="AR194" s="125">
        <f t="shared" ca="1" si="112"/>
        <v>30</v>
      </c>
      <c r="AS194" s="135">
        <f t="shared" si="113"/>
        <v>0</v>
      </c>
      <c r="AT194" s="125">
        <f t="shared" si="114"/>
        <v>0</v>
      </c>
      <c r="AU194" t="b">
        <f>OR((F194&gt;0),(NOT(ISBLANK(H194))),SUM(H194:H$373),SUM(G194:G$373))</f>
        <v>0</v>
      </c>
      <c r="AV194" t="b">
        <f t="shared" ca="1" si="96"/>
        <v>0</v>
      </c>
      <c r="AX194" s="228">
        <f>SUM(AW$5:AW194)</f>
        <v>-2.9166666666666665</v>
      </c>
    </row>
    <row r="195" spans="1:50">
      <c r="A195" s="308">
        <f t="shared" si="115"/>
        <v>42558</v>
      </c>
      <c r="B195" s="309">
        <f t="shared" si="116"/>
        <v>42558</v>
      </c>
      <c r="C195" s="310">
        <f t="shared" si="123"/>
        <v>28</v>
      </c>
      <c r="D195" s="311">
        <f t="shared" si="124"/>
        <v>42551</v>
      </c>
      <c r="E195" s="321" t="str">
        <f t="shared" si="97"/>
        <v/>
      </c>
      <c r="F195" s="5"/>
      <c r="G195" s="6" t="str">
        <f t="shared" si="98"/>
        <v/>
      </c>
      <c r="H195" s="7"/>
      <c r="I195" s="7">
        <f t="shared" si="99"/>
        <v>0</v>
      </c>
      <c r="J195" s="113">
        <f t="shared" si="87"/>
        <v>0</v>
      </c>
      <c r="K195" s="7"/>
      <c r="L195" s="7">
        <f t="shared" si="100"/>
        <v>0</v>
      </c>
      <c r="M195" s="113">
        <f t="shared" si="101"/>
        <v>0</v>
      </c>
      <c r="N195" s="113"/>
      <c r="O195" s="113">
        <f t="shared" si="88"/>
        <v>0</v>
      </c>
      <c r="P195" s="113"/>
      <c r="Q195" s="113">
        <f t="shared" si="102"/>
        <v>0</v>
      </c>
      <c r="R195" s="113">
        <f t="shared" si="103"/>
        <v>0</v>
      </c>
      <c r="S195" s="113">
        <f t="shared" si="121"/>
        <v>0</v>
      </c>
      <c r="T195" s="113">
        <f t="shared" si="104"/>
        <v>0</v>
      </c>
      <c r="U195" s="113">
        <f t="shared" si="122"/>
        <v>0</v>
      </c>
      <c r="V195" s="146">
        <f t="shared" si="105"/>
        <v>0</v>
      </c>
      <c r="W195" s="66"/>
      <c r="X195" s="115">
        <f t="shared" si="89"/>
        <v>3.125E-2</v>
      </c>
      <c r="Y195" s="110">
        <f t="shared" si="106"/>
        <v>0</v>
      </c>
      <c r="Z195" s="111">
        <f t="shared" si="125"/>
        <v>0.29166666666666669</v>
      </c>
      <c r="AA195" s="112">
        <f t="shared" si="107"/>
        <v>0</v>
      </c>
      <c r="AB195" s="67" t="str">
        <f t="shared" si="108"/>
        <v/>
      </c>
      <c r="AC195" s="193">
        <f t="shared" si="90"/>
        <v>0</v>
      </c>
      <c r="AD195" s="144" t="str">
        <f t="shared" si="91"/>
        <v/>
      </c>
      <c r="AE195" s="228">
        <f t="shared" si="117"/>
        <v>0</v>
      </c>
      <c r="AF195" s="110"/>
      <c r="AG195" s="110" t="str">
        <f t="shared" si="109"/>
        <v/>
      </c>
      <c r="AH195" s="68">
        <f t="shared" si="92"/>
        <v>0</v>
      </c>
      <c r="AI195" s="68">
        <f t="shared" si="93"/>
        <v>0</v>
      </c>
      <c r="AJ195" s="68" t="str">
        <f t="shared" si="94"/>
        <v/>
      </c>
      <c r="AK195">
        <f t="shared" si="95"/>
        <v>3</v>
      </c>
      <c r="AL195" s="122">
        <f>SUM($AD$6:AD195)</f>
        <v>0</v>
      </c>
      <c r="AM195" s="122">
        <f t="shared" ca="1" si="110"/>
        <v>0</v>
      </c>
      <c r="AN195" s="126">
        <f t="shared" si="118"/>
        <v>0</v>
      </c>
      <c r="AO195" s="126">
        <f t="shared" si="119"/>
        <v>0</v>
      </c>
      <c r="AP195" s="126">
        <f t="shared" si="120"/>
        <v>0</v>
      </c>
      <c r="AQ195" s="125">
        <f t="shared" si="111"/>
        <v>30</v>
      </c>
      <c r="AR195" s="125">
        <f t="shared" ca="1" si="112"/>
        <v>30</v>
      </c>
      <c r="AS195" s="135">
        <f t="shared" si="113"/>
        <v>0</v>
      </c>
      <c r="AT195" s="125">
        <f t="shared" si="114"/>
        <v>0</v>
      </c>
      <c r="AU195" t="b">
        <f>OR((F195&gt;0),(NOT(ISBLANK(H195))),SUM(H195:H$373),SUM(G195:G$373))</f>
        <v>0</v>
      </c>
      <c r="AV195" t="b">
        <f t="shared" ca="1" si="96"/>
        <v>0</v>
      </c>
      <c r="AX195" s="228">
        <f>SUM(AW$5:AW195)</f>
        <v>-2.9166666666666665</v>
      </c>
    </row>
    <row r="196" spans="1:50">
      <c r="A196" s="308">
        <f t="shared" si="115"/>
        <v>42559</v>
      </c>
      <c r="B196" s="309">
        <f t="shared" si="116"/>
        <v>42559</v>
      </c>
      <c r="C196" s="310">
        <f t="shared" si="123"/>
        <v>28</v>
      </c>
      <c r="D196" s="311">
        <f t="shared" si="124"/>
        <v>42551</v>
      </c>
      <c r="E196" s="321" t="str">
        <f t="shared" si="97"/>
        <v/>
      </c>
      <c r="F196" s="5"/>
      <c r="G196" s="6" t="str">
        <f t="shared" si="98"/>
        <v/>
      </c>
      <c r="H196" s="7"/>
      <c r="I196" s="7">
        <f t="shared" si="99"/>
        <v>0</v>
      </c>
      <c r="J196" s="113">
        <f t="shared" si="87"/>
        <v>0</v>
      </c>
      <c r="K196" s="7"/>
      <c r="L196" s="7">
        <f t="shared" si="100"/>
        <v>0</v>
      </c>
      <c r="M196" s="113">
        <f t="shared" si="101"/>
        <v>0</v>
      </c>
      <c r="N196" s="113"/>
      <c r="O196" s="113">
        <f t="shared" si="88"/>
        <v>0</v>
      </c>
      <c r="P196" s="113"/>
      <c r="Q196" s="113">
        <f t="shared" si="102"/>
        <v>0</v>
      </c>
      <c r="R196" s="113">
        <f t="shared" si="103"/>
        <v>0</v>
      </c>
      <c r="S196" s="113">
        <f t="shared" si="121"/>
        <v>0</v>
      </c>
      <c r="T196" s="113">
        <f t="shared" si="104"/>
        <v>0</v>
      </c>
      <c r="U196" s="113">
        <f t="shared" si="122"/>
        <v>0</v>
      </c>
      <c r="V196" s="146">
        <f t="shared" si="105"/>
        <v>0</v>
      </c>
      <c r="W196" s="66"/>
      <c r="X196" s="115">
        <f t="shared" si="89"/>
        <v>3.125E-2</v>
      </c>
      <c r="Y196" s="110">
        <f t="shared" si="106"/>
        <v>0</v>
      </c>
      <c r="Z196" s="111">
        <f t="shared" si="125"/>
        <v>0.29166666666666669</v>
      </c>
      <c r="AA196" s="112">
        <f t="shared" si="107"/>
        <v>0</v>
      </c>
      <c r="AB196" s="67" t="str">
        <f t="shared" si="108"/>
        <v/>
      </c>
      <c r="AC196" s="193">
        <f t="shared" si="90"/>
        <v>0</v>
      </c>
      <c r="AD196" s="144" t="str">
        <f t="shared" si="91"/>
        <v/>
      </c>
      <c r="AE196" s="228">
        <f t="shared" si="117"/>
        <v>0</v>
      </c>
      <c r="AF196" s="110"/>
      <c r="AG196" s="110" t="str">
        <f t="shared" si="109"/>
        <v/>
      </c>
      <c r="AH196" s="68">
        <f t="shared" si="92"/>
        <v>0</v>
      </c>
      <c r="AI196" s="68">
        <f t="shared" si="93"/>
        <v>0</v>
      </c>
      <c r="AJ196" s="68" t="str">
        <f t="shared" si="94"/>
        <v/>
      </c>
      <c r="AK196">
        <f t="shared" si="95"/>
        <v>4</v>
      </c>
      <c r="AL196" s="122">
        <f>SUM($AD$6:AD196)</f>
        <v>0</v>
      </c>
      <c r="AM196" s="122">
        <f t="shared" ca="1" si="110"/>
        <v>0</v>
      </c>
      <c r="AN196" s="126">
        <f t="shared" si="118"/>
        <v>0</v>
      </c>
      <c r="AO196" s="126">
        <f t="shared" si="119"/>
        <v>0</v>
      </c>
      <c r="AP196" s="126">
        <f t="shared" si="120"/>
        <v>0</v>
      </c>
      <c r="AQ196" s="125">
        <f t="shared" si="111"/>
        <v>30</v>
      </c>
      <c r="AR196" s="125">
        <f t="shared" ca="1" si="112"/>
        <v>30</v>
      </c>
      <c r="AS196" s="135">
        <f t="shared" si="113"/>
        <v>0</v>
      </c>
      <c r="AT196" s="125">
        <f t="shared" si="114"/>
        <v>0</v>
      </c>
      <c r="AU196" t="b">
        <f>OR((F196&gt;0),(NOT(ISBLANK(H196))),SUM(H196:H$373),SUM(G196:G$373))</f>
        <v>0</v>
      </c>
      <c r="AV196" t="b">
        <f t="shared" ca="1" si="96"/>
        <v>0</v>
      </c>
      <c r="AX196" s="228">
        <f>SUM(AW$5:AW196)</f>
        <v>-2.9166666666666665</v>
      </c>
    </row>
    <row r="197" spans="1:50">
      <c r="A197" s="308">
        <f t="shared" si="115"/>
        <v>42560</v>
      </c>
      <c r="B197" s="309">
        <f t="shared" si="116"/>
        <v>42560</v>
      </c>
      <c r="C197" s="310">
        <f t="shared" si="123"/>
        <v>28</v>
      </c>
      <c r="D197" s="311">
        <f t="shared" si="124"/>
        <v>42551</v>
      </c>
      <c r="E197" s="321" t="str">
        <f t="shared" si="97"/>
        <v/>
      </c>
      <c r="F197" s="5"/>
      <c r="G197" s="6" t="str">
        <f t="shared" si="98"/>
        <v/>
      </c>
      <c r="H197" s="7"/>
      <c r="I197" s="7">
        <f t="shared" si="99"/>
        <v>0</v>
      </c>
      <c r="J197" s="113">
        <f t="shared" ref="J197:J260" si="126">IF(I197&lt;H197,I197+1,I197)</f>
        <v>0</v>
      </c>
      <c r="K197" s="7"/>
      <c r="L197" s="7">
        <f t="shared" si="100"/>
        <v>0</v>
      </c>
      <c r="M197" s="113">
        <f t="shared" si="101"/>
        <v>0</v>
      </c>
      <c r="N197" s="113"/>
      <c r="O197" s="113">
        <f t="shared" ref="O197:O260" si="127">IF(N197&gt;0,N197+IF((J197-H197+M197-K197)&lt;Y197,Y197-(J197-H197+M197-K197),TIME(0,10,0))+IF((K197-J197+N197-M197)&gt;xNoWorkTime,0,xNoWorkTime-(K197-J197+N197-M197)),0)</f>
        <v>0</v>
      </c>
      <c r="P197" s="113"/>
      <c r="Q197" s="113">
        <f t="shared" si="102"/>
        <v>0</v>
      </c>
      <c r="R197" s="113">
        <f t="shared" si="103"/>
        <v>0</v>
      </c>
      <c r="S197" s="113">
        <f t="shared" si="121"/>
        <v>0</v>
      </c>
      <c r="T197" s="113">
        <f t="shared" si="104"/>
        <v>0</v>
      </c>
      <c r="U197" s="113">
        <f t="shared" si="122"/>
        <v>0</v>
      </c>
      <c r="V197" s="146">
        <f t="shared" si="105"/>
        <v>0</v>
      </c>
      <c r="W197" s="66"/>
      <c r="X197" s="115">
        <f t="shared" ref="X197:X260" si="128">xNoWorkTime</f>
        <v>3.125E-2</v>
      </c>
      <c r="Y197" s="110">
        <f t="shared" si="106"/>
        <v>0</v>
      </c>
      <c r="Z197" s="111">
        <f t="shared" si="125"/>
        <v>0.29166666666666669</v>
      </c>
      <c r="AA197" s="112">
        <f t="shared" si="107"/>
        <v>0</v>
      </c>
      <c r="AB197" s="67" t="str">
        <f t="shared" si="108"/>
        <v/>
      </c>
      <c r="AC197" s="193">
        <f t="shared" ref="AC197:AC260" si="129">xOverTime</f>
        <v>0</v>
      </c>
      <c r="AD197" s="144" t="str">
        <f t="shared" ref="AD197:AD260" si="130">IF((R197-U197)&gt;XWorkTimeMax,(R197-U197-XWorkTimeMax),"")</f>
        <v/>
      </c>
      <c r="AE197" s="228">
        <f t="shared" si="117"/>
        <v>0</v>
      </c>
      <c r="AF197" s="110"/>
      <c r="AG197" s="110" t="str">
        <f t="shared" si="109"/>
        <v/>
      </c>
      <c r="AH197" s="68">
        <f t="shared" ref="AH197:AH260" si="131">IF(ISNUMBER(V197 ), IF( V197 &gt;= Y197, Y197, V197 ),"")</f>
        <v>0</v>
      </c>
      <c r="AI197" s="68">
        <f t="shared" ref="AI197:AI260" si="132">IF( ISNUMBER( V197 ), IF( V197 &gt;= Y197, V197 - Y197, "" ), "" )</f>
        <v>0</v>
      </c>
      <c r="AJ197" s="68" t="str">
        <f t="shared" ref="AJ197:AJ260" si="133">IF( AND(ISNUMBER( V197 ),ISNUMBER( Y197 )), IF( V197 &gt;= Y197, "", Y197 - V197 ), "" )</f>
        <v/>
      </c>
      <c r="AK197">
        <f t="shared" ref="AK197:AK260" si="134">IF(A197="",0,IF(ISERROR(VLOOKUP(A197,db_Feiertag,2,FALSE)),WEEKDAY(A197,2),Feiertag))</f>
        <v>5</v>
      </c>
      <c r="AL197" s="122">
        <f>SUM($AD$6:AD197)</f>
        <v>0</v>
      </c>
      <c r="AM197" s="122">
        <f t="shared" ca="1" si="110"/>
        <v>0</v>
      </c>
      <c r="AN197" s="126">
        <f t="shared" si="118"/>
        <v>0</v>
      </c>
      <c r="AO197" s="126">
        <f t="shared" si="119"/>
        <v>0</v>
      </c>
      <c r="AP197" s="126">
        <f t="shared" si="120"/>
        <v>0</v>
      </c>
      <c r="AQ197" s="125">
        <f t="shared" si="111"/>
        <v>30</v>
      </c>
      <c r="AR197" s="125">
        <f t="shared" ca="1" si="112"/>
        <v>30</v>
      </c>
      <c r="AS197" s="135">
        <f t="shared" si="113"/>
        <v>0</v>
      </c>
      <c r="AT197" s="125">
        <f t="shared" si="114"/>
        <v>0</v>
      </c>
      <c r="AU197" t="b">
        <f>OR((F197&gt;0),(NOT(ISBLANK(H197))),SUM(H197:H$373),SUM(G197:G$373))</f>
        <v>0</v>
      </c>
      <c r="AV197" t="b">
        <f t="shared" ref="AV197:AV260" ca="1" si="135">INDIRECT(ADDRESS(ROW(),COLUMN(xDay)))&gt;5</f>
        <v>0</v>
      </c>
      <c r="AX197" s="228">
        <f>SUM(AW$5:AW197)</f>
        <v>-2.9166666666666665</v>
      </c>
    </row>
    <row r="198" spans="1:50">
      <c r="A198" s="308">
        <f t="shared" si="115"/>
        <v>42561</v>
      </c>
      <c r="B198" s="309">
        <f t="shared" si="116"/>
        <v>42561</v>
      </c>
      <c r="C198" s="310">
        <f t="shared" si="123"/>
        <v>28</v>
      </c>
      <c r="D198" s="311">
        <f t="shared" si="124"/>
        <v>42551</v>
      </c>
      <c r="E198" s="321" t="str">
        <f t="shared" ref="E198:E261" si="136">IF((R198-U198)&gt;XWorkTimeMax,$Z$4,IF(AT198=Feiertag,VLOOKUP(B198,db_Feiertag,2,FALSE),""))</f>
        <v/>
      </c>
      <c r="F198" s="5"/>
      <c r="G198" s="6" t="str">
        <f t="shared" ref="G198:G261" si="137">IF(ISBLANK(F198),IF(ISBLANK(H198),"",0),CODE(UPPER(F198)))</f>
        <v/>
      </c>
      <c r="H198" s="7"/>
      <c r="I198" s="7">
        <f t="shared" ref="I198:I261" si="138">IF(H198&gt;0,H198+Y198+X198+AC198,0)</f>
        <v>0</v>
      </c>
      <c r="J198" s="113">
        <f t="shared" si="126"/>
        <v>0</v>
      </c>
      <c r="K198" s="7"/>
      <c r="L198" s="7">
        <f t="shared" ref="L198:L261" si="139">IF(K198&gt;0,K198+IF((J198-H198)&lt;Y198,Y198-(J198-H198),TIME(0,10,0))+IF((K198-J198)&gt;xNoWorkTime,0,xNoWorkTime-(K198-J198)),0)</f>
        <v>0</v>
      </c>
      <c r="M198" s="113">
        <f t="shared" ref="M198:M261" si="140">IF(L198&lt;K198,L198+1,L198)</f>
        <v>0</v>
      </c>
      <c r="N198" s="113"/>
      <c r="O198" s="113">
        <f t="shared" si="127"/>
        <v>0</v>
      </c>
      <c r="P198" s="113"/>
      <c r="Q198" s="113">
        <f t="shared" ref="Q198:Q261" si="141">IF(O198&lt;N198,O198+1,O198)</f>
        <v>0</v>
      </c>
      <c r="R198" s="113">
        <f t="shared" ref="R198:R261" si="142">J198-H198+M198-K198+Q198-N198</f>
        <v>0</v>
      </c>
      <c r="S198" s="113">
        <f t="shared" si="121"/>
        <v>0</v>
      </c>
      <c r="T198" s="113">
        <f t="shared" ref="T198:T261" si="143">IF(R198&gt;B_Pause1Nach,B_Pause1Dauer,0)+IF(R198&gt;B_Pause2Nach,B_Pause2Dauer,0)</f>
        <v>0</v>
      </c>
      <c r="U198" s="113">
        <f t="shared" si="122"/>
        <v>0</v>
      </c>
      <c r="V198" s="146">
        <f t="shared" ref="V198:V261" si="144">IF(F198="S",Z198,(IF((R198-U198)&gt;XWorkTimeMax,XWorkTimeMax,IF((R198-U198)&gt;0,R198-U198,0))))</f>
        <v>0</v>
      </c>
      <c r="W198" s="66"/>
      <c r="X198" s="115">
        <f t="shared" si="128"/>
        <v>3.125E-2</v>
      </c>
      <c r="Y198" s="110">
        <f t="shared" ref="Y198:Y261" si="145">IF(AND((AK198&lt;Feiertag),(G198&lt;&gt;85)),IF(OR(F198="B",F198="G",F198="S",H198&gt;0),H198-H198+Z198,0),0)</f>
        <v>0</v>
      </c>
      <c r="Z198" s="111">
        <f t="shared" si="125"/>
        <v>0</v>
      </c>
      <c r="AA198" s="112">
        <f t="shared" ref="AA198:AA261" si="146">V198-Y198</f>
        <v>0</v>
      </c>
      <c r="AB198" s="67" t="str">
        <f t="shared" ref="AB198:AB261" si="147">IF((V198-Y198)&lt;0,"*","")</f>
        <v/>
      </c>
      <c r="AC198" s="193">
        <f t="shared" si="129"/>
        <v>0</v>
      </c>
      <c r="AD198" s="144" t="str">
        <f t="shared" si="130"/>
        <v/>
      </c>
      <c r="AE198" s="228">
        <f t="shared" si="117"/>
        <v>0</v>
      </c>
      <c r="AF198" s="110"/>
      <c r="AG198" s="110" t="str">
        <f t="shared" ref="AG198:AG261" si="148">IF(AND(AF198&lt;&gt;"",AF198&lt;=V198),V198-AF198,"")</f>
        <v/>
      </c>
      <c r="AH198" s="68">
        <f t="shared" si="131"/>
        <v>0</v>
      </c>
      <c r="AI198" s="68">
        <f t="shared" si="132"/>
        <v>0</v>
      </c>
      <c r="AJ198" s="68" t="str">
        <f t="shared" si="133"/>
        <v/>
      </c>
      <c r="AK198">
        <f t="shared" si="134"/>
        <v>6</v>
      </c>
      <c r="AL198" s="122">
        <f>SUM($AD$6:AD198)</f>
        <v>0</v>
      </c>
      <c r="AM198" s="122">
        <f t="shared" ref="AM198:AM261" ca="1" si="149">IF(D198=D197,AM197,OFFSET(AM198,-1,COLUMN(db_jSaldoGes)-COLUMN()))</f>
        <v>0</v>
      </c>
      <c r="AN198" s="126">
        <f t="shared" si="118"/>
        <v>0</v>
      </c>
      <c r="AO198" s="126">
        <f t="shared" si="119"/>
        <v>0</v>
      </c>
      <c r="AP198" s="126">
        <f t="shared" si="120"/>
        <v>0</v>
      </c>
      <c r="AQ198" s="125">
        <f t="shared" ref="AQ198:AQ261" si="150">IF(A198="","",AQ197-IF(F198=Urlaub,1,0)+IF(AND(MONTH(A198)=1,DAY(A198)=1),B_UrlaubNeu,0))</f>
        <v>30</v>
      </c>
      <c r="AR198" s="125">
        <f t="shared" ref="AR198:AR261" ca="1" si="151">IF(A198="","",IF(D198=D197,AR197,OFFSET(AR198,-1,COLUMN(db_jUrlRest)-COLUMN()))+IF(AND(MONTH(A198)=1,DAY(A198)=1),B_UrlaubNeu,0))</f>
        <v>30</v>
      </c>
      <c r="AS198" s="135">
        <f t="shared" ref="AS198:AS261" si="152">(IF(ISNUMBER(V198),V198,0)+IF(ISNUMBER(AD198),AD198,0))*24</f>
        <v>0</v>
      </c>
      <c r="AT198" s="125">
        <f t="shared" ref="AT198:AT261" si="153">IF(ISNUMBER(AD198),K_ArbeitOverMax,IF(AND(ISNUMBER(AA198),AA198&gt;0),K_ArbeitOverTime,IF(AND(ISNUMBER(V198),V198&gt;0),K_ArbeitNormal,IF(F198=Krank,K_Krank,IF(F198=Urlaub,K_Urlaub,IF(AK198=Feiertag,K_Feiertag,IF(OR(AK198=6,AK198=7),K_Wochenende,0)))))))+IF(F198=Gleittag,K_Gleittag,0)</f>
        <v>7</v>
      </c>
      <c r="AU198" t="b">
        <f>OR((F198&gt;0),(NOT(ISBLANK(H198))),SUM(H198:H$373),SUM(G198:G$373))</f>
        <v>0</v>
      </c>
      <c r="AV198" t="b">
        <f t="shared" ca="1" si="135"/>
        <v>1</v>
      </c>
      <c r="AX198" s="228">
        <f>SUM(AW$5:AW198)</f>
        <v>-2.9166666666666665</v>
      </c>
    </row>
    <row r="199" spans="1:50">
      <c r="A199" s="308">
        <f t="shared" ref="A199:A262" si="154">IF(A198="","",IF((A198+1)&gt;=DATE(YEAR(xJahr)+1,MONTH(xJahr),DAY(xJahr)),"",A198+1))</f>
        <v>42562</v>
      </c>
      <c r="B199" s="309">
        <f t="shared" ref="B199:B262" si="155">IF(A199="","",A199)</f>
        <v>42562</v>
      </c>
      <c r="C199" s="310">
        <f t="shared" si="123"/>
        <v>28</v>
      </c>
      <c r="D199" s="311">
        <f t="shared" si="124"/>
        <v>42551</v>
      </c>
      <c r="E199" s="321" t="str">
        <f t="shared" si="136"/>
        <v/>
      </c>
      <c r="F199" s="5"/>
      <c r="G199" s="6" t="str">
        <f t="shared" si="137"/>
        <v/>
      </c>
      <c r="H199" s="7"/>
      <c r="I199" s="7">
        <f t="shared" si="138"/>
        <v>0</v>
      </c>
      <c r="J199" s="113">
        <f t="shared" si="126"/>
        <v>0</v>
      </c>
      <c r="K199" s="7"/>
      <c r="L199" s="7">
        <f t="shared" si="139"/>
        <v>0</v>
      </c>
      <c r="M199" s="113">
        <f t="shared" si="140"/>
        <v>0</v>
      </c>
      <c r="N199" s="113"/>
      <c r="O199" s="113">
        <f t="shared" si="127"/>
        <v>0</v>
      </c>
      <c r="P199" s="113"/>
      <c r="Q199" s="113">
        <f t="shared" si="141"/>
        <v>0</v>
      </c>
      <c r="R199" s="113">
        <f t="shared" si="142"/>
        <v>0</v>
      </c>
      <c r="S199" s="113">
        <f t="shared" si="121"/>
        <v>0</v>
      </c>
      <c r="T199" s="113">
        <f t="shared" si="143"/>
        <v>0</v>
      </c>
      <c r="U199" s="113">
        <f t="shared" si="122"/>
        <v>0</v>
      </c>
      <c r="V199" s="146">
        <f t="shared" si="144"/>
        <v>0</v>
      </c>
      <c r="W199" s="66"/>
      <c r="X199" s="115">
        <f t="shared" si="128"/>
        <v>3.125E-2</v>
      </c>
      <c r="Y199" s="110">
        <f t="shared" si="145"/>
        <v>0</v>
      </c>
      <c r="Z199" s="111">
        <f t="shared" si="125"/>
        <v>0</v>
      </c>
      <c r="AA199" s="112">
        <f t="shared" si="146"/>
        <v>0</v>
      </c>
      <c r="AB199" s="67" t="str">
        <f t="shared" si="147"/>
        <v/>
      </c>
      <c r="AC199" s="193">
        <f t="shared" si="129"/>
        <v>0</v>
      </c>
      <c r="AD199" s="144" t="str">
        <f t="shared" si="130"/>
        <v/>
      </c>
      <c r="AE199" s="228">
        <f t="shared" ref="AE199:AE262" si="156">IF(AU199,(AE198+SUM(AA199)-AF199),)</f>
        <v>0</v>
      </c>
      <c r="AF199" s="110"/>
      <c r="AG199" s="110" t="str">
        <f t="shared" si="148"/>
        <v/>
      </c>
      <c r="AH199" s="68">
        <f t="shared" si="131"/>
        <v>0</v>
      </c>
      <c r="AI199" s="68">
        <f t="shared" si="132"/>
        <v>0</v>
      </c>
      <c r="AJ199" s="68" t="str">
        <f t="shared" si="133"/>
        <v/>
      </c>
      <c r="AK199">
        <f t="shared" si="134"/>
        <v>7</v>
      </c>
      <c r="AL199" s="122">
        <f>SUM($AD$6:AD199)</f>
        <v>0</v>
      </c>
      <c r="AM199" s="122">
        <f t="shared" ca="1" si="149"/>
        <v>0</v>
      </c>
      <c r="AN199" s="126">
        <f t="shared" ref="AN199:AN262" si="157">IF(OR($G199=-1,$G199=82),-1,IF(OR($G199=0,$G199=83),1,0))</f>
        <v>0</v>
      </c>
      <c r="AO199" s="126">
        <f t="shared" ref="AO199:AO262" si="158">IF($F199=Krank,1,IF($F199="J",-1,0))</f>
        <v>0</v>
      </c>
      <c r="AP199" s="126">
        <f t="shared" ref="AP199:AP262" si="159">IF($F199=Urlaub,1,IF($F199="T",-1,0))</f>
        <v>0</v>
      </c>
      <c r="AQ199" s="125">
        <f t="shared" si="150"/>
        <v>30</v>
      </c>
      <c r="AR199" s="125">
        <f t="shared" ca="1" si="151"/>
        <v>30</v>
      </c>
      <c r="AS199" s="135">
        <f t="shared" si="152"/>
        <v>0</v>
      </c>
      <c r="AT199" s="125">
        <f t="shared" si="153"/>
        <v>7</v>
      </c>
      <c r="AU199" t="b">
        <f>OR((F199&gt;0),(NOT(ISBLANK(H199))),SUM(H199:H$373),SUM(G199:G$373))</f>
        <v>0</v>
      </c>
      <c r="AV199" t="b">
        <f t="shared" ca="1" si="135"/>
        <v>1</v>
      </c>
      <c r="AX199" s="228">
        <f>SUM(AW$5:AW199)</f>
        <v>-2.9166666666666665</v>
      </c>
    </row>
    <row r="200" spans="1:50">
      <c r="A200" s="308">
        <f t="shared" si="154"/>
        <v>42563</v>
      </c>
      <c r="B200" s="309">
        <f t="shared" si="155"/>
        <v>42563</v>
      </c>
      <c r="C200" s="310">
        <f t="shared" si="123"/>
        <v>29</v>
      </c>
      <c r="D200" s="311">
        <f t="shared" si="124"/>
        <v>42551</v>
      </c>
      <c r="E200" s="321" t="str">
        <f t="shared" si="136"/>
        <v/>
      </c>
      <c r="F200" s="5"/>
      <c r="G200" s="6" t="str">
        <f t="shared" si="137"/>
        <v/>
      </c>
      <c r="H200" s="7"/>
      <c r="I200" s="7">
        <f t="shared" si="138"/>
        <v>0</v>
      </c>
      <c r="J200" s="113">
        <f t="shared" si="126"/>
        <v>0</v>
      </c>
      <c r="K200" s="7"/>
      <c r="L200" s="7">
        <f t="shared" si="139"/>
        <v>0</v>
      </c>
      <c r="M200" s="113">
        <f t="shared" si="140"/>
        <v>0</v>
      </c>
      <c r="N200" s="113"/>
      <c r="O200" s="113">
        <f t="shared" si="127"/>
        <v>0</v>
      </c>
      <c r="P200" s="113"/>
      <c r="Q200" s="113">
        <f t="shared" si="141"/>
        <v>0</v>
      </c>
      <c r="R200" s="113">
        <f t="shared" si="142"/>
        <v>0</v>
      </c>
      <c r="S200" s="113">
        <f t="shared" ref="S200:S263" si="160">IF(K200&gt;0,K200-I200,0)+IF(N200&gt;0,N200-L200)</f>
        <v>0</v>
      </c>
      <c r="T200" s="113">
        <f t="shared" si="143"/>
        <v>0</v>
      </c>
      <c r="U200" s="113">
        <f t="shared" ref="U200:U263" si="161">IF(T200&gt;S200,T200-S200,0)</f>
        <v>0</v>
      </c>
      <c r="V200" s="146">
        <f t="shared" si="144"/>
        <v>0</v>
      </c>
      <c r="W200" s="66"/>
      <c r="X200" s="115">
        <f t="shared" si="128"/>
        <v>3.125E-2</v>
      </c>
      <c r="Y200" s="110">
        <f t="shared" si="145"/>
        <v>0</v>
      </c>
      <c r="Z200" s="111">
        <f t="shared" si="125"/>
        <v>0.29166666666666669</v>
      </c>
      <c r="AA200" s="112">
        <f t="shared" si="146"/>
        <v>0</v>
      </c>
      <c r="AB200" s="67" t="str">
        <f t="shared" si="147"/>
        <v/>
      </c>
      <c r="AC200" s="193">
        <f t="shared" si="129"/>
        <v>0</v>
      </c>
      <c r="AD200" s="144" t="str">
        <f t="shared" si="130"/>
        <v/>
      </c>
      <c r="AE200" s="228">
        <f t="shared" si="156"/>
        <v>0</v>
      </c>
      <c r="AF200" s="110"/>
      <c r="AG200" s="110" t="str">
        <f t="shared" si="148"/>
        <v/>
      </c>
      <c r="AH200" s="68">
        <f t="shared" si="131"/>
        <v>0</v>
      </c>
      <c r="AI200" s="68">
        <f t="shared" si="132"/>
        <v>0</v>
      </c>
      <c r="AJ200" s="68" t="str">
        <f t="shared" si="133"/>
        <v/>
      </c>
      <c r="AK200">
        <f t="shared" si="134"/>
        <v>1</v>
      </c>
      <c r="AL200" s="122">
        <f>SUM($AD$6:AD200)</f>
        <v>0</v>
      </c>
      <c r="AM200" s="122">
        <f t="shared" ca="1" si="149"/>
        <v>0</v>
      </c>
      <c r="AN200" s="126">
        <f t="shared" si="157"/>
        <v>0</v>
      </c>
      <c r="AO200" s="126">
        <f t="shared" si="158"/>
        <v>0</v>
      </c>
      <c r="AP200" s="126">
        <f t="shared" si="159"/>
        <v>0</v>
      </c>
      <c r="AQ200" s="125">
        <f t="shared" si="150"/>
        <v>30</v>
      </c>
      <c r="AR200" s="125">
        <f t="shared" ca="1" si="151"/>
        <v>30</v>
      </c>
      <c r="AS200" s="135">
        <f t="shared" si="152"/>
        <v>0</v>
      </c>
      <c r="AT200" s="125">
        <f t="shared" si="153"/>
        <v>0</v>
      </c>
      <c r="AU200" t="b">
        <f>OR((F200&gt;0),(NOT(ISBLANK(H200))),SUM(H200:H$373),SUM(G200:G$373))</f>
        <v>0</v>
      </c>
      <c r="AV200" t="b">
        <f t="shared" ca="1" si="135"/>
        <v>0</v>
      </c>
      <c r="AX200" s="228">
        <f>SUM(AW$5:AW200)</f>
        <v>-2.9166666666666665</v>
      </c>
    </row>
    <row r="201" spans="1:50">
      <c r="A201" s="308">
        <f t="shared" si="154"/>
        <v>42564</v>
      </c>
      <c r="B201" s="309">
        <f t="shared" si="155"/>
        <v>42564</v>
      </c>
      <c r="C201" s="310">
        <f t="shared" si="123"/>
        <v>29</v>
      </c>
      <c r="D201" s="311">
        <f t="shared" si="124"/>
        <v>42551</v>
      </c>
      <c r="E201" s="321" t="str">
        <f t="shared" si="136"/>
        <v/>
      </c>
      <c r="F201" s="5"/>
      <c r="G201" s="6" t="str">
        <f t="shared" si="137"/>
        <v/>
      </c>
      <c r="H201" s="7"/>
      <c r="I201" s="7">
        <f t="shared" si="138"/>
        <v>0</v>
      </c>
      <c r="J201" s="113">
        <f t="shared" si="126"/>
        <v>0</v>
      </c>
      <c r="K201" s="7"/>
      <c r="L201" s="7">
        <f t="shared" si="139"/>
        <v>0</v>
      </c>
      <c r="M201" s="113">
        <f t="shared" si="140"/>
        <v>0</v>
      </c>
      <c r="N201" s="113"/>
      <c r="O201" s="113">
        <f t="shared" si="127"/>
        <v>0</v>
      </c>
      <c r="P201" s="113"/>
      <c r="Q201" s="113">
        <f t="shared" si="141"/>
        <v>0</v>
      </c>
      <c r="R201" s="113">
        <f t="shared" si="142"/>
        <v>0</v>
      </c>
      <c r="S201" s="113">
        <f t="shared" si="160"/>
        <v>0</v>
      </c>
      <c r="T201" s="113">
        <f t="shared" si="143"/>
        <v>0</v>
      </c>
      <c r="U201" s="113">
        <f t="shared" si="161"/>
        <v>0</v>
      </c>
      <c r="V201" s="146">
        <f t="shared" si="144"/>
        <v>0</v>
      </c>
      <c r="W201" s="66"/>
      <c r="X201" s="115">
        <f t="shared" si="128"/>
        <v>3.125E-2</v>
      </c>
      <c r="Y201" s="110">
        <f t="shared" si="145"/>
        <v>0</v>
      </c>
      <c r="Z201" s="111">
        <f t="shared" si="125"/>
        <v>0.29166666666666669</v>
      </c>
      <c r="AA201" s="112">
        <f t="shared" si="146"/>
        <v>0</v>
      </c>
      <c r="AB201" s="67" t="str">
        <f t="shared" si="147"/>
        <v/>
      </c>
      <c r="AC201" s="193">
        <f t="shared" si="129"/>
        <v>0</v>
      </c>
      <c r="AD201" s="144" t="str">
        <f t="shared" si="130"/>
        <v/>
      </c>
      <c r="AE201" s="228">
        <f t="shared" si="156"/>
        <v>0</v>
      </c>
      <c r="AF201" s="110"/>
      <c r="AG201" s="110" t="str">
        <f t="shared" si="148"/>
        <v/>
      </c>
      <c r="AH201" s="68">
        <f t="shared" si="131"/>
        <v>0</v>
      </c>
      <c r="AI201" s="68">
        <f t="shared" si="132"/>
        <v>0</v>
      </c>
      <c r="AJ201" s="68" t="str">
        <f t="shared" si="133"/>
        <v/>
      </c>
      <c r="AK201">
        <f t="shared" si="134"/>
        <v>2</v>
      </c>
      <c r="AL201" s="122">
        <f>SUM($AD$6:AD201)</f>
        <v>0</v>
      </c>
      <c r="AM201" s="122">
        <f t="shared" ca="1" si="149"/>
        <v>0</v>
      </c>
      <c r="AN201" s="126">
        <f t="shared" si="157"/>
        <v>0</v>
      </c>
      <c r="AO201" s="126">
        <f t="shared" si="158"/>
        <v>0</v>
      </c>
      <c r="AP201" s="126">
        <f t="shared" si="159"/>
        <v>0</v>
      </c>
      <c r="AQ201" s="125">
        <f t="shared" si="150"/>
        <v>30</v>
      </c>
      <c r="AR201" s="125">
        <f t="shared" ca="1" si="151"/>
        <v>30</v>
      </c>
      <c r="AS201" s="135">
        <f t="shared" si="152"/>
        <v>0</v>
      </c>
      <c r="AT201" s="125">
        <f t="shared" si="153"/>
        <v>0</v>
      </c>
      <c r="AU201" t="b">
        <f>OR((F201&gt;0),(NOT(ISBLANK(H201))),SUM(H201:H$373),SUM(G201:G$373))</f>
        <v>0</v>
      </c>
      <c r="AV201" t="b">
        <f t="shared" ca="1" si="135"/>
        <v>0</v>
      </c>
      <c r="AX201" s="228">
        <f>SUM(AW$5:AW201)</f>
        <v>-2.9166666666666665</v>
      </c>
    </row>
    <row r="202" spans="1:50">
      <c r="A202" s="308">
        <f t="shared" si="154"/>
        <v>42565</v>
      </c>
      <c r="B202" s="309">
        <f t="shared" si="155"/>
        <v>42565</v>
      </c>
      <c r="C202" s="310">
        <f t="shared" si="123"/>
        <v>29</v>
      </c>
      <c r="D202" s="311">
        <f t="shared" si="124"/>
        <v>42551</v>
      </c>
      <c r="E202" s="321" t="str">
        <f t="shared" si="136"/>
        <v/>
      </c>
      <c r="F202" s="5"/>
      <c r="G202" s="6" t="str">
        <f t="shared" si="137"/>
        <v/>
      </c>
      <c r="H202" s="7"/>
      <c r="I202" s="7">
        <f t="shared" si="138"/>
        <v>0</v>
      </c>
      <c r="J202" s="113">
        <f t="shared" si="126"/>
        <v>0</v>
      </c>
      <c r="K202" s="7"/>
      <c r="L202" s="7">
        <f t="shared" si="139"/>
        <v>0</v>
      </c>
      <c r="M202" s="113">
        <f t="shared" si="140"/>
        <v>0</v>
      </c>
      <c r="N202" s="113"/>
      <c r="O202" s="113">
        <f t="shared" si="127"/>
        <v>0</v>
      </c>
      <c r="P202" s="113"/>
      <c r="Q202" s="113">
        <f t="shared" si="141"/>
        <v>0</v>
      </c>
      <c r="R202" s="113">
        <f t="shared" si="142"/>
        <v>0</v>
      </c>
      <c r="S202" s="113">
        <f t="shared" si="160"/>
        <v>0</v>
      </c>
      <c r="T202" s="113">
        <f t="shared" si="143"/>
        <v>0</v>
      </c>
      <c r="U202" s="113">
        <f t="shared" si="161"/>
        <v>0</v>
      </c>
      <c r="V202" s="146">
        <f t="shared" si="144"/>
        <v>0</v>
      </c>
      <c r="W202" s="66"/>
      <c r="X202" s="115">
        <f t="shared" si="128"/>
        <v>3.125E-2</v>
      </c>
      <c r="Y202" s="110">
        <f t="shared" si="145"/>
        <v>0</v>
      </c>
      <c r="Z202" s="111">
        <f t="shared" si="125"/>
        <v>0.29166666666666669</v>
      </c>
      <c r="AA202" s="112">
        <f t="shared" si="146"/>
        <v>0</v>
      </c>
      <c r="AB202" s="67" t="str">
        <f t="shared" si="147"/>
        <v/>
      </c>
      <c r="AC202" s="193">
        <f t="shared" si="129"/>
        <v>0</v>
      </c>
      <c r="AD202" s="144" t="str">
        <f t="shared" si="130"/>
        <v/>
      </c>
      <c r="AE202" s="228">
        <f t="shared" si="156"/>
        <v>0</v>
      </c>
      <c r="AF202" s="110"/>
      <c r="AG202" s="110" t="str">
        <f t="shared" si="148"/>
        <v/>
      </c>
      <c r="AH202" s="68">
        <f t="shared" si="131"/>
        <v>0</v>
      </c>
      <c r="AI202" s="68">
        <f t="shared" si="132"/>
        <v>0</v>
      </c>
      <c r="AJ202" s="68" t="str">
        <f t="shared" si="133"/>
        <v/>
      </c>
      <c r="AK202">
        <f t="shared" si="134"/>
        <v>3</v>
      </c>
      <c r="AL202" s="122">
        <f>SUM($AD$6:AD202)</f>
        <v>0</v>
      </c>
      <c r="AM202" s="122">
        <f t="shared" ca="1" si="149"/>
        <v>0</v>
      </c>
      <c r="AN202" s="126">
        <f t="shared" si="157"/>
        <v>0</v>
      </c>
      <c r="AO202" s="126">
        <f t="shared" si="158"/>
        <v>0</v>
      </c>
      <c r="AP202" s="126">
        <f t="shared" si="159"/>
        <v>0</v>
      </c>
      <c r="AQ202" s="125">
        <f t="shared" si="150"/>
        <v>30</v>
      </c>
      <c r="AR202" s="125">
        <f t="shared" ca="1" si="151"/>
        <v>30</v>
      </c>
      <c r="AS202" s="135">
        <f t="shared" si="152"/>
        <v>0</v>
      </c>
      <c r="AT202" s="125">
        <f t="shared" si="153"/>
        <v>0</v>
      </c>
      <c r="AU202" t="b">
        <f>OR((F202&gt;0),(NOT(ISBLANK(H202))),SUM(H202:H$373),SUM(G202:G$373))</f>
        <v>0</v>
      </c>
      <c r="AV202" t="b">
        <f t="shared" ca="1" si="135"/>
        <v>0</v>
      </c>
      <c r="AX202" s="228">
        <f>SUM(AW$5:AW202)</f>
        <v>-2.9166666666666665</v>
      </c>
    </row>
    <row r="203" spans="1:50">
      <c r="A203" s="308">
        <f t="shared" si="154"/>
        <v>42566</v>
      </c>
      <c r="B203" s="309">
        <f t="shared" si="155"/>
        <v>42566</v>
      </c>
      <c r="C203" s="310">
        <f t="shared" si="123"/>
        <v>29</v>
      </c>
      <c r="D203" s="311">
        <f t="shared" si="124"/>
        <v>42551</v>
      </c>
      <c r="E203" s="321" t="str">
        <f t="shared" si="136"/>
        <v/>
      </c>
      <c r="F203" s="5"/>
      <c r="G203" s="6" t="str">
        <f t="shared" si="137"/>
        <v/>
      </c>
      <c r="H203" s="7"/>
      <c r="I203" s="7">
        <f t="shared" si="138"/>
        <v>0</v>
      </c>
      <c r="J203" s="113">
        <f t="shared" si="126"/>
        <v>0</v>
      </c>
      <c r="K203" s="7"/>
      <c r="L203" s="7">
        <f t="shared" si="139"/>
        <v>0</v>
      </c>
      <c r="M203" s="113">
        <f t="shared" si="140"/>
        <v>0</v>
      </c>
      <c r="N203" s="113"/>
      <c r="O203" s="113">
        <f t="shared" si="127"/>
        <v>0</v>
      </c>
      <c r="P203" s="113"/>
      <c r="Q203" s="113">
        <f t="shared" si="141"/>
        <v>0</v>
      </c>
      <c r="R203" s="113">
        <f t="shared" si="142"/>
        <v>0</v>
      </c>
      <c r="S203" s="113">
        <f t="shared" si="160"/>
        <v>0</v>
      </c>
      <c r="T203" s="113">
        <f t="shared" si="143"/>
        <v>0</v>
      </c>
      <c r="U203" s="113">
        <f t="shared" si="161"/>
        <v>0</v>
      </c>
      <c r="V203" s="146">
        <f t="shared" si="144"/>
        <v>0</v>
      </c>
      <c r="W203" s="66"/>
      <c r="X203" s="115">
        <f t="shared" si="128"/>
        <v>3.125E-2</v>
      </c>
      <c r="Y203" s="110">
        <f t="shared" si="145"/>
        <v>0</v>
      </c>
      <c r="Z203" s="111">
        <f t="shared" si="125"/>
        <v>0.29166666666666669</v>
      </c>
      <c r="AA203" s="112">
        <f t="shared" si="146"/>
        <v>0</v>
      </c>
      <c r="AB203" s="67" t="str">
        <f t="shared" si="147"/>
        <v/>
      </c>
      <c r="AC203" s="193">
        <f t="shared" si="129"/>
        <v>0</v>
      </c>
      <c r="AD203" s="144" t="str">
        <f t="shared" si="130"/>
        <v/>
      </c>
      <c r="AE203" s="228">
        <f t="shared" si="156"/>
        <v>0</v>
      </c>
      <c r="AF203" s="110"/>
      <c r="AG203" s="110" t="str">
        <f t="shared" si="148"/>
        <v/>
      </c>
      <c r="AH203" s="68">
        <f t="shared" si="131"/>
        <v>0</v>
      </c>
      <c r="AI203" s="68">
        <f t="shared" si="132"/>
        <v>0</v>
      </c>
      <c r="AJ203" s="68" t="str">
        <f t="shared" si="133"/>
        <v/>
      </c>
      <c r="AK203">
        <f t="shared" si="134"/>
        <v>4</v>
      </c>
      <c r="AL203" s="122">
        <f>SUM($AD$6:AD203)</f>
        <v>0</v>
      </c>
      <c r="AM203" s="122">
        <f t="shared" ca="1" si="149"/>
        <v>0</v>
      </c>
      <c r="AN203" s="126">
        <f t="shared" si="157"/>
        <v>0</v>
      </c>
      <c r="AO203" s="126">
        <f t="shared" si="158"/>
        <v>0</v>
      </c>
      <c r="AP203" s="126">
        <f t="shared" si="159"/>
        <v>0</v>
      </c>
      <c r="AQ203" s="125">
        <f t="shared" si="150"/>
        <v>30</v>
      </c>
      <c r="AR203" s="125">
        <f t="shared" ca="1" si="151"/>
        <v>30</v>
      </c>
      <c r="AS203" s="135">
        <f t="shared" si="152"/>
        <v>0</v>
      </c>
      <c r="AT203" s="125">
        <f t="shared" si="153"/>
        <v>0</v>
      </c>
      <c r="AU203" t="b">
        <f>OR((F203&gt;0),(NOT(ISBLANK(H203))),SUM(H203:H$373),SUM(G203:G$373))</f>
        <v>0</v>
      </c>
      <c r="AV203" t="b">
        <f t="shared" ca="1" si="135"/>
        <v>0</v>
      </c>
      <c r="AX203" s="228">
        <f>SUM(AW$5:AW203)</f>
        <v>-2.9166666666666665</v>
      </c>
    </row>
    <row r="204" spans="1:50">
      <c r="A204" s="308">
        <f t="shared" si="154"/>
        <v>42567</v>
      </c>
      <c r="B204" s="309">
        <f t="shared" si="155"/>
        <v>42567</v>
      </c>
      <c r="C204" s="310">
        <f t="shared" si="123"/>
        <v>29</v>
      </c>
      <c r="D204" s="311">
        <f t="shared" si="124"/>
        <v>42551</v>
      </c>
      <c r="E204" s="321" t="str">
        <f t="shared" si="136"/>
        <v/>
      </c>
      <c r="F204" s="5"/>
      <c r="G204" s="6" t="str">
        <f t="shared" si="137"/>
        <v/>
      </c>
      <c r="H204" s="7"/>
      <c r="I204" s="7">
        <f t="shared" si="138"/>
        <v>0</v>
      </c>
      <c r="J204" s="113">
        <f t="shared" si="126"/>
        <v>0</v>
      </c>
      <c r="K204" s="7"/>
      <c r="L204" s="7">
        <f t="shared" si="139"/>
        <v>0</v>
      </c>
      <c r="M204" s="113">
        <f t="shared" si="140"/>
        <v>0</v>
      </c>
      <c r="N204" s="113"/>
      <c r="O204" s="113">
        <f t="shared" si="127"/>
        <v>0</v>
      </c>
      <c r="P204" s="113"/>
      <c r="Q204" s="113">
        <f t="shared" si="141"/>
        <v>0</v>
      </c>
      <c r="R204" s="113">
        <f t="shared" si="142"/>
        <v>0</v>
      </c>
      <c r="S204" s="113">
        <f t="shared" si="160"/>
        <v>0</v>
      </c>
      <c r="T204" s="113">
        <f t="shared" si="143"/>
        <v>0</v>
      </c>
      <c r="U204" s="113">
        <f t="shared" si="161"/>
        <v>0</v>
      </c>
      <c r="V204" s="146">
        <f t="shared" si="144"/>
        <v>0</v>
      </c>
      <c r="W204" s="66"/>
      <c r="X204" s="115">
        <f t="shared" si="128"/>
        <v>3.125E-2</v>
      </c>
      <c r="Y204" s="110">
        <f t="shared" si="145"/>
        <v>0</v>
      </c>
      <c r="Z204" s="111">
        <f t="shared" si="125"/>
        <v>0.29166666666666669</v>
      </c>
      <c r="AA204" s="112">
        <f t="shared" si="146"/>
        <v>0</v>
      </c>
      <c r="AB204" s="67" t="str">
        <f t="shared" si="147"/>
        <v/>
      </c>
      <c r="AC204" s="193">
        <f t="shared" si="129"/>
        <v>0</v>
      </c>
      <c r="AD204" s="144" t="str">
        <f t="shared" si="130"/>
        <v/>
      </c>
      <c r="AE204" s="228">
        <f t="shared" si="156"/>
        <v>0</v>
      </c>
      <c r="AF204" s="110"/>
      <c r="AG204" s="110" t="str">
        <f t="shared" si="148"/>
        <v/>
      </c>
      <c r="AH204" s="68">
        <f t="shared" si="131"/>
        <v>0</v>
      </c>
      <c r="AI204" s="68">
        <f t="shared" si="132"/>
        <v>0</v>
      </c>
      <c r="AJ204" s="68" t="str">
        <f t="shared" si="133"/>
        <v/>
      </c>
      <c r="AK204">
        <f t="shared" si="134"/>
        <v>5</v>
      </c>
      <c r="AL204" s="122">
        <f>SUM($AD$6:AD204)</f>
        <v>0</v>
      </c>
      <c r="AM204" s="122">
        <f t="shared" ca="1" si="149"/>
        <v>0</v>
      </c>
      <c r="AN204" s="126">
        <f t="shared" si="157"/>
        <v>0</v>
      </c>
      <c r="AO204" s="126">
        <f t="shared" si="158"/>
        <v>0</v>
      </c>
      <c r="AP204" s="126">
        <f t="shared" si="159"/>
        <v>0</v>
      </c>
      <c r="AQ204" s="125">
        <f t="shared" si="150"/>
        <v>30</v>
      </c>
      <c r="AR204" s="125">
        <f t="shared" ca="1" si="151"/>
        <v>30</v>
      </c>
      <c r="AS204" s="135">
        <f t="shared" si="152"/>
        <v>0</v>
      </c>
      <c r="AT204" s="125">
        <f t="shared" si="153"/>
        <v>0</v>
      </c>
      <c r="AU204" t="b">
        <f>OR((F204&gt;0),(NOT(ISBLANK(H204))),SUM(H204:H$373),SUM(G204:G$373))</f>
        <v>0</v>
      </c>
      <c r="AV204" t="b">
        <f t="shared" ca="1" si="135"/>
        <v>0</v>
      </c>
      <c r="AX204" s="228">
        <f>SUM(AW$5:AW204)</f>
        <v>-2.9166666666666665</v>
      </c>
    </row>
    <row r="205" spans="1:50">
      <c r="A205" s="308">
        <f t="shared" si="154"/>
        <v>42568</v>
      </c>
      <c r="B205" s="309">
        <f t="shared" si="155"/>
        <v>42568</v>
      </c>
      <c r="C205" s="310">
        <f t="shared" si="123"/>
        <v>29</v>
      </c>
      <c r="D205" s="311">
        <f t="shared" si="124"/>
        <v>42551</v>
      </c>
      <c r="E205" s="321" t="str">
        <f t="shared" si="136"/>
        <v/>
      </c>
      <c r="F205" s="5"/>
      <c r="G205" s="6" t="str">
        <f t="shared" si="137"/>
        <v/>
      </c>
      <c r="H205" s="7"/>
      <c r="I205" s="7">
        <f t="shared" si="138"/>
        <v>0</v>
      </c>
      <c r="J205" s="113">
        <f t="shared" si="126"/>
        <v>0</v>
      </c>
      <c r="K205" s="7"/>
      <c r="L205" s="7">
        <f t="shared" si="139"/>
        <v>0</v>
      </c>
      <c r="M205" s="113">
        <f t="shared" si="140"/>
        <v>0</v>
      </c>
      <c r="N205" s="113"/>
      <c r="O205" s="113">
        <f t="shared" si="127"/>
        <v>0</v>
      </c>
      <c r="P205" s="113"/>
      <c r="Q205" s="113">
        <f t="shared" si="141"/>
        <v>0</v>
      </c>
      <c r="R205" s="113">
        <f t="shared" si="142"/>
        <v>0</v>
      </c>
      <c r="S205" s="113">
        <f t="shared" si="160"/>
        <v>0</v>
      </c>
      <c r="T205" s="113">
        <f t="shared" si="143"/>
        <v>0</v>
      </c>
      <c r="U205" s="113">
        <f t="shared" si="161"/>
        <v>0</v>
      </c>
      <c r="V205" s="146">
        <f t="shared" si="144"/>
        <v>0</v>
      </c>
      <c r="W205" s="66"/>
      <c r="X205" s="115">
        <f t="shared" si="128"/>
        <v>3.125E-2</v>
      </c>
      <c r="Y205" s="110">
        <f t="shared" si="145"/>
        <v>0</v>
      </c>
      <c r="Z205" s="111">
        <f t="shared" si="125"/>
        <v>0</v>
      </c>
      <c r="AA205" s="112">
        <f t="shared" si="146"/>
        <v>0</v>
      </c>
      <c r="AB205" s="67" t="str">
        <f t="shared" si="147"/>
        <v/>
      </c>
      <c r="AC205" s="193">
        <f t="shared" si="129"/>
        <v>0</v>
      </c>
      <c r="AD205" s="144" t="str">
        <f t="shared" si="130"/>
        <v/>
      </c>
      <c r="AE205" s="228">
        <f t="shared" si="156"/>
        <v>0</v>
      </c>
      <c r="AF205" s="110"/>
      <c r="AG205" s="110" t="str">
        <f t="shared" si="148"/>
        <v/>
      </c>
      <c r="AH205" s="68">
        <f t="shared" si="131"/>
        <v>0</v>
      </c>
      <c r="AI205" s="68">
        <f t="shared" si="132"/>
        <v>0</v>
      </c>
      <c r="AJ205" s="68" t="str">
        <f t="shared" si="133"/>
        <v/>
      </c>
      <c r="AK205">
        <f t="shared" si="134"/>
        <v>6</v>
      </c>
      <c r="AL205" s="122">
        <f>SUM($AD$6:AD205)</f>
        <v>0</v>
      </c>
      <c r="AM205" s="122">
        <f t="shared" ca="1" si="149"/>
        <v>0</v>
      </c>
      <c r="AN205" s="126">
        <f t="shared" si="157"/>
        <v>0</v>
      </c>
      <c r="AO205" s="126">
        <f t="shared" si="158"/>
        <v>0</v>
      </c>
      <c r="AP205" s="126">
        <f t="shared" si="159"/>
        <v>0</v>
      </c>
      <c r="AQ205" s="125">
        <f t="shared" si="150"/>
        <v>30</v>
      </c>
      <c r="AR205" s="125">
        <f t="shared" ca="1" si="151"/>
        <v>30</v>
      </c>
      <c r="AS205" s="135">
        <f t="shared" si="152"/>
        <v>0</v>
      </c>
      <c r="AT205" s="125">
        <f t="shared" si="153"/>
        <v>7</v>
      </c>
      <c r="AU205" t="b">
        <f>OR((F205&gt;0),(NOT(ISBLANK(H205))),SUM(H205:H$373),SUM(G205:G$373))</f>
        <v>0</v>
      </c>
      <c r="AV205" t="b">
        <f t="shared" ca="1" si="135"/>
        <v>1</v>
      </c>
      <c r="AX205" s="228">
        <f>SUM(AW$5:AW205)</f>
        <v>-2.9166666666666665</v>
      </c>
    </row>
    <row r="206" spans="1:50">
      <c r="A206" s="308">
        <f t="shared" si="154"/>
        <v>42569</v>
      </c>
      <c r="B206" s="309">
        <f t="shared" si="155"/>
        <v>42569</v>
      </c>
      <c r="C206" s="310">
        <f t="shared" si="123"/>
        <v>29</v>
      </c>
      <c r="D206" s="311">
        <f t="shared" si="124"/>
        <v>42551</v>
      </c>
      <c r="E206" s="321" t="str">
        <f t="shared" si="136"/>
        <v/>
      </c>
      <c r="F206" s="5"/>
      <c r="G206" s="6" t="str">
        <f t="shared" si="137"/>
        <v/>
      </c>
      <c r="H206" s="7"/>
      <c r="I206" s="7">
        <f t="shared" si="138"/>
        <v>0</v>
      </c>
      <c r="J206" s="113">
        <f t="shared" si="126"/>
        <v>0</v>
      </c>
      <c r="K206" s="7"/>
      <c r="L206" s="7">
        <f t="shared" si="139"/>
        <v>0</v>
      </c>
      <c r="M206" s="113">
        <f t="shared" si="140"/>
        <v>0</v>
      </c>
      <c r="N206" s="113"/>
      <c r="O206" s="113">
        <f t="shared" si="127"/>
        <v>0</v>
      </c>
      <c r="P206" s="113"/>
      <c r="Q206" s="113">
        <f t="shared" si="141"/>
        <v>0</v>
      </c>
      <c r="R206" s="113">
        <f t="shared" si="142"/>
        <v>0</v>
      </c>
      <c r="S206" s="113">
        <f t="shared" si="160"/>
        <v>0</v>
      </c>
      <c r="T206" s="113">
        <f t="shared" si="143"/>
        <v>0</v>
      </c>
      <c r="U206" s="113">
        <f t="shared" si="161"/>
        <v>0</v>
      </c>
      <c r="V206" s="146">
        <f t="shared" si="144"/>
        <v>0</v>
      </c>
      <c r="W206" s="66"/>
      <c r="X206" s="115">
        <f t="shared" si="128"/>
        <v>3.125E-2</v>
      </c>
      <c r="Y206" s="110">
        <f t="shared" si="145"/>
        <v>0</v>
      </c>
      <c r="Z206" s="111">
        <f t="shared" si="125"/>
        <v>0</v>
      </c>
      <c r="AA206" s="112">
        <f t="shared" si="146"/>
        <v>0</v>
      </c>
      <c r="AB206" s="67" t="str">
        <f t="shared" si="147"/>
        <v/>
      </c>
      <c r="AC206" s="193">
        <f t="shared" si="129"/>
        <v>0</v>
      </c>
      <c r="AD206" s="144" t="str">
        <f t="shared" si="130"/>
        <v/>
      </c>
      <c r="AE206" s="228">
        <f t="shared" si="156"/>
        <v>0</v>
      </c>
      <c r="AF206" s="110"/>
      <c r="AG206" s="110" t="str">
        <f t="shared" si="148"/>
        <v/>
      </c>
      <c r="AH206" s="68">
        <f t="shared" si="131"/>
        <v>0</v>
      </c>
      <c r="AI206" s="68">
        <f t="shared" si="132"/>
        <v>0</v>
      </c>
      <c r="AJ206" s="68" t="str">
        <f t="shared" si="133"/>
        <v/>
      </c>
      <c r="AK206">
        <f t="shared" si="134"/>
        <v>7</v>
      </c>
      <c r="AL206" s="122">
        <f>SUM($AD$6:AD206)</f>
        <v>0</v>
      </c>
      <c r="AM206" s="122">
        <f t="shared" ca="1" si="149"/>
        <v>0</v>
      </c>
      <c r="AN206" s="126">
        <f t="shared" si="157"/>
        <v>0</v>
      </c>
      <c r="AO206" s="126">
        <f t="shared" si="158"/>
        <v>0</v>
      </c>
      <c r="AP206" s="126">
        <f t="shared" si="159"/>
        <v>0</v>
      </c>
      <c r="AQ206" s="125">
        <f t="shared" si="150"/>
        <v>30</v>
      </c>
      <c r="AR206" s="125">
        <f t="shared" ca="1" si="151"/>
        <v>30</v>
      </c>
      <c r="AS206" s="135">
        <f t="shared" si="152"/>
        <v>0</v>
      </c>
      <c r="AT206" s="125">
        <f t="shared" si="153"/>
        <v>7</v>
      </c>
      <c r="AU206" t="b">
        <f>OR((F206&gt;0),(NOT(ISBLANK(H206))),SUM(H206:H$373),SUM(G206:G$373))</f>
        <v>0</v>
      </c>
      <c r="AV206" t="b">
        <f t="shared" ca="1" si="135"/>
        <v>1</v>
      </c>
      <c r="AX206" s="228">
        <f>SUM(AW$5:AW206)</f>
        <v>-2.9166666666666665</v>
      </c>
    </row>
    <row r="207" spans="1:50">
      <c r="A207" s="308">
        <f t="shared" si="154"/>
        <v>42570</v>
      </c>
      <c r="B207" s="309">
        <f t="shared" si="155"/>
        <v>42570</v>
      </c>
      <c r="C207" s="310">
        <f t="shared" si="123"/>
        <v>30</v>
      </c>
      <c r="D207" s="311">
        <f t="shared" si="124"/>
        <v>42551</v>
      </c>
      <c r="E207" s="321" t="str">
        <f t="shared" si="136"/>
        <v/>
      </c>
      <c r="F207" s="5"/>
      <c r="G207" s="6" t="str">
        <f t="shared" si="137"/>
        <v/>
      </c>
      <c r="H207" s="7"/>
      <c r="I207" s="7">
        <f t="shared" si="138"/>
        <v>0</v>
      </c>
      <c r="J207" s="113">
        <f t="shared" si="126"/>
        <v>0</v>
      </c>
      <c r="K207" s="7"/>
      <c r="L207" s="7">
        <f t="shared" si="139"/>
        <v>0</v>
      </c>
      <c r="M207" s="113">
        <f t="shared" si="140"/>
        <v>0</v>
      </c>
      <c r="N207" s="113"/>
      <c r="O207" s="113">
        <f t="shared" si="127"/>
        <v>0</v>
      </c>
      <c r="P207" s="113"/>
      <c r="Q207" s="113">
        <f t="shared" si="141"/>
        <v>0</v>
      </c>
      <c r="R207" s="113">
        <f t="shared" si="142"/>
        <v>0</v>
      </c>
      <c r="S207" s="113">
        <f t="shared" si="160"/>
        <v>0</v>
      </c>
      <c r="T207" s="113">
        <f t="shared" si="143"/>
        <v>0</v>
      </c>
      <c r="U207" s="113">
        <f t="shared" si="161"/>
        <v>0</v>
      </c>
      <c r="V207" s="146">
        <f t="shared" si="144"/>
        <v>0</v>
      </c>
      <c r="W207" s="66"/>
      <c r="X207" s="115">
        <f t="shared" si="128"/>
        <v>3.125E-2</v>
      </c>
      <c r="Y207" s="110">
        <f t="shared" si="145"/>
        <v>0</v>
      </c>
      <c r="Z207" s="111">
        <f t="shared" si="125"/>
        <v>0.29166666666666669</v>
      </c>
      <c r="AA207" s="112">
        <f t="shared" si="146"/>
        <v>0</v>
      </c>
      <c r="AB207" s="67" t="str">
        <f t="shared" si="147"/>
        <v/>
      </c>
      <c r="AC207" s="193">
        <f t="shared" si="129"/>
        <v>0</v>
      </c>
      <c r="AD207" s="144" t="str">
        <f t="shared" si="130"/>
        <v/>
      </c>
      <c r="AE207" s="228">
        <f t="shared" si="156"/>
        <v>0</v>
      </c>
      <c r="AF207" s="110"/>
      <c r="AG207" s="110" t="str">
        <f t="shared" si="148"/>
        <v/>
      </c>
      <c r="AH207" s="68">
        <f t="shared" si="131"/>
        <v>0</v>
      </c>
      <c r="AI207" s="68">
        <f t="shared" si="132"/>
        <v>0</v>
      </c>
      <c r="AJ207" s="68" t="str">
        <f t="shared" si="133"/>
        <v/>
      </c>
      <c r="AK207">
        <f t="shared" si="134"/>
        <v>1</v>
      </c>
      <c r="AL207" s="122">
        <f>SUM($AD$6:AD207)</f>
        <v>0</v>
      </c>
      <c r="AM207" s="122">
        <f t="shared" ca="1" si="149"/>
        <v>0</v>
      </c>
      <c r="AN207" s="126">
        <f t="shared" si="157"/>
        <v>0</v>
      </c>
      <c r="AO207" s="126">
        <f t="shared" si="158"/>
        <v>0</v>
      </c>
      <c r="AP207" s="126">
        <f t="shared" si="159"/>
        <v>0</v>
      </c>
      <c r="AQ207" s="125">
        <f t="shared" si="150"/>
        <v>30</v>
      </c>
      <c r="AR207" s="125">
        <f t="shared" ca="1" si="151"/>
        <v>30</v>
      </c>
      <c r="AS207" s="135">
        <f t="shared" si="152"/>
        <v>0</v>
      </c>
      <c r="AT207" s="125">
        <f t="shared" si="153"/>
        <v>0</v>
      </c>
      <c r="AU207" t="b">
        <f>OR((F207&gt;0),(NOT(ISBLANK(H207))),SUM(H207:H$373),SUM(G207:G$373))</f>
        <v>0</v>
      </c>
      <c r="AV207" t="b">
        <f t="shared" ca="1" si="135"/>
        <v>0</v>
      </c>
      <c r="AX207" s="228">
        <f>SUM(AW$5:AW207)</f>
        <v>-2.9166666666666665</v>
      </c>
    </row>
    <row r="208" spans="1:50">
      <c r="A208" s="308">
        <f t="shared" si="154"/>
        <v>42571</v>
      </c>
      <c r="B208" s="309">
        <f t="shared" si="155"/>
        <v>42571</v>
      </c>
      <c r="C208" s="310">
        <f t="shared" si="123"/>
        <v>30</v>
      </c>
      <c r="D208" s="311">
        <f t="shared" si="124"/>
        <v>42551</v>
      </c>
      <c r="E208" s="321" t="str">
        <f t="shared" si="136"/>
        <v/>
      </c>
      <c r="F208" s="5"/>
      <c r="G208" s="6" t="str">
        <f t="shared" si="137"/>
        <v/>
      </c>
      <c r="H208" s="7"/>
      <c r="I208" s="7">
        <f t="shared" si="138"/>
        <v>0</v>
      </c>
      <c r="J208" s="113">
        <f t="shared" si="126"/>
        <v>0</v>
      </c>
      <c r="K208" s="7"/>
      <c r="L208" s="7">
        <f t="shared" si="139"/>
        <v>0</v>
      </c>
      <c r="M208" s="113">
        <f t="shared" si="140"/>
        <v>0</v>
      </c>
      <c r="N208" s="113"/>
      <c r="O208" s="113">
        <f t="shared" si="127"/>
        <v>0</v>
      </c>
      <c r="P208" s="113"/>
      <c r="Q208" s="113">
        <f t="shared" si="141"/>
        <v>0</v>
      </c>
      <c r="R208" s="113">
        <f t="shared" si="142"/>
        <v>0</v>
      </c>
      <c r="S208" s="113">
        <f t="shared" si="160"/>
        <v>0</v>
      </c>
      <c r="T208" s="113">
        <f t="shared" si="143"/>
        <v>0</v>
      </c>
      <c r="U208" s="113">
        <f t="shared" si="161"/>
        <v>0</v>
      </c>
      <c r="V208" s="146">
        <f t="shared" si="144"/>
        <v>0</v>
      </c>
      <c r="W208" s="66"/>
      <c r="X208" s="115">
        <f t="shared" si="128"/>
        <v>3.125E-2</v>
      </c>
      <c r="Y208" s="110">
        <f t="shared" si="145"/>
        <v>0</v>
      </c>
      <c r="Z208" s="111">
        <f t="shared" si="125"/>
        <v>0.29166666666666669</v>
      </c>
      <c r="AA208" s="112">
        <f t="shared" si="146"/>
        <v>0</v>
      </c>
      <c r="AB208" s="67" t="str">
        <f t="shared" si="147"/>
        <v/>
      </c>
      <c r="AC208" s="193">
        <f t="shared" si="129"/>
        <v>0</v>
      </c>
      <c r="AD208" s="144" t="str">
        <f t="shared" si="130"/>
        <v/>
      </c>
      <c r="AE208" s="228">
        <f t="shared" si="156"/>
        <v>0</v>
      </c>
      <c r="AF208" s="110"/>
      <c r="AG208" s="110" t="str">
        <f t="shared" si="148"/>
        <v/>
      </c>
      <c r="AH208" s="68">
        <f t="shared" si="131"/>
        <v>0</v>
      </c>
      <c r="AI208" s="68">
        <f t="shared" si="132"/>
        <v>0</v>
      </c>
      <c r="AJ208" s="68" t="str">
        <f t="shared" si="133"/>
        <v/>
      </c>
      <c r="AK208">
        <f t="shared" si="134"/>
        <v>2</v>
      </c>
      <c r="AL208" s="122">
        <f>SUM($AD$6:AD208)</f>
        <v>0</v>
      </c>
      <c r="AM208" s="122">
        <f t="shared" ca="1" si="149"/>
        <v>0</v>
      </c>
      <c r="AN208" s="126">
        <f t="shared" si="157"/>
        <v>0</v>
      </c>
      <c r="AO208" s="126">
        <f t="shared" si="158"/>
        <v>0</v>
      </c>
      <c r="AP208" s="126">
        <f t="shared" si="159"/>
        <v>0</v>
      </c>
      <c r="AQ208" s="125">
        <f t="shared" si="150"/>
        <v>30</v>
      </c>
      <c r="AR208" s="125">
        <f t="shared" ca="1" si="151"/>
        <v>30</v>
      </c>
      <c r="AS208" s="135">
        <f t="shared" si="152"/>
        <v>0</v>
      </c>
      <c r="AT208" s="125">
        <f t="shared" si="153"/>
        <v>0</v>
      </c>
      <c r="AU208" t="b">
        <f>OR((F208&gt;0),(NOT(ISBLANK(H208))),SUM(H208:H$373),SUM(G208:G$373))</f>
        <v>0</v>
      </c>
      <c r="AV208" t="b">
        <f t="shared" ca="1" si="135"/>
        <v>0</v>
      </c>
      <c r="AX208" s="228">
        <f>SUM(AW$5:AW208)</f>
        <v>-2.9166666666666665</v>
      </c>
    </row>
    <row r="209" spans="1:50">
      <c r="A209" s="308">
        <f t="shared" si="154"/>
        <v>42572</v>
      </c>
      <c r="B209" s="309">
        <f t="shared" si="155"/>
        <v>42572</v>
      </c>
      <c r="C209" s="310">
        <f t="shared" si="123"/>
        <v>30</v>
      </c>
      <c r="D209" s="311">
        <f t="shared" si="124"/>
        <v>42551</v>
      </c>
      <c r="E209" s="321" t="str">
        <f t="shared" si="136"/>
        <v/>
      </c>
      <c r="F209" s="5"/>
      <c r="G209" s="6" t="str">
        <f t="shared" si="137"/>
        <v/>
      </c>
      <c r="H209" s="7"/>
      <c r="I209" s="7">
        <f t="shared" si="138"/>
        <v>0</v>
      </c>
      <c r="J209" s="113">
        <f t="shared" si="126"/>
        <v>0</v>
      </c>
      <c r="K209" s="7"/>
      <c r="L209" s="7">
        <f t="shared" si="139"/>
        <v>0</v>
      </c>
      <c r="M209" s="113">
        <f t="shared" si="140"/>
        <v>0</v>
      </c>
      <c r="N209" s="113"/>
      <c r="O209" s="113">
        <f t="shared" si="127"/>
        <v>0</v>
      </c>
      <c r="P209" s="113"/>
      <c r="Q209" s="113">
        <f t="shared" si="141"/>
        <v>0</v>
      </c>
      <c r="R209" s="113">
        <f t="shared" si="142"/>
        <v>0</v>
      </c>
      <c r="S209" s="113">
        <f t="shared" si="160"/>
        <v>0</v>
      </c>
      <c r="T209" s="113">
        <f t="shared" si="143"/>
        <v>0</v>
      </c>
      <c r="U209" s="113">
        <f t="shared" si="161"/>
        <v>0</v>
      </c>
      <c r="V209" s="146">
        <f t="shared" si="144"/>
        <v>0</v>
      </c>
      <c r="W209" s="66"/>
      <c r="X209" s="115">
        <f t="shared" si="128"/>
        <v>3.125E-2</v>
      </c>
      <c r="Y209" s="110">
        <f t="shared" si="145"/>
        <v>0</v>
      </c>
      <c r="Z209" s="111">
        <f t="shared" si="125"/>
        <v>0.29166666666666669</v>
      </c>
      <c r="AA209" s="112">
        <f t="shared" si="146"/>
        <v>0</v>
      </c>
      <c r="AB209" s="67" t="str">
        <f t="shared" si="147"/>
        <v/>
      </c>
      <c r="AC209" s="193">
        <f t="shared" si="129"/>
        <v>0</v>
      </c>
      <c r="AD209" s="144" t="str">
        <f t="shared" si="130"/>
        <v/>
      </c>
      <c r="AE209" s="228">
        <f t="shared" si="156"/>
        <v>0</v>
      </c>
      <c r="AF209" s="110"/>
      <c r="AG209" s="110" t="str">
        <f t="shared" si="148"/>
        <v/>
      </c>
      <c r="AH209" s="68">
        <f t="shared" si="131"/>
        <v>0</v>
      </c>
      <c r="AI209" s="68">
        <f t="shared" si="132"/>
        <v>0</v>
      </c>
      <c r="AJ209" s="68" t="str">
        <f t="shared" si="133"/>
        <v/>
      </c>
      <c r="AK209">
        <f t="shared" si="134"/>
        <v>3</v>
      </c>
      <c r="AL209" s="122">
        <f>SUM($AD$6:AD209)</f>
        <v>0</v>
      </c>
      <c r="AM209" s="122">
        <f t="shared" ca="1" si="149"/>
        <v>0</v>
      </c>
      <c r="AN209" s="126">
        <f t="shared" si="157"/>
        <v>0</v>
      </c>
      <c r="AO209" s="126">
        <f t="shared" si="158"/>
        <v>0</v>
      </c>
      <c r="AP209" s="126">
        <f t="shared" si="159"/>
        <v>0</v>
      </c>
      <c r="AQ209" s="125">
        <f t="shared" si="150"/>
        <v>30</v>
      </c>
      <c r="AR209" s="125">
        <f t="shared" ca="1" si="151"/>
        <v>30</v>
      </c>
      <c r="AS209" s="135">
        <f t="shared" si="152"/>
        <v>0</v>
      </c>
      <c r="AT209" s="125">
        <f t="shared" si="153"/>
        <v>0</v>
      </c>
      <c r="AU209" t="b">
        <f>OR((F209&gt;0),(NOT(ISBLANK(H209))),SUM(H209:H$373),SUM(G209:G$373))</f>
        <v>0</v>
      </c>
      <c r="AV209" t="b">
        <f t="shared" ca="1" si="135"/>
        <v>0</v>
      </c>
      <c r="AX209" s="228">
        <f>SUM(AW$5:AW209)</f>
        <v>-2.9166666666666665</v>
      </c>
    </row>
    <row r="210" spans="1:50">
      <c r="A210" s="308">
        <f t="shared" si="154"/>
        <v>42573</v>
      </c>
      <c r="B210" s="309">
        <f t="shared" si="155"/>
        <v>42573</v>
      </c>
      <c r="C210" s="310">
        <f t="shared" si="123"/>
        <v>30</v>
      </c>
      <c r="D210" s="311">
        <f t="shared" si="124"/>
        <v>42551</v>
      </c>
      <c r="E210" s="321" t="str">
        <f t="shared" si="136"/>
        <v/>
      </c>
      <c r="F210" s="5"/>
      <c r="G210" s="6" t="str">
        <f t="shared" si="137"/>
        <v/>
      </c>
      <c r="H210" s="7"/>
      <c r="I210" s="7">
        <f t="shared" si="138"/>
        <v>0</v>
      </c>
      <c r="J210" s="113">
        <f t="shared" si="126"/>
        <v>0</v>
      </c>
      <c r="K210" s="7"/>
      <c r="L210" s="7">
        <f t="shared" si="139"/>
        <v>0</v>
      </c>
      <c r="M210" s="113">
        <f t="shared" si="140"/>
        <v>0</v>
      </c>
      <c r="N210" s="113"/>
      <c r="O210" s="113">
        <f t="shared" si="127"/>
        <v>0</v>
      </c>
      <c r="P210" s="113"/>
      <c r="Q210" s="113">
        <f t="shared" si="141"/>
        <v>0</v>
      </c>
      <c r="R210" s="113">
        <f t="shared" si="142"/>
        <v>0</v>
      </c>
      <c r="S210" s="113">
        <f t="shared" si="160"/>
        <v>0</v>
      </c>
      <c r="T210" s="113">
        <f t="shared" si="143"/>
        <v>0</v>
      </c>
      <c r="U210" s="113">
        <f t="shared" si="161"/>
        <v>0</v>
      </c>
      <c r="V210" s="146">
        <f t="shared" si="144"/>
        <v>0</v>
      </c>
      <c r="W210" s="66"/>
      <c r="X210" s="115">
        <f t="shared" si="128"/>
        <v>3.125E-2</v>
      </c>
      <c r="Y210" s="110">
        <f t="shared" si="145"/>
        <v>0</v>
      </c>
      <c r="Z210" s="111">
        <f t="shared" si="125"/>
        <v>0.29166666666666669</v>
      </c>
      <c r="AA210" s="112">
        <f t="shared" si="146"/>
        <v>0</v>
      </c>
      <c r="AB210" s="67" t="str">
        <f t="shared" si="147"/>
        <v/>
      </c>
      <c r="AC210" s="193">
        <f t="shared" si="129"/>
        <v>0</v>
      </c>
      <c r="AD210" s="144" t="str">
        <f t="shared" si="130"/>
        <v/>
      </c>
      <c r="AE210" s="228">
        <f t="shared" si="156"/>
        <v>0</v>
      </c>
      <c r="AF210" s="110"/>
      <c r="AG210" s="110" t="str">
        <f t="shared" si="148"/>
        <v/>
      </c>
      <c r="AH210" s="68">
        <f t="shared" si="131"/>
        <v>0</v>
      </c>
      <c r="AI210" s="68">
        <f t="shared" si="132"/>
        <v>0</v>
      </c>
      <c r="AJ210" s="68" t="str">
        <f t="shared" si="133"/>
        <v/>
      </c>
      <c r="AK210">
        <f t="shared" si="134"/>
        <v>4</v>
      </c>
      <c r="AL210" s="122">
        <f>SUM($AD$6:AD210)</f>
        <v>0</v>
      </c>
      <c r="AM210" s="122">
        <f t="shared" ca="1" si="149"/>
        <v>0</v>
      </c>
      <c r="AN210" s="126">
        <f t="shared" si="157"/>
        <v>0</v>
      </c>
      <c r="AO210" s="126">
        <f t="shared" si="158"/>
        <v>0</v>
      </c>
      <c r="AP210" s="126">
        <f t="shared" si="159"/>
        <v>0</v>
      </c>
      <c r="AQ210" s="125">
        <f t="shared" si="150"/>
        <v>30</v>
      </c>
      <c r="AR210" s="125">
        <f t="shared" ca="1" si="151"/>
        <v>30</v>
      </c>
      <c r="AS210" s="135">
        <f t="shared" si="152"/>
        <v>0</v>
      </c>
      <c r="AT210" s="125">
        <f t="shared" si="153"/>
        <v>0</v>
      </c>
      <c r="AU210" t="b">
        <f>OR((F210&gt;0),(NOT(ISBLANK(H210))),SUM(H210:H$373),SUM(G210:G$373))</f>
        <v>0</v>
      </c>
      <c r="AV210" t="b">
        <f t="shared" ca="1" si="135"/>
        <v>0</v>
      </c>
      <c r="AX210" s="228">
        <f>SUM(AW$5:AW210)</f>
        <v>-2.9166666666666665</v>
      </c>
    </row>
    <row r="211" spans="1:50">
      <c r="A211" s="308">
        <f t="shared" si="154"/>
        <v>42574</v>
      </c>
      <c r="B211" s="309">
        <f t="shared" si="155"/>
        <v>42574</v>
      </c>
      <c r="C211" s="310">
        <f t="shared" si="123"/>
        <v>30</v>
      </c>
      <c r="D211" s="311">
        <f t="shared" si="124"/>
        <v>42551</v>
      </c>
      <c r="E211" s="321" t="str">
        <f t="shared" si="136"/>
        <v/>
      </c>
      <c r="F211" s="5"/>
      <c r="G211" s="6" t="str">
        <f t="shared" si="137"/>
        <v/>
      </c>
      <c r="H211" s="7"/>
      <c r="I211" s="7">
        <f t="shared" si="138"/>
        <v>0</v>
      </c>
      <c r="J211" s="113">
        <f t="shared" si="126"/>
        <v>0</v>
      </c>
      <c r="K211" s="7"/>
      <c r="L211" s="7">
        <f t="shared" si="139"/>
        <v>0</v>
      </c>
      <c r="M211" s="113">
        <f t="shared" si="140"/>
        <v>0</v>
      </c>
      <c r="N211" s="113"/>
      <c r="O211" s="113">
        <f t="shared" si="127"/>
        <v>0</v>
      </c>
      <c r="P211" s="113"/>
      <c r="Q211" s="113">
        <f t="shared" si="141"/>
        <v>0</v>
      </c>
      <c r="R211" s="113">
        <f t="shared" si="142"/>
        <v>0</v>
      </c>
      <c r="S211" s="113">
        <f t="shared" si="160"/>
        <v>0</v>
      </c>
      <c r="T211" s="113">
        <f t="shared" si="143"/>
        <v>0</v>
      </c>
      <c r="U211" s="113">
        <f t="shared" si="161"/>
        <v>0</v>
      </c>
      <c r="V211" s="146">
        <f t="shared" si="144"/>
        <v>0</v>
      </c>
      <c r="W211" s="66"/>
      <c r="X211" s="115">
        <f t="shared" si="128"/>
        <v>3.125E-2</v>
      </c>
      <c r="Y211" s="110">
        <f t="shared" si="145"/>
        <v>0</v>
      </c>
      <c r="Z211" s="111">
        <f t="shared" si="125"/>
        <v>0.29166666666666669</v>
      </c>
      <c r="AA211" s="112">
        <f t="shared" si="146"/>
        <v>0</v>
      </c>
      <c r="AB211" s="67" t="str">
        <f t="shared" si="147"/>
        <v/>
      </c>
      <c r="AC211" s="193">
        <f t="shared" si="129"/>
        <v>0</v>
      </c>
      <c r="AD211" s="144" t="str">
        <f t="shared" si="130"/>
        <v/>
      </c>
      <c r="AE211" s="228">
        <f t="shared" si="156"/>
        <v>0</v>
      </c>
      <c r="AF211" s="110"/>
      <c r="AG211" s="110" t="str">
        <f t="shared" si="148"/>
        <v/>
      </c>
      <c r="AH211" s="68">
        <f t="shared" si="131"/>
        <v>0</v>
      </c>
      <c r="AI211" s="68">
        <f t="shared" si="132"/>
        <v>0</v>
      </c>
      <c r="AJ211" s="68" t="str">
        <f t="shared" si="133"/>
        <v/>
      </c>
      <c r="AK211">
        <f t="shared" si="134"/>
        <v>5</v>
      </c>
      <c r="AL211" s="122">
        <f>SUM($AD$6:AD211)</f>
        <v>0</v>
      </c>
      <c r="AM211" s="122">
        <f t="shared" ca="1" si="149"/>
        <v>0</v>
      </c>
      <c r="AN211" s="126">
        <f t="shared" si="157"/>
        <v>0</v>
      </c>
      <c r="AO211" s="126">
        <f t="shared" si="158"/>
        <v>0</v>
      </c>
      <c r="AP211" s="126">
        <f t="shared" si="159"/>
        <v>0</v>
      </c>
      <c r="AQ211" s="125">
        <f t="shared" si="150"/>
        <v>30</v>
      </c>
      <c r="AR211" s="125">
        <f t="shared" ca="1" si="151"/>
        <v>30</v>
      </c>
      <c r="AS211" s="135">
        <f t="shared" si="152"/>
        <v>0</v>
      </c>
      <c r="AT211" s="125">
        <f t="shared" si="153"/>
        <v>0</v>
      </c>
      <c r="AU211" t="b">
        <f>OR((F211&gt;0),(NOT(ISBLANK(H211))),SUM(H211:H$373),SUM(G211:G$373))</f>
        <v>0</v>
      </c>
      <c r="AV211" t="b">
        <f t="shared" ca="1" si="135"/>
        <v>0</v>
      </c>
      <c r="AX211" s="228">
        <f>SUM(AW$5:AW211)</f>
        <v>-2.9166666666666665</v>
      </c>
    </row>
    <row r="212" spans="1:50">
      <c r="A212" s="308">
        <f t="shared" si="154"/>
        <v>42575</v>
      </c>
      <c r="B212" s="309">
        <f t="shared" si="155"/>
        <v>42575</v>
      </c>
      <c r="C212" s="310">
        <f t="shared" ref="C212:C275" si="162">IF(A212="","",NumberOfWeek(A212))</f>
        <v>30</v>
      </c>
      <c r="D212" s="311">
        <f t="shared" ref="D212:D275" si="163">IF(A212="","",DATE(YEAR(A212),MONTH(A212),1))</f>
        <v>42551</v>
      </c>
      <c r="E212" s="321" t="str">
        <f t="shared" si="136"/>
        <v/>
      </c>
      <c r="F212" s="5"/>
      <c r="G212" s="6" t="str">
        <f t="shared" si="137"/>
        <v/>
      </c>
      <c r="H212" s="7"/>
      <c r="I212" s="7">
        <f t="shared" si="138"/>
        <v>0</v>
      </c>
      <c r="J212" s="113">
        <f t="shared" si="126"/>
        <v>0</v>
      </c>
      <c r="K212" s="7"/>
      <c r="L212" s="7">
        <f t="shared" si="139"/>
        <v>0</v>
      </c>
      <c r="M212" s="113">
        <f t="shared" si="140"/>
        <v>0</v>
      </c>
      <c r="N212" s="113"/>
      <c r="O212" s="113">
        <f t="shared" si="127"/>
        <v>0</v>
      </c>
      <c r="P212" s="113"/>
      <c r="Q212" s="113">
        <f t="shared" si="141"/>
        <v>0</v>
      </c>
      <c r="R212" s="113">
        <f t="shared" si="142"/>
        <v>0</v>
      </c>
      <c r="S212" s="113">
        <f t="shared" si="160"/>
        <v>0</v>
      </c>
      <c r="T212" s="113">
        <f t="shared" si="143"/>
        <v>0</v>
      </c>
      <c r="U212" s="113">
        <f t="shared" si="161"/>
        <v>0</v>
      </c>
      <c r="V212" s="146">
        <f t="shared" si="144"/>
        <v>0</v>
      </c>
      <c r="W212" s="66"/>
      <c r="X212" s="115">
        <f t="shared" si="128"/>
        <v>3.125E-2</v>
      </c>
      <c r="Y212" s="110">
        <f t="shared" si="145"/>
        <v>0</v>
      </c>
      <c r="Z212" s="111">
        <f t="shared" ref="Z212:Z275" si="164">IF(AND(AK212&gt;0,AK212&lt;Feiertag),INDEX(Arbeitszeit,AK212),"")</f>
        <v>0</v>
      </c>
      <c r="AA212" s="112">
        <f t="shared" si="146"/>
        <v>0</v>
      </c>
      <c r="AB212" s="67" t="str">
        <f t="shared" si="147"/>
        <v/>
      </c>
      <c r="AC212" s="193">
        <f t="shared" si="129"/>
        <v>0</v>
      </c>
      <c r="AD212" s="144" t="str">
        <f t="shared" si="130"/>
        <v/>
      </c>
      <c r="AE212" s="228">
        <f t="shared" si="156"/>
        <v>0</v>
      </c>
      <c r="AF212" s="110"/>
      <c r="AG212" s="110" t="str">
        <f t="shared" si="148"/>
        <v/>
      </c>
      <c r="AH212" s="68">
        <f t="shared" si="131"/>
        <v>0</v>
      </c>
      <c r="AI212" s="68">
        <f t="shared" si="132"/>
        <v>0</v>
      </c>
      <c r="AJ212" s="68" t="str">
        <f t="shared" si="133"/>
        <v/>
      </c>
      <c r="AK212">
        <f t="shared" si="134"/>
        <v>6</v>
      </c>
      <c r="AL212" s="122">
        <f>SUM($AD$6:AD212)</f>
        <v>0</v>
      </c>
      <c r="AM212" s="122">
        <f t="shared" ca="1" si="149"/>
        <v>0</v>
      </c>
      <c r="AN212" s="126">
        <f t="shared" si="157"/>
        <v>0</v>
      </c>
      <c r="AO212" s="126">
        <f t="shared" si="158"/>
        <v>0</v>
      </c>
      <c r="AP212" s="126">
        <f t="shared" si="159"/>
        <v>0</v>
      </c>
      <c r="AQ212" s="125">
        <f t="shared" si="150"/>
        <v>30</v>
      </c>
      <c r="AR212" s="125">
        <f t="shared" ca="1" si="151"/>
        <v>30</v>
      </c>
      <c r="AS212" s="135">
        <f t="shared" si="152"/>
        <v>0</v>
      </c>
      <c r="AT212" s="125">
        <f t="shared" si="153"/>
        <v>7</v>
      </c>
      <c r="AU212" t="b">
        <f>OR((F212&gt;0),(NOT(ISBLANK(H212))),SUM(H212:H$373),SUM(G212:G$373))</f>
        <v>0</v>
      </c>
      <c r="AV212" t="b">
        <f t="shared" ca="1" si="135"/>
        <v>1</v>
      </c>
      <c r="AX212" s="228">
        <f>SUM(AW$5:AW212)</f>
        <v>-2.9166666666666665</v>
      </c>
    </row>
    <row r="213" spans="1:50">
      <c r="A213" s="308">
        <f t="shared" si="154"/>
        <v>42576</v>
      </c>
      <c r="B213" s="309">
        <f t="shared" si="155"/>
        <v>42576</v>
      </c>
      <c r="C213" s="310">
        <f t="shared" si="162"/>
        <v>30</v>
      </c>
      <c r="D213" s="311">
        <f t="shared" si="163"/>
        <v>42551</v>
      </c>
      <c r="E213" s="321" t="str">
        <f t="shared" si="136"/>
        <v/>
      </c>
      <c r="F213" s="5"/>
      <c r="G213" s="6" t="str">
        <f t="shared" si="137"/>
        <v/>
      </c>
      <c r="H213" s="7"/>
      <c r="I213" s="7">
        <f t="shared" si="138"/>
        <v>0</v>
      </c>
      <c r="J213" s="113">
        <f t="shared" si="126"/>
        <v>0</v>
      </c>
      <c r="K213" s="7"/>
      <c r="L213" s="7">
        <f t="shared" si="139"/>
        <v>0</v>
      </c>
      <c r="M213" s="113">
        <f t="shared" si="140"/>
        <v>0</v>
      </c>
      <c r="N213" s="113"/>
      <c r="O213" s="113">
        <f t="shared" si="127"/>
        <v>0</v>
      </c>
      <c r="P213" s="113"/>
      <c r="Q213" s="113">
        <f t="shared" si="141"/>
        <v>0</v>
      </c>
      <c r="R213" s="113">
        <f t="shared" si="142"/>
        <v>0</v>
      </c>
      <c r="S213" s="113">
        <f t="shared" si="160"/>
        <v>0</v>
      </c>
      <c r="T213" s="113">
        <f t="shared" si="143"/>
        <v>0</v>
      </c>
      <c r="U213" s="113">
        <f t="shared" si="161"/>
        <v>0</v>
      </c>
      <c r="V213" s="146">
        <f t="shared" si="144"/>
        <v>0</v>
      </c>
      <c r="W213" s="66"/>
      <c r="X213" s="115">
        <f t="shared" si="128"/>
        <v>3.125E-2</v>
      </c>
      <c r="Y213" s="110">
        <f t="shared" si="145"/>
        <v>0</v>
      </c>
      <c r="Z213" s="111">
        <f t="shared" si="164"/>
        <v>0</v>
      </c>
      <c r="AA213" s="112">
        <f t="shared" si="146"/>
        <v>0</v>
      </c>
      <c r="AB213" s="67" t="str">
        <f t="shared" si="147"/>
        <v/>
      </c>
      <c r="AC213" s="193">
        <f t="shared" si="129"/>
        <v>0</v>
      </c>
      <c r="AD213" s="144" t="str">
        <f t="shared" si="130"/>
        <v/>
      </c>
      <c r="AE213" s="228">
        <f t="shared" si="156"/>
        <v>0</v>
      </c>
      <c r="AF213" s="110"/>
      <c r="AG213" s="110" t="str">
        <f t="shared" si="148"/>
        <v/>
      </c>
      <c r="AH213" s="68">
        <f t="shared" si="131"/>
        <v>0</v>
      </c>
      <c r="AI213" s="68">
        <f t="shared" si="132"/>
        <v>0</v>
      </c>
      <c r="AJ213" s="68" t="str">
        <f t="shared" si="133"/>
        <v/>
      </c>
      <c r="AK213">
        <f t="shared" si="134"/>
        <v>7</v>
      </c>
      <c r="AL213" s="122">
        <f>SUM($AD$6:AD213)</f>
        <v>0</v>
      </c>
      <c r="AM213" s="122">
        <f t="shared" ca="1" si="149"/>
        <v>0</v>
      </c>
      <c r="AN213" s="126">
        <f t="shared" si="157"/>
        <v>0</v>
      </c>
      <c r="AO213" s="126">
        <f t="shared" si="158"/>
        <v>0</v>
      </c>
      <c r="AP213" s="126">
        <f t="shared" si="159"/>
        <v>0</v>
      </c>
      <c r="AQ213" s="125">
        <f t="shared" si="150"/>
        <v>30</v>
      </c>
      <c r="AR213" s="125">
        <f t="shared" ca="1" si="151"/>
        <v>30</v>
      </c>
      <c r="AS213" s="135">
        <f t="shared" si="152"/>
        <v>0</v>
      </c>
      <c r="AT213" s="125">
        <f t="shared" si="153"/>
        <v>7</v>
      </c>
      <c r="AU213" t="b">
        <f>OR((F213&gt;0),(NOT(ISBLANK(H213))),SUM(H213:H$373),SUM(G213:G$373))</f>
        <v>0</v>
      </c>
      <c r="AV213" t="b">
        <f t="shared" ca="1" si="135"/>
        <v>1</v>
      </c>
      <c r="AX213" s="228">
        <f>SUM(AW$5:AW213)</f>
        <v>-2.9166666666666665</v>
      </c>
    </row>
    <row r="214" spans="1:50">
      <c r="A214" s="308">
        <f t="shared" si="154"/>
        <v>42577</v>
      </c>
      <c r="B214" s="309">
        <f t="shared" si="155"/>
        <v>42577</v>
      </c>
      <c r="C214" s="310">
        <f t="shared" si="162"/>
        <v>31</v>
      </c>
      <c r="D214" s="311">
        <f t="shared" si="163"/>
        <v>42551</v>
      </c>
      <c r="E214" s="321" t="str">
        <f t="shared" si="136"/>
        <v/>
      </c>
      <c r="F214" s="5"/>
      <c r="G214" s="6" t="str">
        <f t="shared" si="137"/>
        <v/>
      </c>
      <c r="H214" s="7"/>
      <c r="I214" s="7">
        <f t="shared" si="138"/>
        <v>0</v>
      </c>
      <c r="J214" s="113">
        <f t="shared" si="126"/>
        <v>0</v>
      </c>
      <c r="K214" s="7"/>
      <c r="L214" s="7">
        <f t="shared" si="139"/>
        <v>0</v>
      </c>
      <c r="M214" s="113">
        <f t="shared" si="140"/>
        <v>0</v>
      </c>
      <c r="N214" s="113"/>
      <c r="O214" s="113">
        <f t="shared" si="127"/>
        <v>0</v>
      </c>
      <c r="P214" s="113"/>
      <c r="Q214" s="113">
        <f t="shared" si="141"/>
        <v>0</v>
      </c>
      <c r="R214" s="113">
        <f t="shared" si="142"/>
        <v>0</v>
      </c>
      <c r="S214" s="113">
        <f t="shared" si="160"/>
        <v>0</v>
      </c>
      <c r="T214" s="113">
        <f t="shared" si="143"/>
        <v>0</v>
      </c>
      <c r="U214" s="113">
        <f t="shared" si="161"/>
        <v>0</v>
      </c>
      <c r="V214" s="146">
        <f t="shared" si="144"/>
        <v>0</v>
      </c>
      <c r="W214" s="66"/>
      <c r="X214" s="115">
        <f t="shared" si="128"/>
        <v>3.125E-2</v>
      </c>
      <c r="Y214" s="110">
        <f t="shared" si="145"/>
        <v>0</v>
      </c>
      <c r="Z214" s="111">
        <f t="shared" si="164"/>
        <v>0.29166666666666669</v>
      </c>
      <c r="AA214" s="112">
        <f t="shared" si="146"/>
        <v>0</v>
      </c>
      <c r="AB214" s="67" t="str">
        <f t="shared" si="147"/>
        <v/>
      </c>
      <c r="AC214" s="193">
        <f t="shared" si="129"/>
        <v>0</v>
      </c>
      <c r="AD214" s="144" t="str">
        <f t="shared" si="130"/>
        <v/>
      </c>
      <c r="AE214" s="228">
        <f t="shared" si="156"/>
        <v>0</v>
      </c>
      <c r="AF214" s="110"/>
      <c r="AG214" s="110" t="str">
        <f t="shared" si="148"/>
        <v/>
      </c>
      <c r="AH214" s="68">
        <f t="shared" si="131"/>
        <v>0</v>
      </c>
      <c r="AI214" s="68">
        <f t="shared" si="132"/>
        <v>0</v>
      </c>
      <c r="AJ214" s="68" t="str">
        <f t="shared" si="133"/>
        <v/>
      </c>
      <c r="AK214">
        <f t="shared" si="134"/>
        <v>1</v>
      </c>
      <c r="AL214" s="122">
        <f>SUM($AD$6:AD214)</f>
        <v>0</v>
      </c>
      <c r="AM214" s="122">
        <f t="shared" ca="1" si="149"/>
        <v>0</v>
      </c>
      <c r="AN214" s="126">
        <f t="shared" si="157"/>
        <v>0</v>
      </c>
      <c r="AO214" s="126">
        <f t="shared" si="158"/>
        <v>0</v>
      </c>
      <c r="AP214" s="126">
        <f t="shared" si="159"/>
        <v>0</v>
      </c>
      <c r="AQ214" s="125">
        <f t="shared" si="150"/>
        <v>30</v>
      </c>
      <c r="AR214" s="125">
        <f t="shared" ca="1" si="151"/>
        <v>30</v>
      </c>
      <c r="AS214" s="135">
        <f t="shared" si="152"/>
        <v>0</v>
      </c>
      <c r="AT214" s="125">
        <f t="shared" si="153"/>
        <v>0</v>
      </c>
      <c r="AU214" t="b">
        <f>OR((F214&gt;0),(NOT(ISBLANK(H214))),SUM(H214:H$373),SUM(G214:G$373))</f>
        <v>0</v>
      </c>
      <c r="AV214" t="b">
        <f t="shared" ca="1" si="135"/>
        <v>0</v>
      </c>
      <c r="AX214" s="228">
        <f>SUM(AW$5:AW214)</f>
        <v>-2.9166666666666665</v>
      </c>
    </row>
    <row r="215" spans="1:50">
      <c r="A215" s="308">
        <f t="shared" si="154"/>
        <v>42578</v>
      </c>
      <c r="B215" s="309">
        <f t="shared" si="155"/>
        <v>42578</v>
      </c>
      <c r="C215" s="310">
        <f t="shared" si="162"/>
        <v>31</v>
      </c>
      <c r="D215" s="311">
        <f t="shared" si="163"/>
        <v>42551</v>
      </c>
      <c r="E215" s="321" t="str">
        <f t="shared" si="136"/>
        <v/>
      </c>
      <c r="F215" s="5"/>
      <c r="G215" s="6" t="str">
        <f t="shared" si="137"/>
        <v/>
      </c>
      <c r="H215" s="7"/>
      <c r="I215" s="7">
        <f t="shared" si="138"/>
        <v>0</v>
      </c>
      <c r="J215" s="113">
        <f t="shared" si="126"/>
        <v>0</v>
      </c>
      <c r="K215" s="7"/>
      <c r="L215" s="7">
        <f t="shared" si="139"/>
        <v>0</v>
      </c>
      <c r="M215" s="113">
        <f t="shared" si="140"/>
        <v>0</v>
      </c>
      <c r="N215" s="113"/>
      <c r="O215" s="113">
        <f t="shared" si="127"/>
        <v>0</v>
      </c>
      <c r="P215" s="113"/>
      <c r="Q215" s="113">
        <f t="shared" si="141"/>
        <v>0</v>
      </c>
      <c r="R215" s="113">
        <f t="shared" si="142"/>
        <v>0</v>
      </c>
      <c r="S215" s="113">
        <f t="shared" si="160"/>
        <v>0</v>
      </c>
      <c r="T215" s="113">
        <f t="shared" si="143"/>
        <v>0</v>
      </c>
      <c r="U215" s="113">
        <f t="shared" si="161"/>
        <v>0</v>
      </c>
      <c r="V215" s="146">
        <f t="shared" si="144"/>
        <v>0</v>
      </c>
      <c r="W215" s="66"/>
      <c r="X215" s="115">
        <f t="shared" si="128"/>
        <v>3.125E-2</v>
      </c>
      <c r="Y215" s="110">
        <f t="shared" si="145"/>
        <v>0</v>
      </c>
      <c r="Z215" s="111">
        <f t="shared" si="164"/>
        <v>0.29166666666666669</v>
      </c>
      <c r="AA215" s="112">
        <f t="shared" si="146"/>
        <v>0</v>
      </c>
      <c r="AB215" s="67" t="str">
        <f t="shared" si="147"/>
        <v/>
      </c>
      <c r="AC215" s="193">
        <f t="shared" si="129"/>
        <v>0</v>
      </c>
      <c r="AD215" s="144" t="str">
        <f t="shared" si="130"/>
        <v/>
      </c>
      <c r="AE215" s="228">
        <f t="shared" si="156"/>
        <v>0</v>
      </c>
      <c r="AF215" s="110"/>
      <c r="AG215" s="110" t="str">
        <f t="shared" si="148"/>
        <v/>
      </c>
      <c r="AH215" s="68">
        <f t="shared" si="131"/>
        <v>0</v>
      </c>
      <c r="AI215" s="68">
        <f t="shared" si="132"/>
        <v>0</v>
      </c>
      <c r="AJ215" s="68" t="str">
        <f t="shared" si="133"/>
        <v/>
      </c>
      <c r="AK215">
        <f t="shared" si="134"/>
        <v>2</v>
      </c>
      <c r="AL215" s="122">
        <f>SUM($AD$6:AD215)</f>
        <v>0</v>
      </c>
      <c r="AM215" s="122">
        <f t="shared" ca="1" si="149"/>
        <v>0</v>
      </c>
      <c r="AN215" s="126">
        <f t="shared" si="157"/>
        <v>0</v>
      </c>
      <c r="AO215" s="126">
        <f t="shared" si="158"/>
        <v>0</v>
      </c>
      <c r="AP215" s="126">
        <f t="shared" si="159"/>
        <v>0</v>
      </c>
      <c r="AQ215" s="125">
        <f t="shared" si="150"/>
        <v>30</v>
      </c>
      <c r="AR215" s="125">
        <f t="shared" ca="1" si="151"/>
        <v>30</v>
      </c>
      <c r="AS215" s="135">
        <f t="shared" si="152"/>
        <v>0</v>
      </c>
      <c r="AT215" s="125">
        <f t="shared" si="153"/>
        <v>0</v>
      </c>
      <c r="AU215" t="b">
        <f>OR((F215&gt;0),(NOT(ISBLANK(H215))),SUM(H215:H$373),SUM(G215:G$373))</f>
        <v>0</v>
      </c>
      <c r="AV215" t="b">
        <f t="shared" ca="1" si="135"/>
        <v>0</v>
      </c>
      <c r="AX215" s="228">
        <f>SUM(AW$5:AW215)</f>
        <v>-2.9166666666666665</v>
      </c>
    </row>
    <row r="216" spans="1:50">
      <c r="A216" s="308">
        <f t="shared" si="154"/>
        <v>42579</v>
      </c>
      <c r="B216" s="309">
        <f t="shared" si="155"/>
        <v>42579</v>
      </c>
      <c r="C216" s="310">
        <f t="shared" si="162"/>
        <v>31</v>
      </c>
      <c r="D216" s="311">
        <f t="shared" si="163"/>
        <v>42551</v>
      </c>
      <c r="E216" s="321" t="str">
        <f t="shared" si="136"/>
        <v/>
      </c>
      <c r="F216" s="5"/>
      <c r="G216" s="6" t="str">
        <f t="shared" si="137"/>
        <v/>
      </c>
      <c r="H216" s="7"/>
      <c r="I216" s="7">
        <f t="shared" si="138"/>
        <v>0</v>
      </c>
      <c r="J216" s="113">
        <f t="shared" si="126"/>
        <v>0</v>
      </c>
      <c r="K216" s="7"/>
      <c r="L216" s="7">
        <f t="shared" si="139"/>
        <v>0</v>
      </c>
      <c r="M216" s="113">
        <f t="shared" si="140"/>
        <v>0</v>
      </c>
      <c r="N216" s="113"/>
      <c r="O216" s="113">
        <f t="shared" si="127"/>
        <v>0</v>
      </c>
      <c r="P216" s="113"/>
      <c r="Q216" s="113">
        <f t="shared" si="141"/>
        <v>0</v>
      </c>
      <c r="R216" s="113">
        <f t="shared" si="142"/>
        <v>0</v>
      </c>
      <c r="S216" s="113">
        <f t="shared" si="160"/>
        <v>0</v>
      </c>
      <c r="T216" s="113">
        <f t="shared" si="143"/>
        <v>0</v>
      </c>
      <c r="U216" s="113">
        <f t="shared" si="161"/>
        <v>0</v>
      </c>
      <c r="V216" s="146">
        <f t="shared" si="144"/>
        <v>0</v>
      </c>
      <c r="W216" s="66"/>
      <c r="X216" s="115">
        <f t="shared" si="128"/>
        <v>3.125E-2</v>
      </c>
      <c r="Y216" s="110">
        <f t="shared" si="145"/>
        <v>0</v>
      </c>
      <c r="Z216" s="111">
        <f t="shared" si="164"/>
        <v>0.29166666666666669</v>
      </c>
      <c r="AA216" s="112">
        <f t="shared" si="146"/>
        <v>0</v>
      </c>
      <c r="AB216" s="67" t="str">
        <f t="shared" si="147"/>
        <v/>
      </c>
      <c r="AC216" s="193">
        <f t="shared" si="129"/>
        <v>0</v>
      </c>
      <c r="AD216" s="144" t="str">
        <f t="shared" si="130"/>
        <v/>
      </c>
      <c r="AE216" s="228">
        <f t="shared" si="156"/>
        <v>0</v>
      </c>
      <c r="AF216" s="110"/>
      <c r="AG216" s="110" t="str">
        <f t="shared" si="148"/>
        <v/>
      </c>
      <c r="AH216" s="68">
        <f t="shared" si="131"/>
        <v>0</v>
      </c>
      <c r="AI216" s="68">
        <f t="shared" si="132"/>
        <v>0</v>
      </c>
      <c r="AJ216" s="68" t="str">
        <f t="shared" si="133"/>
        <v/>
      </c>
      <c r="AK216">
        <f t="shared" si="134"/>
        <v>3</v>
      </c>
      <c r="AL216" s="122">
        <f>SUM($AD$6:AD216)</f>
        <v>0</v>
      </c>
      <c r="AM216" s="122">
        <f t="shared" ca="1" si="149"/>
        <v>0</v>
      </c>
      <c r="AN216" s="126">
        <f t="shared" si="157"/>
        <v>0</v>
      </c>
      <c r="AO216" s="126">
        <f t="shared" si="158"/>
        <v>0</v>
      </c>
      <c r="AP216" s="126">
        <f t="shared" si="159"/>
        <v>0</v>
      </c>
      <c r="AQ216" s="125">
        <f t="shared" si="150"/>
        <v>30</v>
      </c>
      <c r="AR216" s="125">
        <f t="shared" ca="1" si="151"/>
        <v>30</v>
      </c>
      <c r="AS216" s="135">
        <f t="shared" si="152"/>
        <v>0</v>
      </c>
      <c r="AT216" s="125">
        <f t="shared" si="153"/>
        <v>0</v>
      </c>
      <c r="AU216" t="b">
        <f>OR((F216&gt;0),(NOT(ISBLANK(H216))),SUM(H216:H$373),SUM(G216:G$373))</f>
        <v>0</v>
      </c>
      <c r="AV216" t="b">
        <f t="shared" ca="1" si="135"/>
        <v>0</v>
      </c>
      <c r="AX216" s="228">
        <f>SUM(AW$5:AW216)</f>
        <v>-2.9166666666666665</v>
      </c>
    </row>
    <row r="217" spans="1:50">
      <c r="A217" s="308">
        <f t="shared" si="154"/>
        <v>42580</v>
      </c>
      <c r="B217" s="309">
        <f t="shared" si="155"/>
        <v>42580</v>
      </c>
      <c r="C217" s="310">
        <f t="shared" si="162"/>
        <v>31</v>
      </c>
      <c r="D217" s="311">
        <f t="shared" si="163"/>
        <v>42551</v>
      </c>
      <c r="E217" s="321" t="str">
        <f t="shared" si="136"/>
        <v/>
      </c>
      <c r="F217" s="5"/>
      <c r="G217" s="6" t="str">
        <f t="shared" si="137"/>
        <v/>
      </c>
      <c r="H217" s="7"/>
      <c r="I217" s="7">
        <f t="shared" si="138"/>
        <v>0</v>
      </c>
      <c r="J217" s="113">
        <f t="shared" si="126"/>
        <v>0</v>
      </c>
      <c r="K217" s="7"/>
      <c r="L217" s="7">
        <f t="shared" si="139"/>
        <v>0</v>
      </c>
      <c r="M217" s="113">
        <f t="shared" si="140"/>
        <v>0</v>
      </c>
      <c r="N217" s="113"/>
      <c r="O217" s="113">
        <f t="shared" si="127"/>
        <v>0</v>
      </c>
      <c r="P217" s="113"/>
      <c r="Q217" s="113">
        <f t="shared" si="141"/>
        <v>0</v>
      </c>
      <c r="R217" s="113">
        <f t="shared" si="142"/>
        <v>0</v>
      </c>
      <c r="S217" s="113">
        <f t="shared" si="160"/>
        <v>0</v>
      </c>
      <c r="T217" s="113">
        <f t="shared" si="143"/>
        <v>0</v>
      </c>
      <c r="U217" s="113">
        <f t="shared" si="161"/>
        <v>0</v>
      </c>
      <c r="V217" s="146">
        <f t="shared" si="144"/>
        <v>0</v>
      </c>
      <c r="W217" s="66"/>
      <c r="X217" s="115">
        <f t="shared" si="128"/>
        <v>3.125E-2</v>
      </c>
      <c r="Y217" s="110">
        <f t="shared" si="145"/>
        <v>0</v>
      </c>
      <c r="Z217" s="111">
        <f t="shared" si="164"/>
        <v>0.29166666666666669</v>
      </c>
      <c r="AA217" s="112">
        <f t="shared" si="146"/>
        <v>0</v>
      </c>
      <c r="AB217" s="67" t="str">
        <f t="shared" si="147"/>
        <v/>
      </c>
      <c r="AC217" s="193">
        <f t="shared" si="129"/>
        <v>0</v>
      </c>
      <c r="AD217" s="144" t="str">
        <f t="shared" si="130"/>
        <v/>
      </c>
      <c r="AE217" s="228">
        <f t="shared" si="156"/>
        <v>0</v>
      </c>
      <c r="AF217" s="110"/>
      <c r="AG217" s="110" t="str">
        <f t="shared" si="148"/>
        <v/>
      </c>
      <c r="AH217" s="68">
        <f t="shared" si="131"/>
        <v>0</v>
      </c>
      <c r="AI217" s="68">
        <f t="shared" si="132"/>
        <v>0</v>
      </c>
      <c r="AJ217" s="68" t="str">
        <f t="shared" si="133"/>
        <v/>
      </c>
      <c r="AK217">
        <f t="shared" si="134"/>
        <v>4</v>
      </c>
      <c r="AL217" s="122">
        <f>SUM($AD$6:AD217)</f>
        <v>0</v>
      </c>
      <c r="AM217" s="122">
        <f t="shared" ca="1" si="149"/>
        <v>0</v>
      </c>
      <c r="AN217" s="126">
        <f t="shared" si="157"/>
        <v>0</v>
      </c>
      <c r="AO217" s="126">
        <f t="shared" si="158"/>
        <v>0</v>
      </c>
      <c r="AP217" s="126">
        <f t="shared" si="159"/>
        <v>0</v>
      </c>
      <c r="AQ217" s="125">
        <f t="shared" si="150"/>
        <v>30</v>
      </c>
      <c r="AR217" s="125">
        <f t="shared" ca="1" si="151"/>
        <v>30</v>
      </c>
      <c r="AS217" s="135">
        <f t="shared" si="152"/>
        <v>0</v>
      </c>
      <c r="AT217" s="125">
        <f t="shared" si="153"/>
        <v>0</v>
      </c>
      <c r="AU217" t="b">
        <f>OR((F217&gt;0),(NOT(ISBLANK(H217))),SUM(H217:H$373),SUM(G217:G$373))</f>
        <v>0</v>
      </c>
      <c r="AV217" t="b">
        <f t="shared" ca="1" si="135"/>
        <v>0</v>
      </c>
      <c r="AX217" s="228">
        <f>SUM(AW$5:AW217)</f>
        <v>-2.9166666666666665</v>
      </c>
    </row>
    <row r="218" spans="1:50">
      <c r="A218" s="308">
        <f t="shared" si="154"/>
        <v>42581</v>
      </c>
      <c r="B218" s="309">
        <f t="shared" si="155"/>
        <v>42581</v>
      </c>
      <c r="C218" s="310">
        <f t="shared" si="162"/>
        <v>31</v>
      </c>
      <c r="D218" s="311">
        <f t="shared" si="163"/>
        <v>42551</v>
      </c>
      <c r="E218" s="321" t="str">
        <f t="shared" si="136"/>
        <v/>
      </c>
      <c r="F218" s="5"/>
      <c r="G218" s="6" t="str">
        <f t="shared" si="137"/>
        <v/>
      </c>
      <c r="H218" s="7"/>
      <c r="I218" s="7">
        <f t="shared" si="138"/>
        <v>0</v>
      </c>
      <c r="J218" s="113">
        <f t="shared" si="126"/>
        <v>0</v>
      </c>
      <c r="K218" s="7"/>
      <c r="L218" s="7">
        <f t="shared" si="139"/>
        <v>0</v>
      </c>
      <c r="M218" s="113">
        <f t="shared" si="140"/>
        <v>0</v>
      </c>
      <c r="N218" s="113"/>
      <c r="O218" s="113">
        <f t="shared" si="127"/>
        <v>0</v>
      </c>
      <c r="P218" s="113"/>
      <c r="Q218" s="113">
        <f t="shared" si="141"/>
        <v>0</v>
      </c>
      <c r="R218" s="113">
        <f t="shared" si="142"/>
        <v>0</v>
      </c>
      <c r="S218" s="113">
        <f t="shared" si="160"/>
        <v>0</v>
      </c>
      <c r="T218" s="113">
        <f t="shared" si="143"/>
        <v>0</v>
      </c>
      <c r="U218" s="113">
        <f t="shared" si="161"/>
        <v>0</v>
      </c>
      <c r="V218" s="146">
        <f t="shared" si="144"/>
        <v>0</v>
      </c>
      <c r="W218" s="66"/>
      <c r="X218" s="115">
        <f t="shared" si="128"/>
        <v>3.125E-2</v>
      </c>
      <c r="Y218" s="110">
        <f t="shared" si="145"/>
        <v>0</v>
      </c>
      <c r="Z218" s="111">
        <f t="shared" si="164"/>
        <v>0.29166666666666669</v>
      </c>
      <c r="AA218" s="112">
        <f t="shared" si="146"/>
        <v>0</v>
      </c>
      <c r="AB218" s="67" t="str">
        <f t="shared" si="147"/>
        <v/>
      </c>
      <c r="AC218" s="193">
        <f t="shared" si="129"/>
        <v>0</v>
      </c>
      <c r="AD218" s="144" t="str">
        <f t="shared" si="130"/>
        <v/>
      </c>
      <c r="AE218" s="228">
        <f t="shared" si="156"/>
        <v>0</v>
      </c>
      <c r="AF218" s="110"/>
      <c r="AG218" s="110" t="str">
        <f t="shared" si="148"/>
        <v/>
      </c>
      <c r="AH218" s="68">
        <f t="shared" si="131"/>
        <v>0</v>
      </c>
      <c r="AI218" s="68">
        <f t="shared" si="132"/>
        <v>0</v>
      </c>
      <c r="AJ218" s="68" t="str">
        <f t="shared" si="133"/>
        <v/>
      </c>
      <c r="AK218">
        <f t="shared" si="134"/>
        <v>5</v>
      </c>
      <c r="AL218" s="122">
        <f>SUM($AD$6:AD218)</f>
        <v>0</v>
      </c>
      <c r="AM218" s="122">
        <f t="shared" ca="1" si="149"/>
        <v>0</v>
      </c>
      <c r="AN218" s="126">
        <f t="shared" si="157"/>
        <v>0</v>
      </c>
      <c r="AO218" s="126">
        <f t="shared" si="158"/>
        <v>0</v>
      </c>
      <c r="AP218" s="126">
        <f t="shared" si="159"/>
        <v>0</v>
      </c>
      <c r="AQ218" s="125">
        <f t="shared" si="150"/>
        <v>30</v>
      </c>
      <c r="AR218" s="125">
        <f t="shared" ca="1" si="151"/>
        <v>30</v>
      </c>
      <c r="AS218" s="135">
        <f t="shared" si="152"/>
        <v>0</v>
      </c>
      <c r="AT218" s="125">
        <f t="shared" si="153"/>
        <v>0</v>
      </c>
      <c r="AU218" t="b">
        <f>OR((F218&gt;0),(NOT(ISBLANK(H218))),SUM(H218:H$373),SUM(G218:G$373))</f>
        <v>0</v>
      </c>
      <c r="AV218" t="b">
        <f t="shared" ca="1" si="135"/>
        <v>0</v>
      </c>
      <c r="AX218" s="228">
        <f>SUM(AW$5:AW218)</f>
        <v>-2.9166666666666665</v>
      </c>
    </row>
    <row r="219" spans="1:50">
      <c r="A219" s="308">
        <f t="shared" si="154"/>
        <v>42582</v>
      </c>
      <c r="B219" s="309">
        <f t="shared" si="155"/>
        <v>42582</v>
      </c>
      <c r="C219" s="310">
        <f t="shared" si="162"/>
        <v>31</v>
      </c>
      <c r="D219" s="311">
        <f t="shared" si="163"/>
        <v>42582</v>
      </c>
      <c r="E219" s="321" t="str">
        <f t="shared" si="136"/>
        <v/>
      </c>
      <c r="F219" s="5"/>
      <c r="G219" s="6" t="str">
        <f t="shared" si="137"/>
        <v/>
      </c>
      <c r="H219" s="7"/>
      <c r="I219" s="7">
        <f t="shared" si="138"/>
        <v>0</v>
      </c>
      <c r="J219" s="113">
        <f t="shared" si="126"/>
        <v>0</v>
      </c>
      <c r="K219" s="7"/>
      <c r="L219" s="7">
        <f t="shared" si="139"/>
        <v>0</v>
      </c>
      <c r="M219" s="113">
        <f t="shared" si="140"/>
        <v>0</v>
      </c>
      <c r="N219" s="113"/>
      <c r="O219" s="113">
        <f t="shared" si="127"/>
        <v>0</v>
      </c>
      <c r="P219" s="113"/>
      <c r="Q219" s="113">
        <f t="shared" si="141"/>
        <v>0</v>
      </c>
      <c r="R219" s="113">
        <f t="shared" si="142"/>
        <v>0</v>
      </c>
      <c r="S219" s="113">
        <f t="shared" si="160"/>
        <v>0</v>
      </c>
      <c r="T219" s="113">
        <f t="shared" si="143"/>
        <v>0</v>
      </c>
      <c r="U219" s="113">
        <f t="shared" si="161"/>
        <v>0</v>
      </c>
      <c r="V219" s="146">
        <f t="shared" si="144"/>
        <v>0</v>
      </c>
      <c r="W219" s="66"/>
      <c r="X219" s="115">
        <f t="shared" si="128"/>
        <v>3.125E-2</v>
      </c>
      <c r="Y219" s="110">
        <f t="shared" si="145"/>
        <v>0</v>
      </c>
      <c r="Z219" s="111">
        <f t="shared" si="164"/>
        <v>0</v>
      </c>
      <c r="AA219" s="112">
        <f t="shared" si="146"/>
        <v>0</v>
      </c>
      <c r="AB219" s="67" t="str">
        <f t="shared" si="147"/>
        <v/>
      </c>
      <c r="AC219" s="193">
        <f t="shared" si="129"/>
        <v>0</v>
      </c>
      <c r="AD219" s="144" t="str">
        <f t="shared" si="130"/>
        <v/>
      </c>
      <c r="AE219" s="228">
        <f t="shared" si="156"/>
        <v>0</v>
      </c>
      <c r="AF219" s="110"/>
      <c r="AG219" s="110" t="str">
        <f t="shared" si="148"/>
        <v/>
      </c>
      <c r="AH219" s="68">
        <f t="shared" si="131"/>
        <v>0</v>
      </c>
      <c r="AI219" s="68">
        <f t="shared" si="132"/>
        <v>0</v>
      </c>
      <c r="AJ219" s="68" t="str">
        <f t="shared" si="133"/>
        <v/>
      </c>
      <c r="AK219">
        <f t="shared" si="134"/>
        <v>6</v>
      </c>
      <c r="AL219" s="122">
        <f>SUM($AD$6:AD219)</f>
        <v>0</v>
      </c>
      <c r="AM219" s="122">
        <f t="shared" ca="1" si="149"/>
        <v>0</v>
      </c>
      <c r="AN219" s="126">
        <f t="shared" si="157"/>
        <v>0</v>
      </c>
      <c r="AO219" s="126">
        <f t="shared" si="158"/>
        <v>0</v>
      </c>
      <c r="AP219" s="126">
        <f t="shared" si="159"/>
        <v>0</v>
      </c>
      <c r="AQ219" s="125">
        <f t="shared" si="150"/>
        <v>30</v>
      </c>
      <c r="AR219" s="125">
        <f t="shared" ca="1" si="151"/>
        <v>30</v>
      </c>
      <c r="AS219" s="135">
        <f t="shared" si="152"/>
        <v>0</v>
      </c>
      <c r="AT219" s="125">
        <f t="shared" si="153"/>
        <v>7</v>
      </c>
      <c r="AU219" t="b">
        <f>OR((F219&gt;0),(NOT(ISBLANK(H219))),SUM(H219:H$373),SUM(G219:G$373))</f>
        <v>0</v>
      </c>
      <c r="AV219" t="b">
        <f t="shared" ca="1" si="135"/>
        <v>1</v>
      </c>
      <c r="AX219" s="228">
        <f>SUM(AW$5:AW219)</f>
        <v>-2.9166666666666665</v>
      </c>
    </row>
    <row r="220" spans="1:50">
      <c r="A220" s="308">
        <f t="shared" si="154"/>
        <v>42583</v>
      </c>
      <c r="B220" s="309">
        <f t="shared" si="155"/>
        <v>42583</v>
      </c>
      <c r="C220" s="310">
        <f t="shared" si="162"/>
        <v>31</v>
      </c>
      <c r="D220" s="311">
        <f t="shared" si="163"/>
        <v>42582</v>
      </c>
      <c r="E220" s="321" t="str">
        <f t="shared" si="136"/>
        <v/>
      </c>
      <c r="F220" s="5"/>
      <c r="G220" s="6" t="str">
        <f t="shared" si="137"/>
        <v/>
      </c>
      <c r="H220" s="7"/>
      <c r="I220" s="7">
        <f t="shared" si="138"/>
        <v>0</v>
      </c>
      <c r="J220" s="113">
        <f t="shared" si="126"/>
        <v>0</v>
      </c>
      <c r="K220" s="7"/>
      <c r="L220" s="7">
        <f t="shared" si="139"/>
        <v>0</v>
      </c>
      <c r="M220" s="113">
        <f t="shared" si="140"/>
        <v>0</v>
      </c>
      <c r="N220" s="113"/>
      <c r="O220" s="113">
        <f t="shared" si="127"/>
        <v>0</v>
      </c>
      <c r="P220" s="113"/>
      <c r="Q220" s="113">
        <f t="shared" si="141"/>
        <v>0</v>
      </c>
      <c r="R220" s="113">
        <f t="shared" si="142"/>
        <v>0</v>
      </c>
      <c r="S220" s="113">
        <f t="shared" si="160"/>
        <v>0</v>
      </c>
      <c r="T220" s="113">
        <f t="shared" si="143"/>
        <v>0</v>
      </c>
      <c r="U220" s="113">
        <f t="shared" si="161"/>
        <v>0</v>
      </c>
      <c r="V220" s="146">
        <f t="shared" si="144"/>
        <v>0</v>
      </c>
      <c r="W220" s="66"/>
      <c r="X220" s="115">
        <f t="shared" si="128"/>
        <v>3.125E-2</v>
      </c>
      <c r="Y220" s="110">
        <f t="shared" si="145"/>
        <v>0</v>
      </c>
      <c r="Z220" s="111">
        <f t="shared" si="164"/>
        <v>0</v>
      </c>
      <c r="AA220" s="112">
        <f t="shared" si="146"/>
        <v>0</v>
      </c>
      <c r="AB220" s="67" t="str">
        <f t="shared" si="147"/>
        <v/>
      </c>
      <c r="AC220" s="193">
        <f t="shared" si="129"/>
        <v>0</v>
      </c>
      <c r="AD220" s="144" t="str">
        <f t="shared" si="130"/>
        <v/>
      </c>
      <c r="AE220" s="228">
        <f t="shared" si="156"/>
        <v>0</v>
      </c>
      <c r="AF220" s="110"/>
      <c r="AG220" s="110" t="str">
        <f t="shared" si="148"/>
        <v/>
      </c>
      <c r="AH220" s="68">
        <f t="shared" si="131"/>
        <v>0</v>
      </c>
      <c r="AI220" s="68">
        <f t="shared" si="132"/>
        <v>0</v>
      </c>
      <c r="AJ220" s="68" t="str">
        <f t="shared" si="133"/>
        <v/>
      </c>
      <c r="AK220">
        <f t="shared" si="134"/>
        <v>7</v>
      </c>
      <c r="AL220" s="122">
        <f>SUM($AD$6:AD220)</f>
        <v>0</v>
      </c>
      <c r="AM220" s="122">
        <f t="shared" ca="1" si="149"/>
        <v>0</v>
      </c>
      <c r="AN220" s="126">
        <f t="shared" si="157"/>
        <v>0</v>
      </c>
      <c r="AO220" s="126">
        <f t="shared" si="158"/>
        <v>0</v>
      </c>
      <c r="AP220" s="126">
        <f t="shared" si="159"/>
        <v>0</v>
      </c>
      <c r="AQ220" s="125">
        <f t="shared" si="150"/>
        <v>30</v>
      </c>
      <c r="AR220" s="125">
        <f t="shared" ca="1" si="151"/>
        <v>30</v>
      </c>
      <c r="AS220" s="135">
        <f t="shared" si="152"/>
        <v>0</v>
      </c>
      <c r="AT220" s="125">
        <f t="shared" si="153"/>
        <v>7</v>
      </c>
      <c r="AU220" t="b">
        <f>OR((F220&gt;0),(NOT(ISBLANK(H220))),SUM(H220:H$373),SUM(G220:G$373))</f>
        <v>0</v>
      </c>
      <c r="AV220" t="b">
        <f t="shared" ca="1" si="135"/>
        <v>1</v>
      </c>
      <c r="AX220" s="228">
        <f>SUM(AW$5:AW220)</f>
        <v>-2.9166666666666665</v>
      </c>
    </row>
    <row r="221" spans="1:50">
      <c r="A221" s="308">
        <f t="shared" si="154"/>
        <v>42584</v>
      </c>
      <c r="B221" s="309">
        <f t="shared" si="155"/>
        <v>42584</v>
      </c>
      <c r="C221" s="310">
        <f t="shared" si="162"/>
        <v>32</v>
      </c>
      <c r="D221" s="311">
        <f t="shared" si="163"/>
        <v>42582</v>
      </c>
      <c r="E221" s="321" t="str">
        <f t="shared" si="136"/>
        <v/>
      </c>
      <c r="F221" s="5"/>
      <c r="G221" s="6" t="str">
        <f t="shared" si="137"/>
        <v/>
      </c>
      <c r="H221" s="7"/>
      <c r="I221" s="7">
        <f t="shared" si="138"/>
        <v>0</v>
      </c>
      <c r="J221" s="113">
        <f t="shared" si="126"/>
        <v>0</v>
      </c>
      <c r="K221" s="7"/>
      <c r="L221" s="7">
        <f t="shared" si="139"/>
        <v>0</v>
      </c>
      <c r="M221" s="113">
        <f t="shared" si="140"/>
        <v>0</v>
      </c>
      <c r="N221" s="113"/>
      <c r="O221" s="113">
        <f t="shared" si="127"/>
        <v>0</v>
      </c>
      <c r="P221" s="113"/>
      <c r="Q221" s="113">
        <f t="shared" si="141"/>
        <v>0</v>
      </c>
      <c r="R221" s="113">
        <f t="shared" si="142"/>
        <v>0</v>
      </c>
      <c r="S221" s="113">
        <f t="shared" si="160"/>
        <v>0</v>
      </c>
      <c r="T221" s="113">
        <f t="shared" si="143"/>
        <v>0</v>
      </c>
      <c r="U221" s="113">
        <f t="shared" si="161"/>
        <v>0</v>
      </c>
      <c r="V221" s="146">
        <f t="shared" si="144"/>
        <v>0</v>
      </c>
      <c r="W221" s="66"/>
      <c r="X221" s="115">
        <f t="shared" si="128"/>
        <v>3.125E-2</v>
      </c>
      <c r="Y221" s="110">
        <f t="shared" si="145"/>
        <v>0</v>
      </c>
      <c r="Z221" s="111">
        <f t="shared" si="164"/>
        <v>0.29166666666666669</v>
      </c>
      <c r="AA221" s="112">
        <f t="shared" si="146"/>
        <v>0</v>
      </c>
      <c r="AB221" s="67" t="str">
        <f t="shared" si="147"/>
        <v/>
      </c>
      <c r="AC221" s="193">
        <f t="shared" si="129"/>
        <v>0</v>
      </c>
      <c r="AD221" s="144" t="str">
        <f t="shared" si="130"/>
        <v/>
      </c>
      <c r="AE221" s="228">
        <f t="shared" si="156"/>
        <v>0</v>
      </c>
      <c r="AF221" s="110"/>
      <c r="AG221" s="110" t="str">
        <f t="shared" si="148"/>
        <v/>
      </c>
      <c r="AH221" s="68">
        <f t="shared" si="131"/>
        <v>0</v>
      </c>
      <c r="AI221" s="68">
        <f t="shared" si="132"/>
        <v>0</v>
      </c>
      <c r="AJ221" s="68" t="str">
        <f t="shared" si="133"/>
        <v/>
      </c>
      <c r="AK221">
        <f t="shared" si="134"/>
        <v>1</v>
      </c>
      <c r="AL221" s="122">
        <f>SUM($AD$6:AD221)</f>
        <v>0</v>
      </c>
      <c r="AM221" s="122">
        <f t="shared" ca="1" si="149"/>
        <v>0</v>
      </c>
      <c r="AN221" s="126">
        <f t="shared" si="157"/>
        <v>0</v>
      </c>
      <c r="AO221" s="126">
        <f t="shared" si="158"/>
        <v>0</v>
      </c>
      <c r="AP221" s="126">
        <f t="shared" si="159"/>
        <v>0</v>
      </c>
      <c r="AQ221" s="125">
        <f t="shared" si="150"/>
        <v>30</v>
      </c>
      <c r="AR221" s="125">
        <f t="shared" ca="1" si="151"/>
        <v>30</v>
      </c>
      <c r="AS221" s="135">
        <f t="shared" si="152"/>
        <v>0</v>
      </c>
      <c r="AT221" s="125">
        <f t="shared" si="153"/>
        <v>0</v>
      </c>
      <c r="AU221" t="b">
        <f>OR((F221&gt;0),(NOT(ISBLANK(H221))),SUM(H221:H$373),SUM(G221:G$373))</f>
        <v>0</v>
      </c>
      <c r="AV221" t="b">
        <f t="shared" ca="1" si="135"/>
        <v>0</v>
      </c>
      <c r="AX221" s="228">
        <f>SUM(AW$5:AW221)</f>
        <v>-2.9166666666666665</v>
      </c>
    </row>
    <row r="222" spans="1:50">
      <c r="A222" s="308">
        <f t="shared" si="154"/>
        <v>42585</v>
      </c>
      <c r="B222" s="309">
        <f t="shared" si="155"/>
        <v>42585</v>
      </c>
      <c r="C222" s="310">
        <f t="shared" si="162"/>
        <v>32</v>
      </c>
      <c r="D222" s="311">
        <f t="shared" si="163"/>
        <v>42582</v>
      </c>
      <c r="E222" s="321" t="str">
        <f t="shared" si="136"/>
        <v/>
      </c>
      <c r="F222" s="5"/>
      <c r="G222" s="6" t="str">
        <f t="shared" si="137"/>
        <v/>
      </c>
      <c r="H222" s="7"/>
      <c r="I222" s="7">
        <f t="shared" si="138"/>
        <v>0</v>
      </c>
      <c r="J222" s="113">
        <f t="shared" si="126"/>
        <v>0</v>
      </c>
      <c r="K222" s="7"/>
      <c r="L222" s="7">
        <f t="shared" si="139"/>
        <v>0</v>
      </c>
      <c r="M222" s="113">
        <f t="shared" si="140"/>
        <v>0</v>
      </c>
      <c r="N222" s="113"/>
      <c r="O222" s="113">
        <f t="shared" si="127"/>
        <v>0</v>
      </c>
      <c r="P222" s="113"/>
      <c r="Q222" s="113">
        <f t="shared" si="141"/>
        <v>0</v>
      </c>
      <c r="R222" s="113">
        <f t="shared" si="142"/>
        <v>0</v>
      </c>
      <c r="S222" s="113">
        <f t="shared" si="160"/>
        <v>0</v>
      </c>
      <c r="T222" s="113">
        <f t="shared" si="143"/>
        <v>0</v>
      </c>
      <c r="U222" s="113">
        <f t="shared" si="161"/>
        <v>0</v>
      </c>
      <c r="V222" s="146">
        <f t="shared" si="144"/>
        <v>0</v>
      </c>
      <c r="W222" s="66"/>
      <c r="X222" s="115">
        <f t="shared" si="128"/>
        <v>3.125E-2</v>
      </c>
      <c r="Y222" s="110">
        <f t="shared" si="145"/>
        <v>0</v>
      </c>
      <c r="Z222" s="111">
        <f t="shared" si="164"/>
        <v>0.29166666666666669</v>
      </c>
      <c r="AA222" s="112">
        <f t="shared" si="146"/>
        <v>0</v>
      </c>
      <c r="AB222" s="67" t="str">
        <f t="shared" si="147"/>
        <v/>
      </c>
      <c r="AC222" s="193">
        <f t="shared" si="129"/>
        <v>0</v>
      </c>
      <c r="AD222" s="144" t="str">
        <f t="shared" si="130"/>
        <v/>
      </c>
      <c r="AE222" s="228">
        <f t="shared" si="156"/>
        <v>0</v>
      </c>
      <c r="AF222" s="110"/>
      <c r="AG222" s="110" t="str">
        <f t="shared" si="148"/>
        <v/>
      </c>
      <c r="AH222" s="68">
        <f t="shared" si="131"/>
        <v>0</v>
      </c>
      <c r="AI222" s="68">
        <f t="shared" si="132"/>
        <v>0</v>
      </c>
      <c r="AJ222" s="68" t="str">
        <f t="shared" si="133"/>
        <v/>
      </c>
      <c r="AK222">
        <f t="shared" si="134"/>
        <v>2</v>
      </c>
      <c r="AL222" s="122">
        <f>SUM($AD$6:AD222)</f>
        <v>0</v>
      </c>
      <c r="AM222" s="122">
        <f t="shared" ca="1" si="149"/>
        <v>0</v>
      </c>
      <c r="AN222" s="126">
        <f t="shared" si="157"/>
        <v>0</v>
      </c>
      <c r="AO222" s="126">
        <f t="shared" si="158"/>
        <v>0</v>
      </c>
      <c r="AP222" s="126">
        <f t="shared" si="159"/>
        <v>0</v>
      </c>
      <c r="AQ222" s="125">
        <f t="shared" si="150"/>
        <v>30</v>
      </c>
      <c r="AR222" s="125">
        <f t="shared" ca="1" si="151"/>
        <v>30</v>
      </c>
      <c r="AS222" s="135">
        <f t="shared" si="152"/>
        <v>0</v>
      </c>
      <c r="AT222" s="125">
        <f t="shared" si="153"/>
        <v>0</v>
      </c>
      <c r="AU222" t="b">
        <f>OR((F222&gt;0),(NOT(ISBLANK(H222))),SUM(H222:H$373),SUM(G222:G$373))</f>
        <v>0</v>
      </c>
      <c r="AV222" t="b">
        <f t="shared" ca="1" si="135"/>
        <v>0</v>
      </c>
      <c r="AX222" s="228">
        <f>SUM(AW$5:AW222)</f>
        <v>-2.9166666666666665</v>
      </c>
    </row>
    <row r="223" spans="1:50">
      <c r="A223" s="308">
        <f t="shared" si="154"/>
        <v>42586</v>
      </c>
      <c r="B223" s="309">
        <f t="shared" si="155"/>
        <v>42586</v>
      </c>
      <c r="C223" s="310">
        <f t="shared" si="162"/>
        <v>32</v>
      </c>
      <c r="D223" s="311">
        <f t="shared" si="163"/>
        <v>42582</v>
      </c>
      <c r="E223" s="321" t="str">
        <f t="shared" si="136"/>
        <v/>
      </c>
      <c r="F223" s="5"/>
      <c r="G223" s="6" t="str">
        <f t="shared" si="137"/>
        <v/>
      </c>
      <c r="H223" s="7"/>
      <c r="I223" s="7">
        <f t="shared" si="138"/>
        <v>0</v>
      </c>
      <c r="J223" s="113">
        <f t="shared" si="126"/>
        <v>0</v>
      </c>
      <c r="K223" s="7"/>
      <c r="L223" s="7">
        <f t="shared" si="139"/>
        <v>0</v>
      </c>
      <c r="M223" s="113">
        <f t="shared" si="140"/>
        <v>0</v>
      </c>
      <c r="N223" s="113"/>
      <c r="O223" s="113">
        <f t="shared" si="127"/>
        <v>0</v>
      </c>
      <c r="P223" s="113"/>
      <c r="Q223" s="113">
        <f t="shared" si="141"/>
        <v>0</v>
      </c>
      <c r="R223" s="113">
        <f t="shared" si="142"/>
        <v>0</v>
      </c>
      <c r="S223" s="113">
        <f t="shared" si="160"/>
        <v>0</v>
      </c>
      <c r="T223" s="113">
        <f t="shared" si="143"/>
        <v>0</v>
      </c>
      <c r="U223" s="113">
        <f t="shared" si="161"/>
        <v>0</v>
      </c>
      <c r="V223" s="146">
        <f t="shared" si="144"/>
        <v>0</v>
      </c>
      <c r="W223" s="66"/>
      <c r="X223" s="115">
        <f t="shared" si="128"/>
        <v>3.125E-2</v>
      </c>
      <c r="Y223" s="110">
        <f t="shared" si="145"/>
        <v>0</v>
      </c>
      <c r="Z223" s="111">
        <f t="shared" si="164"/>
        <v>0.29166666666666669</v>
      </c>
      <c r="AA223" s="112">
        <f t="shared" si="146"/>
        <v>0</v>
      </c>
      <c r="AB223" s="67" t="str">
        <f t="shared" si="147"/>
        <v/>
      </c>
      <c r="AC223" s="193">
        <f t="shared" si="129"/>
        <v>0</v>
      </c>
      <c r="AD223" s="144" t="str">
        <f t="shared" si="130"/>
        <v/>
      </c>
      <c r="AE223" s="228">
        <f t="shared" si="156"/>
        <v>0</v>
      </c>
      <c r="AF223" s="110"/>
      <c r="AG223" s="110" t="str">
        <f t="shared" si="148"/>
        <v/>
      </c>
      <c r="AH223" s="68">
        <f t="shared" si="131"/>
        <v>0</v>
      </c>
      <c r="AI223" s="68">
        <f t="shared" si="132"/>
        <v>0</v>
      </c>
      <c r="AJ223" s="68" t="str">
        <f t="shared" si="133"/>
        <v/>
      </c>
      <c r="AK223">
        <f t="shared" si="134"/>
        <v>3</v>
      </c>
      <c r="AL223" s="122">
        <f>SUM($AD$6:AD223)</f>
        <v>0</v>
      </c>
      <c r="AM223" s="122">
        <f t="shared" ca="1" si="149"/>
        <v>0</v>
      </c>
      <c r="AN223" s="126">
        <f t="shared" si="157"/>
        <v>0</v>
      </c>
      <c r="AO223" s="126">
        <f t="shared" si="158"/>
        <v>0</v>
      </c>
      <c r="AP223" s="126">
        <f t="shared" si="159"/>
        <v>0</v>
      </c>
      <c r="AQ223" s="125">
        <f t="shared" si="150"/>
        <v>30</v>
      </c>
      <c r="AR223" s="125">
        <f t="shared" ca="1" si="151"/>
        <v>30</v>
      </c>
      <c r="AS223" s="135">
        <f t="shared" si="152"/>
        <v>0</v>
      </c>
      <c r="AT223" s="125">
        <f t="shared" si="153"/>
        <v>0</v>
      </c>
      <c r="AU223" t="b">
        <f>OR((F223&gt;0),(NOT(ISBLANK(H223))),SUM(H223:H$373),SUM(G223:G$373))</f>
        <v>0</v>
      </c>
      <c r="AV223" t="b">
        <f t="shared" ca="1" si="135"/>
        <v>0</v>
      </c>
      <c r="AX223" s="228">
        <f>SUM(AW$5:AW223)</f>
        <v>-2.9166666666666665</v>
      </c>
    </row>
    <row r="224" spans="1:50">
      <c r="A224" s="308">
        <f t="shared" si="154"/>
        <v>42587</v>
      </c>
      <c r="B224" s="309">
        <f t="shared" si="155"/>
        <v>42587</v>
      </c>
      <c r="C224" s="310">
        <f t="shared" si="162"/>
        <v>32</v>
      </c>
      <c r="D224" s="311">
        <f t="shared" si="163"/>
        <v>42582</v>
      </c>
      <c r="E224" s="321" t="str">
        <f t="shared" si="136"/>
        <v/>
      </c>
      <c r="F224" s="5"/>
      <c r="G224" s="6" t="str">
        <f t="shared" si="137"/>
        <v/>
      </c>
      <c r="H224" s="7"/>
      <c r="I224" s="7">
        <f t="shared" si="138"/>
        <v>0</v>
      </c>
      <c r="J224" s="113">
        <f t="shared" si="126"/>
        <v>0</v>
      </c>
      <c r="K224" s="7"/>
      <c r="L224" s="7">
        <f t="shared" si="139"/>
        <v>0</v>
      </c>
      <c r="M224" s="113">
        <f t="shared" si="140"/>
        <v>0</v>
      </c>
      <c r="N224" s="113"/>
      <c r="O224" s="113">
        <f t="shared" si="127"/>
        <v>0</v>
      </c>
      <c r="P224" s="113"/>
      <c r="Q224" s="113">
        <f t="shared" si="141"/>
        <v>0</v>
      </c>
      <c r="R224" s="113">
        <f t="shared" si="142"/>
        <v>0</v>
      </c>
      <c r="S224" s="113">
        <f t="shared" si="160"/>
        <v>0</v>
      </c>
      <c r="T224" s="113">
        <f t="shared" si="143"/>
        <v>0</v>
      </c>
      <c r="U224" s="113">
        <f t="shared" si="161"/>
        <v>0</v>
      </c>
      <c r="V224" s="146">
        <f t="shared" si="144"/>
        <v>0</v>
      </c>
      <c r="W224" s="66"/>
      <c r="X224" s="115">
        <f t="shared" si="128"/>
        <v>3.125E-2</v>
      </c>
      <c r="Y224" s="110">
        <f t="shared" si="145"/>
        <v>0</v>
      </c>
      <c r="Z224" s="111">
        <f t="shared" si="164"/>
        <v>0.29166666666666669</v>
      </c>
      <c r="AA224" s="112">
        <f t="shared" si="146"/>
        <v>0</v>
      </c>
      <c r="AB224" s="67" t="str">
        <f t="shared" si="147"/>
        <v/>
      </c>
      <c r="AC224" s="193">
        <f t="shared" si="129"/>
        <v>0</v>
      </c>
      <c r="AD224" s="144" t="str">
        <f t="shared" si="130"/>
        <v/>
      </c>
      <c r="AE224" s="228">
        <f t="shared" si="156"/>
        <v>0</v>
      </c>
      <c r="AF224" s="110"/>
      <c r="AG224" s="110" t="str">
        <f t="shared" si="148"/>
        <v/>
      </c>
      <c r="AH224" s="68">
        <f t="shared" si="131"/>
        <v>0</v>
      </c>
      <c r="AI224" s="68">
        <f t="shared" si="132"/>
        <v>0</v>
      </c>
      <c r="AJ224" s="68" t="str">
        <f t="shared" si="133"/>
        <v/>
      </c>
      <c r="AK224">
        <f t="shared" si="134"/>
        <v>4</v>
      </c>
      <c r="AL224" s="122">
        <f>SUM($AD$6:AD224)</f>
        <v>0</v>
      </c>
      <c r="AM224" s="122">
        <f t="shared" ca="1" si="149"/>
        <v>0</v>
      </c>
      <c r="AN224" s="126">
        <f t="shared" si="157"/>
        <v>0</v>
      </c>
      <c r="AO224" s="126">
        <f t="shared" si="158"/>
        <v>0</v>
      </c>
      <c r="AP224" s="126">
        <f t="shared" si="159"/>
        <v>0</v>
      </c>
      <c r="AQ224" s="125">
        <f t="shared" si="150"/>
        <v>30</v>
      </c>
      <c r="AR224" s="125">
        <f t="shared" ca="1" si="151"/>
        <v>30</v>
      </c>
      <c r="AS224" s="135">
        <f t="shared" si="152"/>
        <v>0</v>
      </c>
      <c r="AT224" s="125">
        <f t="shared" si="153"/>
        <v>0</v>
      </c>
      <c r="AU224" t="b">
        <f>OR((F224&gt;0),(NOT(ISBLANK(H224))),SUM(H224:H$373),SUM(G224:G$373))</f>
        <v>0</v>
      </c>
      <c r="AV224" t="b">
        <f t="shared" ca="1" si="135"/>
        <v>0</v>
      </c>
      <c r="AX224" s="228">
        <f>SUM(AW$5:AW224)</f>
        <v>-2.9166666666666665</v>
      </c>
    </row>
    <row r="225" spans="1:50">
      <c r="A225" s="308">
        <f t="shared" si="154"/>
        <v>42588</v>
      </c>
      <c r="B225" s="309">
        <f t="shared" si="155"/>
        <v>42588</v>
      </c>
      <c r="C225" s="310">
        <f t="shared" si="162"/>
        <v>32</v>
      </c>
      <c r="D225" s="311">
        <f t="shared" si="163"/>
        <v>42582</v>
      </c>
      <c r="E225" s="321" t="str">
        <f t="shared" si="136"/>
        <v/>
      </c>
      <c r="F225" s="5"/>
      <c r="G225" s="6" t="str">
        <f t="shared" si="137"/>
        <v/>
      </c>
      <c r="H225" s="7"/>
      <c r="I225" s="7">
        <f t="shared" si="138"/>
        <v>0</v>
      </c>
      <c r="J225" s="113">
        <f t="shared" si="126"/>
        <v>0</v>
      </c>
      <c r="K225" s="7"/>
      <c r="L225" s="7">
        <f t="shared" si="139"/>
        <v>0</v>
      </c>
      <c r="M225" s="113">
        <f t="shared" si="140"/>
        <v>0</v>
      </c>
      <c r="N225" s="113"/>
      <c r="O225" s="113">
        <f t="shared" si="127"/>
        <v>0</v>
      </c>
      <c r="P225" s="113"/>
      <c r="Q225" s="113">
        <f t="shared" si="141"/>
        <v>0</v>
      </c>
      <c r="R225" s="113">
        <f t="shared" si="142"/>
        <v>0</v>
      </c>
      <c r="S225" s="113">
        <f t="shared" si="160"/>
        <v>0</v>
      </c>
      <c r="T225" s="113">
        <f t="shared" si="143"/>
        <v>0</v>
      </c>
      <c r="U225" s="113">
        <f t="shared" si="161"/>
        <v>0</v>
      </c>
      <c r="V225" s="146">
        <f t="shared" si="144"/>
        <v>0</v>
      </c>
      <c r="W225" s="66"/>
      <c r="X225" s="115">
        <f t="shared" si="128"/>
        <v>3.125E-2</v>
      </c>
      <c r="Y225" s="110">
        <f t="shared" si="145"/>
        <v>0</v>
      </c>
      <c r="Z225" s="111">
        <f t="shared" si="164"/>
        <v>0.29166666666666669</v>
      </c>
      <c r="AA225" s="112">
        <f t="shared" si="146"/>
        <v>0</v>
      </c>
      <c r="AB225" s="67" t="str">
        <f t="shared" si="147"/>
        <v/>
      </c>
      <c r="AC225" s="193">
        <f t="shared" si="129"/>
        <v>0</v>
      </c>
      <c r="AD225" s="144" t="str">
        <f t="shared" si="130"/>
        <v/>
      </c>
      <c r="AE225" s="228">
        <f t="shared" si="156"/>
        <v>0</v>
      </c>
      <c r="AF225" s="110"/>
      <c r="AG225" s="110" t="str">
        <f t="shared" si="148"/>
        <v/>
      </c>
      <c r="AH225" s="68">
        <f t="shared" si="131"/>
        <v>0</v>
      </c>
      <c r="AI225" s="68">
        <f t="shared" si="132"/>
        <v>0</v>
      </c>
      <c r="AJ225" s="68" t="str">
        <f t="shared" si="133"/>
        <v/>
      </c>
      <c r="AK225">
        <f t="shared" si="134"/>
        <v>5</v>
      </c>
      <c r="AL225" s="122">
        <f>SUM($AD$6:AD225)</f>
        <v>0</v>
      </c>
      <c r="AM225" s="122">
        <f t="shared" ca="1" si="149"/>
        <v>0</v>
      </c>
      <c r="AN225" s="126">
        <f t="shared" si="157"/>
        <v>0</v>
      </c>
      <c r="AO225" s="126">
        <f t="shared" si="158"/>
        <v>0</v>
      </c>
      <c r="AP225" s="126">
        <f t="shared" si="159"/>
        <v>0</v>
      </c>
      <c r="AQ225" s="125">
        <f t="shared" si="150"/>
        <v>30</v>
      </c>
      <c r="AR225" s="125">
        <f t="shared" ca="1" si="151"/>
        <v>30</v>
      </c>
      <c r="AS225" s="135">
        <f t="shared" si="152"/>
        <v>0</v>
      </c>
      <c r="AT225" s="125">
        <f t="shared" si="153"/>
        <v>0</v>
      </c>
      <c r="AU225" t="b">
        <f>OR((F225&gt;0),(NOT(ISBLANK(H225))),SUM(H225:H$373),SUM(G225:G$373))</f>
        <v>0</v>
      </c>
      <c r="AV225" t="b">
        <f t="shared" ca="1" si="135"/>
        <v>0</v>
      </c>
      <c r="AX225" s="228">
        <f>SUM(AW$5:AW225)</f>
        <v>-2.9166666666666665</v>
      </c>
    </row>
    <row r="226" spans="1:50">
      <c r="A226" s="308">
        <f t="shared" si="154"/>
        <v>42589</v>
      </c>
      <c r="B226" s="309">
        <f t="shared" si="155"/>
        <v>42589</v>
      </c>
      <c r="C226" s="310">
        <f t="shared" si="162"/>
        <v>32</v>
      </c>
      <c r="D226" s="311">
        <f t="shared" si="163"/>
        <v>42582</v>
      </c>
      <c r="E226" s="321" t="str">
        <f t="shared" si="136"/>
        <v/>
      </c>
      <c r="F226" s="5"/>
      <c r="G226" s="6" t="str">
        <f t="shared" si="137"/>
        <v/>
      </c>
      <c r="H226" s="7"/>
      <c r="I226" s="7">
        <f t="shared" si="138"/>
        <v>0</v>
      </c>
      <c r="J226" s="113">
        <f t="shared" si="126"/>
        <v>0</v>
      </c>
      <c r="K226" s="7"/>
      <c r="L226" s="7">
        <f t="shared" si="139"/>
        <v>0</v>
      </c>
      <c r="M226" s="113">
        <f t="shared" si="140"/>
        <v>0</v>
      </c>
      <c r="N226" s="113"/>
      <c r="O226" s="113">
        <f t="shared" si="127"/>
        <v>0</v>
      </c>
      <c r="P226" s="113"/>
      <c r="Q226" s="113">
        <f t="shared" si="141"/>
        <v>0</v>
      </c>
      <c r="R226" s="113">
        <f t="shared" si="142"/>
        <v>0</v>
      </c>
      <c r="S226" s="113">
        <f t="shared" si="160"/>
        <v>0</v>
      </c>
      <c r="T226" s="113">
        <f t="shared" si="143"/>
        <v>0</v>
      </c>
      <c r="U226" s="113">
        <f t="shared" si="161"/>
        <v>0</v>
      </c>
      <c r="V226" s="146">
        <f t="shared" si="144"/>
        <v>0</v>
      </c>
      <c r="W226" s="66"/>
      <c r="X226" s="115">
        <f t="shared" si="128"/>
        <v>3.125E-2</v>
      </c>
      <c r="Y226" s="110">
        <f t="shared" si="145"/>
        <v>0</v>
      </c>
      <c r="Z226" s="111">
        <f t="shared" si="164"/>
        <v>0</v>
      </c>
      <c r="AA226" s="112">
        <f t="shared" si="146"/>
        <v>0</v>
      </c>
      <c r="AB226" s="67" t="str">
        <f t="shared" si="147"/>
        <v/>
      </c>
      <c r="AC226" s="193">
        <f t="shared" si="129"/>
        <v>0</v>
      </c>
      <c r="AD226" s="144" t="str">
        <f t="shared" si="130"/>
        <v/>
      </c>
      <c r="AE226" s="228">
        <f t="shared" si="156"/>
        <v>0</v>
      </c>
      <c r="AF226" s="110"/>
      <c r="AG226" s="110" t="str">
        <f t="shared" si="148"/>
        <v/>
      </c>
      <c r="AH226" s="68">
        <f t="shared" si="131"/>
        <v>0</v>
      </c>
      <c r="AI226" s="68">
        <f t="shared" si="132"/>
        <v>0</v>
      </c>
      <c r="AJ226" s="68" t="str">
        <f t="shared" si="133"/>
        <v/>
      </c>
      <c r="AK226">
        <f t="shared" si="134"/>
        <v>6</v>
      </c>
      <c r="AL226" s="122">
        <f>SUM($AD$6:AD226)</f>
        <v>0</v>
      </c>
      <c r="AM226" s="122">
        <f t="shared" ca="1" si="149"/>
        <v>0</v>
      </c>
      <c r="AN226" s="126">
        <f t="shared" si="157"/>
        <v>0</v>
      </c>
      <c r="AO226" s="126">
        <f t="shared" si="158"/>
        <v>0</v>
      </c>
      <c r="AP226" s="126">
        <f t="shared" si="159"/>
        <v>0</v>
      </c>
      <c r="AQ226" s="125">
        <f t="shared" si="150"/>
        <v>30</v>
      </c>
      <c r="AR226" s="125">
        <f t="shared" ca="1" si="151"/>
        <v>30</v>
      </c>
      <c r="AS226" s="135">
        <f t="shared" si="152"/>
        <v>0</v>
      </c>
      <c r="AT226" s="125">
        <f t="shared" si="153"/>
        <v>7</v>
      </c>
      <c r="AU226" t="b">
        <f>OR((F226&gt;0),(NOT(ISBLANK(H226))),SUM(H226:H$373),SUM(G226:G$373))</f>
        <v>0</v>
      </c>
      <c r="AV226" t="b">
        <f t="shared" ca="1" si="135"/>
        <v>1</v>
      </c>
      <c r="AX226" s="228">
        <f>SUM(AW$5:AW226)</f>
        <v>-2.9166666666666665</v>
      </c>
    </row>
    <row r="227" spans="1:50">
      <c r="A227" s="308">
        <f t="shared" si="154"/>
        <v>42590</v>
      </c>
      <c r="B227" s="309">
        <f t="shared" si="155"/>
        <v>42590</v>
      </c>
      <c r="C227" s="310">
        <f t="shared" si="162"/>
        <v>32</v>
      </c>
      <c r="D227" s="311">
        <f t="shared" si="163"/>
        <v>42582</v>
      </c>
      <c r="E227" s="321" t="str">
        <f t="shared" si="136"/>
        <v/>
      </c>
      <c r="F227" s="5"/>
      <c r="G227" s="6" t="str">
        <f t="shared" si="137"/>
        <v/>
      </c>
      <c r="H227" s="7"/>
      <c r="I227" s="7">
        <f t="shared" si="138"/>
        <v>0</v>
      </c>
      <c r="J227" s="113">
        <f t="shared" si="126"/>
        <v>0</v>
      </c>
      <c r="K227" s="7"/>
      <c r="L227" s="7">
        <f t="shared" si="139"/>
        <v>0</v>
      </c>
      <c r="M227" s="113">
        <f t="shared" si="140"/>
        <v>0</v>
      </c>
      <c r="N227" s="113"/>
      <c r="O227" s="113">
        <f t="shared" si="127"/>
        <v>0</v>
      </c>
      <c r="P227" s="113"/>
      <c r="Q227" s="113">
        <f t="shared" si="141"/>
        <v>0</v>
      </c>
      <c r="R227" s="113">
        <f t="shared" si="142"/>
        <v>0</v>
      </c>
      <c r="S227" s="113">
        <f t="shared" si="160"/>
        <v>0</v>
      </c>
      <c r="T227" s="113">
        <f t="shared" si="143"/>
        <v>0</v>
      </c>
      <c r="U227" s="113">
        <f t="shared" si="161"/>
        <v>0</v>
      </c>
      <c r="V227" s="146">
        <f t="shared" si="144"/>
        <v>0</v>
      </c>
      <c r="W227" s="66"/>
      <c r="X227" s="115">
        <f t="shared" si="128"/>
        <v>3.125E-2</v>
      </c>
      <c r="Y227" s="110">
        <f t="shared" si="145"/>
        <v>0</v>
      </c>
      <c r="Z227" s="111">
        <f t="shared" si="164"/>
        <v>0</v>
      </c>
      <c r="AA227" s="112">
        <f t="shared" si="146"/>
        <v>0</v>
      </c>
      <c r="AB227" s="67" t="str">
        <f t="shared" si="147"/>
        <v/>
      </c>
      <c r="AC227" s="193">
        <f t="shared" si="129"/>
        <v>0</v>
      </c>
      <c r="AD227" s="144" t="str">
        <f t="shared" si="130"/>
        <v/>
      </c>
      <c r="AE227" s="228">
        <f t="shared" si="156"/>
        <v>0</v>
      </c>
      <c r="AF227" s="110"/>
      <c r="AG227" s="110" t="str">
        <f t="shared" si="148"/>
        <v/>
      </c>
      <c r="AH227" s="68">
        <f t="shared" si="131"/>
        <v>0</v>
      </c>
      <c r="AI227" s="68">
        <f t="shared" si="132"/>
        <v>0</v>
      </c>
      <c r="AJ227" s="68" t="str">
        <f t="shared" si="133"/>
        <v/>
      </c>
      <c r="AK227">
        <f t="shared" si="134"/>
        <v>7</v>
      </c>
      <c r="AL227" s="122">
        <f>SUM($AD$6:AD227)</f>
        <v>0</v>
      </c>
      <c r="AM227" s="122">
        <f t="shared" ca="1" si="149"/>
        <v>0</v>
      </c>
      <c r="AN227" s="126">
        <f t="shared" si="157"/>
        <v>0</v>
      </c>
      <c r="AO227" s="126">
        <f t="shared" si="158"/>
        <v>0</v>
      </c>
      <c r="AP227" s="126">
        <f t="shared" si="159"/>
        <v>0</v>
      </c>
      <c r="AQ227" s="125">
        <f t="shared" si="150"/>
        <v>30</v>
      </c>
      <c r="AR227" s="125">
        <f t="shared" ca="1" si="151"/>
        <v>30</v>
      </c>
      <c r="AS227" s="135">
        <f t="shared" si="152"/>
        <v>0</v>
      </c>
      <c r="AT227" s="125">
        <f t="shared" si="153"/>
        <v>7</v>
      </c>
      <c r="AU227" t="b">
        <f>OR((F227&gt;0),(NOT(ISBLANK(H227))),SUM(H227:H$373),SUM(G227:G$373))</f>
        <v>0</v>
      </c>
      <c r="AV227" t="b">
        <f t="shared" ca="1" si="135"/>
        <v>1</v>
      </c>
      <c r="AX227" s="228">
        <f>SUM(AW$5:AW227)</f>
        <v>-2.9166666666666665</v>
      </c>
    </row>
    <row r="228" spans="1:50">
      <c r="A228" s="308">
        <f t="shared" si="154"/>
        <v>42591</v>
      </c>
      <c r="B228" s="309">
        <f t="shared" si="155"/>
        <v>42591</v>
      </c>
      <c r="C228" s="310">
        <f t="shared" si="162"/>
        <v>33</v>
      </c>
      <c r="D228" s="311">
        <f t="shared" si="163"/>
        <v>42582</v>
      </c>
      <c r="E228" s="321" t="str">
        <f t="shared" si="136"/>
        <v/>
      </c>
      <c r="F228" s="5"/>
      <c r="G228" s="6" t="str">
        <f t="shared" si="137"/>
        <v/>
      </c>
      <c r="H228" s="7"/>
      <c r="I228" s="7">
        <f t="shared" si="138"/>
        <v>0</v>
      </c>
      <c r="J228" s="113">
        <f t="shared" si="126"/>
        <v>0</v>
      </c>
      <c r="K228" s="7"/>
      <c r="L228" s="7">
        <f t="shared" si="139"/>
        <v>0</v>
      </c>
      <c r="M228" s="113">
        <f t="shared" si="140"/>
        <v>0</v>
      </c>
      <c r="N228" s="113"/>
      <c r="O228" s="113">
        <f t="shared" si="127"/>
        <v>0</v>
      </c>
      <c r="P228" s="113"/>
      <c r="Q228" s="113">
        <f t="shared" si="141"/>
        <v>0</v>
      </c>
      <c r="R228" s="113">
        <f t="shared" si="142"/>
        <v>0</v>
      </c>
      <c r="S228" s="113">
        <f t="shared" si="160"/>
        <v>0</v>
      </c>
      <c r="T228" s="113">
        <f t="shared" si="143"/>
        <v>0</v>
      </c>
      <c r="U228" s="113">
        <f t="shared" si="161"/>
        <v>0</v>
      </c>
      <c r="V228" s="146">
        <f t="shared" si="144"/>
        <v>0</v>
      </c>
      <c r="W228" s="66"/>
      <c r="X228" s="115">
        <f t="shared" si="128"/>
        <v>3.125E-2</v>
      </c>
      <c r="Y228" s="110">
        <f t="shared" si="145"/>
        <v>0</v>
      </c>
      <c r="Z228" s="111">
        <f t="shared" si="164"/>
        <v>0.29166666666666669</v>
      </c>
      <c r="AA228" s="112">
        <f t="shared" si="146"/>
        <v>0</v>
      </c>
      <c r="AB228" s="67" t="str">
        <f t="shared" si="147"/>
        <v/>
      </c>
      <c r="AC228" s="193">
        <f t="shared" si="129"/>
        <v>0</v>
      </c>
      <c r="AD228" s="144" t="str">
        <f t="shared" si="130"/>
        <v/>
      </c>
      <c r="AE228" s="228">
        <f t="shared" si="156"/>
        <v>0</v>
      </c>
      <c r="AF228" s="110"/>
      <c r="AG228" s="110" t="str">
        <f t="shared" si="148"/>
        <v/>
      </c>
      <c r="AH228" s="68">
        <f t="shared" si="131"/>
        <v>0</v>
      </c>
      <c r="AI228" s="68">
        <f t="shared" si="132"/>
        <v>0</v>
      </c>
      <c r="AJ228" s="68" t="str">
        <f t="shared" si="133"/>
        <v/>
      </c>
      <c r="AK228">
        <f t="shared" si="134"/>
        <v>1</v>
      </c>
      <c r="AL228" s="122">
        <f>SUM($AD$6:AD228)</f>
        <v>0</v>
      </c>
      <c r="AM228" s="122">
        <f t="shared" ca="1" si="149"/>
        <v>0</v>
      </c>
      <c r="AN228" s="126">
        <f t="shared" si="157"/>
        <v>0</v>
      </c>
      <c r="AO228" s="126">
        <f t="shared" si="158"/>
        <v>0</v>
      </c>
      <c r="AP228" s="126">
        <f t="shared" si="159"/>
        <v>0</v>
      </c>
      <c r="AQ228" s="125">
        <f t="shared" si="150"/>
        <v>30</v>
      </c>
      <c r="AR228" s="125">
        <f t="shared" ca="1" si="151"/>
        <v>30</v>
      </c>
      <c r="AS228" s="135">
        <f t="shared" si="152"/>
        <v>0</v>
      </c>
      <c r="AT228" s="125">
        <f t="shared" si="153"/>
        <v>0</v>
      </c>
      <c r="AU228" t="b">
        <f>OR((F228&gt;0),(NOT(ISBLANK(H228))),SUM(H228:H$373),SUM(G228:G$373))</f>
        <v>0</v>
      </c>
      <c r="AV228" t="b">
        <f t="shared" ca="1" si="135"/>
        <v>0</v>
      </c>
      <c r="AX228" s="228">
        <f>SUM(AW$5:AW228)</f>
        <v>-2.9166666666666665</v>
      </c>
    </row>
    <row r="229" spans="1:50">
      <c r="A229" s="308">
        <f t="shared" si="154"/>
        <v>42592</v>
      </c>
      <c r="B229" s="309">
        <f t="shared" si="155"/>
        <v>42592</v>
      </c>
      <c r="C229" s="310">
        <f t="shared" si="162"/>
        <v>33</v>
      </c>
      <c r="D229" s="311">
        <f t="shared" si="163"/>
        <v>42582</v>
      </c>
      <c r="E229" s="321" t="str">
        <f t="shared" si="136"/>
        <v/>
      </c>
      <c r="F229" s="5"/>
      <c r="G229" s="6" t="str">
        <f t="shared" si="137"/>
        <v/>
      </c>
      <c r="H229" s="7"/>
      <c r="I229" s="7">
        <f t="shared" si="138"/>
        <v>0</v>
      </c>
      <c r="J229" s="113">
        <f t="shared" si="126"/>
        <v>0</v>
      </c>
      <c r="K229" s="7"/>
      <c r="L229" s="7">
        <f t="shared" si="139"/>
        <v>0</v>
      </c>
      <c r="M229" s="113">
        <f t="shared" si="140"/>
        <v>0</v>
      </c>
      <c r="N229" s="113"/>
      <c r="O229" s="113">
        <f t="shared" si="127"/>
        <v>0</v>
      </c>
      <c r="P229" s="113"/>
      <c r="Q229" s="113">
        <f t="shared" si="141"/>
        <v>0</v>
      </c>
      <c r="R229" s="113">
        <f t="shared" si="142"/>
        <v>0</v>
      </c>
      <c r="S229" s="113">
        <f t="shared" si="160"/>
        <v>0</v>
      </c>
      <c r="T229" s="113">
        <f t="shared" si="143"/>
        <v>0</v>
      </c>
      <c r="U229" s="113">
        <f t="shared" si="161"/>
        <v>0</v>
      </c>
      <c r="V229" s="146">
        <f t="shared" si="144"/>
        <v>0</v>
      </c>
      <c r="W229" s="66"/>
      <c r="X229" s="115">
        <f t="shared" si="128"/>
        <v>3.125E-2</v>
      </c>
      <c r="Y229" s="110">
        <f t="shared" si="145"/>
        <v>0</v>
      </c>
      <c r="Z229" s="111">
        <f t="shared" si="164"/>
        <v>0.29166666666666669</v>
      </c>
      <c r="AA229" s="112">
        <f t="shared" si="146"/>
        <v>0</v>
      </c>
      <c r="AB229" s="67" t="str">
        <f t="shared" si="147"/>
        <v/>
      </c>
      <c r="AC229" s="193">
        <f t="shared" si="129"/>
        <v>0</v>
      </c>
      <c r="AD229" s="144" t="str">
        <f t="shared" si="130"/>
        <v/>
      </c>
      <c r="AE229" s="228">
        <f t="shared" si="156"/>
        <v>0</v>
      </c>
      <c r="AF229" s="110"/>
      <c r="AG229" s="110" t="str">
        <f t="shared" si="148"/>
        <v/>
      </c>
      <c r="AH229" s="68">
        <f t="shared" si="131"/>
        <v>0</v>
      </c>
      <c r="AI229" s="68">
        <f t="shared" si="132"/>
        <v>0</v>
      </c>
      <c r="AJ229" s="68" t="str">
        <f t="shared" si="133"/>
        <v/>
      </c>
      <c r="AK229">
        <f t="shared" si="134"/>
        <v>2</v>
      </c>
      <c r="AL229" s="122">
        <f>SUM($AD$6:AD229)</f>
        <v>0</v>
      </c>
      <c r="AM229" s="122">
        <f t="shared" ca="1" si="149"/>
        <v>0</v>
      </c>
      <c r="AN229" s="126">
        <f t="shared" si="157"/>
        <v>0</v>
      </c>
      <c r="AO229" s="126">
        <f t="shared" si="158"/>
        <v>0</v>
      </c>
      <c r="AP229" s="126">
        <f t="shared" si="159"/>
        <v>0</v>
      </c>
      <c r="AQ229" s="125">
        <f t="shared" si="150"/>
        <v>30</v>
      </c>
      <c r="AR229" s="125">
        <f t="shared" ca="1" si="151"/>
        <v>30</v>
      </c>
      <c r="AS229" s="135">
        <f t="shared" si="152"/>
        <v>0</v>
      </c>
      <c r="AT229" s="125">
        <f t="shared" si="153"/>
        <v>0</v>
      </c>
      <c r="AU229" t="b">
        <f>OR((F229&gt;0),(NOT(ISBLANK(H229))),SUM(H229:H$373),SUM(G229:G$373))</f>
        <v>0</v>
      </c>
      <c r="AV229" t="b">
        <f t="shared" ca="1" si="135"/>
        <v>0</v>
      </c>
      <c r="AX229" s="228">
        <f>SUM(AW$5:AW229)</f>
        <v>-2.9166666666666665</v>
      </c>
    </row>
    <row r="230" spans="1:50">
      <c r="A230" s="308">
        <f t="shared" si="154"/>
        <v>42593</v>
      </c>
      <c r="B230" s="309">
        <f t="shared" si="155"/>
        <v>42593</v>
      </c>
      <c r="C230" s="310">
        <f t="shared" si="162"/>
        <v>33</v>
      </c>
      <c r="D230" s="311">
        <f t="shared" si="163"/>
        <v>42582</v>
      </c>
      <c r="E230" s="321" t="str">
        <f t="shared" si="136"/>
        <v/>
      </c>
      <c r="F230" s="5"/>
      <c r="G230" s="6" t="str">
        <f t="shared" si="137"/>
        <v/>
      </c>
      <c r="H230" s="7"/>
      <c r="I230" s="7">
        <f t="shared" si="138"/>
        <v>0</v>
      </c>
      <c r="J230" s="113">
        <f t="shared" si="126"/>
        <v>0</v>
      </c>
      <c r="K230" s="7"/>
      <c r="L230" s="7">
        <f t="shared" si="139"/>
        <v>0</v>
      </c>
      <c r="M230" s="113">
        <f t="shared" si="140"/>
        <v>0</v>
      </c>
      <c r="N230" s="113"/>
      <c r="O230" s="113">
        <f t="shared" si="127"/>
        <v>0</v>
      </c>
      <c r="P230" s="113"/>
      <c r="Q230" s="113">
        <f t="shared" si="141"/>
        <v>0</v>
      </c>
      <c r="R230" s="113">
        <f t="shared" si="142"/>
        <v>0</v>
      </c>
      <c r="S230" s="113">
        <f t="shared" si="160"/>
        <v>0</v>
      </c>
      <c r="T230" s="113">
        <f t="shared" si="143"/>
        <v>0</v>
      </c>
      <c r="U230" s="113">
        <f t="shared" si="161"/>
        <v>0</v>
      </c>
      <c r="V230" s="146">
        <f t="shared" si="144"/>
        <v>0</v>
      </c>
      <c r="W230" s="66"/>
      <c r="X230" s="115">
        <f t="shared" si="128"/>
        <v>3.125E-2</v>
      </c>
      <c r="Y230" s="110">
        <f t="shared" si="145"/>
        <v>0</v>
      </c>
      <c r="Z230" s="111">
        <f t="shared" si="164"/>
        <v>0.29166666666666669</v>
      </c>
      <c r="AA230" s="112">
        <f t="shared" si="146"/>
        <v>0</v>
      </c>
      <c r="AB230" s="67" t="str">
        <f t="shared" si="147"/>
        <v/>
      </c>
      <c r="AC230" s="193">
        <f t="shared" si="129"/>
        <v>0</v>
      </c>
      <c r="AD230" s="144" t="str">
        <f t="shared" si="130"/>
        <v/>
      </c>
      <c r="AE230" s="228">
        <f t="shared" si="156"/>
        <v>0</v>
      </c>
      <c r="AF230" s="110"/>
      <c r="AG230" s="110" t="str">
        <f t="shared" si="148"/>
        <v/>
      </c>
      <c r="AH230" s="68">
        <f t="shared" si="131"/>
        <v>0</v>
      </c>
      <c r="AI230" s="68">
        <f t="shared" si="132"/>
        <v>0</v>
      </c>
      <c r="AJ230" s="68" t="str">
        <f t="shared" si="133"/>
        <v/>
      </c>
      <c r="AK230">
        <f t="shared" si="134"/>
        <v>3</v>
      </c>
      <c r="AL230" s="122">
        <f>SUM($AD$6:AD230)</f>
        <v>0</v>
      </c>
      <c r="AM230" s="122">
        <f t="shared" ca="1" si="149"/>
        <v>0</v>
      </c>
      <c r="AN230" s="126">
        <f t="shared" si="157"/>
        <v>0</v>
      </c>
      <c r="AO230" s="126">
        <f t="shared" si="158"/>
        <v>0</v>
      </c>
      <c r="AP230" s="126">
        <f t="shared" si="159"/>
        <v>0</v>
      </c>
      <c r="AQ230" s="125">
        <f t="shared" si="150"/>
        <v>30</v>
      </c>
      <c r="AR230" s="125">
        <f t="shared" ca="1" si="151"/>
        <v>30</v>
      </c>
      <c r="AS230" s="135">
        <f t="shared" si="152"/>
        <v>0</v>
      </c>
      <c r="AT230" s="125">
        <f t="shared" si="153"/>
        <v>0</v>
      </c>
      <c r="AU230" t="b">
        <f>OR((F230&gt;0),(NOT(ISBLANK(H230))),SUM(H230:H$373),SUM(G230:G$373))</f>
        <v>0</v>
      </c>
      <c r="AV230" t="b">
        <f t="shared" ca="1" si="135"/>
        <v>0</v>
      </c>
      <c r="AX230" s="228">
        <f>SUM(AW$5:AW230)</f>
        <v>-2.9166666666666665</v>
      </c>
    </row>
    <row r="231" spans="1:50">
      <c r="A231" s="308">
        <f t="shared" si="154"/>
        <v>42594</v>
      </c>
      <c r="B231" s="309">
        <f t="shared" si="155"/>
        <v>42594</v>
      </c>
      <c r="C231" s="310">
        <f t="shared" si="162"/>
        <v>33</v>
      </c>
      <c r="D231" s="311">
        <f t="shared" si="163"/>
        <v>42582</v>
      </c>
      <c r="E231" s="321" t="str">
        <f t="shared" si="136"/>
        <v/>
      </c>
      <c r="F231" s="5"/>
      <c r="G231" s="6" t="str">
        <f t="shared" si="137"/>
        <v/>
      </c>
      <c r="H231" s="7"/>
      <c r="I231" s="7">
        <f t="shared" si="138"/>
        <v>0</v>
      </c>
      <c r="J231" s="113">
        <f t="shared" si="126"/>
        <v>0</v>
      </c>
      <c r="K231" s="7"/>
      <c r="L231" s="7">
        <f t="shared" si="139"/>
        <v>0</v>
      </c>
      <c r="M231" s="113">
        <f t="shared" si="140"/>
        <v>0</v>
      </c>
      <c r="N231" s="113"/>
      <c r="O231" s="113">
        <f t="shared" si="127"/>
        <v>0</v>
      </c>
      <c r="P231" s="113"/>
      <c r="Q231" s="113">
        <f t="shared" si="141"/>
        <v>0</v>
      </c>
      <c r="R231" s="113">
        <f t="shared" si="142"/>
        <v>0</v>
      </c>
      <c r="S231" s="113">
        <f t="shared" si="160"/>
        <v>0</v>
      </c>
      <c r="T231" s="113">
        <f t="shared" si="143"/>
        <v>0</v>
      </c>
      <c r="U231" s="113">
        <f t="shared" si="161"/>
        <v>0</v>
      </c>
      <c r="V231" s="146">
        <f t="shared" si="144"/>
        <v>0</v>
      </c>
      <c r="W231" s="66"/>
      <c r="X231" s="115">
        <f t="shared" si="128"/>
        <v>3.125E-2</v>
      </c>
      <c r="Y231" s="110">
        <f t="shared" si="145"/>
        <v>0</v>
      </c>
      <c r="Z231" s="111">
        <f t="shared" si="164"/>
        <v>0.29166666666666669</v>
      </c>
      <c r="AA231" s="112">
        <f t="shared" si="146"/>
        <v>0</v>
      </c>
      <c r="AB231" s="67" t="str">
        <f t="shared" si="147"/>
        <v/>
      </c>
      <c r="AC231" s="193">
        <f t="shared" si="129"/>
        <v>0</v>
      </c>
      <c r="AD231" s="144" t="str">
        <f t="shared" si="130"/>
        <v/>
      </c>
      <c r="AE231" s="228">
        <f t="shared" si="156"/>
        <v>0</v>
      </c>
      <c r="AF231" s="110"/>
      <c r="AG231" s="110" t="str">
        <f t="shared" si="148"/>
        <v/>
      </c>
      <c r="AH231" s="68">
        <f t="shared" si="131"/>
        <v>0</v>
      </c>
      <c r="AI231" s="68">
        <f t="shared" si="132"/>
        <v>0</v>
      </c>
      <c r="AJ231" s="68" t="str">
        <f t="shared" si="133"/>
        <v/>
      </c>
      <c r="AK231">
        <f t="shared" si="134"/>
        <v>4</v>
      </c>
      <c r="AL231" s="122">
        <f>SUM($AD$6:AD231)</f>
        <v>0</v>
      </c>
      <c r="AM231" s="122">
        <f t="shared" ca="1" si="149"/>
        <v>0</v>
      </c>
      <c r="AN231" s="126">
        <f t="shared" si="157"/>
        <v>0</v>
      </c>
      <c r="AO231" s="126">
        <f t="shared" si="158"/>
        <v>0</v>
      </c>
      <c r="AP231" s="126">
        <f t="shared" si="159"/>
        <v>0</v>
      </c>
      <c r="AQ231" s="125">
        <f t="shared" si="150"/>
        <v>30</v>
      </c>
      <c r="AR231" s="125">
        <f t="shared" ca="1" si="151"/>
        <v>30</v>
      </c>
      <c r="AS231" s="135">
        <f t="shared" si="152"/>
        <v>0</v>
      </c>
      <c r="AT231" s="125">
        <f t="shared" si="153"/>
        <v>0</v>
      </c>
      <c r="AU231" t="b">
        <f>OR((F231&gt;0),(NOT(ISBLANK(H231))),SUM(H231:H$373),SUM(G231:G$373))</f>
        <v>0</v>
      </c>
      <c r="AV231" t="b">
        <f t="shared" ca="1" si="135"/>
        <v>0</v>
      </c>
      <c r="AX231" s="228">
        <f>SUM(AW$5:AW231)</f>
        <v>-2.9166666666666665</v>
      </c>
    </row>
    <row r="232" spans="1:50">
      <c r="A232" s="308">
        <f t="shared" si="154"/>
        <v>42595</v>
      </c>
      <c r="B232" s="309">
        <f t="shared" si="155"/>
        <v>42595</v>
      </c>
      <c r="C232" s="310">
        <f t="shared" si="162"/>
        <v>33</v>
      </c>
      <c r="D232" s="311">
        <f t="shared" si="163"/>
        <v>42582</v>
      </c>
      <c r="E232" s="321" t="str">
        <f t="shared" si="136"/>
        <v/>
      </c>
      <c r="F232" s="5"/>
      <c r="G232" s="6" t="str">
        <f t="shared" si="137"/>
        <v/>
      </c>
      <c r="H232" s="7"/>
      <c r="I232" s="7">
        <f t="shared" si="138"/>
        <v>0</v>
      </c>
      <c r="J232" s="113">
        <f t="shared" si="126"/>
        <v>0</v>
      </c>
      <c r="K232" s="7"/>
      <c r="L232" s="7">
        <f t="shared" si="139"/>
        <v>0</v>
      </c>
      <c r="M232" s="113">
        <f t="shared" si="140"/>
        <v>0</v>
      </c>
      <c r="N232" s="113"/>
      <c r="O232" s="113">
        <f t="shared" si="127"/>
        <v>0</v>
      </c>
      <c r="P232" s="113"/>
      <c r="Q232" s="113">
        <f t="shared" si="141"/>
        <v>0</v>
      </c>
      <c r="R232" s="113">
        <f t="shared" si="142"/>
        <v>0</v>
      </c>
      <c r="S232" s="113">
        <f t="shared" si="160"/>
        <v>0</v>
      </c>
      <c r="T232" s="113">
        <f t="shared" si="143"/>
        <v>0</v>
      </c>
      <c r="U232" s="113">
        <f t="shared" si="161"/>
        <v>0</v>
      </c>
      <c r="V232" s="146">
        <f t="shared" si="144"/>
        <v>0</v>
      </c>
      <c r="W232" s="66"/>
      <c r="X232" s="115">
        <f t="shared" si="128"/>
        <v>3.125E-2</v>
      </c>
      <c r="Y232" s="110">
        <f t="shared" si="145"/>
        <v>0</v>
      </c>
      <c r="Z232" s="111">
        <f t="shared" si="164"/>
        <v>0.29166666666666669</v>
      </c>
      <c r="AA232" s="112">
        <f t="shared" si="146"/>
        <v>0</v>
      </c>
      <c r="AB232" s="67" t="str">
        <f t="shared" si="147"/>
        <v/>
      </c>
      <c r="AC232" s="193">
        <f t="shared" si="129"/>
        <v>0</v>
      </c>
      <c r="AD232" s="144" t="str">
        <f t="shared" si="130"/>
        <v/>
      </c>
      <c r="AE232" s="228">
        <f t="shared" si="156"/>
        <v>0</v>
      </c>
      <c r="AF232" s="110"/>
      <c r="AG232" s="110" t="str">
        <f t="shared" si="148"/>
        <v/>
      </c>
      <c r="AH232" s="68">
        <f t="shared" si="131"/>
        <v>0</v>
      </c>
      <c r="AI232" s="68">
        <f t="shared" si="132"/>
        <v>0</v>
      </c>
      <c r="AJ232" s="68" t="str">
        <f t="shared" si="133"/>
        <v/>
      </c>
      <c r="AK232">
        <f t="shared" si="134"/>
        <v>5</v>
      </c>
      <c r="AL232" s="122">
        <f>SUM($AD$6:AD232)</f>
        <v>0</v>
      </c>
      <c r="AM232" s="122">
        <f t="shared" ca="1" si="149"/>
        <v>0</v>
      </c>
      <c r="AN232" s="126">
        <f t="shared" si="157"/>
        <v>0</v>
      </c>
      <c r="AO232" s="126">
        <f t="shared" si="158"/>
        <v>0</v>
      </c>
      <c r="AP232" s="126">
        <f t="shared" si="159"/>
        <v>0</v>
      </c>
      <c r="AQ232" s="125">
        <f t="shared" si="150"/>
        <v>30</v>
      </c>
      <c r="AR232" s="125">
        <f t="shared" ca="1" si="151"/>
        <v>30</v>
      </c>
      <c r="AS232" s="135">
        <f t="shared" si="152"/>
        <v>0</v>
      </c>
      <c r="AT232" s="125">
        <f t="shared" si="153"/>
        <v>0</v>
      </c>
      <c r="AU232" t="b">
        <f>OR((F232&gt;0),(NOT(ISBLANK(H232))),SUM(H232:H$373),SUM(G232:G$373))</f>
        <v>0</v>
      </c>
      <c r="AV232" t="b">
        <f t="shared" ca="1" si="135"/>
        <v>0</v>
      </c>
      <c r="AX232" s="228">
        <f>SUM(AW$5:AW232)</f>
        <v>-2.9166666666666665</v>
      </c>
    </row>
    <row r="233" spans="1:50">
      <c r="A233" s="308">
        <f t="shared" si="154"/>
        <v>42596</v>
      </c>
      <c r="B233" s="309">
        <f t="shared" si="155"/>
        <v>42596</v>
      </c>
      <c r="C233" s="310">
        <f t="shared" si="162"/>
        <v>33</v>
      </c>
      <c r="D233" s="311">
        <f t="shared" si="163"/>
        <v>42582</v>
      </c>
      <c r="E233" s="321" t="str">
        <f t="shared" si="136"/>
        <v/>
      </c>
      <c r="F233" s="5"/>
      <c r="G233" s="6" t="str">
        <f t="shared" si="137"/>
        <v/>
      </c>
      <c r="H233" s="7"/>
      <c r="I233" s="7">
        <f t="shared" si="138"/>
        <v>0</v>
      </c>
      <c r="J233" s="113">
        <f t="shared" si="126"/>
        <v>0</v>
      </c>
      <c r="K233" s="7"/>
      <c r="L233" s="7">
        <f t="shared" si="139"/>
        <v>0</v>
      </c>
      <c r="M233" s="113">
        <f t="shared" si="140"/>
        <v>0</v>
      </c>
      <c r="N233" s="113"/>
      <c r="O233" s="113">
        <f t="shared" si="127"/>
        <v>0</v>
      </c>
      <c r="P233" s="113"/>
      <c r="Q233" s="113">
        <f t="shared" si="141"/>
        <v>0</v>
      </c>
      <c r="R233" s="113">
        <f t="shared" si="142"/>
        <v>0</v>
      </c>
      <c r="S233" s="113">
        <f t="shared" si="160"/>
        <v>0</v>
      </c>
      <c r="T233" s="113">
        <f t="shared" si="143"/>
        <v>0</v>
      </c>
      <c r="U233" s="113">
        <f t="shared" si="161"/>
        <v>0</v>
      </c>
      <c r="V233" s="146">
        <f t="shared" si="144"/>
        <v>0</v>
      </c>
      <c r="W233" s="66"/>
      <c r="X233" s="115">
        <f t="shared" si="128"/>
        <v>3.125E-2</v>
      </c>
      <c r="Y233" s="110">
        <f t="shared" si="145"/>
        <v>0</v>
      </c>
      <c r="Z233" s="111">
        <f t="shared" si="164"/>
        <v>0</v>
      </c>
      <c r="AA233" s="112">
        <f t="shared" si="146"/>
        <v>0</v>
      </c>
      <c r="AB233" s="67" t="str">
        <f t="shared" si="147"/>
        <v/>
      </c>
      <c r="AC233" s="193">
        <f t="shared" si="129"/>
        <v>0</v>
      </c>
      <c r="AD233" s="144" t="str">
        <f t="shared" si="130"/>
        <v/>
      </c>
      <c r="AE233" s="228">
        <f t="shared" si="156"/>
        <v>0</v>
      </c>
      <c r="AF233" s="110"/>
      <c r="AG233" s="110" t="str">
        <f t="shared" si="148"/>
        <v/>
      </c>
      <c r="AH233" s="68">
        <f t="shared" si="131"/>
        <v>0</v>
      </c>
      <c r="AI233" s="68">
        <f t="shared" si="132"/>
        <v>0</v>
      </c>
      <c r="AJ233" s="68" t="str">
        <f t="shared" si="133"/>
        <v/>
      </c>
      <c r="AK233">
        <f t="shared" si="134"/>
        <v>6</v>
      </c>
      <c r="AL233" s="122">
        <f>SUM($AD$6:AD233)</f>
        <v>0</v>
      </c>
      <c r="AM233" s="122">
        <f t="shared" ca="1" si="149"/>
        <v>0</v>
      </c>
      <c r="AN233" s="126">
        <f t="shared" si="157"/>
        <v>0</v>
      </c>
      <c r="AO233" s="126">
        <f t="shared" si="158"/>
        <v>0</v>
      </c>
      <c r="AP233" s="126">
        <f t="shared" si="159"/>
        <v>0</v>
      </c>
      <c r="AQ233" s="125">
        <f t="shared" si="150"/>
        <v>30</v>
      </c>
      <c r="AR233" s="125">
        <f t="shared" ca="1" si="151"/>
        <v>30</v>
      </c>
      <c r="AS233" s="135">
        <f t="shared" si="152"/>
        <v>0</v>
      </c>
      <c r="AT233" s="125">
        <f t="shared" si="153"/>
        <v>7</v>
      </c>
      <c r="AU233" t="b">
        <f>OR((F233&gt;0),(NOT(ISBLANK(H233))),SUM(H233:H$373),SUM(G233:G$373))</f>
        <v>0</v>
      </c>
      <c r="AV233" t="b">
        <f t="shared" ca="1" si="135"/>
        <v>1</v>
      </c>
      <c r="AX233" s="228">
        <f>SUM(AW$5:AW233)</f>
        <v>-2.9166666666666665</v>
      </c>
    </row>
    <row r="234" spans="1:50">
      <c r="A234" s="308">
        <f t="shared" si="154"/>
        <v>42597</v>
      </c>
      <c r="B234" s="309">
        <f t="shared" si="155"/>
        <v>42597</v>
      </c>
      <c r="C234" s="310">
        <f t="shared" si="162"/>
        <v>33</v>
      </c>
      <c r="D234" s="311">
        <f t="shared" si="163"/>
        <v>42582</v>
      </c>
      <c r="E234" s="321" t="str">
        <f t="shared" si="136"/>
        <v/>
      </c>
      <c r="F234" s="5"/>
      <c r="G234" s="6" t="str">
        <f t="shared" si="137"/>
        <v/>
      </c>
      <c r="H234" s="7"/>
      <c r="I234" s="7">
        <f t="shared" si="138"/>
        <v>0</v>
      </c>
      <c r="J234" s="113">
        <f t="shared" si="126"/>
        <v>0</v>
      </c>
      <c r="K234" s="7"/>
      <c r="L234" s="7">
        <f t="shared" si="139"/>
        <v>0</v>
      </c>
      <c r="M234" s="113">
        <f t="shared" si="140"/>
        <v>0</v>
      </c>
      <c r="N234" s="113"/>
      <c r="O234" s="113">
        <f t="shared" si="127"/>
        <v>0</v>
      </c>
      <c r="P234" s="113"/>
      <c r="Q234" s="113">
        <f t="shared" si="141"/>
        <v>0</v>
      </c>
      <c r="R234" s="113">
        <f t="shared" si="142"/>
        <v>0</v>
      </c>
      <c r="S234" s="113">
        <f t="shared" si="160"/>
        <v>0</v>
      </c>
      <c r="T234" s="113">
        <f t="shared" si="143"/>
        <v>0</v>
      </c>
      <c r="U234" s="113">
        <f t="shared" si="161"/>
        <v>0</v>
      </c>
      <c r="V234" s="146">
        <f t="shared" si="144"/>
        <v>0</v>
      </c>
      <c r="W234" s="66"/>
      <c r="X234" s="115">
        <f t="shared" si="128"/>
        <v>3.125E-2</v>
      </c>
      <c r="Y234" s="110">
        <f t="shared" si="145"/>
        <v>0</v>
      </c>
      <c r="Z234" s="111">
        <f t="shared" si="164"/>
        <v>0</v>
      </c>
      <c r="AA234" s="112">
        <f t="shared" si="146"/>
        <v>0</v>
      </c>
      <c r="AB234" s="67" t="str">
        <f t="shared" si="147"/>
        <v/>
      </c>
      <c r="AC234" s="193">
        <f t="shared" si="129"/>
        <v>0</v>
      </c>
      <c r="AD234" s="144" t="str">
        <f t="shared" si="130"/>
        <v/>
      </c>
      <c r="AE234" s="228">
        <f t="shared" si="156"/>
        <v>0</v>
      </c>
      <c r="AF234" s="110"/>
      <c r="AG234" s="110" t="str">
        <f t="shared" si="148"/>
        <v/>
      </c>
      <c r="AH234" s="68">
        <f t="shared" si="131"/>
        <v>0</v>
      </c>
      <c r="AI234" s="68">
        <f t="shared" si="132"/>
        <v>0</v>
      </c>
      <c r="AJ234" s="68" t="str">
        <f t="shared" si="133"/>
        <v/>
      </c>
      <c r="AK234">
        <f t="shared" si="134"/>
        <v>7</v>
      </c>
      <c r="AL234" s="122">
        <f>SUM($AD$6:AD234)</f>
        <v>0</v>
      </c>
      <c r="AM234" s="122">
        <f t="shared" ca="1" si="149"/>
        <v>0</v>
      </c>
      <c r="AN234" s="126">
        <f t="shared" si="157"/>
        <v>0</v>
      </c>
      <c r="AO234" s="126">
        <f t="shared" si="158"/>
        <v>0</v>
      </c>
      <c r="AP234" s="126">
        <f t="shared" si="159"/>
        <v>0</v>
      </c>
      <c r="AQ234" s="125">
        <f t="shared" si="150"/>
        <v>30</v>
      </c>
      <c r="AR234" s="125">
        <f t="shared" ca="1" si="151"/>
        <v>30</v>
      </c>
      <c r="AS234" s="135">
        <f t="shared" si="152"/>
        <v>0</v>
      </c>
      <c r="AT234" s="125">
        <f t="shared" si="153"/>
        <v>7</v>
      </c>
      <c r="AU234" t="b">
        <f>OR((F234&gt;0),(NOT(ISBLANK(H234))),SUM(H234:H$373),SUM(G234:G$373))</f>
        <v>0</v>
      </c>
      <c r="AV234" t="b">
        <f t="shared" ca="1" si="135"/>
        <v>1</v>
      </c>
      <c r="AX234" s="228">
        <f>SUM(AW$5:AW234)</f>
        <v>-2.9166666666666665</v>
      </c>
    </row>
    <row r="235" spans="1:50">
      <c r="A235" s="308">
        <f t="shared" si="154"/>
        <v>42598</v>
      </c>
      <c r="B235" s="309">
        <f t="shared" si="155"/>
        <v>42598</v>
      </c>
      <c r="C235" s="310">
        <f t="shared" si="162"/>
        <v>34</v>
      </c>
      <c r="D235" s="311">
        <f t="shared" si="163"/>
        <v>42582</v>
      </c>
      <c r="E235" s="321" t="str">
        <f t="shared" si="136"/>
        <v/>
      </c>
      <c r="F235" s="5"/>
      <c r="G235" s="6" t="str">
        <f t="shared" si="137"/>
        <v/>
      </c>
      <c r="H235" s="7"/>
      <c r="I235" s="7">
        <f t="shared" si="138"/>
        <v>0</v>
      </c>
      <c r="J235" s="113">
        <f t="shared" si="126"/>
        <v>0</v>
      </c>
      <c r="K235" s="7"/>
      <c r="L235" s="7">
        <f t="shared" si="139"/>
        <v>0</v>
      </c>
      <c r="M235" s="113">
        <f t="shared" si="140"/>
        <v>0</v>
      </c>
      <c r="N235" s="113"/>
      <c r="O235" s="113">
        <f t="shared" si="127"/>
        <v>0</v>
      </c>
      <c r="P235" s="113"/>
      <c r="Q235" s="113">
        <f t="shared" si="141"/>
        <v>0</v>
      </c>
      <c r="R235" s="113">
        <f t="shared" si="142"/>
        <v>0</v>
      </c>
      <c r="S235" s="113">
        <f t="shared" si="160"/>
        <v>0</v>
      </c>
      <c r="T235" s="113">
        <f t="shared" si="143"/>
        <v>0</v>
      </c>
      <c r="U235" s="113">
        <f t="shared" si="161"/>
        <v>0</v>
      </c>
      <c r="V235" s="146">
        <f t="shared" si="144"/>
        <v>0</v>
      </c>
      <c r="W235" s="66"/>
      <c r="X235" s="115">
        <f t="shared" si="128"/>
        <v>3.125E-2</v>
      </c>
      <c r="Y235" s="110">
        <f t="shared" si="145"/>
        <v>0</v>
      </c>
      <c r="Z235" s="111">
        <f t="shared" si="164"/>
        <v>0.29166666666666669</v>
      </c>
      <c r="AA235" s="112">
        <f t="shared" si="146"/>
        <v>0</v>
      </c>
      <c r="AB235" s="67" t="str">
        <f t="shared" si="147"/>
        <v/>
      </c>
      <c r="AC235" s="193">
        <f t="shared" si="129"/>
        <v>0</v>
      </c>
      <c r="AD235" s="144" t="str">
        <f t="shared" si="130"/>
        <v/>
      </c>
      <c r="AE235" s="228">
        <f t="shared" si="156"/>
        <v>0</v>
      </c>
      <c r="AF235" s="110"/>
      <c r="AG235" s="110" t="str">
        <f t="shared" si="148"/>
        <v/>
      </c>
      <c r="AH235" s="68">
        <f t="shared" si="131"/>
        <v>0</v>
      </c>
      <c r="AI235" s="68">
        <f t="shared" si="132"/>
        <v>0</v>
      </c>
      <c r="AJ235" s="68" t="str">
        <f t="shared" si="133"/>
        <v/>
      </c>
      <c r="AK235">
        <f t="shared" si="134"/>
        <v>1</v>
      </c>
      <c r="AL235" s="122">
        <f>SUM($AD$6:AD235)</f>
        <v>0</v>
      </c>
      <c r="AM235" s="122">
        <f t="shared" ca="1" si="149"/>
        <v>0</v>
      </c>
      <c r="AN235" s="126">
        <f t="shared" si="157"/>
        <v>0</v>
      </c>
      <c r="AO235" s="126">
        <f t="shared" si="158"/>
        <v>0</v>
      </c>
      <c r="AP235" s="126">
        <f t="shared" si="159"/>
        <v>0</v>
      </c>
      <c r="AQ235" s="125">
        <f t="shared" si="150"/>
        <v>30</v>
      </c>
      <c r="AR235" s="125">
        <f t="shared" ca="1" si="151"/>
        <v>30</v>
      </c>
      <c r="AS235" s="135">
        <f t="shared" si="152"/>
        <v>0</v>
      </c>
      <c r="AT235" s="125">
        <f t="shared" si="153"/>
        <v>0</v>
      </c>
      <c r="AU235" t="b">
        <f>OR((F235&gt;0),(NOT(ISBLANK(H235))),SUM(H235:H$373),SUM(G235:G$373))</f>
        <v>0</v>
      </c>
      <c r="AV235" t="b">
        <f t="shared" ca="1" si="135"/>
        <v>0</v>
      </c>
      <c r="AX235" s="228">
        <f>SUM(AW$5:AW235)</f>
        <v>-2.9166666666666665</v>
      </c>
    </row>
    <row r="236" spans="1:50">
      <c r="A236" s="308">
        <f t="shared" si="154"/>
        <v>42599</v>
      </c>
      <c r="B236" s="309">
        <f t="shared" si="155"/>
        <v>42599</v>
      </c>
      <c r="C236" s="310">
        <f t="shared" si="162"/>
        <v>34</v>
      </c>
      <c r="D236" s="311">
        <f t="shared" si="163"/>
        <v>42582</v>
      </c>
      <c r="E236" s="321" t="str">
        <f t="shared" si="136"/>
        <v/>
      </c>
      <c r="F236" s="5"/>
      <c r="G236" s="6" t="str">
        <f t="shared" si="137"/>
        <v/>
      </c>
      <c r="H236" s="7"/>
      <c r="I236" s="7">
        <f t="shared" si="138"/>
        <v>0</v>
      </c>
      <c r="J236" s="113">
        <f t="shared" si="126"/>
        <v>0</v>
      </c>
      <c r="K236" s="7"/>
      <c r="L236" s="7">
        <f t="shared" si="139"/>
        <v>0</v>
      </c>
      <c r="M236" s="113">
        <f t="shared" si="140"/>
        <v>0</v>
      </c>
      <c r="N236" s="113"/>
      <c r="O236" s="113">
        <f t="shared" si="127"/>
        <v>0</v>
      </c>
      <c r="P236" s="113"/>
      <c r="Q236" s="113">
        <f t="shared" si="141"/>
        <v>0</v>
      </c>
      <c r="R236" s="113">
        <f t="shared" si="142"/>
        <v>0</v>
      </c>
      <c r="S236" s="113">
        <f t="shared" si="160"/>
        <v>0</v>
      </c>
      <c r="T236" s="113">
        <f t="shared" si="143"/>
        <v>0</v>
      </c>
      <c r="U236" s="113">
        <f t="shared" si="161"/>
        <v>0</v>
      </c>
      <c r="V236" s="146">
        <f t="shared" si="144"/>
        <v>0</v>
      </c>
      <c r="W236" s="66"/>
      <c r="X236" s="115">
        <f t="shared" si="128"/>
        <v>3.125E-2</v>
      </c>
      <c r="Y236" s="110">
        <f t="shared" si="145"/>
        <v>0</v>
      </c>
      <c r="Z236" s="111">
        <f t="shared" si="164"/>
        <v>0.29166666666666669</v>
      </c>
      <c r="AA236" s="112">
        <f t="shared" si="146"/>
        <v>0</v>
      </c>
      <c r="AB236" s="67" t="str">
        <f t="shared" si="147"/>
        <v/>
      </c>
      <c r="AC236" s="193">
        <f t="shared" si="129"/>
        <v>0</v>
      </c>
      <c r="AD236" s="144" t="str">
        <f t="shared" si="130"/>
        <v/>
      </c>
      <c r="AE236" s="228">
        <f t="shared" si="156"/>
        <v>0</v>
      </c>
      <c r="AF236" s="110"/>
      <c r="AG236" s="110" t="str">
        <f t="shared" si="148"/>
        <v/>
      </c>
      <c r="AH236" s="68">
        <f t="shared" si="131"/>
        <v>0</v>
      </c>
      <c r="AI236" s="68">
        <f t="shared" si="132"/>
        <v>0</v>
      </c>
      <c r="AJ236" s="68" t="str">
        <f t="shared" si="133"/>
        <v/>
      </c>
      <c r="AK236">
        <f t="shared" si="134"/>
        <v>2</v>
      </c>
      <c r="AL236" s="122">
        <f>SUM($AD$6:AD236)</f>
        <v>0</v>
      </c>
      <c r="AM236" s="122">
        <f t="shared" ca="1" si="149"/>
        <v>0</v>
      </c>
      <c r="AN236" s="126">
        <f t="shared" si="157"/>
        <v>0</v>
      </c>
      <c r="AO236" s="126">
        <f t="shared" si="158"/>
        <v>0</v>
      </c>
      <c r="AP236" s="126">
        <f t="shared" si="159"/>
        <v>0</v>
      </c>
      <c r="AQ236" s="125">
        <f t="shared" si="150"/>
        <v>30</v>
      </c>
      <c r="AR236" s="125">
        <f t="shared" ca="1" si="151"/>
        <v>30</v>
      </c>
      <c r="AS236" s="135">
        <f t="shared" si="152"/>
        <v>0</v>
      </c>
      <c r="AT236" s="125">
        <f t="shared" si="153"/>
        <v>0</v>
      </c>
      <c r="AU236" t="b">
        <f>OR((F236&gt;0),(NOT(ISBLANK(H236))),SUM(H236:H$373),SUM(G236:G$373))</f>
        <v>0</v>
      </c>
      <c r="AV236" t="b">
        <f t="shared" ca="1" si="135"/>
        <v>0</v>
      </c>
      <c r="AX236" s="228">
        <f>SUM(AW$5:AW236)</f>
        <v>-2.9166666666666665</v>
      </c>
    </row>
    <row r="237" spans="1:50">
      <c r="A237" s="308">
        <f t="shared" si="154"/>
        <v>42600</v>
      </c>
      <c r="B237" s="309">
        <f t="shared" si="155"/>
        <v>42600</v>
      </c>
      <c r="C237" s="310">
        <f t="shared" si="162"/>
        <v>34</v>
      </c>
      <c r="D237" s="311">
        <f t="shared" si="163"/>
        <v>42582</v>
      </c>
      <c r="E237" s="321" t="str">
        <f t="shared" si="136"/>
        <v/>
      </c>
      <c r="F237" s="5"/>
      <c r="G237" s="6" t="str">
        <f t="shared" si="137"/>
        <v/>
      </c>
      <c r="H237" s="7"/>
      <c r="I237" s="7">
        <f t="shared" si="138"/>
        <v>0</v>
      </c>
      <c r="J237" s="113">
        <f t="shared" si="126"/>
        <v>0</v>
      </c>
      <c r="K237" s="7"/>
      <c r="L237" s="7">
        <f t="shared" si="139"/>
        <v>0</v>
      </c>
      <c r="M237" s="113">
        <f t="shared" si="140"/>
        <v>0</v>
      </c>
      <c r="N237" s="113"/>
      <c r="O237" s="113">
        <f t="shared" si="127"/>
        <v>0</v>
      </c>
      <c r="P237" s="113"/>
      <c r="Q237" s="113">
        <f t="shared" si="141"/>
        <v>0</v>
      </c>
      <c r="R237" s="113">
        <f t="shared" si="142"/>
        <v>0</v>
      </c>
      <c r="S237" s="113">
        <f t="shared" si="160"/>
        <v>0</v>
      </c>
      <c r="T237" s="113">
        <f t="shared" si="143"/>
        <v>0</v>
      </c>
      <c r="U237" s="113">
        <f t="shared" si="161"/>
        <v>0</v>
      </c>
      <c r="V237" s="146">
        <f t="shared" si="144"/>
        <v>0</v>
      </c>
      <c r="W237" s="66"/>
      <c r="X237" s="115">
        <f t="shared" si="128"/>
        <v>3.125E-2</v>
      </c>
      <c r="Y237" s="110">
        <f t="shared" si="145"/>
        <v>0</v>
      </c>
      <c r="Z237" s="111">
        <f t="shared" si="164"/>
        <v>0.29166666666666669</v>
      </c>
      <c r="AA237" s="112">
        <f t="shared" si="146"/>
        <v>0</v>
      </c>
      <c r="AB237" s="67" t="str">
        <f t="shared" si="147"/>
        <v/>
      </c>
      <c r="AC237" s="193">
        <f t="shared" si="129"/>
        <v>0</v>
      </c>
      <c r="AD237" s="144" t="str">
        <f t="shared" si="130"/>
        <v/>
      </c>
      <c r="AE237" s="228">
        <f t="shared" si="156"/>
        <v>0</v>
      </c>
      <c r="AF237" s="110"/>
      <c r="AG237" s="110" t="str">
        <f t="shared" si="148"/>
        <v/>
      </c>
      <c r="AH237" s="68">
        <f t="shared" si="131"/>
        <v>0</v>
      </c>
      <c r="AI237" s="68">
        <f t="shared" si="132"/>
        <v>0</v>
      </c>
      <c r="AJ237" s="68" t="str">
        <f t="shared" si="133"/>
        <v/>
      </c>
      <c r="AK237">
        <f t="shared" si="134"/>
        <v>3</v>
      </c>
      <c r="AL237" s="122">
        <f>SUM($AD$6:AD237)</f>
        <v>0</v>
      </c>
      <c r="AM237" s="122">
        <f t="shared" ca="1" si="149"/>
        <v>0</v>
      </c>
      <c r="AN237" s="126">
        <f t="shared" si="157"/>
        <v>0</v>
      </c>
      <c r="AO237" s="126">
        <f t="shared" si="158"/>
        <v>0</v>
      </c>
      <c r="AP237" s="126">
        <f t="shared" si="159"/>
        <v>0</v>
      </c>
      <c r="AQ237" s="125">
        <f t="shared" si="150"/>
        <v>30</v>
      </c>
      <c r="AR237" s="125">
        <f t="shared" ca="1" si="151"/>
        <v>30</v>
      </c>
      <c r="AS237" s="135">
        <f t="shared" si="152"/>
        <v>0</v>
      </c>
      <c r="AT237" s="125">
        <f t="shared" si="153"/>
        <v>0</v>
      </c>
      <c r="AU237" t="b">
        <f>OR((F237&gt;0),(NOT(ISBLANK(H237))),SUM(H237:H$373),SUM(G237:G$373))</f>
        <v>0</v>
      </c>
      <c r="AV237" t="b">
        <f t="shared" ca="1" si="135"/>
        <v>0</v>
      </c>
      <c r="AX237" s="228">
        <f>SUM(AW$5:AW237)</f>
        <v>-2.9166666666666665</v>
      </c>
    </row>
    <row r="238" spans="1:50">
      <c r="A238" s="308">
        <f t="shared" si="154"/>
        <v>42601</v>
      </c>
      <c r="B238" s="309">
        <f t="shared" si="155"/>
        <v>42601</v>
      </c>
      <c r="C238" s="310">
        <f t="shared" si="162"/>
        <v>34</v>
      </c>
      <c r="D238" s="311">
        <f t="shared" si="163"/>
        <v>42582</v>
      </c>
      <c r="E238" s="321" t="str">
        <f t="shared" si="136"/>
        <v/>
      </c>
      <c r="F238" s="5"/>
      <c r="G238" s="6" t="str">
        <f t="shared" si="137"/>
        <v/>
      </c>
      <c r="H238" s="7"/>
      <c r="I238" s="7">
        <f t="shared" si="138"/>
        <v>0</v>
      </c>
      <c r="J238" s="113">
        <f t="shared" si="126"/>
        <v>0</v>
      </c>
      <c r="K238" s="7"/>
      <c r="L238" s="7">
        <f t="shared" si="139"/>
        <v>0</v>
      </c>
      <c r="M238" s="113">
        <f t="shared" si="140"/>
        <v>0</v>
      </c>
      <c r="N238" s="113"/>
      <c r="O238" s="113">
        <f t="shared" si="127"/>
        <v>0</v>
      </c>
      <c r="P238" s="113"/>
      <c r="Q238" s="113">
        <f t="shared" si="141"/>
        <v>0</v>
      </c>
      <c r="R238" s="113">
        <f t="shared" si="142"/>
        <v>0</v>
      </c>
      <c r="S238" s="113">
        <f t="shared" si="160"/>
        <v>0</v>
      </c>
      <c r="T238" s="113">
        <f t="shared" si="143"/>
        <v>0</v>
      </c>
      <c r="U238" s="113">
        <f t="shared" si="161"/>
        <v>0</v>
      </c>
      <c r="V238" s="146">
        <f t="shared" si="144"/>
        <v>0</v>
      </c>
      <c r="W238" s="66"/>
      <c r="X238" s="115">
        <f t="shared" si="128"/>
        <v>3.125E-2</v>
      </c>
      <c r="Y238" s="110">
        <f t="shared" si="145"/>
        <v>0</v>
      </c>
      <c r="Z238" s="111">
        <f t="shared" si="164"/>
        <v>0.29166666666666669</v>
      </c>
      <c r="AA238" s="112">
        <f t="shared" si="146"/>
        <v>0</v>
      </c>
      <c r="AB238" s="67" t="str">
        <f t="shared" si="147"/>
        <v/>
      </c>
      <c r="AC238" s="193">
        <f t="shared" si="129"/>
        <v>0</v>
      </c>
      <c r="AD238" s="144" t="str">
        <f t="shared" si="130"/>
        <v/>
      </c>
      <c r="AE238" s="228">
        <f t="shared" si="156"/>
        <v>0</v>
      </c>
      <c r="AF238" s="110"/>
      <c r="AG238" s="110" t="str">
        <f t="shared" si="148"/>
        <v/>
      </c>
      <c r="AH238" s="68">
        <f t="shared" si="131"/>
        <v>0</v>
      </c>
      <c r="AI238" s="68">
        <f t="shared" si="132"/>
        <v>0</v>
      </c>
      <c r="AJ238" s="68" t="str">
        <f t="shared" si="133"/>
        <v/>
      </c>
      <c r="AK238">
        <f t="shared" si="134"/>
        <v>4</v>
      </c>
      <c r="AL238" s="122">
        <f>SUM($AD$6:AD238)</f>
        <v>0</v>
      </c>
      <c r="AM238" s="122">
        <f t="shared" ca="1" si="149"/>
        <v>0</v>
      </c>
      <c r="AN238" s="126">
        <f t="shared" si="157"/>
        <v>0</v>
      </c>
      <c r="AO238" s="126">
        <f t="shared" si="158"/>
        <v>0</v>
      </c>
      <c r="AP238" s="126">
        <f t="shared" si="159"/>
        <v>0</v>
      </c>
      <c r="AQ238" s="125">
        <f t="shared" si="150"/>
        <v>30</v>
      </c>
      <c r="AR238" s="125">
        <f t="shared" ca="1" si="151"/>
        <v>30</v>
      </c>
      <c r="AS238" s="135">
        <f t="shared" si="152"/>
        <v>0</v>
      </c>
      <c r="AT238" s="125">
        <f t="shared" si="153"/>
        <v>0</v>
      </c>
      <c r="AU238" t="b">
        <f>OR((F238&gt;0),(NOT(ISBLANK(H238))),SUM(H238:H$373),SUM(G238:G$373))</f>
        <v>0</v>
      </c>
      <c r="AV238" t="b">
        <f t="shared" ca="1" si="135"/>
        <v>0</v>
      </c>
      <c r="AX238" s="228">
        <f>SUM(AW$5:AW238)</f>
        <v>-2.9166666666666665</v>
      </c>
    </row>
    <row r="239" spans="1:50">
      <c r="A239" s="308">
        <f t="shared" si="154"/>
        <v>42602</v>
      </c>
      <c r="B239" s="309">
        <f t="shared" si="155"/>
        <v>42602</v>
      </c>
      <c r="C239" s="310">
        <f t="shared" si="162"/>
        <v>34</v>
      </c>
      <c r="D239" s="311">
        <f t="shared" si="163"/>
        <v>42582</v>
      </c>
      <c r="E239" s="321" t="str">
        <f t="shared" si="136"/>
        <v/>
      </c>
      <c r="F239" s="5"/>
      <c r="G239" s="6" t="str">
        <f t="shared" si="137"/>
        <v/>
      </c>
      <c r="H239" s="7"/>
      <c r="I239" s="7">
        <f t="shared" si="138"/>
        <v>0</v>
      </c>
      <c r="J239" s="113">
        <f t="shared" si="126"/>
        <v>0</v>
      </c>
      <c r="K239" s="7"/>
      <c r="L239" s="7">
        <f t="shared" si="139"/>
        <v>0</v>
      </c>
      <c r="M239" s="113">
        <f t="shared" si="140"/>
        <v>0</v>
      </c>
      <c r="N239" s="113"/>
      <c r="O239" s="113">
        <f t="shared" si="127"/>
        <v>0</v>
      </c>
      <c r="P239" s="113"/>
      <c r="Q239" s="113">
        <f t="shared" si="141"/>
        <v>0</v>
      </c>
      <c r="R239" s="113">
        <f t="shared" si="142"/>
        <v>0</v>
      </c>
      <c r="S239" s="113">
        <f t="shared" si="160"/>
        <v>0</v>
      </c>
      <c r="T239" s="113">
        <f t="shared" si="143"/>
        <v>0</v>
      </c>
      <c r="U239" s="113">
        <f t="shared" si="161"/>
        <v>0</v>
      </c>
      <c r="V239" s="146">
        <f t="shared" si="144"/>
        <v>0</v>
      </c>
      <c r="W239" s="66"/>
      <c r="X239" s="115">
        <f t="shared" si="128"/>
        <v>3.125E-2</v>
      </c>
      <c r="Y239" s="110">
        <f t="shared" si="145"/>
        <v>0</v>
      </c>
      <c r="Z239" s="111">
        <f t="shared" si="164"/>
        <v>0.29166666666666669</v>
      </c>
      <c r="AA239" s="112">
        <f t="shared" si="146"/>
        <v>0</v>
      </c>
      <c r="AB239" s="67" t="str">
        <f t="shared" si="147"/>
        <v/>
      </c>
      <c r="AC239" s="193">
        <f t="shared" si="129"/>
        <v>0</v>
      </c>
      <c r="AD239" s="144" t="str">
        <f t="shared" si="130"/>
        <v/>
      </c>
      <c r="AE239" s="228">
        <f t="shared" si="156"/>
        <v>0</v>
      </c>
      <c r="AF239" s="110"/>
      <c r="AG239" s="110" t="str">
        <f t="shared" si="148"/>
        <v/>
      </c>
      <c r="AH239" s="68">
        <f t="shared" si="131"/>
        <v>0</v>
      </c>
      <c r="AI239" s="68">
        <f t="shared" si="132"/>
        <v>0</v>
      </c>
      <c r="AJ239" s="68" t="str">
        <f t="shared" si="133"/>
        <v/>
      </c>
      <c r="AK239">
        <f t="shared" si="134"/>
        <v>5</v>
      </c>
      <c r="AL239" s="122">
        <f>SUM($AD$6:AD239)</f>
        <v>0</v>
      </c>
      <c r="AM239" s="122">
        <f t="shared" ca="1" si="149"/>
        <v>0</v>
      </c>
      <c r="AN239" s="126">
        <f t="shared" si="157"/>
        <v>0</v>
      </c>
      <c r="AO239" s="126">
        <f t="shared" si="158"/>
        <v>0</v>
      </c>
      <c r="AP239" s="126">
        <f t="shared" si="159"/>
        <v>0</v>
      </c>
      <c r="AQ239" s="125">
        <f t="shared" si="150"/>
        <v>30</v>
      </c>
      <c r="AR239" s="125">
        <f t="shared" ca="1" si="151"/>
        <v>30</v>
      </c>
      <c r="AS239" s="135">
        <f t="shared" si="152"/>
        <v>0</v>
      </c>
      <c r="AT239" s="125">
        <f t="shared" si="153"/>
        <v>0</v>
      </c>
      <c r="AU239" t="b">
        <f>OR((F239&gt;0),(NOT(ISBLANK(H239))),SUM(H239:H$373),SUM(G239:G$373))</f>
        <v>0</v>
      </c>
      <c r="AV239" t="b">
        <f t="shared" ca="1" si="135"/>
        <v>0</v>
      </c>
      <c r="AX239" s="228">
        <f>SUM(AW$5:AW239)</f>
        <v>-2.9166666666666665</v>
      </c>
    </row>
    <row r="240" spans="1:50">
      <c r="A240" s="308">
        <f t="shared" si="154"/>
        <v>42603</v>
      </c>
      <c r="B240" s="309">
        <f t="shared" si="155"/>
        <v>42603</v>
      </c>
      <c r="C240" s="310">
        <f t="shared" si="162"/>
        <v>34</v>
      </c>
      <c r="D240" s="311">
        <f t="shared" si="163"/>
        <v>42582</v>
      </c>
      <c r="E240" s="321" t="str">
        <f t="shared" si="136"/>
        <v/>
      </c>
      <c r="F240" s="5"/>
      <c r="G240" s="6" t="str">
        <f t="shared" si="137"/>
        <v/>
      </c>
      <c r="H240" s="7"/>
      <c r="I240" s="7">
        <f t="shared" si="138"/>
        <v>0</v>
      </c>
      <c r="J240" s="113">
        <f t="shared" si="126"/>
        <v>0</v>
      </c>
      <c r="K240" s="7"/>
      <c r="L240" s="7">
        <f t="shared" si="139"/>
        <v>0</v>
      </c>
      <c r="M240" s="113">
        <f t="shared" si="140"/>
        <v>0</v>
      </c>
      <c r="N240" s="113"/>
      <c r="O240" s="113">
        <f t="shared" si="127"/>
        <v>0</v>
      </c>
      <c r="P240" s="113"/>
      <c r="Q240" s="113">
        <f t="shared" si="141"/>
        <v>0</v>
      </c>
      <c r="R240" s="113">
        <f t="shared" si="142"/>
        <v>0</v>
      </c>
      <c r="S240" s="113">
        <f t="shared" si="160"/>
        <v>0</v>
      </c>
      <c r="T240" s="113">
        <f t="shared" si="143"/>
        <v>0</v>
      </c>
      <c r="U240" s="113">
        <f t="shared" si="161"/>
        <v>0</v>
      </c>
      <c r="V240" s="146">
        <f t="shared" si="144"/>
        <v>0</v>
      </c>
      <c r="W240" s="66"/>
      <c r="X240" s="115">
        <f t="shared" si="128"/>
        <v>3.125E-2</v>
      </c>
      <c r="Y240" s="110">
        <f t="shared" si="145"/>
        <v>0</v>
      </c>
      <c r="Z240" s="111">
        <f t="shared" si="164"/>
        <v>0</v>
      </c>
      <c r="AA240" s="112">
        <f t="shared" si="146"/>
        <v>0</v>
      </c>
      <c r="AB240" s="67" t="str">
        <f t="shared" si="147"/>
        <v/>
      </c>
      <c r="AC240" s="193">
        <f t="shared" si="129"/>
        <v>0</v>
      </c>
      <c r="AD240" s="144" t="str">
        <f t="shared" si="130"/>
        <v/>
      </c>
      <c r="AE240" s="228">
        <f t="shared" si="156"/>
        <v>0</v>
      </c>
      <c r="AF240" s="110"/>
      <c r="AG240" s="110" t="str">
        <f t="shared" si="148"/>
        <v/>
      </c>
      <c r="AH240" s="68">
        <f t="shared" si="131"/>
        <v>0</v>
      </c>
      <c r="AI240" s="68">
        <f t="shared" si="132"/>
        <v>0</v>
      </c>
      <c r="AJ240" s="68" t="str">
        <f t="shared" si="133"/>
        <v/>
      </c>
      <c r="AK240">
        <f t="shared" si="134"/>
        <v>6</v>
      </c>
      <c r="AL240" s="122">
        <f>SUM($AD$6:AD240)</f>
        <v>0</v>
      </c>
      <c r="AM240" s="122">
        <f t="shared" ca="1" si="149"/>
        <v>0</v>
      </c>
      <c r="AN240" s="126">
        <f t="shared" si="157"/>
        <v>0</v>
      </c>
      <c r="AO240" s="126">
        <f t="shared" si="158"/>
        <v>0</v>
      </c>
      <c r="AP240" s="126">
        <f t="shared" si="159"/>
        <v>0</v>
      </c>
      <c r="AQ240" s="125">
        <f t="shared" si="150"/>
        <v>30</v>
      </c>
      <c r="AR240" s="125">
        <f t="shared" ca="1" si="151"/>
        <v>30</v>
      </c>
      <c r="AS240" s="135">
        <f t="shared" si="152"/>
        <v>0</v>
      </c>
      <c r="AT240" s="125">
        <f t="shared" si="153"/>
        <v>7</v>
      </c>
      <c r="AU240" t="b">
        <f>OR((F240&gt;0),(NOT(ISBLANK(H240))),SUM(H240:H$373),SUM(G240:G$373))</f>
        <v>0</v>
      </c>
      <c r="AV240" t="b">
        <f t="shared" ca="1" si="135"/>
        <v>1</v>
      </c>
      <c r="AX240" s="228">
        <f>SUM(AW$5:AW240)</f>
        <v>-2.9166666666666665</v>
      </c>
    </row>
    <row r="241" spans="1:50">
      <c r="A241" s="308">
        <f t="shared" si="154"/>
        <v>42604</v>
      </c>
      <c r="B241" s="309">
        <f t="shared" si="155"/>
        <v>42604</v>
      </c>
      <c r="C241" s="310">
        <f t="shared" si="162"/>
        <v>34</v>
      </c>
      <c r="D241" s="311">
        <f t="shared" si="163"/>
        <v>42582</v>
      </c>
      <c r="E241" s="321" t="str">
        <f t="shared" si="136"/>
        <v/>
      </c>
      <c r="F241" s="5"/>
      <c r="G241" s="6" t="str">
        <f t="shared" si="137"/>
        <v/>
      </c>
      <c r="H241" s="7"/>
      <c r="I241" s="7">
        <f t="shared" si="138"/>
        <v>0</v>
      </c>
      <c r="J241" s="113">
        <f t="shared" si="126"/>
        <v>0</v>
      </c>
      <c r="K241" s="7"/>
      <c r="L241" s="7">
        <f t="shared" si="139"/>
        <v>0</v>
      </c>
      <c r="M241" s="113">
        <f t="shared" si="140"/>
        <v>0</v>
      </c>
      <c r="N241" s="113"/>
      <c r="O241" s="113">
        <f t="shared" si="127"/>
        <v>0</v>
      </c>
      <c r="P241" s="113"/>
      <c r="Q241" s="113">
        <f t="shared" si="141"/>
        <v>0</v>
      </c>
      <c r="R241" s="113">
        <f t="shared" si="142"/>
        <v>0</v>
      </c>
      <c r="S241" s="113">
        <f t="shared" si="160"/>
        <v>0</v>
      </c>
      <c r="T241" s="113">
        <f t="shared" si="143"/>
        <v>0</v>
      </c>
      <c r="U241" s="113">
        <f t="shared" si="161"/>
        <v>0</v>
      </c>
      <c r="V241" s="146">
        <f t="shared" si="144"/>
        <v>0</v>
      </c>
      <c r="W241" s="66"/>
      <c r="X241" s="115">
        <f t="shared" si="128"/>
        <v>3.125E-2</v>
      </c>
      <c r="Y241" s="110">
        <f t="shared" si="145"/>
        <v>0</v>
      </c>
      <c r="Z241" s="111">
        <f t="shared" si="164"/>
        <v>0</v>
      </c>
      <c r="AA241" s="112">
        <f t="shared" si="146"/>
        <v>0</v>
      </c>
      <c r="AB241" s="67" t="str">
        <f t="shared" si="147"/>
        <v/>
      </c>
      <c r="AC241" s="193">
        <f t="shared" si="129"/>
        <v>0</v>
      </c>
      <c r="AD241" s="144" t="str">
        <f t="shared" si="130"/>
        <v/>
      </c>
      <c r="AE241" s="228">
        <f t="shared" si="156"/>
        <v>0</v>
      </c>
      <c r="AF241" s="110"/>
      <c r="AG241" s="110" t="str">
        <f t="shared" si="148"/>
        <v/>
      </c>
      <c r="AH241" s="68">
        <f t="shared" si="131"/>
        <v>0</v>
      </c>
      <c r="AI241" s="68">
        <f t="shared" si="132"/>
        <v>0</v>
      </c>
      <c r="AJ241" s="68" t="str">
        <f t="shared" si="133"/>
        <v/>
      </c>
      <c r="AK241">
        <f t="shared" si="134"/>
        <v>7</v>
      </c>
      <c r="AL241" s="122">
        <f>SUM($AD$6:AD241)</f>
        <v>0</v>
      </c>
      <c r="AM241" s="122">
        <f t="shared" ca="1" si="149"/>
        <v>0</v>
      </c>
      <c r="AN241" s="126">
        <f t="shared" si="157"/>
        <v>0</v>
      </c>
      <c r="AO241" s="126">
        <f t="shared" si="158"/>
        <v>0</v>
      </c>
      <c r="AP241" s="126">
        <f t="shared" si="159"/>
        <v>0</v>
      </c>
      <c r="AQ241" s="125">
        <f t="shared" si="150"/>
        <v>30</v>
      </c>
      <c r="AR241" s="125">
        <f t="shared" ca="1" si="151"/>
        <v>30</v>
      </c>
      <c r="AS241" s="135">
        <f t="shared" si="152"/>
        <v>0</v>
      </c>
      <c r="AT241" s="125">
        <f t="shared" si="153"/>
        <v>7</v>
      </c>
      <c r="AU241" t="b">
        <f>OR((F241&gt;0),(NOT(ISBLANK(H241))),SUM(H241:H$373),SUM(G241:G$373))</f>
        <v>0</v>
      </c>
      <c r="AV241" t="b">
        <f t="shared" ca="1" si="135"/>
        <v>1</v>
      </c>
      <c r="AX241" s="228">
        <f>SUM(AW$5:AW241)</f>
        <v>-2.9166666666666665</v>
      </c>
    </row>
    <row r="242" spans="1:50">
      <c r="A242" s="308">
        <f t="shared" si="154"/>
        <v>42605</v>
      </c>
      <c r="B242" s="309">
        <f t="shared" si="155"/>
        <v>42605</v>
      </c>
      <c r="C242" s="310">
        <f t="shared" si="162"/>
        <v>35</v>
      </c>
      <c r="D242" s="311">
        <f t="shared" si="163"/>
        <v>42582</v>
      </c>
      <c r="E242" s="321" t="str">
        <f t="shared" si="136"/>
        <v/>
      </c>
      <c r="F242" s="5"/>
      <c r="G242" s="6" t="str">
        <f t="shared" si="137"/>
        <v/>
      </c>
      <c r="H242" s="7"/>
      <c r="I242" s="7">
        <f t="shared" si="138"/>
        <v>0</v>
      </c>
      <c r="J242" s="113">
        <f t="shared" si="126"/>
        <v>0</v>
      </c>
      <c r="K242" s="7"/>
      <c r="L242" s="7">
        <f t="shared" si="139"/>
        <v>0</v>
      </c>
      <c r="M242" s="113">
        <f t="shared" si="140"/>
        <v>0</v>
      </c>
      <c r="N242" s="113"/>
      <c r="O242" s="113">
        <f t="shared" si="127"/>
        <v>0</v>
      </c>
      <c r="P242" s="113"/>
      <c r="Q242" s="113">
        <f t="shared" si="141"/>
        <v>0</v>
      </c>
      <c r="R242" s="113">
        <f t="shared" si="142"/>
        <v>0</v>
      </c>
      <c r="S242" s="113">
        <f t="shared" si="160"/>
        <v>0</v>
      </c>
      <c r="T242" s="113">
        <f t="shared" si="143"/>
        <v>0</v>
      </c>
      <c r="U242" s="113">
        <f t="shared" si="161"/>
        <v>0</v>
      </c>
      <c r="V242" s="146">
        <f t="shared" si="144"/>
        <v>0</v>
      </c>
      <c r="W242" s="66"/>
      <c r="X242" s="115">
        <f t="shared" si="128"/>
        <v>3.125E-2</v>
      </c>
      <c r="Y242" s="110">
        <f t="shared" si="145"/>
        <v>0</v>
      </c>
      <c r="Z242" s="111">
        <f t="shared" si="164"/>
        <v>0.29166666666666669</v>
      </c>
      <c r="AA242" s="112">
        <f t="shared" si="146"/>
        <v>0</v>
      </c>
      <c r="AB242" s="67" t="str">
        <f t="shared" si="147"/>
        <v/>
      </c>
      <c r="AC242" s="193">
        <f t="shared" si="129"/>
        <v>0</v>
      </c>
      <c r="AD242" s="144" t="str">
        <f t="shared" si="130"/>
        <v/>
      </c>
      <c r="AE242" s="228">
        <f t="shared" si="156"/>
        <v>0</v>
      </c>
      <c r="AF242" s="110"/>
      <c r="AG242" s="110" t="str">
        <f t="shared" si="148"/>
        <v/>
      </c>
      <c r="AH242" s="68">
        <f t="shared" si="131"/>
        <v>0</v>
      </c>
      <c r="AI242" s="68">
        <f t="shared" si="132"/>
        <v>0</v>
      </c>
      <c r="AJ242" s="68" t="str">
        <f t="shared" si="133"/>
        <v/>
      </c>
      <c r="AK242">
        <f t="shared" si="134"/>
        <v>1</v>
      </c>
      <c r="AL242" s="122">
        <f>SUM($AD$6:AD242)</f>
        <v>0</v>
      </c>
      <c r="AM242" s="122">
        <f t="shared" ca="1" si="149"/>
        <v>0</v>
      </c>
      <c r="AN242" s="126">
        <f t="shared" si="157"/>
        <v>0</v>
      </c>
      <c r="AO242" s="126">
        <f t="shared" si="158"/>
        <v>0</v>
      </c>
      <c r="AP242" s="126">
        <f t="shared" si="159"/>
        <v>0</v>
      </c>
      <c r="AQ242" s="125">
        <f t="shared" si="150"/>
        <v>30</v>
      </c>
      <c r="AR242" s="125">
        <f t="shared" ca="1" si="151"/>
        <v>30</v>
      </c>
      <c r="AS242" s="135">
        <f t="shared" si="152"/>
        <v>0</v>
      </c>
      <c r="AT242" s="125">
        <f t="shared" si="153"/>
        <v>0</v>
      </c>
      <c r="AU242" t="b">
        <f>OR((F242&gt;0),(NOT(ISBLANK(H242))),SUM(H242:H$373),SUM(G242:G$373))</f>
        <v>0</v>
      </c>
      <c r="AV242" t="b">
        <f t="shared" ca="1" si="135"/>
        <v>0</v>
      </c>
      <c r="AX242" s="228">
        <f>SUM(AW$5:AW242)</f>
        <v>-2.9166666666666665</v>
      </c>
    </row>
    <row r="243" spans="1:50">
      <c r="A243" s="308">
        <f t="shared" si="154"/>
        <v>42606</v>
      </c>
      <c r="B243" s="309">
        <f t="shared" si="155"/>
        <v>42606</v>
      </c>
      <c r="C243" s="310">
        <f t="shared" si="162"/>
        <v>35</v>
      </c>
      <c r="D243" s="311">
        <f t="shared" si="163"/>
        <v>42582</v>
      </c>
      <c r="E243" s="321" t="str">
        <f t="shared" si="136"/>
        <v/>
      </c>
      <c r="F243" s="5"/>
      <c r="G243" s="6" t="str">
        <f t="shared" si="137"/>
        <v/>
      </c>
      <c r="H243" s="7"/>
      <c r="I243" s="7">
        <f t="shared" si="138"/>
        <v>0</v>
      </c>
      <c r="J243" s="113">
        <f t="shared" si="126"/>
        <v>0</v>
      </c>
      <c r="K243" s="7"/>
      <c r="L243" s="7">
        <f t="shared" si="139"/>
        <v>0</v>
      </c>
      <c r="M243" s="113">
        <f t="shared" si="140"/>
        <v>0</v>
      </c>
      <c r="N243" s="113"/>
      <c r="O243" s="113">
        <f t="shared" si="127"/>
        <v>0</v>
      </c>
      <c r="P243" s="113"/>
      <c r="Q243" s="113">
        <f t="shared" si="141"/>
        <v>0</v>
      </c>
      <c r="R243" s="113">
        <f t="shared" si="142"/>
        <v>0</v>
      </c>
      <c r="S243" s="113">
        <f t="shared" si="160"/>
        <v>0</v>
      </c>
      <c r="T243" s="113">
        <f t="shared" si="143"/>
        <v>0</v>
      </c>
      <c r="U243" s="113">
        <f t="shared" si="161"/>
        <v>0</v>
      </c>
      <c r="V243" s="146">
        <f t="shared" si="144"/>
        <v>0</v>
      </c>
      <c r="W243" s="66"/>
      <c r="X243" s="115">
        <f t="shared" si="128"/>
        <v>3.125E-2</v>
      </c>
      <c r="Y243" s="110">
        <f t="shared" si="145"/>
        <v>0</v>
      </c>
      <c r="Z243" s="111">
        <f t="shared" si="164"/>
        <v>0.29166666666666669</v>
      </c>
      <c r="AA243" s="112">
        <f t="shared" si="146"/>
        <v>0</v>
      </c>
      <c r="AB243" s="67" t="str">
        <f t="shared" si="147"/>
        <v/>
      </c>
      <c r="AC243" s="193">
        <f t="shared" si="129"/>
        <v>0</v>
      </c>
      <c r="AD243" s="144" t="str">
        <f t="shared" si="130"/>
        <v/>
      </c>
      <c r="AE243" s="228">
        <f t="shared" si="156"/>
        <v>0</v>
      </c>
      <c r="AF243" s="110"/>
      <c r="AG243" s="110" t="str">
        <f t="shared" si="148"/>
        <v/>
      </c>
      <c r="AH243" s="68">
        <f t="shared" si="131"/>
        <v>0</v>
      </c>
      <c r="AI243" s="68">
        <f t="shared" si="132"/>
        <v>0</v>
      </c>
      <c r="AJ243" s="68" t="str">
        <f t="shared" si="133"/>
        <v/>
      </c>
      <c r="AK243">
        <f t="shared" si="134"/>
        <v>2</v>
      </c>
      <c r="AL243" s="122">
        <f>SUM($AD$6:AD243)</f>
        <v>0</v>
      </c>
      <c r="AM243" s="122">
        <f t="shared" ca="1" si="149"/>
        <v>0</v>
      </c>
      <c r="AN243" s="126">
        <f t="shared" si="157"/>
        <v>0</v>
      </c>
      <c r="AO243" s="126">
        <f t="shared" si="158"/>
        <v>0</v>
      </c>
      <c r="AP243" s="126">
        <f t="shared" si="159"/>
        <v>0</v>
      </c>
      <c r="AQ243" s="125">
        <f t="shared" si="150"/>
        <v>30</v>
      </c>
      <c r="AR243" s="125">
        <f t="shared" ca="1" si="151"/>
        <v>30</v>
      </c>
      <c r="AS243" s="135">
        <f t="shared" si="152"/>
        <v>0</v>
      </c>
      <c r="AT243" s="125">
        <f t="shared" si="153"/>
        <v>0</v>
      </c>
      <c r="AU243" t="b">
        <f>OR((F243&gt;0),(NOT(ISBLANK(H243))),SUM(H243:H$373),SUM(G243:G$373))</f>
        <v>0</v>
      </c>
      <c r="AV243" t="b">
        <f t="shared" ca="1" si="135"/>
        <v>0</v>
      </c>
      <c r="AX243" s="228">
        <f>SUM(AW$5:AW243)</f>
        <v>-2.9166666666666665</v>
      </c>
    </row>
    <row r="244" spans="1:50">
      <c r="A244" s="308">
        <f t="shared" si="154"/>
        <v>42607</v>
      </c>
      <c r="B244" s="309">
        <f t="shared" si="155"/>
        <v>42607</v>
      </c>
      <c r="C244" s="310">
        <f t="shared" si="162"/>
        <v>35</v>
      </c>
      <c r="D244" s="311">
        <f t="shared" si="163"/>
        <v>42582</v>
      </c>
      <c r="E244" s="321" t="str">
        <f t="shared" si="136"/>
        <v/>
      </c>
      <c r="F244" s="5"/>
      <c r="G244" s="6" t="str">
        <f t="shared" si="137"/>
        <v/>
      </c>
      <c r="H244" s="7"/>
      <c r="I244" s="7">
        <f t="shared" si="138"/>
        <v>0</v>
      </c>
      <c r="J244" s="113">
        <f t="shared" si="126"/>
        <v>0</v>
      </c>
      <c r="K244" s="7"/>
      <c r="L244" s="7">
        <f t="shared" si="139"/>
        <v>0</v>
      </c>
      <c r="M244" s="113">
        <f t="shared" si="140"/>
        <v>0</v>
      </c>
      <c r="N244" s="113"/>
      <c r="O244" s="113">
        <f t="shared" si="127"/>
        <v>0</v>
      </c>
      <c r="P244" s="113"/>
      <c r="Q244" s="113">
        <f t="shared" si="141"/>
        <v>0</v>
      </c>
      <c r="R244" s="113">
        <f t="shared" si="142"/>
        <v>0</v>
      </c>
      <c r="S244" s="113">
        <f t="shared" si="160"/>
        <v>0</v>
      </c>
      <c r="T244" s="113">
        <f t="shared" si="143"/>
        <v>0</v>
      </c>
      <c r="U244" s="113">
        <f t="shared" si="161"/>
        <v>0</v>
      </c>
      <c r="V244" s="146">
        <f t="shared" si="144"/>
        <v>0</v>
      </c>
      <c r="W244" s="66"/>
      <c r="X244" s="115">
        <f t="shared" si="128"/>
        <v>3.125E-2</v>
      </c>
      <c r="Y244" s="110">
        <f t="shared" si="145"/>
        <v>0</v>
      </c>
      <c r="Z244" s="111">
        <f t="shared" si="164"/>
        <v>0.29166666666666669</v>
      </c>
      <c r="AA244" s="112">
        <f t="shared" si="146"/>
        <v>0</v>
      </c>
      <c r="AB244" s="67" t="str">
        <f t="shared" si="147"/>
        <v/>
      </c>
      <c r="AC244" s="193">
        <f t="shared" si="129"/>
        <v>0</v>
      </c>
      <c r="AD244" s="144" t="str">
        <f t="shared" si="130"/>
        <v/>
      </c>
      <c r="AE244" s="228">
        <f t="shared" si="156"/>
        <v>0</v>
      </c>
      <c r="AF244" s="110"/>
      <c r="AG244" s="110" t="str">
        <f t="shared" si="148"/>
        <v/>
      </c>
      <c r="AH244" s="68">
        <f t="shared" si="131"/>
        <v>0</v>
      </c>
      <c r="AI244" s="68">
        <f t="shared" si="132"/>
        <v>0</v>
      </c>
      <c r="AJ244" s="68" t="str">
        <f t="shared" si="133"/>
        <v/>
      </c>
      <c r="AK244">
        <f t="shared" si="134"/>
        <v>3</v>
      </c>
      <c r="AL244" s="122">
        <f>SUM($AD$6:AD244)</f>
        <v>0</v>
      </c>
      <c r="AM244" s="122">
        <f t="shared" ca="1" si="149"/>
        <v>0</v>
      </c>
      <c r="AN244" s="126">
        <f t="shared" si="157"/>
        <v>0</v>
      </c>
      <c r="AO244" s="126">
        <f t="shared" si="158"/>
        <v>0</v>
      </c>
      <c r="AP244" s="126">
        <f t="shared" si="159"/>
        <v>0</v>
      </c>
      <c r="AQ244" s="125">
        <f t="shared" si="150"/>
        <v>30</v>
      </c>
      <c r="AR244" s="125">
        <f t="shared" ca="1" si="151"/>
        <v>30</v>
      </c>
      <c r="AS244" s="135">
        <f t="shared" si="152"/>
        <v>0</v>
      </c>
      <c r="AT244" s="125">
        <f t="shared" si="153"/>
        <v>0</v>
      </c>
      <c r="AU244" t="b">
        <f>OR((F244&gt;0),(NOT(ISBLANK(H244))),SUM(H244:H$373),SUM(G244:G$373))</f>
        <v>0</v>
      </c>
      <c r="AV244" t="b">
        <f t="shared" ca="1" si="135"/>
        <v>0</v>
      </c>
      <c r="AX244" s="228">
        <f>SUM(AW$5:AW244)</f>
        <v>-2.9166666666666665</v>
      </c>
    </row>
    <row r="245" spans="1:50">
      <c r="A245" s="308">
        <f t="shared" si="154"/>
        <v>42608</v>
      </c>
      <c r="B245" s="309">
        <f t="shared" si="155"/>
        <v>42608</v>
      </c>
      <c r="C245" s="310">
        <f t="shared" si="162"/>
        <v>35</v>
      </c>
      <c r="D245" s="311">
        <f t="shared" si="163"/>
        <v>42582</v>
      </c>
      <c r="E245" s="321" t="str">
        <f t="shared" si="136"/>
        <v/>
      </c>
      <c r="F245" s="5"/>
      <c r="G245" s="6" t="str">
        <f t="shared" si="137"/>
        <v/>
      </c>
      <c r="H245" s="7"/>
      <c r="I245" s="7">
        <f t="shared" si="138"/>
        <v>0</v>
      </c>
      <c r="J245" s="113">
        <f t="shared" si="126"/>
        <v>0</v>
      </c>
      <c r="K245" s="7"/>
      <c r="L245" s="7">
        <f t="shared" si="139"/>
        <v>0</v>
      </c>
      <c r="M245" s="113">
        <f t="shared" si="140"/>
        <v>0</v>
      </c>
      <c r="N245" s="113"/>
      <c r="O245" s="113">
        <f t="shared" si="127"/>
        <v>0</v>
      </c>
      <c r="P245" s="113"/>
      <c r="Q245" s="113">
        <f t="shared" si="141"/>
        <v>0</v>
      </c>
      <c r="R245" s="113">
        <f t="shared" si="142"/>
        <v>0</v>
      </c>
      <c r="S245" s="113">
        <f t="shared" si="160"/>
        <v>0</v>
      </c>
      <c r="T245" s="113">
        <f t="shared" si="143"/>
        <v>0</v>
      </c>
      <c r="U245" s="113">
        <f t="shared" si="161"/>
        <v>0</v>
      </c>
      <c r="V245" s="146">
        <f t="shared" si="144"/>
        <v>0</v>
      </c>
      <c r="W245" s="66"/>
      <c r="X245" s="115">
        <f t="shared" si="128"/>
        <v>3.125E-2</v>
      </c>
      <c r="Y245" s="110">
        <f t="shared" si="145"/>
        <v>0</v>
      </c>
      <c r="Z245" s="111">
        <f t="shared" si="164"/>
        <v>0.29166666666666669</v>
      </c>
      <c r="AA245" s="112">
        <f t="shared" si="146"/>
        <v>0</v>
      </c>
      <c r="AB245" s="67" t="str">
        <f t="shared" si="147"/>
        <v/>
      </c>
      <c r="AC245" s="193">
        <f t="shared" si="129"/>
        <v>0</v>
      </c>
      <c r="AD245" s="144" t="str">
        <f t="shared" si="130"/>
        <v/>
      </c>
      <c r="AE245" s="228">
        <f t="shared" si="156"/>
        <v>0</v>
      </c>
      <c r="AF245" s="110"/>
      <c r="AG245" s="110" t="str">
        <f t="shared" si="148"/>
        <v/>
      </c>
      <c r="AH245" s="68">
        <f t="shared" si="131"/>
        <v>0</v>
      </c>
      <c r="AI245" s="68">
        <f t="shared" si="132"/>
        <v>0</v>
      </c>
      <c r="AJ245" s="68" t="str">
        <f t="shared" si="133"/>
        <v/>
      </c>
      <c r="AK245">
        <f t="shared" si="134"/>
        <v>4</v>
      </c>
      <c r="AL245" s="122">
        <f>SUM($AD$6:AD245)</f>
        <v>0</v>
      </c>
      <c r="AM245" s="122">
        <f t="shared" ca="1" si="149"/>
        <v>0</v>
      </c>
      <c r="AN245" s="126">
        <f t="shared" si="157"/>
        <v>0</v>
      </c>
      <c r="AO245" s="126">
        <f t="shared" si="158"/>
        <v>0</v>
      </c>
      <c r="AP245" s="126">
        <f t="shared" si="159"/>
        <v>0</v>
      </c>
      <c r="AQ245" s="125">
        <f t="shared" si="150"/>
        <v>30</v>
      </c>
      <c r="AR245" s="125">
        <f t="shared" ca="1" si="151"/>
        <v>30</v>
      </c>
      <c r="AS245" s="135">
        <f t="shared" si="152"/>
        <v>0</v>
      </c>
      <c r="AT245" s="125">
        <f t="shared" si="153"/>
        <v>0</v>
      </c>
      <c r="AU245" t="b">
        <f>OR((F245&gt;0),(NOT(ISBLANK(H245))),SUM(H245:H$373),SUM(G245:G$373))</f>
        <v>0</v>
      </c>
      <c r="AV245" t="b">
        <f t="shared" ca="1" si="135"/>
        <v>0</v>
      </c>
      <c r="AX245" s="228">
        <f>SUM(AW$5:AW245)</f>
        <v>-2.9166666666666665</v>
      </c>
    </row>
    <row r="246" spans="1:50">
      <c r="A246" s="308">
        <f t="shared" si="154"/>
        <v>42609</v>
      </c>
      <c r="B246" s="309">
        <f t="shared" si="155"/>
        <v>42609</v>
      </c>
      <c r="C246" s="310">
        <f t="shared" si="162"/>
        <v>35</v>
      </c>
      <c r="D246" s="311">
        <f t="shared" si="163"/>
        <v>42582</v>
      </c>
      <c r="E246" s="321" t="str">
        <f t="shared" si="136"/>
        <v/>
      </c>
      <c r="F246" s="5"/>
      <c r="G246" s="6" t="str">
        <f t="shared" si="137"/>
        <v/>
      </c>
      <c r="H246" s="7"/>
      <c r="I246" s="7">
        <f t="shared" si="138"/>
        <v>0</v>
      </c>
      <c r="J246" s="113">
        <f t="shared" si="126"/>
        <v>0</v>
      </c>
      <c r="K246" s="7"/>
      <c r="L246" s="7">
        <f t="shared" si="139"/>
        <v>0</v>
      </c>
      <c r="M246" s="113">
        <f t="shared" si="140"/>
        <v>0</v>
      </c>
      <c r="N246" s="113"/>
      <c r="O246" s="113">
        <f t="shared" si="127"/>
        <v>0</v>
      </c>
      <c r="P246" s="113"/>
      <c r="Q246" s="113">
        <f t="shared" si="141"/>
        <v>0</v>
      </c>
      <c r="R246" s="113">
        <f t="shared" si="142"/>
        <v>0</v>
      </c>
      <c r="S246" s="113">
        <f t="shared" si="160"/>
        <v>0</v>
      </c>
      <c r="T246" s="113">
        <f t="shared" si="143"/>
        <v>0</v>
      </c>
      <c r="U246" s="113">
        <f t="shared" si="161"/>
        <v>0</v>
      </c>
      <c r="V246" s="146">
        <f t="shared" si="144"/>
        <v>0</v>
      </c>
      <c r="W246" s="66"/>
      <c r="X246" s="115">
        <f t="shared" si="128"/>
        <v>3.125E-2</v>
      </c>
      <c r="Y246" s="110">
        <f t="shared" si="145"/>
        <v>0</v>
      </c>
      <c r="Z246" s="111">
        <f t="shared" si="164"/>
        <v>0.29166666666666669</v>
      </c>
      <c r="AA246" s="112">
        <f t="shared" si="146"/>
        <v>0</v>
      </c>
      <c r="AB246" s="67" t="str">
        <f t="shared" si="147"/>
        <v/>
      </c>
      <c r="AC246" s="193">
        <f t="shared" si="129"/>
        <v>0</v>
      </c>
      <c r="AD246" s="144" t="str">
        <f t="shared" si="130"/>
        <v/>
      </c>
      <c r="AE246" s="228">
        <f t="shared" si="156"/>
        <v>0</v>
      </c>
      <c r="AF246" s="110"/>
      <c r="AG246" s="110" t="str">
        <f t="shared" si="148"/>
        <v/>
      </c>
      <c r="AH246" s="68">
        <f t="shared" si="131"/>
        <v>0</v>
      </c>
      <c r="AI246" s="68">
        <f t="shared" si="132"/>
        <v>0</v>
      </c>
      <c r="AJ246" s="68" t="str">
        <f t="shared" si="133"/>
        <v/>
      </c>
      <c r="AK246">
        <f t="shared" si="134"/>
        <v>5</v>
      </c>
      <c r="AL246" s="122">
        <f>SUM($AD$6:AD246)</f>
        <v>0</v>
      </c>
      <c r="AM246" s="122">
        <f t="shared" ca="1" si="149"/>
        <v>0</v>
      </c>
      <c r="AN246" s="126">
        <f t="shared" si="157"/>
        <v>0</v>
      </c>
      <c r="AO246" s="126">
        <f t="shared" si="158"/>
        <v>0</v>
      </c>
      <c r="AP246" s="126">
        <f t="shared" si="159"/>
        <v>0</v>
      </c>
      <c r="AQ246" s="125">
        <f t="shared" si="150"/>
        <v>30</v>
      </c>
      <c r="AR246" s="125">
        <f t="shared" ca="1" si="151"/>
        <v>30</v>
      </c>
      <c r="AS246" s="135">
        <f t="shared" si="152"/>
        <v>0</v>
      </c>
      <c r="AT246" s="125">
        <f t="shared" si="153"/>
        <v>0</v>
      </c>
      <c r="AU246" t="b">
        <f>OR((F246&gt;0),(NOT(ISBLANK(H246))),SUM(H246:H$373),SUM(G246:G$373))</f>
        <v>0</v>
      </c>
      <c r="AV246" t="b">
        <f t="shared" ca="1" si="135"/>
        <v>0</v>
      </c>
      <c r="AX246" s="228">
        <f>SUM(AW$5:AW246)</f>
        <v>-2.9166666666666665</v>
      </c>
    </row>
    <row r="247" spans="1:50">
      <c r="A247" s="308">
        <f t="shared" si="154"/>
        <v>42610</v>
      </c>
      <c r="B247" s="309">
        <f t="shared" si="155"/>
        <v>42610</v>
      </c>
      <c r="C247" s="310">
        <f t="shared" si="162"/>
        <v>35</v>
      </c>
      <c r="D247" s="311">
        <f t="shared" si="163"/>
        <v>42582</v>
      </c>
      <c r="E247" s="321" t="str">
        <f t="shared" si="136"/>
        <v/>
      </c>
      <c r="F247" s="5"/>
      <c r="G247" s="6" t="str">
        <f t="shared" si="137"/>
        <v/>
      </c>
      <c r="H247" s="7"/>
      <c r="I247" s="7">
        <f t="shared" si="138"/>
        <v>0</v>
      </c>
      <c r="J247" s="113">
        <f t="shared" si="126"/>
        <v>0</v>
      </c>
      <c r="K247" s="7"/>
      <c r="L247" s="7">
        <f t="shared" si="139"/>
        <v>0</v>
      </c>
      <c r="M247" s="113">
        <f t="shared" si="140"/>
        <v>0</v>
      </c>
      <c r="N247" s="113"/>
      <c r="O247" s="113">
        <f t="shared" si="127"/>
        <v>0</v>
      </c>
      <c r="P247" s="113"/>
      <c r="Q247" s="113">
        <f t="shared" si="141"/>
        <v>0</v>
      </c>
      <c r="R247" s="113">
        <f t="shared" si="142"/>
        <v>0</v>
      </c>
      <c r="S247" s="113">
        <f t="shared" si="160"/>
        <v>0</v>
      </c>
      <c r="T247" s="113">
        <f t="shared" si="143"/>
        <v>0</v>
      </c>
      <c r="U247" s="113">
        <f t="shared" si="161"/>
        <v>0</v>
      </c>
      <c r="V247" s="146">
        <f t="shared" si="144"/>
        <v>0</v>
      </c>
      <c r="W247" s="66"/>
      <c r="X247" s="115">
        <f t="shared" si="128"/>
        <v>3.125E-2</v>
      </c>
      <c r="Y247" s="110">
        <f t="shared" si="145"/>
        <v>0</v>
      </c>
      <c r="Z247" s="111">
        <f t="shared" si="164"/>
        <v>0</v>
      </c>
      <c r="AA247" s="112">
        <f t="shared" si="146"/>
        <v>0</v>
      </c>
      <c r="AB247" s="67" t="str">
        <f t="shared" si="147"/>
        <v/>
      </c>
      <c r="AC247" s="193">
        <f t="shared" si="129"/>
        <v>0</v>
      </c>
      <c r="AD247" s="144" t="str">
        <f t="shared" si="130"/>
        <v/>
      </c>
      <c r="AE247" s="228">
        <f t="shared" si="156"/>
        <v>0</v>
      </c>
      <c r="AF247" s="110"/>
      <c r="AG247" s="110" t="str">
        <f t="shared" si="148"/>
        <v/>
      </c>
      <c r="AH247" s="68">
        <f t="shared" si="131"/>
        <v>0</v>
      </c>
      <c r="AI247" s="68">
        <f t="shared" si="132"/>
        <v>0</v>
      </c>
      <c r="AJ247" s="68" t="str">
        <f t="shared" si="133"/>
        <v/>
      </c>
      <c r="AK247">
        <f t="shared" si="134"/>
        <v>6</v>
      </c>
      <c r="AL247" s="122">
        <f>SUM($AD$6:AD247)</f>
        <v>0</v>
      </c>
      <c r="AM247" s="122">
        <f t="shared" ca="1" si="149"/>
        <v>0</v>
      </c>
      <c r="AN247" s="126">
        <f t="shared" si="157"/>
        <v>0</v>
      </c>
      <c r="AO247" s="126">
        <f t="shared" si="158"/>
        <v>0</v>
      </c>
      <c r="AP247" s="126">
        <f t="shared" si="159"/>
        <v>0</v>
      </c>
      <c r="AQ247" s="125">
        <f t="shared" si="150"/>
        <v>30</v>
      </c>
      <c r="AR247" s="125">
        <f t="shared" ca="1" si="151"/>
        <v>30</v>
      </c>
      <c r="AS247" s="135">
        <f t="shared" si="152"/>
        <v>0</v>
      </c>
      <c r="AT247" s="125">
        <f t="shared" si="153"/>
        <v>7</v>
      </c>
      <c r="AU247" t="b">
        <f>OR((F247&gt;0),(NOT(ISBLANK(H247))),SUM(H247:H$373),SUM(G247:G$373))</f>
        <v>0</v>
      </c>
      <c r="AV247" t="b">
        <f t="shared" ca="1" si="135"/>
        <v>1</v>
      </c>
      <c r="AX247" s="228">
        <f>SUM(AW$5:AW247)</f>
        <v>-2.9166666666666665</v>
      </c>
    </row>
    <row r="248" spans="1:50">
      <c r="A248" s="308">
        <f t="shared" si="154"/>
        <v>42611</v>
      </c>
      <c r="B248" s="309">
        <f t="shared" si="155"/>
        <v>42611</v>
      </c>
      <c r="C248" s="310">
        <f t="shared" si="162"/>
        <v>35</v>
      </c>
      <c r="D248" s="311">
        <f t="shared" si="163"/>
        <v>42582</v>
      </c>
      <c r="E248" s="321" t="str">
        <f t="shared" si="136"/>
        <v/>
      </c>
      <c r="F248" s="5"/>
      <c r="G248" s="6" t="str">
        <f t="shared" si="137"/>
        <v/>
      </c>
      <c r="H248" s="7"/>
      <c r="I248" s="7">
        <f t="shared" si="138"/>
        <v>0</v>
      </c>
      <c r="J248" s="113">
        <f t="shared" si="126"/>
        <v>0</v>
      </c>
      <c r="K248" s="7"/>
      <c r="L248" s="7">
        <f t="shared" si="139"/>
        <v>0</v>
      </c>
      <c r="M248" s="113">
        <f t="shared" si="140"/>
        <v>0</v>
      </c>
      <c r="N248" s="113"/>
      <c r="O248" s="113">
        <f t="shared" si="127"/>
        <v>0</v>
      </c>
      <c r="P248" s="113"/>
      <c r="Q248" s="113">
        <f t="shared" si="141"/>
        <v>0</v>
      </c>
      <c r="R248" s="113">
        <f t="shared" si="142"/>
        <v>0</v>
      </c>
      <c r="S248" s="113">
        <f t="shared" si="160"/>
        <v>0</v>
      </c>
      <c r="T248" s="113">
        <f t="shared" si="143"/>
        <v>0</v>
      </c>
      <c r="U248" s="113">
        <f t="shared" si="161"/>
        <v>0</v>
      </c>
      <c r="V248" s="146">
        <f t="shared" si="144"/>
        <v>0</v>
      </c>
      <c r="W248" s="66"/>
      <c r="X248" s="115">
        <f t="shared" si="128"/>
        <v>3.125E-2</v>
      </c>
      <c r="Y248" s="110">
        <f t="shared" si="145"/>
        <v>0</v>
      </c>
      <c r="Z248" s="111">
        <f t="shared" si="164"/>
        <v>0</v>
      </c>
      <c r="AA248" s="112">
        <f t="shared" si="146"/>
        <v>0</v>
      </c>
      <c r="AB248" s="67" t="str">
        <f t="shared" si="147"/>
        <v/>
      </c>
      <c r="AC248" s="193">
        <f t="shared" si="129"/>
        <v>0</v>
      </c>
      <c r="AD248" s="144" t="str">
        <f t="shared" si="130"/>
        <v/>
      </c>
      <c r="AE248" s="228">
        <f t="shared" si="156"/>
        <v>0</v>
      </c>
      <c r="AF248" s="110"/>
      <c r="AG248" s="110" t="str">
        <f t="shared" si="148"/>
        <v/>
      </c>
      <c r="AH248" s="68">
        <f t="shared" si="131"/>
        <v>0</v>
      </c>
      <c r="AI248" s="68">
        <f t="shared" si="132"/>
        <v>0</v>
      </c>
      <c r="AJ248" s="68" t="str">
        <f t="shared" si="133"/>
        <v/>
      </c>
      <c r="AK248">
        <f t="shared" si="134"/>
        <v>7</v>
      </c>
      <c r="AL248" s="122">
        <f>SUM($AD$6:AD248)</f>
        <v>0</v>
      </c>
      <c r="AM248" s="122">
        <f t="shared" ca="1" si="149"/>
        <v>0</v>
      </c>
      <c r="AN248" s="126">
        <f t="shared" si="157"/>
        <v>0</v>
      </c>
      <c r="AO248" s="126">
        <f t="shared" si="158"/>
        <v>0</v>
      </c>
      <c r="AP248" s="126">
        <f t="shared" si="159"/>
        <v>0</v>
      </c>
      <c r="AQ248" s="125">
        <f t="shared" si="150"/>
        <v>30</v>
      </c>
      <c r="AR248" s="125">
        <f t="shared" ca="1" si="151"/>
        <v>30</v>
      </c>
      <c r="AS248" s="135">
        <f t="shared" si="152"/>
        <v>0</v>
      </c>
      <c r="AT248" s="125">
        <f t="shared" si="153"/>
        <v>7</v>
      </c>
      <c r="AU248" t="b">
        <f>OR((F248&gt;0),(NOT(ISBLANK(H248))),SUM(H248:H$373),SUM(G248:G$373))</f>
        <v>0</v>
      </c>
      <c r="AV248" t="b">
        <f t="shared" ca="1" si="135"/>
        <v>1</v>
      </c>
      <c r="AX248" s="228">
        <f>SUM(AW$5:AW248)</f>
        <v>-2.9166666666666665</v>
      </c>
    </row>
    <row r="249" spans="1:50">
      <c r="A249" s="308">
        <f t="shared" si="154"/>
        <v>42612</v>
      </c>
      <c r="B249" s="309">
        <f t="shared" si="155"/>
        <v>42612</v>
      </c>
      <c r="C249" s="310">
        <f t="shared" si="162"/>
        <v>36</v>
      </c>
      <c r="D249" s="311">
        <f t="shared" si="163"/>
        <v>42582</v>
      </c>
      <c r="E249" s="321" t="str">
        <f t="shared" si="136"/>
        <v/>
      </c>
      <c r="F249" s="5"/>
      <c r="G249" s="6" t="str">
        <f t="shared" si="137"/>
        <v/>
      </c>
      <c r="H249" s="7"/>
      <c r="I249" s="7">
        <f t="shared" si="138"/>
        <v>0</v>
      </c>
      <c r="J249" s="113">
        <f t="shared" si="126"/>
        <v>0</v>
      </c>
      <c r="K249" s="7"/>
      <c r="L249" s="7">
        <f t="shared" si="139"/>
        <v>0</v>
      </c>
      <c r="M249" s="113">
        <f t="shared" si="140"/>
        <v>0</v>
      </c>
      <c r="N249" s="113"/>
      <c r="O249" s="113">
        <f t="shared" si="127"/>
        <v>0</v>
      </c>
      <c r="P249" s="113"/>
      <c r="Q249" s="113">
        <f t="shared" si="141"/>
        <v>0</v>
      </c>
      <c r="R249" s="113">
        <f t="shared" si="142"/>
        <v>0</v>
      </c>
      <c r="S249" s="113">
        <f t="shared" si="160"/>
        <v>0</v>
      </c>
      <c r="T249" s="113">
        <f t="shared" si="143"/>
        <v>0</v>
      </c>
      <c r="U249" s="113">
        <f t="shared" si="161"/>
        <v>0</v>
      </c>
      <c r="V249" s="146">
        <f t="shared" si="144"/>
        <v>0</v>
      </c>
      <c r="W249" s="66"/>
      <c r="X249" s="115">
        <f t="shared" si="128"/>
        <v>3.125E-2</v>
      </c>
      <c r="Y249" s="110">
        <f t="shared" si="145"/>
        <v>0</v>
      </c>
      <c r="Z249" s="111">
        <f t="shared" si="164"/>
        <v>0.29166666666666669</v>
      </c>
      <c r="AA249" s="112">
        <f t="shared" si="146"/>
        <v>0</v>
      </c>
      <c r="AB249" s="67" t="str">
        <f t="shared" si="147"/>
        <v/>
      </c>
      <c r="AC249" s="193">
        <f t="shared" si="129"/>
        <v>0</v>
      </c>
      <c r="AD249" s="144" t="str">
        <f t="shared" si="130"/>
        <v/>
      </c>
      <c r="AE249" s="228">
        <f t="shared" si="156"/>
        <v>0</v>
      </c>
      <c r="AF249" s="110"/>
      <c r="AG249" s="110" t="str">
        <f t="shared" si="148"/>
        <v/>
      </c>
      <c r="AH249" s="68">
        <f t="shared" si="131"/>
        <v>0</v>
      </c>
      <c r="AI249" s="68">
        <f t="shared" si="132"/>
        <v>0</v>
      </c>
      <c r="AJ249" s="68" t="str">
        <f t="shared" si="133"/>
        <v/>
      </c>
      <c r="AK249">
        <f t="shared" si="134"/>
        <v>1</v>
      </c>
      <c r="AL249" s="122">
        <f>SUM($AD$6:AD249)</f>
        <v>0</v>
      </c>
      <c r="AM249" s="122">
        <f t="shared" ca="1" si="149"/>
        <v>0</v>
      </c>
      <c r="AN249" s="126">
        <f t="shared" si="157"/>
        <v>0</v>
      </c>
      <c r="AO249" s="126">
        <f t="shared" si="158"/>
        <v>0</v>
      </c>
      <c r="AP249" s="126">
        <f t="shared" si="159"/>
        <v>0</v>
      </c>
      <c r="AQ249" s="125">
        <f t="shared" si="150"/>
        <v>30</v>
      </c>
      <c r="AR249" s="125">
        <f t="shared" ca="1" si="151"/>
        <v>30</v>
      </c>
      <c r="AS249" s="135">
        <f t="shared" si="152"/>
        <v>0</v>
      </c>
      <c r="AT249" s="125">
        <f t="shared" si="153"/>
        <v>0</v>
      </c>
      <c r="AU249" t="b">
        <f>OR((F249&gt;0),(NOT(ISBLANK(H249))),SUM(H249:H$373),SUM(G249:G$373))</f>
        <v>0</v>
      </c>
      <c r="AV249" t="b">
        <f t="shared" ca="1" si="135"/>
        <v>0</v>
      </c>
      <c r="AX249" s="228">
        <f>SUM(AW$5:AW249)</f>
        <v>-2.9166666666666665</v>
      </c>
    </row>
    <row r="250" spans="1:50">
      <c r="A250" s="308">
        <f t="shared" si="154"/>
        <v>42613</v>
      </c>
      <c r="B250" s="309">
        <f t="shared" si="155"/>
        <v>42613</v>
      </c>
      <c r="C250" s="310">
        <f t="shared" si="162"/>
        <v>36</v>
      </c>
      <c r="D250" s="311">
        <f t="shared" si="163"/>
        <v>42613</v>
      </c>
      <c r="E250" s="321" t="str">
        <f t="shared" si="136"/>
        <v/>
      </c>
      <c r="F250" s="5"/>
      <c r="G250" s="6" t="str">
        <f t="shared" si="137"/>
        <v/>
      </c>
      <c r="H250" s="7"/>
      <c r="I250" s="7">
        <f t="shared" si="138"/>
        <v>0</v>
      </c>
      <c r="J250" s="113">
        <f t="shared" si="126"/>
        <v>0</v>
      </c>
      <c r="K250" s="7"/>
      <c r="L250" s="7">
        <f t="shared" si="139"/>
        <v>0</v>
      </c>
      <c r="M250" s="113">
        <f t="shared" si="140"/>
        <v>0</v>
      </c>
      <c r="N250" s="113"/>
      <c r="O250" s="113">
        <f t="shared" si="127"/>
        <v>0</v>
      </c>
      <c r="P250" s="113"/>
      <c r="Q250" s="113">
        <f t="shared" si="141"/>
        <v>0</v>
      </c>
      <c r="R250" s="113">
        <f t="shared" si="142"/>
        <v>0</v>
      </c>
      <c r="S250" s="113">
        <f t="shared" si="160"/>
        <v>0</v>
      </c>
      <c r="T250" s="113">
        <f t="shared" si="143"/>
        <v>0</v>
      </c>
      <c r="U250" s="113">
        <f t="shared" si="161"/>
        <v>0</v>
      </c>
      <c r="V250" s="146">
        <f t="shared" si="144"/>
        <v>0</v>
      </c>
      <c r="W250" s="66"/>
      <c r="X250" s="115">
        <f t="shared" si="128"/>
        <v>3.125E-2</v>
      </c>
      <c r="Y250" s="110">
        <f t="shared" si="145"/>
        <v>0</v>
      </c>
      <c r="Z250" s="111">
        <f t="shared" si="164"/>
        <v>0.29166666666666669</v>
      </c>
      <c r="AA250" s="112">
        <f t="shared" si="146"/>
        <v>0</v>
      </c>
      <c r="AB250" s="67" t="str">
        <f t="shared" si="147"/>
        <v/>
      </c>
      <c r="AC250" s="193">
        <f t="shared" si="129"/>
        <v>0</v>
      </c>
      <c r="AD250" s="144" t="str">
        <f t="shared" si="130"/>
        <v/>
      </c>
      <c r="AE250" s="228">
        <f t="shared" si="156"/>
        <v>0</v>
      </c>
      <c r="AF250" s="110"/>
      <c r="AG250" s="110" t="str">
        <f t="shared" si="148"/>
        <v/>
      </c>
      <c r="AH250" s="68">
        <f t="shared" si="131"/>
        <v>0</v>
      </c>
      <c r="AI250" s="68">
        <f t="shared" si="132"/>
        <v>0</v>
      </c>
      <c r="AJ250" s="68" t="str">
        <f t="shared" si="133"/>
        <v/>
      </c>
      <c r="AK250">
        <f t="shared" si="134"/>
        <v>2</v>
      </c>
      <c r="AL250" s="122">
        <f>SUM($AD$6:AD250)</f>
        <v>0</v>
      </c>
      <c r="AM250" s="122">
        <f t="shared" ca="1" si="149"/>
        <v>0</v>
      </c>
      <c r="AN250" s="126">
        <f t="shared" si="157"/>
        <v>0</v>
      </c>
      <c r="AO250" s="126">
        <f t="shared" si="158"/>
        <v>0</v>
      </c>
      <c r="AP250" s="126">
        <f t="shared" si="159"/>
        <v>0</v>
      </c>
      <c r="AQ250" s="125">
        <f t="shared" si="150"/>
        <v>30</v>
      </c>
      <c r="AR250" s="125">
        <f t="shared" ca="1" si="151"/>
        <v>30</v>
      </c>
      <c r="AS250" s="135">
        <f t="shared" si="152"/>
        <v>0</v>
      </c>
      <c r="AT250" s="125">
        <f t="shared" si="153"/>
        <v>0</v>
      </c>
      <c r="AU250" t="b">
        <f>OR((F250&gt;0),(NOT(ISBLANK(H250))),SUM(H250:H$373),SUM(G250:G$373))</f>
        <v>0</v>
      </c>
      <c r="AV250" t="b">
        <f t="shared" ca="1" si="135"/>
        <v>0</v>
      </c>
      <c r="AX250" s="228">
        <f>SUM(AW$5:AW250)</f>
        <v>-2.9166666666666665</v>
      </c>
    </row>
    <row r="251" spans="1:50">
      <c r="A251" s="308">
        <f t="shared" si="154"/>
        <v>42614</v>
      </c>
      <c r="B251" s="309">
        <f t="shared" si="155"/>
        <v>42614</v>
      </c>
      <c r="C251" s="310">
        <f t="shared" si="162"/>
        <v>36</v>
      </c>
      <c r="D251" s="311">
        <f t="shared" si="163"/>
        <v>42613</v>
      </c>
      <c r="E251" s="321" t="str">
        <f t="shared" si="136"/>
        <v/>
      </c>
      <c r="F251" s="5"/>
      <c r="G251" s="6" t="str">
        <f t="shared" si="137"/>
        <v/>
      </c>
      <c r="H251" s="7"/>
      <c r="I251" s="7">
        <f t="shared" si="138"/>
        <v>0</v>
      </c>
      <c r="J251" s="113">
        <f t="shared" si="126"/>
        <v>0</v>
      </c>
      <c r="K251" s="7"/>
      <c r="L251" s="7">
        <f t="shared" si="139"/>
        <v>0</v>
      </c>
      <c r="M251" s="113">
        <f t="shared" si="140"/>
        <v>0</v>
      </c>
      <c r="N251" s="113"/>
      <c r="O251" s="113">
        <f t="shared" si="127"/>
        <v>0</v>
      </c>
      <c r="P251" s="113"/>
      <c r="Q251" s="113">
        <f t="shared" si="141"/>
        <v>0</v>
      </c>
      <c r="R251" s="113">
        <f t="shared" si="142"/>
        <v>0</v>
      </c>
      <c r="S251" s="113">
        <f t="shared" si="160"/>
        <v>0</v>
      </c>
      <c r="T251" s="113">
        <f t="shared" si="143"/>
        <v>0</v>
      </c>
      <c r="U251" s="113">
        <f t="shared" si="161"/>
        <v>0</v>
      </c>
      <c r="V251" s="146">
        <f t="shared" si="144"/>
        <v>0</v>
      </c>
      <c r="W251" s="66"/>
      <c r="X251" s="115">
        <f t="shared" si="128"/>
        <v>3.125E-2</v>
      </c>
      <c r="Y251" s="110">
        <f t="shared" si="145"/>
        <v>0</v>
      </c>
      <c r="Z251" s="111">
        <f t="shared" si="164"/>
        <v>0.29166666666666669</v>
      </c>
      <c r="AA251" s="112">
        <f t="shared" si="146"/>
        <v>0</v>
      </c>
      <c r="AB251" s="67" t="str">
        <f t="shared" si="147"/>
        <v/>
      </c>
      <c r="AC251" s="193">
        <f t="shared" si="129"/>
        <v>0</v>
      </c>
      <c r="AD251" s="144" t="str">
        <f t="shared" si="130"/>
        <v/>
      </c>
      <c r="AE251" s="228">
        <f t="shared" si="156"/>
        <v>0</v>
      </c>
      <c r="AF251" s="110"/>
      <c r="AG251" s="110" t="str">
        <f t="shared" si="148"/>
        <v/>
      </c>
      <c r="AH251" s="68">
        <f t="shared" si="131"/>
        <v>0</v>
      </c>
      <c r="AI251" s="68">
        <f t="shared" si="132"/>
        <v>0</v>
      </c>
      <c r="AJ251" s="68" t="str">
        <f t="shared" si="133"/>
        <v/>
      </c>
      <c r="AK251">
        <f t="shared" si="134"/>
        <v>3</v>
      </c>
      <c r="AL251" s="122">
        <f>SUM($AD$6:AD251)</f>
        <v>0</v>
      </c>
      <c r="AM251" s="122">
        <f t="shared" ca="1" si="149"/>
        <v>0</v>
      </c>
      <c r="AN251" s="126">
        <f t="shared" si="157"/>
        <v>0</v>
      </c>
      <c r="AO251" s="126">
        <f t="shared" si="158"/>
        <v>0</v>
      </c>
      <c r="AP251" s="126">
        <f t="shared" si="159"/>
        <v>0</v>
      </c>
      <c r="AQ251" s="125">
        <f t="shared" si="150"/>
        <v>30</v>
      </c>
      <c r="AR251" s="125">
        <f t="shared" ca="1" si="151"/>
        <v>30</v>
      </c>
      <c r="AS251" s="135">
        <f t="shared" si="152"/>
        <v>0</v>
      </c>
      <c r="AT251" s="125">
        <f t="shared" si="153"/>
        <v>0</v>
      </c>
      <c r="AU251" t="b">
        <f>OR((F251&gt;0),(NOT(ISBLANK(H251))),SUM(H251:H$373),SUM(G251:G$373))</f>
        <v>0</v>
      </c>
      <c r="AV251" t="b">
        <f t="shared" ca="1" si="135"/>
        <v>0</v>
      </c>
      <c r="AX251" s="228">
        <f>SUM(AW$5:AW251)</f>
        <v>-2.9166666666666665</v>
      </c>
    </row>
    <row r="252" spans="1:50">
      <c r="A252" s="308">
        <f t="shared" si="154"/>
        <v>42615</v>
      </c>
      <c r="B252" s="309">
        <f t="shared" si="155"/>
        <v>42615</v>
      </c>
      <c r="C252" s="310">
        <f t="shared" si="162"/>
        <v>36</v>
      </c>
      <c r="D252" s="311">
        <f t="shared" si="163"/>
        <v>42613</v>
      </c>
      <c r="E252" s="321" t="str">
        <f t="shared" si="136"/>
        <v/>
      </c>
      <c r="F252" s="5"/>
      <c r="G252" s="6" t="str">
        <f t="shared" si="137"/>
        <v/>
      </c>
      <c r="H252" s="7"/>
      <c r="I252" s="7">
        <f t="shared" si="138"/>
        <v>0</v>
      </c>
      <c r="J252" s="113">
        <f t="shared" si="126"/>
        <v>0</v>
      </c>
      <c r="K252" s="7"/>
      <c r="L252" s="7">
        <f t="shared" si="139"/>
        <v>0</v>
      </c>
      <c r="M252" s="113">
        <f t="shared" si="140"/>
        <v>0</v>
      </c>
      <c r="N252" s="113"/>
      <c r="O252" s="113">
        <f t="shared" si="127"/>
        <v>0</v>
      </c>
      <c r="P252" s="113"/>
      <c r="Q252" s="113">
        <f t="shared" si="141"/>
        <v>0</v>
      </c>
      <c r="R252" s="113">
        <f t="shared" si="142"/>
        <v>0</v>
      </c>
      <c r="S252" s="113">
        <f t="shared" si="160"/>
        <v>0</v>
      </c>
      <c r="T252" s="113">
        <f t="shared" si="143"/>
        <v>0</v>
      </c>
      <c r="U252" s="113">
        <f t="shared" si="161"/>
        <v>0</v>
      </c>
      <c r="V252" s="146">
        <f t="shared" si="144"/>
        <v>0</v>
      </c>
      <c r="W252" s="66"/>
      <c r="X252" s="115">
        <f t="shared" si="128"/>
        <v>3.125E-2</v>
      </c>
      <c r="Y252" s="110">
        <f t="shared" si="145"/>
        <v>0</v>
      </c>
      <c r="Z252" s="111">
        <f t="shared" si="164"/>
        <v>0.29166666666666669</v>
      </c>
      <c r="AA252" s="112">
        <f t="shared" si="146"/>
        <v>0</v>
      </c>
      <c r="AB252" s="67" t="str">
        <f t="shared" si="147"/>
        <v/>
      </c>
      <c r="AC252" s="193">
        <f t="shared" si="129"/>
        <v>0</v>
      </c>
      <c r="AD252" s="144" t="str">
        <f t="shared" si="130"/>
        <v/>
      </c>
      <c r="AE252" s="228">
        <f t="shared" si="156"/>
        <v>0</v>
      </c>
      <c r="AF252" s="110"/>
      <c r="AG252" s="110" t="str">
        <f t="shared" si="148"/>
        <v/>
      </c>
      <c r="AH252" s="68">
        <f t="shared" si="131"/>
        <v>0</v>
      </c>
      <c r="AI252" s="68">
        <f t="shared" si="132"/>
        <v>0</v>
      </c>
      <c r="AJ252" s="68" t="str">
        <f t="shared" si="133"/>
        <v/>
      </c>
      <c r="AK252">
        <f t="shared" si="134"/>
        <v>4</v>
      </c>
      <c r="AL252" s="122">
        <f>SUM($AD$6:AD252)</f>
        <v>0</v>
      </c>
      <c r="AM252" s="122">
        <f t="shared" ca="1" si="149"/>
        <v>0</v>
      </c>
      <c r="AN252" s="126">
        <f t="shared" si="157"/>
        <v>0</v>
      </c>
      <c r="AO252" s="126">
        <f t="shared" si="158"/>
        <v>0</v>
      </c>
      <c r="AP252" s="126">
        <f t="shared" si="159"/>
        <v>0</v>
      </c>
      <c r="AQ252" s="125">
        <f t="shared" si="150"/>
        <v>30</v>
      </c>
      <c r="AR252" s="125">
        <f t="shared" ca="1" si="151"/>
        <v>30</v>
      </c>
      <c r="AS252" s="135">
        <f t="shared" si="152"/>
        <v>0</v>
      </c>
      <c r="AT252" s="125">
        <f t="shared" si="153"/>
        <v>0</v>
      </c>
      <c r="AU252" t="b">
        <f>OR((F252&gt;0),(NOT(ISBLANK(H252))),SUM(H252:H$373),SUM(G252:G$373))</f>
        <v>0</v>
      </c>
      <c r="AV252" t="b">
        <f t="shared" ca="1" si="135"/>
        <v>0</v>
      </c>
      <c r="AX252" s="228">
        <f>SUM(AW$5:AW252)</f>
        <v>-2.9166666666666665</v>
      </c>
    </row>
    <row r="253" spans="1:50">
      <c r="A253" s="308">
        <f t="shared" si="154"/>
        <v>42616</v>
      </c>
      <c r="B253" s="309">
        <f t="shared" si="155"/>
        <v>42616</v>
      </c>
      <c r="C253" s="310">
        <f t="shared" si="162"/>
        <v>36</v>
      </c>
      <c r="D253" s="311">
        <f t="shared" si="163"/>
        <v>42613</v>
      </c>
      <c r="E253" s="321" t="str">
        <f t="shared" si="136"/>
        <v/>
      </c>
      <c r="F253" s="5"/>
      <c r="G253" s="6" t="str">
        <f t="shared" si="137"/>
        <v/>
      </c>
      <c r="H253" s="7"/>
      <c r="I253" s="7">
        <f t="shared" si="138"/>
        <v>0</v>
      </c>
      <c r="J253" s="113">
        <f t="shared" si="126"/>
        <v>0</v>
      </c>
      <c r="K253" s="7"/>
      <c r="L253" s="7">
        <f t="shared" si="139"/>
        <v>0</v>
      </c>
      <c r="M253" s="113">
        <f t="shared" si="140"/>
        <v>0</v>
      </c>
      <c r="N253" s="113"/>
      <c r="O253" s="113">
        <f t="shared" si="127"/>
        <v>0</v>
      </c>
      <c r="P253" s="113"/>
      <c r="Q253" s="113">
        <f t="shared" si="141"/>
        <v>0</v>
      </c>
      <c r="R253" s="113">
        <f t="shared" si="142"/>
        <v>0</v>
      </c>
      <c r="S253" s="113">
        <f t="shared" si="160"/>
        <v>0</v>
      </c>
      <c r="T253" s="113">
        <f t="shared" si="143"/>
        <v>0</v>
      </c>
      <c r="U253" s="113">
        <f t="shared" si="161"/>
        <v>0</v>
      </c>
      <c r="V253" s="146">
        <f t="shared" si="144"/>
        <v>0</v>
      </c>
      <c r="W253" s="66"/>
      <c r="X253" s="115">
        <f t="shared" si="128"/>
        <v>3.125E-2</v>
      </c>
      <c r="Y253" s="110">
        <f t="shared" si="145"/>
        <v>0</v>
      </c>
      <c r="Z253" s="111">
        <f t="shared" si="164"/>
        <v>0.29166666666666669</v>
      </c>
      <c r="AA253" s="112">
        <f t="shared" si="146"/>
        <v>0</v>
      </c>
      <c r="AB253" s="67" t="str">
        <f t="shared" si="147"/>
        <v/>
      </c>
      <c r="AC253" s="193">
        <f t="shared" si="129"/>
        <v>0</v>
      </c>
      <c r="AD253" s="144" t="str">
        <f t="shared" si="130"/>
        <v/>
      </c>
      <c r="AE253" s="228">
        <f t="shared" si="156"/>
        <v>0</v>
      </c>
      <c r="AF253" s="110"/>
      <c r="AG253" s="110" t="str">
        <f t="shared" si="148"/>
        <v/>
      </c>
      <c r="AH253" s="68">
        <f t="shared" si="131"/>
        <v>0</v>
      </c>
      <c r="AI253" s="68">
        <f t="shared" si="132"/>
        <v>0</v>
      </c>
      <c r="AJ253" s="68" t="str">
        <f t="shared" si="133"/>
        <v/>
      </c>
      <c r="AK253">
        <f t="shared" si="134"/>
        <v>5</v>
      </c>
      <c r="AL253" s="122">
        <f>SUM($AD$6:AD253)</f>
        <v>0</v>
      </c>
      <c r="AM253" s="122">
        <f t="shared" ca="1" si="149"/>
        <v>0</v>
      </c>
      <c r="AN253" s="126">
        <f t="shared" si="157"/>
        <v>0</v>
      </c>
      <c r="AO253" s="126">
        <f t="shared" si="158"/>
        <v>0</v>
      </c>
      <c r="AP253" s="126">
        <f t="shared" si="159"/>
        <v>0</v>
      </c>
      <c r="AQ253" s="125">
        <f t="shared" si="150"/>
        <v>30</v>
      </c>
      <c r="AR253" s="125">
        <f t="shared" ca="1" si="151"/>
        <v>30</v>
      </c>
      <c r="AS253" s="135">
        <f t="shared" si="152"/>
        <v>0</v>
      </c>
      <c r="AT253" s="125">
        <f t="shared" si="153"/>
        <v>0</v>
      </c>
      <c r="AU253" t="b">
        <f>OR((F253&gt;0),(NOT(ISBLANK(H253))),SUM(H253:H$373),SUM(G253:G$373))</f>
        <v>0</v>
      </c>
      <c r="AV253" t="b">
        <f t="shared" ca="1" si="135"/>
        <v>0</v>
      </c>
      <c r="AX253" s="228">
        <f>SUM(AW$5:AW253)</f>
        <v>-2.9166666666666665</v>
      </c>
    </row>
    <row r="254" spans="1:50">
      <c r="A254" s="308">
        <f t="shared" si="154"/>
        <v>42617</v>
      </c>
      <c r="B254" s="309">
        <f t="shared" si="155"/>
        <v>42617</v>
      </c>
      <c r="C254" s="310">
        <f t="shared" si="162"/>
        <v>36</v>
      </c>
      <c r="D254" s="311">
        <f t="shared" si="163"/>
        <v>42613</v>
      </c>
      <c r="E254" s="321" t="str">
        <f t="shared" si="136"/>
        <v/>
      </c>
      <c r="F254" s="5"/>
      <c r="G254" s="6" t="str">
        <f t="shared" si="137"/>
        <v/>
      </c>
      <c r="H254" s="7"/>
      <c r="I254" s="7">
        <f t="shared" si="138"/>
        <v>0</v>
      </c>
      <c r="J254" s="113">
        <f t="shared" si="126"/>
        <v>0</v>
      </c>
      <c r="K254" s="7"/>
      <c r="L254" s="7">
        <f t="shared" si="139"/>
        <v>0</v>
      </c>
      <c r="M254" s="113">
        <f t="shared" si="140"/>
        <v>0</v>
      </c>
      <c r="N254" s="113"/>
      <c r="O254" s="113">
        <f t="shared" si="127"/>
        <v>0</v>
      </c>
      <c r="P254" s="113"/>
      <c r="Q254" s="113">
        <f t="shared" si="141"/>
        <v>0</v>
      </c>
      <c r="R254" s="113">
        <f t="shared" si="142"/>
        <v>0</v>
      </c>
      <c r="S254" s="113">
        <f t="shared" si="160"/>
        <v>0</v>
      </c>
      <c r="T254" s="113">
        <f t="shared" si="143"/>
        <v>0</v>
      </c>
      <c r="U254" s="113">
        <f t="shared" si="161"/>
        <v>0</v>
      </c>
      <c r="V254" s="146">
        <f t="shared" si="144"/>
        <v>0</v>
      </c>
      <c r="W254" s="66"/>
      <c r="X254" s="115">
        <f t="shared" si="128"/>
        <v>3.125E-2</v>
      </c>
      <c r="Y254" s="110">
        <f t="shared" si="145"/>
        <v>0</v>
      </c>
      <c r="Z254" s="111">
        <f t="shared" si="164"/>
        <v>0</v>
      </c>
      <c r="AA254" s="112">
        <f t="shared" si="146"/>
        <v>0</v>
      </c>
      <c r="AB254" s="67" t="str">
        <f t="shared" si="147"/>
        <v/>
      </c>
      <c r="AC254" s="193">
        <f t="shared" si="129"/>
        <v>0</v>
      </c>
      <c r="AD254" s="144" t="str">
        <f t="shared" si="130"/>
        <v/>
      </c>
      <c r="AE254" s="228">
        <f t="shared" si="156"/>
        <v>0</v>
      </c>
      <c r="AF254" s="110"/>
      <c r="AG254" s="110" t="str">
        <f t="shared" si="148"/>
        <v/>
      </c>
      <c r="AH254" s="68">
        <f t="shared" si="131"/>
        <v>0</v>
      </c>
      <c r="AI254" s="68">
        <f t="shared" si="132"/>
        <v>0</v>
      </c>
      <c r="AJ254" s="68" t="str">
        <f t="shared" si="133"/>
        <v/>
      </c>
      <c r="AK254">
        <f t="shared" si="134"/>
        <v>6</v>
      </c>
      <c r="AL254" s="122">
        <f>SUM($AD$6:AD254)</f>
        <v>0</v>
      </c>
      <c r="AM254" s="122">
        <f t="shared" ca="1" si="149"/>
        <v>0</v>
      </c>
      <c r="AN254" s="126">
        <f t="shared" si="157"/>
        <v>0</v>
      </c>
      <c r="AO254" s="126">
        <f t="shared" si="158"/>
        <v>0</v>
      </c>
      <c r="AP254" s="126">
        <f t="shared" si="159"/>
        <v>0</v>
      </c>
      <c r="AQ254" s="125">
        <f t="shared" si="150"/>
        <v>30</v>
      </c>
      <c r="AR254" s="125">
        <f t="shared" ca="1" si="151"/>
        <v>30</v>
      </c>
      <c r="AS254" s="135">
        <f t="shared" si="152"/>
        <v>0</v>
      </c>
      <c r="AT254" s="125">
        <f t="shared" si="153"/>
        <v>7</v>
      </c>
      <c r="AU254" t="b">
        <f>OR((F254&gt;0),(NOT(ISBLANK(H254))),SUM(H254:H$373),SUM(G254:G$373))</f>
        <v>0</v>
      </c>
      <c r="AV254" t="b">
        <f t="shared" ca="1" si="135"/>
        <v>1</v>
      </c>
      <c r="AX254" s="228">
        <f>SUM(AW$5:AW254)</f>
        <v>-2.9166666666666665</v>
      </c>
    </row>
    <row r="255" spans="1:50">
      <c r="A255" s="308">
        <f t="shared" si="154"/>
        <v>42618</v>
      </c>
      <c r="B255" s="309">
        <f t="shared" si="155"/>
        <v>42618</v>
      </c>
      <c r="C255" s="310">
        <f t="shared" si="162"/>
        <v>36</v>
      </c>
      <c r="D255" s="311">
        <f t="shared" si="163"/>
        <v>42613</v>
      </c>
      <c r="E255" s="321" t="str">
        <f t="shared" si="136"/>
        <v/>
      </c>
      <c r="F255" s="5"/>
      <c r="G255" s="6" t="str">
        <f t="shared" si="137"/>
        <v/>
      </c>
      <c r="H255" s="7"/>
      <c r="I255" s="7">
        <f t="shared" si="138"/>
        <v>0</v>
      </c>
      <c r="J255" s="113">
        <f t="shared" si="126"/>
        <v>0</v>
      </c>
      <c r="K255" s="7"/>
      <c r="L255" s="7">
        <f t="shared" si="139"/>
        <v>0</v>
      </c>
      <c r="M255" s="113">
        <f t="shared" si="140"/>
        <v>0</v>
      </c>
      <c r="N255" s="113"/>
      <c r="O255" s="113">
        <f t="shared" si="127"/>
        <v>0</v>
      </c>
      <c r="P255" s="113"/>
      <c r="Q255" s="113">
        <f t="shared" si="141"/>
        <v>0</v>
      </c>
      <c r="R255" s="113">
        <f t="shared" si="142"/>
        <v>0</v>
      </c>
      <c r="S255" s="113">
        <f t="shared" si="160"/>
        <v>0</v>
      </c>
      <c r="T255" s="113">
        <f t="shared" si="143"/>
        <v>0</v>
      </c>
      <c r="U255" s="113">
        <f t="shared" si="161"/>
        <v>0</v>
      </c>
      <c r="V255" s="146">
        <f t="shared" si="144"/>
        <v>0</v>
      </c>
      <c r="W255" s="66"/>
      <c r="X255" s="115">
        <f t="shared" si="128"/>
        <v>3.125E-2</v>
      </c>
      <c r="Y255" s="110">
        <f t="shared" si="145"/>
        <v>0</v>
      </c>
      <c r="Z255" s="111">
        <f t="shared" si="164"/>
        <v>0</v>
      </c>
      <c r="AA255" s="112">
        <f t="shared" si="146"/>
        <v>0</v>
      </c>
      <c r="AB255" s="67" t="str">
        <f t="shared" si="147"/>
        <v/>
      </c>
      <c r="AC255" s="193">
        <f t="shared" si="129"/>
        <v>0</v>
      </c>
      <c r="AD255" s="144" t="str">
        <f t="shared" si="130"/>
        <v/>
      </c>
      <c r="AE255" s="228">
        <f t="shared" si="156"/>
        <v>0</v>
      </c>
      <c r="AF255" s="110"/>
      <c r="AG255" s="110" t="str">
        <f t="shared" si="148"/>
        <v/>
      </c>
      <c r="AH255" s="68">
        <f t="shared" si="131"/>
        <v>0</v>
      </c>
      <c r="AI255" s="68">
        <f t="shared" si="132"/>
        <v>0</v>
      </c>
      <c r="AJ255" s="68" t="str">
        <f t="shared" si="133"/>
        <v/>
      </c>
      <c r="AK255">
        <f t="shared" si="134"/>
        <v>7</v>
      </c>
      <c r="AL255" s="122">
        <f>SUM($AD$6:AD255)</f>
        <v>0</v>
      </c>
      <c r="AM255" s="122">
        <f t="shared" ca="1" si="149"/>
        <v>0</v>
      </c>
      <c r="AN255" s="126">
        <f t="shared" si="157"/>
        <v>0</v>
      </c>
      <c r="AO255" s="126">
        <f t="shared" si="158"/>
        <v>0</v>
      </c>
      <c r="AP255" s="126">
        <f t="shared" si="159"/>
        <v>0</v>
      </c>
      <c r="AQ255" s="125">
        <f t="shared" si="150"/>
        <v>30</v>
      </c>
      <c r="AR255" s="125">
        <f t="shared" ca="1" si="151"/>
        <v>30</v>
      </c>
      <c r="AS255" s="135">
        <f t="shared" si="152"/>
        <v>0</v>
      </c>
      <c r="AT255" s="125">
        <f t="shared" si="153"/>
        <v>7</v>
      </c>
      <c r="AU255" t="b">
        <f>OR((F255&gt;0),(NOT(ISBLANK(H255))),SUM(H255:H$373),SUM(G255:G$373))</f>
        <v>0</v>
      </c>
      <c r="AV255" t="b">
        <f t="shared" ca="1" si="135"/>
        <v>1</v>
      </c>
      <c r="AX255" s="228">
        <f>SUM(AW$5:AW255)</f>
        <v>-2.9166666666666665</v>
      </c>
    </row>
    <row r="256" spans="1:50">
      <c r="A256" s="308">
        <f t="shared" si="154"/>
        <v>42619</v>
      </c>
      <c r="B256" s="309">
        <f t="shared" si="155"/>
        <v>42619</v>
      </c>
      <c r="C256" s="310">
        <f t="shared" si="162"/>
        <v>37</v>
      </c>
      <c r="D256" s="311">
        <f t="shared" si="163"/>
        <v>42613</v>
      </c>
      <c r="E256" s="321" t="str">
        <f t="shared" si="136"/>
        <v/>
      </c>
      <c r="F256" s="5"/>
      <c r="G256" s="6" t="str">
        <f t="shared" si="137"/>
        <v/>
      </c>
      <c r="H256" s="7"/>
      <c r="I256" s="7">
        <f t="shared" si="138"/>
        <v>0</v>
      </c>
      <c r="J256" s="113">
        <f t="shared" si="126"/>
        <v>0</v>
      </c>
      <c r="K256" s="7"/>
      <c r="L256" s="7">
        <f t="shared" si="139"/>
        <v>0</v>
      </c>
      <c r="M256" s="113">
        <f t="shared" si="140"/>
        <v>0</v>
      </c>
      <c r="N256" s="113"/>
      <c r="O256" s="113">
        <f t="shared" si="127"/>
        <v>0</v>
      </c>
      <c r="P256" s="113"/>
      <c r="Q256" s="113">
        <f t="shared" si="141"/>
        <v>0</v>
      </c>
      <c r="R256" s="113">
        <f t="shared" si="142"/>
        <v>0</v>
      </c>
      <c r="S256" s="113">
        <f t="shared" si="160"/>
        <v>0</v>
      </c>
      <c r="T256" s="113">
        <f t="shared" si="143"/>
        <v>0</v>
      </c>
      <c r="U256" s="113">
        <f t="shared" si="161"/>
        <v>0</v>
      </c>
      <c r="V256" s="146">
        <f t="shared" si="144"/>
        <v>0</v>
      </c>
      <c r="W256" s="66"/>
      <c r="X256" s="115">
        <f t="shared" si="128"/>
        <v>3.125E-2</v>
      </c>
      <c r="Y256" s="110">
        <f t="shared" si="145"/>
        <v>0</v>
      </c>
      <c r="Z256" s="111">
        <f t="shared" si="164"/>
        <v>0.29166666666666669</v>
      </c>
      <c r="AA256" s="112">
        <f t="shared" si="146"/>
        <v>0</v>
      </c>
      <c r="AB256" s="67" t="str">
        <f t="shared" si="147"/>
        <v/>
      </c>
      <c r="AC256" s="193">
        <f t="shared" si="129"/>
        <v>0</v>
      </c>
      <c r="AD256" s="144" t="str">
        <f t="shared" si="130"/>
        <v/>
      </c>
      <c r="AE256" s="228">
        <f t="shared" si="156"/>
        <v>0</v>
      </c>
      <c r="AF256" s="110"/>
      <c r="AG256" s="110" t="str">
        <f t="shared" si="148"/>
        <v/>
      </c>
      <c r="AH256" s="68">
        <f t="shared" si="131"/>
        <v>0</v>
      </c>
      <c r="AI256" s="68">
        <f t="shared" si="132"/>
        <v>0</v>
      </c>
      <c r="AJ256" s="68" t="str">
        <f t="shared" si="133"/>
        <v/>
      </c>
      <c r="AK256">
        <f t="shared" si="134"/>
        <v>1</v>
      </c>
      <c r="AL256" s="122">
        <f>SUM($AD$6:AD256)</f>
        <v>0</v>
      </c>
      <c r="AM256" s="122">
        <f t="shared" ca="1" si="149"/>
        <v>0</v>
      </c>
      <c r="AN256" s="126">
        <f t="shared" si="157"/>
        <v>0</v>
      </c>
      <c r="AO256" s="126">
        <f t="shared" si="158"/>
        <v>0</v>
      </c>
      <c r="AP256" s="126">
        <f t="shared" si="159"/>
        <v>0</v>
      </c>
      <c r="AQ256" s="125">
        <f t="shared" si="150"/>
        <v>30</v>
      </c>
      <c r="AR256" s="125">
        <f t="shared" ca="1" si="151"/>
        <v>30</v>
      </c>
      <c r="AS256" s="135">
        <f t="shared" si="152"/>
        <v>0</v>
      </c>
      <c r="AT256" s="125">
        <f t="shared" si="153"/>
        <v>0</v>
      </c>
      <c r="AU256" t="b">
        <f>OR((F256&gt;0),(NOT(ISBLANK(H256))),SUM(H256:H$373),SUM(G256:G$373))</f>
        <v>0</v>
      </c>
      <c r="AV256" t="b">
        <f t="shared" ca="1" si="135"/>
        <v>0</v>
      </c>
      <c r="AX256" s="228">
        <f>SUM(AW$5:AW256)</f>
        <v>-2.9166666666666665</v>
      </c>
    </row>
    <row r="257" spans="1:50">
      <c r="A257" s="308">
        <f t="shared" si="154"/>
        <v>42620</v>
      </c>
      <c r="B257" s="309">
        <f t="shared" si="155"/>
        <v>42620</v>
      </c>
      <c r="C257" s="310">
        <f t="shared" si="162"/>
        <v>37</v>
      </c>
      <c r="D257" s="311">
        <f t="shared" si="163"/>
        <v>42613</v>
      </c>
      <c r="E257" s="321" t="str">
        <f t="shared" si="136"/>
        <v/>
      </c>
      <c r="F257" s="5"/>
      <c r="G257" s="6" t="str">
        <f t="shared" si="137"/>
        <v/>
      </c>
      <c r="H257" s="7"/>
      <c r="I257" s="7">
        <f t="shared" si="138"/>
        <v>0</v>
      </c>
      <c r="J257" s="113">
        <f t="shared" si="126"/>
        <v>0</v>
      </c>
      <c r="K257" s="7"/>
      <c r="L257" s="7">
        <f t="shared" si="139"/>
        <v>0</v>
      </c>
      <c r="M257" s="113">
        <f t="shared" si="140"/>
        <v>0</v>
      </c>
      <c r="N257" s="113"/>
      <c r="O257" s="113">
        <f t="shared" si="127"/>
        <v>0</v>
      </c>
      <c r="P257" s="113"/>
      <c r="Q257" s="113">
        <f t="shared" si="141"/>
        <v>0</v>
      </c>
      <c r="R257" s="113">
        <f t="shared" si="142"/>
        <v>0</v>
      </c>
      <c r="S257" s="113">
        <f t="shared" si="160"/>
        <v>0</v>
      </c>
      <c r="T257" s="113">
        <f t="shared" si="143"/>
        <v>0</v>
      </c>
      <c r="U257" s="113">
        <f t="shared" si="161"/>
        <v>0</v>
      </c>
      <c r="V257" s="146">
        <f t="shared" si="144"/>
        <v>0</v>
      </c>
      <c r="W257" s="66"/>
      <c r="X257" s="115">
        <f t="shared" si="128"/>
        <v>3.125E-2</v>
      </c>
      <c r="Y257" s="110">
        <f t="shared" si="145"/>
        <v>0</v>
      </c>
      <c r="Z257" s="111">
        <f t="shared" si="164"/>
        <v>0.29166666666666669</v>
      </c>
      <c r="AA257" s="112">
        <f t="shared" si="146"/>
        <v>0</v>
      </c>
      <c r="AB257" s="67" t="str">
        <f t="shared" si="147"/>
        <v/>
      </c>
      <c r="AC257" s="193">
        <f t="shared" si="129"/>
        <v>0</v>
      </c>
      <c r="AD257" s="144" t="str">
        <f t="shared" si="130"/>
        <v/>
      </c>
      <c r="AE257" s="228">
        <f t="shared" si="156"/>
        <v>0</v>
      </c>
      <c r="AF257" s="110"/>
      <c r="AG257" s="110" t="str">
        <f t="shared" si="148"/>
        <v/>
      </c>
      <c r="AH257" s="68">
        <f t="shared" si="131"/>
        <v>0</v>
      </c>
      <c r="AI257" s="68">
        <f t="shared" si="132"/>
        <v>0</v>
      </c>
      <c r="AJ257" s="68" t="str">
        <f t="shared" si="133"/>
        <v/>
      </c>
      <c r="AK257">
        <f t="shared" si="134"/>
        <v>2</v>
      </c>
      <c r="AL257" s="122">
        <f>SUM($AD$6:AD257)</f>
        <v>0</v>
      </c>
      <c r="AM257" s="122">
        <f t="shared" ca="1" si="149"/>
        <v>0</v>
      </c>
      <c r="AN257" s="126">
        <f t="shared" si="157"/>
        <v>0</v>
      </c>
      <c r="AO257" s="126">
        <f t="shared" si="158"/>
        <v>0</v>
      </c>
      <c r="AP257" s="126">
        <f t="shared" si="159"/>
        <v>0</v>
      </c>
      <c r="AQ257" s="125">
        <f t="shared" si="150"/>
        <v>30</v>
      </c>
      <c r="AR257" s="125">
        <f t="shared" ca="1" si="151"/>
        <v>30</v>
      </c>
      <c r="AS257" s="135">
        <f t="shared" si="152"/>
        <v>0</v>
      </c>
      <c r="AT257" s="125">
        <f t="shared" si="153"/>
        <v>0</v>
      </c>
      <c r="AU257" t="b">
        <f>OR((F257&gt;0),(NOT(ISBLANK(H257))),SUM(H257:H$373),SUM(G257:G$373))</f>
        <v>0</v>
      </c>
      <c r="AV257" t="b">
        <f t="shared" ca="1" si="135"/>
        <v>0</v>
      </c>
      <c r="AX257" s="228">
        <f>SUM(AW$5:AW257)</f>
        <v>-2.9166666666666665</v>
      </c>
    </row>
    <row r="258" spans="1:50">
      <c r="A258" s="308">
        <f t="shared" si="154"/>
        <v>42621</v>
      </c>
      <c r="B258" s="309">
        <f t="shared" si="155"/>
        <v>42621</v>
      </c>
      <c r="C258" s="310">
        <f t="shared" si="162"/>
        <v>37</v>
      </c>
      <c r="D258" s="311">
        <f t="shared" si="163"/>
        <v>42613</v>
      </c>
      <c r="E258" s="321" t="str">
        <f t="shared" si="136"/>
        <v/>
      </c>
      <c r="F258" s="5"/>
      <c r="G258" s="6" t="str">
        <f t="shared" si="137"/>
        <v/>
      </c>
      <c r="H258" s="7"/>
      <c r="I258" s="7">
        <f t="shared" si="138"/>
        <v>0</v>
      </c>
      <c r="J258" s="113">
        <f t="shared" si="126"/>
        <v>0</v>
      </c>
      <c r="K258" s="7"/>
      <c r="L258" s="7">
        <f t="shared" si="139"/>
        <v>0</v>
      </c>
      <c r="M258" s="113">
        <f t="shared" si="140"/>
        <v>0</v>
      </c>
      <c r="N258" s="113"/>
      <c r="O258" s="113">
        <f t="shared" si="127"/>
        <v>0</v>
      </c>
      <c r="P258" s="113"/>
      <c r="Q258" s="113">
        <f t="shared" si="141"/>
        <v>0</v>
      </c>
      <c r="R258" s="113">
        <f t="shared" si="142"/>
        <v>0</v>
      </c>
      <c r="S258" s="113">
        <f t="shared" si="160"/>
        <v>0</v>
      </c>
      <c r="T258" s="113">
        <f t="shared" si="143"/>
        <v>0</v>
      </c>
      <c r="U258" s="113">
        <f t="shared" si="161"/>
        <v>0</v>
      </c>
      <c r="V258" s="146">
        <f t="shared" si="144"/>
        <v>0</v>
      </c>
      <c r="W258" s="66"/>
      <c r="X258" s="115">
        <f t="shared" si="128"/>
        <v>3.125E-2</v>
      </c>
      <c r="Y258" s="110">
        <f t="shared" si="145"/>
        <v>0</v>
      </c>
      <c r="Z258" s="111">
        <f t="shared" si="164"/>
        <v>0.29166666666666669</v>
      </c>
      <c r="AA258" s="112">
        <f t="shared" si="146"/>
        <v>0</v>
      </c>
      <c r="AB258" s="67" t="str">
        <f t="shared" si="147"/>
        <v/>
      </c>
      <c r="AC258" s="193">
        <f t="shared" si="129"/>
        <v>0</v>
      </c>
      <c r="AD258" s="144" t="str">
        <f t="shared" si="130"/>
        <v/>
      </c>
      <c r="AE258" s="228">
        <f t="shared" si="156"/>
        <v>0</v>
      </c>
      <c r="AF258" s="110"/>
      <c r="AG258" s="110" t="str">
        <f t="shared" si="148"/>
        <v/>
      </c>
      <c r="AH258" s="68">
        <f t="shared" si="131"/>
        <v>0</v>
      </c>
      <c r="AI258" s="68">
        <f t="shared" si="132"/>
        <v>0</v>
      </c>
      <c r="AJ258" s="68" t="str">
        <f t="shared" si="133"/>
        <v/>
      </c>
      <c r="AK258">
        <f t="shared" si="134"/>
        <v>3</v>
      </c>
      <c r="AL258" s="122">
        <f>SUM($AD$6:AD258)</f>
        <v>0</v>
      </c>
      <c r="AM258" s="122">
        <f t="shared" ca="1" si="149"/>
        <v>0</v>
      </c>
      <c r="AN258" s="126">
        <f t="shared" si="157"/>
        <v>0</v>
      </c>
      <c r="AO258" s="126">
        <f t="shared" si="158"/>
        <v>0</v>
      </c>
      <c r="AP258" s="126">
        <f t="shared" si="159"/>
        <v>0</v>
      </c>
      <c r="AQ258" s="125">
        <f t="shared" si="150"/>
        <v>30</v>
      </c>
      <c r="AR258" s="125">
        <f t="shared" ca="1" si="151"/>
        <v>30</v>
      </c>
      <c r="AS258" s="135">
        <f t="shared" si="152"/>
        <v>0</v>
      </c>
      <c r="AT258" s="125">
        <f t="shared" si="153"/>
        <v>0</v>
      </c>
      <c r="AU258" t="b">
        <f>OR((F258&gt;0),(NOT(ISBLANK(H258))),SUM(H258:H$373),SUM(G258:G$373))</f>
        <v>0</v>
      </c>
      <c r="AV258" t="b">
        <f t="shared" ca="1" si="135"/>
        <v>0</v>
      </c>
      <c r="AX258" s="228">
        <f>SUM(AW$5:AW258)</f>
        <v>-2.9166666666666665</v>
      </c>
    </row>
    <row r="259" spans="1:50">
      <c r="A259" s="308">
        <f t="shared" si="154"/>
        <v>42622</v>
      </c>
      <c r="B259" s="309">
        <f t="shared" si="155"/>
        <v>42622</v>
      </c>
      <c r="C259" s="310">
        <f t="shared" si="162"/>
        <v>37</v>
      </c>
      <c r="D259" s="311">
        <f t="shared" si="163"/>
        <v>42613</v>
      </c>
      <c r="E259" s="321" t="str">
        <f t="shared" si="136"/>
        <v/>
      </c>
      <c r="F259" s="5"/>
      <c r="G259" s="6" t="str">
        <f t="shared" si="137"/>
        <v/>
      </c>
      <c r="H259" s="7"/>
      <c r="I259" s="7">
        <f t="shared" si="138"/>
        <v>0</v>
      </c>
      <c r="J259" s="113">
        <f t="shared" si="126"/>
        <v>0</v>
      </c>
      <c r="K259" s="7"/>
      <c r="L259" s="7">
        <f t="shared" si="139"/>
        <v>0</v>
      </c>
      <c r="M259" s="113">
        <f t="shared" si="140"/>
        <v>0</v>
      </c>
      <c r="N259" s="113"/>
      <c r="O259" s="113">
        <f t="shared" si="127"/>
        <v>0</v>
      </c>
      <c r="P259" s="113"/>
      <c r="Q259" s="113">
        <f t="shared" si="141"/>
        <v>0</v>
      </c>
      <c r="R259" s="113">
        <f t="shared" si="142"/>
        <v>0</v>
      </c>
      <c r="S259" s="113">
        <f t="shared" si="160"/>
        <v>0</v>
      </c>
      <c r="T259" s="113">
        <f t="shared" si="143"/>
        <v>0</v>
      </c>
      <c r="U259" s="113">
        <f t="shared" si="161"/>
        <v>0</v>
      </c>
      <c r="V259" s="146">
        <f t="shared" si="144"/>
        <v>0</v>
      </c>
      <c r="W259" s="66"/>
      <c r="X259" s="115">
        <f t="shared" si="128"/>
        <v>3.125E-2</v>
      </c>
      <c r="Y259" s="110">
        <f t="shared" si="145"/>
        <v>0</v>
      </c>
      <c r="Z259" s="111">
        <f t="shared" si="164"/>
        <v>0.29166666666666669</v>
      </c>
      <c r="AA259" s="112">
        <f t="shared" si="146"/>
        <v>0</v>
      </c>
      <c r="AB259" s="67" t="str">
        <f t="shared" si="147"/>
        <v/>
      </c>
      <c r="AC259" s="193">
        <f t="shared" si="129"/>
        <v>0</v>
      </c>
      <c r="AD259" s="144" t="str">
        <f t="shared" si="130"/>
        <v/>
      </c>
      <c r="AE259" s="228">
        <f t="shared" si="156"/>
        <v>0</v>
      </c>
      <c r="AF259" s="110"/>
      <c r="AG259" s="110" t="str">
        <f t="shared" si="148"/>
        <v/>
      </c>
      <c r="AH259" s="68">
        <f t="shared" si="131"/>
        <v>0</v>
      </c>
      <c r="AI259" s="68">
        <f t="shared" si="132"/>
        <v>0</v>
      </c>
      <c r="AJ259" s="68" t="str">
        <f t="shared" si="133"/>
        <v/>
      </c>
      <c r="AK259">
        <f t="shared" si="134"/>
        <v>4</v>
      </c>
      <c r="AL259" s="122">
        <f>SUM($AD$6:AD259)</f>
        <v>0</v>
      </c>
      <c r="AM259" s="122">
        <f t="shared" ca="1" si="149"/>
        <v>0</v>
      </c>
      <c r="AN259" s="126">
        <f t="shared" si="157"/>
        <v>0</v>
      </c>
      <c r="AO259" s="126">
        <f t="shared" si="158"/>
        <v>0</v>
      </c>
      <c r="AP259" s="126">
        <f t="shared" si="159"/>
        <v>0</v>
      </c>
      <c r="AQ259" s="125">
        <f t="shared" si="150"/>
        <v>30</v>
      </c>
      <c r="AR259" s="125">
        <f t="shared" ca="1" si="151"/>
        <v>30</v>
      </c>
      <c r="AS259" s="135">
        <f t="shared" si="152"/>
        <v>0</v>
      </c>
      <c r="AT259" s="125">
        <f t="shared" si="153"/>
        <v>0</v>
      </c>
      <c r="AU259" t="b">
        <f>OR((F259&gt;0),(NOT(ISBLANK(H259))),SUM(H259:H$373),SUM(G259:G$373))</f>
        <v>0</v>
      </c>
      <c r="AV259" t="b">
        <f t="shared" ca="1" si="135"/>
        <v>0</v>
      </c>
      <c r="AX259" s="228">
        <f>SUM(AW$5:AW259)</f>
        <v>-2.9166666666666665</v>
      </c>
    </row>
    <row r="260" spans="1:50">
      <c r="A260" s="308">
        <f t="shared" si="154"/>
        <v>42623</v>
      </c>
      <c r="B260" s="309">
        <f t="shared" si="155"/>
        <v>42623</v>
      </c>
      <c r="C260" s="310">
        <f t="shared" si="162"/>
        <v>37</v>
      </c>
      <c r="D260" s="311">
        <f t="shared" si="163"/>
        <v>42613</v>
      </c>
      <c r="E260" s="321" t="str">
        <f t="shared" si="136"/>
        <v/>
      </c>
      <c r="F260" s="5"/>
      <c r="G260" s="6" t="str">
        <f t="shared" si="137"/>
        <v/>
      </c>
      <c r="H260" s="7"/>
      <c r="I260" s="7">
        <f t="shared" si="138"/>
        <v>0</v>
      </c>
      <c r="J260" s="113">
        <f t="shared" si="126"/>
        <v>0</v>
      </c>
      <c r="K260" s="7"/>
      <c r="L260" s="7">
        <f t="shared" si="139"/>
        <v>0</v>
      </c>
      <c r="M260" s="113">
        <f t="shared" si="140"/>
        <v>0</v>
      </c>
      <c r="N260" s="113"/>
      <c r="O260" s="113">
        <f t="shared" si="127"/>
        <v>0</v>
      </c>
      <c r="P260" s="113"/>
      <c r="Q260" s="113">
        <f t="shared" si="141"/>
        <v>0</v>
      </c>
      <c r="R260" s="113">
        <f t="shared" si="142"/>
        <v>0</v>
      </c>
      <c r="S260" s="113">
        <f t="shared" si="160"/>
        <v>0</v>
      </c>
      <c r="T260" s="113">
        <f t="shared" si="143"/>
        <v>0</v>
      </c>
      <c r="U260" s="113">
        <f t="shared" si="161"/>
        <v>0</v>
      </c>
      <c r="V260" s="146">
        <f t="shared" si="144"/>
        <v>0</v>
      </c>
      <c r="W260" s="66"/>
      <c r="X260" s="115">
        <f t="shared" si="128"/>
        <v>3.125E-2</v>
      </c>
      <c r="Y260" s="110">
        <f t="shared" si="145"/>
        <v>0</v>
      </c>
      <c r="Z260" s="111">
        <f t="shared" si="164"/>
        <v>0.29166666666666669</v>
      </c>
      <c r="AA260" s="112">
        <f t="shared" si="146"/>
        <v>0</v>
      </c>
      <c r="AB260" s="67" t="str">
        <f t="shared" si="147"/>
        <v/>
      </c>
      <c r="AC260" s="193">
        <f t="shared" si="129"/>
        <v>0</v>
      </c>
      <c r="AD260" s="144" t="str">
        <f t="shared" si="130"/>
        <v/>
      </c>
      <c r="AE260" s="228">
        <f t="shared" si="156"/>
        <v>0</v>
      </c>
      <c r="AF260" s="110"/>
      <c r="AG260" s="110" t="str">
        <f t="shared" si="148"/>
        <v/>
      </c>
      <c r="AH260" s="68">
        <f t="shared" si="131"/>
        <v>0</v>
      </c>
      <c r="AI260" s="68">
        <f t="shared" si="132"/>
        <v>0</v>
      </c>
      <c r="AJ260" s="68" t="str">
        <f t="shared" si="133"/>
        <v/>
      </c>
      <c r="AK260">
        <f t="shared" si="134"/>
        <v>5</v>
      </c>
      <c r="AL260" s="122">
        <f>SUM($AD$6:AD260)</f>
        <v>0</v>
      </c>
      <c r="AM260" s="122">
        <f t="shared" ca="1" si="149"/>
        <v>0</v>
      </c>
      <c r="AN260" s="126">
        <f t="shared" si="157"/>
        <v>0</v>
      </c>
      <c r="AO260" s="126">
        <f t="shared" si="158"/>
        <v>0</v>
      </c>
      <c r="AP260" s="126">
        <f t="shared" si="159"/>
        <v>0</v>
      </c>
      <c r="AQ260" s="125">
        <f t="shared" si="150"/>
        <v>30</v>
      </c>
      <c r="AR260" s="125">
        <f t="shared" ca="1" si="151"/>
        <v>30</v>
      </c>
      <c r="AS260" s="135">
        <f t="shared" si="152"/>
        <v>0</v>
      </c>
      <c r="AT260" s="125">
        <f t="shared" si="153"/>
        <v>0</v>
      </c>
      <c r="AU260" t="b">
        <f>OR((F260&gt;0),(NOT(ISBLANK(H260))),SUM(H260:H$373),SUM(G260:G$373))</f>
        <v>0</v>
      </c>
      <c r="AV260" t="b">
        <f t="shared" ca="1" si="135"/>
        <v>0</v>
      </c>
      <c r="AX260" s="228">
        <f>SUM(AW$5:AW260)</f>
        <v>-2.9166666666666665</v>
      </c>
    </row>
    <row r="261" spans="1:50">
      <c r="A261" s="308">
        <f t="shared" si="154"/>
        <v>42624</v>
      </c>
      <c r="B261" s="309">
        <f t="shared" si="155"/>
        <v>42624</v>
      </c>
      <c r="C261" s="310">
        <f t="shared" si="162"/>
        <v>37</v>
      </c>
      <c r="D261" s="311">
        <f t="shared" si="163"/>
        <v>42613</v>
      </c>
      <c r="E261" s="321" t="str">
        <f t="shared" si="136"/>
        <v/>
      </c>
      <c r="F261" s="5"/>
      <c r="G261" s="6" t="str">
        <f t="shared" si="137"/>
        <v/>
      </c>
      <c r="H261" s="7"/>
      <c r="I261" s="7">
        <f t="shared" si="138"/>
        <v>0</v>
      </c>
      <c r="J261" s="113">
        <f t="shared" ref="J261:J324" si="165">IF(I261&lt;H261,I261+1,I261)</f>
        <v>0</v>
      </c>
      <c r="K261" s="7"/>
      <c r="L261" s="7">
        <f t="shared" si="139"/>
        <v>0</v>
      </c>
      <c r="M261" s="113">
        <f t="shared" si="140"/>
        <v>0</v>
      </c>
      <c r="N261" s="113"/>
      <c r="O261" s="113">
        <f t="shared" ref="O261:O324" si="166">IF(N261&gt;0,N261+IF((J261-H261+M261-K261)&lt;Y261,Y261-(J261-H261+M261-K261),TIME(0,10,0))+IF((K261-J261+N261-M261)&gt;xNoWorkTime,0,xNoWorkTime-(K261-J261+N261-M261)),0)</f>
        <v>0</v>
      </c>
      <c r="P261" s="113"/>
      <c r="Q261" s="113">
        <f t="shared" si="141"/>
        <v>0</v>
      </c>
      <c r="R261" s="113">
        <f t="shared" si="142"/>
        <v>0</v>
      </c>
      <c r="S261" s="113">
        <f t="shared" si="160"/>
        <v>0</v>
      </c>
      <c r="T261" s="113">
        <f t="shared" si="143"/>
        <v>0</v>
      </c>
      <c r="U261" s="113">
        <f t="shared" si="161"/>
        <v>0</v>
      </c>
      <c r="V261" s="146">
        <f t="shared" si="144"/>
        <v>0</v>
      </c>
      <c r="W261" s="66"/>
      <c r="X261" s="115">
        <f t="shared" ref="X261:X324" si="167">xNoWorkTime</f>
        <v>3.125E-2</v>
      </c>
      <c r="Y261" s="110">
        <f t="shared" si="145"/>
        <v>0</v>
      </c>
      <c r="Z261" s="111">
        <f t="shared" si="164"/>
        <v>0</v>
      </c>
      <c r="AA261" s="112">
        <f t="shared" si="146"/>
        <v>0</v>
      </c>
      <c r="AB261" s="67" t="str">
        <f t="shared" si="147"/>
        <v/>
      </c>
      <c r="AC261" s="193">
        <f t="shared" ref="AC261:AC324" si="168">xOverTime</f>
        <v>0</v>
      </c>
      <c r="AD261" s="144" t="str">
        <f t="shared" ref="AD261:AD324" si="169">IF((R261-U261)&gt;XWorkTimeMax,(R261-U261-XWorkTimeMax),"")</f>
        <v/>
      </c>
      <c r="AE261" s="228">
        <f t="shared" si="156"/>
        <v>0</v>
      </c>
      <c r="AF261" s="110"/>
      <c r="AG261" s="110" t="str">
        <f t="shared" si="148"/>
        <v/>
      </c>
      <c r="AH261" s="68">
        <f t="shared" ref="AH261:AH324" si="170">IF(ISNUMBER(V261 ), IF( V261 &gt;= Y261, Y261, V261 ),"")</f>
        <v>0</v>
      </c>
      <c r="AI261" s="68">
        <f t="shared" ref="AI261:AI324" si="171">IF( ISNUMBER( V261 ), IF( V261 &gt;= Y261, V261 - Y261, "" ), "" )</f>
        <v>0</v>
      </c>
      <c r="AJ261" s="68" t="str">
        <f t="shared" ref="AJ261:AJ324" si="172">IF( AND(ISNUMBER( V261 ),ISNUMBER( Y261 )), IF( V261 &gt;= Y261, "", Y261 - V261 ), "" )</f>
        <v/>
      </c>
      <c r="AK261">
        <f t="shared" ref="AK261:AK324" si="173">IF(A261="",0,IF(ISERROR(VLOOKUP(A261,db_Feiertag,2,FALSE)),WEEKDAY(A261,2),Feiertag))</f>
        <v>6</v>
      </c>
      <c r="AL261" s="122">
        <f>SUM($AD$6:AD261)</f>
        <v>0</v>
      </c>
      <c r="AM261" s="122">
        <f t="shared" ca="1" si="149"/>
        <v>0</v>
      </c>
      <c r="AN261" s="126">
        <f t="shared" si="157"/>
        <v>0</v>
      </c>
      <c r="AO261" s="126">
        <f t="shared" si="158"/>
        <v>0</v>
      </c>
      <c r="AP261" s="126">
        <f t="shared" si="159"/>
        <v>0</v>
      </c>
      <c r="AQ261" s="125">
        <f t="shared" si="150"/>
        <v>30</v>
      </c>
      <c r="AR261" s="125">
        <f t="shared" ca="1" si="151"/>
        <v>30</v>
      </c>
      <c r="AS261" s="135">
        <f t="shared" si="152"/>
        <v>0</v>
      </c>
      <c r="AT261" s="125">
        <f t="shared" si="153"/>
        <v>7</v>
      </c>
      <c r="AU261" t="b">
        <f>OR((F261&gt;0),(NOT(ISBLANK(H261))),SUM(H261:H$373),SUM(G261:G$373))</f>
        <v>0</v>
      </c>
      <c r="AV261" t="b">
        <f t="shared" ref="AV261:AV324" ca="1" si="174">INDIRECT(ADDRESS(ROW(),COLUMN(xDay)))&gt;5</f>
        <v>1</v>
      </c>
      <c r="AX261" s="228">
        <f>SUM(AW$5:AW261)</f>
        <v>-2.9166666666666665</v>
      </c>
    </row>
    <row r="262" spans="1:50">
      <c r="A262" s="308">
        <f t="shared" si="154"/>
        <v>42625</v>
      </c>
      <c r="B262" s="309">
        <f t="shared" si="155"/>
        <v>42625</v>
      </c>
      <c r="C262" s="310">
        <f t="shared" si="162"/>
        <v>37</v>
      </c>
      <c r="D262" s="311">
        <f t="shared" si="163"/>
        <v>42613</v>
      </c>
      <c r="E262" s="321" t="str">
        <f t="shared" ref="E262:E325" si="175">IF((R262-U262)&gt;XWorkTimeMax,$Z$4,IF(AT262=Feiertag,VLOOKUP(B262,db_Feiertag,2,FALSE),""))</f>
        <v/>
      </c>
      <c r="F262" s="5"/>
      <c r="G262" s="6" t="str">
        <f t="shared" ref="G262:G325" si="176">IF(ISBLANK(F262),IF(ISBLANK(H262),"",0),CODE(UPPER(F262)))</f>
        <v/>
      </c>
      <c r="H262" s="7"/>
      <c r="I262" s="7">
        <f t="shared" ref="I262:I325" si="177">IF(H262&gt;0,H262+Y262+X262+AC262,0)</f>
        <v>0</v>
      </c>
      <c r="J262" s="113">
        <f t="shared" si="165"/>
        <v>0</v>
      </c>
      <c r="K262" s="7"/>
      <c r="L262" s="7">
        <f t="shared" ref="L262:L325" si="178">IF(K262&gt;0,K262+IF((J262-H262)&lt;Y262,Y262-(J262-H262),TIME(0,10,0))+IF((K262-J262)&gt;xNoWorkTime,0,xNoWorkTime-(K262-J262)),0)</f>
        <v>0</v>
      </c>
      <c r="M262" s="113">
        <f t="shared" ref="M262:M325" si="179">IF(L262&lt;K262,L262+1,L262)</f>
        <v>0</v>
      </c>
      <c r="N262" s="113"/>
      <c r="O262" s="113">
        <f t="shared" si="166"/>
        <v>0</v>
      </c>
      <c r="P262" s="113"/>
      <c r="Q262" s="113">
        <f t="shared" ref="Q262:Q325" si="180">IF(O262&lt;N262,O262+1,O262)</f>
        <v>0</v>
      </c>
      <c r="R262" s="113">
        <f t="shared" ref="R262:R325" si="181">J262-H262+M262-K262+Q262-N262</f>
        <v>0</v>
      </c>
      <c r="S262" s="113">
        <f t="shared" si="160"/>
        <v>0</v>
      </c>
      <c r="T262" s="113">
        <f t="shared" ref="T262:T325" si="182">IF(R262&gt;B_Pause1Nach,B_Pause1Dauer,0)+IF(R262&gt;B_Pause2Nach,B_Pause2Dauer,0)</f>
        <v>0</v>
      </c>
      <c r="U262" s="113">
        <f t="shared" si="161"/>
        <v>0</v>
      </c>
      <c r="V262" s="146">
        <f t="shared" ref="V262:V325" si="183">IF(F262="S",Z262,(IF((R262-U262)&gt;XWorkTimeMax,XWorkTimeMax,IF((R262-U262)&gt;0,R262-U262,0))))</f>
        <v>0</v>
      </c>
      <c r="W262" s="66"/>
      <c r="X262" s="115">
        <f t="shared" si="167"/>
        <v>3.125E-2</v>
      </c>
      <c r="Y262" s="110">
        <f t="shared" ref="Y262:Y325" si="184">IF(AND((AK262&lt;Feiertag),(G262&lt;&gt;85)),IF(OR(F262="B",F262="G",F262="S",H262&gt;0),H262-H262+Z262,0),0)</f>
        <v>0</v>
      </c>
      <c r="Z262" s="111">
        <f t="shared" si="164"/>
        <v>0</v>
      </c>
      <c r="AA262" s="112">
        <f t="shared" ref="AA262:AA325" si="185">V262-Y262</f>
        <v>0</v>
      </c>
      <c r="AB262" s="67" t="str">
        <f t="shared" ref="AB262:AB325" si="186">IF((V262-Y262)&lt;0,"*","")</f>
        <v/>
      </c>
      <c r="AC262" s="193">
        <f t="shared" si="168"/>
        <v>0</v>
      </c>
      <c r="AD262" s="144" t="str">
        <f t="shared" si="169"/>
        <v/>
      </c>
      <c r="AE262" s="228">
        <f t="shared" si="156"/>
        <v>0</v>
      </c>
      <c r="AF262" s="110"/>
      <c r="AG262" s="110" t="str">
        <f t="shared" ref="AG262:AG325" si="187">IF(AND(AF262&lt;&gt;"",AF262&lt;=V262),V262-AF262,"")</f>
        <v/>
      </c>
      <c r="AH262" s="68">
        <f t="shared" si="170"/>
        <v>0</v>
      </c>
      <c r="AI262" s="68">
        <f t="shared" si="171"/>
        <v>0</v>
      </c>
      <c r="AJ262" s="68" t="str">
        <f t="shared" si="172"/>
        <v/>
      </c>
      <c r="AK262">
        <f t="shared" si="173"/>
        <v>7</v>
      </c>
      <c r="AL262" s="122">
        <f>SUM($AD$6:AD262)</f>
        <v>0</v>
      </c>
      <c r="AM262" s="122">
        <f t="shared" ref="AM262:AM325" ca="1" si="188">IF(D262=D261,AM261,OFFSET(AM262,-1,COLUMN(db_jSaldoGes)-COLUMN()))</f>
        <v>0</v>
      </c>
      <c r="AN262" s="126">
        <f t="shared" si="157"/>
        <v>0</v>
      </c>
      <c r="AO262" s="126">
        <f t="shared" si="158"/>
        <v>0</v>
      </c>
      <c r="AP262" s="126">
        <f t="shared" si="159"/>
        <v>0</v>
      </c>
      <c r="AQ262" s="125">
        <f t="shared" ref="AQ262:AQ325" si="189">IF(A262="","",AQ261-IF(F262=Urlaub,1,0)+IF(AND(MONTH(A262)=1,DAY(A262)=1),B_UrlaubNeu,0))</f>
        <v>30</v>
      </c>
      <c r="AR262" s="125">
        <f t="shared" ref="AR262:AR325" ca="1" si="190">IF(A262="","",IF(D262=D261,AR261,OFFSET(AR262,-1,COLUMN(db_jUrlRest)-COLUMN()))+IF(AND(MONTH(A262)=1,DAY(A262)=1),B_UrlaubNeu,0))</f>
        <v>30</v>
      </c>
      <c r="AS262" s="135">
        <f t="shared" ref="AS262:AS325" si="191">(IF(ISNUMBER(V262),V262,0)+IF(ISNUMBER(AD262),AD262,0))*24</f>
        <v>0</v>
      </c>
      <c r="AT262" s="125">
        <f t="shared" ref="AT262:AT325" si="192">IF(ISNUMBER(AD262),K_ArbeitOverMax,IF(AND(ISNUMBER(AA262),AA262&gt;0),K_ArbeitOverTime,IF(AND(ISNUMBER(V262),V262&gt;0),K_ArbeitNormal,IF(F262=Krank,K_Krank,IF(F262=Urlaub,K_Urlaub,IF(AK262=Feiertag,K_Feiertag,IF(OR(AK262=6,AK262=7),K_Wochenende,0)))))))+IF(F262=Gleittag,K_Gleittag,0)</f>
        <v>7</v>
      </c>
      <c r="AU262" t="b">
        <f>OR((F262&gt;0),(NOT(ISBLANK(H262))),SUM(H262:H$373),SUM(G262:G$373))</f>
        <v>0</v>
      </c>
      <c r="AV262" t="b">
        <f t="shared" ca="1" si="174"/>
        <v>1</v>
      </c>
      <c r="AX262" s="228">
        <f>SUM(AW$5:AW262)</f>
        <v>-2.9166666666666665</v>
      </c>
    </row>
    <row r="263" spans="1:50">
      <c r="A263" s="308">
        <f t="shared" ref="A263:A326" si="193">IF(A262="","",IF((A262+1)&gt;=DATE(YEAR(xJahr)+1,MONTH(xJahr),DAY(xJahr)),"",A262+1))</f>
        <v>42626</v>
      </c>
      <c r="B263" s="309">
        <f t="shared" ref="B263:B326" si="194">IF(A263="","",A263)</f>
        <v>42626</v>
      </c>
      <c r="C263" s="310">
        <f t="shared" si="162"/>
        <v>38</v>
      </c>
      <c r="D263" s="311">
        <f t="shared" si="163"/>
        <v>42613</v>
      </c>
      <c r="E263" s="321" t="str">
        <f t="shared" si="175"/>
        <v/>
      </c>
      <c r="F263" s="5"/>
      <c r="G263" s="6" t="str">
        <f t="shared" si="176"/>
        <v/>
      </c>
      <c r="H263" s="7"/>
      <c r="I263" s="7">
        <f t="shared" si="177"/>
        <v>0</v>
      </c>
      <c r="J263" s="113">
        <f t="shared" si="165"/>
        <v>0</v>
      </c>
      <c r="K263" s="7"/>
      <c r="L263" s="7">
        <f t="shared" si="178"/>
        <v>0</v>
      </c>
      <c r="M263" s="113">
        <f t="shared" si="179"/>
        <v>0</v>
      </c>
      <c r="N263" s="113"/>
      <c r="O263" s="113">
        <f t="shared" si="166"/>
        <v>0</v>
      </c>
      <c r="P263" s="113"/>
      <c r="Q263" s="113">
        <f t="shared" si="180"/>
        <v>0</v>
      </c>
      <c r="R263" s="113">
        <f t="shared" si="181"/>
        <v>0</v>
      </c>
      <c r="S263" s="113">
        <f t="shared" si="160"/>
        <v>0</v>
      </c>
      <c r="T263" s="113">
        <f t="shared" si="182"/>
        <v>0</v>
      </c>
      <c r="U263" s="113">
        <f t="shared" si="161"/>
        <v>0</v>
      </c>
      <c r="V263" s="146">
        <f t="shared" si="183"/>
        <v>0</v>
      </c>
      <c r="W263" s="66"/>
      <c r="X263" s="115">
        <f t="shared" si="167"/>
        <v>3.125E-2</v>
      </c>
      <c r="Y263" s="110">
        <f t="shared" si="184"/>
        <v>0</v>
      </c>
      <c r="Z263" s="111">
        <f t="shared" si="164"/>
        <v>0.29166666666666669</v>
      </c>
      <c r="AA263" s="112">
        <f t="shared" si="185"/>
        <v>0</v>
      </c>
      <c r="AB263" s="67" t="str">
        <f t="shared" si="186"/>
        <v/>
      </c>
      <c r="AC263" s="193">
        <f t="shared" si="168"/>
        <v>0</v>
      </c>
      <c r="AD263" s="144" t="str">
        <f t="shared" si="169"/>
        <v/>
      </c>
      <c r="AE263" s="228">
        <f t="shared" ref="AE263:AE326" si="195">IF(AU263,(AE262+SUM(AA263)-AF263),)</f>
        <v>0</v>
      </c>
      <c r="AF263" s="110"/>
      <c r="AG263" s="110" t="str">
        <f t="shared" si="187"/>
        <v/>
      </c>
      <c r="AH263" s="68">
        <f t="shared" si="170"/>
        <v>0</v>
      </c>
      <c r="AI263" s="68">
        <f t="shared" si="171"/>
        <v>0</v>
      </c>
      <c r="AJ263" s="68" t="str">
        <f t="shared" si="172"/>
        <v/>
      </c>
      <c r="AK263">
        <f t="shared" si="173"/>
        <v>1</v>
      </c>
      <c r="AL263" s="122">
        <f>SUM($AD$6:AD263)</f>
        <v>0</v>
      </c>
      <c r="AM263" s="122">
        <f t="shared" ca="1" si="188"/>
        <v>0</v>
      </c>
      <c r="AN263" s="126">
        <f t="shared" ref="AN263:AN326" si="196">IF(OR($G263=-1,$G263=82),-1,IF(OR($G263=0,$G263=83),1,0))</f>
        <v>0</v>
      </c>
      <c r="AO263" s="126">
        <f t="shared" ref="AO263:AO326" si="197">IF($F263=Krank,1,IF($F263="J",-1,0))</f>
        <v>0</v>
      </c>
      <c r="AP263" s="126">
        <f t="shared" ref="AP263:AP326" si="198">IF($F263=Urlaub,1,IF($F263="T",-1,0))</f>
        <v>0</v>
      </c>
      <c r="AQ263" s="125">
        <f t="shared" si="189"/>
        <v>30</v>
      </c>
      <c r="AR263" s="125">
        <f t="shared" ca="1" si="190"/>
        <v>30</v>
      </c>
      <c r="AS263" s="135">
        <f t="shared" si="191"/>
        <v>0</v>
      </c>
      <c r="AT263" s="125">
        <f t="shared" si="192"/>
        <v>0</v>
      </c>
      <c r="AU263" t="b">
        <f>OR((F263&gt;0),(NOT(ISBLANK(H263))),SUM(H263:H$373),SUM(G263:G$373))</f>
        <v>0</v>
      </c>
      <c r="AV263" t="b">
        <f t="shared" ca="1" si="174"/>
        <v>0</v>
      </c>
      <c r="AX263" s="228">
        <f>SUM(AW$5:AW263)</f>
        <v>-2.9166666666666665</v>
      </c>
    </row>
    <row r="264" spans="1:50">
      <c r="A264" s="308">
        <f t="shared" si="193"/>
        <v>42627</v>
      </c>
      <c r="B264" s="309">
        <f t="shared" si="194"/>
        <v>42627</v>
      </c>
      <c r="C264" s="310">
        <f t="shared" si="162"/>
        <v>38</v>
      </c>
      <c r="D264" s="311">
        <f t="shared" si="163"/>
        <v>42613</v>
      </c>
      <c r="E264" s="321" t="str">
        <f t="shared" si="175"/>
        <v/>
      </c>
      <c r="F264" s="5"/>
      <c r="G264" s="6" t="str">
        <f t="shared" si="176"/>
        <v/>
      </c>
      <c r="H264" s="7"/>
      <c r="I264" s="7">
        <f t="shared" si="177"/>
        <v>0</v>
      </c>
      <c r="J264" s="113">
        <f t="shared" si="165"/>
        <v>0</v>
      </c>
      <c r="K264" s="7"/>
      <c r="L264" s="7">
        <f t="shared" si="178"/>
        <v>0</v>
      </c>
      <c r="M264" s="113">
        <f t="shared" si="179"/>
        <v>0</v>
      </c>
      <c r="N264" s="113"/>
      <c r="O264" s="113">
        <f t="shared" si="166"/>
        <v>0</v>
      </c>
      <c r="P264" s="113"/>
      <c r="Q264" s="113">
        <f t="shared" si="180"/>
        <v>0</v>
      </c>
      <c r="R264" s="113">
        <f t="shared" si="181"/>
        <v>0</v>
      </c>
      <c r="S264" s="113">
        <f t="shared" ref="S264:S327" si="199">IF(K264&gt;0,K264-I264,0)+IF(N264&gt;0,N264-L264)</f>
        <v>0</v>
      </c>
      <c r="T264" s="113">
        <f t="shared" si="182"/>
        <v>0</v>
      </c>
      <c r="U264" s="113">
        <f t="shared" ref="U264:U327" si="200">IF(T264&gt;S264,T264-S264,0)</f>
        <v>0</v>
      </c>
      <c r="V264" s="146">
        <f t="shared" si="183"/>
        <v>0</v>
      </c>
      <c r="W264" s="66"/>
      <c r="X264" s="115">
        <f t="shared" si="167"/>
        <v>3.125E-2</v>
      </c>
      <c r="Y264" s="110">
        <f t="shared" si="184"/>
        <v>0</v>
      </c>
      <c r="Z264" s="111">
        <f t="shared" si="164"/>
        <v>0.29166666666666669</v>
      </c>
      <c r="AA264" s="112">
        <f t="shared" si="185"/>
        <v>0</v>
      </c>
      <c r="AB264" s="67" t="str">
        <f t="shared" si="186"/>
        <v/>
      </c>
      <c r="AC264" s="193">
        <f t="shared" si="168"/>
        <v>0</v>
      </c>
      <c r="AD264" s="144" t="str">
        <f t="shared" si="169"/>
        <v/>
      </c>
      <c r="AE264" s="228">
        <f t="shared" si="195"/>
        <v>0</v>
      </c>
      <c r="AF264" s="110"/>
      <c r="AG264" s="110" t="str">
        <f t="shared" si="187"/>
        <v/>
      </c>
      <c r="AH264" s="68">
        <f t="shared" si="170"/>
        <v>0</v>
      </c>
      <c r="AI264" s="68">
        <f t="shared" si="171"/>
        <v>0</v>
      </c>
      <c r="AJ264" s="68" t="str">
        <f t="shared" si="172"/>
        <v/>
      </c>
      <c r="AK264">
        <f t="shared" si="173"/>
        <v>2</v>
      </c>
      <c r="AL264" s="122">
        <f>SUM($AD$6:AD264)</f>
        <v>0</v>
      </c>
      <c r="AM264" s="122">
        <f t="shared" ca="1" si="188"/>
        <v>0</v>
      </c>
      <c r="AN264" s="126">
        <f t="shared" si="196"/>
        <v>0</v>
      </c>
      <c r="AO264" s="126">
        <f t="shared" si="197"/>
        <v>0</v>
      </c>
      <c r="AP264" s="126">
        <f t="shared" si="198"/>
        <v>0</v>
      </c>
      <c r="AQ264" s="125">
        <f t="shared" si="189"/>
        <v>30</v>
      </c>
      <c r="AR264" s="125">
        <f t="shared" ca="1" si="190"/>
        <v>30</v>
      </c>
      <c r="AS264" s="135">
        <f t="shared" si="191"/>
        <v>0</v>
      </c>
      <c r="AT264" s="125">
        <f t="shared" si="192"/>
        <v>0</v>
      </c>
      <c r="AU264" t="b">
        <f>OR((F264&gt;0),(NOT(ISBLANK(H264))),SUM(H264:H$373),SUM(G264:G$373))</f>
        <v>0</v>
      </c>
      <c r="AV264" t="b">
        <f t="shared" ca="1" si="174"/>
        <v>0</v>
      </c>
      <c r="AX264" s="228">
        <f>SUM(AW$5:AW264)</f>
        <v>-2.9166666666666665</v>
      </c>
    </row>
    <row r="265" spans="1:50">
      <c r="A265" s="308">
        <f t="shared" si="193"/>
        <v>42628</v>
      </c>
      <c r="B265" s="309">
        <f t="shared" si="194"/>
        <v>42628</v>
      </c>
      <c r="C265" s="310">
        <f t="shared" si="162"/>
        <v>38</v>
      </c>
      <c r="D265" s="311">
        <f t="shared" si="163"/>
        <v>42613</v>
      </c>
      <c r="E265" s="321" t="str">
        <f t="shared" si="175"/>
        <v/>
      </c>
      <c r="F265" s="5"/>
      <c r="G265" s="6" t="str">
        <f t="shared" si="176"/>
        <v/>
      </c>
      <c r="H265" s="7"/>
      <c r="I265" s="7">
        <f t="shared" si="177"/>
        <v>0</v>
      </c>
      <c r="J265" s="113">
        <f t="shared" si="165"/>
        <v>0</v>
      </c>
      <c r="K265" s="7"/>
      <c r="L265" s="7">
        <f t="shared" si="178"/>
        <v>0</v>
      </c>
      <c r="M265" s="113">
        <f t="shared" si="179"/>
        <v>0</v>
      </c>
      <c r="N265" s="113"/>
      <c r="O265" s="113">
        <f t="shared" si="166"/>
        <v>0</v>
      </c>
      <c r="P265" s="113"/>
      <c r="Q265" s="113">
        <f t="shared" si="180"/>
        <v>0</v>
      </c>
      <c r="R265" s="113">
        <f t="shared" si="181"/>
        <v>0</v>
      </c>
      <c r="S265" s="113">
        <f t="shared" si="199"/>
        <v>0</v>
      </c>
      <c r="T265" s="113">
        <f t="shared" si="182"/>
        <v>0</v>
      </c>
      <c r="U265" s="113">
        <f t="shared" si="200"/>
        <v>0</v>
      </c>
      <c r="V265" s="146">
        <f t="shared" si="183"/>
        <v>0</v>
      </c>
      <c r="W265" s="66"/>
      <c r="X265" s="115">
        <f t="shared" si="167"/>
        <v>3.125E-2</v>
      </c>
      <c r="Y265" s="110">
        <f t="shared" si="184"/>
        <v>0</v>
      </c>
      <c r="Z265" s="111">
        <f t="shared" si="164"/>
        <v>0.29166666666666669</v>
      </c>
      <c r="AA265" s="112">
        <f t="shared" si="185"/>
        <v>0</v>
      </c>
      <c r="AB265" s="67" t="str">
        <f t="shared" si="186"/>
        <v/>
      </c>
      <c r="AC265" s="193">
        <f t="shared" si="168"/>
        <v>0</v>
      </c>
      <c r="AD265" s="144" t="str">
        <f t="shared" si="169"/>
        <v/>
      </c>
      <c r="AE265" s="228">
        <f t="shared" si="195"/>
        <v>0</v>
      </c>
      <c r="AF265" s="110"/>
      <c r="AG265" s="110" t="str">
        <f t="shared" si="187"/>
        <v/>
      </c>
      <c r="AH265" s="68">
        <f t="shared" si="170"/>
        <v>0</v>
      </c>
      <c r="AI265" s="68">
        <f t="shared" si="171"/>
        <v>0</v>
      </c>
      <c r="AJ265" s="68" t="str">
        <f t="shared" si="172"/>
        <v/>
      </c>
      <c r="AK265">
        <f t="shared" si="173"/>
        <v>3</v>
      </c>
      <c r="AL265" s="122">
        <f>SUM($AD$6:AD265)</f>
        <v>0</v>
      </c>
      <c r="AM265" s="122">
        <f t="shared" ca="1" si="188"/>
        <v>0</v>
      </c>
      <c r="AN265" s="126">
        <f t="shared" si="196"/>
        <v>0</v>
      </c>
      <c r="AO265" s="126">
        <f t="shared" si="197"/>
        <v>0</v>
      </c>
      <c r="AP265" s="126">
        <f t="shared" si="198"/>
        <v>0</v>
      </c>
      <c r="AQ265" s="125">
        <f t="shared" si="189"/>
        <v>30</v>
      </c>
      <c r="AR265" s="125">
        <f t="shared" ca="1" si="190"/>
        <v>30</v>
      </c>
      <c r="AS265" s="135">
        <f t="shared" si="191"/>
        <v>0</v>
      </c>
      <c r="AT265" s="125">
        <f t="shared" si="192"/>
        <v>0</v>
      </c>
      <c r="AU265" t="b">
        <f>OR((F265&gt;0),(NOT(ISBLANK(H265))),SUM(H265:H$373),SUM(G265:G$373))</f>
        <v>0</v>
      </c>
      <c r="AV265" t="b">
        <f t="shared" ca="1" si="174"/>
        <v>0</v>
      </c>
      <c r="AX265" s="228">
        <f>SUM(AW$5:AW265)</f>
        <v>-2.9166666666666665</v>
      </c>
    </row>
    <row r="266" spans="1:50">
      <c r="A266" s="308">
        <f t="shared" si="193"/>
        <v>42629</v>
      </c>
      <c r="B266" s="309">
        <f t="shared" si="194"/>
        <v>42629</v>
      </c>
      <c r="C266" s="310">
        <f t="shared" si="162"/>
        <v>38</v>
      </c>
      <c r="D266" s="311">
        <f t="shared" si="163"/>
        <v>42613</v>
      </c>
      <c r="E266" s="321" t="str">
        <f t="shared" si="175"/>
        <v/>
      </c>
      <c r="F266" s="5"/>
      <c r="G266" s="6" t="str">
        <f t="shared" si="176"/>
        <v/>
      </c>
      <c r="H266" s="7"/>
      <c r="I266" s="7">
        <f t="shared" si="177"/>
        <v>0</v>
      </c>
      <c r="J266" s="113">
        <f t="shared" si="165"/>
        <v>0</v>
      </c>
      <c r="K266" s="7"/>
      <c r="L266" s="7">
        <f t="shared" si="178"/>
        <v>0</v>
      </c>
      <c r="M266" s="113">
        <f t="shared" si="179"/>
        <v>0</v>
      </c>
      <c r="N266" s="113"/>
      <c r="O266" s="113">
        <f t="shared" si="166"/>
        <v>0</v>
      </c>
      <c r="P266" s="113"/>
      <c r="Q266" s="113">
        <f t="shared" si="180"/>
        <v>0</v>
      </c>
      <c r="R266" s="113">
        <f t="shared" si="181"/>
        <v>0</v>
      </c>
      <c r="S266" s="113">
        <f t="shared" si="199"/>
        <v>0</v>
      </c>
      <c r="T266" s="113">
        <f t="shared" si="182"/>
        <v>0</v>
      </c>
      <c r="U266" s="113">
        <f t="shared" si="200"/>
        <v>0</v>
      </c>
      <c r="V266" s="146">
        <f t="shared" si="183"/>
        <v>0</v>
      </c>
      <c r="W266" s="66"/>
      <c r="X266" s="115">
        <f t="shared" si="167"/>
        <v>3.125E-2</v>
      </c>
      <c r="Y266" s="110">
        <f t="shared" si="184"/>
        <v>0</v>
      </c>
      <c r="Z266" s="111">
        <f t="shared" si="164"/>
        <v>0.29166666666666669</v>
      </c>
      <c r="AA266" s="112">
        <f t="shared" si="185"/>
        <v>0</v>
      </c>
      <c r="AB266" s="67" t="str">
        <f t="shared" si="186"/>
        <v/>
      </c>
      <c r="AC266" s="193">
        <f t="shared" si="168"/>
        <v>0</v>
      </c>
      <c r="AD266" s="144" t="str">
        <f t="shared" si="169"/>
        <v/>
      </c>
      <c r="AE266" s="228">
        <f t="shared" si="195"/>
        <v>0</v>
      </c>
      <c r="AF266" s="110"/>
      <c r="AG266" s="110" t="str">
        <f t="shared" si="187"/>
        <v/>
      </c>
      <c r="AH266" s="68">
        <f t="shared" si="170"/>
        <v>0</v>
      </c>
      <c r="AI266" s="68">
        <f t="shared" si="171"/>
        <v>0</v>
      </c>
      <c r="AJ266" s="68" t="str">
        <f t="shared" si="172"/>
        <v/>
      </c>
      <c r="AK266">
        <f t="shared" si="173"/>
        <v>4</v>
      </c>
      <c r="AL266" s="122">
        <f>SUM($AD$6:AD266)</f>
        <v>0</v>
      </c>
      <c r="AM266" s="122">
        <f t="shared" ca="1" si="188"/>
        <v>0</v>
      </c>
      <c r="AN266" s="126">
        <f t="shared" si="196"/>
        <v>0</v>
      </c>
      <c r="AO266" s="126">
        <f t="shared" si="197"/>
        <v>0</v>
      </c>
      <c r="AP266" s="126">
        <f t="shared" si="198"/>
        <v>0</v>
      </c>
      <c r="AQ266" s="125">
        <f t="shared" si="189"/>
        <v>30</v>
      </c>
      <c r="AR266" s="125">
        <f t="shared" ca="1" si="190"/>
        <v>30</v>
      </c>
      <c r="AS266" s="135">
        <f t="shared" si="191"/>
        <v>0</v>
      </c>
      <c r="AT266" s="125">
        <f t="shared" si="192"/>
        <v>0</v>
      </c>
      <c r="AU266" t="b">
        <f>OR((F266&gt;0),(NOT(ISBLANK(H266))),SUM(H266:H$373),SUM(G266:G$373))</f>
        <v>0</v>
      </c>
      <c r="AV266" t="b">
        <f t="shared" ca="1" si="174"/>
        <v>0</v>
      </c>
      <c r="AX266" s="228">
        <f>SUM(AW$5:AW266)</f>
        <v>-2.9166666666666665</v>
      </c>
    </row>
    <row r="267" spans="1:50">
      <c r="A267" s="308">
        <f t="shared" si="193"/>
        <v>42630</v>
      </c>
      <c r="B267" s="309">
        <f t="shared" si="194"/>
        <v>42630</v>
      </c>
      <c r="C267" s="310">
        <f t="shared" si="162"/>
        <v>38</v>
      </c>
      <c r="D267" s="311">
        <f t="shared" si="163"/>
        <v>42613</v>
      </c>
      <c r="E267" s="321" t="str">
        <f t="shared" si="175"/>
        <v/>
      </c>
      <c r="F267" s="5"/>
      <c r="G267" s="6" t="str">
        <f t="shared" si="176"/>
        <v/>
      </c>
      <c r="H267" s="7"/>
      <c r="I267" s="7">
        <f t="shared" si="177"/>
        <v>0</v>
      </c>
      <c r="J267" s="113">
        <f t="shared" si="165"/>
        <v>0</v>
      </c>
      <c r="K267" s="7"/>
      <c r="L267" s="7">
        <f t="shared" si="178"/>
        <v>0</v>
      </c>
      <c r="M267" s="113">
        <f t="shared" si="179"/>
        <v>0</v>
      </c>
      <c r="N267" s="113"/>
      <c r="O267" s="113">
        <f t="shared" si="166"/>
        <v>0</v>
      </c>
      <c r="P267" s="113"/>
      <c r="Q267" s="113">
        <f t="shared" si="180"/>
        <v>0</v>
      </c>
      <c r="R267" s="113">
        <f t="shared" si="181"/>
        <v>0</v>
      </c>
      <c r="S267" s="113">
        <f t="shared" si="199"/>
        <v>0</v>
      </c>
      <c r="T267" s="113">
        <f t="shared" si="182"/>
        <v>0</v>
      </c>
      <c r="U267" s="113">
        <f t="shared" si="200"/>
        <v>0</v>
      </c>
      <c r="V267" s="146">
        <f t="shared" si="183"/>
        <v>0</v>
      </c>
      <c r="W267" s="66"/>
      <c r="X267" s="115">
        <f t="shared" si="167"/>
        <v>3.125E-2</v>
      </c>
      <c r="Y267" s="110">
        <f t="shared" si="184"/>
        <v>0</v>
      </c>
      <c r="Z267" s="111">
        <f t="shared" si="164"/>
        <v>0.29166666666666669</v>
      </c>
      <c r="AA267" s="112">
        <f t="shared" si="185"/>
        <v>0</v>
      </c>
      <c r="AB267" s="67" t="str">
        <f t="shared" si="186"/>
        <v/>
      </c>
      <c r="AC267" s="193">
        <f t="shared" si="168"/>
        <v>0</v>
      </c>
      <c r="AD267" s="144" t="str">
        <f t="shared" si="169"/>
        <v/>
      </c>
      <c r="AE267" s="228">
        <f t="shared" si="195"/>
        <v>0</v>
      </c>
      <c r="AF267" s="110"/>
      <c r="AG267" s="110" t="str">
        <f t="shared" si="187"/>
        <v/>
      </c>
      <c r="AH267" s="68">
        <f t="shared" si="170"/>
        <v>0</v>
      </c>
      <c r="AI267" s="68">
        <f t="shared" si="171"/>
        <v>0</v>
      </c>
      <c r="AJ267" s="68" t="str">
        <f t="shared" si="172"/>
        <v/>
      </c>
      <c r="AK267">
        <f t="shared" si="173"/>
        <v>5</v>
      </c>
      <c r="AL267" s="122">
        <f>SUM($AD$6:AD267)</f>
        <v>0</v>
      </c>
      <c r="AM267" s="122">
        <f t="shared" ca="1" si="188"/>
        <v>0</v>
      </c>
      <c r="AN267" s="126">
        <f t="shared" si="196"/>
        <v>0</v>
      </c>
      <c r="AO267" s="126">
        <f t="shared" si="197"/>
        <v>0</v>
      </c>
      <c r="AP267" s="126">
        <f t="shared" si="198"/>
        <v>0</v>
      </c>
      <c r="AQ267" s="125">
        <f t="shared" si="189"/>
        <v>30</v>
      </c>
      <c r="AR267" s="125">
        <f t="shared" ca="1" si="190"/>
        <v>30</v>
      </c>
      <c r="AS267" s="135">
        <f t="shared" si="191"/>
        <v>0</v>
      </c>
      <c r="AT267" s="125">
        <f t="shared" si="192"/>
        <v>0</v>
      </c>
      <c r="AU267" t="b">
        <f>OR((F267&gt;0),(NOT(ISBLANK(H267))),SUM(H267:H$373),SUM(G267:G$373))</f>
        <v>0</v>
      </c>
      <c r="AV267" t="b">
        <f t="shared" ca="1" si="174"/>
        <v>0</v>
      </c>
      <c r="AX267" s="228">
        <f>SUM(AW$5:AW267)</f>
        <v>-2.9166666666666665</v>
      </c>
    </row>
    <row r="268" spans="1:50">
      <c r="A268" s="308">
        <f t="shared" si="193"/>
        <v>42631</v>
      </c>
      <c r="B268" s="309">
        <f t="shared" si="194"/>
        <v>42631</v>
      </c>
      <c r="C268" s="310">
        <f t="shared" si="162"/>
        <v>38</v>
      </c>
      <c r="D268" s="311">
        <f t="shared" si="163"/>
        <v>42613</v>
      </c>
      <c r="E268" s="321" t="str">
        <f t="shared" si="175"/>
        <v/>
      </c>
      <c r="F268" s="5"/>
      <c r="G268" s="6" t="str">
        <f t="shared" si="176"/>
        <v/>
      </c>
      <c r="H268" s="7"/>
      <c r="I268" s="7">
        <f t="shared" si="177"/>
        <v>0</v>
      </c>
      <c r="J268" s="113">
        <f t="shared" si="165"/>
        <v>0</v>
      </c>
      <c r="K268" s="7"/>
      <c r="L268" s="7">
        <f t="shared" si="178"/>
        <v>0</v>
      </c>
      <c r="M268" s="113">
        <f t="shared" si="179"/>
        <v>0</v>
      </c>
      <c r="N268" s="113"/>
      <c r="O268" s="113">
        <f t="shared" si="166"/>
        <v>0</v>
      </c>
      <c r="P268" s="113"/>
      <c r="Q268" s="113">
        <f t="shared" si="180"/>
        <v>0</v>
      </c>
      <c r="R268" s="113">
        <f t="shared" si="181"/>
        <v>0</v>
      </c>
      <c r="S268" s="113">
        <f t="shared" si="199"/>
        <v>0</v>
      </c>
      <c r="T268" s="113">
        <f t="shared" si="182"/>
        <v>0</v>
      </c>
      <c r="U268" s="113">
        <f t="shared" si="200"/>
        <v>0</v>
      </c>
      <c r="V268" s="146">
        <f t="shared" si="183"/>
        <v>0</v>
      </c>
      <c r="W268" s="66"/>
      <c r="X268" s="115">
        <f t="shared" si="167"/>
        <v>3.125E-2</v>
      </c>
      <c r="Y268" s="110">
        <f t="shared" si="184"/>
        <v>0</v>
      </c>
      <c r="Z268" s="111">
        <f t="shared" si="164"/>
        <v>0</v>
      </c>
      <c r="AA268" s="112">
        <f t="shared" si="185"/>
        <v>0</v>
      </c>
      <c r="AB268" s="67" t="str">
        <f t="shared" si="186"/>
        <v/>
      </c>
      <c r="AC268" s="193">
        <f t="shared" si="168"/>
        <v>0</v>
      </c>
      <c r="AD268" s="144" t="str">
        <f t="shared" si="169"/>
        <v/>
      </c>
      <c r="AE268" s="228">
        <f t="shared" si="195"/>
        <v>0</v>
      </c>
      <c r="AF268" s="110"/>
      <c r="AG268" s="110" t="str">
        <f t="shared" si="187"/>
        <v/>
      </c>
      <c r="AH268" s="68">
        <f t="shared" si="170"/>
        <v>0</v>
      </c>
      <c r="AI268" s="68">
        <f t="shared" si="171"/>
        <v>0</v>
      </c>
      <c r="AJ268" s="68" t="str">
        <f t="shared" si="172"/>
        <v/>
      </c>
      <c r="AK268">
        <f t="shared" si="173"/>
        <v>6</v>
      </c>
      <c r="AL268" s="122">
        <f>SUM($AD$6:AD268)</f>
        <v>0</v>
      </c>
      <c r="AM268" s="122">
        <f t="shared" ca="1" si="188"/>
        <v>0</v>
      </c>
      <c r="AN268" s="126">
        <f t="shared" si="196"/>
        <v>0</v>
      </c>
      <c r="AO268" s="126">
        <f t="shared" si="197"/>
        <v>0</v>
      </c>
      <c r="AP268" s="126">
        <f t="shared" si="198"/>
        <v>0</v>
      </c>
      <c r="AQ268" s="125">
        <f t="shared" si="189"/>
        <v>30</v>
      </c>
      <c r="AR268" s="125">
        <f t="shared" ca="1" si="190"/>
        <v>30</v>
      </c>
      <c r="AS268" s="135">
        <f t="shared" si="191"/>
        <v>0</v>
      </c>
      <c r="AT268" s="125">
        <f t="shared" si="192"/>
        <v>7</v>
      </c>
      <c r="AU268" t="b">
        <f>OR((F268&gt;0),(NOT(ISBLANK(H268))),SUM(H268:H$373),SUM(G268:G$373))</f>
        <v>0</v>
      </c>
      <c r="AV268" t="b">
        <f t="shared" ca="1" si="174"/>
        <v>1</v>
      </c>
      <c r="AX268" s="228">
        <f>SUM(AW$5:AW268)</f>
        <v>-2.9166666666666665</v>
      </c>
    </row>
    <row r="269" spans="1:50">
      <c r="A269" s="308">
        <f t="shared" si="193"/>
        <v>42632</v>
      </c>
      <c r="B269" s="309">
        <f t="shared" si="194"/>
        <v>42632</v>
      </c>
      <c r="C269" s="310">
        <f t="shared" si="162"/>
        <v>38</v>
      </c>
      <c r="D269" s="311">
        <f t="shared" si="163"/>
        <v>42613</v>
      </c>
      <c r="E269" s="321" t="str">
        <f t="shared" si="175"/>
        <v/>
      </c>
      <c r="F269" s="5"/>
      <c r="G269" s="6" t="str">
        <f t="shared" si="176"/>
        <v/>
      </c>
      <c r="H269" s="7"/>
      <c r="I269" s="7">
        <f t="shared" si="177"/>
        <v>0</v>
      </c>
      <c r="J269" s="113">
        <f t="shared" si="165"/>
        <v>0</v>
      </c>
      <c r="K269" s="7"/>
      <c r="L269" s="7">
        <f t="shared" si="178"/>
        <v>0</v>
      </c>
      <c r="M269" s="113">
        <f t="shared" si="179"/>
        <v>0</v>
      </c>
      <c r="N269" s="113"/>
      <c r="O269" s="113">
        <f t="shared" si="166"/>
        <v>0</v>
      </c>
      <c r="P269" s="113"/>
      <c r="Q269" s="113">
        <f t="shared" si="180"/>
        <v>0</v>
      </c>
      <c r="R269" s="113">
        <f t="shared" si="181"/>
        <v>0</v>
      </c>
      <c r="S269" s="113">
        <f t="shared" si="199"/>
        <v>0</v>
      </c>
      <c r="T269" s="113">
        <f t="shared" si="182"/>
        <v>0</v>
      </c>
      <c r="U269" s="113">
        <f t="shared" si="200"/>
        <v>0</v>
      </c>
      <c r="V269" s="146">
        <f t="shared" si="183"/>
        <v>0</v>
      </c>
      <c r="W269" s="66"/>
      <c r="X269" s="115">
        <f t="shared" si="167"/>
        <v>3.125E-2</v>
      </c>
      <c r="Y269" s="110">
        <f t="shared" si="184"/>
        <v>0</v>
      </c>
      <c r="Z269" s="111">
        <f t="shared" si="164"/>
        <v>0</v>
      </c>
      <c r="AA269" s="112">
        <f t="shared" si="185"/>
        <v>0</v>
      </c>
      <c r="AB269" s="67" t="str">
        <f t="shared" si="186"/>
        <v/>
      </c>
      <c r="AC269" s="193">
        <f t="shared" si="168"/>
        <v>0</v>
      </c>
      <c r="AD269" s="144" t="str">
        <f t="shared" si="169"/>
        <v/>
      </c>
      <c r="AE269" s="228">
        <f t="shared" si="195"/>
        <v>0</v>
      </c>
      <c r="AF269" s="110"/>
      <c r="AG269" s="110" t="str">
        <f t="shared" si="187"/>
        <v/>
      </c>
      <c r="AH269" s="68">
        <f t="shared" si="170"/>
        <v>0</v>
      </c>
      <c r="AI269" s="68">
        <f t="shared" si="171"/>
        <v>0</v>
      </c>
      <c r="AJ269" s="68" t="str">
        <f t="shared" si="172"/>
        <v/>
      </c>
      <c r="AK269">
        <f t="shared" si="173"/>
        <v>7</v>
      </c>
      <c r="AL269" s="122">
        <f>SUM($AD$6:AD269)</f>
        <v>0</v>
      </c>
      <c r="AM269" s="122">
        <f t="shared" ca="1" si="188"/>
        <v>0</v>
      </c>
      <c r="AN269" s="126">
        <f t="shared" si="196"/>
        <v>0</v>
      </c>
      <c r="AO269" s="126">
        <f t="shared" si="197"/>
        <v>0</v>
      </c>
      <c r="AP269" s="126">
        <f t="shared" si="198"/>
        <v>0</v>
      </c>
      <c r="AQ269" s="125">
        <f t="shared" si="189"/>
        <v>30</v>
      </c>
      <c r="AR269" s="125">
        <f t="shared" ca="1" si="190"/>
        <v>30</v>
      </c>
      <c r="AS269" s="135">
        <f t="shared" si="191"/>
        <v>0</v>
      </c>
      <c r="AT269" s="125">
        <f t="shared" si="192"/>
        <v>7</v>
      </c>
      <c r="AU269" t="b">
        <f>OR((F269&gt;0),(NOT(ISBLANK(H269))),SUM(H269:H$373),SUM(G269:G$373))</f>
        <v>0</v>
      </c>
      <c r="AV269" t="b">
        <f t="shared" ca="1" si="174"/>
        <v>1</v>
      </c>
      <c r="AX269" s="228">
        <f>SUM(AW$5:AW269)</f>
        <v>-2.9166666666666665</v>
      </c>
    </row>
    <row r="270" spans="1:50">
      <c r="A270" s="308">
        <f t="shared" si="193"/>
        <v>42633</v>
      </c>
      <c r="B270" s="309">
        <f t="shared" si="194"/>
        <v>42633</v>
      </c>
      <c r="C270" s="310">
        <f t="shared" si="162"/>
        <v>39</v>
      </c>
      <c r="D270" s="311">
        <f t="shared" si="163"/>
        <v>42613</v>
      </c>
      <c r="E270" s="321" t="str">
        <f t="shared" si="175"/>
        <v/>
      </c>
      <c r="F270" s="5"/>
      <c r="G270" s="6" t="str">
        <f t="shared" si="176"/>
        <v/>
      </c>
      <c r="H270" s="7"/>
      <c r="I270" s="7">
        <f t="shared" si="177"/>
        <v>0</v>
      </c>
      <c r="J270" s="113">
        <f t="shared" si="165"/>
        <v>0</v>
      </c>
      <c r="K270" s="7"/>
      <c r="L270" s="7">
        <f t="shared" si="178"/>
        <v>0</v>
      </c>
      <c r="M270" s="113">
        <f t="shared" si="179"/>
        <v>0</v>
      </c>
      <c r="N270" s="113"/>
      <c r="O270" s="113">
        <f t="shared" si="166"/>
        <v>0</v>
      </c>
      <c r="P270" s="113"/>
      <c r="Q270" s="113">
        <f t="shared" si="180"/>
        <v>0</v>
      </c>
      <c r="R270" s="113">
        <f t="shared" si="181"/>
        <v>0</v>
      </c>
      <c r="S270" s="113">
        <f t="shared" si="199"/>
        <v>0</v>
      </c>
      <c r="T270" s="113">
        <f t="shared" si="182"/>
        <v>0</v>
      </c>
      <c r="U270" s="113">
        <f t="shared" si="200"/>
        <v>0</v>
      </c>
      <c r="V270" s="146">
        <f t="shared" si="183"/>
        <v>0</v>
      </c>
      <c r="W270" s="66"/>
      <c r="X270" s="115">
        <f t="shared" si="167"/>
        <v>3.125E-2</v>
      </c>
      <c r="Y270" s="110">
        <f t="shared" si="184"/>
        <v>0</v>
      </c>
      <c r="Z270" s="111">
        <f t="shared" si="164"/>
        <v>0.29166666666666669</v>
      </c>
      <c r="AA270" s="112">
        <f t="shared" si="185"/>
        <v>0</v>
      </c>
      <c r="AB270" s="67" t="str">
        <f t="shared" si="186"/>
        <v/>
      </c>
      <c r="AC270" s="193">
        <f t="shared" si="168"/>
        <v>0</v>
      </c>
      <c r="AD270" s="144" t="str">
        <f t="shared" si="169"/>
        <v/>
      </c>
      <c r="AE270" s="228">
        <f t="shared" si="195"/>
        <v>0</v>
      </c>
      <c r="AF270" s="110"/>
      <c r="AG270" s="110" t="str">
        <f t="shared" si="187"/>
        <v/>
      </c>
      <c r="AH270" s="68">
        <f t="shared" si="170"/>
        <v>0</v>
      </c>
      <c r="AI270" s="68">
        <f t="shared" si="171"/>
        <v>0</v>
      </c>
      <c r="AJ270" s="68" t="str">
        <f t="shared" si="172"/>
        <v/>
      </c>
      <c r="AK270">
        <f t="shared" si="173"/>
        <v>1</v>
      </c>
      <c r="AL270" s="122">
        <f>SUM($AD$6:AD270)</f>
        <v>0</v>
      </c>
      <c r="AM270" s="122">
        <f t="shared" ca="1" si="188"/>
        <v>0</v>
      </c>
      <c r="AN270" s="126">
        <f t="shared" si="196"/>
        <v>0</v>
      </c>
      <c r="AO270" s="126">
        <f t="shared" si="197"/>
        <v>0</v>
      </c>
      <c r="AP270" s="126">
        <f t="shared" si="198"/>
        <v>0</v>
      </c>
      <c r="AQ270" s="125">
        <f t="shared" si="189"/>
        <v>30</v>
      </c>
      <c r="AR270" s="125">
        <f t="shared" ca="1" si="190"/>
        <v>30</v>
      </c>
      <c r="AS270" s="135">
        <f t="shared" si="191"/>
        <v>0</v>
      </c>
      <c r="AT270" s="125">
        <f t="shared" si="192"/>
        <v>0</v>
      </c>
      <c r="AU270" t="b">
        <f>OR((F270&gt;0),(NOT(ISBLANK(H270))),SUM(H270:H$373),SUM(G270:G$373))</f>
        <v>0</v>
      </c>
      <c r="AV270" t="b">
        <f t="shared" ca="1" si="174"/>
        <v>0</v>
      </c>
      <c r="AX270" s="228">
        <f>SUM(AW$5:AW270)</f>
        <v>-2.9166666666666665</v>
      </c>
    </row>
    <row r="271" spans="1:50">
      <c r="A271" s="308">
        <f t="shared" si="193"/>
        <v>42634</v>
      </c>
      <c r="B271" s="309">
        <f t="shared" si="194"/>
        <v>42634</v>
      </c>
      <c r="C271" s="310">
        <f t="shared" si="162"/>
        <v>39</v>
      </c>
      <c r="D271" s="311">
        <f t="shared" si="163"/>
        <v>42613</v>
      </c>
      <c r="E271" s="321" t="str">
        <f t="shared" si="175"/>
        <v/>
      </c>
      <c r="F271" s="5"/>
      <c r="G271" s="6" t="str">
        <f t="shared" si="176"/>
        <v/>
      </c>
      <c r="H271" s="7"/>
      <c r="I271" s="7">
        <f t="shared" si="177"/>
        <v>0</v>
      </c>
      <c r="J271" s="113">
        <f t="shared" si="165"/>
        <v>0</v>
      </c>
      <c r="K271" s="7"/>
      <c r="L271" s="7">
        <f t="shared" si="178"/>
        <v>0</v>
      </c>
      <c r="M271" s="113">
        <f t="shared" si="179"/>
        <v>0</v>
      </c>
      <c r="N271" s="113"/>
      <c r="O271" s="113">
        <f t="shared" si="166"/>
        <v>0</v>
      </c>
      <c r="P271" s="113"/>
      <c r="Q271" s="113">
        <f t="shared" si="180"/>
        <v>0</v>
      </c>
      <c r="R271" s="113">
        <f t="shared" si="181"/>
        <v>0</v>
      </c>
      <c r="S271" s="113">
        <f t="shared" si="199"/>
        <v>0</v>
      </c>
      <c r="T271" s="113">
        <f t="shared" si="182"/>
        <v>0</v>
      </c>
      <c r="U271" s="113">
        <f t="shared" si="200"/>
        <v>0</v>
      </c>
      <c r="V271" s="146">
        <f t="shared" si="183"/>
        <v>0</v>
      </c>
      <c r="W271" s="66"/>
      <c r="X271" s="115">
        <f t="shared" si="167"/>
        <v>3.125E-2</v>
      </c>
      <c r="Y271" s="110">
        <f t="shared" si="184"/>
        <v>0</v>
      </c>
      <c r="Z271" s="111">
        <f t="shared" si="164"/>
        <v>0.29166666666666669</v>
      </c>
      <c r="AA271" s="112">
        <f t="shared" si="185"/>
        <v>0</v>
      </c>
      <c r="AB271" s="67" t="str">
        <f t="shared" si="186"/>
        <v/>
      </c>
      <c r="AC271" s="193">
        <f t="shared" si="168"/>
        <v>0</v>
      </c>
      <c r="AD271" s="144" t="str">
        <f t="shared" si="169"/>
        <v/>
      </c>
      <c r="AE271" s="228">
        <f t="shared" si="195"/>
        <v>0</v>
      </c>
      <c r="AF271" s="110"/>
      <c r="AG271" s="110" t="str">
        <f t="shared" si="187"/>
        <v/>
      </c>
      <c r="AH271" s="68">
        <f t="shared" si="170"/>
        <v>0</v>
      </c>
      <c r="AI271" s="68">
        <f t="shared" si="171"/>
        <v>0</v>
      </c>
      <c r="AJ271" s="68" t="str">
        <f t="shared" si="172"/>
        <v/>
      </c>
      <c r="AK271">
        <f t="shared" si="173"/>
        <v>2</v>
      </c>
      <c r="AL271" s="122">
        <f>SUM($AD$6:AD271)</f>
        <v>0</v>
      </c>
      <c r="AM271" s="122">
        <f t="shared" ca="1" si="188"/>
        <v>0</v>
      </c>
      <c r="AN271" s="126">
        <f t="shared" si="196"/>
        <v>0</v>
      </c>
      <c r="AO271" s="126">
        <f t="shared" si="197"/>
        <v>0</v>
      </c>
      <c r="AP271" s="126">
        <f t="shared" si="198"/>
        <v>0</v>
      </c>
      <c r="AQ271" s="125">
        <f t="shared" si="189"/>
        <v>30</v>
      </c>
      <c r="AR271" s="125">
        <f t="shared" ca="1" si="190"/>
        <v>30</v>
      </c>
      <c r="AS271" s="135">
        <f t="shared" si="191"/>
        <v>0</v>
      </c>
      <c r="AT271" s="125">
        <f t="shared" si="192"/>
        <v>0</v>
      </c>
      <c r="AU271" t="b">
        <f>OR((F271&gt;0),(NOT(ISBLANK(H271))),SUM(H271:H$373),SUM(G271:G$373))</f>
        <v>0</v>
      </c>
      <c r="AV271" t="b">
        <f t="shared" ca="1" si="174"/>
        <v>0</v>
      </c>
      <c r="AX271" s="228">
        <f>SUM(AW$5:AW271)</f>
        <v>-2.9166666666666665</v>
      </c>
    </row>
    <row r="272" spans="1:50">
      <c r="A272" s="308">
        <f t="shared" si="193"/>
        <v>42635</v>
      </c>
      <c r="B272" s="309">
        <f t="shared" si="194"/>
        <v>42635</v>
      </c>
      <c r="C272" s="310">
        <f t="shared" si="162"/>
        <v>39</v>
      </c>
      <c r="D272" s="311">
        <f t="shared" si="163"/>
        <v>42613</v>
      </c>
      <c r="E272" s="321" t="str">
        <f t="shared" si="175"/>
        <v/>
      </c>
      <c r="F272" s="5"/>
      <c r="G272" s="6" t="str">
        <f t="shared" si="176"/>
        <v/>
      </c>
      <c r="H272" s="7"/>
      <c r="I272" s="7">
        <f t="shared" si="177"/>
        <v>0</v>
      </c>
      <c r="J272" s="113">
        <f t="shared" si="165"/>
        <v>0</v>
      </c>
      <c r="K272" s="7"/>
      <c r="L272" s="7">
        <f t="shared" si="178"/>
        <v>0</v>
      </c>
      <c r="M272" s="113">
        <f t="shared" si="179"/>
        <v>0</v>
      </c>
      <c r="N272" s="113"/>
      <c r="O272" s="113">
        <f t="shared" si="166"/>
        <v>0</v>
      </c>
      <c r="P272" s="113"/>
      <c r="Q272" s="113">
        <f t="shared" si="180"/>
        <v>0</v>
      </c>
      <c r="R272" s="113">
        <f t="shared" si="181"/>
        <v>0</v>
      </c>
      <c r="S272" s="113">
        <f t="shared" si="199"/>
        <v>0</v>
      </c>
      <c r="T272" s="113">
        <f t="shared" si="182"/>
        <v>0</v>
      </c>
      <c r="U272" s="113">
        <f t="shared" si="200"/>
        <v>0</v>
      </c>
      <c r="V272" s="146">
        <f t="shared" si="183"/>
        <v>0</v>
      </c>
      <c r="W272" s="66"/>
      <c r="X272" s="115">
        <f t="shared" si="167"/>
        <v>3.125E-2</v>
      </c>
      <c r="Y272" s="110">
        <f t="shared" si="184"/>
        <v>0</v>
      </c>
      <c r="Z272" s="111">
        <f t="shared" si="164"/>
        <v>0.29166666666666669</v>
      </c>
      <c r="AA272" s="112">
        <f t="shared" si="185"/>
        <v>0</v>
      </c>
      <c r="AB272" s="67" t="str">
        <f t="shared" si="186"/>
        <v/>
      </c>
      <c r="AC272" s="193">
        <f t="shared" si="168"/>
        <v>0</v>
      </c>
      <c r="AD272" s="144" t="str">
        <f t="shared" si="169"/>
        <v/>
      </c>
      <c r="AE272" s="228">
        <f t="shared" si="195"/>
        <v>0</v>
      </c>
      <c r="AF272" s="110"/>
      <c r="AG272" s="110" t="str">
        <f t="shared" si="187"/>
        <v/>
      </c>
      <c r="AH272" s="68">
        <f t="shared" si="170"/>
        <v>0</v>
      </c>
      <c r="AI272" s="68">
        <f t="shared" si="171"/>
        <v>0</v>
      </c>
      <c r="AJ272" s="68" t="str">
        <f t="shared" si="172"/>
        <v/>
      </c>
      <c r="AK272">
        <f t="shared" si="173"/>
        <v>3</v>
      </c>
      <c r="AL272" s="122">
        <f>SUM($AD$6:AD272)</f>
        <v>0</v>
      </c>
      <c r="AM272" s="122">
        <f t="shared" ca="1" si="188"/>
        <v>0</v>
      </c>
      <c r="AN272" s="126">
        <f t="shared" si="196"/>
        <v>0</v>
      </c>
      <c r="AO272" s="126">
        <f t="shared" si="197"/>
        <v>0</v>
      </c>
      <c r="AP272" s="126">
        <f t="shared" si="198"/>
        <v>0</v>
      </c>
      <c r="AQ272" s="125">
        <f t="shared" si="189"/>
        <v>30</v>
      </c>
      <c r="AR272" s="125">
        <f t="shared" ca="1" si="190"/>
        <v>30</v>
      </c>
      <c r="AS272" s="135">
        <f t="shared" si="191"/>
        <v>0</v>
      </c>
      <c r="AT272" s="125">
        <f t="shared" si="192"/>
        <v>0</v>
      </c>
      <c r="AU272" t="b">
        <f>OR((F272&gt;0),(NOT(ISBLANK(H272))),SUM(H272:H$373),SUM(G272:G$373))</f>
        <v>0</v>
      </c>
      <c r="AV272" t="b">
        <f t="shared" ca="1" si="174"/>
        <v>0</v>
      </c>
      <c r="AX272" s="228">
        <f>SUM(AW$5:AW272)</f>
        <v>-2.9166666666666665</v>
      </c>
    </row>
    <row r="273" spans="1:50">
      <c r="A273" s="308">
        <f t="shared" si="193"/>
        <v>42636</v>
      </c>
      <c r="B273" s="309">
        <f t="shared" si="194"/>
        <v>42636</v>
      </c>
      <c r="C273" s="310">
        <f t="shared" si="162"/>
        <v>39</v>
      </c>
      <c r="D273" s="311">
        <f t="shared" si="163"/>
        <v>42613</v>
      </c>
      <c r="E273" s="321" t="str">
        <f t="shared" si="175"/>
        <v/>
      </c>
      <c r="F273" s="5"/>
      <c r="G273" s="6" t="str">
        <f t="shared" si="176"/>
        <v/>
      </c>
      <c r="H273" s="7"/>
      <c r="I273" s="7">
        <f t="shared" si="177"/>
        <v>0</v>
      </c>
      <c r="J273" s="113">
        <f t="shared" si="165"/>
        <v>0</v>
      </c>
      <c r="K273" s="7"/>
      <c r="L273" s="7">
        <f t="shared" si="178"/>
        <v>0</v>
      </c>
      <c r="M273" s="113">
        <f t="shared" si="179"/>
        <v>0</v>
      </c>
      <c r="N273" s="113"/>
      <c r="O273" s="113">
        <f t="shared" si="166"/>
        <v>0</v>
      </c>
      <c r="P273" s="113"/>
      <c r="Q273" s="113">
        <f t="shared" si="180"/>
        <v>0</v>
      </c>
      <c r="R273" s="113">
        <f t="shared" si="181"/>
        <v>0</v>
      </c>
      <c r="S273" s="113">
        <f t="shared" si="199"/>
        <v>0</v>
      </c>
      <c r="T273" s="113">
        <f t="shared" si="182"/>
        <v>0</v>
      </c>
      <c r="U273" s="113">
        <f t="shared" si="200"/>
        <v>0</v>
      </c>
      <c r="V273" s="146">
        <f t="shared" si="183"/>
        <v>0</v>
      </c>
      <c r="W273" s="66"/>
      <c r="X273" s="115">
        <f t="shared" si="167"/>
        <v>3.125E-2</v>
      </c>
      <c r="Y273" s="110">
        <f t="shared" si="184"/>
        <v>0</v>
      </c>
      <c r="Z273" s="111">
        <f t="shared" si="164"/>
        <v>0.29166666666666669</v>
      </c>
      <c r="AA273" s="112">
        <f t="shared" si="185"/>
        <v>0</v>
      </c>
      <c r="AB273" s="67" t="str">
        <f t="shared" si="186"/>
        <v/>
      </c>
      <c r="AC273" s="193">
        <f t="shared" si="168"/>
        <v>0</v>
      </c>
      <c r="AD273" s="144" t="str">
        <f t="shared" si="169"/>
        <v/>
      </c>
      <c r="AE273" s="228">
        <f t="shared" si="195"/>
        <v>0</v>
      </c>
      <c r="AF273" s="110"/>
      <c r="AG273" s="110" t="str">
        <f t="shared" si="187"/>
        <v/>
      </c>
      <c r="AH273" s="68">
        <f t="shared" si="170"/>
        <v>0</v>
      </c>
      <c r="AI273" s="68">
        <f t="shared" si="171"/>
        <v>0</v>
      </c>
      <c r="AJ273" s="68" t="str">
        <f t="shared" si="172"/>
        <v/>
      </c>
      <c r="AK273">
        <f t="shared" si="173"/>
        <v>4</v>
      </c>
      <c r="AL273" s="122">
        <f>SUM($AD$6:AD273)</f>
        <v>0</v>
      </c>
      <c r="AM273" s="122">
        <f t="shared" ca="1" si="188"/>
        <v>0</v>
      </c>
      <c r="AN273" s="126">
        <f t="shared" si="196"/>
        <v>0</v>
      </c>
      <c r="AO273" s="126">
        <f t="shared" si="197"/>
        <v>0</v>
      </c>
      <c r="AP273" s="126">
        <f t="shared" si="198"/>
        <v>0</v>
      </c>
      <c r="AQ273" s="125">
        <f t="shared" si="189"/>
        <v>30</v>
      </c>
      <c r="AR273" s="125">
        <f t="shared" ca="1" si="190"/>
        <v>30</v>
      </c>
      <c r="AS273" s="135">
        <f t="shared" si="191"/>
        <v>0</v>
      </c>
      <c r="AT273" s="125">
        <f t="shared" si="192"/>
        <v>0</v>
      </c>
      <c r="AU273" t="b">
        <f>OR((F273&gt;0),(NOT(ISBLANK(H273))),SUM(H273:H$373),SUM(G273:G$373))</f>
        <v>0</v>
      </c>
      <c r="AV273" t="b">
        <f t="shared" ca="1" si="174"/>
        <v>0</v>
      </c>
      <c r="AX273" s="228">
        <f>SUM(AW$5:AW273)</f>
        <v>-2.9166666666666665</v>
      </c>
    </row>
    <row r="274" spans="1:50">
      <c r="A274" s="308">
        <f t="shared" si="193"/>
        <v>42637</v>
      </c>
      <c r="B274" s="309">
        <f t="shared" si="194"/>
        <v>42637</v>
      </c>
      <c r="C274" s="310">
        <f t="shared" si="162"/>
        <v>39</v>
      </c>
      <c r="D274" s="311">
        <f t="shared" si="163"/>
        <v>42613</v>
      </c>
      <c r="E274" s="321" t="str">
        <f t="shared" si="175"/>
        <v/>
      </c>
      <c r="F274" s="5"/>
      <c r="G274" s="6" t="str">
        <f t="shared" si="176"/>
        <v/>
      </c>
      <c r="H274" s="7"/>
      <c r="I274" s="7">
        <f t="shared" si="177"/>
        <v>0</v>
      </c>
      <c r="J274" s="113">
        <f t="shared" si="165"/>
        <v>0</v>
      </c>
      <c r="K274" s="7"/>
      <c r="L274" s="7">
        <f t="shared" si="178"/>
        <v>0</v>
      </c>
      <c r="M274" s="113">
        <f t="shared" si="179"/>
        <v>0</v>
      </c>
      <c r="N274" s="113"/>
      <c r="O274" s="113">
        <f t="shared" si="166"/>
        <v>0</v>
      </c>
      <c r="P274" s="113"/>
      <c r="Q274" s="113">
        <f t="shared" si="180"/>
        <v>0</v>
      </c>
      <c r="R274" s="113">
        <f t="shared" si="181"/>
        <v>0</v>
      </c>
      <c r="S274" s="113">
        <f t="shared" si="199"/>
        <v>0</v>
      </c>
      <c r="T274" s="113">
        <f t="shared" si="182"/>
        <v>0</v>
      </c>
      <c r="U274" s="113">
        <f t="shared" si="200"/>
        <v>0</v>
      </c>
      <c r="V274" s="146">
        <f t="shared" si="183"/>
        <v>0</v>
      </c>
      <c r="W274" s="66"/>
      <c r="X274" s="115">
        <f t="shared" si="167"/>
        <v>3.125E-2</v>
      </c>
      <c r="Y274" s="110">
        <f t="shared" si="184"/>
        <v>0</v>
      </c>
      <c r="Z274" s="111">
        <f t="shared" si="164"/>
        <v>0.29166666666666669</v>
      </c>
      <c r="AA274" s="112">
        <f t="shared" si="185"/>
        <v>0</v>
      </c>
      <c r="AB274" s="67" t="str">
        <f t="shared" si="186"/>
        <v/>
      </c>
      <c r="AC274" s="193">
        <f t="shared" si="168"/>
        <v>0</v>
      </c>
      <c r="AD274" s="144" t="str">
        <f t="shared" si="169"/>
        <v/>
      </c>
      <c r="AE274" s="228">
        <f t="shared" si="195"/>
        <v>0</v>
      </c>
      <c r="AF274" s="110"/>
      <c r="AG274" s="110" t="str">
        <f t="shared" si="187"/>
        <v/>
      </c>
      <c r="AH274" s="68">
        <f t="shared" si="170"/>
        <v>0</v>
      </c>
      <c r="AI274" s="68">
        <f t="shared" si="171"/>
        <v>0</v>
      </c>
      <c r="AJ274" s="68" t="str">
        <f t="shared" si="172"/>
        <v/>
      </c>
      <c r="AK274">
        <f t="shared" si="173"/>
        <v>5</v>
      </c>
      <c r="AL274" s="122">
        <f>SUM($AD$6:AD274)</f>
        <v>0</v>
      </c>
      <c r="AM274" s="122">
        <f t="shared" ca="1" si="188"/>
        <v>0</v>
      </c>
      <c r="AN274" s="126">
        <f t="shared" si="196"/>
        <v>0</v>
      </c>
      <c r="AO274" s="126">
        <f t="shared" si="197"/>
        <v>0</v>
      </c>
      <c r="AP274" s="126">
        <f t="shared" si="198"/>
        <v>0</v>
      </c>
      <c r="AQ274" s="125">
        <f t="shared" si="189"/>
        <v>30</v>
      </c>
      <c r="AR274" s="125">
        <f t="shared" ca="1" si="190"/>
        <v>30</v>
      </c>
      <c r="AS274" s="135">
        <f t="shared" si="191"/>
        <v>0</v>
      </c>
      <c r="AT274" s="125">
        <f t="shared" si="192"/>
        <v>0</v>
      </c>
      <c r="AU274" t="b">
        <f>OR((F274&gt;0),(NOT(ISBLANK(H274))),SUM(H274:H$373),SUM(G274:G$373))</f>
        <v>0</v>
      </c>
      <c r="AV274" t="b">
        <f t="shared" ca="1" si="174"/>
        <v>0</v>
      </c>
      <c r="AX274" s="228">
        <f>SUM(AW$5:AW274)</f>
        <v>-2.9166666666666665</v>
      </c>
    </row>
    <row r="275" spans="1:50">
      <c r="A275" s="308">
        <f t="shared" si="193"/>
        <v>42638</v>
      </c>
      <c r="B275" s="309">
        <f t="shared" si="194"/>
        <v>42638</v>
      </c>
      <c r="C275" s="310">
        <f t="shared" si="162"/>
        <v>39</v>
      </c>
      <c r="D275" s="311">
        <f t="shared" si="163"/>
        <v>42613</v>
      </c>
      <c r="E275" s="321" t="str">
        <f t="shared" si="175"/>
        <v/>
      </c>
      <c r="F275" s="5"/>
      <c r="G275" s="6" t="str">
        <f t="shared" si="176"/>
        <v/>
      </c>
      <c r="H275" s="7"/>
      <c r="I275" s="7">
        <f t="shared" si="177"/>
        <v>0</v>
      </c>
      <c r="J275" s="113">
        <f t="shared" si="165"/>
        <v>0</v>
      </c>
      <c r="K275" s="7"/>
      <c r="L275" s="7">
        <f t="shared" si="178"/>
        <v>0</v>
      </c>
      <c r="M275" s="113">
        <f t="shared" si="179"/>
        <v>0</v>
      </c>
      <c r="N275" s="113"/>
      <c r="O275" s="113">
        <f t="shared" si="166"/>
        <v>0</v>
      </c>
      <c r="P275" s="113"/>
      <c r="Q275" s="113">
        <f t="shared" si="180"/>
        <v>0</v>
      </c>
      <c r="R275" s="113">
        <f t="shared" si="181"/>
        <v>0</v>
      </c>
      <c r="S275" s="113">
        <f t="shared" si="199"/>
        <v>0</v>
      </c>
      <c r="T275" s="113">
        <f t="shared" si="182"/>
        <v>0</v>
      </c>
      <c r="U275" s="113">
        <f t="shared" si="200"/>
        <v>0</v>
      </c>
      <c r="V275" s="146">
        <f t="shared" si="183"/>
        <v>0</v>
      </c>
      <c r="W275" s="66"/>
      <c r="X275" s="115">
        <f t="shared" si="167"/>
        <v>3.125E-2</v>
      </c>
      <c r="Y275" s="110">
        <f t="shared" si="184"/>
        <v>0</v>
      </c>
      <c r="Z275" s="111">
        <f t="shared" si="164"/>
        <v>0</v>
      </c>
      <c r="AA275" s="112">
        <f t="shared" si="185"/>
        <v>0</v>
      </c>
      <c r="AB275" s="67" t="str">
        <f t="shared" si="186"/>
        <v/>
      </c>
      <c r="AC275" s="193">
        <f t="shared" si="168"/>
        <v>0</v>
      </c>
      <c r="AD275" s="144" t="str">
        <f t="shared" si="169"/>
        <v/>
      </c>
      <c r="AE275" s="228">
        <f t="shared" si="195"/>
        <v>0</v>
      </c>
      <c r="AF275" s="110"/>
      <c r="AG275" s="110" t="str">
        <f t="shared" si="187"/>
        <v/>
      </c>
      <c r="AH275" s="68">
        <f t="shared" si="170"/>
        <v>0</v>
      </c>
      <c r="AI275" s="68">
        <f t="shared" si="171"/>
        <v>0</v>
      </c>
      <c r="AJ275" s="68" t="str">
        <f t="shared" si="172"/>
        <v/>
      </c>
      <c r="AK275">
        <f t="shared" si="173"/>
        <v>6</v>
      </c>
      <c r="AL275" s="122">
        <f>SUM($AD$6:AD275)</f>
        <v>0</v>
      </c>
      <c r="AM275" s="122">
        <f t="shared" ca="1" si="188"/>
        <v>0</v>
      </c>
      <c r="AN275" s="126">
        <f t="shared" si="196"/>
        <v>0</v>
      </c>
      <c r="AO275" s="126">
        <f t="shared" si="197"/>
        <v>0</v>
      </c>
      <c r="AP275" s="126">
        <f t="shared" si="198"/>
        <v>0</v>
      </c>
      <c r="AQ275" s="125">
        <f t="shared" si="189"/>
        <v>30</v>
      </c>
      <c r="AR275" s="125">
        <f t="shared" ca="1" si="190"/>
        <v>30</v>
      </c>
      <c r="AS275" s="135">
        <f t="shared" si="191"/>
        <v>0</v>
      </c>
      <c r="AT275" s="125">
        <f t="shared" si="192"/>
        <v>7</v>
      </c>
      <c r="AU275" t="b">
        <f>OR((F275&gt;0),(NOT(ISBLANK(H275))),SUM(H275:H$373),SUM(G275:G$373))</f>
        <v>0</v>
      </c>
      <c r="AV275" t="b">
        <f t="shared" ca="1" si="174"/>
        <v>1</v>
      </c>
      <c r="AX275" s="228">
        <f>SUM(AW$5:AW275)</f>
        <v>-2.9166666666666665</v>
      </c>
    </row>
    <row r="276" spans="1:50">
      <c r="A276" s="308">
        <f t="shared" si="193"/>
        <v>42639</v>
      </c>
      <c r="B276" s="309">
        <f t="shared" si="194"/>
        <v>42639</v>
      </c>
      <c r="C276" s="310">
        <f t="shared" ref="C276:C339" si="201">IF(A276="","",NumberOfWeek(A276))</f>
        <v>39</v>
      </c>
      <c r="D276" s="311">
        <f t="shared" ref="D276:D339" si="202">IF(A276="","",DATE(YEAR(A276),MONTH(A276),1))</f>
        <v>42613</v>
      </c>
      <c r="E276" s="321" t="str">
        <f t="shared" si="175"/>
        <v/>
      </c>
      <c r="F276" s="5"/>
      <c r="G276" s="6" t="str">
        <f t="shared" si="176"/>
        <v/>
      </c>
      <c r="H276" s="7"/>
      <c r="I276" s="7">
        <f t="shared" si="177"/>
        <v>0</v>
      </c>
      <c r="J276" s="113">
        <f t="shared" si="165"/>
        <v>0</v>
      </c>
      <c r="K276" s="7"/>
      <c r="L276" s="7">
        <f t="shared" si="178"/>
        <v>0</v>
      </c>
      <c r="M276" s="113">
        <f t="shared" si="179"/>
        <v>0</v>
      </c>
      <c r="N276" s="113"/>
      <c r="O276" s="113">
        <f t="shared" si="166"/>
        <v>0</v>
      </c>
      <c r="P276" s="113"/>
      <c r="Q276" s="113">
        <f t="shared" si="180"/>
        <v>0</v>
      </c>
      <c r="R276" s="113">
        <f t="shared" si="181"/>
        <v>0</v>
      </c>
      <c r="S276" s="113">
        <f t="shared" si="199"/>
        <v>0</v>
      </c>
      <c r="T276" s="113">
        <f t="shared" si="182"/>
        <v>0</v>
      </c>
      <c r="U276" s="113">
        <f t="shared" si="200"/>
        <v>0</v>
      </c>
      <c r="V276" s="146">
        <f t="shared" si="183"/>
        <v>0</v>
      </c>
      <c r="W276" s="66"/>
      <c r="X276" s="115">
        <f t="shared" si="167"/>
        <v>3.125E-2</v>
      </c>
      <c r="Y276" s="110">
        <f t="shared" si="184"/>
        <v>0</v>
      </c>
      <c r="Z276" s="111">
        <f t="shared" ref="Z276:Z339" si="203">IF(AND(AK276&gt;0,AK276&lt;Feiertag),INDEX(Arbeitszeit,AK276),"")</f>
        <v>0</v>
      </c>
      <c r="AA276" s="112">
        <f t="shared" si="185"/>
        <v>0</v>
      </c>
      <c r="AB276" s="67" t="str">
        <f t="shared" si="186"/>
        <v/>
      </c>
      <c r="AC276" s="193">
        <f t="shared" si="168"/>
        <v>0</v>
      </c>
      <c r="AD276" s="144" t="str">
        <f t="shared" si="169"/>
        <v/>
      </c>
      <c r="AE276" s="228">
        <f t="shared" si="195"/>
        <v>0</v>
      </c>
      <c r="AF276" s="110"/>
      <c r="AG276" s="110" t="str">
        <f t="shared" si="187"/>
        <v/>
      </c>
      <c r="AH276" s="68">
        <f t="shared" si="170"/>
        <v>0</v>
      </c>
      <c r="AI276" s="68">
        <f t="shared" si="171"/>
        <v>0</v>
      </c>
      <c r="AJ276" s="68" t="str">
        <f t="shared" si="172"/>
        <v/>
      </c>
      <c r="AK276">
        <f t="shared" si="173"/>
        <v>7</v>
      </c>
      <c r="AL276" s="122">
        <f>SUM($AD$6:AD276)</f>
        <v>0</v>
      </c>
      <c r="AM276" s="122">
        <f t="shared" ca="1" si="188"/>
        <v>0</v>
      </c>
      <c r="AN276" s="126">
        <f t="shared" si="196"/>
        <v>0</v>
      </c>
      <c r="AO276" s="126">
        <f t="shared" si="197"/>
        <v>0</v>
      </c>
      <c r="AP276" s="126">
        <f t="shared" si="198"/>
        <v>0</v>
      </c>
      <c r="AQ276" s="125">
        <f t="shared" si="189"/>
        <v>30</v>
      </c>
      <c r="AR276" s="125">
        <f t="shared" ca="1" si="190"/>
        <v>30</v>
      </c>
      <c r="AS276" s="135">
        <f t="shared" si="191"/>
        <v>0</v>
      </c>
      <c r="AT276" s="125">
        <f t="shared" si="192"/>
        <v>7</v>
      </c>
      <c r="AU276" t="b">
        <f>OR((F276&gt;0),(NOT(ISBLANK(H276))),SUM(H276:H$373),SUM(G276:G$373))</f>
        <v>0</v>
      </c>
      <c r="AV276" t="b">
        <f t="shared" ca="1" si="174"/>
        <v>1</v>
      </c>
      <c r="AX276" s="228">
        <f>SUM(AW$5:AW276)</f>
        <v>-2.9166666666666665</v>
      </c>
    </row>
    <row r="277" spans="1:50">
      <c r="A277" s="308">
        <f t="shared" si="193"/>
        <v>42640</v>
      </c>
      <c r="B277" s="309">
        <f t="shared" si="194"/>
        <v>42640</v>
      </c>
      <c r="C277" s="310">
        <f t="shared" si="201"/>
        <v>40</v>
      </c>
      <c r="D277" s="311">
        <f t="shared" si="202"/>
        <v>42613</v>
      </c>
      <c r="E277" s="321" t="str">
        <f t="shared" si="175"/>
        <v/>
      </c>
      <c r="F277" s="5"/>
      <c r="G277" s="6" t="str">
        <f t="shared" si="176"/>
        <v/>
      </c>
      <c r="H277" s="7"/>
      <c r="I277" s="7">
        <f t="shared" si="177"/>
        <v>0</v>
      </c>
      <c r="J277" s="113">
        <f t="shared" si="165"/>
        <v>0</v>
      </c>
      <c r="K277" s="7"/>
      <c r="L277" s="7">
        <f t="shared" si="178"/>
        <v>0</v>
      </c>
      <c r="M277" s="113">
        <f t="shared" si="179"/>
        <v>0</v>
      </c>
      <c r="N277" s="113"/>
      <c r="O277" s="113">
        <f t="shared" si="166"/>
        <v>0</v>
      </c>
      <c r="P277" s="113"/>
      <c r="Q277" s="113">
        <f t="shared" si="180"/>
        <v>0</v>
      </c>
      <c r="R277" s="113">
        <f t="shared" si="181"/>
        <v>0</v>
      </c>
      <c r="S277" s="113">
        <f t="shared" si="199"/>
        <v>0</v>
      </c>
      <c r="T277" s="113">
        <f t="shared" si="182"/>
        <v>0</v>
      </c>
      <c r="U277" s="113">
        <f t="shared" si="200"/>
        <v>0</v>
      </c>
      <c r="V277" s="146">
        <f t="shared" si="183"/>
        <v>0</v>
      </c>
      <c r="W277" s="66"/>
      <c r="X277" s="115">
        <f t="shared" si="167"/>
        <v>3.125E-2</v>
      </c>
      <c r="Y277" s="110">
        <f t="shared" si="184"/>
        <v>0</v>
      </c>
      <c r="Z277" s="111">
        <f t="shared" si="203"/>
        <v>0.29166666666666669</v>
      </c>
      <c r="AA277" s="112">
        <f t="shared" si="185"/>
        <v>0</v>
      </c>
      <c r="AB277" s="67" t="str">
        <f t="shared" si="186"/>
        <v/>
      </c>
      <c r="AC277" s="193">
        <f t="shared" si="168"/>
        <v>0</v>
      </c>
      <c r="AD277" s="144" t="str">
        <f t="shared" si="169"/>
        <v/>
      </c>
      <c r="AE277" s="228">
        <f t="shared" si="195"/>
        <v>0</v>
      </c>
      <c r="AF277" s="110"/>
      <c r="AG277" s="110" t="str">
        <f t="shared" si="187"/>
        <v/>
      </c>
      <c r="AH277" s="68">
        <f t="shared" si="170"/>
        <v>0</v>
      </c>
      <c r="AI277" s="68">
        <f t="shared" si="171"/>
        <v>0</v>
      </c>
      <c r="AJ277" s="68" t="str">
        <f t="shared" si="172"/>
        <v/>
      </c>
      <c r="AK277">
        <f t="shared" si="173"/>
        <v>1</v>
      </c>
      <c r="AL277" s="122">
        <f>SUM($AD$6:AD277)</f>
        <v>0</v>
      </c>
      <c r="AM277" s="122">
        <f t="shared" ca="1" si="188"/>
        <v>0</v>
      </c>
      <c r="AN277" s="126">
        <f t="shared" si="196"/>
        <v>0</v>
      </c>
      <c r="AO277" s="126">
        <f t="shared" si="197"/>
        <v>0</v>
      </c>
      <c r="AP277" s="126">
        <f t="shared" si="198"/>
        <v>0</v>
      </c>
      <c r="AQ277" s="125">
        <f t="shared" si="189"/>
        <v>30</v>
      </c>
      <c r="AR277" s="125">
        <f t="shared" ca="1" si="190"/>
        <v>30</v>
      </c>
      <c r="AS277" s="135">
        <f t="shared" si="191"/>
        <v>0</v>
      </c>
      <c r="AT277" s="125">
        <f t="shared" si="192"/>
        <v>0</v>
      </c>
      <c r="AU277" t="b">
        <f>OR((F277&gt;0),(NOT(ISBLANK(H277))),SUM(H277:H$373),SUM(G277:G$373))</f>
        <v>0</v>
      </c>
      <c r="AV277" t="b">
        <f t="shared" ca="1" si="174"/>
        <v>0</v>
      </c>
      <c r="AX277" s="228">
        <f>SUM(AW$5:AW277)</f>
        <v>-2.9166666666666665</v>
      </c>
    </row>
    <row r="278" spans="1:50">
      <c r="A278" s="308">
        <f t="shared" si="193"/>
        <v>42641</v>
      </c>
      <c r="B278" s="309">
        <f t="shared" si="194"/>
        <v>42641</v>
      </c>
      <c r="C278" s="310">
        <f t="shared" si="201"/>
        <v>40</v>
      </c>
      <c r="D278" s="311">
        <f t="shared" si="202"/>
        <v>42613</v>
      </c>
      <c r="E278" s="321" t="str">
        <f t="shared" si="175"/>
        <v/>
      </c>
      <c r="F278" s="5"/>
      <c r="G278" s="6" t="str">
        <f t="shared" si="176"/>
        <v/>
      </c>
      <c r="H278" s="7"/>
      <c r="I278" s="7">
        <f t="shared" si="177"/>
        <v>0</v>
      </c>
      <c r="J278" s="113">
        <f t="shared" si="165"/>
        <v>0</v>
      </c>
      <c r="K278" s="7"/>
      <c r="L278" s="7">
        <f t="shared" si="178"/>
        <v>0</v>
      </c>
      <c r="M278" s="113">
        <f t="shared" si="179"/>
        <v>0</v>
      </c>
      <c r="N278" s="113"/>
      <c r="O278" s="113">
        <f t="shared" si="166"/>
        <v>0</v>
      </c>
      <c r="P278" s="113"/>
      <c r="Q278" s="113">
        <f t="shared" si="180"/>
        <v>0</v>
      </c>
      <c r="R278" s="113">
        <f t="shared" si="181"/>
        <v>0</v>
      </c>
      <c r="S278" s="113">
        <f t="shared" si="199"/>
        <v>0</v>
      </c>
      <c r="T278" s="113">
        <f t="shared" si="182"/>
        <v>0</v>
      </c>
      <c r="U278" s="113">
        <f t="shared" si="200"/>
        <v>0</v>
      </c>
      <c r="V278" s="146">
        <f t="shared" si="183"/>
        <v>0</v>
      </c>
      <c r="W278" s="66"/>
      <c r="X278" s="115">
        <f t="shared" si="167"/>
        <v>3.125E-2</v>
      </c>
      <c r="Y278" s="110">
        <f t="shared" si="184"/>
        <v>0</v>
      </c>
      <c r="Z278" s="111">
        <f t="shared" si="203"/>
        <v>0.29166666666666669</v>
      </c>
      <c r="AA278" s="112">
        <f t="shared" si="185"/>
        <v>0</v>
      </c>
      <c r="AB278" s="67" t="str">
        <f t="shared" si="186"/>
        <v/>
      </c>
      <c r="AC278" s="193">
        <f t="shared" si="168"/>
        <v>0</v>
      </c>
      <c r="AD278" s="144" t="str">
        <f t="shared" si="169"/>
        <v/>
      </c>
      <c r="AE278" s="228">
        <f t="shared" si="195"/>
        <v>0</v>
      </c>
      <c r="AF278" s="110"/>
      <c r="AG278" s="110" t="str">
        <f t="shared" si="187"/>
        <v/>
      </c>
      <c r="AH278" s="68">
        <f t="shared" si="170"/>
        <v>0</v>
      </c>
      <c r="AI278" s="68">
        <f t="shared" si="171"/>
        <v>0</v>
      </c>
      <c r="AJ278" s="68" t="str">
        <f t="shared" si="172"/>
        <v/>
      </c>
      <c r="AK278">
        <f t="shared" si="173"/>
        <v>2</v>
      </c>
      <c r="AL278" s="122">
        <f>SUM($AD$6:AD278)</f>
        <v>0</v>
      </c>
      <c r="AM278" s="122">
        <f t="shared" ca="1" si="188"/>
        <v>0</v>
      </c>
      <c r="AN278" s="126">
        <f t="shared" si="196"/>
        <v>0</v>
      </c>
      <c r="AO278" s="126">
        <f t="shared" si="197"/>
        <v>0</v>
      </c>
      <c r="AP278" s="126">
        <f t="shared" si="198"/>
        <v>0</v>
      </c>
      <c r="AQ278" s="125">
        <f t="shared" si="189"/>
        <v>30</v>
      </c>
      <c r="AR278" s="125">
        <f t="shared" ca="1" si="190"/>
        <v>30</v>
      </c>
      <c r="AS278" s="135">
        <f t="shared" si="191"/>
        <v>0</v>
      </c>
      <c r="AT278" s="125">
        <f t="shared" si="192"/>
        <v>0</v>
      </c>
      <c r="AU278" t="b">
        <f>OR((F278&gt;0),(NOT(ISBLANK(H278))),SUM(H278:H$373),SUM(G278:G$373))</f>
        <v>0</v>
      </c>
      <c r="AV278" t="b">
        <f t="shared" ca="1" si="174"/>
        <v>0</v>
      </c>
      <c r="AX278" s="228">
        <f>SUM(AW$5:AW278)</f>
        <v>-2.9166666666666665</v>
      </c>
    </row>
    <row r="279" spans="1:50">
      <c r="A279" s="308">
        <f t="shared" si="193"/>
        <v>42642</v>
      </c>
      <c r="B279" s="309">
        <f t="shared" si="194"/>
        <v>42642</v>
      </c>
      <c r="C279" s="310">
        <f t="shared" si="201"/>
        <v>40</v>
      </c>
      <c r="D279" s="311">
        <f t="shared" si="202"/>
        <v>42613</v>
      </c>
      <c r="E279" s="321" t="str">
        <f t="shared" si="175"/>
        <v/>
      </c>
      <c r="F279" s="5"/>
      <c r="G279" s="6" t="str">
        <f t="shared" si="176"/>
        <v/>
      </c>
      <c r="H279" s="7"/>
      <c r="I279" s="7">
        <f t="shared" si="177"/>
        <v>0</v>
      </c>
      <c r="J279" s="113">
        <f t="shared" si="165"/>
        <v>0</v>
      </c>
      <c r="K279" s="7"/>
      <c r="L279" s="7">
        <f t="shared" si="178"/>
        <v>0</v>
      </c>
      <c r="M279" s="113">
        <f t="shared" si="179"/>
        <v>0</v>
      </c>
      <c r="N279" s="113"/>
      <c r="O279" s="113">
        <f t="shared" si="166"/>
        <v>0</v>
      </c>
      <c r="P279" s="113"/>
      <c r="Q279" s="113">
        <f t="shared" si="180"/>
        <v>0</v>
      </c>
      <c r="R279" s="113">
        <f t="shared" si="181"/>
        <v>0</v>
      </c>
      <c r="S279" s="113">
        <f t="shared" si="199"/>
        <v>0</v>
      </c>
      <c r="T279" s="113">
        <f t="shared" si="182"/>
        <v>0</v>
      </c>
      <c r="U279" s="113">
        <f t="shared" si="200"/>
        <v>0</v>
      </c>
      <c r="V279" s="146">
        <f t="shared" si="183"/>
        <v>0</v>
      </c>
      <c r="W279" s="66"/>
      <c r="X279" s="115">
        <f t="shared" si="167"/>
        <v>3.125E-2</v>
      </c>
      <c r="Y279" s="110">
        <f t="shared" si="184"/>
        <v>0</v>
      </c>
      <c r="Z279" s="111">
        <f t="shared" si="203"/>
        <v>0.29166666666666669</v>
      </c>
      <c r="AA279" s="112">
        <f t="shared" si="185"/>
        <v>0</v>
      </c>
      <c r="AB279" s="67" t="str">
        <f t="shared" si="186"/>
        <v/>
      </c>
      <c r="AC279" s="193">
        <f t="shared" si="168"/>
        <v>0</v>
      </c>
      <c r="AD279" s="144" t="str">
        <f t="shared" si="169"/>
        <v/>
      </c>
      <c r="AE279" s="228">
        <f t="shared" si="195"/>
        <v>0</v>
      </c>
      <c r="AF279" s="110"/>
      <c r="AG279" s="110" t="str">
        <f t="shared" si="187"/>
        <v/>
      </c>
      <c r="AH279" s="68">
        <f t="shared" si="170"/>
        <v>0</v>
      </c>
      <c r="AI279" s="68">
        <f t="shared" si="171"/>
        <v>0</v>
      </c>
      <c r="AJ279" s="68" t="str">
        <f t="shared" si="172"/>
        <v/>
      </c>
      <c r="AK279">
        <f t="shared" si="173"/>
        <v>3</v>
      </c>
      <c r="AL279" s="122">
        <f>SUM($AD$6:AD279)</f>
        <v>0</v>
      </c>
      <c r="AM279" s="122">
        <f t="shared" ca="1" si="188"/>
        <v>0</v>
      </c>
      <c r="AN279" s="126">
        <f t="shared" si="196"/>
        <v>0</v>
      </c>
      <c r="AO279" s="126">
        <f t="shared" si="197"/>
        <v>0</v>
      </c>
      <c r="AP279" s="126">
        <f t="shared" si="198"/>
        <v>0</v>
      </c>
      <c r="AQ279" s="125">
        <f t="shared" si="189"/>
        <v>30</v>
      </c>
      <c r="AR279" s="125">
        <f t="shared" ca="1" si="190"/>
        <v>30</v>
      </c>
      <c r="AS279" s="135">
        <f t="shared" si="191"/>
        <v>0</v>
      </c>
      <c r="AT279" s="125">
        <f t="shared" si="192"/>
        <v>0</v>
      </c>
      <c r="AU279" t="b">
        <f>OR((F279&gt;0),(NOT(ISBLANK(H279))),SUM(H279:H$373),SUM(G279:G$373))</f>
        <v>0</v>
      </c>
      <c r="AV279" t="b">
        <f t="shared" ca="1" si="174"/>
        <v>0</v>
      </c>
      <c r="AX279" s="228">
        <f>SUM(AW$5:AW279)</f>
        <v>-2.9166666666666665</v>
      </c>
    </row>
    <row r="280" spans="1:50">
      <c r="A280" s="308">
        <f t="shared" si="193"/>
        <v>42643</v>
      </c>
      <c r="B280" s="309">
        <f t="shared" si="194"/>
        <v>42643</v>
      </c>
      <c r="C280" s="310">
        <f t="shared" si="201"/>
        <v>40</v>
      </c>
      <c r="D280" s="311">
        <f t="shared" si="202"/>
        <v>42643</v>
      </c>
      <c r="E280" s="321" t="str">
        <f t="shared" si="175"/>
        <v/>
      </c>
      <c r="F280" s="5"/>
      <c r="G280" s="6" t="str">
        <f t="shared" si="176"/>
        <v/>
      </c>
      <c r="H280" s="7"/>
      <c r="I280" s="7">
        <f t="shared" si="177"/>
        <v>0</v>
      </c>
      <c r="J280" s="113">
        <f t="shared" si="165"/>
        <v>0</v>
      </c>
      <c r="K280" s="7"/>
      <c r="L280" s="7">
        <f t="shared" si="178"/>
        <v>0</v>
      </c>
      <c r="M280" s="113">
        <f t="shared" si="179"/>
        <v>0</v>
      </c>
      <c r="N280" s="113"/>
      <c r="O280" s="113">
        <f t="shared" si="166"/>
        <v>0</v>
      </c>
      <c r="P280" s="113"/>
      <c r="Q280" s="113">
        <f t="shared" si="180"/>
        <v>0</v>
      </c>
      <c r="R280" s="113">
        <f t="shared" si="181"/>
        <v>0</v>
      </c>
      <c r="S280" s="113">
        <f t="shared" si="199"/>
        <v>0</v>
      </c>
      <c r="T280" s="113">
        <f t="shared" si="182"/>
        <v>0</v>
      </c>
      <c r="U280" s="113">
        <f t="shared" si="200"/>
        <v>0</v>
      </c>
      <c r="V280" s="146">
        <f t="shared" si="183"/>
        <v>0</v>
      </c>
      <c r="W280" s="66"/>
      <c r="X280" s="115">
        <f t="shared" si="167"/>
        <v>3.125E-2</v>
      </c>
      <c r="Y280" s="110">
        <f t="shared" si="184"/>
        <v>0</v>
      </c>
      <c r="Z280" s="111">
        <f t="shared" si="203"/>
        <v>0.29166666666666669</v>
      </c>
      <c r="AA280" s="112">
        <f t="shared" si="185"/>
        <v>0</v>
      </c>
      <c r="AB280" s="67" t="str">
        <f t="shared" si="186"/>
        <v/>
      </c>
      <c r="AC280" s="193">
        <f t="shared" si="168"/>
        <v>0</v>
      </c>
      <c r="AD280" s="144" t="str">
        <f t="shared" si="169"/>
        <v/>
      </c>
      <c r="AE280" s="228">
        <f t="shared" si="195"/>
        <v>0</v>
      </c>
      <c r="AF280" s="110"/>
      <c r="AG280" s="110" t="str">
        <f t="shared" si="187"/>
        <v/>
      </c>
      <c r="AH280" s="68">
        <f t="shared" si="170"/>
        <v>0</v>
      </c>
      <c r="AI280" s="68">
        <f t="shared" si="171"/>
        <v>0</v>
      </c>
      <c r="AJ280" s="68" t="str">
        <f t="shared" si="172"/>
        <v/>
      </c>
      <c r="AK280">
        <f t="shared" si="173"/>
        <v>4</v>
      </c>
      <c r="AL280" s="122">
        <f>SUM($AD$6:AD280)</f>
        <v>0</v>
      </c>
      <c r="AM280" s="122">
        <f t="shared" ca="1" si="188"/>
        <v>0</v>
      </c>
      <c r="AN280" s="126">
        <f t="shared" si="196"/>
        <v>0</v>
      </c>
      <c r="AO280" s="126">
        <f t="shared" si="197"/>
        <v>0</v>
      </c>
      <c r="AP280" s="126">
        <f t="shared" si="198"/>
        <v>0</v>
      </c>
      <c r="AQ280" s="125">
        <f t="shared" si="189"/>
        <v>30</v>
      </c>
      <c r="AR280" s="125">
        <f t="shared" ca="1" si="190"/>
        <v>30</v>
      </c>
      <c r="AS280" s="135">
        <f t="shared" si="191"/>
        <v>0</v>
      </c>
      <c r="AT280" s="125">
        <f t="shared" si="192"/>
        <v>0</v>
      </c>
      <c r="AU280" t="b">
        <f>OR((F280&gt;0),(NOT(ISBLANK(H280))),SUM(H280:H$373),SUM(G280:G$373))</f>
        <v>0</v>
      </c>
      <c r="AV280" t="b">
        <f t="shared" ca="1" si="174"/>
        <v>0</v>
      </c>
      <c r="AX280" s="228">
        <f>SUM(AW$5:AW280)</f>
        <v>-2.9166666666666665</v>
      </c>
    </row>
    <row r="281" spans="1:50">
      <c r="A281" s="308">
        <f t="shared" si="193"/>
        <v>42644</v>
      </c>
      <c r="B281" s="309">
        <f t="shared" si="194"/>
        <v>42644</v>
      </c>
      <c r="C281" s="310">
        <f t="shared" si="201"/>
        <v>40</v>
      </c>
      <c r="D281" s="311">
        <f t="shared" si="202"/>
        <v>42643</v>
      </c>
      <c r="E281" s="321" t="str">
        <f t="shared" si="175"/>
        <v/>
      </c>
      <c r="F281" s="5"/>
      <c r="G281" s="6" t="str">
        <f t="shared" si="176"/>
        <v/>
      </c>
      <c r="H281" s="7"/>
      <c r="I281" s="7">
        <f t="shared" si="177"/>
        <v>0</v>
      </c>
      <c r="J281" s="113">
        <f t="shared" si="165"/>
        <v>0</v>
      </c>
      <c r="K281" s="7"/>
      <c r="L281" s="7">
        <f t="shared" si="178"/>
        <v>0</v>
      </c>
      <c r="M281" s="113">
        <f t="shared" si="179"/>
        <v>0</v>
      </c>
      <c r="N281" s="113"/>
      <c r="O281" s="113">
        <f t="shared" si="166"/>
        <v>0</v>
      </c>
      <c r="P281" s="113"/>
      <c r="Q281" s="113">
        <f t="shared" si="180"/>
        <v>0</v>
      </c>
      <c r="R281" s="113">
        <f t="shared" si="181"/>
        <v>0</v>
      </c>
      <c r="S281" s="113">
        <f t="shared" si="199"/>
        <v>0</v>
      </c>
      <c r="T281" s="113">
        <f t="shared" si="182"/>
        <v>0</v>
      </c>
      <c r="U281" s="113">
        <f t="shared" si="200"/>
        <v>0</v>
      </c>
      <c r="V281" s="146">
        <f t="shared" si="183"/>
        <v>0</v>
      </c>
      <c r="W281" s="66"/>
      <c r="X281" s="115">
        <f t="shared" si="167"/>
        <v>3.125E-2</v>
      </c>
      <c r="Y281" s="110">
        <f t="shared" si="184"/>
        <v>0</v>
      </c>
      <c r="Z281" s="111">
        <f t="shared" si="203"/>
        <v>0.29166666666666669</v>
      </c>
      <c r="AA281" s="112">
        <f t="shared" si="185"/>
        <v>0</v>
      </c>
      <c r="AB281" s="67" t="str">
        <f t="shared" si="186"/>
        <v/>
      </c>
      <c r="AC281" s="193">
        <f t="shared" si="168"/>
        <v>0</v>
      </c>
      <c r="AD281" s="144" t="str">
        <f t="shared" si="169"/>
        <v/>
      </c>
      <c r="AE281" s="228">
        <f t="shared" si="195"/>
        <v>0</v>
      </c>
      <c r="AF281" s="110"/>
      <c r="AG281" s="110" t="str">
        <f t="shared" si="187"/>
        <v/>
      </c>
      <c r="AH281" s="68">
        <f t="shared" si="170"/>
        <v>0</v>
      </c>
      <c r="AI281" s="68">
        <f t="shared" si="171"/>
        <v>0</v>
      </c>
      <c r="AJ281" s="68" t="str">
        <f t="shared" si="172"/>
        <v/>
      </c>
      <c r="AK281">
        <f t="shared" si="173"/>
        <v>5</v>
      </c>
      <c r="AL281" s="122">
        <f>SUM($AD$6:AD281)</f>
        <v>0</v>
      </c>
      <c r="AM281" s="122">
        <f t="shared" ca="1" si="188"/>
        <v>0</v>
      </c>
      <c r="AN281" s="126">
        <f t="shared" si="196"/>
        <v>0</v>
      </c>
      <c r="AO281" s="126">
        <f t="shared" si="197"/>
        <v>0</v>
      </c>
      <c r="AP281" s="126">
        <f t="shared" si="198"/>
        <v>0</v>
      </c>
      <c r="AQ281" s="125">
        <f t="shared" si="189"/>
        <v>30</v>
      </c>
      <c r="AR281" s="125">
        <f t="shared" ca="1" si="190"/>
        <v>30</v>
      </c>
      <c r="AS281" s="135">
        <f t="shared" si="191"/>
        <v>0</v>
      </c>
      <c r="AT281" s="125">
        <f t="shared" si="192"/>
        <v>0</v>
      </c>
      <c r="AU281" t="b">
        <f>OR((F281&gt;0),(NOT(ISBLANK(H281))),SUM(H281:H$373),SUM(G281:G$373))</f>
        <v>0</v>
      </c>
      <c r="AV281" t="b">
        <f t="shared" ca="1" si="174"/>
        <v>0</v>
      </c>
      <c r="AX281" s="228">
        <f>SUM(AW$5:AW281)</f>
        <v>-2.9166666666666665</v>
      </c>
    </row>
    <row r="282" spans="1:50">
      <c r="A282" s="308">
        <f t="shared" si="193"/>
        <v>42645</v>
      </c>
      <c r="B282" s="309">
        <f t="shared" si="194"/>
        <v>42645</v>
      </c>
      <c r="C282" s="310">
        <f t="shared" si="201"/>
        <v>40</v>
      </c>
      <c r="D282" s="311">
        <f t="shared" si="202"/>
        <v>42643</v>
      </c>
      <c r="E282" s="321" t="str">
        <f t="shared" si="175"/>
        <v>Tag der Deutschen Einheit</v>
      </c>
      <c r="F282" s="5"/>
      <c r="G282" s="6" t="str">
        <f t="shared" si="176"/>
        <v/>
      </c>
      <c r="H282" s="7"/>
      <c r="I282" s="7">
        <f t="shared" si="177"/>
        <v>0</v>
      </c>
      <c r="J282" s="113">
        <f t="shared" si="165"/>
        <v>0</v>
      </c>
      <c r="K282" s="7"/>
      <c r="L282" s="7">
        <f t="shared" si="178"/>
        <v>0</v>
      </c>
      <c r="M282" s="113">
        <f t="shared" si="179"/>
        <v>0</v>
      </c>
      <c r="N282" s="113"/>
      <c r="O282" s="113">
        <f t="shared" si="166"/>
        <v>0</v>
      </c>
      <c r="P282" s="113"/>
      <c r="Q282" s="113">
        <f t="shared" si="180"/>
        <v>0</v>
      </c>
      <c r="R282" s="113">
        <f t="shared" si="181"/>
        <v>0</v>
      </c>
      <c r="S282" s="113">
        <f t="shared" si="199"/>
        <v>0</v>
      </c>
      <c r="T282" s="113">
        <f t="shared" si="182"/>
        <v>0</v>
      </c>
      <c r="U282" s="113">
        <f t="shared" si="200"/>
        <v>0</v>
      </c>
      <c r="V282" s="146">
        <f t="shared" si="183"/>
        <v>0</v>
      </c>
      <c r="W282" s="66"/>
      <c r="X282" s="115">
        <f t="shared" si="167"/>
        <v>3.125E-2</v>
      </c>
      <c r="Y282" s="110">
        <f t="shared" si="184"/>
        <v>0</v>
      </c>
      <c r="Z282" s="111" t="str">
        <f t="shared" si="203"/>
        <v/>
      </c>
      <c r="AA282" s="112">
        <f t="shared" si="185"/>
        <v>0</v>
      </c>
      <c r="AB282" s="67" t="str">
        <f t="shared" si="186"/>
        <v/>
      </c>
      <c r="AC282" s="193">
        <f t="shared" si="168"/>
        <v>0</v>
      </c>
      <c r="AD282" s="144" t="str">
        <f t="shared" si="169"/>
        <v/>
      </c>
      <c r="AE282" s="228">
        <f t="shared" si="195"/>
        <v>0</v>
      </c>
      <c r="AF282" s="110"/>
      <c r="AG282" s="110" t="str">
        <f t="shared" si="187"/>
        <v/>
      </c>
      <c r="AH282" s="68">
        <f t="shared" si="170"/>
        <v>0</v>
      </c>
      <c r="AI282" s="68">
        <f t="shared" si="171"/>
        <v>0</v>
      </c>
      <c r="AJ282" s="68" t="str">
        <f t="shared" si="172"/>
        <v/>
      </c>
      <c r="AK282">
        <f t="shared" si="173"/>
        <v>8</v>
      </c>
      <c r="AL282" s="122">
        <f>SUM($AD$6:AD282)</f>
        <v>0</v>
      </c>
      <c r="AM282" s="122">
        <f t="shared" ca="1" si="188"/>
        <v>0</v>
      </c>
      <c r="AN282" s="126">
        <f t="shared" si="196"/>
        <v>0</v>
      </c>
      <c r="AO282" s="126">
        <f t="shared" si="197"/>
        <v>0</v>
      </c>
      <c r="AP282" s="126">
        <f t="shared" si="198"/>
        <v>0</v>
      </c>
      <c r="AQ282" s="125">
        <f t="shared" si="189"/>
        <v>30</v>
      </c>
      <c r="AR282" s="125">
        <f t="shared" ca="1" si="190"/>
        <v>30</v>
      </c>
      <c r="AS282" s="135">
        <f t="shared" si="191"/>
        <v>0</v>
      </c>
      <c r="AT282" s="125">
        <f t="shared" si="192"/>
        <v>8</v>
      </c>
      <c r="AU282" t="b">
        <f>OR((F282&gt;0),(NOT(ISBLANK(H282))),SUM(H282:H$373),SUM(G282:G$373))</f>
        <v>0</v>
      </c>
      <c r="AV282" t="b">
        <f t="shared" ca="1" si="174"/>
        <v>1</v>
      </c>
      <c r="AX282" s="228">
        <f>SUM(AW$5:AW282)</f>
        <v>-2.9166666666666665</v>
      </c>
    </row>
    <row r="283" spans="1:50">
      <c r="A283" s="308">
        <f t="shared" si="193"/>
        <v>42646</v>
      </c>
      <c r="B283" s="309">
        <f t="shared" si="194"/>
        <v>42646</v>
      </c>
      <c r="C283" s="310">
        <f t="shared" si="201"/>
        <v>40</v>
      </c>
      <c r="D283" s="311">
        <f t="shared" si="202"/>
        <v>42643</v>
      </c>
      <c r="E283" s="321" t="str">
        <f t="shared" si="175"/>
        <v/>
      </c>
      <c r="F283" s="5"/>
      <c r="G283" s="6" t="str">
        <f t="shared" si="176"/>
        <v/>
      </c>
      <c r="H283" s="7"/>
      <c r="I283" s="7">
        <f t="shared" si="177"/>
        <v>0</v>
      </c>
      <c r="J283" s="113">
        <f t="shared" si="165"/>
        <v>0</v>
      </c>
      <c r="K283" s="7"/>
      <c r="L283" s="7">
        <f t="shared" si="178"/>
        <v>0</v>
      </c>
      <c r="M283" s="113">
        <f t="shared" si="179"/>
        <v>0</v>
      </c>
      <c r="N283" s="113"/>
      <c r="O283" s="113">
        <f t="shared" si="166"/>
        <v>0</v>
      </c>
      <c r="P283" s="113"/>
      <c r="Q283" s="113">
        <f t="shared" si="180"/>
        <v>0</v>
      </c>
      <c r="R283" s="113">
        <f t="shared" si="181"/>
        <v>0</v>
      </c>
      <c r="S283" s="113">
        <f t="shared" si="199"/>
        <v>0</v>
      </c>
      <c r="T283" s="113">
        <f t="shared" si="182"/>
        <v>0</v>
      </c>
      <c r="U283" s="113">
        <f t="shared" si="200"/>
        <v>0</v>
      </c>
      <c r="V283" s="146">
        <f t="shared" si="183"/>
        <v>0</v>
      </c>
      <c r="W283" s="66"/>
      <c r="X283" s="115">
        <f t="shared" si="167"/>
        <v>3.125E-2</v>
      </c>
      <c r="Y283" s="110">
        <f t="shared" si="184"/>
        <v>0</v>
      </c>
      <c r="Z283" s="111">
        <f t="shared" si="203"/>
        <v>0</v>
      </c>
      <c r="AA283" s="112">
        <f t="shared" si="185"/>
        <v>0</v>
      </c>
      <c r="AB283" s="67" t="str">
        <f t="shared" si="186"/>
        <v/>
      </c>
      <c r="AC283" s="193">
        <f t="shared" si="168"/>
        <v>0</v>
      </c>
      <c r="AD283" s="144" t="str">
        <f t="shared" si="169"/>
        <v/>
      </c>
      <c r="AE283" s="228">
        <f t="shared" si="195"/>
        <v>0</v>
      </c>
      <c r="AF283" s="110"/>
      <c r="AG283" s="110" t="str">
        <f t="shared" si="187"/>
        <v/>
      </c>
      <c r="AH283" s="68">
        <f t="shared" si="170"/>
        <v>0</v>
      </c>
      <c r="AI283" s="68">
        <f t="shared" si="171"/>
        <v>0</v>
      </c>
      <c r="AJ283" s="68" t="str">
        <f t="shared" si="172"/>
        <v/>
      </c>
      <c r="AK283">
        <f t="shared" si="173"/>
        <v>7</v>
      </c>
      <c r="AL283" s="122">
        <f>SUM($AD$6:AD283)</f>
        <v>0</v>
      </c>
      <c r="AM283" s="122">
        <f t="shared" ca="1" si="188"/>
        <v>0</v>
      </c>
      <c r="AN283" s="126">
        <f t="shared" si="196"/>
        <v>0</v>
      </c>
      <c r="AO283" s="126">
        <f t="shared" si="197"/>
        <v>0</v>
      </c>
      <c r="AP283" s="126">
        <f t="shared" si="198"/>
        <v>0</v>
      </c>
      <c r="AQ283" s="125">
        <f t="shared" si="189"/>
        <v>30</v>
      </c>
      <c r="AR283" s="125">
        <f t="shared" ca="1" si="190"/>
        <v>30</v>
      </c>
      <c r="AS283" s="135">
        <f t="shared" si="191"/>
        <v>0</v>
      </c>
      <c r="AT283" s="125">
        <f t="shared" si="192"/>
        <v>7</v>
      </c>
      <c r="AU283" t="b">
        <f>OR((F283&gt;0),(NOT(ISBLANK(H283))),SUM(H283:H$373),SUM(G283:G$373))</f>
        <v>0</v>
      </c>
      <c r="AV283" t="b">
        <f t="shared" ca="1" si="174"/>
        <v>1</v>
      </c>
      <c r="AX283" s="228">
        <f>SUM(AW$5:AW283)</f>
        <v>-2.9166666666666665</v>
      </c>
    </row>
    <row r="284" spans="1:50">
      <c r="A284" s="308">
        <f t="shared" si="193"/>
        <v>42647</v>
      </c>
      <c r="B284" s="309">
        <f t="shared" si="194"/>
        <v>42647</v>
      </c>
      <c r="C284" s="310">
        <f t="shared" si="201"/>
        <v>41</v>
      </c>
      <c r="D284" s="311">
        <f t="shared" si="202"/>
        <v>42643</v>
      </c>
      <c r="E284" s="321" t="str">
        <f t="shared" si="175"/>
        <v/>
      </c>
      <c r="F284" s="5"/>
      <c r="G284" s="6" t="str">
        <f t="shared" si="176"/>
        <v/>
      </c>
      <c r="H284" s="7"/>
      <c r="I284" s="7">
        <f t="shared" si="177"/>
        <v>0</v>
      </c>
      <c r="J284" s="113">
        <f t="shared" si="165"/>
        <v>0</v>
      </c>
      <c r="K284" s="7"/>
      <c r="L284" s="7">
        <f t="shared" si="178"/>
        <v>0</v>
      </c>
      <c r="M284" s="113">
        <f t="shared" si="179"/>
        <v>0</v>
      </c>
      <c r="N284" s="113"/>
      <c r="O284" s="113">
        <f t="shared" si="166"/>
        <v>0</v>
      </c>
      <c r="P284" s="113"/>
      <c r="Q284" s="113">
        <f t="shared" si="180"/>
        <v>0</v>
      </c>
      <c r="R284" s="113">
        <f t="shared" si="181"/>
        <v>0</v>
      </c>
      <c r="S284" s="113">
        <f t="shared" si="199"/>
        <v>0</v>
      </c>
      <c r="T284" s="113">
        <f t="shared" si="182"/>
        <v>0</v>
      </c>
      <c r="U284" s="113">
        <f t="shared" si="200"/>
        <v>0</v>
      </c>
      <c r="V284" s="146">
        <f t="shared" si="183"/>
        <v>0</v>
      </c>
      <c r="W284" s="66"/>
      <c r="X284" s="115">
        <f t="shared" si="167"/>
        <v>3.125E-2</v>
      </c>
      <c r="Y284" s="110">
        <f t="shared" si="184"/>
        <v>0</v>
      </c>
      <c r="Z284" s="111">
        <f t="shared" si="203"/>
        <v>0.29166666666666669</v>
      </c>
      <c r="AA284" s="112">
        <f t="shared" si="185"/>
        <v>0</v>
      </c>
      <c r="AB284" s="67" t="str">
        <f t="shared" si="186"/>
        <v/>
      </c>
      <c r="AC284" s="193">
        <f t="shared" si="168"/>
        <v>0</v>
      </c>
      <c r="AD284" s="144" t="str">
        <f t="shared" si="169"/>
        <v/>
      </c>
      <c r="AE284" s="228">
        <f t="shared" si="195"/>
        <v>0</v>
      </c>
      <c r="AF284" s="110"/>
      <c r="AG284" s="110" t="str">
        <f t="shared" si="187"/>
        <v/>
      </c>
      <c r="AH284" s="68">
        <f t="shared" si="170"/>
        <v>0</v>
      </c>
      <c r="AI284" s="68">
        <f t="shared" si="171"/>
        <v>0</v>
      </c>
      <c r="AJ284" s="68" t="str">
        <f t="shared" si="172"/>
        <v/>
      </c>
      <c r="AK284">
        <f t="shared" si="173"/>
        <v>1</v>
      </c>
      <c r="AL284" s="122">
        <f>SUM($AD$6:AD284)</f>
        <v>0</v>
      </c>
      <c r="AM284" s="122">
        <f t="shared" ca="1" si="188"/>
        <v>0</v>
      </c>
      <c r="AN284" s="126">
        <f t="shared" si="196"/>
        <v>0</v>
      </c>
      <c r="AO284" s="126">
        <f t="shared" si="197"/>
        <v>0</v>
      </c>
      <c r="AP284" s="126">
        <f t="shared" si="198"/>
        <v>0</v>
      </c>
      <c r="AQ284" s="125">
        <f t="shared" si="189"/>
        <v>30</v>
      </c>
      <c r="AR284" s="125">
        <f t="shared" ca="1" si="190"/>
        <v>30</v>
      </c>
      <c r="AS284" s="135">
        <f t="shared" si="191"/>
        <v>0</v>
      </c>
      <c r="AT284" s="125">
        <f t="shared" si="192"/>
        <v>0</v>
      </c>
      <c r="AU284" t="b">
        <f>OR((F284&gt;0),(NOT(ISBLANK(H284))),SUM(H284:H$373),SUM(G284:G$373))</f>
        <v>0</v>
      </c>
      <c r="AV284" t="b">
        <f t="shared" ca="1" si="174"/>
        <v>0</v>
      </c>
      <c r="AX284" s="228">
        <f>SUM(AW$5:AW284)</f>
        <v>-2.9166666666666665</v>
      </c>
    </row>
    <row r="285" spans="1:50">
      <c r="A285" s="308">
        <f t="shared" si="193"/>
        <v>42648</v>
      </c>
      <c r="B285" s="309">
        <f t="shared" si="194"/>
        <v>42648</v>
      </c>
      <c r="C285" s="310">
        <f t="shared" si="201"/>
        <v>41</v>
      </c>
      <c r="D285" s="311">
        <f t="shared" si="202"/>
        <v>42643</v>
      </c>
      <c r="E285" s="321" t="str">
        <f t="shared" si="175"/>
        <v/>
      </c>
      <c r="F285" s="5"/>
      <c r="G285" s="6" t="str">
        <f t="shared" si="176"/>
        <v/>
      </c>
      <c r="H285" s="7"/>
      <c r="I285" s="7">
        <f t="shared" si="177"/>
        <v>0</v>
      </c>
      <c r="J285" s="113">
        <f t="shared" si="165"/>
        <v>0</v>
      </c>
      <c r="K285" s="7"/>
      <c r="L285" s="7">
        <f t="shared" si="178"/>
        <v>0</v>
      </c>
      <c r="M285" s="113">
        <f t="shared" si="179"/>
        <v>0</v>
      </c>
      <c r="N285" s="113"/>
      <c r="O285" s="113">
        <f t="shared" si="166"/>
        <v>0</v>
      </c>
      <c r="P285" s="113"/>
      <c r="Q285" s="113">
        <f t="shared" si="180"/>
        <v>0</v>
      </c>
      <c r="R285" s="113">
        <f t="shared" si="181"/>
        <v>0</v>
      </c>
      <c r="S285" s="113">
        <f t="shared" si="199"/>
        <v>0</v>
      </c>
      <c r="T285" s="113">
        <f t="shared" si="182"/>
        <v>0</v>
      </c>
      <c r="U285" s="113">
        <f t="shared" si="200"/>
        <v>0</v>
      </c>
      <c r="V285" s="146">
        <f t="shared" si="183"/>
        <v>0</v>
      </c>
      <c r="W285" s="66"/>
      <c r="X285" s="115">
        <f t="shared" si="167"/>
        <v>3.125E-2</v>
      </c>
      <c r="Y285" s="110">
        <f t="shared" si="184"/>
        <v>0</v>
      </c>
      <c r="Z285" s="111">
        <f t="shared" si="203"/>
        <v>0.29166666666666669</v>
      </c>
      <c r="AA285" s="112">
        <f t="shared" si="185"/>
        <v>0</v>
      </c>
      <c r="AB285" s="67" t="str">
        <f t="shared" si="186"/>
        <v/>
      </c>
      <c r="AC285" s="193">
        <f t="shared" si="168"/>
        <v>0</v>
      </c>
      <c r="AD285" s="144" t="str">
        <f t="shared" si="169"/>
        <v/>
      </c>
      <c r="AE285" s="228">
        <f t="shared" si="195"/>
        <v>0</v>
      </c>
      <c r="AF285" s="110"/>
      <c r="AG285" s="110" t="str">
        <f t="shared" si="187"/>
        <v/>
      </c>
      <c r="AH285" s="68">
        <f t="shared" si="170"/>
        <v>0</v>
      </c>
      <c r="AI285" s="68">
        <f t="shared" si="171"/>
        <v>0</v>
      </c>
      <c r="AJ285" s="68" t="str">
        <f t="shared" si="172"/>
        <v/>
      </c>
      <c r="AK285">
        <f t="shared" si="173"/>
        <v>2</v>
      </c>
      <c r="AL285" s="122">
        <f>SUM($AD$6:AD285)</f>
        <v>0</v>
      </c>
      <c r="AM285" s="122">
        <f t="shared" ca="1" si="188"/>
        <v>0</v>
      </c>
      <c r="AN285" s="126">
        <f t="shared" si="196"/>
        <v>0</v>
      </c>
      <c r="AO285" s="126">
        <f t="shared" si="197"/>
        <v>0</v>
      </c>
      <c r="AP285" s="126">
        <f t="shared" si="198"/>
        <v>0</v>
      </c>
      <c r="AQ285" s="125">
        <f t="shared" si="189"/>
        <v>30</v>
      </c>
      <c r="AR285" s="125">
        <f t="shared" ca="1" si="190"/>
        <v>30</v>
      </c>
      <c r="AS285" s="135">
        <f t="shared" si="191"/>
        <v>0</v>
      </c>
      <c r="AT285" s="125">
        <f t="shared" si="192"/>
        <v>0</v>
      </c>
      <c r="AU285" t="b">
        <f>OR((F285&gt;0),(NOT(ISBLANK(H285))),SUM(H285:H$373),SUM(G285:G$373))</f>
        <v>0</v>
      </c>
      <c r="AV285" t="b">
        <f t="shared" ca="1" si="174"/>
        <v>0</v>
      </c>
      <c r="AX285" s="228">
        <f>SUM(AW$5:AW285)</f>
        <v>-2.9166666666666665</v>
      </c>
    </row>
    <row r="286" spans="1:50">
      <c r="A286" s="308">
        <f t="shared" si="193"/>
        <v>42649</v>
      </c>
      <c r="B286" s="309">
        <f t="shared" si="194"/>
        <v>42649</v>
      </c>
      <c r="C286" s="310">
        <f t="shared" si="201"/>
        <v>41</v>
      </c>
      <c r="D286" s="311">
        <f t="shared" si="202"/>
        <v>42643</v>
      </c>
      <c r="E286" s="321" t="str">
        <f t="shared" si="175"/>
        <v/>
      </c>
      <c r="F286" s="5"/>
      <c r="G286" s="6" t="str">
        <f t="shared" si="176"/>
        <v/>
      </c>
      <c r="H286" s="7"/>
      <c r="I286" s="7">
        <f t="shared" si="177"/>
        <v>0</v>
      </c>
      <c r="J286" s="113">
        <f t="shared" si="165"/>
        <v>0</v>
      </c>
      <c r="K286" s="7"/>
      <c r="L286" s="7">
        <f t="shared" si="178"/>
        <v>0</v>
      </c>
      <c r="M286" s="113">
        <f t="shared" si="179"/>
        <v>0</v>
      </c>
      <c r="N286" s="113"/>
      <c r="O286" s="113">
        <f t="shared" si="166"/>
        <v>0</v>
      </c>
      <c r="P286" s="113"/>
      <c r="Q286" s="113">
        <f t="shared" si="180"/>
        <v>0</v>
      </c>
      <c r="R286" s="113">
        <f t="shared" si="181"/>
        <v>0</v>
      </c>
      <c r="S286" s="113">
        <f t="shared" si="199"/>
        <v>0</v>
      </c>
      <c r="T286" s="113">
        <f t="shared" si="182"/>
        <v>0</v>
      </c>
      <c r="U286" s="113">
        <f t="shared" si="200"/>
        <v>0</v>
      </c>
      <c r="V286" s="146">
        <f t="shared" si="183"/>
        <v>0</v>
      </c>
      <c r="W286" s="66"/>
      <c r="X286" s="115">
        <f t="shared" si="167"/>
        <v>3.125E-2</v>
      </c>
      <c r="Y286" s="110">
        <f t="shared" si="184"/>
        <v>0</v>
      </c>
      <c r="Z286" s="111">
        <f t="shared" si="203"/>
        <v>0.29166666666666669</v>
      </c>
      <c r="AA286" s="112">
        <f t="shared" si="185"/>
        <v>0</v>
      </c>
      <c r="AB286" s="67" t="str">
        <f t="shared" si="186"/>
        <v/>
      </c>
      <c r="AC286" s="193">
        <f t="shared" si="168"/>
        <v>0</v>
      </c>
      <c r="AD286" s="144" t="str">
        <f t="shared" si="169"/>
        <v/>
      </c>
      <c r="AE286" s="228">
        <f t="shared" si="195"/>
        <v>0</v>
      </c>
      <c r="AF286" s="110"/>
      <c r="AG286" s="110" t="str">
        <f t="shared" si="187"/>
        <v/>
      </c>
      <c r="AH286" s="68">
        <f t="shared" si="170"/>
        <v>0</v>
      </c>
      <c r="AI286" s="68">
        <f t="shared" si="171"/>
        <v>0</v>
      </c>
      <c r="AJ286" s="68" t="str">
        <f t="shared" si="172"/>
        <v/>
      </c>
      <c r="AK286">
        <f t="shared" si="173"/>
        <v>3</v>
      </c>
      <c r="AL286" s="122">
        <f>SUM($AD$6:AD286)</f>
        <v>0</v>
      </c>
      <c r="AM286" s="122">
        <f t="shared" ca="1" si="188"/>
        <v>0</v>
      </c>
      <c r="AN286" s="126">
        <f t="shared" si="196"/>
        <v>0</v>
      </c>
      <c r="AO286" s="126">
        <f t="shared" si="197"/>
        <v>0</v>
      </c>
      <c r="AP286" s="126">
        <f t="shared" si="198"/>
        <v>0</v>
      </c>
      <c r="AQ286" s="125">
        <f t="shared" si="189"/>
        <v>30</v>
      </c>
      <c r="AR286" s="125">
        <f t="shared" ca="1" si="190"/>
        <v>30</v>
      </c>
      <c r="AS286" s="135">
        <f t="shared" si="191"/>
        <v>0</v>
      </c>
      <c r="AT286" s="125">
        <f t="shared" si="192"/>
        <v>0</v>
      </c>
      <c r="AU286" t="b">
        <f>OR((F286&gt;0),(NOT(ISBLANK(H286))),SUM(H286:H$373),SUM(G286:G$373))</f>
        <v>0</v>
      </c>
      <c r="AV286" t="b">
        <f t="shared" ca="1" si="174"/>
        <v>0</v>
      </c>
      <c r="AX286" s="228">
        <f>SUM(AW$5:AW286)</f>
        <v>-2.9166666666666665</v>
      </c>
    </row>
    <row r="287" spans="1:50">
      <c r="A287" s="308">
        <f t="shared" si="193"/>
        <v>42650</v>
      </c>
      <c r="B287" s="309">
        <f t="shared" si="194"/>
        <v>42650</v>
      </c>
      <c r="C287" s="310">
        <f t="shared" si="201"/>
        <v>41</v>
      </c>
      <c r="D287" s="311">
        <f t="shared" si="202"/>
        <v>42643</v>
      </c>
      <c r="E287" s="321" t="str">
        <f t="shared" si="175"/>
        <v/>
      </c>
      <c r="F287" s="5"/>
      <c r="G287" s="6" t="str">
        <f t="shared" si="176"/>
        <v/>
      </c>
      <c r="H287" s="7"/>
      <c r="I287" s="7">
        <f t="shared" si="177"/>
        <v>0</v>
      </c>
      <c r="J287" s="113">
        <f t="shared" si="165"/>
        <v>0</v>
      </c>
      <c r="K287" s="7"/>
      <c r="L287" s="7">
        <f t="shared" si="178"/>
        <v>0</v>
      </c>
      <c r="M287" s="113">
        <f t="shared" si="179"/>
        <v>0</v>
      </c>
      <c r="N287" s="113"/>
      <c r="O287" s="113">
        <f t="shared" si="166"/>
        <v>0</v>
      </c>
      <c r="P287" s="113"/>
      <c r="Q287" s="113">
        <f t="shared" si="180"/>
        <v>0</v>
      </c>
      <c r="R287" s="113">
        <f t="shared" si="181"/>
        <v>0</v>
      </c>
      <c r="S287" s="113">
        <f t="shared" si="199"/>
        <v>0</v>
      </c>
      <c r="T287" s="113">
        <f t="shared" si="182"/>
        <v>0</v>
      </c>
      <c r="U287" s="113">
        <f t="shared" si="200"/>
        <v>0</v>
      </c>
      <c r="V287" s="146">
        <f t="shared" si="183"/>
        <v>0</v>
      </c>
      <c r="W287" s="66"/>
      <c r="X287" s="115">
        <f t="shared" si="167"/>
        <v>3.125E-2</v>
      </c>
      <c r="Y287" s="110">
        <f t="shared" si="184"/>
        <v>0</v>
      </c>
      <c r="Z287" s="111">
        <f t="shared" si="203"/>
        <v>0.29166666666666669</v>
      </c>
      <c r="AA287" s="112">
        <f t="shared" si="185"/>
        <v>0</v>
      </c>
      <c r="AB287" s="67" t="str">
        <f t="shared" si="186"/>
        <v/>
      </c>
      <c r="AC287" s="193">
        <f t="shared" si="168"/>
        <v>0</v>
      </c>
      <c r="AD287" s="144" t="str">
        <f t="shared" si="169"/>
        <v/>
      </c>
      <c r="AE287" s="228">
        <f t="shared" si="195"/>
        <v>0</v>
      </c>
      <c r="AF287" s="110"/>
      <c r="AG287" s="110" t="str">
        <f t="shared" si="187"/>
        <v/>
      </c>
      <c r="AH287" s="68">
        <f t="shared" si="170"/>
        <v>0</v>
      </c>
      <c r="AI287" s="68">
        <f t="shared" si="171"/>
        <v>0</v>
      </c>
      <c r="AJ287" s="68" t="str">
        <f t="shared" si="172"/>
        <v/>
      </c>
      <c r="AK287">
        <f t="shared" si="173"/>
        <v>4</v>
      </c>
      <c r="AL287" s="122">
        <f>SUM($AD$6:AD287)</f>
        <v>0</v>
      </c>
      <c r="AM287" s="122">
        <f t="shared" ca="1" si="188"/>
        <v>0</v>
      </c>
      <c r="AN287" s="126">
        <f t="shared" si="196"/>
        <v>0</v>
      </c>
      <c r="AO287" s="126">
        <f t="shared" si="197"/>
        <v>0</v>
      </c>
      <c r="AP287" s="126">
        <f t="shared" si="198"/>
        <v>0</v>
      </c>
      <c r="AQ287" s="125">
        <f t="shared" si="189"/>
        <v>30</v>
      </c>
      <c r="AR287" s="125">
        <f t="shared" ca="1" si="190"/>
        <v>30</v>
      </c>
      <c r="AS287" s="135">
        <f t="shared" si="191"/>
        <v>0</v>
      </c>
      <c r="AT287" s="125">
        <f t="shared" si="192"/>
        <v>0</v>
      </c>
      <c r="AU287" t="b">
        <f>OR((F287&gt;0),(NOT(ISBLANK(H287))),SUM(H287:H$373),SUM(G287:G$373))</f>
        <v>0</v>
      </c>
      <c r="AV287" t="b">
        <f t="shared" ca="1" si="174"/>
        <v>0</v>
      </c>
      <c r="AX287" s="228">
        <f>SUM(AW$5:AW287)</f>
        <v>-2.9166666666666665</v>
      </c>
    </row>
    <row r="288" spans="1:50">
      <c r="A288" s="308">
        <f t="shared" si="193"/>
        <v>42651</v>
      </c>
      <c r="B288" s="309">
        <f t="shared" si="194"/>
        <v>42651</v>
      </c>
      <c r="C288" s="310">
        <f t="shared" si="201"/>
        <v>41</v>
      </c>
      <c r="D288" s="311">
        <f t="shared" si="202"/>
        <v>42643</v>
      </c>
      <c r="E288" s="321" t="str">
        <f t="shared" si="175"/>
        <v/>
      </c>
      <c r="F288" s="5"/>
      <c r="G288" s="6" t="str">
        <f t="shared" si="176"/>
        <v/>
      </c>
      <c r="H288" s="7"/>
      <c r="I288" s="7">
        <f t="shared" si="177"/>
        <v>0</v>
      </c>
      <c r="J288" s="113">
        <f t="shared" si="165"/>
        <v>0</v>
      </c>
      <c r="K288" s="7"/>
      <c r="L288" s="7">
        <f t="shared" si="178"/>
        <v>0</v>
      </c>
      <c r="M288" s="113">
        <f t="shared" si="179"/>
        <v>0</v>
      </c>
      <c r="N288" s="113"/>
      <c r="O288" s="113">
        <f t="shared" si="166"/>
        <v>0</v>
      </c>
      <c r="P288" s="113"/>
      <c r="Q288" s="113">
        <f t="shared" si="180"/>
        <v>0</v>
      </c>
      <c r="R288" s="113">
        <f t="shared" si="181"/>
        <v>0</v>
      </c>
      <c r="S288" s="113">
        <f t="shared" si="199"/>
        <v>0</v>
      </c>
      <c r="T288" s="113">
        <f t="shared" si="182"/>
        <v>0</v>
      </c>
      <c r="U288" s="113">
        <f t="shared" si="200"/>
        <v>0</v>
      </c>
      <c r="V288" s="146">
        <f t="shared" si="183"/>
        <v>0</v>
      </c>
      <c r="W288" s="66"/>
      <c r="X288" s="115">
        <f t="shared" si="167"/>
        <v>3.125E-2</v>
      </c>
      <c r="Y288" s="110">
        <f t="shared" si="184"/>
        <v>0</v>
      </c>
      <c r="Z288" s="111">
        <f t="shared" si="203"/>
        <v>0.29166666666666669</v>
      </c>
      <c r="AA288" s="112">
        <f t="shared" si="185"/>
        <v>0</v>
      </c>
      <c r="AB288" s="67" t="str">
        <f t="shared" si="186"/>
        <v/>
      </c>
      <c r="AC288" s="193">
        <f t="shared" si="168"/>
        <v>0</v>
      </c>
      <c r="AD288" s="144" t="str">
        <f t="shared" si="169"/>
        <v/>
      </c>
      <c r="AE288" s="228">
        <f t="shared" si="195"/>
        <v>0</v>
      </c>
      <c r="AF288" s="110"/>
      <c r="AG288" s="110" t="str">
        <f t="shared" si="187"/>
        <v/>
      </c>
      <c r="AH288" s="68">
        <f t="shared" si="170"/>
        <v>0</v>
      </c>
      <c r="AI288" s="68">
        <f t="shared" si="171"/>
        <v>0</v>
      </c>
      <c r="AJ288" s="68" t="str">
        <f t="shared" si="172"/>
        <v/>
      </c>
      <c r="AK288">
        <f t="shared" si="173"/>
        <v>5</v>
      </c>
      <c r="AL288" s="122">
        <f>SUM($AD$6:AD288)</f>
        <v>0</v>
      </c>
      <c r="AM288" s="122">
        <f t="shared" ca="1" si="188"/>
        <v>0</v>
      </c>
      <c r="AN288" s="126">
        <f t="shared" si="196"/>
        <v>0</v>
      </c>
      <c r="AO288" s="126">
        <f t="shared" si="197"/>
        <v>0</v>
      </c>
      <c r="AP288" s="126">
        <f t="shared" si="198"/>
        <v>0</v>
      </c>
      <c r="AQ288" s="125">
        <f t="shared" si="189"/>
        <v>30</v>
      </c>
      <c r="AR288" s="125">
        <f t="shared" ca="1" si="190"/>
        <v>30</v>
      </c>
      <c r="AS288" s="135">
        <f t="shared" si="191"/>
        <v>0</v>
      </c>
      <c r="AT288" s="125">
        <f t="shared" si="192"/>
        <v>0</v>
      </c>
      <c r="AU288" t="b">
        <f>OR((F288&gt;0),(NOT(ISBLANK(H288))),SUM(H288:H$373),SUM(G288:G$373))</f>
        <v>0</v>
      </c>
      <c r="AV288" t="b">
        <f t="shared" ca="1" si="174"/>
        <v>0</v>
      </c>
      <c r="AX288" s="228">
        <f>SUM(AW$5:AW288)</f>
        <v>-2.9166666666666665</v>
      </c>
    </row>
    <row r="289" spans="1:50">
      <c r="A289" s="308">
        <f t="shared" si="193"/>
        <v>42652</v>
      </c>
      <c r="B289" s="309">
        <f t="shared" si="194"/>
        <v>42652</v>
      </c>
      <c r="C289" s="310">
        <f t="shared" si="201"/>
        <v>41</v>
      </c>
      <c r="D289" s="311">
        <f t="shared" si="202"/>
        <v>42643</v>
      </c>
      <c r="E289" s="321" t="str">
        <f t="shared" si="175"/>
        <v/>
      </c>
      <c r="F289" s="5"/>
      <c r="G289" s="6" t="str">
        <f t="shared" si="176"/>
        <v/>
      </c>
      <c r="H289" s="7"/>
      <c r="I289" s="7">
        <f t="shared" si="177"/>
        <v>0</v>
      </c>
      <c r="J289" s="113">
        <f t="shared" si="165"/>
        <v>0</v>
      </c>
      <c r="K289" s="7"/>
      <c r="L289" s="7">
        <f t="shared" si="178"/>
        <v>0</v>
      </c>
      <c r="M289" s="113">
        <f t="shared" si="179"/>
        <v>0</v>
      </c>
      <c r="N289" s="113"/>
      <c r="O289" s="113">
        <f t="shared" si="166"/>
        <v>0</v>
      </c>
      <c r="P289" s="113"/>
      <c r="Q289" s="113">
        <f t="shared" si="180"/>
        <v>0</v>
      </c>
      <c r="R289" s="113">
        <f t="shared" si="181"/>
        <v>0</v>
      </c>
      <c r="S289" s="113">
        <f t="shared" si="199"/>
        <v>0</v>
      </c>
      <c r="T289" s="113">
        <f t="shared" si="182"/>
        <v>0</v>
      </c>
      <c r="U289" s="113">
        <f t="shared" si="200"/>
        <v>0</v>
      </c>
      <c r="V289" s="146">
        <f t="shared" si="183"/>
        <v>0</v>
      </c>
      <c r="W289" s="66"/>
      <c r="X289" s="115">
        <f t="shared" si="167"/>
        <v>3.125E-2</v>
      </c>
      <c r="Y289" s="110">
        <f t="shared" si="184"/>
        <v>0</v>
      </c>
      <c r="Z289" s="111">
        <f t="shared" si="203"/>
        <v>0</v>
      </c>
      <c r="AA289" s="112">
        <f t="shared" si="185"/>
        <v>0</v>
      </c>
      <c r="AB289" s="67" t="str">
        <f t="shared" si="186"/>
        <v/>
      </c>
      <c r="AC289" s="193">
        <f t="shared" si="168"/>
        <v>0</v>
      </c>
      <c r="AD289" s="144" t="str">
        <f t="shared" si="169"/>
        <v/>
      </c>
      <c r="AE289" s="228">
        <f t="shared" si="195"/>
        <v>0</v>
      </c>
      <c r="AF289" s="110"/>
      <c r="AG289" s="110" t="str">
        <f t="shared" si="187"/>
        <v/>
      </c>
      <c r="AH289" s="68">
        <f t="shared" si="170"/>
        <v>0</v>
      </c>
      <c r="AI289" s="68">
        <f t="shared" si="171"/>
        <v>0</v>
      </c>
      <c r="AJ289" s="68" t="str">
        <f t="shared" si="172"/>
        <v/>
      </c>
      <c r="AK289">
        <f t="shared" si="173"/>
        <v>6</v>
      </c>
      <c r="AL289" s="122">
        <f>SUM($AD$6:AD289)</f>
        <v>0</v>
      </c>
      <c r="AM289" s="122">
        <f t="shared" ca="1" si="188"/>
        <v>0</v>
      </c>
      <c r="AN289" s="126">
        <f t="shared" si="196"/>
        <v>0</v>
      </c>
      <c r="AO289" s="126">
        <f t="shared" si="197"/>
        <v>0</v>
      </c>
      <c r="AP289" s="126">
        <f t="shared" si="198"/>
        <v>0</v>
      </c>
      <c r="AQ289" s="125">
        <f t="shared" si="189"/>
        <v>30</v>
      </c>
      <c r="AR289" s="125">
        <f t="shared" ca="1" si="190"/>
        <v>30</v>
      </c>
      <c r="AS289" s="135">
        <f t="shared" si="191"/>
        <v>0</v>
      </c>
      <c r="AT289" s="125">
        <f t="shared" si="192"/>
        <v>7</v>
      </c>
      <c r="AU289" t="b">
        <f>OR((F289&gt;0),(NOT(ISBLANK(H289))),SUM(H289:H$373),SUM(G289:G$373))</f>
        <v>0</v>
      </c>
      <c r="AV289" t="b">
        <f t="shared" ca="1" si="174"/>
        <v>1</v>
      </c>
      <c r="AX289" s="228">
        <f>SUM(AW$5:AW289)</f>
        <v>-2.9166666666666665</v>
      </c>
    </row>
    <row r="290" spans="1:50">
      <c r="A290" s="308">
        <f t="shared" si="193"/>
        <v>42653</v>
      </c>
      <c r="B290" s="309">
        <f t="shared" si="194"/>
        <v>42653</v>
      </c>
      <c r="C290" s="310">
        <f t="shared" si="201"/>
        <v>41</v>
      </c>
      <c r="D290" s="311">
        <f t="shared" si="202"/>
        <v>42643</v>
      </c>
      <c r="E290" s="321" t="str">
        <f t="shared" si="175"/>
        <v/>
      </c>
      <c r="F290" s="5"/>
      <c r="G290" s="6" t="str">
        <f t="shared" si="176"/>
        <v/>
      </c>
      <c r="H290" s="7"/>
      <c r="I290" s="7">
        <f t="shared" si="177"/>
        <v>0</v>
      </c>
      <c r="J290" s="113">
        <f t="shared" si="165"/>
        <v>0</v>
      </c>
      <c r="K290" s="7"/>
      <c r="L290" s="7">
        <f t="shared" si="178"/>
        <v>0</v>
      </c>
      <c r="M290" s="113">
        <f t="shared" si="179"/>
        <v>0</v>
      </c>
      <c r="N290" s="113"/>
      <c r="O290" s="113">
        <f t="shared" si="166"/>
        <v>0</v>
      </c>
      <c r="P290" s="113"/>
      <c r="Q290" s="113">
        <f t="shared" si="180"/>
        <v>0</v>
      </c>
      <c r="R290" s="113">
        <f t="shared" si="181"/>
        <v>0</v>
      </c>
      <c r="S290" s="113">
        <f t="shared" si="199"/>
        <v>0</v>
      </c>
      <c r="T290" s="113">
        <f t="shared" si="182"/>
        <v>0</v>
      </c>
      <c r="U290" s="113">
        <f t="shared" si="200"/>
        <v>0</v>
      </c>
      <c r="V290" s="146">
        <f t="shared" si="183"/>
        <v>0</v>
      </c>
      <c r="W290" s="66"/>
      <c r="X290" s="115">
        <f t="shared" si="167"/>
        <v>3.125E-2</v>
      </c>
      <c r="Y290" s="110">
        <f t="shared" si="184"/>
        <v>0</v>
      </c>
      <c r="Z290" s="111">
        <f t="shared" si="203"/>
        <v>0</v>
      </c>
      <c r="AA290" s="112">
        <f t="shared" si="185"/>
        <v>0</v>
      </c>
      <c r="AB290" s="67" t="str">
        <f t="shared" si="186"/>
        <v/>
      </c>
      <c r="AC290" s="193">
        <f t="shared" si="168"/>
        <v>0</v>
      </c>
      <c r="AD290" s="144" t="str">
        <f t="shared" si="169"/>
        <v/>
      </c>
      <c r="AE290" s="228">
        <f t="shared" si="195"/>
        <v>0</v>
      </c>
      <c r="AF290" s="110"/>
      <c r="AG290" s="110" t="str">
        <f t="shared" si="187"/>
        <v/>
      </c>
      <c r="AH290" s="68">
        <f t="shared" si="170"/>
        <v>0</v>
      </c>
      <c r="AI290" s="68">
        <f t="shared" si="171"/>
        <v>0</v>
      </c>
      <c r="AJ290" s="68" t="str">
        <f t="shared" si="172"/>
        <v/>
      </c>
      <c r="AK290">
        <f t="shared" si="173"/>
        <v>7</v>
      </c>
      <c r="AL290" s="122">
        <f>SUM($AD$6:AD290)</f>
        <v>0</v>
      </c>
      <c r="AM290" s="122">
        <f t="shared" ca="1" si="188"/>
        <v>0</v>
      </c>
      <c r="AN290" s="126">
        <f t="shared" si="196"/>
        <v>0</v>
      </c>
      <c r="AO290" s="126">
        <f t="shared" si="197"/>
        <v>0</v>
      </c>
      <c r="AP290" s="126">
        <f t="shared" si="198"/>
        <v>0</v>
      </c>
      <c r="AQ290" s="125">
        <f t="shared" si="189"/>
        <v>30</v>
      </c>
      <c r="AR290" s="125">
        <f t="shared" ca="1" si="190"/>
        <v>30</v>
      </c>
      <c r="AS290" s="135">
        <f t="shared" si="191"/>
        <v>0</v>
      </c>
      <c r="AT290" s="125">
        <f t="shared" si="192"/>
        <v>7</v>
      </c>
      <c r="AU290" t="b">
        <f>OR((F290&gt;0),(NOT(ISBLANK(H290))),SUM(H290:H$373),SUM(G290:G$373))</f>
        <v>0</v>
      </c>
      <c r="AV290" t="b">
        <f t="shared" ca="1" si="174"/>
        <v>1</v>
      </c>
      <c r="AX290" s="228">
        <f>SUM(AW$5:AW290)</f>
        <v>-2.9166666666666665</v>
      </c>
    </row>
    <row r="291" spans="1:50">
      <c r="A291" s="308">
        <f t="shared" si="193"/>
        <v>42654</v>
      </c>
      <c r="B291" s="309">
        <f t="shared" si="194"/>
        <v>42654</v>
      </c>
      <c r="C291" s="310">
        <f t="shared" si="201"/>
        <v>42</v>
      </c>
      <c r="D291" s="311">
        <f t="shared" si="202"/>
        <v>42643</v>
      </c>
      <c r="E291" s="321" t="str">
        <f t="shared" si="175"/>
        <v/>
      </c>
      <c r="F291" s="5"/>
      <c r="G291" s="6" t="str">
        <f t="shared" si="176"/>
        <v/>
      </c>
      <c r="H291" s="7"/>
      <c r="I291" s="7">
        <f t="shared" si="177"/>
        <v>0</v>
      </c>
      <c r="J291" s="113">
        <f t="shared" si="165"/>
        <v>0</v>
      </c>
      <c r="K291" s="7"/>
      <c r="L291" s="7">
        <f t="shared" si="178"/>
        <v>0</v>
      </c>
      <c r="M291" s="113">
        <f t="shared" si="179"/>
        <v>0</v>
      </c>
      <c r="N291" s="113"/>
      <c r="O291" s="113">
        <f t="shared" si="166"/>
        <v>0</v>
      </c>
      <c r="P291" s="113"/>
      <c r="Q291" s="113">
        <f t="shared" si="180"/>
        <v>0</v>
      </c>
      <c r="R291" s="113">
        <f t="shared" si="181"/>
        <v>0</v>
      </c>
      <c r="S291" s="113">
        <f t="shared" si="199"/>
        <v>0</v>
      </c>
      <c r="T291" s="113">
        <f t="shared" si="182"/>
        <v>0</v>
      </c>
      <c r="U291" s="113">
        <f t="shared" si="200"/>
        <v>0</v>
      </c>
      <c r="V291" s="146">
        <f t="shared" si="183"/>
        <v>0</v>
      </c>
      <c r="W291" s="66"/>
      <c r="X291" s="115">
        <f t="shared" si="167"/>
        <v>3.125E-2</v>
      </c>
      <c r="Y291" s="110">
        <f t="shared" si="184"/>
        <v>0</v>
      </c>
      <c r="Z291" s="111">
        <f t="shared" si="203"/>
        <v>0.29166666666666669</v>
      </c>
      <c r="AA291" s="112">
        <f t="shared" si="185"/>
        <v>0</v>
      </c>
      <c r="AB291" s="67" t="str">
        <f t="shared" si="186"/>
        <v/>
      </c>
      <c r="AC291" s="193">
        <f t="shared" si="168"/>
        <v>0</v>
      </c>
      <c r="AD291" s="144" t="str">
        <f t="shared" si="169"/>
        <v/>
      </c>
      <c r="AE291" s="228">
        <f t="shared" si="195"/>
        <v>0</v>
      </c>
      <c r="AF291" s="110"/>
      <c r="AG291" s="110" t="str">
        <f t="shared" si="187"/>
        <v/>
      </c>
      <c r="AH291" s="68">
        <f t="shared" si="170"/>
        <v>0</v>
      </c>
      <c r="AI291" s="68">
        <f t="shared" si="171"/>
        <v>0</v>
      </c>
      <c r="AJ291" s="68" t="str">
        <f t="shared" si="172"/>
        <v/>
      </c>
      <c r="AK291">
        <f t="shared" si="173"/>
        <v>1</v>
      </c>
      <c r="AL291" s="122">
        <f>SUM($AD$6:AD291)</f>
        <v>0</v>
      </c>
      <c r="AM291" s="122">
        <f t="shared" ca="1" si="188"/>
        <v>0</v>
      </c>
      <c r="AN291" s="126">
        <f t="shared" si="196"/>
        <v>0</v>
      </c>
      <c r="AO291" s="126">
        <f t="shared" si="197"/>
        <v>0</v>
      </c>
      <c r="AP291" s="126">
        <f t="shared" si="198"/>
        <v>0</v>
      </c>
      <c r="AQ291" s="125">
        <f t="shared" si="189"/>
        <v>30</v>
      </c>
      <c r="AR291" s="125">
        <f t="shared" ca="1" si="190"/>
        <v>30</v>
      </c>
      <c r="AS291" s="135">
        <f t="shared" si="191"/>
        <v>0</v>
      </c>
      <c r="AT291" s="125">
        <f t="shared" si="192"/>
        <v>0</v>
      </c>
      <c r="AU291" t="b">
        <f>OR((F291&gt;0),(NOT(ISBLANK(H291))),SUM(H291:H$373),SUM(G291:G$373))</f>
        <v>0</v>
      </c>
      <c r="AV291" t="b">
        <f t="shared" ca="1" si="174"/>
        <v>0</v>
      </c>
      <c r="AX291" s="228">
        <f>SUM(AW$5:AW291)</f>
        <v>-2.9166666666666665</v>
      </c>
    </row>
    <row r="292" spans="1:50">
      <c r="A292" s="308">
        <f t="shared" si="193"/>
        <v>42655</v>
      </c>
      <c r="B292" s="309">
        <f t="shared" si="194"/>
        <v>42655</v>
      </c>
      <c r="C292" s="310">
        <f t="shared" si="201"/>
        <v>42</v>
      </c>
      <c r="D292" s="311">
        <f t="shared" si="202"/>
        <v>42643</v>
      </c>
      <c r="E292" s="321" t="str">
        <f t="shared" si="175"/>
        <v/>
      </c>
      <c r="F292" s="5"/>
      <c r="G292" s="6" t="str">
        <f t="shared" si="176"/>
        <v/>
      </c>
      <c r="H292" s="7"/>
      <c r="I292" s="7">
        <f t="shared" si="177"/>
        <v>0</v>
      </c>
      <c r="J292" s="113">
        <f t="shared" si="165"/>
        <v>0</v>
      </c>
      <c r="K292" s="7"/>
      <c r="L292" s="7">
        <f t="shared" si="178"/>
        <v>0</v>
      </c>
      <c r="M292" s="113">
        <f t="shared" si="179"/>
        <v>0</v>
      </c>
      <c r="N292" s="113"/>
      <c r="O292" s="113">
        <f t="shared" si="166"/>
        <v>0</v>
      </c>
      <c r="P292" s="113"/>
      <c r="Q292" s="113">
        <f t="shared" si="180"/>
        <v>0</v>
      </c>
      <c r="R292" s="113">
        <f t="shared" si="181"/>
        <v>0</v>
      </c>
      <c r="S292" s="113">
        <f t="shared" si="199"/>
        <v>0</v>
      </c>
      <c r="T292" s="113">
        <f t="shared" si="182"/>
        <v>0</v>
      </c>
      <c r="U292" s="113">
        <f t="shared" si="200"/>
        <v>0</v>
      </c>
      <c r="V292" s="146">
        <f t="shared" si="183"/>
        <v>0</v>
      </c>
      <c r="W292" s="66"/>
      <c r="X292" s="115">
        <f t="shared" si="167"/>
        <v>3.125E-2</v>
      </c>
      <c r="Y292" s="110">
        <f t="shared" si="184"/>
        <v>0</v>
      </c>
      <c r="Z292" s="111">
        <f t="shared" si="203"/>
        <v>0.29166666666666669</v>
      </c>
      <c r="AA292" s="112">
        <f t="shared" si="185"/>
        <v>0</v>
      </c>
      <c r="AB292" s="67" t="str">
        <f t="shared" si="186"/>
        <v/>
      </c>
      <c r="AC292" s="193">
        <f t="shared" si="168"/>
        <v>0</v>
      </c>
      <c r="AD292" s="144" t="str">
        <f t="shared" si="169"/>
        <v/>
      </c>
      <c r="AE292" s="228">
        <f t="shared" si="195"/>
        <v>0</v>
      </c>
      <c r="AF292" s="110"/>
      <c r="AG292" s="110" t="str">
        <f t="shared" si="187"/>
        <v/>
      </c>
      <c r="AH292" s="68">
        <f t="shared" si="170"/>
        <v>0</v>
      </c>
      <c r="AI292" s="68">
        <f t="shared" si="171"/>
        <v>0</v>
      </c>
      <c r="AJ292" s="68" t="str">
        <f t="shared" si="172"/>
        <v/>
      </c>
      <c r="AK292">
        <f t="shared" si="173"/>
        <v>2</v>
      </c>
      <c r="AL292" s="122">
        <f>SUM($AD$6:AD292)</f>
        <v>0</v>
      </c>
      <c r="AM292" s="122">
        <f t="shared" ca="1" si="188"/>
        <v>0</v>
      </c>
      <c r="AN292" s="126">
        <f t="shared" si="196"/>
        <v>0</v>
      </c>
      <c r="AO292" s="126">
        <f t="shared" si="197"/>
        <v>0</v>
      </c>
      <c r="AP292" s="126">
        <f t="shared" si="198"/>
        <v>0</v>
      </c>
      <c r="AQ292" s="125">
        <f t="shared" si="189"/>
        <v>30</v>
      </c>
      <c r="AR292" s="125">
        <f t="shared" ca="1" si="190"/>
        <v>30</v>
      </c>
      <c r="AS292" s="135">
        <f t="shared" si="191"/>
        <v>0</v>
      </c>
      <c r="AT292" s="125">
        <f t="shared" si="192"/>
        <v>0</v>
      </c>
      <c r="AU292" t="b">
        <f>OR((F292&gt;0),(NOT(ISBLANK(H292))),SUM(H292:H$373),SUM(G292:G$373))</f>
        <v>0</v>
      </c>
      <c r="AV292" t="b">
        <f t="shared" ca="1" si="174"/>
        <v>0</v>
      </c>
      <c r="AX292" s="228">
        <f>SUM(AW$5:AW292)</f>
        <v>-2.9166666666666665</v>
      </c>
    </row>
    <row r="293" spans="1:50">
      <c r="A293" s="308">
        <f t="shared" si="193"/>
        <v>42656</v>
      </c>
      <c r="B293" s="309">
        <f t="shared" si="194"/>
        <v>42656</v>
      </c>
      <c r="C293" s="310">
        <f t="shared" si="201"/>
        <v>42</v>
      </c>
      <c r="D293" s="311">
        <f t="shared" si="202"/>
        <v>42643</v>
      </c>
      <c r="E293" s="321" t="str">
        <f t="shared" si="175"/>
        <v/>
      </c>
      <c r="F293" s="5"/>
      <c r="G293" s="6" t="str">
        <f t="shared" si="176"/>
        <v/>
      </c>
      <c r="H293" s="7"/>
      <c r="I293" s="7">
        <f t="shared" si="177"/>
        <v>0</v>
      </c>
      <c r="J293" s="113">
        <f t="shared" si="165"/>
        <v>0</v>
      </c>
      <c r="K293" s="7"/>
      <c r="L293" s="7">
        <f t="shared" si="178"/>
        <v>0</v>
      </c>
      <c r="M293" s="113">
        <f t="shared" si="179"/>
        <v>0</v>
      </c>
      <c r="N293" s="113"/>
      <c r="O293" s="113">
        <f t="shared" si="166"/>
        <v>0</v>
      </c>
      <c r="P293" s="113"/>
      <c r="Q293" s="113">
        <f t="shared" si="180"/>
        <v>0</v>
      </c>
      <c r="R293" s="113">
        <f t="shared" si="181"/>
        <v>0</v>
      </c>
      <c r="S293" s="113">
        <f t="shared" si="199"/>
        <v>0</v>
      </c>
      <c r="T293" s="113">
        <f t="shared" si="182"/>
        <v>0</v>
      </c>
      <c r="U293" s="113">
        <f t="shared" si="200"/>
        <v>0</v>
      </c>
      <c r="V293" s="146">
        <f t="shared" si="183"/>
        <v>0</v>
      </c>
      <c r="W293" s="66"/>
      <c r="X293" s="115">
        <f t="shared" si="167"/>
        <v>3.125E-2</v>
      </c>
      <c r="Y293" s="110">
        <f t="shared" si="184"/>
        <v>0</v>
      </c>
      <c r="Z293" s="111">
        <f t="shared" si="203"/>
        <v>0.29166666666666669</v>
      </c>
      <c r="AA293" s="112">
        <f t="shared" si="185"/>
        <v>0</v>
      </c>
      <c r="AB293" s="67" t="str">
        <f t="shared" si="186"/>
        <v/>
      </c>
      <c r="AC293" s="193">
        <f t="shared" si="168"/>
        <v>0</v>
      </c>
      <c r="AD293" s="144" t="str">
        <f t="shared" si="169"/>
        <v/>
      </c>
      <c r="AE293" s="228">
        <f t="shared" si="195"/>
        <v>0</v>
      </c>
      <c r="AF293" s="110"/>
      <c r="AG293" s="110" t="str">
        <f t="shared" si="187"/>
        <v/>
      </c>
      <c r="AH293" s="68">
        <f t="shared" si="170"/>
        <v>0</v>
      </c>
      <c r="AI293" s="68">
        <f t="shared" si="171"/>
        <v>0</v>
      </c>
      <c r="AJ293" s="68" t="str">
        <f t="shared" si="172"/>
        <v/>
      </c>
      <c r="AK293">
        <f t="shared" si="173"/>
        <v>3</v>
      </c>
      <c r="AL293" s="122">
        <f>SUM($AD$6:AD293)</f>
        <v>0</v>
      </c>
      <c r="AM293" s="122">
        <f t="shared" ca="1" si="188"/>
        <v>0</v>
      </c>
      <c r="AN293" s="126">
        <f t="shared" si="196"/>
        <v>0</v>
      </c>
      <c r="AO293" s="126">
        <f t="shared" si="197"/>
        <v>0</v>
      </c>
      <c r="AP293" s="126">
        <f t="shared" si="198"/>
        <v>0</v>
      </c>
      <c r="AQ293" s="125">
        <f t="shared" si="189"/>
        <v>30</v>
      </c>
      <c r="AR293" s="125">
        <f t="shared" ca="1" si="190"/>
        <v>30</v>
      </c>
      <c r="AS293" s="135">
        <f t="shared" si="191"/>
        <v>0</v>
      </c>
      <c r="AT293" s="125">
        <f t="shared" si="192"/>
        <v>0</v>
      </c>
      <c r="AU293" t="b">
        <f>OR((F293&gt;0),(NOT(ISBLANK(H293))),SUM(H293:H$373),SUM(G293:G$373))</f>
        <v>0</v>
      </c>
      <c r="AV293" t="b">
        <f t="shared" ca="1" si="174"/>
        <v>0</v>
      </c>
      <c r="AX293" s="228">
        <f>SUM(AW$5:AW293)</f>
        <v>-2.9166666666666665</v>
      </c>
    </row>
    <row r="294" spans="1:50">
      <c r="A294" s="308">
        <f t="shared" si="193"/>
        <v>42657</v>
      </c>
      <c r="B294" s="309">
        <f t="shared" si="194"/>
        <v>42657</v>
      </c>
      <c r="C294" s="310">
        <f t="shared" si="201"/>
        <v>42</v>
      </c>
      <c r="D294" s="311">
        <f t="shared" si="202"/>
        <v>42643</v>
      </c>
      <c r="E294" s="321" t="str">
        <f t="shared" si="175"/>
        <v/>
      </c>
      <c r="F294" s="5"/>
      <c r="G294" s="6" t="str">
        <f t="shared" si="176"/>
        <v/>
      </c>
      <c r="H294" s="7"/>
      <c r="I294" s="7">
        <f t="shared" si="177"/>
        <v>0</v>
      </c>
      <c r="J294" s="113">
        <f t="shared" si="165"/>
        <v>0</v>
      </c>
      <c r="K294" s="7"/>
      <c r="L294" s="7">
        <f t="shared" si="178"/>
        <v>0</v>
      </c>
      <c r="M294" s="113">
        <f t="shared" si="179"/>
        <v>0</v>
      </c>
      <c r="N294" s="113"/>
      <c r="O294" s="113">
        <f t="shared" si="166"/>
        <v>0</v>
      </c>
      <c r="P294" s="113"/>
      <c r="Q294" s="113">
        <f t="shared" si="180"/>
        <v>0</v>
      </c>
      <c r="R294" s="113">
        <f t="shared" si="181"/>
        <v>0</v>
      </c>
      <c r="S294" s="113">
        <f t="shared" si="199"/>
        <v>0</v>
      </c>
      <c r="T294" s="113">
        <f t="shared" si="182"/>
        <v>0</v>
      </c>
      <c r="U294" s="113">
        <f t="shared" si="200"/>
        <v>0</v>
      </c>
      <c r="V294" s="146">
        <f t="shared" si="183"/>
        <v>0</v>
      </c>
      <c r="W294" s="66"/>
      <c r="X294" s="115">
        <f t="shared" si="167"/>
        <v>3.125E-2</v>
      </c>
      <c r="Y294" s="110">
        <f t="shared" si="184"/>
        <v>0</v>
      </c>
      <c r="Z294" s="111">
        <f t="shared" si="203"/>
        <v>0.29166666666666669</v>
      </c>
      <c r="AA294" s="112">
        <f t="shared" si="185"/>
        <v>0</v>
      </c>
      <c r="AB294" s="67" t="str">
        <f t="shared" si="186"/>
        <v/>
      </c>
      <c r="AC294" s="193">
        <f t="shared" si="168"/>
        <v>0</v>
      </c>
      <c r="AD294" s="144" t="str">
        <f t="shared" si="169"/>
        <v/>
      </c>
      <c r="AE294" s="228">
        <f t="shared" si="195"/>
        <v>0</v>
      </c>
      <c r="AF294" s="110"/>
      <c r="AG294" s="110" t="str">
        <f t="shared" si="187"/>
        <v/>
      </c>
      <c r="AH294" s="68">
        <f t="shared" si="170"/>
        <v>0</v>
      </c>
      <c r="AI294" s="68">
        <f t="shared" si="171"/>
        <v>0</v>
      </c>
      <c r="AJ294" s="68" t="str">
        <f t="shared" si="172"/>
        <v/>
      </c>
      <c r="AK294">
        <f t="shared" si="173"/>
        <v>4</v>
      </c>
      <c r="AL294" s="122">
        <f>SUM($AD$6:AD294)</f>
        <v>0</v>
      </c>
      <c r="AM294" s="122">
        <f t="shared" ca="1" si="188"/>
        <v>0</v>
      </c>
      <c r="AN294" s="126">
        <f t="shared" si="196"/>
        <v>0</v>
      </c>
      <c r="AO294" s="126">
        <f t="shared" si="197"/>
        <v>0</v>
      </c>
      <c r="AP294" s="126">
        <f t="shared" si="198"/>
        <v>0</v>
      </c>
      <c r="AQ294" s="125">
        <f t="shared" si="189"/>
        <v>30</v>
      </c>
      <c r="AR294" s="125">
        <f t="shared" ca="1" si="190"/>
        <v>30</v>
      </c>
      <c r="AS294" s="135">
        <f t="shared" si="191"/>
        <v>0</v>
      </c>
      <c r="AT294" s="125">
        <f t="shared" si="192"/>
        <v>0</v>
      </c>
      <c r="AU294" t="b">
        <f>OR((F294&gt;0),(NOT(ISBLANK(H294))),SUM(H294:H$373),SUM(G294:G$373))</f>
        <v>0</v>
      </c>
      <c r="AV294" t="b">
        <f t="shared" ca="1" si="174"/>
        <v>0</v>
      </c>
      <c r="AX294" s="228">
        <f>SUM(AW$5:AW294)</f>
        <v>-2.9166666666666665</v>
      </c>
    </row>
    <row r="295" spans="1:50">
      <c r="A295" s="308">
        <f t="shared" si="193"/>
        <v>42658</v>
      </c>
      <c r="B295" s="309">
        <f t="shared" si="194"/>
        <v>42658</v>
      </c>
      <c r="C295" s="310">
        <f t="shared" si="201"/>
        <v>42</v>
      </c>
      <c r="D295" s="311">
        <f t="shared" si="202"/>
        <v>42643</v>
      </c>
      <c r="E295" s="321" t="str">
        <f t="shared" si="175"/>
        <v/>
      </c>
      <c r="F295" s="5"/>
      <c r="G295" s="6" t="str">
        <f t="shared" si="176"/>
        <v/>
      </c>
      <c r="H295" s="7"/>
      <c r="I295" s="7">
        <f t="shared" si="177"/>
        <v>0</v>
      </c>
      <c r="J295" s="113">
        <f t="shared" si="165"/>
        <v>0</v>
      </c>
      <c r="K295" s="7"/>
      <c r="L295" s="7">
        <f t="shared" si="178"/>
        <v>0</v>
      </c>
      <c r="M295" s="113">
        <f t="shared" si="179"/>
        <v>0</v>
      </c>
      <c r="N295" s="113"/>
      <c r="O295" s="113">
        <f t="shared" si="166"/>
        <v>0</v>
      </c>
      <c r="P295" s="113"/>
      <c r="Q295" s="113">
        <f t="shared" si="180"/>
        <v>0</v>
      </c>
      <c r="R295" s="113">
        <f t="shared" si="181"/>
        <v>0</v>
      </c>
      <c r="S295" s="113">
        <f t="shared" si="199"/>
        <v>0</v>
      </c>
      <c r="T295" s="113">
        <f t="shared" si="182"/>
        <v>0</v>
      </c>
      <c r="U295" s="113">
        <f t="shared" si="200"/>
        <v>0</v>
      </c>
      <c r="V295" s="146">
        <f t="shared" si="183"/>
        <v>0</v>
      </c>
      <c r="W295" s="66"/>
      <c r="X295" s="115">
        <f t="shared" si="167"/>
        <v>3.125E-2</v>
      </c>
      <c r="Y295" s="110">
        <f t="shared" si="184"/>
        <v>0</v>
      </c>
      <c r="Z295" s="111">
        <f t="shared" si="203"/>
        <v>0.29166666666666669</v>
      </c>
      <c r="AA295" s="112">
        <f t="shared" si="185"/>
        <v>0</v>
      </c>
      <c r="AB295" s="67" t="str">
        <f t="shared" si="186"/>
        <v/>
      </c>
      <c r="AC295" s="193">
        <f t="shared" si="168"/>
        <v>0</v>
      </c>
      <c r="AD295" s="144" t="str">
        <f t="shared" si="169"/>
        <v/>
      </c>
      <c r="AE295" s="228">
        <f t="shared" si="195"/>
        <v>0</v>
      </c>
      <c r="AF295" s="110"/>
      <c r="AG295" s="110" t="str">
        <f t="shared" si="187"/>
        <v/>
      </c>
      <c r="AH295" s="68">
        <f t="shared" si="170"/>
        <v>0</v>
      </c>
      <c r="AI295" s="68">
        <f t="shared" si="171"/>
        <v>0</v>
      </c>
      <c r="AJ295" s="68" t="str">
        <f t="shared" si="172"/>
        <v/>
      </c>
      <c r="AK295">
        <f t="shared" si="173"/>
        <v>5</v>
      </c>
      <c r="AL295" s="122">
        <f>SUM($AD$6:AD295)</f>
        <v>0</v>
      </c>
      <c r="AM295" s="122">
        <f t="shared" ca="1" si="188"/>
        <v>0</v>
      </c>
      <c r="AN295" s="126">
        <f t="shared" si="196"/>
        <v>0</v>
      </c>
      <c r="AO295" s="126">
        <f t="shared" si="197"/>
        <v>0</v>
      </c>
      <c r="AP295" s="126">
        <f t="shared" si="198"/>
        <v>0</v>
      </c>
      <c r="AQ295" s="125">
        <f t="shared" si="189"/>
        <v>30</v>
      </c>
      <c r="AR295" s="125">
        <f t="shared" ca="1" si="190"/>
        <v>30</v>
      </c>
      <c r="AS295" s="135">
        <f t="shared" si="191"/>
        <v>0</v>
      </c>
      <c r="AT295" s="125">
        <f t="shared" si="192"/>
        <v>0</v>
      </c>
      <c r="AU295" t="b">
        <f>OR((F295&gt;0),(NOT(ISBLANK(H295))),SUM(H295:H$373),SUM(G295:G$373))</f>
        <v>0</v>
      </c>
      <c r="AV295" t="b">
        <f t="shared" ca="1" si="174"/>
        <v>0</v>
      </c>
      <c r="AX295" s="228">
        <f>SUM(AW$5:AW295)</f>
        <v>-2.9166666666666665</v>
      </c>
    </row>
    <row r="296" spans="1:50">
      <c r="A296" s="308">
        <f t="shared" si="193"/>
        <v>42659</v>
      </c>
      <c r="B296" s="309">
        <f t="shared" si="194"/>
        <v>42659</v>
      </c>
      <c r="C296" s="310">
        <f t="shared" si="201"/>
        <v>42</v>
      </c>
      <c r="D296" s="311">
        <f t="shared" si="202"/>
        <v>42643</v>
      </c>
      <c r="E296" s="321" t="str">
        <f t="shared" si="175"/>
        <v/>
      </c>
      <c r="F296" s="5"/>
      <c r="G296" s="6" t="str">
        <f t="shared" si="176"/>
        <v/>
      </c>
      <c r="H296" s="7"/>
      <c r="I296" s="7">
        <f t="shared" si="177"/>
        <v>0</v>
      </c>
      <c r="J296" s="113">
        <f t="shared" si="165"/>
        <v>0</v>
      </c>
      <c r="K296" s="7"/>
      <c r="L296" s="7">
        <f t="shared" si="178"/>
        <v>0</v>
      </c>
      <c r="M296" s="113">
        <f t="shared" si="179"/>
        <v>0</v>
      </c>
      <c r="N296" s="113"/>
      <c r="O296" s="113">
        <f t="shared" si="166"/>
        <v>0</v>
      </c>
      <c r="P296" s="113"/>
      <c r="Q296" s="113">
        <f t="shared" si="180"/>
        <v>0</v>
      </c>
      <c r="R296" s="113">
        <f t="shared" si="181"/>
        <v>0</v>
      </c>
      <c r="S296" s="113">
        <f t="shared" si="199"/>
        <v>0</v>
      </c>
      <c r="T296" s="113">
        <f t="shared" si="182"/>
        <v>0</v>
      </c>
      <c r="U296" s="113">
        <f t="shared" si="200"/>
        <v>0</v>
      </c>
      <c r="V296" s="146">
        <f t="shared" si="183"/>
        <v>0</v>
      </c>
      <c r="W296" s="66"/>
      <c r="X296" s="115">
        <f t="shared" si="167"/>
        <v>3.125E-2</v>
      </c>
      <c r="Y296" s="110">
        <f t="shared" si="184"/>
        <v>0</v>
      </c>
      <c r="Z296" s="111">
        <f t="shared" si="203"/>
        <v>0</v>
      </c>
      <c r="AA296" s="112">
        <f t="shared" si="185"/>
        <v>0</v>
      </c>
      <c r="AB296" s="67" t="str">
        <f t="shared" si="186"/>
        <v/>
      </c>
      <c r="AC296" s="193">
        <f t="shared" si="168"/>
        <v>0</v>
      </c>
      <c r="AD296" s="144" t="str">
        <f t="shared" si="169"/>
        <v/>
      </c>
      <c r="AE296" s="228">
        <f t="shared" si="195"/>
        <v>0</v>
      </c>
      <c r="AF296" s="110"/>
      <c r="AG296" s="110" t="str">
        <f t="shared" si="187"/>
        <v/>
      </c>
      <c r="AH296" s="68">
        <f t="shared" si="170"/>
        <v>0</v>
      </c>
      <c r="AI296" s="68">
        <f t="shared" si="171"/>
        <v>0</v>
      </c>
      <c r="AJ296" s="68" t="str">
        <f t="shared" si="172"/>
        <v/>
      </c>
      <c r="AK296">
        <f t="shared" si="173"/>
        <v>6</v>
      </c>
      <c r="AL296" s="122">
        <f>SUM($AD$6:AD296)</f>
        <v>0</v>
      </c>
      <c r="AM296" s="122">
        <f t="shared" ca="1" si="188"/>
        <v>0</v>
      </c>
      <c r="AN296" s="126">
        <f t="shared" si="196"/>
        <v>0</v>
      </c>
      <c r="AO296" s="126">
        <f t="shared" si="197"/>
        <v>0</v>
      </c>
      <c r="AP296" s="126">
        <f t="shared" si="198"/>
        <v>0</v>
      </c>
      <c r="AQ296" s="125">
        <f t="shared" si="189"/>
        <v>30</v>
      </c>
      <c r="AR296" s="125">
        <f t="shared" ca="1" si="190"/>
        <v>30</v>
      </c>
      <c r="AS296" s="135">
        <f t="shared" si="191"/>
        <v>0</v>
      </c>
      <c r="AT296" s="125">
        <f t="shared" si="192"/>
        <v>7</v>
      </c>
      <c r="AU296" t="b">
        <f>OR((F296&gt;0),(NOT(ISBLANK(H296))),SUM(H296:H$373),SUM(G296:G$373))</f>
        <v>0</v>
      </c>
      <c r="AV296" t="b">
        <f t="shared" ca="1" si="174"/>
        <v>1</v>
      </c>
      <c r="AX296" s="228">
        <f>SUM(AW$5:AW296)</f>
        <v>-2.9166666666666665</v>
      </c>
    </row>
    <row r="297" spans="1:50">
      <c r="A297" s="308">
        <f t="shared" si="193"/>
        <v>42660</v>
      </c>
      <c r="B297" s="309">
        <f t="shared" si="194"/>
        <v>42660</v>
      </c>
      <c r="C297" s="310">
        <f t="shared" si="201"/>
        <v>42</v>
      </c>
      <c r="D297" s="311">
        <f t="shared" si="202"/>
        <v>42643</v>
      </c>
      <c r="E297" s="321" t="str">
        <f t="shared" si="175"/>
        <v/>
      </c>
      <c r="F297" s="5"/>
      <c r="G297" s="6" t="str">
        <f t="shared" si="176"/>
        <v/>
      </c>
      <c r="H297" s="7"/>
      <c r="I297" s="7">
        <f t="shared" si="177"/>
        <v>0</v>
      </c>
      <c r="J297" s="113">
        <f t="shared" si="165"/>
        <v>0</v>
      </c>
      <c r="K297" s="7"/>
      <c r="L297" s="7">
        <f t="shared" si="178"/>
        <v>0</v>
      </c>
      <c r="M297" s="113">
        <f t="shared" si="179"/>
        <v>0</v>
      </c>
      <c r="N297" s="113"/>
      <c r="O297" s="113">
        <f t="shared" si="166"/>
        <v>0</v>
      </c>
      <c r="P297" s="113"/>
      <c r="Q297" s="113">
        <f t="shared" si="180"/>
        <v>0</v>
      </c>
      <c r="R297" s="113">
        <f t="shared" si="181"/>
        <v>0</v>
      </c>
      <c r="S297" s="113">
        <f t="shared" si="199"/>
        <v>0</v>
      </c>
      <c r="T297" s="113">
        <f t="shared" si="182"/>
        <v>0</v>
      </c>
      <c r="U297" s="113">
        <f t="shared" si="200"/>
        <v>0</v>
      </c>
      <c r="V297" s="146">
        <f t="shared" si="183"/>
        <v>0</v>
      </c>
      <c r="W297" s="66"/>
      <c r="X297" s="115">
        <f t="shared" si="167"/>
        <v>3.125E-2</v>
      </c>
      <c r="Y297" s="110">
        <f t="shared" si="184"/>
        <v>0</v>
      </c>
      <c r="Z297" s="111">
        <f t="shared" si="203"/>
        <v>0</v>
      </c>
      <c r="AA297" s="112">
        <f t="shared" si="185"/>
        <v>0</v>
      </c>
      <c r="AB297" s="67" t="str">
        <f t="shared" si="186"/>
        <v/>
      </c>
      <c r="AC297" s="193">
        <f t="shared" si="168"/>
        <v>0</v>
      </c>
      <c r="AD297" s="144" t="str">
        <f t="shared" si="169"/>
        <v/>
      </c>
      <c r="AE297" s="228">
        <f t="shared" si="195"/>
        <v>0</v>
      </c>
      <c r="AF297" s="110"/>
      <c r="AG297" s="110" t="str">
        <f t="shared" si="187"/>
        <v/>
      </c>
      <c r="AH297" s="68">
        <f t="shared" si="170"/>
        <v>0</v>
      </c>
      <c r="AI297" s="68">
        <f t="shared" si="171"/>
        <v>0</v>
      </c>
      <c r="AJ297" s="68" t="str">
        <f t="shared" si="172"/>
        <v/>
      </c>
      <c r="AK297">
        <f t="shared" si="173"/>
        <v>7</v>
      </c>
      <c r="AL297" s="122">
        <f>SUM($AD$6:AD297)</f>
        <v>0</v>
      </c>
      <c r="AM297" s="122">
        <f t="shared" ca="1" si="188"/>
        <v>0</v>
      </c>
      <c r="AN297" s="126">
        <f t="shared" si="196"/>
        <v>0</v>
      </c>
      <c r="AO297" s="126">
        <f t="shared" si="197"/>
        <v>0</v>
      </c>
      <c r="AP297" s="126">
        <f t="shared" si="198"/>
        <v>0</v>
      </c>
      <c r="AQ297" s="125">
        <f t="shared" si="189"/>
        <v>30</v>
      </c>
      <c r="AR297" s="125">
        <f t="shared" ca="1" si="190"/>
        <v>30</v>
      </c>
      <c r="AS297" s="135">
        <f t="shared" si="191"/>
        <v>0</v>
      </c>
      <c r="AT297" s="125">
        <f t="shared" si="192"/>
        <v>7</v>
      </c>
      <c r="AU297" t="b">
        <f>OR((F297&gt;0),(NOT(ISBLANK(H297))),SUM(H297:H$373),SUM(G297:G$373))</f>
        <v>0</v>
      </c>
      <c r="AV297" t="b">
        <f t="shared" ca="1" si="174"/>
        <v>1</v>
      </c>
      <c r="AX297" s="228">
        <f>SUM(AW$5:AW297)</f>
        <v>-2.9166666666666665</v>
      </c>
    </row>
    <row r="298" spans="1:50">
      <c r="A298" s="308">
        <f t="shared" si="193"/>
        <v>42661</v>
      </c>
      <c r="B298" s="309">
        <f t="shared" si="194"/>
        <v>42661</v>
      </c>
      <c r="C298" s="310">
        <f t="shared" si="201"/>
        <v>43</v>
      </c>
      <c r="D298" s="311">
        <f t="shared" si="202"/>
        <v>42643</v>
      </c>
      <c r="E298" s="321" t="str">
        <f t="shared" si="175"/>
        <v/>
      </c>
      <c r="F298" s="5"/>
      <c r="G298" s="6" t="str">
        <f t="shared" si="176"/>
        <v/>
      </c>
      <c r="H298" s="7"/>
      <c r="I298" s="7">
        <f t="shared" si="177"/>
        <v>0</v>
      </c>
      <c r="J298" s="113">
        <f t="shared" si="165"/>
        <v>0</v>
      </c>
      <c r="K298" s="7"/>
      <c r="L298" s="7">
        <f t="shared" si="178"/>
        <v>0</v>
      </c>
      <c r="M298" s="113">
        <f t="shared" si="179"/>
        <v>0</v>
      </c>
      <c r="N298" s="113"/>
      <c r="O298" s="113">
        <f t="shared" si="166"/>
        <v>0</v>
      </c>
      <c r="P298" s="113"/>
      <c r="Q298" s="113">
        <f t="shared" si="180"/>
        <v>0</v>
      </c>
      <c r="R298" s="113">
        <f t="shared" si="181"/>
        <v>0</v>
      </c>
      <c r="S298" s="113">
        <f t="shared" si="199"/>
        <v>0</v>
      </c>
      <c r="T298" s="113">
        <f t="shared" si="182"/>
        <v>0</v>
      </c>
      <c r="U298" s="113">
        <f t="shared" si="200"/>
        <v>0</v>
      </c>
      <c r="V298" s="146">
        <f t="shared" si="183"/>
        <v>0</v>
      </c>
      <c r="W298" s="66"/>
      <c r="X298" s="115">
        <f t="shared" si="167"/>
        <v>3.125E-2</v>
      </c>
      <c r="Y298" s="110">
        <f t="shared" si="184"/>
        <v>0</v>
      </c>
      <c r="Z298" s="111">
        <f t="shared" si="203"/>
        <v>0.29166666666666669</v>
      </c>
      <c r="AA298" s="112">
        <f t="shared" si="185"/>
        <v>0</v>
      </c>
      <c r="AB298" s="67" t="str">
        <f t="shared" si="186"/>
        <v/>
      </c>
      <c r="AC298" s="193">
        <f t="shared" si="168"/>
        <v>0</v>
      </c>
      <c r="AD298" s="144" t="str">
        <f t="shared" si="169"/>
        <v/>
      </c>
      <c r="AE298" s="228">
        <f t="shared" si="195"/>
        <v>0</v>
      </c>
      <c r="AF298" s="110"/>
      <c r="AG298" s="110" t="str">
        <f t="shared" si="187"/>
        <v/>
      </c>
      <c r="AH298" s="68">
        <f t="shared" si="170"/>
        <v>0</v>
      </c>
      <c r="AI298" s="68">
        <f t="shared" si="171"/>
        <v>0</v>
      </c>
      <c r="AJ298" s="68" t="str">
        <f t="shared" si="172"/>
        <v/>
      </c>
      <c r="AK298">
        <f t="shared" si="173"/>
        <v>1</v>
      </c>
      <c r="AL298" s="122">
        <f>SUM($AD$6:AD298)</f>
        <v>0</v>
      </c>
      <c r="AM298" s="122">
        <f t="shared" ca="1" si="188"/>
        <v>0</v>
      </c>
      <c r="AN298" s="126">
        <f t="shared" si="196"/>
        <v>0</v>
      </c>
      <c r="AO298" s="126">
        <f t="shared" si="197"/>
        <v>0</v>
      </c>
      <c r="AP298" s="126">
        <f t="shared" si="198"/>
        <v>0</v>
      </c>
      <c r="AQ298" s="125">
        <f t="shared" si="189"/>
        <v>30</v>
      </c>
      <c r="AR298" s="125">
        <f t="shared" ca="1" si="190"/>
        <v>30</v>
      </c>
      <c r="AS298" s="135">
        <f t="shared" si="191"/>
        <v>0</v>
      </c>
      <c r="AT298" s="125">
        <f t="shared" si="192"/>
        <v>0</v>
      </c>
      <c r="AU298" t="b">
        <f>OR((F298&gt;0),(NOT(ISBLANK(H298))),SUM(H298:H$373),SUM(G298:G$373))</f>
        <v>0</v>
      </c>
      <c r="AV298" t="b">
        <f t="shared" ca="1" si="174"/>
        <v>0</v>
      </c>
      <c r="AX298" s="228">
        <f>SUM(AW$5:AW298)</f>
        <v>-2.9166666666666665</v>
      </c>
    </row>
    <row r="299" spans="1:50">
      <c r="A299" s="308">
        <f t="shared" si="193"/>
        <v>42662</v>
      </c>
      <c r="B299" s="309">
        <f t="shared" si="194"/>
        <v>42662</v>
      </c>
      <c r="C299" s="310">
        <f t="shared" si="201"/>
        <v>43</v>
      </c>
      <c r="D299" s="311">
        <f t="shared" si="202"/>
        <v>42643</v>
      </c>
      <c r="E299" s="321" t="str">
        <f t="shared" si="175"/>
        <v/>
      </c>
      <c r="F299" s="5"/>
      <c r="G299" s="6" t="str">
        <f t="shared" si="176"/>
        <v/>
      </c>
      <c r="H299" s="7"/>
      <c r="I299" s="7">
        <f t="shared" si="177"/>
        <v>0</v>
      </c>
      <c r="J299" s="113">
        <f t="shared" si="165"/>
        <v>0</v>
      </c>
      <c r="K299" s="7"/>
      <c r="L299" s="7">
        <f t="shared" si="178"/>
        <v>0</v>
      </c>
      <c r="M299" s="113">
        <f t="shared" si="179"/>
        <v>0</v>
      </c>
      <c r="N299" s="113"/>
      <c r="O299" s="113">
        <f t="shared" si="166"/>
        <v>0</v>
      </c>
      <c r="P299" s="113"/>
      <c r="Q299" s="113">
        <f t="shared" si="180"/>
        <v>0</v>
      </c>
      <c r="R299" s="113">
        <f t="shared" si="181"/>
        <v>0</v>
      </c>
      <c r="S299" s="113">
        <f t="shared" si="199"/>
        <v>0</v>
      </c>
      <c r="T299" s="113">
        <f t="shared" si="182"/>
        <v>0</v>
      </c>
      <c r="U299" s="113">
        <f t="shared" si="200"/>
        <v>0</v>
      </c>
      <c r="V299" s="146">
        <f t="shared" si="183"/>
        <v>0</v>
      </c>
      <c r="W299" s="66"/>
      <c r="X299" s="115">
        <f t="shared" si="167"/>
        <v>3.125E-2</v>
      </c>
      <c r="Y299" s="110">
        <f t="shared" si="184"/>
        <v>0</v>
      </c>
      <c r="Z299" s="111">
        <f t="shared" si="203"/>
        <v>0.29166666666666669</v>
      </c>
      <c r="AA299" s="112">
        <f t="shared" si="185"/>
        <v>0</v>
      </c>
      <c r="AB299" s="67" t="str">
        <f t="shared" si="186"/>
        <v/>
      </c>
      <c r="AC299" s="193">
        <f t="shared" si="168"/>
        <v>0</v>
      </c>
      <c r="AD299" s="144" t="str">
        <f t="shared" si="169"/>
        <v/>
      </c>
      <c r="AE299" s="228">
        <f t="shared" si="195"/>
        <v>0</v>
      </c>
      <c r="AF299" s="110"/>
      <c r="AG299" s="110" t="str">
        <f t="shared" si="187"/>
        <v/>
      </c>
      <c r="AH299" s="68">
        <f t="shared" si="170"/>
        <v>0</v>
      </c>
      <c r="AI299" s="68">
        <f t="shared" si="171"/>
        <v>0</v>
      </c>
      <c r="AJ299" s="68" t="str">
        <f t="shared" si="172"/>
        <v/>
      </c>
      <c r="AK299">
        <f t="shared" si="173"/>
        <v>2</v>
      </c>
      <c r="AL299" s="122">
        <f>SUM($AD$6:AD299)</f>
        <v>0</v>
      </c>
      <c r="AM299" s="122">
        <f t="shared" ca="1" si="188"/>
        <v>0</v>
      </c>
      <c r="AN299" s="126">
        <f t="shared" si="196"/>
        <v>0</v>
      </c>
      <c r="AO299" s="126">
        <f t="shared" si="197"/>
        <v>0</v>
      </c>
      <c r="AP299" s="126">
        <f t="shared" si="198"/>
        <v>0</v>
      </c>
      <c r="AQ299" s="125">
        <f t="shared" si="189"/>
        <v>30</v>
      </c>
      <c r="AR299" s="125">
        <f t="shared" ca="1" si="190"/>
        <v>30</v>
      </c>
      <c r="AS299" s="135">
        <f t="shared" si="191"/>
        <v>0</v>
      </c>
      <c r="AT299" s="125">
        <f t="shared" si="192"/>
        <v>0</v>
      </c>
      <c r="AU299" t="b">
        <f>OR((F299&gt;0),(NOT(ISBLANK(H299))),SUM(H299:H$373),SUM(G299:G$373))</f>
        <v>0</v>
      </c>
      <c r="AV299" t="b">
        <f t="shared" ca="1" si="174"/>
        <v>0</v>
      </c>
      <c r="AX299" s="228">
        <f>SUM(AW$5:AW299)</f>
        <v>-2.9166666666666665</v>
      </c>
    </row>
    <row r="300" spans="1:50">
      <c r="A300" s="308">
        <f t="shared" si="193"/>
        <v>42663</v>
      </c>
      <c r="B300" s="309">
        <f t="shared" si="194"/>
        <v>42663</v>
      </c>
      <c r="C300" s="310">
        <f t="shared" si="201"/>
        <v>43</v>
      </c>
      <c r="D300" s="311">
        <f t="shared" si="202"/>
        <v>42643</v>
      </c>
      <c r="E300" s="321" t="str">
        <f t="shared" si="175"/>
        <v/>
      </c>
      <c r="F300" s="5"/>
      <c r="G300" s="6" t="str">
        <f t="shared" si="176"/>
        <v/>
      </c>
      <c r="H300" s="7"/>
      <c r="I300" s="7">
        <f t="shared" si="177"/>
        <v>0</v>
      </c>
      <c r="J300" s="113">
        <f t="shared" si="165"/>
        <v>0</v>
      </c>
      <c r="K300" s="7"/>
      <c r="L300" s="7">
        <f t="shared" si="178"/>
        <v>0</v>
      </c>
      <c r="M300" s="113">
        <f t="shared" si="179"/>
        <v>0</v>
      </c>
      <c r="N300" s="113"/>
      <c r="O300" s="113">
        <f t="shared" si="166"/>
        <v>0</v>
      </c>
      <c r="P300" s="113"/>
      <c r="Q300" s="113">
        <f t="shared" si="180"/>
        <v>0</v>
      </c>
      <c r="R300" s="113">
        <f t="shared" si="181"/>
        <v>0</v>
      </c>
      <c r="S300" s="113">
        <f t="shared" si="199"/>
        <v>0</v>
      </c>
      <c r="T300" s="113">
        <f t="shared" si="182"/>
        <v>0</v>
      </c>
      <c r="U300" s="113">
        <f t="shared" si="200"/>
        <v>0</v>
      </c>
      <c r="V300" s="146">
        <f t="shared" si="183"/>
        <v>0</v>
      </c>
      <c r="W300" s="66"/>
      <c r="X300" s="115">
        <f t="shared" si="167"/>
        <v>3.125E-2</v>
      </c>
      <c r="Y300" s="110">
        <f t="shared" si="184"/>
        <v>0</v>
      </c>
      <c r="Z300" s="111">
        <f t="shared" si="203"/>
        <v>0.29166666666666669</v>
      </c>
      <c r="AA300" s="112">
        <f t="shared" si="185"/>
        <v>0</v>
      </c>
      <c r="AB300" s="67" t="str">
        <f t="shared" si="186"/>
        <v/>
      </c>
      <c r="AC300" s="193">
        <f t="shared" si="168"/>
        <v>0</v>
      </c>
      <c r="AD300" s="144" t="str">
        <f t="shared" si="169"/>
        <v/>
      </c>
      <c r="AE300" s="228">
        <f t="shared" si="195"/>
        <v>0</v>
      </c>
      <c r="AF300" s="110"/>
      <c r="AG300" s="110" t="str">
        <f t="shared" si="187"/>
        <v/>
      </c>
      <c r="AH300" s="68">
        <f t="shared" si="170"/>
        <v>0</v>
      </c>
      <c r="AI300" s="68">
        <f t="shared" si="171"/>
        <v>0</v>
      </c>
      <c r="AJ300" s="68" t="str">
        <f t="shared" si="172"/>
        <v/>
      </c>
      <c r="AK300">
        <f t="shared" si="173"/>
        <v>3</v>
      </c>
      <c r="AL300" s="122">
        <f>SUM($AD$6:AD300)</f>
        <v>0</v>
      </c>
      <c r="AM300" s="122">
        <f t="shared" ca="1" si="188"/>
        <v>0</v>
      </c>
      <c r="AN300" s="126">
        <f t="shared" si="196"/>
        <v>0</v>
      </c>
      <c r="AO300" s="126">
        <f t="shared" si="197"/>
        <v>0</v>
      </c>
      <c r="AP300" s="126">
        <f t="shared" si="198"/>
        <v>0</v>
      </c>
      <c r="AQ300" s="125">
        <f t="shared" si="189"/>
        <v>30</v>
      </c>
      <c r="AR300" s="125">
        <f t="shared" ca="1" si="190"/>
        <v>30</v>
      </c>
      <c r="AS300" s="135">
        <f t="shared" si="191"/>
        <v>0</v>
      </c>
      <c r="AT300" s="125">
        <f t="shared" si="192"/>
        <v>0</v>
      </c>
      <c r="AU300" t="b">
        <f>OR((F300&gt;0),(NOT(ISBLANK(H300))),SUM(H300:H$373),SUM(G300:G$373))</f>
        <v>0</v>
      </c>
      <c r="AV300" t="b">
        <f t="shared" ca="1" si="174"/>
        <v>0</v>
      </c>
      <c r="AX300" s="228">
        <f>SUM(AW$5:AW300)</f>
        <v>-2.9166666666666665</v>
      </c>
    </row>
    <row r="301" spans="1:50">
      <c r="A301" s="308">
        <f t="shared" si="193"/>
        <v>42664</v>
      </c>
      <c r="B301" s="309">
        <f t="shared" si="194"/>
        <v>42664</v>
      </c>
      <c r="C301" s="310">
        <f t="shared" si="201"/>
        <v>43</v>
      </c>
      <c r="D301" s="311">
        <f t="shared" si="202"/>
        <v>42643</v>
      </c>
      <c r="E301" s="321" t="str">
        <f t="shared" si="175"/>
        <v/>
      </c>
      <c r="F301" s="5"/>
      <c r="G301" s="6" t="str">
        <f t="shared" si="176"/>
        <v/>
      </c>
      <c r="H301" s="7"/>
      <c r="I301" s="7">
        <f t="shared" si="177"/>
        <v>0</v>
      </c>
      <c r="J301" s="113">
        <f t="shared" si="165"/>
        <v>0</v>
      </c>
      <c r="K301" s="7"/>
      <c r="L301" s="7">
        <f t="shared" si="178"/>
        <v>0</v>
      </c>
      <c r="M301" s="113">
        <f t="shared" si="179"/>
        <v>0</v>
      </c>
      <c r="N301" s="113"/>
      <c r="O301" s="113">
        <f t="shared" si="166"/>
        <v>0</v>
      </c>
      <c r="P301" s="113"/>
      <c r="Q301" s="113">
        <f t="shared" si="180"/>
        <v>0</v>
      </c>
      <c r="R301" s="113">
        <f t="shared" si="181"/>
        <v>0</v>
      </c>
      <c r="S301" s="113">
        <f t="shared" si="199"/>
        <v>0</v>
      </c>
      <c r="T301" s="113">
        <f t="shared" si="182"/>
        <v>0</v>
      </c>
      <c r="U301" s="113">
        <f t="shared" si="200"/>
        <v>0</v>
      </c>
      <c r="V301" s="146">
        <f t="shared" si="183"/>
        <v>0</v>
      </c>
      <c r="W301" s="66"/>
      <c r="X301" s="115">
        <f t="shared" si="167"/>
        <v>3.125E-2</v>
      </c>
      <c r="Y301" s="110">
        <f t="shared" si="184"/>
        <v>0</v>
      </c>
      <c r="Z301" s="111">
        <f t="shared" si="203"/>
        <v>0.29166666666666669</v>
      </c>
      <c r="AA301" s="112">
        <f t="shared" si="185"/>
        <v>0</v>
      </c>
      <c r="AB301" s="67" t="str">
        <f t="shared" si="186"/>
        <v/>
      </c>
      <c r="AC301" s="193">
        <f t="shared" si="168"/>
        <v>0</v>
      </c>
      <c r="AD301" s="144" t="str">
        <f t="shared" si="169"/>
        <v/>
      </c>
      <c r="AE301" s="228">
        <f t="shared" si="195"/>
        <v>0</v>
      </c>
      <c r="AF301" s="110"/>
      <c r="AG301" s="110" t="str">
        <f t="shared" si="187"/>
        <v/>
      </c>
      <c r="AH301" s="68">
        <f t="shared" si="170"/>
        <v>0</v>
      </c>
      <c r="AI301" s="68">
        <f t="shared" si="171"/>
        <v>0</v>
      </c>
      <c r="AJ301" s="68" t="str">
        <f t="shared" si="172"/>
        <v/>
      </c>
      <c r="AK301">
        <f t="shared" si="173"/>
        <v>4</v>
      </c>
      <c r="AL301" s="122">
        <f>SUM($AD$6:AD301)</f>
        <v>0</v>
      </c>
      <c r="AM301" s="122">
        <f t="shared" ca="1" si="188"/>
        <v>0</v>
      </c>
      <c r="AN301" s="126">
        <f t="shared" si="196"/>
        <v>0</v>
      </c>
      <c r="AO301" s="126">
        <f t="shared" si="197"/>
        <v>0</v>
      </c>
      <c r="AP301" s="126">
        <f t="shared" si="198"/>
        <v>0</v>
      </c>
      <c r="AQ301" s="125">
        <f t="shared" si="189"/>
        <v>30</v>
      </c>
      <c r="AR301" s="125">
        <f t="shared" ca="1" si="190"/>
        <v>30</v>
      </c>
      <c r="AS301" s="135">
        <f t="shared" si="191"/>
        <v>0</v>
      </c>
      <c r="AT301" s="125">
        <f t="shared" si="192"/>
        <v>0</v>
      </c>
      <c r="AU301" t="b">
        <f>OR((F301&gt;0),(NOT(ISBLANK(H301))),SUM(H301:H$373),SUM(G301:G$373))</f>
        <v>0</v>
      </c>
      <c r="AV301" t="b">
        <f t="shared" ca="1" si="174"/>
        <v>0</v>
      </c>
      <c r="AX301" s="228">
        <f>SUM(AW$5:AW301)</f>
        <v>-2.9166666666666665</v>
      </c>
    </row>
    <row r="302" spans="1:50">
      <c r="A302" s="308">
        <f t="shared" si="193"/>
        <v>42665</v>
      </c>
      <c r="B302" s="309">
        <f t="shared" si="194"/>
        <v>42665</v>
      </c>
      <c r="C302" s="310">
        <f t="shared" si="201"/>
        <v>43</v>
      </c>
      <c r="D302" s="311">
        <f t="shared" si="202"/>
        <v>42643</v>
      </c>
      <c r="E302" s="321" t="str">
        <f t="shared" si="175"/>
        <v/>
      </c>
      <c r="F302" s="5"/>
      <c r="G302" s="6" t="str">
        <f t="shared" si="176"/>
        <v/>
      </c>
      <c r="H302" s="7"/>
      <c r="I302" s="7">
        <f t="shared" si="177"/>
        <v>0</v>
      </c>
      <c r="J302" s="113">
        <f t="shared" si="165"/>
        <v>0</v>
      </c>
      <c r="K302" s="7"/>
      <c r="L302" s="7">
        <f t="shared" si="178"/>
        <v>0</v>
      </c>
      <c r="M302" s="113">
        <f t="shared" si="179"/>
        <v>0</v>
      </c>
      <c r="N302" s="113"/>
      <c r="O302" s="113">
        <f t="shared" si="166"/>
        <v>0</v>
      </c>
      <c r="P302" s="113"/>
      <c r="Q302" s="113">
        <f t="shared" si="180"/>
        <v>0</v>
      </c>
      <c r="R302" s="113">
        <f t="shared" si="181"/>
        <v>0</v>
      </c>
      <c r="S302" s="113">
        <f t="shared" si="199"/>
        <v>0</v>
      </c>
      <c r="T302" s="113">
        <f t="shared" si="182"/>
        <v>0</v>
      </c>
      <c r="U302" s="113">
        <f t="shared" si="200"/>
        <v>0</v>
      </c>
      <c r="V302" s="146">
        <f t="shared" si="183"/>
        <v>0</v>
      </c>
      <c r="W302" s="66"/>
      <c r="X302" s="115">
        <f t="shared" si="167"/>
        <v>3.125E-2</v>
      </c>
      <c r="Y302" s="110">
        <f t="shared" si="184"/>
        <v>0</v>
      </c>
      <c r="Z302" s="111">
        <f t="shared" si="203"/>
        <v>0.29166666666666669</v>
      </c>
      <c r="AA302" s="112">
        <f t="shared" si="185"/>
        <v>0</v>
      </c>
      <c r="AB302" s="67" t="str">
        <f t="shared" si="186"/>
        <v/>
      </c>
      <c r="AC302" s="193">
        <f t="shared" si="168"/>
        <v>0</v>
      </c>
      <c r="AD302" s="144" t="str">
        <f t="shared" si="169"/>
        <v/>
      </c>
      <c r="AE302" s="228">
        <f t="shared" si="195"/>
        <v>0</v>
      </c>
      <c r="AF302" s="110"/>
      <c r="AG302" s="110" t="str">
        <f t="shared" si="187"/>
        <v/>
      </c>
      <c r="AH302" s="68">
        <f t="shared" si="170"/>
        <v>0</v>
      </c>
      <c r="AI302" s="68">
        <f t="shared" si="171"/>
        <v>0</v>
      </c>
      <c r="AJ302" s="68" t="str">
        <f t="shared" si="172"/>
        <v/>
      </c>
      <c r="AK302">
        <f t="shared" si="173"/>
        <v>5</v>
      </c>
      <c r="AL302" s="122">
        <f>SUM($AD$6:AD302)</f>
        <v>0</v>
      </c>
      <c r="AM302" s="122">
        <f t="shared" ca="1" si="188"/>
        <v>0</v>
      </c>
      <c r="AN302" s="126">
        <f t="shared" si="196"/>
        <v>0</v>
      </c>
      <c r="AO302" s="126">
        <f t="shared" si="197"/>
        <v>0</v>
      </c>
      <c r="AP302" s="126">
        <f t="shared" si="198"/>
        <v>0</v>
      </c>
      <c r="AQ302" s="125">
        <f t="shared" si="189"/>
        <v>30</v>
      </c>
      <c r="AR302" s="125">
        <f t="shared" ca="1" si="190"/>
        <v>30</v>
      </c>
      <c r="AS302" s="135">
        <f t="shared" si="191"/>
        <v>0</v>
      </c>
      <c r="AT302" s="125">
        <f t="shared" si="192"/>
        <v>0</v>
      </c>
      <c r="AU302" t="b">
        <f>OR((F302&gt;0),(NOT(ISBLANK(H302))),SUM(H302:H$373),SUM(G302:G$373))</f>
        <v>0</v>
      </c>
      <c r="AV302" t="b">
        <f t="shared" ca="1" si="174"/>
        <v>0</v>
      </c>
      <c r="AX302" s="228">
        <f>SUM(AW$5:AW302)</f>
        <v>-2.9166666666666665</v>
      </c>
    </row>
    <row r="303" spans="1:50">
      <c r="A303" s="308">
        <f t="shared" si="193"/>
        <v>42666</v>
      </c>
      <c r="B303" s="309">
        <f t="shared" si="194"/>
        <v>42666</v>
      </c>
      <c r="C303" s="310">
        <f t="shared" si="201"/>
        <v>43</v>
      </c>
      <c r="D303" s="311">
        <f t="shared" si="202"/>
        <v>42643</v>
      </c>
      <c r="E303" s="321" t="str">
        <f t="shared" si="175"/>
        <v/>
      </c>
      <c r="F303" s="5"/>
      <c r="G303" s="6" t="str">
        <f t="shared" si="176"/>
        <v/>
      </c>
      <c r="H303" s="7"/>
      <c r="I303" s="7">
        <f t="shared" si="177"/>
        <v>0</v>
      </c>
      <c r="J303" s="113">
        <f t="shared" si="165"/>
        <v>0</v>
      </c>
      <c r="K303" s="7"/>
      <c r="L303" s="7">
        <f t="shared" si="178"/>
        <v>0</v>
      </c>
      <c r="M303" s="113">
        <f t="shared" si="179"/>
        <v>0</v>
      </c>
      <c r="N303" s="113"/>
      <c r="O303" s="113">
        <f t="shared" si="166"/>
        <v>0</v>
      </c>
      <c r="P303" s="113"/>
      <c r="Q303" s="113">
        <f t="shared" si="180"/>
        <v>0</v>
      </c>
      <c r="R303" s="113">
        <f t="shared" si="181"/>
        <v>0</v>
      </c>
      <c r="S303" s="113">
        <f t="shared" si="199"/>
        <v>0</v>
      </c>
      <c r="T303" s="113">
        <f t="shared" si="182"/>
        <v>0</v>
      </c>
      <c r="U303" s="113">
        <f t="shared" si="200"/>
        <v>0</v>
      </c>
      <c r="V303" s="146">
        <f t="shared" si="183"/>
        <v>0</v>
      </c>
      <c r="W303" s="66"/>
      <c r="X303" s="115">
        <f t="shared" si="167"/>
        <v>3.125E-2</v>
      </c>
      <c r="Y303" s="110">
        <f t="shared" si="184"/>
        <v>0</v>
      </c>
      <c r="Z303" s="111">
        <f t="shared" si="203"/>
        <v>0</v>
      </c>
      <c r="AA303" s="112">
        <f t="shared" si="185"/>
        <v>0</v>
      </c>
      <c r="AB303" s="67" t="str">
        <f t="shared" si="186"/>
        <v/>
      </c>
      <c r="AC303" s="193">
        <f t="shared" si="168"/>
        <v>0</v>
      </c>
      <c r="AD303" s="144" t="str">
        <f t="shared" si="169"/>
        <v/>
      </c>
      <c r="AE303" s="228">
        <f t="shared" si="195"/>
        <v>0</v>
      </c>
      <c r="AF303" s="110"/>
      <c r="AG303" s="110" t="str">
        <f t="shared" si="187"/>
        <v/>
      </c>
      <c r="AH303" s="68">
        <f t="shared" si="170"/>
        <v>0</v>
      </c>
      <c r="AI303" s="68">
        <f t="shared" si="171"/>
        <v>0</v>
      </c>
      <c r="AJ303" s="68" t="str">
        <f t="shared" si="172"/>
        <v/>
      </c>
      <c r="AK303">
        <f t="shared" si="173"/>
        <v>6</v>
      </c>
      <c r="AL303" s="122">
        <f>SUM($AD$6:AD303)</f>
        <v>0</v>
      </c>
      <c r="AM303" s="122">
        <f t="shared" ca="1" si="188"/>
        <v>0</v>
      </c>
      <c r="AN303" s="126">
        <f t="shared" si="196"/>
        <v>0</v>
      </c>
      <c r="AO303" s="126">
        <f t="shared" si="197"/>
        <v>0</v>
      </c>
      <c r="AP303" s="126">
        <f t="shared" si="198"/>
        <v>0</v>
      </c>
      <c r="AQ303" s="125">
        <f t="shared" si="189"/>
        <v>30</v>
      </c>
      <c r="AR303" s="125">
        <f t="shared" ca="1" si="190"/>
        <v>30</v>
      </c>
      <c r="AS303" s="135">
        <f t="shared" si="191"/>
        <v>0</v>
      </c>
      <c r="AT303" s="125">
        <f t="shared" si="192"/>
        <v>7</v>
      </c>
      <c r="AU303" t="b">
        <f>OR((F303&gt;0),(NOT(ISBLANK(H303))),SUM(H303:H$373),SUM(G303:G$373))</f>
        <v>0</v>
      </c>
      <c r="AV303" t="b">
        <f t="shared" ca="1" si="174"/>
        <v>1</v>
      </c>
      <c r="AX303" s="228">
        <f>SUM(AW$5:AW303)</f>
        <v>-2.9166666666666665</v>
      </c>
    </row>
    <row r="304" spans="1:50">
      <c r="A304" s="308">
        <f t="shared" si="193"/>
        <v>42667</v>
      </c>
      <c r="B304" s="309">
        <f t="shared" si="194"/>
        <v>42667</v>
      </c>
      <c r="C304" s="310">
        <f t="shared" si="201"/>
        <v>43</v>
      </c>
      <c r="D304" s="311">
        <f t="shared" si="202"/>
        <v>42643</v>
      </c>
      <c r="E304" s="321" t="str">
        <f t="shared" si="175"/>
        <v/>
      </c>
      <c r="F304" s="5"/>
      <c r="G304" s="6" t="str">
        <f t="shared" si="176"/>
        <v/>
      </c>
      <c r="H304" s="7"/>
      <c r="I304" s="7">
        <f t="shared" si="177"/>
        <v>0</v>
      </c>
      <c r="J304" s="113">
        <f t="shared" si="165"/>
        <v>0</v>
      </c>
      <c r="K304" s="7"/>
      <c r="L304" s="7">
        <f t="shared" si="178"/>
        <v>0</v>
      </c>
      <c r="M304" s="113">
        <f t="shared" si="179"/>
        <v>0</v>
      </c>
      <c r="N304" s="113"/>
      <c r="O304" s="113">
        <f t="shared" si="166"/>
        <v>0</v>
      </c>
      <c r="P304" s="113"/>
      <c r="Q304" s="113">
        <f t="shared" si="180"/>
        <v>0</v>
      </c>
      <c r="R304" s="113">
        <f t="shared" si="181"/>
        <v>0</v>
      </c>
      <c r="S304" s="113">
        <f t="shared" si="199"/>
        <v>0</v>
      </c>
      <c r="T304" s="113">
        <f t="shared" si="182"/>
        <v>0</v>
      </c>
      <c r="U304" s="113">
        <f t="shared" si="200"/>
        <v>0</v>
      </c>
      <c r="V304" s="146">
        <f t="shared" si="183"/>
        <v>0</v>
      </c>
      <c r="W304" s="66"/>
      <c r="X304" s="115">
        <f t="shared" si="167"/>
        <v>3.125E-2</v>
      </c>
      <c r="Y304" s="110">
        <f t="shared" si="184"/>
        <v>0</v>
      </c>
      <c r="Z304" s="111">
        <f t="shared" si="203"/>
        <v>0</v>
      </c>
      <c r="AA304" s="112">
        <f t="shared" si="185"/>
        <v>0</v>
      </c>
      <c r="AB304" s="67" t="str">
        <f t="shared" si="186"/>
        <v/>
      </c>
      <c r="AC304" s="193">
        <f t="shared" si="168"/>
        <v>0</v>
      </c>
      <c r="AD304" s="144" t="str">
        <f t="shared" si="169"/>
        <v/>
      </c>
      <c r="AE304" s="228">
        <f t="shared" si="195"/>
        <v>0</v>
      </c>
      <c r="AF304" s="110"/>
      <c r="AG304" s="110" t="str">
        <f t="shared" si="187"/>
        <v/>
      </c>
      <c r="AH304" s="68">
        <f t="shared" si="170"/>
        <v>0</v>
      </c>
      <c r="AI304" s="68">
        <f t="shared" si="171"/>
        <v>0</v>
      </c>
      <c r="AJ304" s="68" t="str">
        <f t="shared" si="172"/>
        <v/>
      </c>
      <c r="AK304">
        <f t="shared" si="173"/>
        <v>7</v>
      </c>
      <c r="AL304" s="122">
        <f>SUM($AD$6:AD304)</f>
        <v>0</v>
      </c>
      <c r="AM304" s="122">
        <f t="shared" ca="1" si="188"/>
        <v>0</v>
      </c>
      <c r="AN304" s="126">
        <f t="shared" si="196"/>
        <v>0</v>
      </c>
      <c r="AO304" s="126">
        <f t="shared" si="197"/>
        <v>0</v>
      </c>
      <c r="AP304" s="126">
        <f t="shared" si="198"/>
        <v>0</v>
      </c>
      <c r="AQ304" s="125">
        <f t="shared" si="189"/>
        <v>30</v>
      </c>
      <c r="AR304" s="125">
        <f t="shared" ca="1" si="190"/>
        <v>30</v>
      </c>
      <c r="AS304" s="135">
        <f t="shared" si="191"/>
        <v>0</v>
      </c>
      <c r="AT304" s="125">
        <f t="shared" si="192"/>
        <v>7</v>
      </c>
      <c r="AU304" t="b">
        <f>OR((F304&gt;0),(NOT(ISBLANK(H304))),SUM(H304:H$373),SUM(G304:G$373))</f>
        <v>0</v>
      </c>
      <c r="AV304" t="b">
        <f t="shared" ca="1" si="174"/>
        <v>1</v>
      </c>
      <c r="AX304" s="228">
        <f>SUM(AW$5:AW304)</f>
        <v>-2.9166666666666665</v>
      </c>
    </row>
    <row r="305" spans="1:50">
      <c r="A305" s="308">
        <f t="shared" si="193"/>
        <v>42668</v>
      </c>
      <c r="B305" s="309">
        <f t="shared" si="194"/>
        <v>42668</v>
      </c>
      <c r="C305" s="310">
        <f t="shared" si="201"/>
        <v>44</v>
      </c>
      <c r="D305" s="311">
        <f t="shared" si="202"/>
        <v>42643</v>
      </c>
      <c r="E305" s="321" t="str">
        <f t="shared" si="175"/>
        <v/>
      </c>
      <c r="F305" s="5"/>
      <c r="G305" s="6" t="str">
        <f t="shared" si="176"/>
        <v/>
      </c>
      <c r="H305" s="7"/>
      <c r="I305" s="7">
        <f t="shared" si="177"/>
        <v>0</v>
      </c>
      <c r="J305" s="113">
        <f t="shared" si="165"/>
        <v>0</v>
      </c>
      <c r="K305" s="7"/>
      <c r="L305" s="7">
        <f t="shared" si="178"/>
        <v>0</v>
      </c>
      <c r="M305" s="113">
        <f t="shared" si="179"/>
        <v>0</v>
      </c>
      <c r="N305" s="113"/>
      <c r="O305" s="113">
        <f t="shared" si="166"/>
        <v>0</v>
      </c>
      <c r="P305" s="113"/>
      <c r="Q305" s="113">
        <f t="shared" si="180"/>
        <v>0</v>
      </c>
      <c r="R305" s="113">
        <f t="shared" si="181"/>
        <v>0</v>
      </c>
      <c r="S305" s="113">
        <f t="shared" si="199"/>
        <v>0</v>
      </c>
      <c r="T305" s="113">
        <f t="shared" si="182"/>
        <v>0</v>
      </c>
      <c r="U305" s="113">
        <f t="shared" si="200"/>
        <v>0</v>
      </c>
      <c r="V305" s="146">
        <f t="shared" si="183"/>
        <v>0</v>
      </c>
      <c r="W305" s="66"/>
      <c r="X305" s="115">
        <f t="shared" si="167"/>
        <v>3.125E-2</v>
      </c>
      <c r="Y305" s="110">
        <f t="shared" si="184"/>
        <v>0</v>
      </c>
      <c r="Z305" s="111">
        <f t="shared" si="203"/>
        <v>0.29166666666666669</v>
      </c>
      <c r="AA305" s="112">
        <f t="shared" si="185"/>
        <v>0</v>
      </c>
      <c r="AB305" s="67" t="str">
        <f t="shared" si="186"/>
        <v/>
      </c>
      <c r="AC305" s="193">
        <f t="shared" si="168"/>
        <v>0</v>
      </c>
      <c r="AD305" s="144" t="str">
        <f t="shared" si="169"/>
        <v/>
      </c>
      <c r="AE305" s="228">
        <f t="shared" si="195"/>
        <v>0</v>
      </c>
      <c r="AF305" s="110"/>
      <c r="AG305" s="110" t="str">
        <f t="shared" si="187"/>
        <v/>
      </c>
      <c r="AH305" s="68">
        <f t="shared" si="170"/>
        <v>0</v>
      </c>
      <c r="AI305" s="68">
        <f t="shared" si="171"/>
        <v>0</v>
      </c>
      <c r="AJ305" s="68" t="str">
        <f t="shared" si="172"/>
        <v/>
      </c>
      <c r="AK305">
        <f t="shared" si="173"/>
        <v>1</v>
      </c>
      <c r="AL305" s="122">
        <f>SUM($AD$6:AD305)</f>
        <v>0</v>
      </c>
      <c r="AM305" s="122">
        <f t="shared" ca="1" si="188"/>
        <v>0</v>
      </c>
      <c r="AN305" s="126">
        <f t="shared" si="196"/>
        <v>0</v>
      </c>
      <c r="AO305" s="126">
        <f t="shared" si="197"/>
        <v>0</v>
      </c>
      <c r="AP305" s="126">
        <f t="shared" si="198"/>
        <v>0</v>
      </c>
      <c r="AQ305" s="125">
        <f t="shared" si="189"/>
        <v>30</v>
      </c>
      <c r="AR305" s="125">
        <f t="shared" ca="1" si="190"/>
        <v>30</v>
      </c>
      <c r="AS305" s="135">
        <f t="shared" si="191"/>
        <v>0</v>
      </c>
      <c r="AT305" s="125">
        <f t="shared" si="192"/>
        <v>0</v>
      </c>
      <c r="AU305" t="b">
        <f>OR((F305&gt;0),(NOT(ISBLANK(H305))),SUM(H305:H$373),SUM(G305:G$373))</f>
        <v>0</v>
      </c>
      <c r="AV305" t="b">
        <f t="shared" ca="1" si="174"/>
        <v>0</v>
      </c>
      <c r="AX305" s="228">
        <f>SUM(AW$5:AW305)</f>
        <v>-2.9166666666666665</v>
      </c>
    </row>
    <row r="306" spans="1:50">
      <c r="A306" s="308">
        <f t="shared" si="193"/>
        <v>42669</v>
      </c>
      <c r="B306" s="309">
        <f t="shared" si="194"/>
        <v>42669</v>
      </c>
      <c r="C306" s="310">
        <f t="shared" si="201"/>
        <v>44</v>
      </c>
      <c r="D306" s="311">
        <f t="shared" si="202"/>
        <v>42643</v>
      </c>
      <c r="E306" s="321" t="str">
        <f t="shared" si="175"/>
        <v/>
      </c>
      <c r="F306" s="5"/>
      <c r="G306" s="6" t="str">
        <f t="shared" si="176"/>
        <v/>
      </c>
      <c r="H306" s="7"/>
      <c r="I306" s="7">
        <f t="shared" si="177"/>
        <v>0</v>
      </c>
      <c r="J306" s="113">
        <f t="shared" si="165"/>
        <v>0</v>
      </c>
      <c r="K306" s="7"/>
      <c r="L306" s="7">
        <f t="shared" si="178"/>
        <v>0</v>
      </c>
      <c r="M306" s="113">
        <f t="shared" si="179"/>
        <v>0</v>
      </c>
      <c r="N306" s="113"/>
      <c r="O306" s="113">
        <f t="shared" si="166"/>
        <v>0</v>
      </c>
      <c r="P306" s="113"/>
      <c r="Q306" s="113">
        <f t="shared" si="180"/>
        <v>0</v>
      </c>
      <c r="R306" s="113">
        <f t="shared" si="181"/>
        <v>0</v>
      </c>
      <c r="S306" s="113">
        <f t="shared" si="199"/>
        <v>0</v>
      </c>
      <c r="T306" s="113">
        <f t="shared" si="182"/>
        <v>0</v>
      </c>
      <c r="U306" s="113">
        <f t="shared" si="200"/>
        <v>0</v>
      </c>
      <c r="V306" s="146">
        <f t="shared" si="183"/>
        <v>0</v>
      </c>
      <c r="W306" s="66"/>
      <c r="X306" s="115">
        <f t="shared" si="167"/>
        <v>3.125E-2</v>
      </c>
      <c r="Y306" s="110">
        <f t="shared" si="184"/>
        <v>0</v>
      </c>
      <c r="Z306" s="111">
        <f t="shared" si="203"/>
        <v>0.29166666666666669</v>
      </c>
      <c r="AA306" s="112">
        <f t="shared" si="185"/>
        <v>0</v>
      </c>
      <c r="AB306" s="67" t="str">
        <f t="shared" si="186"/>
        <v/>
      </c>
      <c r="AC306" s="193">
        <f t="shared" si="168"/>
        <v>0</v>
      </c>
      <c r="AD306" s="144" t="str">
        <f t="shared" si="169"/>
        <v/>
      </c>
      <c r="AE306" s="228">
        <f t="shared" si="195"/>
        <v>0</v>
      </c>
      <c r="AF306" s="110"/>
      <c r="AG306" s="110" t="str">
        <f t="shared" si="187"/>
        <v/>
      </c>
      <c r="AH306" s="68">
        <f t="shared" si="170"/>
        <v>0</v>
      </c>
      <c r="AI306" s="68">
        <f t="shared" si="171"/>
        <v>0</v>
      </c>
      <c r="AJ306" s="68" t="str">
        <f t="shared" si="172"/>
        <v/>
      </c>
      <c r="AK306">
        <f t="shared" si="173"/>
        <v>2</v>
      </c>
      <c r="AL306" s="122">
        <f>SUM($AD$6:AD306)</f>
        <v>0</v>
      </c>
      <c r="AM306" s="122">
        <f t="shared" ca="1" si="188"/>
        <v>0</v>
      </c>
      <c r="AN306" s="126">
        <f t="shared" si="196"/>
        <v>0</v>
      </c>
      <c r="AO306" s="126">
        <f t="shared" si="197"/>
        <v>0</v>
      </c>
      <c r="AP306" s="126">
        <f t="shared" si="198"/>
        <v>0</v>
      </c>
      <c r="AQ306" s="125">
        <f t="shared" si="189"/>
        <v>30</v>
      </c>
      <c r="AR306" s="125">
        <f t="shared" ca="1" si="190"/>
        <v>30</v>
      </c>
      <c r="AS306" s="135">
        <f t="shared" si="191"/>
        <v>0</v>
      </c>
      <c r="AT306" s="125">
        <f t="shared" si="192"/>
        <v>0</v>
      </c>
      <c r="AU306" t="b">
        <f>OR((F306&gt;0),(NOT(ISBLANK(H306))),SUM(H306:H$373),SUM(G306:G$373))</f>
        <v>0</v>
      </c>
      <c r="AV306" t="b">
        <f t="shared" ca="1" si="174"/>
        <v>0</v>
      </c>
      <c r="AX306" s="228">
        <f>SUM(AW$5:AW306)</f>
        <v>-2.9166666666666665</v>
      </c>
    </row>
    <row r="307" spans="1:50">
      <c r="A307" s="308">
        <f t="shared" si="193"/>
        <v>42670</v>
      </c>
      <c r="B307" s="309">
        <f t="shared" si="194"/>
        <v>42670</v>
      </c>
      <c r="C307" s="310">
        <f t="shared" si="201"/>
        <v>44</v>
      </c>
      <c r="D307" s="311">
        <f t="shared" si="202"/>
        <v>42643</v>
      </c>
      <c r="E307" s="321" t="str">
        <f t="shared" si="175"/>
        <v/>
      </c>
      <c r="F307" s="5"/>
      <c r="G307" s="6" t="str">
        <f t="shared" si="176"/>
        <v/>
      </c>
      <c r="H307" s="7"/>
      <c r="I307" s="7">
        <f t="shared" si="177"/>
        <v>0</v>
      </c>
      <c r="J307" s="113">
        <f t="shared" si="165"/>
        <v>0</v>
      </c>
      <c r="K307" s="7"/>
      <c r="L307" s="7">
        <f t="shared" si="178"/>
        <v>0</v>
      </c>
      <c r="M307" s="113">
        <f t="shared" si="179"/>
        <v>0</v>
      </c>
      <c r="N307" s="113"/>
      <c r="O307" s="113">
        <f t="shared" si="166"/>
        <v>0</v>
      </c>
      <c r="P307" s="113"/>
      <c r="Q307" s="113">
        <f t="shared" si="180"/>
        <v>0</v>
      </c>
      <c r="R307" s="113">
        <f t="shared" si="181"/>
        <v>0</v>
      </c>
      <c r="S307" s="113">
        <f t="shared" si="199"/>
        <v>0</v>
      </c>
      <c r="T307" s="113">
        <f t="shared" si="182"/>
        <v>0</v>
      </c>
      <c r="U307" s="113">
        <f t="shared" si="200"/>
        <v>0</v>
      </c>
      <c r="V307" s="146">
        <f t="shared" si="183"/>
        <v>0</v>
      </c>
      <c r="W307" s="66"/>
      <c r="X307" s="115">
        <f t="shared" si="167"/>
        <v>3.125E-2</v>
      </c>
      <c r="Y307" s="110">
        <f t="shared" si="184"/>
        <v>0</v>
      </c>
      <c r="Z307" s="111">
        <f t="shared" si="203"/>
        <v>0.29166666666666669</v>
      </c>
      <c r="AA307" s="112">
        <f t="shared" si="185"/>
        <v>0</v>
      </c>
      <c r="AB307" s="67" t="str">
        <f t="shared" si="186"/>
        <v/>
      </c>
      <c r="AC307" s="193">
        <f t="shared" si="168"/>
        <v>0</v>
      </c>
      <c r="AD307" s="144" t="str">
        <f t="shared" si="169"/>
        <v/>
      </c>
      <c r="AE307" s="228">
        <f t="shared" si="195"/>
        <v>0</v>
      </c>
      <c r="AF307" s="110"/>
      <c r="AG307" s="110" t="str">
        <f t="shared" si="187"/>
        <v/>
      </c>
      <c r="AH307" s="68">
        <f t="shared" si="170"/>
        <v>0</v>
      </c>
      <c r="AI307" s="68">
        <f t="shared" si="171"/>
        <v>0</v>
      </c>
      <c r="AJ307" s="68" t="str">
        <f t="shared" si="172"/>
        <v/>
      </c>
      <c r="AK307">
        <f t="shared" si="173"/>
        <v>3</v>
      </c>
      <c r="AL307" s="122">
        <f>SUM($AD$6:AD307)</f>
        <v>0</v>
      </c>
      <c r="AM307" s="122">
        <f t="shared" ca="1" si="188"/>
        <v>0</v>
      </c>
      <c r="AN307" s="126">
        <f t="shared" si="196"/>
        <v>0</v>
      </c>
      <c r="AO307" s="126">
        <f t="shared" si="197"/>
        <v>0</v>
      </c>
      <c r="AP307" s="126">
        <f t="shared" si="198"/>
        <v>0</v>
      </c>
      <c r="AQ307" s="125">
        <f t="shared" si="189"/>
        <v>30</v>
      </c>
      <c r="AR307" s="125">
        <f t="shared" ca="1" si="190"/>
        <v>30</v>
      </c>
      <c r="AS307" s="135">
        <f t="shared" si="191"/>
        <v>0</v>
      </c>
      <c r="AT307" s="125">
        <f t="shared" si="192"/>
        <v>0</v>
      </c>
      <c r="AU307" t="b">
        <f>OR((F307&gt;0),(NOT(ISBLANK(H307))),SUM(H307:H$373),SUM(G307:G$373))</f>
        <v>0</v>
      </c>
      <c r="AV307" t="b">
        <f t="shared" ca="1" si="174"/>
        <v>0</v>
      </c>
      <c r="AX307" s="228">
        <f>SUM(AW$5:AW307)</f>
        <v>-2.9166666666666665</v>
      </c>
    </row>
    <row r="308" spans="1:50">
      <c r="A308" s="308">
        <f t="shared" si="193"/>
        <v>42671</v>
      </c>
      <c r="B308" s="309">
        <f t="shared" si="194"/>
        <v>42671</v>
      </c>
      <c r="C308" s="310">
        <f t="shared" si="201"/>
        <v>44</v>
      </c>
      <c r="D308" s="311">
        <f t="shared" si="202"/>
        <v>42643</v>
      </c>
      <c r="E308" s="321" t="str">
        <f t="shared" si="175"/>
        <v/>
      </c>
      <c r="F308" s="5"/>
      <c r="G308" s="6" t="str">
        <f t="shared" si="176"/>
        <v/>
      </c>
      <c r="H308" s="7"/>
      <c r="I308" s="7">
        <f t="shared" si="177"/>
        <v>0</v>
      </c>
      <c r="J308" s="113">
        <f t="shared" si="165"/>
        <v>0</v>
      </c>
      <c r="K308" s="7"/>
      <c r="L308" s="7">
        <f t="shared" si="178"/>
        <v>0</v>
      </c>
      <c r="M308" s="113">
        <f t="shared" si="179"/>
        <v>0</v>
      </c>
      <c r="N308" s="113"/>
      <c r="O308" s="113">
        <f t="shared" si="166"/>
        <v>0</v>
      </c>
      <c r="P308" s="113"/>
      <c r="Q308" s="113">
        <f t="shared" si="180"/>
        <v>0</v>
      </c>
      <c r="R308" s="113">
        <f t="shared" si="181"/>
        <v>0</v>
      </c>
      <c r="S308" s="113">
        <f t="shared" si="199"/>
        <v>0</v>
      </c>
      <c r="T308" s="113">
        <f t="shared" si="182"/>
        <v>0</v>
      </c>
      <c r="U308" s="113">
        <f t="shared" si="200"/>
        <v>0</v>
      </c>
      <c r="V308" s="146">
        <f t="shared" si="183"/>
        <v>0</v>
      </c>
      <c r="W308" s="66"/>
      <c r="X308" s="115">
        <f t="shared" si="167"/>
        <v>3.125E-2</v>
      </c>
      <c r="Y308" s="110">
        <f t="shared" si="184"/>
        <v>0</v>
      </c>
      <c r="Z308" s="111">
        <f t="shared" si="203"/>
        <v>0.29166666666666669</v>
      </c>
      <c r="AA308" s="112">
        <f t="shared" si="185"/>
        <v>0</v>
      </c>
      <c r="AB308" s="67" t="str">
        <f t="shared" si="186"/>
        <v/>
      </c>
      <c r="AC308" s="193">
        <f t="shared" si="168"/>
        <v>0</v>
      </c>
      <c r="AD308" s="144" t="str">
        <f t="shared" si="169"/>
        <v/>
      </c>
      <c r="AE308" s="228">
        <f t="shared" si="195"/>
        <v>0</v>
      </c>
      <c r="AF308" s="110"/>
      <c r="AG308" s="110" t="str">
        <f t="shared" si="187"/>
        <v/>
      </c>
      <c r="AH308" s="68">
        <f t="shared" si="170"/>
        <v>0</v>
      </c>
      <c r="AI308" s="68">
        <f t="shared" si="171"/>
        <v>0</v>
      </c>
      <c r="AJ308" s="68" t="str">
        <f t="shared" si="172"/>
        <v/>
      </c>
      <c r="AK308">
        <f t="shared" si="173"/>
        <v>4</v>
      </c>
      <c r="AL308" s="122">
        <f>SUM($AD$6:AD308)</f>
        <v>0</v>
      </c>
      <c r="AM308" s="122">
        <f t="shared" ca="1" si="188"/>
        <v>0</v>
      </c>
      <c r="AN308" s="126">
        <f t="shared" si="196"/>
        <v>0</v>
      </c>
      <c r="AO308" s="126">
        <f t="shared" si="197"/>
        <v>0</v>
      </c>
      <c r="AP308" s="126">
        <f t="shared" si="198"/>
        <v>0</v>
      </c>
      <c r="AQ308" s="125">
        <f t="shared" si="189"/>
        <v>30</v>
      </c>
      <c r="AR308" s="125">
        <f t="shared" ca="1" si="190"/>
        <v>30</v>
      </c>
      <c r="AS308" s="135">
        <f t="shared" si="191"/>
        <v>0</v>
      </c>
      <c r="AT308" s="125">
        <f t="shared" si="192"/>
        <v>0</v>
      </c>
      <c r="AU308" t="b">
        <f>OR((F308&gt;0),(NOT(ISBLANK(H308))),SUM(H308:H$373),SUM(G308:G$373))</f>
        <v>0</v>
      </c>
      <c r="AV308" t="b">
        <f t="shared" ca="1" si="174"/>
        <v>0</v>
      </c>
      <c r="AX308" s="228">
        <f>SUM(AW$5:AW308)</f>
        <v>-2.9166666666666665</v>
      </c>
    </row>
    <row r="309" spans="1:50">
      <c r="A309" s="308">
        <f t="shared" si="193"/>
        <v>42672</v>
      </c>
      <c r="B309" s="309">
        <f t="shared" si="194"/>
        <v>42672</v>
      </c>
      <c r="C309" s="310">
        <f t="shared" si="201"/>
        <v>44</v>
      </c>
      <c r="D309" s="311">
        <f t="shared" si="202"/>
        <v>42643</v>
      </c>
      <c r="E309" s="321" t="str">
        <f t="shared" si="175"/>
        <v/>
      </c>
      <c r="F309" s="5"/>
      <c r="G309" s="6" t="str">
        <f t="shared" si="176"/>
        <v/>
      </c>
      <c r="H309" s="7"/>
      <c r="I309" s="7">
        <f t="shared" si="177"/>
        <v>0</v>
      </c>
      <c r="J309" s="113">
        <f t="shared" si="165"/>
        <v>0</v>
      </c>
      <c r="K309" s="7"/>
      <c r="L309" s="7">
        <f t="shared" si="178"/>
        <v>0</v>
      </c>
      <c r="M309" s="113">
        <f t="shared" si="179"/>
        <v>0</v>
      </c>
      <c r="N309" s="113"/>
      <c r="O309" s="113">
        <f t="shared" si="166"/>
        <v>0</v>
      </c>
      <c r="P309" s="113"/>
      <c r="Q309" s="113">
        <f t="shared" si="180"/>
        <v>0</v>
      </c>
      <c r="R309" s="113">
        <f t="shared" si="181"/>
        <v>0</v>
      </c>
      <c r="S309" s="113">
        <f t="shared" si="199"/>
        <v>0</v>
      </c>
      <c r="T309" s="113">
        <f t="shared" si="182"/>
        <v>0</v>
      </c>
      <c r="U309" s="113">
        <f t="shared" si="200"/>
        <v>0</v>
      </c>
      <c r="V309" s="146">
        <f t="shared" si="183"/>
        <v>0</v>
      </c>
      <c r="W309" s="66"/>
      <c r="X309" s="115">
        <f t="shared" si="167"/>
        <v>3.125E-2</v>
      </c>
      <c r="Y309" s="110">
        <f t="shared" si="184"/>
        <v>0</v>
      </c>
      <c r="Z309" s="111">
        <f t="shared" si="203"/>
        <v>0.29166666666666669</v>
      </c>
      <c r="AA309" s="112">
        <f t="shared" si="185"/>
        <v>0</v>
      </c>
      <c r="AB309" s="67" t="str">
        <f t="shared" si="186"/>
        <v/>
      </c>
      <c r="AC309" s="193">
        <f t="shared" si="168"/>
        <v>0</v>
      </c>
      <c r="AD309" s="144" t="str">
        <f t="shared" si="169"/>
        <v/>
      </c>
      <c r="AE309" s="228">
        <f t="shared" si="195"/>
        <v>0</v>
      </c>
      <c r="AF309" s="110"/>
      <c r="AG309" s="110" t="str">
        <f t="shared" si="187"/>
        <v/>
      </c>
      <c r="AH309" s="68">
        <f t="shared" si="170"/>
        <v>0</v>
      </c>
      <c r="AI309" s="68">
        <f t="shared" si="171"/>
        <v>0</v>
      </c>
      <c r="AJ309" s="68" t="str">
        <f t="shared" si="172"/>
        <v/>
      </c>
      <c r="AK309">
        <f t="shared" si="173"/>
        <v>5</v>
      </c>
      <c r="AL309" s="122">
        <f>SUM($AD$6:AD309)</f>
        <v>0</v>
      </c>
      <c r="AM309" s="122">
        <f t="shared" ca="1" si="188"/>
        <v>0</v>
      </c>
      <c r="AN309" s="126">
        <f t="shared" si="196"/>
        <v>0</v>
      </c>
      <c r="AO309" s="126">
        <f t="shared" si="197"/>
        <v>0</v>
      </c>
      <c r="AP309" s="126">
        <f t="shared" si="198"/>
        <v>0</v>
      </c>
      <c r="AQ309" s="125">
        <f t="shared" si="189"/>
        <v>30</v>
      </c>
      <c r="AR309" s="125">
        <f t="shared" ca="1" si="190"/>
        <v>30</v>
      </c>
      <c r="AS309" s="135">
        <f t="shared" si="191"/>
        <v>0</v>
      </c>
      <c r="AT309" s="125">
        <f t="shared" si="192"/>
        <v>0</v>
      </c>
      <c r="AU309" t="b">
        <f>OR((F309&gt;0),(NOT(ISBLANK(H309))),SUM(H309:H$373),SUM(G309:G$373))</f>
        <v>0</v>
      </c>
      <c r="AV309" t="b">
        <f t="shared" ca="1" si="174"/>
        <v>0</v>
      </c>
      <c r="AX309" s="228">
        <f>SUM(AW$5:AW309)</f>
        <v>-2.9166666666666665</v>
      </c>
    </row>
    <row r="310" spans="1:50">
      <c r="A310" s="308">
        <f t="shared" si="193"/>
        <v>42673</v>
      </c>
      <c r="B310" s="309">
        <f t="shared" si="194"/>
        <v>42673</v>
      </c>
      <c r="C310" s="310">
        <f t="shared" si="201"/>
        <v>44</v>
      </c>
      <c r="D310" s="311">
        <f t="shared" si="202"/>
        <v>42643</v>
      </c>
      <c r="E310" s="321" t="str">
        <f t="shared" si="175"/>
        <v/>
      </c>
      <c r="F310" s="5"/>
      <c r="G310" s="6" t="str">
        <f t="shared" si="176"/>
        <v/>
      </c>
      <c r="H310" s="7"/>
      <c r="I310" s="7">
        <f t="shared" si="177"/>
        <v>0</v>
      </c>
      <c r="J310" s="113">
        <f t="shared" si="165"/>
        <v>0</v>
      </c>
      <c r="K310" s="7"/>
      <c r="L310" s="7">
        <f t="shared" si="178"/>
        <v>0</v>
      </c>
      <c r="M310" s="113">
        <f t="shared" si="179"/>
        <v>0</v>
      </c>
      <c r="N310" s="113"/>
      <c r="O310" s="113">
        <f t="shared" si="166"/>
        <v>0</v>
      </c>
      <c r="P310" s="113"/>
      <c r="Q310" s="113">
        <f t="shared" si="180"/>
        <v>0</v>
      </c>
      <c r="R310" s="113">
        <f t="shared" si="181"/>
        <v>0</v>
      </c>
      <c r="S310" s="113">
        <f t="shared" si="199"/>
        <v>0</v>
      </c>
      <c r="T310" s="113">
        <f t="shared" si="182"/>
        <v>0</v>
      </c>
      <c r="U310" s="113">
        <f t="shared" si="200"/>
        <v>0</v>
      </c>
      <c r="V310" s="146">
        <f t="shared" si="183"/>
        <v>0</v>
      </c>
      <c r="W310" s="66"/>
      <c r="X310" s="115">
        <f t="shared" si="167"/>
        <v>3.125E-2</v>
      </c>
      <c r="Y310" s="110">
        <f t="shared" si="184"/>
        <v>0</v>
      </c>
      <c r="Z310" s="111">
        <f t="shared" si="203"/>
        <v>0</v>
      </c>
      <c r="AA310" s="112">
        <f t="shared" si="185"/>
        <v>0</v>
      </c>
      <c r="AB310" s="67" t="str">
        <f t="shared" si="186"/>
        <v/>
      </c>
      <c r="AC310" s="193">
        <f t="shared" si="168"/>
        <v>0</v>
      </c>
      <c r="AD310" s="144" t="str">
        <f t="shared" si="169"/>
        <v/>
      </c>
      <c r="AE310" s="228">
        <f t="shared" si="195"/>
        <v>0</v>
      </c>
      <c r="AF310" s="110"/>
      <c r="AG310" s="110" t="str">
        <f t="shared" si="187"/>
        <v/>
      </c>
      <c r="AH310" s="68">
        <f t="shared" si="170"/>
        <v>0</v>
      </c>
      <c r="AI310" s="68">
        <f t="shared" si="171"/>
        <v>0</v>
      </c>
      <c r="AJ310" s="68" t="str">
        <f t="shared" si="172"/>
        <v/>
      </c>
      <c r="AK310">
        <f t="shared" si="173"/>
        <v>6</v>
      </c>
      <c r="AL310" s="122">
        <f>SUM($AD$6:AD310)</f>
        <v>0</v>
      </c>
      <c r="AM310" s="122">
        <f t="shared" ca="1" si="188"/>
        <v>0</v>
      </c>
      <c r="AN310" s="126">
        <f t="shared" si="196"/>
        <v>0</v>
      </c>
      <c r="AO310" s="126">
        <f t="shared" si="197"/>
        <v>0</v>
      </c>
      <c r="AP310" s="126">
        <f t="shared" si="198"/>
        <v>0</v>
      </c>
      <c r="AQ310" s="125">
        <f t="shared" si="189"/>
        <v>30</v>
      </c>
      <c r="AR310" s="125">
        <f t="shared" ca="1" si="190"/>
        <v>30</v>
      </c>
      <c r="AS310" s="135">
        <f t="shared" si="191"/>
        <v>0</v>
      </c>
      <c r="AT310" s="125">
        <f t="shared" si="192"/>
        <v>7</v>
      </c>
      <c r="AU310" t="b">
        <f>OR((F310&gt;0),(NOT(ISBLANK(H310))),SUM(H310:H$373),SUM(G310:G$373))</f>
        <v>0</v>
      </c>
      <c r="AV310" t="b">
        <f t="shared" ca="1" si="174"/>
        <v>1</v>
      </c>
      <c r="AX310" s="228">
        <f>SUM(AW$5:AW310)</f>
        <v>-2.9166666666666665</v>
      </c>
    </row>
    <row r="311" spans="1:50">
      <c r="A311" s="308">
        <f t="shared" si="193"/>
        <v>42674</v>
      </c>
      <c r="B311" s="309">
        <f t="shared" si="194"/>
        <v>42674</v>
      </c>
      <c r="C311" s="310">
        <f t="shared" si="201"/>
        <v>44</v>
      </c>
      <c r="D311" s="311">
        <f t="shared" si="202"/>
        <v>42674</v>
      </c>
      <c r="E311" s="321" t="str">
        <f t="shared" si="175"/>
        <v>Allerheiligen</v>
      </c>
      <c r="F311" s="5"/>
      <c r="G311" s="6" t="str">
        <f t="shared" si="176"/>
        <v/>
      </c>
      <c r="H311" s="7"/>
      <c r="I311" s="7">
        <f t="shared" si="177"/>
        <v>0</v>
      </c>
      <c r="J311" s="113">
        <f t="shared" si="165"/>
        <v>0</v>
      </c>
      <c r="K311" s="7"/>
      <c r="L311" s="7">
        <f t="shared" si="178"/>
        <v>0</v>
      </c>
      <c r="M311" s="113">
        <f t="shared" si="179"/>
        <v>0</v>
      </c>
      <c r="N311" s="113"/>
      <c r="O311" s="113">
        <f t="shared" si="166"/>
        <v>0</v>
      </c>
      <c r="P311" s="113"/>
      <c r="Q311" s="113">
        <f t="shared" si="180"/>
        <v>0</v>
      </c>
      <c r="R311" s="113">
        <f t="shared" si="181"/>
        <v>0</v>
      </c>
      <c r="S311" s="113">
        <f t="shared" si="199"/>
        <v>0</v>
      </c>
      <c r="T311" s="113">
        <f t="shared" si="182"/>
        <v>0</v>
      </c>
      <c r="U311" s="113">
        <f t="shared" si="200"/>
        <v>0</v>
      </c>
      <c r="V311" s="146">
        <f t="shared" si="183"/>
        <v>0</v>
      </c>
      <c r="W311" s="66"/>
      <c r="X311" s="115">
        <f t="shared" si="167"/>
        <v>3.125E-2</v>
      </c>
      <c r="Y311" s="110">
        <f t="shared" si="184"/>
        <v>0</v>
      </c>
      <c r="Z311" s="111" t="str">
        <f t="shared" si="203"/>
        <v/>
      </c>
      <c r="AA311" s="112">
        <f t="shared" si="185"/>
        <v>0</v>
      </c>
      <c r="AB311" s="67" t="str">
        <f t="shared" si="186"/>
        <v/>
      </c>
      <c r="AC311" s="193">
        <f t="shared" si="168"/>
        <v>0</v>
      </c>
      <c r="AD311" s="144" t="str">
        <f t="shared" si="169"/>
        <v/>
      </c>
      <c r="AE311" s="228">
        <f t="shared" si="195"/>
        <v>0</v>
      </c>
      <c r="AF311" s="110"/>
      <c r="AG311" s="110" t="str">
        <f t="shared" si="187"/>
        <v/>
      </c>
      <c r="AH311" s="68">
        <f t="shared" si="170"/>
        <v>0</v>
      </c>
      <c r="AI311" s="68">
        <f t="shared" si="171"/>
        <v>0</v>
      </c>
      <c r="AJ311" s="68" t="str">
        <f t="shared" si="172"/>
        <v/>
      </c>
      <c r="AK311">
        <f t="shared" si="173"/>
        <v>8</v>
      </c>
      <c r="AL311" s="122">
        <f>SUM($AD$6:AD311)</f>
        <v>0</v>
      </c>
      <c r="AM311" s="122">
        <f t="shared" ca="1" si="188"/>
        <v>0</v>
      </c>
      <c r="AN311" s="126">
        <f t="shared" si="196"/>
        <v>0</v>
      </c>
      <c r="AO311" s="126">
        <f t="shared" si="197"/>
        <v>0</v>
      </c>
      <c r="AP311" s="126">
        <f t="shared" si="198"/>
        <v>0</v>
      </c>
      <c r="AQ311" s="125">
        <f t="shared" si="189"/>
        <v>30</v>
      </c>
      <c r="AR311" s="125">
        <f t="shared" ca="1" si="190"/>
        <v>30</v>
      </c>
      <c r="AS311" s="135">
        <f t="shared" si="191"/>
        <v>0</v>
      </c>
      <c r="AT311" s="125">
        <f t="shared" si="192"/>
        <v>8</v>
      </c>
      <c r="AU311" t="b">
        <f>OR((F311&gt;0),(NOT(ISBLANK(H311))),SUM(H311:H$373),SUM(G311:G$373))</f>
        <v>0</v>
      </c>
      <c r="AV311" t="b">
        <f t="shared" ca="1" si="174"/>
        <v>1</v>
      </c>
      <c r="AX311" s="228">
        <f>SUM(AW$5:AW311)</f>
        <v>-2.9166666666666665</v>
      </c>
    </row>
    <row r="312" spans="1:50">
      <c r="A312" s="308">
        <f t="shared" si="193"/>
        <v>42675</v>
      </c>
      <c r="B312" s="309">
        <f t="shared" si="194"/>
        <v>42675</v>
      </c>
      <c r="C312" s="310">
        <f t="shared" si="201"/>
        <v>45</v>
      </c>
      <c r="D312" s="311">
        <f t="shared" si="202"/>
        <v>42674</v>
      </c>
      <c r="E312" s="321" t="str">
        <f t="shared" si="175"/>
        <v/>
      </c>
      <c r="F312" s="5"/>
      <c r="G312" s="6" t="str">
        <f t="shared" si="176"/>
        <v/>
      </c>
      <c r="H312" s="7"/>
      <c r="I312" s="7">
        <f t="shared" si="177"/>
        <v>0</v>
      </c>
      <c r="J312" s="113">
        <f t="shared" si="165"/>
        <v>0</v>
      </c>
      <c r="K312" s="7"/>
      <c r="L312" s="7">
        <f t="shared" si="178"/>
        <v>0</v>
      </c>
      <c r="M312" s="113">
        <f t="shared" si="179"/>
        <v>0</v>
      </c>
      <c r="N312" s="113"/>
      <c r="O312" s="113">
        <f t="shared" si="166"/>
        <v>0</v>
      </c>
      <c r="P312" s="113"/>
      <c r="Q312" s="113">
        <f t="shared" si="180"/>
        <v>0</v>
      </c>
      <c r="R312" s="113">
        <f t="shared" si="181"/>
        <v>0</v>
      </c>
      <c r="S312" s="113">
        <f t="shared" si="199"/>
        <v>0</v>
      </c>
      <c r="T312" s="113">
        <f t="shared" si="182"/>
        <v>0</v>
      </c>
      <c r="U312" s="113">
        <f t="shared" si="200"/>
        <v>0</v>
      </c>
      <c r="V312" s="146">
        <f t="shared" si="183"/>
        <v>0</v>
      </c>
      <c r="W312" s="66"/>
      <c r="X312" s="115">
        <f t="shared" si="167"/>
        <v>3.125E-2</v>
      </c>
      <c r="Y312" s="110">
        <f t="shared" si="184"/>
        <v>0</v>
      </c>
      <c r="Z312" s="111">
        <f t="shared" si="203"/>
        <v>0.29166666666666669</v>
      </c>
      <c r="AA312" s="112">
        <f t="shared" si="185"/>
        <v>0</v>
      </c>
      <c r="AB312" s="67" t="str">
        <f t="shared" si="186"/>
        <v/>
      </c>
      <c r="AC312" s="193">
        <f t="shared" si="168"/>
        <v>0</v>
      </c>
      <c r="AD312" s="144" t="str">
        <f t="shared" si="169"/>
        <v/>
      </c>
      <c r="AE312" s="228">
        <f t="shared" si="195"/>
        <v>0</v>
      </c>
      <c r="AF312" s="110"/>
      <c r="AG312" s="110" t="str">
        <f t="shared" si="187"/>
        <v/>
      </c>
      <c r="AH312" s="68">
        <f t="shared" si="170"/>
        <v>0</v>
      </c>
      <c r="AI312" s="68">
        <f t="shared" si="171"/>
        <v>0</v>
      </c>
      <c r="AJ312" s="68" t="str">
        <f t="shared" si="172"/>
        <v/>
      </c>
      <c r="AK312">
        <f t="shared" si="173"/>
        <v>1</v>
      </c>
      <c r="AL312" s="122">
        <f>SUM($AD$6:AD312)</f>
        <v>0</v>
      </c>
      <c r="AM312" s="122">
        <f t="shared" ca="1" si="188"/>
        <v>0</v>
      </c>
      <c r="AN312" s="126">
        <f t="shared" si="196"/>
        <v>0</v>
      </c>
      <c r="AO312" s="126">
        <f t="shared" si="197"/>
        <v>0</v>
      </c>
      <c r="AP312" s="126">
        <f t="shared" si="198"/>
        <v>0</v>
      </c>
      <c r="AQ312" s="125">
        <f t="shared" si="189"/>
        <v>30</v>
      </c>
      <c r="AR312" s="125">
        <f t="shared" ca="1" si="190"/>
        <v>30</v>
      </c>
      <c r="AS312" s="135">
        <f t="shared" si="191"/>
        <v>0</v>
      </c>
      <c r="AT312" s="125">
        <f t="shared" si="192"/>
        <v>0</v>
      </c>
      <c r="AU312" t="b">
        <f>OR((F312&gt;0),(NOT(ISBLANK(H312))),SUM(H312:H$373),SUM(G312:G$373))</f>
        <v>0</v>
      </c>
      <c r="AV312" t="b">
        <f t="shared" ca="1" si="174"/>
        <v>0</v>
      </c>
      <c r="AX312" s="228">
        <f>SUM(AW$5:AW312)</f>
        <v>-2.9166666666666665</v>
      </c>
    </row>
    <row r="313" spans="1:50">
      <c r="A313" s="308">
        <f t="shared" si="193"/>
        <v>42676</v>
      </c>
      <c r="B313" s="309">
        <f t="shared" si="194"/>
        <v>42676</v>
      </c>
      <c r="C313" s="310">
        <f t="shared" si="201"/>
        <v>45</v>
      </c>
      <c r="D313" s="311">
        <f t="shared" si="202"/>
        <v>42674</v>
      </c>
      <c r="E313" s="321" t="str">
        <f t="shared" si="175"/>
        <v/>
      </c>
      <c r="F313" s="5"/>
      <c r="G313" s="6" t="str">
        <f t="shared" si="176"/>
        <v/>
      </c>
      <c r="H313" s="7"/>
      <c r="I313" s="7">
        <f t="shared" si="177"/>
        <v>0</v>
      </c>
      <c r="J313" s="113">
        <f t="shared" si="165"/>
        <v>0</v>
      </c>
      <c r="K313" s="7"/>
      <c r="L313" s="7">
        <f t="shared" si="178"/>
        <v>0</v>
      </c>
      <c r="M313" s="113">
        <f t="shared" si="179"/>
        <v>0</v>
      </c>
      <c r="N313" s="113"/>
      <c r="O313" s="113">
        <f t="shared" si="166"/>
        <v>0</v>
      </c>
      <c r="P313" s="113"/>
      <c r="Q313" s="113">
        <f t="shared" si="180"/>
        <v>0</v>
      </c>
      <c r="R313" s="113">
        <f t="shared" si="181"/>
        <v>0</v>
      </c>
      <c r="S313" s="113">
        <f t="shared" si="199"/>
        <v>0</v>
      </c>
      <c r="T313" s="113">
        <f t="shared" si="182"/>
        <v>0</v>
      </c>
      <c r="U313" s="113">
        <f t="shared" si="200"/>
        <v>0</v>
      </c>
      <c r="V313" s="146">
        <f t="shared" si="183"/>
        <v>0</v>
      </c>
      <c r="W313" s="66"/>
      <c r="X313" s="115">
        <f t="shared" si="167"/>
        <v>3.125E-2</v>
      </c>
      <c r="Y313" s="110">
        <f t="shared" si="184"/>
        <v>0</v>
      </c>
      <c r="Z313" s="111">
        <f t="shared" si="203"/>
        <v>0.29166666666666669</v>
      </c>
      <c r="AA313" s="112">
        <f t="shared" si="185"/>
        <v>0</v>
      </c>
      <c r="AB313" s="67" t="str">
        <f t="shared" si="186"/>
        <v/>
      </c>
      <c r="AC313" s="193">
        <f t="shared" si="168"/>
        <v>0</v>
      </c>
      <c r="AD313" s="144" t="str">
        <f t="shared" si="169"/>
        <v/>
      </c>
      <c r="AE313" s="228">
        <f t="shared" si="195"/>
        <v>0</v>
      </c>
      <c r="AF313" s="110"/>
      <c r="AG313" s="110" t="str">
        <f t="shared" si="187"/>
        <v/>
      </c>
      <c r="AH313" s="68">
        <f t="shared" si="170"/>
        <v>0</v>
      </c>
      <c r="AI313" s="68">
        <f t="shared" si="171"/>
        <v>0</v>
      </c>
      <c r="AJ313" s="68" t="str">
        <f t="shared" si="172"/>
        <v/>
      </c>
      <c r="AK313">
        <f t="shared" si="173"/>
        <v>2</v>
      </c>
      <c r="AL313" s="122">
        <f>SUM($AD$6:AD313)</f>
        <v>0</v>
      </c>
      <c r="AM313" s="122">
        <f t="shared" ca="1" si="188"/>
        <v>0</v>
      </c>
      <c r="AN313" s="126">
        <f t="shared" si="196"/>
        <v>0</v>
      </c>
      <c r="AO313" s="126">
        <f t="shared" si="197"/>
        <v>0</v>
      </c>
      <c r="AP313" s="126">
        <f t="shared" si="198"/>
        <v>0</v>
      </c>
      <c r="AQ313" s="125">
        <f t="shared" si="189"/>
        <v>30</v>
      </c>
      <c r="AR313" s="125">
        <f t="shared" ca="1" si="190"/>
        <v>30</v>
      </c>
      <c r="AS313" s="135">
        <f t="shared" si="191"/>
        <v>0</v>
      </c>
      <c r="AT313" s="125">
        <f t="shared" si="192"/>
        <v>0</v>
      </c>
      <c r="AU313" t="b">
        <f>OR((F313&gt;0),(NOT(ISBLANK(H313))),SUM(H313:H$373),SUM(G313:G$373))</f>
        <v>0</v>
      </c>
      <c r="AV313" t="b">
        <f t="shared" ca="1" si="174"/>
        <v>0</v>
      </c>
      <c r="AX313" s="228">
        <f>SUM(AW$5:AW313)</f>
        <v>-2.9166666666666665</v>
      </c>
    </row>
    <row r="314" spans="1:50">
      <c r="A314" s="308">
        <f t="shared" si="193"/>
        <v>42677</v>
      </c>
      <c r="B314" s="309">
        <f t="shared" si="194"/>
        <v>42677</v>
      </c>
      <c r="C314" s="310">
        <f t="shared" si="201"/>
        <v>45</v>
      </c>
      <c r="D314" s="311">
        <f t="shared" si="202"/>
        <v>42674</v>
      </c>
      <c r="E314" s="321" t="str">
        <f t="shared" si="175"/>
        <v/>
      </c>
      <c r="F314" s="5"/>
      <c r="G314" s="6" t="str">
        <f t="shared" si="176"/>
        <v/>
      </c>
      <c r="H314" s="7"/>
      <c r="I314" s="7">
        <f t="shared" si="177"/>
        <v>0</v>
      </c>
      <c r="J314" s="113">
        <f t="shared" si="165"/>
        <v>0</v>
      </c>
      <c r="K314" s="7"/>
      <c r="L314" s="7">
        <f t="shared" si="178"/>
        <v>0</v>
      </c>
      <c r="M314" s="113">
        <f t="shared" si="179"/>
        <v>0</v>
      </c>
      <c r="N314" s="113"/>
      <c r="O314" s="113">
        <f t="shared" si="166"/>
        <v>0</v>
      </c>
      <c r="P314" s="113"/>
      <c r="Q314" s="113">
        <f t="shared" si="180"/>
        <v>0</v>
      </c>
      <c r="R314" s="113">
        <f t="shared" si="181"/>
        <v>0</v>
      </c>
      <c r="S314" s="113">
        <f t="shared" si="199"/>
        <v>0</v>
      </c>
      <c r="T314" s="113">
        <f t="shared" si="182"/>
        <v>0</v>
      </c>
      <c r="U314" s="113">
        <f t="shared" si="200"/>
        <v>0</v>
      </c>
      <c r="V314" s="146">
        <f t="shared" si="183"/>
        <v>0</v>
      </c>
      <c r="W314" s="66"/>
      <c r="X314" s="115">
        <f t="shared" si="167"/>
        <v>3.125E-2</v>
      </c>
      <c r="Y314" s="110">
        <f t="shared" si="184"/>
        <v>0</v>
      </c>
      <c r="Z314" s="111">
        <f t="shared" si="203"/>
        <v>0.29166666666666669</v>
      </c>
      <c r="AA314" s="112">
        <f t="shared" si="185"/>
        <v>0</v>
      </c>
      <c r="AB314" s="67" t="str">
        <f t="shared" si="186"/>
        <v/>
      </c>
      <c r="AC314" s="193">
        <f t="shared" si="168"/>
        <v>0</v>
      </c>
      <c r="AD314" s="144" t="str">
        <f t="shared" si="169"/>
        <v/>
      </c>
      <c r="AE314" s="228">
        <f t="shared" si="195"/>
        <v>0</v>
      </c>
      <c r="AF314" s="110"/>
      <c r="AG314" s="110" t="str">
        <f t="shared" si="187"/>
        <v/>
      </c>
      <c r="AH314" s="68">
        <f t="shared" si="170"/>
        <v>0</v>
      </c>
      <c r="AI314" s="68">
        <f t="shared" si="171"/>
        <v>0</v>
      </c>
      <c r="AJ314" s="68" t="str">
        <f t="shared" si="172"/>
        <v/>
      </c>
      <c r="AK314">
        <f t="shared" si="173"/>
        <v>3</v>
      </c>
      <c r="AL314" s="122">
        <f>SUM($AD$6:AD314)</f>
        <v>0</v>
      </c>
      <c r="AM314" s="122">
        <f t="shared" ca="1" si="188"/>
        <v>0</v>
      </c>
      <c r="AN314" s="126">
        <f t="shared" si="196"/>
        <v>0</v>
      </c>
      <c r="AO314" s="126">
        <f t="shared" si="197"/>
        <v>0</v>
      </c>
      <c r="AP314" s="126">
        <f t="shared" si="198"/>
        <v>0</v>
      </c>
      <c r="AQ314" s="125">
        <f t="shared" si="189"/>
        <v>30</v>
      </c>
      <c r="AR314" s="125">
        <f t="shared" ca="1" si="190"/>
        <v>30</v>
      </c>
      <c r="AS314" s="135">
        <f t="shared" si="191"/>
        <v>0</v>
      </c>
      <c r="AT314" s="125">
        <f t="shared" si="192"/>
        <v>0</v>
      </c>
      <c r="AU314" t="b">
        <f>OR((F314&gt;0),(NOT(ISBLANK(H314))),SUM(H314:H$373),SUM(G314:G$373))</f>
        <v>0</v>
      </c>
      <c r="AV314" t="b">
        <f t="shared" ca="1" si="174"/>
        <v>0</v>
      </c>
      <c r="AX314" s="228">
        <f>SUM(AW$5:AW314)</f>
        <v>-2.9166666666666665</v>
      </c>
    </row>
    <row r="315" spans="1:50">
      <c r="A315" s="308">
        <f t="shared" si="193"/>
        <v>42678</v>
      </c>
      <c r="B315" s="309">
        <f t="shared" si="194"/>
        <v>42678</v>
      </c>
      <c r="C315" s="310">
        <f t="shared" si="201"/>
        <v>45</v>
      </c>
      <c r="D315" s="311">
        <f t="shared" si="202"/>
        <v>42674</v>
      </c>
      <c r="E315" s="321" t="str">
        <f t="shared" si="175"/>
        <v/>
      </c>
      <c r="F315" s="5"/>
      <c r="G315" s="6" t="str">
        <f t="shared" si="176"/>
        <v/>
      </c>
      <c r="H315" s="7"/>
      <c r="I315" s="7">
        <f t="shared" si="177"/>
        <v>0</v>
      </c>
      <c r="J315" s="113">
        <f t="shared" si="165"/>
        <v>0</v>
      </c>
      <c r="K315" s="7"/>
      <c r="L315" s="7">
        <f t="shared" si="178"/>
        <v>0</v>
      </c>
      <c r="M315" s="113">
        <f t="shared" si="179"/>
        <v>0</v>
      </c>
      <c r="N315" s="113"/>
      <c r="O315" s="113">
        <f t="shared" si="166"/>
        <v>0</v>
      </c>
      <c r="P315" s="113"/>
      <c r="Q315" s="113">
        <f t="shared" si="180"/>
        <v>0</v>
      </c>
      <c r="R315" s="113">
        <f t="shared" si="181"/>
        <v>0</v>
      </c>
      <c r="S315" s="113">
        <f t="shared" si="199"/>
        <v>0</v>
      </c>
      <c r="T315" s="113">
        <f t="shared" si="182"/>
        <v>0</v>
      </c>
      <c r="U315" s="113">
        <f t="shared" si="200"/>
        <v>0</v>
      </c>
      <c r="V315" s="146">
        <f t="shared" si="183"/>
        <v>0</v>
      </c>
      <c r="W315" s="66"/>
      <c r="X315" s="115">
        <f t="shared" si="167"/>
        <v>3.125E-2</v>
      </c>
      <c r="Y315" s="110">
        <f t="shared" si="184"/>
        <v>0</v>
      </c>
      <c r="Z315" s="111">
        <f t="shared" si="203"/>
        <v>0.29166666666666669</v>
      </c>
      <c r="AA315" s="112">
        <f t="shared" si="185"/>
        <v>0</v>
      </c>
      <c r="AB315" s="67" t="str">
        <f t="shared" si="186"/>
        <v/>
      </c>
      <c r="AC315" s="193">
        <f t="shared" si="168"/>
        <v>0</v>
      </c>
      <c r="AD315" s="144" t="str">
        <f t="shared" si="169"/>
        <v/>
      </c>
      <c r="AE315" s="228">
        <f t="shared" si="195"/>
        <v>0</v>
      </c>
      <c r="AF315" s="110"/>
      <c r="AG315" s="110" t="str">
        <f t="shared" si="187"/>
        <v/>
      </c>
      <c r="AH315" s="68">
        <f t="shared" si="170"/>
        <v>0</v>
      </c>
      <c r="AI315" s="68">
        <f t="shared" si="171"/>
        <v>0</v>
      </c>
      <c r="AJ315" s="68" t="str">
        <f t="shared" si="172"/>
        <v/>
      </c>
      <c r="AK315">
        <f t="shared" si="173"/>
        <v>4</v>
      </c>
      <c r="AL315" s="122">
        <f>SUM($AD$6:AD315)</f>
        <v>0</v>
      </c>
      <c r="AM315" s="122">
        <f t="shared" ca="1" si="188"/>
        <v>0</v>
      </c>
      <c r="AN315" s="126">
        <f t="shared" si="196"/>
        <v>0</v>
      </c>
      <c r="AO315" s="126">
        <f t="shared" si="197"/>
        <v>0</v>
      </c>
      <c r="AP315" s="126">
        <f t="shared" si="198"/>
        <v>0</v>
      </c>
      <c r="AQ315" s="125">
        <f t="shared" si="189"/>
        <v>30</v>
      </c>
      <c r="AR315" s="125">
        <f t="shared" ca="1" si="190"/>
        <v>30</v>
      </c>
      <c r="AS315" s="135">
        <f t="shared" si="191"/>
        <v>0</v>
      </c>
      <c r="AT315" s="125">
        <f t="shared" si="192"/>
        <v>0</v>
      </c>
      <c r="AU315" t="b">
        <f>OR((F315&gt;0),(NOT(ISBLANK(H315))),SUM(H315:H$373),SUM(G315:G$373))</f>
        <v>0</v>
      </c>
      <c r="AV315" t="b">
        <f t="shared" ca="1" si="174"/>
        <v>0</v>
      </c>
      <c r="AX315" s="228">
        <f>SUM(AW$5:AW315)</f>
        <v>-2.9166666666666665</v>
      </c>
    </row>
    <row r="316" spans="1:50">
      <c r="A316" s="308">
        <f t="shared" si="193"/>
        <v>42679</v>
      </c>
      <c r="B316" s="309">
        <f t="shared" si="194"/>
        <v>42679</v>
      </c>
      <c r="C316" s="310">
        <f t="shared" si="201"/>
        <v>45</v>
      </c>
      <c r="D316" s="311">
        <f t="shared" si="202"/>
        <v>42674</v>
      </c>
      <c r="E316" s="321" t="str">
        <f t="shared" si="175"/>
        <v/>
      </c>
      <c r="F316" s="5"/>
      <c r="G316" s="6" t="str">
        <f t="shared" si="176"/>
        <v/>
      </c>
      <c r="H316" s="7"/>
      <c r="I316" s="7">
        <f t="shared" si="177"/>
        <v>0</v>
      </c>
      <c r="J316" s="113">
        <f t="shared" si="165"/>
        <v>0</v>
      </c>
      <c r="K316" s="7"/>
      <c r="L316" s="7">
        <f t="shared" si="178"/>
        <v>0</v>
      </c>
      <c r="M316" s="113">
        <f t="shared" si="179"/>
        <v>0</v>
      </c>
      <c r="N316" s="113"/>
      <c r="O316" s="113">
        <f t="shared" si="166"/>
        <v>0</v>
      </c>
      <c r="P316" s="113"/>
      <c r="Q316" s="113">
        <f t="shared" si="180"/>
        <v>0</v>
      </c>
      <c r="R316" s="113">
        <f t="shared" si="181"/>
        <v>0</v>
      </c>
      <c r="S316" s="113">
        <f t="shared" si="199"/>
        <v>0</v>
      </c>
      <c r="T316" s="113">
        <f t="shared" si="182"/>
        <v>0</v>
      </c>
      <c r="U316" s="113">
        <f t="shared" si="200"/>
        <v>0</v>
      </c>
      <c r="V316" s="146">
        <f t="shared" si="183"/>
        <v>0</v>
      </c>
      <c r="W316" s="66"/>
      <c r="X316" s="115">
        <f t="shared" si="167"/>
        <v>3.125E-2</v>
      </c>
      <c r="Y316" s="110">
        <f t="shared" si="184"/>
        <v>0</v>
      </c>
      <c r="Z316" s="111">
        <f t="shared" si="203"/>
        <v>0.29166666666666669</v>
      </c>
      <c r="AA316" s="112">
        <f t="shared" si="185"/>
        <v>0</v>
      </c>
      <c r="AB316" s="67" t="str">
        <f t="shared" si="186"/>
        <v/>
      </c>
      <c r="AC316" s="193">
        <f t="shared" si="168"/>
        <v>0</v>
      </c>
      <c r="AD316" s="144" t="str">
        <f t="shared" si="169"/>
        <v/>
      </c>
      <c r="AE316" s="228">
        <f t="shared" si="195"/>
        <v>0</v>
      </c>
      <c r="AF316" s="110"/>
      <c r="AG316" s="110" t="str">
        <f t="shared" si="187"/>
        <v/>
      </c>
      <c r="AH316" s="68">
        <f t="shared" si="170"/>
        <v>0</v>
      </c>
      <c r="AI316" s="68">
        <f t="shared" si="171"/>
        <v>0</v>
      </c>
      <c r="AJ316" s="68" t="str">
        <f t="shared" si="172"/>
        <v/>
      </c>
      <c r="AK316">
        <f t="shared" si="173"/>
        <v>5</v>
      </c>
      <c r="AL316" s="122">
        <f>SUM($AD$6:AD316)</f>
        <v>0</v>
      </c>
      <c r="AM316" s="122">
        <f t="shared" ca="1" si="188"/>
        <v>0</v>
      </c>
      <c r="AN316" s="126">
        <f t="shared" si="196"/>
        <v>0</v>
      </c>
      <c r="AO316" s="126">
        <f t="shared" si="197"/>
        <v>0</v>
      </c>
      <c r="AP316" s="126">
        <f t="shared" si="198"/>
        <v>0</v>
      </c>
      <c r="AQ316" s="125">
        <f t="shared" si="189"/>
        <v>30</v>
      </c>
      <c r="AR316" s="125">
        <f t="shared" ca="1" si="190"/>
        <v>30</v>
      </c>
      <c r="AS316" s="135">
        <f t="shared" si="191"/>
        <v>0</v>
      </c>
      <c r="AT316" s="125">
        <f t="shared" si="192"/>
        <v>0</v>
      </c>
      <c r="AU316" t="b">
        <f>OR((F316&gt;0),(NOT(ISBLANK(H316))),SUM(H316:H$373),SUM(G316:G$373))</f>
        <v>0</v>
      </c>
      <c r="AV316" t="b">
        <f t="shared" ca="1" si="174"/>
        <v>0</v>
      </c>
      <c r="AX316" s="228">
        <f>SUM(AW$5:AW316)</f>
        <v>-2.9166666666666665</v>
      </c>
    </row>
    <row r="317" spans="1:50">
      <c r="A317" s="308">
        <f t="shared" si="193"/>
        <v>42680</v>
      </c>
      <c r="B317" s="309">
        <f t="shared" si="194"/>
        <v>42680</v>
      </c>
      <c r="C317" s="310">
        <f t="shared" si="201"/>
        <v>45</v>
      </c>
      <c r="D317" s="311">
        <f t="shared" si="202"/>
        <v>42674</v>
      </c>
      <c r="E317" s="321" t="str">
        <f t="shared" si="175"/>
        <v/>
      </c>
      <c r="F317" s="5"/>
      <c r="G317" s="6" t="str">
        <f t="shared" si="176"/>
        <v/>
      </c>
      <c r="H317" s="7"/>
      <c r="I317" s="7">
        <f t="shared" si="177"/>
        <v>0</v>
      </c>
      <c r="J317" s="113">
        <f t="shared" si="165"/>
        <v>0</v>
      </c>
      <c r="K317" s="7"/>
      <c r="L317" s="7">
        <f t="shared" si="178"/>
        <v>0</v>
      </c>
      <c r="M317" s="113">
        <f t="shared" si="179"/>
        <v>0</v>
      </c>
      <c r="N317" s="113"/>
      <c r="O317" s="113">
        <f t="shared" si="166"/>
        <v>0</v>
      </c>
      <c r="P317" s="113"/>
      <c r="Q317" s="113">
        <f t="shared" si="180"/>
        <v>0</v>
      </c>
      <c r="R317" s="113">
        <f t="shared" si="181"/>
        <v>0</v>
      </c>
      <c r="S317" s="113">
        <f t="shared" si="199"/>
        <v>0</v>
      </c>
      <c r="T317" s="113">
        <f t="shared" si="182"/>
        <v>0</v>
      </c>
      <c r="U317" s="113">
        <f t="shared" si="200"/>
        <v>0</v>
      </c>
      <c r="V317" s="146">
        <f t="shared" si="183"/>
        <v>0</v>
      </c>
      <c r="W317" s="66"/>
      <c r="X317" s="115">
        <f t="shared" si="167"/>
        <v>3.125E-2</v>
      </c>
      <c r="Y317" s="110">
        <f t="shared" si="184"/>
        <v>0</v>
      </c>
      <c r="Z317" s="111">
        <f t="shared" si="203"/>
        <v>0</v>
      </c>
      <c r="AA317" s="112">
        <f t="shared" si="185"/>
        <v>0</v>
      </c>
      <c r="AB317" s="67" t="str">
        <f t="shared" si="186"/>
        <v/>
      </c>
      <c r="AC317" s="193">
        <f t="shared" si="168"/>
        <v>0</v>
      </c>
      <c r="AD317" s="144" t="str">
        <f t="shared" si="169"/>
        <v/>
      </c>
      <c r="AE317" s="228">
        <f t="shared" si="195"/>
        <v>0</v>
      </c>
      <c r="AF317" s="110"/>
      <c r="AG317" s="110" t="str">
        <f t="shared" si="187"/>
        <v/>
      </c>
      <c r="AH317" s="68">
        <f t="shared" si="170"/>
        <v>0</v>
      </c>
      <c r="AI317" s="68">
        <f t="shared" si="171"/>
        <v>0</v>
      </c>
      <c r="AJ317" s="68" t="str">
        <f t="shared" si="172"/>
        <v/>
      </c>
      <c r="AK317">
        <f t="shared" si="173"/>
        <v>6</v>
      </c>
      <c r="AL317" s="122">
        <f>SUM($AD$6:AD317)</f>
        <v>0</v>
      </c>
      <c r="AM317" s="122">
        <f t="shared" ca="1" si="188"/>
        <v>0</v>
      </c>
      <c r="AN317" s="126">
        <f t="shared" si="196"/>
        <v>0</v>
      </c>
      <c r="AO317" s="126">
        <f t="shared" si="197"/>
        <v>0</v>
      </c>
      <c r="AP317" s="126">
        <f t="shared" si="198"/>
        <v>0</v>
      </c>
      <c r="AQ317" s="125">
        <f t="shared" si="189"/>
        <v>30</v>
      </c>
      <c r="AR317" s="125">
        <f t="shared" ca="1" si="190"/>
        <v>30</v>
      </c>
      <c r="AS317" s="135">
        <f t="shared" si="191"/>
        <v>0</v>
      </c>
      <c r="AT317" s="125">
        <f t="shared" si="192"/>
        <v>7</v>
      </c>
      <c r="AU317" t="b">
        <f>OR((F317&gt;0),(NOT(ISBLANK(H317))),SUM(H317:H$373),SUM(G317:G$373))</f>
        <v>0</v>
      </c>
      <c r="AV317" t="b">
        <f t="shared" ca="1" si="174"/>
        <v>1</v>
      </c>
      <c r="AX317" s="228">
        <f>SUM(AW$5:AW317)</f>
        <v>-2.9166666666666665</v>
      </c>
    </row>
    <row r="318" spans="1:50">
      <c r="A318" s="308">
        <f t="shared" si="193"/>
        <v>42681</v>
      </c>
      <c r="B318" s="309">
        <f t="shared" si="194"/>
        <v>42681</v>
      </c>
      <c r="C318" s="310">
        <f t="shared" si="201"/>
        <v>45</v>
      </c>
      <c r="D318" s="311">
        <f t="shared" si="202"/>
        <v>42674</v>
      </c>
      <c r="E318" s="321" t="str">
        <f t="shared" si="175"/>
        <v/>
      </c>
      <c r="F318" s="5"/>
      <c r="G318" s="6" t="str">
        <f t="shared" si="176"/>
        <v/>
      </c>
      <c r="H318" s="7"/>
      <c r="I318" s="7">
        <f t="shared" si="177"/>
        <v>0</v>
      </c>
      <c r="J318" s="113">
        <f t="shared" si="165"/>
        <v>0</v>
      </c>
      <c r="K318" s="7"/>
      <c r="L318" s="7">
        <f t="shared" si="178"/>
        <v>0</v>
      </c>
      <c r="M318" s="113">
        <f t="shared" si="179"/>
        <v>0</v>
      </c>
      <c r="N318" s="113"/>
      <c r="O318" s="113">
        <f t="shared" si="166"/>
        <v>0</v>
      </c>
      <c r="P318" s="113"/>
      <c r="Q318" s="113">
        <f t="shared" si="180"/>
        <v>0</v>
      </c>
      <c r="R318" s="113">
        <f t="shared" si="181"/>
        <v>0</v>
      </c>
      <c r="S318" s="113">
        <f t="shared" si="199"/>
        <v>0</v>
      </c>
      <c r="T318" s="113">
        <f t="shared" si="182"/>
        <v>0</v>
      </c>
      <c r="U318" s="113">
        <f t="shared" si="200"/>
        <v>0</v>
      </c>
      <c r="V318" s="146">
        <f t="shared" si="183"/>
        <v>0</v>
      </c>
      <c r="W318" s="66"/>
      <c r="X318" s="115">
        <f t="shared" si="167"/>
        <v>3.125E-2</v>
      </c>
      <c r="Y318" s="110">
        <f t="shared" si="184"/>
        <v>0</v>
      </c>
      <c r="Z318" s="111">
        <f t="shared" si="203"/>
        <v>0</v>
      </c>
      <c r="AA318" s="112">
        <f t="shared" si="185"/>
        <v>0</v>
      </c>
      <c r="AB318" s="67" t="str">
        <f t="shared" si="186"/>
        <v/>
      </c>
      <c r="AC318" s="193">
        <f t="shared" si="168"/>
        <v>0</v>
      </c>
      <c r="AD318" s="144" t="str">
        <f t="shared" si="169"/>
        <v/>
      </c>
      <c r="AE318" s="228">
        <f t="shared" si="195"/>
        <v>0</v>
      </c>
      <c r="AF318" s="110"/>
      <c r="AG318" s="110" t="str">
        <f t="shared" si="187"/>
        <v/>
      </c>
      <c r="AH318" s="68">
        <f t="shared" si="170"/>
        <v>0</v>
      </c>
      <c r="AI318" s="68">
        <f t="shared" si="171"/>
        <v>0</v>
      </c>
      <c r="AJ318" s="68" t="str">
        <f t="shared" si="172"/>
        <v/>
      </c>
      <c r="AK318">
        <f t="shared" si="173"/>
        <v>7</v>
      </c>
      <c r="AL318" s="122">
        <f>SUM($AD$6:AD318)</f>
        <v>0</v>
      </c>
      <c r="AM318" s="122">
        <f t="shared" ca="1" si="188"/>
        <v>0</v>
      </c>
      <c r="AN318" s="126">
        <f t="shared" si="196"/>
        <v>0</v>
      </c>
      <c r="AO318" s="126">
        <f t="shared" si="197"/>
        <v>0</v>
      </c>
      <c r="AP318" s="126">
        <f t="shared" si="198"/>
        <v>0</v>
      </c>
      <c r="AQ318" s="125">
        <f t="shared" si="189"/>
        <v>30</v>
      </c>
      <c r="AR318" s="125">
        <f t="shared" ca="1" si="190"/>
        <v>30</v>
      </c>
      <c r="AS318" s="135">
        <f t="shared" si="191"/>
        <v>0</v>
      </c>
      <c r="AT318" s="125">
        <f t="shared" si="192"/>
        <v>7</v>
      </c>
      <c r="AU318" t="b">
        <f>OR((F318&gt;0),(NOT(ISBLANK(H318))),SUM(H318:H$373),SUM(G318:G$373))</f>
        <v>0</v>
      </c>
      <c r="AV318" t="b">
        <f t="shared" ca="1" si="174"/>
        <v>1</v>
      </c>
      <c r="AX318" s="228">
        <f>SUM(AW$5:AW318)</f>
        <v>-2.9166666666666665</v>
      </c>
    </row>
    <row r="319" spans="1:50">
      <c r="A319" s="308">
        <f t="shared" si="193"/>
        <v>42682</v>
      </c>
      <c r="B319" s="309">
        <f t="shared" si="194"/>
        <v>42682</v>
      </c>
      <c r="C319" s="310">
        <f t="shared" si="201"/>
        <v>46</v>
      </c>
      <c r="D319" s="311">
        <f t="shared" si="202"/>
        <v>42674</v>
      </c>
      <c r="E319" s="321" t="str">
        <f t="shared" si="175"/>
        <v/>
      </c>
      <c r="F319" s="5"/>
      <c r="G319" s="6" t="str">
        <f t="shared" si="176"/>
        <v/>
      </c>
      <c r="H319" s="7"/>
      <c r="I319" s="7">
        <f t="shared" si="177"/>
        <v>0</v>
      </c>
      <c r="J319" s="113">
        <f t="shared" si="165"/>
        <v>0</v>
      </c>
      <c r="K319" s="7"/>
      <c r="L319" s="7">
        <f t="shared" si="178"/>
        <v>0</v>
      </c>
      <c r="M319" s="113">
        <f t="shared" si="179"/>
        <v>0</v>
      </c>
      <c r="N319" s="113"/>
      <c r="O319" s="113">
        <f t="shared" si="166"/>
        <v>0</v>
      </c>
      <c r="P319" s="113"/>
      <c r="Q319" s="113">
        <f t="shared" si="180"/>
        <v>0</v>
      </c>
      <c r="R319" s="113">
        <f t="shared" si="181"/>
        <v>0</v>
      </c>
      <c r="S319" s="113">
        <f t="shared" si="199"/>
        <v>0</v>
      </c>
      <c r="T319" s="113">
        <f t="shared" si="182"/>
        <v>0</v>
      </c>
      <c r="U319" s="113">
        <f t="shared" si="200"/>
        <v>0</v>
      </c>
      <c r="V319" s="146">
        <f t="shared" si="183"/>
        <v>0</v>
      </c>
      <c r="W319" s="66"/>
      <c r="X319" s="115">
        <f t="shared" si="167"/>
        <v>3.125E-2</v>
      </c>
      <c r="Y319" s="110">
        <f t="shared" si="184"/>
        <v>0</v>
      </c>
      <c r="Z319" s="111">
        <f t="shared" si="203"/>
        <v>0.29166666666666669</v>
      </c>
      <c r="AA319" s="112">
        <f t="shared" si="185"/>
        <v>0</v>
      </c>
      <c r="AB319" s="67" t="str">
        <f t="shared" si="186"/>
        <v/>
      </c>
      <c r="AC319" s="193">
        <f t="shared" si="168"/>
        <v>0</v>
      </c>
      <c r="AD319" s="144" t="str">
        <f t="shared" si="169"/>
        <v/>
      </c>
      <c r="AE319" s="228">
        <f t="shared" si="195"/>
        <v>0</v>
      </c>
      <c r="AF319" s="110"/>
      <c r="AG319" s="110" t="str">
        <f t="shared" si="187"/>
        <v/>
      </c>
      <c r="AH319" s="68">
        <f t="shared" si="170"/>
        <v>0</v>
      </c>
      <c r="AI319" s="68">
        <f t="shared" si="171"/>
        <v>0</v>
      </c>
      <c r="AJ319" s="68" t="str">
        <f t="shared" si="172"/>
        <v/>
      </c>
      <c r="AK319">
        <f t="shared" si="173"/>
        <v>1</v>
      </c>
      <c r="AL319" s="122">
        <f>SUM($AD$6:AD319)</f>
        <v>0</v>
      </c>
      <c r="AM319" s="122">
        <f t="shared" ca="1" si="188"/>
        <v>0</v>
      </c>
      <c r="AN319" s="126">
        <f t="shared" si="196"/>
        <v>0</v>
      </c>
      <c r="AO319" s="126">
        <f t="shared" si="197"/>
        <v>0</v>
      </c>
      <c r="AP319" s="126">
        <f t="shared" si="198"/>
        <v>0</v>
      </c>
      <c r="AQ319" s="125">
        <f t="shared" si="189"/>
        <v>30</v>
      </c>
      <c r="AR319" s="125">
        <f t="shared" ca="1" si="190"/>
        <v>30</v>
      </c>
      <c r="AS319" s="135">
        <f t="shared" si="191"/>
        <v>0</v>
      </c>
      <c r="AT319" s="125">
        <f t="shared" si="192"/>
        <v>0</v>
      </c>
      <c r="AU319" t="b">
        <f>OR((F319&gt;0),(NOT(ISBLANK(H319))),SUM(H319:H$373),SUM(G319:G$373))</f>
        <v>0</v>
      </c>
      <c r="AV319" t="b">
        <f t="shared" ca="1" si="174"/>
        <v>0</v>
      </c>
      <c r="AX319" s="228">
        <f>SUM(AW$5:AW319)</f>
        <v>-2.9166666666666665</v>
      </c>
    </row>
    <row r="320" spans="1:50">
      <c r="A320" s="308">
        <f t="shared" si="193"/>
        <v>42683</v>
      </c>
      <c r="B320" s="309">
        <f t="shared" si="194"/>
        <v>42683</v>
      </c>
      <c r="C320" s="310">
        <f t="shared" si="201"/>
        <v>46</v>
      </c>
      <c r="D320" s="311">
        <f t="shared" si="202"/>
        <v>42674</v>
      </c>
      <c r="E320" s="321" t="str">
        <f t="shared" si="175"/>
        <v/>
      </c>
      <c r="F320" s="5"/>
      <c r="G320" s="6" t="str">
        <f t="shared" si="176"/>
        <v/>
      </c>
      <c r="H320" s="7"/>
      <c r="I320" s="7">
        <f t="shared" si="177"/>
        <v>0</v>
      </c>
      <c r="J320" s="113">
        <f t="shared" si="165"/>
        <v>0</v>
      </c>
      <c r="K320" s="7"/>
      <c r="L320" s="7">
        <f t="shared" si="178"/>
        <v>0</v>
      </c>
      <c r="M320" s="113">
        <f t="shared" si="179"/>
        <v>0</v>
      </c>
      <c r="N320" s="113"/>
      <c r="O320" s="113">
        <f t="shared" si="166"/>
        <v>0</v>
      </c>
      <c r="P320" s="113"/>
      <c r="Q320" s="113">
        <f t="shared" si="180"/>
        <v>0</v>
      </c>
      <c r="R320" s="113">
        <f t="shared" si="181"/>
        <v>0</v>
      </c>
      <c r="S320" s="113">
        <f t="shared" si="199"/>
        <v>0</v>
      </c>
      <c r="T320" s="113">
        <f t="shared" si="182"/>
        <v>0</v>
      </c>
      <c r="U320" s="113">
        <f t="shared" si="200"/>
        <v>0</v>
      </c>
      <c r="V320" s="146">
        <f t="shared" si="183"/>
        <v>0</v>
      </c>
      <c r="W320" s="66"/>
      <c r="X320" s="115">
        <f t="shared" si="167"/>
        <v>3.125E-2</v>
      </c>
      <c r="Y320" s="110">
        <f t="shared" si="184"/>
        <v>0</v>
      </c>
      <c r="Z320" s="111">
        <f t="shared" si="203"/>
        <v>0.29166666666666669</v>
      </c>
      <c r="AA320" s="112">
        <f t="shared" si="185"/>
        <v>0</v>
      </c>
      <c r="AB320" s="67" t="str">
        <f t="shared" si="186"/>
        <v/>
      </c>
      <c r="AC320" s="193">
        <f t="shared" si="168"/>
        <v>0</v>
      </c>
      <c r="AD320" s="144" t="str">
        <f t="shared" si="169"/>
        <v/>
      </c>
      <c r="AE320" s="228">
        <f t="shared" si="195"/>
        <v>0</v>
      </c>
      <c r="AF320" s="110"/>
      <c r="AG320" s="110" t="str">
        <f t="shared" si="187"/>
        <v/>
      </c>
      <c r="AH320" s="68">
        <f t="shared" si="170"/>
        <v>0</v>
      </c>
      <c r="AI320" s="68">
        <f t="shared" si="171"/>
        <v>0</v>
      </c>
      <c r="AJ320" s="68" t="str">
        <f t="shared" si="172"/>
        <v/>
      </c>
      <c r="AK320">
        <f t="shared" si="173"/>
        <v>2</v>
      </c>
      <c r="AL320" s="122">
        <f>SUM($AD$6:AD320)</f>
        <v>0</v>
      </c>
      <c r="AM320" s="122">
        <f t="shared" ca="1" si="188"/>
        <v>0</v>
      </c>
      <c r="AN320" s="126">
        <f t="shared" si="196"/>
        <v>0</v>
      </c>
      <c r="AO320" s="126">
        <f t="shared" si="197"/>
        <v>0</v>
      </c>
      <c r="AP320" s="126">
        <f t="shared" si="198"/>
        <v>0</v>
      </c>
      <c r="AQ320" s="125">
        <f t="shared" si="189"/>
        <v>30</v>
      </c>
      <c r="AR320" s="125">
        <f t="shared" ca="1" si="190"/>
        <v>30</v>
      </c>
      <c r="AS320" s="135">
        <f t="shared" si="191"/>
        <v>0</v>
      </c>
      <c r="AT320" s="125">
        <f t="shared" si="192"/>
        <v>0</v>
      </c>
      <c r="AU320" t="b">
        <f>OR((F320&gt;0),(NOT(ISBLANK(H320))),SUM(H320:H$373),SUM(G320:G$373))</f>
        <v>0</v>
      </c>
      <c r="AV320" t="b">
        <f t="shared" ca="1" si="174"/>
        <v>0</v>
      </c>
      <c r="AX320" s="228">
        <f>SUM(AW$5:AW320)</f>
        <v>-2.9166666666666665</v>
      </c>
    </row>
    <row r="321" spans="1:50">
      <c r="A321" s="308">
        <f t="shared" si="193"/>
        <v>42684</v>
      </c>
      <c r="B321" s="309">
        <f t="shared" si="194"/>
        <v>42684</v>
      </c>
      <c r="C321" s="310">
        <f t="shared" si="201"/>
        <v>46</v>
      </c>
      <c r="D321" s="311">
        <f t="shared" si="202"/>
        <v>42674</v>
      </c>
      <c r="E321" s="321" t="str">
        <f t="shared" si="175"/>
        <v/>
      </c>
      <c r="F321" s="5"/>
      <c r="G321" s="6" t="str">
        <f t="shared" si="176"/>
        <v/>
      </c>
      <c r="H321" s="7"/>
      <c r="I321" s="7">
        <f t="shared" si="177"/>
        <v>0</v>
      </c>
      <c r="J321" s="113">
        <f t="shared" si="165"/>
        <v>0</v>
      </c>
      <c r="K321" s="7"/>
      <c r="L321" s="7">
        <f t="shared" si="178"/>
        <v>0</v>
      </c>
      <c r="M321" s="113">
        <f t="shared" si="179"/>
        <v>0</v>
      </c>
      <c r="N321" s="113"/>
      <c r="O321" s="113">
        <f t="shared" si="166"/>
        <v>0</v>
      </c>
      <c r="P321" s="113"/>
      <c r="Q321" s="113">
        <f t="shared" si="180"/>
        <v>0</v>
      </c>
      <c r="R321" s="113">
        <f t="shared" si="181"/>
        <v>0</v>
      </c>
      <c r="S321" s="113">
        <f t="shared" si="199"/>
        <v>0</v>
      </c>
      <c r="T321" s="113">
        <f t="shared" si="182"/>
        <v>0</v>
      </c>
      <c r="U321" s="113">
        <f t="shared" si="200"/>
        <v>0</v>
      </c>
      <c r="V321" s="146">
        <f t="shared" si="183"/>
        <v>0</v>
      </c>
      <c r="W321" s="66"/>
      <c r="X321" s="115">
        <f t="shared" si="167"/>
        <v>3.125E-2</v>
      </c>
      <c r="Y321" s="110">
        <f t="shared" si="184"/>
        <v>0</v>
      </c>
      <c r="Z321" s="111">
        <f t="shared" si="203"/>
        <v>0.29166666666666669</v>
      </c>
      <c r="AA321" s="112">
        <f t="shared" si="185"/>
        <v>0</v>
      </c>
      <c r="AB321" s="67" t="str">
        <f t="shared" si="186"/>
        <v/>
      </c>
      <c r="AC321" s="193">
        <f t="shared" si="168"/>
        <v>0</v>
      </c>
      <c r="AD321" s="144" t="str">
        <f t="shared" si="169"/>
        <v/>
      </c>
      <c r="AE321" s="228">
        <f t="shared" si="195"/>
        <v>0</v>
      </c>
      <c r="AF321" s="110"/>
      <c r="AG321" s="110" t="str">
        <f t="shared" si="187"/>
        <v/>
      </c>
      <c r="AH321" s="68">
        <f t="shared" si="170"/>
        <v>0</v>
      </c>
      <c r="AI321" s="68">
        <f t="shared" si="171"/>
        <v>0</v>
      </c>
      <c r="AJ321" s="68" t="str">
        <f t="shared" si="172"/>
        <v/>
      </c>
      <c r="AK321">
        <f t="shared" si="173"/>
        <v>3</v>
      </c>
      <c r="AL321" s="122">
        <f>SUM($AD$6:AD321)</f>
        <v>0</v>
      </c>
      <c r="AM321" s="122">
        <f t="shared" ca="1" si="188"/>
        <v>0</v>
      </c>
      <c r="AN321" s="126">
        <f t="shared" si="196"/>
        <v>0</v>
      </c>
      <c r="AO321" s="126">
        <f t="shared" si="197"/>
        <v>0</v>
      </c>
      <c r="AP321" s="126">
        <f t="shared" si="198"/>
        <v>0</v>
      </c>
      <c r="AQ321" s="125">
        <f t="shared" si="189"/>
        <v>30</v>
      </c>
      <c r="AR321" s="125">
        <f t="shared" ca="1" si="190"/>
        <v>30</v>
      </c>
      <c r="AS321" s="135">
        <f t="shared" si="191"/>
        <v>0</v>
      </c>
      <c r="AT321" s="125">
        <f t="shared" si="192"/>
        <v>0</v>
      </c>
      <c r="AU321" t="b">
        <f>OR((F321&gt;0),(NOT(ISBLANK(H321))),SUM(H321:H$373),SUM(G321:G$373))</f>
        <v>0</v>
      </c>
      <c r="AV321" t="b">
        <f t="shared" ca="1" si="174"/>
        <v>0</v>
      </c>
      <c r="AX321" s="228">
        <f>SUM(AW$5:AW321)</f>
        <v>-2.9166666666666665</v>
      </c>
    </row>
    <row r="322" spans="1:50">
      <c r="A322" s="308">
        <f t="shared" si="193"/>
        <v>42685</v>
      </c>
      <c r="B322" s="309">
        <f t="shared" si="194"/>
        <v>42685</v>
      </c>
      <c r="C322" s="310">
        <f t="shared" si="201"/>
        <v>46</v>
      </c>
      <c r="D322" s="311">
        <f t="shared" si="202"/>
        <v>42674</v>
      </c>
      <c r="E322" s="321" t="str">
        <f t="shared" si="175"/>
        <v/>
      </c>
      <c r="F322" s="5"/>
      <c r="G322" s="6" t="str">
        <f t="shared" si="176"/>
        <v/>
      </c>
      <c r="H322" s="7"/>
      <c r="I322" s="7">
        <f t="shared" si="177"/>
        <v>0</v>
      </c>
      <c r="J322" s="113">
        <f t="shared" si="165"/>
        <v>0</v>
      </c>
      <c r="K322" s="7"/>
      <c r="L322" s="7">
        <f t="shared" si="178"/>
        <v>0</v>
      </c>
      <c r="M322" s="113">
        <f t="shared" si="179"/>
        <v>0</v>
      </c>
      <c r="N322" s="113"/>
      <c r="O322" s="113">
        <f t="shared" si="166"/>
        <v>0</v>
      </c>
      <c r="P322" s="113"/>
      <c r="Q322" s="113">
        <f t="shared" si="180"/>
        <v>0</v>
      </c>
      <c r="R322" s="113">
        <f t="shared" si="181"/>
        <v>0</v>
      </c>
      <c r="S322" s="113">
        <f t="shared" si="199"/>
        <v>0</v>
      </c>
      <c r="T322" s="113">
        <f t="shared" si="182"/>
        <v>0</v>
      </c>
      <c r="U322" s="113">
        <f t="shared" si="200"/>
        <v>0</v>
      </c>
      <c r="V322" s="146">
        <f t="shared" si="183"/>
        <v>0</v>
      </c>
      <c r="W322" s="66"/>
      <c r="X322" s="115">
        <f t="shared" si="167"/>
        <v>3.125E-2</v>
      </c>
      <c r="Y322" s="110">
        <f t="shared" si="184"/>
        <v>0</v>
      </c>
      <c r="Z322" s="111">
        <f t="shared" si="203"/>
        <v>0.29166666666666669</v>
      </c>
      <c r="AA322" s="112">
        <f t="shared" si="185"/>
        <v>0</v>
      </c>
      <c r="AB322" s="67" t="str">
        <f t="shared" si="186"/>
        <v/>
      </c>
      <c r="AC322" s="193">
        <f t="shared" si="168"/>
        <v>0</v>
      </c>
      <c r="AD322" s="144" t="str">
        <f t="shared" si="169"/>
        <v/>
      </c>
      <c r="AE322" s="228">
        <f t="shared" si="195"/>
        <v>0</v>
      </c>
      <c r="AF322" s="110"/>
      <c r="AG322" s="110" t="str">
        <f t="shared" si="187"/>
        <v/>
      </c>
      <c r="AH322" s="68">
        <f t="shared" si="170"/>
        <v>0</v>
      </c>
      <c r="AI322" s="68">
        <f t="shared" si="171"/>
        <v>0</v>
      </c>
      <c r="AJ322" s="68" t="str">
        <f t="shared" si="172"/>
        <v/>
      </c>
      <c r="AK322">
        <f t="shared" si="173"/>
        <v>4</v>
      </c>
      <c r="AL322" s="122">
        <f>SUM($AD$6:AD322)</f>
        <v>0</v>
      </c>
      <c r="AM322" s="122">
        <f t="shared" ca="1" si="188"/>
        <v>0</v>
      </c>
      <c r="AN322" s="126">
        <f t="shared" si="196"/>
        <v>0</v>
      </c>
      <c r="AO322" s="126">
        <f t="shared" si="197"/>
        <v>0</v>
      </c>
      <c r="AP322" s="126">
        <f t="shared" si="198"/>
        <v>0</v>
      </c>
      <c r="AQ322" s="125">
        <f t="shared" si="189"/>
        <v>30</v>
      </c>
      <c r="AR322" s="125">
        <f t="shared" ca="1" si="190"/>
        <v>30</v>
      </c>
      <c r="AS322" s="135">
        <f t="shared" si="191"/>
        <v>0</v>
      </c>
      <c r="AT322" s="125">
        <f t="shared" si="192"/>
        <v>0</v>
      </c>
      <c r="AU322" t="b">
        <f>OR((F322&gt;0),(NOT(ISBLANK(H322))),SUM(H322:H$373),SUM(G322:G$373))</f>
        <v>0</v>
      </c>
      <c r="AV322" t="b">
        <f t="shared" ca="1" si="174"/>
        <v>0</v>
      </c>
      <c r="AX322" s="228">
        <f>SUM(AW$5:AW322)</f>
        <v>-2.9166666666666665</v>
      </c>
    </row>
    <row r="323" spans="1:50">
      <c r="A323" s="308">
        <f t="shared" si="193"/>
        <v>42686</v>
      </c>
      <c r="B323" s="309">
        <f t="shared" si="194"/>
        <v>42686</v>
      </c>
      <c r="C323" s="310">
        <f t="shared" si="201"/>
        <v>46</v>
      </c>
      <c r="D323" s="311">
        <f t="shared" si="202"/>
        <v>42674</v>
      </c>
      <c r="E323" s="321" t="str">
        <f t="shared" si="175"/>
        <v/>
      </c>
      <c r="F323" s="5"/>
      <c r="G323" s="6" t="str">
        <f t="shared" si="176"/>
        <v/>
      </c>
      <c r="H323" s="7"/>
      <c r="I323" s="7">
        <f t="shared" si="177"/>
        <v>0</v>
      </c>
      <c r="J323" s="113">
        <f t="shared" si="165"/>
        <v>0</v>
      </c>
      <c r="K323" s="7"/>
      <c r="L323" s="7">
        <f t="shared" si="178"/>
        <v>0</v>
      </c>
      <c r="M323" s="113">
        <f t="shared" si="179"/>
        <v>0</v>
      </c>
      <c r="N323" s="113"/>
      <c r="O323" s="113">
        <f t="shared" si="166"/>
        <v>0</v>
      </c>
      <c r="P323" s="113"/>
      <c r="Q323" s="113">
        <f t="shared" si="180"/>
        <v>0</v>
      </c>
      <c r="R323" s="113">
        <f t="shared" si="181"/>
        <v>0</v>
      </c>
      <c r="S323" s="113">
        <f t="shared" si="199"/>
        <v>0</v>
      </c>
      <c r="T323" s="113">
        <f t="shared" si="182"/>
        <v>0</v>
      </c>
      <c r="U323" s="113">
        <f t="shared" si="200"/>
        <v>0</v>
      </c>
      <c r="V323" s="146">
        <f t="shared" si="183"/>
        <v>0</v>
      </c>
      <c r="W323" s="66"/>
      <c r="X323" s="115">
        <f t="shared" si="167"/>
        <v>3.125E-2</v>
      </c>
      <c r="Y323" s="110">
        <f t="shared" si="184"/>
        <v>0</v>
      </c>
      <c r="Z323" s="111">
        <f t="shared" si="203"/>
        <v>0.29166666666666669</v>
      </c>
      <c r="AA323" s="112">
        <f t="shared" si="185"/>
        <v>0</v>
      </c>
      <c r="AB323" s="67" t="str">
        <f t="shared" si="186"/>
        <v/>
      </c>
      <c r="AC323" s="193">
        <f t="shared" si="168"/>
        <v>0</v>
      </c>
      <c r="AD323" s="144" t="str">
        <f t="shared" si="169"/>
        <v/>
      </c>
      <c r="AE323" s="228">
        <f t="shared" si="195"/>
        <v>0</v>
      </c>
      <c r="AF323" s="110"/>
      <c r="AG323" s="110" t="str">
        <f t="shared" si="187"/>
        <v/>
      </c>
      <c r="AH323" s="68">
        <f t="shared" si="170"/>
        <v>0</v>
      </c>
      <c r="AI323" s="68">
        <f t="shared" si="171"/>
        <v>0</v>
      </c>
      <c r="AJ323" s="68" t="str">
        <f t="shared" si="172"/>
        <v/>
      </c>
      <c r="AK323">
        <f t="shared" si="173"/>
        <v>5</v>
      </c>
      <c r="AL323" s="122">
        <f>SUM($AD$6:AD323)</f>
        <v>0</v>
      </c>
      <c r="AM323" s="122">
        <f t="shared" ca="1" si="188"/>
        <v>0</v>
      </c>
      <c r="AN323" s="126">
        <f t="shared" si="196"/>
        <v>0</v>
      </c>
      <c r="AO323" s="126">
        <f t="shared" si="197"/>
        <v>0</v>
      </c>
      <c r="AP323" s="126">
        <f t="shared" si="198"/>
        <v>0</v>
      </c>
      <c r="AQ323" s="125">
        <f t="shared" si="189"/>
        <v>30</v>
      </c>
      <c r="AR323" s="125">
        <f t="shared" ca="1" si="190"/>
        <v>30</v>
      </c>
      <c r="AS323" s="135">
        <f t="shared" si="191"/>
        <v>0</v>
      </c>
      <c r="AT323" s="125">
        <f t="shared" si="192"/>
        <v>0</v>
      </c>
      <c r="AU323" t="b">
        <f>OR((F323&gt;0),(NOT(ISBLANK(H323))),SUM(H323:H$373),SUM(G323:G$373))</f>
        <v>0</v>
      </c>
      <c r="AV323" t="b">
        <f t="shared" ca="1" si="174"/>
        <v>0</v>
      </c>
      <c r="AX323" s="228">
        <f>SUM(AW$5:AW323)</f>
        <v>-2.9166666666666665</v>
      </c>
    </row>
    <row r="324" spans="1:50">
      <c r="A324" s="308">
        <f t="shared" si="193"/>
        <v>42687</v>
      </c>
      <c r="B324" s="309">
        <f t="shared" si="194"/>
        <v>42687</v>
      </c>
      <c r="C324" s="310">
        <f t="shared" si="201"/>
        <v>46</v>
      </c>
      <c r="D324" s="311">
        <f t="shared" si="202"/>
        <v>42674</v>
      </c>
      <c r="E324" s="321" t="str">
        <f t="shared" si="175"/>
        <v/>
      </c>
      <c r="F324" s="5"/>
      <c r="G324" s="6" t="str">
        <f t="shared" si="176"/>
        <v/>
      </c>
      <c r="H324" s="7"/>
      <c r="I324" s="7">
        <f t="shared" si="177"/>
        <v>0</v>
      </c>
      <c r="J324" s="113">
        <f t="shared" si="165"/>
        <v>0</v>
      </c>
      <c r="K324" s="7"/>
      <c r="L324" s="7">
        <f t="shared" si="178"/>
        <v>0</v>
      </c>
      <c r="M324" s="113">
        <f t="shared" si="179"/>
        <v>0</v>
      </c>
      <c r="N324" s="113"/>
      <c r="O324" s="113">
        <f t="shared" si="166"/>
        <v>0</v>
      </c>
      <c r="P324" s="113"/>
      <c r="Q324" s="113">
        <f t="shared" si="180"/>
        <v>0</v>
      </c>
      <c r="R324" s="113">
        <f t="shared" si="181"/>
        <v>0</v>
      </c>
      <c r="S324" s="113">
        <f t="shared" si="199"/>
        <v>0</v>
      </c>
      <c r="T324" s="113">
        <f t="shared" si="182"/>
        <v>0</v>
      </c>
      <c r="U324" s="113">
        <f t="shared" si="200"/>
        <v>0</v>
      </c>
      <c r="V324" s="146">
        <f t="shared" si="183"/>
        <v>0</v>
      </c>
      <c r="W324" s="66"/>
      <c r="X324" s="115">
        <f t="shared" si="167"/>
        <v>3.125E-2</v>
      </c>
      <c r="Y324" s="110">
        <f t="shared" si="184"/>
        <v>0</v>
      </c>
      <c r="Z324" s="111">
        <f t="shared" si="203"/>
        <v>0</v>
      </c>
      <c r="AA324" s="112">
        <f t="shared" si="185"/>
        <v>0</v>
      </c>
      <c r="AB324" s="67" t="str">
        <f t="shared" si="186"/>
        <v/>
      </c>
      <c r="AC324" s="193">
        <f t="shared" si="168"/>
        <v>0</v>
      </c>
      <c r="AD324" s="144" t="str">
        <f t="shared" si="169"/>
        <v/>
      </c>
      <c r="AE324" s="228">
        <f t="shared" si="195"/>
        <v>0</v>
      </c>
      <c r="AF324" s="110"/>
      <c r="AG324" s="110" t="str">
        <f t="shared" si="187"/>
        <v/>
      </c>
      <c r="AH324" s="68">
        <f t="shared" si="170"/>
        <v>0</v>
      </c>
      <c r="AI324" s="68">
        <f t="shared" si="171"/>
        <v>0</v>
      </c>
      <c r="AJ324" s="68" t="str">
        <f t="shared" si="172"/>
        <v/>
      </c>
      <c r="AK324">
        <f t="shared" si="173"/>
        <v>6</v>
      </c>
      <c r="AL324" s="122">
        <f>SUM($AD$6:AD324)</f>
        <v>0</v>
      </c>
      <c r="AM324" s="122">
        <f t="shared" ca="1" si="188"/>
        <v>0</v>
      </c>
      <c r="AN324" s="126">
        <f t="shared" si="196"/>
        <v>0</v>
      </c>
      <c r="AO324" s="126">
        <f t="shared" si="197"/>
        <v>0</v>
      </c>
      <c r="AP324" s="126">
        <f t="shared" si="198"/>
        <v>0</v>
      </c>
      <c r="AQ324" s="125">
        <f t="shared" si="189"/>
        <v>30</v>
      </c>
      <c r="AR324" s="125">
        <f t="shared" ca="1" si="190"/>
        <v>30</v>
      </c>
      <c r="AS324" s="135">
        <f t="shared" si="191"/>
        <v>0</v>
      </c>
      <c r="AT324" s="125">
        <f t="shared" si="192"/>
        <v>7</v>
      </c>
      <c r="AU324" t="b">
        <f>OR((F324&gt;0),(NOT(ISBLANK(H324))),SUM(H324:H$373),SUM(G324:G$373))</f>
        <v>0</v>
      </c>
      <c r="AV324" t="b">
        <f t="shared" ca="1" si="174"/>
        <v>1</v>
      </c>
      <c r="AX324" s="228">
        <f>SUM(AW$5:AW324)</f>
        <v>-2.9166666666666665</v>
      </c>
    </row>
    <row r="325" spans="1:50">
      <c r="A325" s="308">
        <f t="shared" si="193"/>
        <v>42688</v>
      </c>
      <c r="B325" s="309">
        <f t="shared" si="194"/>
        <v>42688</v>
      </c>
      <c r="C325" s="310">
        <f t="shared" si="201"/>
        <v>46</v>
      </c>
      <c r="D325" s="311">
        <f t="shared" si="202"/>
        <v>42674</v>
      </c>
      <c r="E325" s="321" t="str">
        <f t="shared" si="175"/>
        <v/>
      </c>
      <c r="F325" s="5"/>
      <c r="G325" s="6" t="str">
        <f t="shared" si="176"/>
        <v/>
      </c>
      <c r="H325" s="7"/>
      <c r="I325" s="7">
        <f t="shared" si="177"/>
        <v>0</v>
      </c>
      <c r="J325" s="113">
        <f t="shared" ref="J325:J349" si="204">IF(I325&lt;H325,I325+1,I325)</f>
        <v>0</v>
      </c>
      <c r="K325" s="7"/>
      <c r="L325" s="7">
        <f t="shared" si="178"/>
        <v>0</v>
      </c>
      <c r="M325" s="113">
        <f t="shared" si="179"/>
        <v>0</v>
      </c>
      <c r="N325" s="113"/>
      <c r="O325" s="113">
        <f t="shared" ref="O325:O349" si="205">IF(N325&gt;0,N325+IF((J325-H325+M325-K325)&lt;Y325,Y325-(J325-H325+M325-K325),TIME(0,10,0))+IF((K325-J325+N325-M325)&gt;xNoWorkTime,0,xNoWorkTime-(K325-J325+N325-M325)),0)</f>
        <v>0</v>
      </c>
      <c r="P325" s="113"/>
      <c r="Q325" s="113">
        <f t="shared" si="180"/>
        <v>0</v>
      </c>
      <c r="R325" s="113">
        <f t="shared" si="181"/>
        <v>0</v>
      </c>
      <c r="S325" s="113">
        <f t="shared" si="199"/>
        <v>0</v>
      </c>
      <c r="T325" s="113">
        <f t="shared" si="182"/>
        <v>0</v>
      </c>
      <c r="U325" s="113">
        <f t="shared" si="200"/>
        <v>0</v>
      </c>
      <c r="V325" s="146">
        <f t="shared" si="183"/>
        <v>0</v>
      </c>
      <c r="W325" s="66"/>
      <c r="X325" s="115">
        <f t="shared" ref="X325:X373" si="206">xNoWorkTime</f>
        <v>3.125E-2</v>
      </c>
      <c r="Y325" s="110">
        <f t="shared" si="184"/>
        <v>0</v>
      </c>
      <c r="Z325" s="111">
        <f t="shared" si="203"/>
        <v>0</v>
      </c>
      <c r="AA325" s="112">
        <f t="shared" si="185"/>
        <v>0</v>
      </c>
      <c r="AB325" s="67" t="str">
        <f t="shared" si="186"/>
        <v/>
      </c>
      <c r="AC325" s="193">
        <f t="shared" ref="AC325:AC373" si="207">xOverTime</f>
        <v>0</v>
      </c>
      <c r="AD325" s="144" t="str">
        <f t="shared" ref="AD325:AD373" si="208">IF((R325-U325)&gt;XWorkTimeMax,(R325-U325-XWorkTimeMax),"")</f>
        <v/>
      </c>
      <c r="AE325" s="228">
        <f t="shared" si="195"/>
        <v>0</v>
      </c>
      <c r="AF325" s="110"/>
      <c r="AG325" s="110" t="str">
        <f t="shared" si="187"/>
        <v/>
      </c>
      <c r="AH325" s="68">
        <f t="shared" ref="AH325:AH373" si="209">IF(ISNUMBER(V325 ), IF( V325 &gt;= Y325, Y325, V325 ),"")</f>
        <v>0</v>
      </c>
      <c r="AI325" s="68">
        <f t="shared" ref="AI325:AI373" si="210">IF( ISNUMBER( V325 ), IF( V325 &gt;= Y325, V325 - Y325, "" ), "" )</f>
        <v>0</v>
      </c>
      <c r="AJ325" s="68" t="str">
        <f t="shared" ref="AJ325:AJ373" si="211">IF( AND(ISNUMBER( V325 ),ISNUMBER( Y325 )), IF( V325 &gt;= Y325, "", Y325 - V325 ), "" )</f>
        <v/>
      </c>
      <c r="AK325">
        <f t="shared" ref="AK325:AK373" si="212">IF(A325="",0,IF(ISERROR(VLOOKUP(A325,db_Feiertag,2,FALSE)),WEEKDAY(A325,2),Feiertag))</f>
        <v>7</v>
      </c>
      <c r="AL325" s="122">
        <f>SUM($AD$6:AD325)</f>
        <v>0</v>
      </c>
      <c r="AM325" s="122">
        <f t="shared" ca="1" si="188"/>
        <v>0</v>
      </c>
      <c r="AN325" s="126">
        <f t="shared" si="196"/>
        <v>0</v>
      </c>
      <c r="AO325" s="126">
        <f t="shared" si="197"/>
        <v>0</v>
      </c>
      <c r="AP325" s="126">
        <f t="shared" si="198"/>
        <v>0</v>
      </c>
      <c r="AQ325" s="125">
        <f t="shared" si="189"/>
        <v>30</v>
      </c>
      <c r="AR325" s="125">
        <f t="shared" ca="1" si="190"/>
        <v>30</v>
      </c>
      <c r="AS325" s="135">
        <f t="shared" si="191"/>
        <v>0</v>
      </c>
      <c r="AT325" s="125">
        <f t="shared" si="192"/>
        <v>7</v>
      </c>
      <c r="AU325" t="b">
        <f>OR((F325&gt;0),(NOT(ISBLANK(H325))),SUM(H325:H$373),SUM(G325:G$373))</f>
        <v>0</v>
      </c>
      <c r="AV325" t="b">
        <f t="shared" ref="AV325:AV373" ca="1" si="213">INDIRECT(ADDRESS(ROW(),COLUMN(xDay)))&gt;5</f>
        <v>1</v>
      </c>
      <c r="AX325" s="228">
        <f>SUM(AW$5:AW325)</f>
        <v>-2.9166666666666665</v>
      </c>
    </row>
    <row r="326" spans="1:50">
      <c r="A326" s="308">
        <f t="shared" si="193"/>
        <v>42689</v>
      </c>
      <c r="B326" s="309">
        <f t="shared" si="194"/>
        <v>42689</v>
      </c>
      <c r="C326" s="310">
        <f t="shared" si="201"/>
        <v>47</v>
      </c>
      <c r="D326" s="311">
        <f t="shared" si="202"/>
        <v>42674</v>
      </c>
      <c r="E326" s="321" t="str">
        <f t="shared" ref="E326:E366" si="214">IF((R326-U326)&gt;XWorkTimeMax,$Z$4,IF(AT326=Feiertag,VLOOKUP(B326,db_Feiertag,2,FALSE),""))</f>
        <v/>
      </c>
      <c r="F326" s="5"/>
      <c r="G326" s="6" t="str">
        <f t="shared" ref="G326:G349" si="215">IF(ISBLANK(F326),IF(ISBLANK(H326),"",0),CODE(UPPER(F326)))</f>
        <v/>
      </c>
      <c r="H326" s="7"/>
      <c r="I326" s="7">
        <f t="shared" ref="I326:I349" si="216">IF(H326&gt;0,H326+Y326+X326+AC326,0)</f>
        <v>0</v>
      </c>
      <c r="J326" s="113">
        <f t="shared" si="204"/>
        <v>0</v>
      </c>
      <c r="K326" s="7"/>
      <c r="L326" s="7">
        <f t="shared" ref="L326:L349" si="217">IF(K326&gt;0,K326+IF((J326-H326)&lt;Y326,Y326-(J326-H326),TIME(0,10,0))+IF((K326-J326)&gt;xNoWorkTime,0,xNoWorkTime-(K326-J326)),0)</f>
        <v>0</v>
      </c>
      <c r="M326" s="113">
        <f t="shared" ref="M326:M349" si="218">IF(L326&lt;K326,L326+1,L326)</f>
        <v>0</v>
      </c>
      <c r="N326" s="113"/>
      <c r="O326" s="113">
        <f t="shared" si="205"/>
        <v>0</v>
      </c>
      <c r="P326" s="113"/>
      <c r="Q326" s="113">
        <f t="shared" ref="Q326:Q349" si="219">IF(O326&lt;N326,O326+1,O326)</f>
        <v>0</v>
      </c>
      <c r="R326" s="113">
        <f t="shared" ref="R326:R349" si="220">J326-H326+M326-K326+Q326-N326</f>
        <v>0</v>
      </c>
      <c r="S326" s="113">
        <f t="shared" si="199"/>
        <v>0</v>
      </c>
      <c r="T326" s="113">
        <f t="shared" ref="T326:T373" si="221">IF(R326&gt;B_Pause1Nach,B_Pause1Dauer,0)+IF(R326&gt;B_Pause2Nach,B_Pause2Dauer,0)</f>
        <v>0</v>
      </c>
      <c r="U326" s="113">
        <f t="shared" si="200"/>
        <v>0</v>
      </c>
      <c r="V326" s="146">
        <f t="shared" ref="V326:V373" si="222">IF(F326="S",Z326,(IF((R326-U326)&gt;XWorkTimeMax,XWorkTimeMax,IF((R326-U326)&gt;0,R326-U326,0))))</f>
        <v>0</v>
      </c>
      <c r="W326" s="66"/>
      <c r="X326" s="115">
        <f t="shared" si="206"/>
        <v>3.125E-2</v>
      </c>
      <c r="Y326" s="110">
        <f t="shared" ref="Y326:Y373" si="223">IF(AND((AK326&lt;Feiertag),(G326&lt;&gt;85)),IF(OR(F326="B",F326="G",F326="S",H326&gt;0),H326-H326+Z326,0),0)</f>
        <v>0</v>
      </c>
      <c r="Z326" s="111">
        <f t="shared" si="203"/>
        <v>0.29166666666666669</v>
      </c>
      <c r="AA326" s="112">
        <f t="shared" ref="AA326:AA373" si="224">V326-Y326</f>
        <v>0</v>
      </c>
      <c r="AB326" s="67" t="str">
        <f t="shared" ref="AB326:AB373" si="225">IF((V326-Y326)&lt;0,"*","")</f>
        <v/>
      </c>
      <c r="AC326" s="193">
        <f t="shared" si="207"/>
        <v>0</v>
      </c>
      <c r="AD326" s="144" t="str">
        <f t="shared" si="208"/>
        <v/>
      </c>
      <c r="AE326" s="228">
        <f t="shared" si="195"/>
        <v>0</v>
      </c>
      <c r="AF326" s="110"/>
      <c r="AG326" s="110" t="str">
        <f t="shared" ref="AG326:AG373" si="226">IF(AND(AF326&lt;&gt;"",AF326&lt;=V326),V326-AF326,"")</f>
        <v/>
      </c>
      <c r="AH326" s="68">
        <f t="shared" si="209"/>
        <v>0</v>
      </c>
      <c r="AI326" s="68">
        <f t="shared" si="210"/>
        <v>0</v>
      </c>
      <c r="AJ326" s="68" t="str">
        <f t="shared" si="211"/>
        <v/>
      </c>
      <c r="AK326">
        <f t="shared" si="212"/>
        <v>1</v>
      </c>
      <c r="AL326" s="122">
        <f>SUM($AD$6:AD326)</f>
        <v>0</v>
      </c>
      <c r="AM326" s="122">
        <f t="shared" ref="AM326:AM373" ca="1" si="227">IF(D326=D325,AM325,OFFSET(AM326,-1,COLUMN(db_jSaldoGes)-COLUMN()))</f>
        <v>0</v>
      </c>
      <c r="AN326" s="126">
        <f t="shared" si="196"/>
        <v>0</v>
      </c>
      <c r="AO326" s="126">
        <f t="shared" si="197"/>
        <v>0</v>
      </c>
      <c r="AP326" s="126">
        <f t="shared" si="198"/>
        <v>0</v>
      </c>
      <c r="AQ326" s="125">
        <f t="shared" ref="AQ326:AQ373" si="228">IF(A326="","",AQ325-IF(F326=Urlaub,1,0)+IF(AND(MONTH(A326)=1,DAY(A326)=1),B_UrlaubNeu,0))</f>
        <v>30</v>
      </c>
      <c r="AR326" s="125">
        <f t="shared" ref="AR326:AR373" ca="1" si="229">IF(A326="","",IF(D326=D325,AR325,OFFSET(AR326,-1,COLUMN(db_jUrlRest)-COLUMN()))+IF(AND(MONTH(A326)=1,DAY(A326)=1),B_UrlaubNeu,0))</f>
        <v>30</v>
      </c>
      <c r="AS326" s="135">
        <f t="shared" ref="AS326:AS373" si="230">(IF(ISNUMBER(V326),V326,0)+IF(ISNUMBER(AD326),AD326,0))*24</f>
        <v>0</v>
      </c>
      <c r="AT326" s="125">
        <f t="shared" ref="AT326:AT373" si="231">IF(ISNUMBER(AD326),K_ArbeitOverMax,IF(AND(ISNUMBER(AA326),AA326&gt;0),K_ArbeitOverTime,IF(AND(ISNUMBER(V326),V326&gt;0),K_ArbeitNormal,IF(F326=Krank,K_Krank,IF(F326=Urlaub,K_Urlaub,IF(AK326=Feiertag,K_Feiertag,IF(OR(AK326=6,AK326=7),K_Wochenende,0)))))))+IF(F326=Gleittag,K_Gleittag,0)</f>
        <v>0</v>
      </c>
      <c r="AU326" t="b">
        <f>OR((F326&gt;0),(NOT(ISBLANK(H326))),SUM(H326:H$373),SUM(G326:G$373))</f>
        <v>0</v>
      </c>
      <c r="AV326" t="b">
        <f t="shared" ca="1" si="213"/>
        <v>0</v>
      </c>
      <c r="AX326" s="228">
        <f>SUM(AW$5:AW326)</f>
        <v>-2.9166666666666665</v>
      </c>
    </row>
    <row r="327" spans="1:50">
      <c r="A327" s="308">
        <f t="shared" ref="A327:A373" si="232">IF(A326="","",IF((A326+1)&gt;=DATE(YEAR(xJahr)+1,MONTH(xJahr),DAY(xJahr)),"",A326+1))</f>
        <v>42690</v>
      </c>
      <c r="B327" s="309">
        <f t="shared" ref="B327:B373" si="233">IF(A327="","",A327)</f>
        <v>42690</v>
      </c>
      <c r="C327" s="310">
        <f t="shared" si="201"/>
        <v>47</v>
      </c>
      <c r="D327" s="311">
        <f t="shared" si="202"/>
        <v>42674</v>
      </c>
      <c r="E327" s="321" t="str">
        <f t="shared" si="214"/>
        <v/>
      </c>
      <c r="F327" s="5"/>
      <c r="G327" s="6" t="str">
        <f t="shared" si="215"/>
        <v/>
      </c>
      <c r="H327" s="7"/>
      <c r="I327" s="7">
        <f t="shared" si="216"/>
        <v>0</v>
      </c>
      <c r="J327" s="113">
        <f t="shared" si="204"/>
        <v>0</v>
      </c>
      <c r="K327" s="7"/>
      <c r="L327" s="7">
        <f t="shared" si="217"/>
        <v>0</v>
      </c>
      <c r="M327" s="113">
        <f t="shared" si="218"/>
        <v>0</v>
      </c>
      <c r="N327" s="113"/>
      <c r="O327" s="113">
        <f t="shared" si="205"/>
        <v>0</v>
      </c>
      <c r="P327" s="113"/>
      <c r="Q327" s="113">
        <f t="shared" si="219"/>
        <v>0</v>
      </c>
      <c r="R327" s="113">
        <f t="shared" si="220"/>
        <v>0</v>
      </c>
      <c r="S327" s="113">
        <f t="shared" si="199"/>
        <v>0</v>
      </c>
      <c r="T327" s="113">
        <f t="shared" si="221"/>
        <v>0</v>
      </c>
      <c r="U327" s="113">
        <f t="shared" si="200"/>
        <v>0</v>
      </c>
      <c r="V327" s="146">
        <f t="shared" si="222"/>
        <v>0</v>
      </c>
      <c r="W327" s="66"/>
      <c r="X327" s="115">
        <f t="shared" si="206"/>
        <v>3.125E-2</v>
      </c>
      <c r="Y327" s="110">
        <f t="shared" si="223"/>
        <v>0</v>
      </c>
      <c r="Z327" s="111">
        <f t="shared" si="203"/>
        <v>0.29166666666666669</v>
      </c>
      <c r="AA327" s="112">
        <f t="shared" si="224"/>
        <v>0</v>
      </c>
      <c r="AB327" s="67" t="str">
        <f t="shared" si="225"/>
        <v/>
      </c>
      <c r="AC327" s="193">
        <f t="shared" si="207"/>
        <v>0</v>
      </c>
      <c r="AD327" s="144" t="str">
        <f t="shared" si="208"/>
        <v/>
      </c>
      <c r="AE327" s="228">
        <f t="shared" ref="AE327:AE373" si="234">IF(AU327,(AE326+SUM(AA327)-AF327),)</f>
        <v>0</v>
      </c>
      <c r="AF327" s="110"/>
      <c r="AG327" s="110" t="str">
        <f t="shared" si="226"/>
        <v/>
      </c>
      <c r="AH327" s="68">
        <f t="shared" si="209"/>
        <v>0</v>
      </c>
      <c r="AI327" s="68">
        <f t="shared" si="210"/>
        <v>0</v>
      </c>
      <c r="AJ327" s="68" t="str">
        <f t="shared" si="211"/>
        <v/>
      </c>
      <c r="AK327">
        <f t="shared" si="212"/>
        <v>2</v>
      </c>
      <c r="AL327" s="122">
        <f>SUM($AD$6:AD327)</f>
        <v>0</v>
      </c>
      <c r="AM327" s="122">
        <f t="shared" ca="1" si="227"/>
        <v>0</v>
      </c>
      <c r="AN327" s="126">
        <f t="shared" ref="AN327:AN373" si="235">IF(OR($G327=-1,$G327=82),-1,IF(OR($G327=0,$G327=83),1,0))</f>
        <v>0</v>
      </c>
      <c r="AO327" s="126">
        <f t="shared" ref="AO327:AO373" si="236">IF($F327=Krank,1,IF($F327="J",-1,0))</f>
        <v>0</v>
      </c>
      <c r="AP327" s="126">
        <f t="shared" ref="AP327:AP373" si="237">IF($F327=Urlaub,1,IF($F327="T",-1,0))</f>
        <v>0</v>
      </c>
      <c r="AQ327" s="125">
        <f t="shared" si="228"/>
        <v>30</v>
      </c>
      <c r="AR327" s="125">
        <f t="shared" ca="1" si="229"/>
        <v>30</v>
      </c>
      <c r="AS327" s="135">
        <f t="shared" si="230"/>
        <v>0</v>
      </c>
      <c r="AT327" s="125">
        <f t="shared" si="231"/>
        <v>0</v>
      </c>
      <c r="AU327" t="b">
        <f>OR((F327&gt;0),(NOT(ISBLANK(H327))),SUM(H327:H$373),SUM(G327:G$373))</f>
        <v>0</v>
      </c>
      <c r="AV327" t="b">
        <f t="shared" ca="1" si="213"/>
        <v>0</v>
      </c>
      <c r="AX327" s="228">
        <f>SUM(AW$5:AW327)</f>
        <v>-2.9166666666666665</v>
      </c>
    </row>
    <row r="328" spans="1:50">
      <c r="A328" s="308">
        <f t="shared" si="232"/>
        <v>42691</v>
      </c>
      <c r="B328" s="309">
        <f t="shared" si="233"/>
        <v>42691</v>
      </c>
      <c r="C328" s="310">
        <f t="shared" si="201"/>
        <v>47</v>
      </c>
      <c r="D328" s="311">
        <f t="shared" si="202"/>
        <v>42674</v>
      </c>
      <c r="E328" s="321" t="str">
        <f t="shared" si="214"/>
        <v/>
      </c>
      <c r="F328" s="5"/>
      <c r="G328" s="6" t="str">
        <f t="shared" si="215"/>
        <v/>
      </c>
      <c r="H328" s="7"/>
      <c r="I328" s="7">
        <f t="shared" si="216"/>
        <v>0</v>
      </c>
      <c r="J328" s="113">
        <f t="shared" si="204"/>
        <v>0</v>
      </c>
      <c r="K328" s="7"/>
      <c r="L328" s="7">
        <f t="shared" si="217"/>
        <v>0</v>
      </c>
      <c r="M328" s="113">
        <f t="shared" si="218"/>
        <v>0</v>
      </c>
      <c r="N328" s="113"/>
      <c r="O328" s="113">
        <f t="shared" si="205"/>
        <v>0</v>
      </c>
      <c r="P328" s="113"/>
      <c r="Q328" s="113">
        <f t="shared" si="219"/>
        <v>0</v>
      </c>
      <c r="R328" s="113">
        <f t="shared" si="220"/>
        <v>0</v>
      </c>
      <c r="S328" s="113">
        <f t="shared" ref="S328:S373" si="238">IF(K328&gt;0,K328-I328,0)+IF(N328&gt;0,N328-L328)</f>
        <v>0</v>
      </c>
      <c r="T328" s="113">
        <f t="shared" si="221"/>
        <v>0</v>
      </c>
      <c r="U328" s="113">
        <f t="shared" ref="U328:U373" si="239">IF(T328&gt;S328,T328-S328,0)</f>
        <v>0</v>
      </c>
      <c r="V328" s="146">
        <f t="shared" si="222"/>
        <v>0</v>
      </c>
      <c r="W328" s="66"/>
      <c r="X328" s="115">
        <f t="shared" si="206"/>
        <v>3.125E-2</v>
      </c>
      <c r="Y328" s="110">
        <f t="shared" si="223"/>
        <v>0</v>
      </c>
      <c r="Z328" s="111">
        <f t="shared" si="203"/>
        <v>0.29166666666666669</v>
      </c>
      <c r="AA328" s="112">
        <f t="shared" si="224"/>
        <v>0</v>
      </c>
      <c r="AB328" s="67" t="str">
        <f t="shared" si="225"/>
        <v/>
      </c>
      <c r="AC328" s="193">
        <f t="shared" si="207"/>
        <v>0</v>
      </c>
      <c r="AD328" s="144" t="str">
        <f t="shared" si="208"/>
        <v/>
      </c>
      <c r="AE328" s="228">
        <f t="shared" si="234"/>
        <v>0</v>
      </c>
      <c r="AF328" s="110"/>
      <c r="AG328" s="110" t="str">
        <f t="shared" si="226"/>
        <v/>
      </c>
      <c r="AH328" s="68">
        <f t="shared" si="209"/>
        <v>0</v>
      </c>
      <c r="AI328" s="68">
        <f t="shared" si="210"/>
        <v>0</v>
      </c>
      <c r="AJ328" s="68" t="str">
        <f t="shared" si="211"/>
        <v/>
      </c>
      <c r="AK328">
        <f t="shared" si="212"/>
        <v>3</v>
      </c>
      <c r="AL328" s="122">
        <f>SUM($AD$6:AD328)</f>
        <v>0</v>
      </c>
      <c r="AM328" s="122">
        <f t="shared" ca="1" si="227"/>
        <v>0</v>
      </c>
      <c r="AN328" s="126">
        <f t="shared" si="235"/>
        <v>0</v>
      </c>
      <c r="AO328" s="126">
        <f t="shared" si="236"/>
        <v>0</v>
      </c>
      <c r="AP328" s="126">
        <f t="shared" si="237"/>
        <v>0</v>
      </c>
      <c r="AQ328" s="125">
        <f t="shared" si="228"/>
        <v>30</v>
      </c>
      <c r="AR328" s="125">
        <f t="shared" ca="1" si="229"/>
        <v>30</v>
      </c>
      <c r="AS328" s="135">
        <f t="shared" si="230"/>
        <v>0</v>
      </c>
      <c r="AT328" s="125">
        <f t="shared" si="231"/>
        <v>0</v>
      </c>
      <c r="AU328" t="b">
        <f>OR((F328&gt;0),(NOT(ISBLANK(H328))),SUM(H328:H$373),SUM(G328:G$373))</f>
        <v>0</v>
      </c>
      <c r="AV328" t="b">
        <f t="shared" ca="1" si="213"/>
        <v>0</v>
      </c>
      <c r="AX328" s="228">
        <f>SUM(AW$5:AW328)</f>
        <v>-2.9166666666666665</v>
      </c>
    </row>
    <row r="329" spans="1:50">
      <c r="A329" s="308">
        <f t="shared" si="232"/>
        <v>42692</v>
      </c>
      <c r="B329" s="309">
        <f t="shared" si="233"/>
        <v>42692</v>
      </c>
      <c r="C329" s="310">
        <f t="shared" si="201"/>
        <v>47</v>
      </c>
      <c r="D329" s="311">
        <f t="shared" si="202"/>
        <v>42674</v>
      </c>
      <c r="E329" s="321" t="str">
        <f t="shared" si="214"/>
        <v/>
      </c>
      <c r="F329" s="5"/>
      <c r="G329" s="6" t="str">
        <f t="shared" si="215"/>
        <v/>
      </c>
      <c r="H329" s="7"/>
      <c r="I329" s="7">
        <f t="shared" si="216"/>
        <v>0</v>
      </c>
      <c r="J329" s="113">
        <f t="shared" si="204"/>
        <v>0</v>
      </c>
      <c r="K329" s="7"/>
      <c r="L329" s="7">
        <f t="shared" si="217"/>
        <v>0</v>
      </c>
      <c r="M329" s="113">
        <f t="shared" si="218"/>
        <v>0</v>
      </c>
      <c r="N329" s="113"/>
      <c r="O329" s="113">
        <f t="shared" si="205"/>
        <v>0</v>
      </c>
      <c r="P329" s="113"/>
      <c r="Q329" s="113">
        <f t="shared" si="219"/>
        <v>0</v>
      </c>
      <c r="R329" s="113">
        <f t="shared" si="220"/>
        <v>0</v>
      </c>
      <c r="S329" s="113">
        <f t="shared" si="238"/>
        <v>0</v>
      </c>
      <c r="T329" s="113">
        <f t="shared" si="221"/>
        <v>0</v>
      </c>
      <c r="U329" s="113">
        <f t="shared" si="239"/>
        <v>0</v>
      </c>
      <c r="V329" s="146">
        <f t="shared" si="222"/>
        <v>0</v>
      </c>
      <c r="W329" s="66"/>
      <c r="X329" s="115">
        <f t="shared" si="206"/>
        <v>3.125E-2</v>
      </c>
      <c r="Y329" s="110">
        <f t="shared" si="223"/>
        <v>0</v>
      </c>
      <c r="Z329" s="111">
        <f t="shared" si="203"/>
        <v>0.29166666666666669</v>
      </c>
      <c r="AA329" s="112">
        <f t="shared" si="224"/>
        <v>0</v>
      </c>
      <c r="AB329" s="67" t="str">
        <f t="shared" si="225"/>
        <v/>
      </c>
      <c r="AC329" s="193">
        <f t="shared" si="207"/>
        <v>0</v>
      </c>
      <c r="AD329" s="144" t="str">
        <f t="shared" si="208"/>
        <v/>
      </c>
      <c r="AE329" s="228">
        <f t="shared" si="234"/>
        <v>0</v>
      </c>
      <c r="AF329" s="110"/>
      <c r="AG329" s="110" t="str">
        <f t="shared" si="226"/>
        <v/>
      </c>
      <c r="AH329" s="68">
        <f t="shared" si="209"/>
        <v>0</v>
      </c>
      <c r="AI329" s="68">
        <f t="shared" si="210"/>
        <v>0</v>
      </c>
      <c r="AJ329" s="68" t="str">
        <f t="shared" si="211"/>
        <v/>
      </c>
      <c r="AK329">
        <f t="shared" si="212"/>
        <v>4</v>
      </c>
      <c r="AL329" s="122">
        <f>SUM($AD$6:AD329)</f>
        <v>0</v>
      </c>
      <c r="AM329" s="122">
        <f t="shared" ca="1" si="227"/>
        <v>0</v>
      </c>
      <c r="AN329" s="126">
        <f t="shared" si="235"/>
        <v>0</v>
      </c>
      <c r="AO329" s="126">
        <f t="shared" si="236"/>
        <v>0</v>
      </c>
      <c r="AP329" s="126">
        <f t="shared" si="237"/>
        <v>0</v>
      </c>
      <c r="AQ329" s="125">
        <f t="shared" si="228"/>
        <v>30</v>
      </c>
      <c r="AR329" s="125">
        <f t="shared" ca="1" si="229"/>
        <v>30</v>
      </c>
      <c r="AS329" s="135">
        <f t="shared" si="230"/>
        <v>0</v>
      </c>
      <c r="AT329" s="125">
        <f t="shared" si="231"/>
        <v>0</v>
      </c>
      <c r="AU329" t="b">
        <f>OR((F329&gt;0),(NOT(ISBLANK(H329))),SUM(H329:H$373),SUM(G329:G$373))</f>
        <v>0</v>
      </c>
      <c r="AV329" t="b">
        <f t="shared" ca="1" si="213"/>
        <v>0</v>
      </c>
      <c r="AX329" s="228">
        <f>SUM(AW$5:AW329)</f>
        <v>-2.9166666666666665</v>
      </c>
    </row>
    <row r="330" spans="1:50">
      <c r="A330" s="308">
        <f t="shared" si="232"/>
        <v>42693</v>
      </c>
      <c r="B330" s="309">
        <f t="shared" si="233"/>
        <v>42693</v>
      </c>
      <c r="C330" s="310">
        <f t="shared" si="201"/>
        <v>47</v>
      </c>
      <c r="D330" s="311">
        <f t="shared" si="202"/>
        <v>42674</v>
      </c>
      <c r="E330" s="321" t="str">
        <f t="shared" si="214"/>
        <v/>
      </c>
      <c r="F330" s="5"/>
      <c r="G330" s="6" t="str">
        <f t="shared" si="215"/>
        <v/>
      </c>
      <c r="H330" s="7"/>
      <c r="I330" s="7">
        <f t="shared" si="216"/>
        <v>0</v>
      </c>
      <c r="J330" s="113">
        <f t="shared" si="204"/>
        <v>0</v>
      </c>
      <c r="K330" s="7"/>
      <c r="L330" s="7">
        <f t="shared" si="217"/>
        <v>0</v>
      </c>
      <c r="M330" s="113">
        <f t="shared" si="218"/>
        <v>0</v>
      </c>
      <c r="N330" s="113"/>
      <c r="O330" s="113">
        <f t="shared" si="205"/>
        <v>0</v>
      </c>
      <c r="P330" s="113"/>
      <c r="Q330" s="113">
        <f t="shared" si="219"/>
        <v>0</v>
      </c>
      <c r="R330" s="113">
        <f t="shared" si="220"/>
        <v>0</v>
      </c>
      <c r="S330" s="113">
        <f t="shared" si="238"/>
        <v>0</v>
      </c>
      <c r="T330" s="113">
        <f t="shared" si="221"/>
        <v>0</v>
      </c>
      <c r="U330" s="113">
        <f t="shared" si="239"/>
        <v>0</v>
      </c>
      <c r="V330" s="146">
        <f t="shared" si="222"/>
        <v>0</v>
      </c>
      <c r="W330" s="66"/>
      <c r="X330" s="115">
        <f t="shared" si="206"/>
        <v>3.125E-2</v>
      </c>
      <c r="Y330" s="110">
        <f t="shared" si="223"/>
        <v>0</v>
      </c>
      <c r="Z330" s="111">
        <f t="shared" si="203"/>
        <v>0.29166666666666669</v>
      </c>
      <c r="AA330" s="112">
        <f t="shared" si="224"/>
        <v>0</v>
      </c>
      <c r="AB330" s="67" t="str">
        <f t="shared" si="225"/>
        <v/>
      </c>
      <c r="AC330" s="193">
        <f t="shared" si="207"/>
        <v>0</v>
      </c>
      <c r="AD330" s="144" t="str">
        <f t="shared" si="208"/>
        <v/>
      </c>
      <c r="AE330" s="228">
        <f t="shared" si="234"/>
        <v>0</v>
      </c>
      <c r="AF330" s="110"/>
      <c r="AG330" s="110" t="str">
        <f t="shared" si="226"/>
        <v/>
      </c>
      <c r="AH330" s="68">
        <f t="shared" si="209"/>
        <v>0</v>
      </c>
      <c r="AI330" s="68">
        <f t="shared" si="210"/>
        <v>0</v>
      </c>
      <c r="AJ330" s="68" t="str">
        <f t="shared" si="211"/>
        <v/>
      </c>
      <c r="AK330">
        <f t="shared" si="212"/>
        <v>5</v>
      </c>
      <c r="AL330" s="122">
        <f>SUM($AD$6:AD330)</f>
        <v>0</v>
      </c>
      <c r="AM330" s="122">
        <f t="shared" ca="1" si="227"/>
        <v>0</v>
      </c>
      <c r="AN330" s="126">
        <f t="shared" si="235"/>
        <v>0</v>
      </c>
      <c r="AO330" s="126">
        <f t="shared" si="236"/>
        <v>0</v>
      </c>
      <c r="AP330" s="126">
        <f t="shared" si="237"/>
        <v>0</v>
      </c>
      <c r="AQ330" s="125">
        <f t="shared" si="228"/>
        <v>30</v>
      </c>
      <c r="AR330" s="125">
        <f t="shared" ca="1" si="229"/>
        <v>30</v>
      </c>
      <c r="AS330" s="135">
        <f t="shared" si="230"/>
        <v>0</v>
      </c>
      <c r="AT330" s="125">
        <f t="shared" si="231"/>
        <v>0</v>
      </c>
      <c r="AU330" t="b">
        <f>OR((F330&gt;0),(NOT(ISBLANK(H330))),SUM(H330:H$373),SUM(G330:G$373))</f>
        <v>0</v>
      </c>
      <c r="AV330" t="b">
        <f t="shared" ca="1" si="213"/>
        <v>0</v>
      </c>
      <c r="AX330" s="228">
        <f>SUM(AW$5:AW330)</f>
        <v>-2.9166666666666665</v>
      </c>
    </row>
    <row r="331" spans="1:50">
      <c r="A331" s="308">
        <f t="shared" si="232"/>
        <v>42694</v>
      </c>
      <c r="B331" s="309">
        <f t="shared" si="233"/>
        <v>42694</v>
      </c>
      <c r="C331" s="310">
        <f t="shared" si="201"/>
        <v>47</v>
      </c>
      <c r="D331" s="311">
        <f t="shared" si="202"/>
        <v>42674</v>
      </c>
      <c r="E331" s="321" t="str">
        <f t="shared" si="214"/>
        <v/>
      </c>
      <c r="F331" s="5"/>
      <c r="G331" s="6" t="str">
        <f t="shared" si="215"/>
        <v/>
      </c>
      <c r="H331" s="7"/>
      <c r="I331" s="7">
        <f t="shared" si="216"/>
        <v>0</v>
      </c>
      <c r="J331" s="113">
        <f t="shared" si="204"/>
        <v>0</v>
      </c>
      <c r="K331" s="7"/>
      <c r="L331" s="7">
        <f t="shared" si="217"/>
        <v>0</v>
      </c>
      <c r="M331" s="113">
        <f t="shared" si="218"/>
        <v>0</v>
      </c>
      <c r="N331" s="113"/>
      <c r="O331" s="113">
        <f t="shared" si="205"/>
        <v>0</v>
      </c>
      <c r="P331" s="113"/>
      <c r="Q331" s="113">
        <f t="shared" si="219"/>
        <v>0</v>
      </c>
      <c r="R331" s="113">
        <f t="shared" si="220"/>
        <v>0</v>
      </c>
      <c r="S331" s="113">
        <f t="shared" si="238"/>
        <v>0</v>
      </c>
      <c r="T331" s="113">
        <f t="shared" si="221"/>
        <v>0</v>
      </c>
      <c r="U331" s="113">
        <f t="shared" si="239"/>
        <v>0</v>
      </c>
      <c r="V331" s="146">
        <f t="shared" si="222"/>
        <v>0</v>
      </c>
      <c r="W331" s="66"/>
      <c r="X331" s="115">
        <f t="shared" si="206"/>
        <v>3.125E-2</v>
      </c>
      <c r="Y331" s="110">
        <f t="shared" si="223"/>
        <v>0</v>
      </c>
      <c r="Z331" s="111">
        <f t="shared" si="203"/>
        <v>0</v>
      </c>
      <c r="AA331" s="112">
        <f t="shared" si="224"/>
        <v>0</v>
      </c>
      <c r="AB331" s="67" t="str">
        <f t="shared" si="225"/>
        <v/>
      </c>
      <c r="AC331" s="193">
        <f t="shared" si="207"/>
        <v>0</v>
      </c>
      <c r="AD331" s="144" t="str">
        <f t="shared" si="208"/>
        <v/>
      </c>
      <c r="AE331" s="228">
        <f t="shared" si="234"/>
        <v>0</v>
      </c>
      <c r="AF331" s="110"/>
      <c r="AG331" s="110" t="str">
        <f t="shared" si="226"/>
        <v/>
      </c>
      <c r="AH331" s="68">
        <f t="shared" si="209"/>
        <v>0</v>
      </c>
      <c r="AI331" s="68">
        <f t="shared" si="210"/>
        <v>0</v>
      </c>
      <c r="AJ331" s="68" t="str">
        <f t="shared" si="211"/>
        <v/>
      </c>
      <c r="AK331">
        <f t="shared" si="212"/>
        <v>6</v>
      </c>
      <c r="AL331" s="122">
        <f>SUM($AD$6:AD331)</f>
        <v>0</v>
      </c>
      <c r="AM331" s="122">
        <f t="shared" ca="1" si="227"/>
        <v>0</v>
      </c>
      <c r="AN331" s="126">
        <f t="shared" si="235"/>
        <v>0</v>
      </c>
      <c r="AO331" s="126">
        <f t="shared" si="236"/>
        <v>0</v>
      </c>
      <c r="AP331" s="126">
        <f t="shared" si="237"/>
        <v>0</v>
      </c>
      <c r="AQ331" s="125">
        <f t="shared" si="228"/>
        <v>30</v>
      </c>
      <c r="AR331" s="125">
        <f t="shared" ca="1" si="229"/>
        <v>30</v>
      </c>
      <c r="AS331" s="135">
        <f t="shared" si="230"/>
        <v>0</v>
      </c>
      <c r="AT331" s="125">
        <f t="shared" si="231"/>
        <v>7</v>
      </c>
      <c r="AU331" t="b">
        <f>OR((F331&gt;0),(NOT(ISBLANK(H331))),SUM(H331:H$373),SUM(G331:G$373))</f>
        <v>0</v>
      </c>
      <c r="AV331" t="b">
        <f t="shared" ca="1" si="213"/>
        <v>1</v>
      </c>
      <c r="AX331" s="228">
        <f>SUM(AW$5:AW331)</f>
        <v>-2.9166666666666665</v>
      </c>
    </row>
    <row r="332" spans="1:50">
      <c r="A332" s="308">
        <f t="shared" si="232"/>
        <v>42695</v>
      </c>
      <c r="B332" s="309">
        <f t="shared" si="233"/>
        <v>42695</v>
      </c>
      <c r="C332" s="310">
        <f t="shared" si="201"/>
        <v>47</v>
      </c>
      <c r="D332" s="311">
        <f t="shared" si="202"/>
        <v>42674</v>
      </c>
      <c r="E332" s="321" t="str">
        <f t="shared" si="214"/>
        <v/>
      </c>
      <c r="F332" s="5"/>
      <c r="G332" s="6" t="str">
        <f t="shared" si="215"/>
        <v/>
      </c>
      <c r="H332" s="7"/>
      <c r="I332" s="7">
        <f t="shared" si="216"/>
        <v>0</v>
      </c>
      <c r="J332" s="113">
        <f t="shared" si="204"/>
        <v>0</v>
      </c>
      <c r="K332" s="7"/>
      <c r="L332" s="7">
        <f t="shared" si="217"/>
        <v>0</v>
      </c>
      <c r="M332" s="113">
        <f t="shared" si="218"/>
        <v>0</v>
      </c>
      <c r="N332" s="113"/>
      <c r="O332" s="113">
        <f t="shared" si="205"/>
        <v>0</v>
      </c>
      <c r="P332" s="113"/>
      <c r="Q332" s="113">
        <f t="shared" si="219"/>
        <v>0</v>
      </c>
      <c r="R332" s="113">
        <f t="shared" si="220"/>
        <v>0</v>
      </c>
      <c r="S332" s="113">
        <f t="shared" si="238"/>
        <v>0</v>
      </c>
      <c r="T332" s="113">
        <f t="shared" si="221"/>
        <v>0</v>
      </c>
      <c r="U332" s="113">
        <f t="shared" si="239"/>
        <v>0</v>
      </c>
      <c r="V332" s="146">
        <f t="shared" si="222"/>
        <v>0</v>
      </c>
      <c r="W332" s="66"/>
      <c r="X332" s="115">
        <f t="shared" si="206"/>
        <v>3.125E-2</v>
      </c>
      <c r="Y332" s="110">
        <f t="shared" si="223"/>
        <v>0</v>
      </c>
      <c r="Z332" s="111">
        <f t="shared" si="203"/>
        <v>0</v>
      </c>
      <c r="AA332" s="112">
        <f t="shared" si="224"/>
        <v>0</v>
      </c>
      <c r="AB332" s="67" t="str">
        <f t="shared" si="225"/>
        <v/>
      </c>
      <c r="AC332" s="193">
        <f t="shared" si="207"/>
        <v>0</v>
      </c>
      <c r="AD332" s="144" t="str">
        <f t="shared" si="208"/>
        <v/>
      </c>
      <c r="AE332" s="228">
        <f t="shared" si="234"/>
        <v>0</v>
      </c>
      <c r="AF332" s="110"/>
      <c r="AG332" s="110" t="str">
        <f t="shared" si="226"/>
        <v/>
      </c>
      <c r="AH332" s="68">
        <f t="shared" si="209"/>
        <v>0</v>
      </c>
      <c r="AI332" s="68">
        <f t="shared" si="210"/>
        <v>0</v>
      </c>
      <c r="AJ332" s="68" t="str">
        <f t="shared" si="211"/>
        <v/>
      </c>
      <c r="AK332">
        <f t="shared" si="212"/>
        <v>7</v>
      </c>
      <c r="AL332" s="122">
        <f>SUM($AD$6:AD332)</f>
        <v>0</v>
      </c>
      <c r="AM332" s="122">
        <f t="shared" ca="1" si="227"/>
        <v>0</v>
      </c>
      <c r="AN332" s="126">
        <f t="shared" si="235"/>
        <v>0</v>
      </c>
      <c r="AO332" s="126">
        <f t="shared" si="236"/>
        <v>0</v>
      </c>
      <c r="AP332" s="126">
        <f t="shared" si="237"/>
        <v>0</v>
      </c>
      <c r="AQ332" s="125">
        <f t="shared" si="228"/>
        <v>30</v>
      </c>
      <c r="AR332" s="125">
        <f t="shared" ca="1" si="229"/>
        <v>30</v>
      </c>
      <c r="AS332" s="135">
        <f t="shared" si="230"/>
        <v>0</v>
      </c>
      <c r="AT332" s="125">
        <f t="shared" si="231"/>
        <v>7</v>
      </c>
      <c r="AU332" t="b">
        <f>OR((F332&gt;0),(NOT(ISBLANK(H332))),SUM(H332:H$373),SUM(G332:G$373))</f>
        <v>0</v>
      </c>
      <c r="AV332" t="b">
        <f t="shared" ca="1" si="213"/>
        <v>1</v>
      </c>
      <c r="AX332" s="228">
        <f>SUM(AW$5:AW332)</f>
        <v>-2.9166666666666665</v>
      </c>
    </row>
    <row r="333" spans="1:50">
      <c r="A333" s="308">
        <f t="shared" si="232"/>
        <v>42696</v>
      </c>
      <c r="B333" s="309">
        <f t="shared" si="233"/>
        <v>42696</v>
      </c>
      <c r="C333" s="310">
        <f t="shared" si="201"/>
        <v>48</v>
      </c>
      <c r="D333" s="311">
        <f t="shared" si="202"/>
        <v>42674</v>
      </c>
      <c r="E333" s="321" t="str">
        <f t="shared" si="214"/>
        <v/>
      </c>
      <c r="F333" s="5"/>
      <c r="G333" s="6" t="str">
        <f t="shared" si="215"/>
        <v/>
      </c>
      <c r="H333" s="7"/>
      <c r="I333" s="7">
        <f t="shared" si="216"/>
        <v>0</v>
      </c>
      <c r="J333" s="113">
        <f t="shared" si="204"/>
        <v>0</v>
      </c>
      <c r="K333" s="7"/>
      <c r="L333" s="7">
        <f t="shared" si="217"/>
        <v>0</v>
      </c>
      <c r="M333" s="113">
        <f t="shared" si="218"/>
        <v>0</v>
      </c>
      <c r="N333" s="113"/>
      <c r="O333" s="113">
        <f t="shared" si="205"/>
        <v>0</v>
      </c>
      <c r="P333" s="113"/>
      <c r="Q333" s="113">
        <f t="shared" si="219"/>
        <v>0</v>
      </c>
      <c r="R333" s="113">
        <f t="shared" si="220"/>
        <v>0</v>
      </c>
      <c r="S333" s="113">
        <f t="shared" si="238"/>
        <v>0</v>
      </c>
      <c r="T333" s="113">
        <f t="shared" si="221"/>
        <v>0</v>
      </c>
      <c r="U333" s="113">
        <f t="shared" si="239"/>
        <v>0</v>
      </c>
      <c r="V333" s="146">
        <f t="shared" si="222"/>
        <v>0</v>
      </c>
      <c r="W333" s="66"/>
      <c r="X333" s="115">
        <f t="shared" si="206"/>
        <v>3.125E-2</v>
      </c>
      <c r="Y333" s="110">
        <f t="shared" si="223"/>
        <v>0</v>
      </c>
      <c r="Z333" s="111">
        <f t="shared" si="203"/>
        <v>0.29166666666666669</v>
      </c>
      <c r="AA333" s="112">
        <f t="shared" si="224"/>
        <v>0</v>
      </c>
      <c r="AB333" s="67" t="str">
        <f t="shared" si="225"/>
        <v/>
      </c>
      <c r="AC333" s="193">
        <f t="shared" si="207"/>
        <v>0</v>
      </c>
      <c r="AD333" s="144" t="str">
        <f t="shared" si="208"/>
        <v/>
      </c>
      <c r="AE333" s="228">
        <f t="shared" si="234"/>
        <v>0</v>
      </c>
      <c r="AF333" s="110"/>
      <c r="AG333" s="110" t="str">
        <f t="shared" si="226"/>
        <v/>
      </c>
      <c r="AH333" s="68">
        <f t="shared" si="209"/>
        <v>0</v>
      </c>
      <c r="AI333" s="68">
        <f t="shared" si="210"/>
        <v>0</v>
      </c>
      <c r="AJ333" s="68" t="str">
        <f t="shared" si="211"/>
        <v/>
      </c>
      <c r="AK333">
        <f t="shared" si="212"/>
        <v>1</v>
      </c>
      <c r="AL333" s="122">
        <f>SUM($AD$6:AD333)</f>
        <v>0</v>
      </c>
      <c r="AM333" s="122">
        <f t="shared" ca="1" si="227"/>
        <v>0</v>
      </c>
      <c r="AN333" s="126">
        <f t="shared" si="235"/>
        <v>0</v>
      </c>
      <c r="AO333" s="126">
        <f t="shared" si="236"/>
        <v>0</v>
      </c>
      <c r="AP333" s="126">
        <f t="shared" si="237"/>
        <v>0</v>
      </c>
      <c r="AQ333" s="125">
        <f t="shared" si="228"/>
        <v>30</v>
      </c>
      <c r="AR333" s="125">
        <f t="shared" ca="1" si="229"/>
        <v>30</v>
      </c>
      <c r="AS333" s="135">
        <f t="shared" si="230"/>
        <v>0</v>
      </c>
      <c r="AT333" s="125">
        <f t="shared" si="231"/>
        <v>0</v>
      </c>
      <c r="AU333" t="b">
        <f>OR((F333&gt;0),(NOT(ISBLANK(H333))),SUM(H333:H$373),SUM(G333:G$373))</f>
        <v>0</v>
      </c>
      <c r="AV333" t="b">
        <f t="shared" ca="1" si="213"/>
        <v>0</v>
      </c>
      <c r="AX333" s="228">
        <f>SUM(AW$5:AW333)</f>
        <v>-2.9166666666666665</v>
      </c>
    </row>
    <row r="334" spans="1:50">
      <c r="A334" s="308">
        <f t="shared" si="232"/>
        <v>42697</v>
      </c>
      <c r="B334" s="309">
        <f t="shared" si="233"/>
        <v>42697</v>
      </c>
      <c r="C334" s="310">
        <f t="shared" si="201"/>
        <v>48</v>
      </c>
      <c r="D334" s="311">
        <f t="shared" si="202"/>
        <v>42674</v>
      </c>
      <c r="E334" s="321" t="str">
        <f t="shared" si="214"/>
        <v/>
      </c>
      <c r="F334" s="5"/>
      <c r="G334" s="6" t="str">
        <f t="shared" si="215"/>
        <v/>
      </c>
      <c r="H334" s="7"/>
      <c r="I334" s="7">
        <f t="shared" si="216"/>
        <v>0</v>
      </c>
      <c r="J334" s="113">
        <f t="shared" si="204"/>
        <v>0</v>
      </c>
      <c r="K334" s="7"/>
      <c r="L334" s="7">
        <f t="shared" si="217"/>
        <v>0</v>
      </c>
      <c r="M334" s="113">
        <f t="shared" si="218"/>
        <v>0</v>
      </c>
      <c r="N334" s="113"/>
      <c r="O334" s="113">
        <f t="shared" si="205"/>
        <v>0</v>
      </c>
      <c r="P334" s="113"/>
      <c r="Q334" s="113">
        <f t="shared" si="219"/>
        <v>0</v>
      </c>
      <c r="R334" s="113">
        <f t="shared" si="220"/>
        <v>0</v>
      </c>
      <c r="S334" s="113">
        <f t="shared" si="238"/>
        <v>0</v>
      </c>
      <c r="T334" s="113">
        <f t="shared" si="221"/>
        <v>0</v>
      </c>
      <c r="U334" s="113">
        <f t="shared" si="239"/>
        <v>0</v>
      </c>
      <c r="V334" s="146">
        <f t="shared" si="222"/>
        <v>0</v>
      </c>
      <c r="W334" s="66"/>
      <c r="X334" s="115">
        <f t="shared" si="206"/>
        <v>3.125E-2</v>
      </c>
      <c r="Y334" s="110">
        <f t="shared" si="223"/>
        <v>0</v>
      </c>
      <c r="Z334" s="111">
        <f t="shared" si="203"/>
        <v>0.29166666666666669</v>
      </c>
      <c r="AA334" s="112">
        <f t="shared" si="224"/>
        <v>0</v>
      </c>
      <c r="AB334" s="67" t="str">
        <f t="shared" si="225"/>
        <v/>
      </c>
      <c r="AC334" s="193">
        <f t="shared" si="207"/>
        <v>0</v>
      </c>
      <c r="AD334" s="144" t="str">
        <f t="shared" si="208"/>
        <v/>
      </c>
      <c r="AE334" s="228">
        <f t="shared" si="234"/>
        <v>0</v>
      </c>
      <c r="AF334" s="110"/>
      <c r="AG334" s="110" t="str">
        <f t="shared" si="226"/>
        <v/>
      </c>
      <c r="AH334" s="68">
        <f t="shared" si="209"/>
        <v>0</v>
      </c>
      <c r="AI334" s="68">
        <f t="shared" si="210"/>
        <v>0</v>
      </c>
      <c r="AJ334" s="68" t="str">
        <f t="shared" si="211"/>
        <v/>
      </c>
      <c r="AK334">
        <f t="shared" si="212"/>
        <v>2</v>
      </c>
      <c r="AL334" s="122">
        <f>SUM($AD$6:AD334)</f>
        <v>0</v>
      </c>
      <c r="AM334" s="122">
        <f t="shared" ca="1" si="227"/>
        <v>0</v>
      </c>
      <c r="AN334" s="126">
        <f t="shared" si="235"/>
        <v>0</v>
      </c>
      <c r="AO334" s="126">
        <f t="shared" si="236"/>
        <v>0</v>
      </c>
      <c r="AP334" s="126">
        <f t="shared" si="237"/>
        <v>0</v>
      </c>
      <c r="AQ334" s="125">
        <f t="shared" si="228"/>
        <v>30</v>
      </c>
      <c r="AR334" s="125">
        <f t="shared" ca="1" si="229"/>
        <v>30</v>
      </c>
      <c r="AS334" s="135">
        <f t="shared" si="230"/>
        <v>0</v>
      </c>
      <c r="AT334" s="125">
        <f t="shared" si="231"/>
        <v>0</v>
      </c>
      <c r="AU334" t="b">
        <f>OR((F334&gt;0),(NOT(ISBLANK(H334))),SUM(H334:H$373),SUM(G334:G$373))</f>
        <v>0</v>
      </c>
      <c r="AV334" t="b">
        <f t="shared" ca="1" si="213"/>
        <v>0</v>
      </c>
      <c r="AX334" s="228">
        <f>SUM(AW$5:AW334)</f>
        <v>-2.9166666666666665</v>
      </c>
    </row>
    <row r="335" spans="1:50">
      <c r="A335" s="308">
        <f t="shared" si="232"/>
        <v>42698</v>
      </c>
      <c r="B335" s="309">
        <f t="shared" si="233"/>
        <v>42698</v>
      </c>
      <c r="C335" s="310">
        <f t="shared" si="201"/>
        <v>48</v>
      </c>
      <c r="D335" s="311">
        <f t="shared" si="202"/>
        <v>42674</v>
      </c>
      <c r="E335" s="321" t="str">
        <f t="shared" si="214"/>
        <v/>
      </c>
      <c r="F335" s="5"/>
      <c r="G335" s="6" t="str">
        <f t="shared" si="215"/>
        <v/>
      </c>
      <c r="H335" s="7"/>
      <c r="I335" s="7">
        <f t="shared" si="216"/>
        <v>0</v>
      </c>
      <c r="J335" s="113">
        <f t="shared" si="204"/>
        <v>0</v>
      </c>
      <c r="K335" s="7"/>
      <c r="L335" s="7">
        <f t="shared" si="217"/>
        <v>0</v>
      </c>
      <c r="M335" s="113">
        <f t="shared" si="218"/>
        <v>0</v>
      </c>
      <c r="N335" s="113"/>
      <c r="O335" s="113">
        <f t="shared" si="205"/>
        <v>0</v>
      </c>
      <c r="P335" s="113"/>
      <c r="Q335" s="113">
        <f t="shared" si="219"/>
        <v>0</v>
      </c>
      <c r="R335" s="113">
        <f t="shared" si="220"/>
        <v>0</v>
      </c>
      <c r="S335" s="113">
        <f t="shared" si="238"/>
        <v>0</v>
      </c>
      <c r="T335" s="113">
        <f t="shared" si="221"/>
        <v>0</v>
      </c>
      <c r="U335" s="113">
        <f t="shared" si="239"/>
        <v>0</v>
      </c>
      <c r="V335" s="146">
        <f t="shared" si="222"/>
        <v>0</v>
      </c>
      <c r="W335" s="66"/>
      <c r="X335" s="115">
        <f t="shared" si="206"/>
        <v>3.125E-2</v>
      </c>
      <c r="Y335" s="110">
        <f t="shared" si="223"/>
        <v>0</v>
      </c>
      <c r="Z335" s="111">
        <f t="shared" si="203"/>
        <v>0.29166666666666669</v>
      </c>
      <c r="AA335" s="112">
        <f t="shared" si="224"/>
        <v>0</v>
      </c>
      <c r="AB335" s="67" t="str">
        <f t="shared" si="225"/>
        <v/>
      </c>
      <c r="AC335" s="193">
        <f t="shared" si="207"/>
        <v>0</v>
      </c>
      <c r="AD335" s="144" t="str">
        <f t="shared" si="208"/>
        <v/>
      </c>
      <c r="AE335" s="228">
        <f t="shared" si="234"/>
        <v>0</v>
      </c>
      <c r="AF335" s="110"/>
      <c r="AG335" s="110" t="str">
        <f t="shared" si="226"/>
        <v/>
      </c>
      <c r="AH335" s="68">
        <f t="shared" si="209"/>
        <v>0</v>
      </c>
      <c r="AI335" s="68">
        <f t="shared" si="210"/>
        <v>0</v>
      </c>
      <c r="AJ335" s="68" t="str">
        <f t="shared" si="211"/>
        <v/>
      </c>
      <c r="AK335">
        <f t="shared" si="212"/>
        <v>3</v>
      </c>
      <c r="AL335" s="122">
        <f>SUM($AD$6:AD335)</f>
        <v>0</v>
      </c>
      <c r="AM335" s="122">
        <f t="shared" ca="1" si="227"/>
        <v>0</v>
      </c>
      <c r="AN335" s="126">
        <f t="shared" si="235"/>
        <v>0</v>
      </c>
      <c r="AO335" s="126">
        <f t="shared" si="236"/>
        <v>0</v>
      </c>
      <c r="AP335" s="126">
        <f t="shared" si="237"/>
        <v>0</v>
      </c>
      <c r="AQ335" s="125">
        <f t="shared" si="228"/>
        <v>30</v>
      </c>
      <c r="AR335" s="125">
        <f t="shared" ca="1" si="229"/>
        <v>30</v>
      </c>
      <c r="AS335" s="135">
        <f t="shared" si="230"/>
        <v>0</v>
      </c>
      <c r="AT335" s="125">
        <f t="shared" si="231"/>
        <v>0</v>
      </c>
      <c r="AU335" t="b">
        <f>OR((F335&gt;0),(NOT(ISBLANK(H335))),SUM(H335:H$373),SUM(G335:G$373))</f>
        <v>0</v>
      </c>
      <c r="AV335" t="b">
        <f t="shared" ca="1" si="213"/>
        <v>0</v>
      </c>
      <c r="AX335" s="228">
        <f>SUM(AW$5:AW335)</f>
        <v>-2.9166666666666665</v>
      </c>
    </row>
    <row r="336" spans="1:50">
      <c r="A336" s="308">
        <f t="shared" si="232"/>
        <v>42699</v>
      </c>
      <c r="B336" s="309">
        <f t="shared" si="233"/>
        <v>42699</v>
      </c>
      <c r="C336" s="310">
        <f t="shared" si="201"/>
        <v>48</v>
      </c>
      <c r="D336" s="311">
        <f t="shared" si="202"/>
        <v>42674</v>
      </c>
      <c r="E336" s="321" t="str">
        <f t="shared" si="214"/>
        <v/>
      </c>
      <c r="F336" s="5"/>
      <c r="G336" s="6" t="str">
        <f t="shared" si="215"/>
        <v/>
      </c>
      <c r="H336" s="7"/>
      <c r="I336" s="7">
        <f t="shared" si="216"/>
        <v>0</v>
      </c>
      <c r="J336" s="113">
        <f t="shared" si="204"/>
        <v>0</v>
      </c>
      <c r="K336" s="7"/>
      <c r="L336" s="7">
        <f t="shared" si="217"/>
        <v>0</v>
      </c>
      <c r="M336" s="113">
        <f t="shared" si="218"/>
        <v>0</v>
      </c>
      <c r="N336" s="113"/>
      <c r="O336" s="113">
        <f t="shared" si="205"/>
        <v>0</v>
      </c>
      <c r="P336" s="113"/>
      <c r="Q336" s="113">
        <f t="shared" si="219"/>
        <v>0</v>
      </c>
      <c r="R336" s="113">
        <f t="shared" si="220"/>
        <v>0</v>
      </c>
      <c r="S336" s="113">
        <f t="shared" si="238"/>
        <v>0</v>
      </c>
      <c r="T336" s="113">
        <f t="shared" si="221"/>
        <v>0</v>
      </c>
      <c r="U336" s="113">
        <f t="shared" si="239"/>
        <v>0</v>
      </c>
      <c r="V336" s="146">
        <f t="shared" si="222"/>
        <v>0</v>
      </c>
      <c r="W336" s="66"/>
      <c r="X336" s="115">
        <f t="shared" si="206"/>
        <v>3.125E-2</v>
      </c>
      <c r="Y336" s="110">
        <f t="shared" si="223"/>
        <v>0</v>
      </c>
      <c r="Z336" s="111">
        <f t="shared" si="203"/>
        <v>0.29166666666666669</v>
      </c>
      <c r="AA336" s="112">
        <f t="shared" si="224"/>
        <v>0</v>
      </c>
      <c r="AB336" s="67" t="str">
        <f t="shared" si="225"/>
        <v/>
      </c>
      <c r="AC336" s="193">
        <f t="shared" si="207"/>
        <v>0</v>
      </c>
      <c r="AD336" s="144" t="str">
        <f t="shared" si="208"/>
        <v/>
      </c>
      <c r="AE336" s="228">
        <f t="shared" si="234"/>
        <v>0</v>
      </c>
      <c r="AF336" s="110"/>
      <c r="AG336" s="110" t="str">
        <f t="shared" si="226"/>
        <v/>
      </c>
      <c r="AH336" s="68">
        <f t="shared" si="209"/>
        <v>0</v>
      </c>
      <c r="AI336" s="68">
        <f t="shared" si="210"/>
        <v>0</v>
      </c>
      <c r="AJ336" s="68" t="str">
        <f t="shared" si="211"/>
        <v/>
      </c>
      <c r="AK336">
        <f t="shared" si="212"/>
        <v>4</v>
      </c>
      <c r="AL336" s="122">
        <f>SUM($AD$6:AD336)</f>
        <v>0</v>
      </c>
      <c r="AM336" s="122">
        <f t="shared" ca="1" si="227"/>
        <v>0</v>
      </c>
      <c r="AN336" s="126">
        <f t="shared" si="235"/>
        <v>0</v>
      </c>
      <c r="AO336" s="126">
        <f t="shared" si="236"/>
        <v>0</v>
      </c>
      <c r="AP336" s="126">
        <f t="shared" si="237"/>
        <v>0</v>
      </c>
      <c r="AQ336" s="125">
        <f t="shared" si="228"/>
        <v>30</v>
      </c>
      <c r="AR336" s="125">
        <f t="shared" ca="1" si="229"/>
        <v>30</v>
      </c>
      <c r="AS336" s="135">
        <f t="shared" si="230"/>
        <v>0</v>
      </c>
      <c r="AT336" s="125">
        <f t="shared" si="231"/>
        <v>0</v>
      </c>
      <c r="AU336" t="b">
        <f>OR((F336&gt;0),(NOT(ISBLANK(H336))),SUM(H336:H$373),SUM(G336:G$373))</f>
        <v>0</v>
      </c>
      <c r="AV336" t="b">
        <f t="shared" ca="1" si="213"/>
        <v>0</v>
      </c>
      <c r="AX336" s="228">
        <f>SUM(AW$5:AW336)</f>
        <v>-2.9166666666666665</v>
      </c>
    </row>
    <row r="337" spans="1:50">
      <c r="A337" s="308">
        <f t="shared" si="232"/>
        <v>42700</v>
      </c>
      <c r="B337" s="309">
        <f t="shared" si="233"/>
        <v>42700</v>
      </c>
      <c r="C337" s="310">
        <f t="shared" si="201"/>
        <v>48</v>
      </c>
      <c r="D337" s="311">
        <f t="shared" si="202"/>
        <v>42674</v>
      </c>
      <c r="E337" s="321" t="str">
        <f t="shared" si="214"/>
        <v/>
      </c>
      <c r="F337" s="5"/>
      <c r="G337" s="6" t="str">
        <f t="shared" si="215"/>
        <v/>
      </c>
      <c r="H337" s="7"/>
      <c r="I337" s="7">
        <f t="shared" si="216"/>
        <v>0</v>
      </c>
      <c r="J337" s="113">
        <f t="shared" si="204"/>
        <v>0</v>
      </c>
      <c r="K337" s="7"/>
      <c r="L337" s="7">
        <f t="shared" si="217"/>
        <v>0</v>
      </c>
      <c r="M337" s="113">
        <f t="shared" si="218"/>
        <v>0</v>
      </c>
      <c r="N337" s="113"/>
      <c r="O337" s="113">
        <f t="shared" si="205"/>
        <v>0</v>
      </c>
      <c r="P337" s="113"/>
      <c r="Q337" s="113">
        <f t="shared" si="219"/>
        <v>0</v>
      </c>
      <c r="R337" s="113">
        <f t="shared" si="220"/>
        <v>0</v>
      </c>
      <c r="S337" s="113">
        <f t="shared" si="238"/>
        <v>0</v>
      </c>
      <c r="T337" s="113">
        <f t="shared" si="221"/>
        <v>0</v>
      </c>
      <c r="U337" s="113">
        <f t="shared" si="239"/>
        <v>0</v>
      </c>
      <c r="V337" s="146">
        <f t="shared" si="222"/>
        <v>0</v>
      </c>
      <c r="W337" s="66"/>
      <c r="X337" s="115">
        <f t="shared" si="206"/>
        <v>3.125E-2</v>
      </c>
      <c r="Y337" s="110">
        <f t="shared" si="223"/>
        <v>0</v>
      </c>
      <c r="Z337" s="111">
        <f t="shared" si="203"/>
        <v>0.29166666666666669</v>
      </c>
      <c r="AA337" s="112">
        <f t="shared" si="224"/>
        <v>0</v>
      </c>
      <c r="AB337" s="67" t="str">
        <f t="shared" si="225"/>
        <v/>
      </c>
      <c r="AC337" s="193">
        <f t="shared" si="207"/>
        <v>0</v>
      </c>
      <c r="AD337" s="144" t="str">
        <f t="shared" si="208"/>
        <v/>
      </c>
      <c r="AE337" s="228">
        <f t="shared" si="234"/>
        <v>0</v>
      </c>
      <c r="AF337" s="110"/>
      <c r="AG337" s="110" t="str">
        <f t="shared" si="226"/>
        <v/>
      </c>
      <c r="AH337" s="68">
        <f t="shared" si="209"/>
        <v>0</v>
      </c>
      <c r="AI337" s="68">
        <f t="shared" si="210"/>
        <v>0</v>
      </c>
      <c r="AJ337" s="68" t="str">
        <f t="shared" si="211"/>
        <v/>
      </c>
      <c r="AK337">
        <f t="shared" si="212"/>
        <v>5</v>
      </c>
      <c r="AL337" s="122">
        <f>SUM($AD$6:AD337)</f>
        <v>0</v>
      </c>
      <c r="AM337" s="122">
        <f t="shared" ca="1" si="227"/>
        <v>0</v>
      </c>
      <c r="AN337" s="126">
        <f t="shared" si="235"/>
        <v>0</v>
      </c>
      <c r="AO337" s="126">
        <f t="shared" si="236"/>
        <v>0</v>
      </c>
      <c r="AP337" s="126">
        <f t="shared" si="237"/>
        <v>0</v>
      </c>
      <c r="AQ337" s="125">
        <f t="shared" si="228"/>
        <v>30</v>
      </c>
      <c r="AR337" s="125">
        <f t="shared" ca="1" si="229"/>
        <v>30</v>
      </c>
      <c r="AS337" s="135">
        <f t="shared" si="230"/>
        <v>0</v>
      </c>
      <c r="AT337" s="125">
        <f t="shared" si="231"/>
        <v>0</v>
      </c>
      <c r="AU337" t="b">
        <f>OR((F337&gt;0),(NOT(ISBLANK(H337))),SUM(H337:H$373),SUM(G337:G$373))</f>
        <v>0</v>
      </c>
      <c r="AV337" t="b">
        <f t="shared" ca="1" si="213"/>
        <v>0</v>
      </c>
      <c r="AX337" s="228">
        <f>SUM(AW$5:AW337)</f>
        <v>-2.9166666666666665</v>
      </c>
    </row>
    <row r="338" spans="1:50">
      <c r="A338" s="308">
        <f t="shared" si="232"/>
        <v>42701</v>
      </c>
      <c r="B338" s="309">
        <f t="shared" si="233"/>
        <v>42701</v>
      </c>
      <c r="C338" s="310">
        <f t="shared" si="201"/>
        <v>48</v>
      </c>
      <c r="D338" s="311">
        <f t="shared" si="202"/>
        <v>42674</v>
      </c>
      <c r="E338" s="321" t="str">
        <f t="shared" si="214"/>
        <v/>
      </c>
      <c r="F338" s="5"/>
      <c r="G338" s="6" t="str">
        <f t="shared" si="215"/>
        <v/>
      </c>
      <c r="H338" s="7"/>
      <c r="I338" s="7">
        <f t="shared" si="216"/>
        <v>0</v>
      </c>
      <c r="J338" s="113">
        <f t="shared" si="204"/>
        <v>0</v>
      </c>
      <c r="K338" s="7"/>
      <c r="L338" s="7">
        <f t="shared" si="217"/>
        <v>0</v>
      </c>
      <c r="M338" s="113">
        <f t="shared" si="218"/>
        <v>0</v>
      </c>
      <c r="N338" s="113"/>
      <c r="O338" s="113">
        <f t="shared" si="205"/>
        <v>0</v>
      </c>
      <c r="P338" s="113"/>
      <c r="Q338" s="113">
        <f t="shared" si="219"/>
        <v>0</v>
      </c>
      <c r="R338" s="113">
        <f t="shared" si="220"/>
        <v>0</v>
      </c>
      <c r="S338" s="113">
        <f t="shared" si="238"/>
        <v>0</v>
      </c>
      <c r="T338" s="113">
        <f t="shared" si="221"/>
        <v>0</v>
      </c>
      <c r="U338" s="113">
        <f t="shared" si="239"/>
        <v>0</v>
      </c>
      <c r="V338" s="146">
        <f t="shared" si="222"/>
        <v>0</v>
      </c>
      <c r="W338" s="66"/>
      <c r="X338" s="115">
        <f t="shared" si="206"/>
        <v>3.125E-2</v>
      </c>
      <c r="Y338" s="110">
        <f t="shared" si="223"/>
        <v>0</v>
      </c>
      <c r="Z338" s="111">
        <f t="shared" si="203"/>
        <v>0</v>
      </c>
      <c r="AA338" s="112">
        <f t="shared" si="224"/>
        <v>0</v>
      </c>
      <c r="AB338" s="67" t="str">
        <f t="shared" si="225"/>
        <v/>
      </c>
      <c r="AC338" s="193">
        <f t="shared" si="207"/>
        <v>0</v>
      </c>
      <c r="AD338" s="144" t="str">
        <f t="shared" si="208"/>
        <v/>
      </c>
      <c r="AE338" s="228">
        <f t="shared" si="234"/>
        <v>0</v>
      </c>
      <c r="AF338" s="110"/>
      <c r="AG338" s="110" t="str">
        <f t="shared" si="226"/>
        <v/>
      </c>
      <c r="AH338" s="68">
        <f t="shared" si="209"/>
        <v>0</v>
      </c>
      <c r="AI338" s="68">
        <f t="shared" si="210"/>
        <v>0</v>
      </c>
      <c r="AJ338" s="68" t="str">
        <f t="shared" si="211"/>
        <v/>
      </c>
      <c r="AK338">
        <f t="shared" si="212"/>
        <v>6</v>
      </c>
      <c r="AL338" s="122">
        <f>SUM($AD$6:AD338)</f>
        <v>0</v>
      </c>
      <c r="AM338" s="122">
        <f t="shared" ca="1" si="227"/>
        <v>0</v>
      </c>
      <c r="AN338" s="126">
        <f t="shared" si="235"/>
        <v>0</v>
      </c>
      <c r="AO338" s="126">
        <f t="shared" si="236"/>
        <v>0</v>
      </c>
      <c r="AP338" s="126">
        <f t="shared" si="237"/>
        <v>0</v>
      </c>
      <c r="AQ338" s="125">
        <f t="shared" si="228"/>
        <v>30</v>
      </c>
      <c r="AR338" s="125">
        <f t="shared" ca="1" si="229"/>
        <v>30</v>
      </c>
      <c r="AS338" s="135">
        <f t="shared" si="230"/>
        <v>0</v>
      </c>
      <c r="AT338" s="125">
        <f t="shared" si="231"/>
        <v>7</v>
      </c>
      <c r="AU338" t="b">
        <f>OR((F338&gt;0),(NOT(ISBLANK(H338))),SUM(H338:H$373),SUM(G338:G$373))</f>
        <v>0</v>
      </c>
      <c r="AV338" t="b">
        <f t="shared" ca="1" si="213"/>
        <v>1</v>
      </c>
      <c r="AX338" s="228">
        <f>SUM(AW$5:AW338)</f>
        <v>-2.9166666666666665</v>
      </c>
    </row>
    <row r="339" spans="1:50">
      <c r="A339" s="308">
        <f t="shared" si="232"/>
        <v>42702</v>
      </c>
      <c r="B339" s="309">
        <f t="shared" si="233"/>
        <v>42702</v>
      </c>
      <c r="C339" s="310">
        <f t="shared" si="201"/>
        <v>48</v>
      </c>
      <c r="D339" s="311">
        <f t="shared" si="202"/>
        <v>42674</v>
      </c>
      <c r="E339" s="321" t="str">
        <f t="shared" si="214"/>
        <v/>
      </c>
      <c r="F339" s="5"/>
      <c r="G339" s="6" t="str">
        <f t="shared" si="215"/>
        <v/>
      </c>
      <c r="H339" s="7"/>
      <c r="I339" s="7">
        <f t="shared" si="216"/>
        <v>0</v>
      </c>
      <c r="J339" s="113">
        <f t="shared" si="204"/>
        <v>0</v>
      </c>
      <c r="K339" s="7"/>
      <c r="L339" s="7">
        <f t="shared" si="217"/>
        <v>0</v>
      </c>
      <c r="M339" s="113">
        <f t="shared" si="218"/>
        <v>0</v>
      </c>
      <c r="N339" s="113"/>
      <c r="O339" s="113">
        <f t="shared" si="205"/>
        <v>0</v>
      </c>
      <c r="P339" s="113"/>
      <c r="Q339" s="113">
        <f t="shared" si="219"/>
        <v>0</v>
      </c>
      <c r="R339" s="113">
        <f t="shared" si="220"/>
        <v>0</v>
      </c>
      <c r="S339" s="113">
        <f t="shared" si="238"/>
        <v>0</v>
      </c>
      <c r="T339" s="113">
        <f t="shared" si="221"/>
        <v>0</v>
      </c>
      <c r="U339" s="113">
        <f t="shared" si="239"/>
        <v>0</v>
      </c>
      <c r="V339" s="146">
        <f t="shared" si="222"/>
        <v>0</v>
      </c>
      <c r="W339" s="66"/>
      <c r="X339" s="115">
        <f t="shared" si="206"/>
        <v>3.125E-2</v>
      </c>
      <c r="Y339" s="110">
        <f t="shared" si="223"/>
        <v>0</v>
      </c>
      <c r="Z339" s="111">
        <f t="shared" si="203"/>
        <v>0</v>
      </c>
      <c r="AA339" s="112">
        <f t="shared" si="224"/>
        <v>0</v>
      </c>
      <c r="AB339" s="67" t="str">
        <f t="shared" si="225"/>
        <v/>
      </c>
      <c r="AC339" s="193">
        <f t="shared" si="207"/>
        <v>0</v>
      </c>
      <c r="AD339" s="144" t="str">
        <f t="shared" si="208"/>
        <v/>
      </c>
      <c r="AE339" s="228">
        <f t="shared" si="234"/>
        <v>0</v>
      </c>
      <c r="AF339" s="110"/>
      <c r="AG339" s="110" t="str">
        <f t="shared" si="226"/>
        <v/>
      </c>
      <c r="AH339" s="68">
        <f t="shared" si="209"/>
        <v>0</v>
      </c>
      <c r="AI339" s="68">
        <f t="shared" si="210"/>
        <v>0</v>
      </c>
      <c r="AJ339" s="68" t="str">
        <f t="shared" si="211"/>
        <v/>
      </c>
      <c r="AK339">
        <f t="shared" si="212"/>
        <v>7</v>
      </c>
      <c r="AL339" s="122">
        <f>SUM($AD$6:AD339)</f>
        <v>0</v>
      </c>
      <c r="AM339" s="122">
        <f t="shared" ca="1" si="227"/>
        <v>0</v>
      </c>
      <c r="AN339" s="126">
        <f t="shared" si="235"/>
        <v>0</v>
      </c>
      <c r="AO339" s="126">
        <f t="shared" si="236"/>
        <v>0</v>
      </c>
      <c r="AP339" s="126">
        <f t="shared" si="237"/>
        <v>0</v>
      </c>
      <c r="AQ339" s="125">
        <f t="shared" si="228"/>
        <v>30</v>
      </c>
      <c r="AR339" s="125">
        <f t="shared" ca="1" si="229"/>
        <v>30</v>
      </c>
      <c r="AS339" s="135">
        <f t="shared" si="230"/>
        <v>0</v>
      </c>
      <c r="AT339" s="125">
        <f t="shared" si="231"/>
        <v>7</v>
      </c>
      <c r="AU339" t="b">
        <f>OR((F339&gt;0),(NOT(ISBLANK(H339))),SUM(H339:H$373),SUM(G339:G$373))</f>
        <v>0</v>
      </c>
      <c r="AV339" t="b">
        <f t="shared" ca="1" si="213"/>
        <v>1</v>
      </c>
      <c r="AX339" s="228">
        <f>SUM(AW$5:AW339)</f>
        <v>-2.9166666666666665</v>
      </c>
    </row>
    <row r="340" spans="1:50">
      <c r="A340" s="308">
        <f t="shared" si="232"/>
        <v>42703</v>
      </c>
      <c r="B340" s="309">
        <f t="shared" si="233"/>
        <v>42703</v>
      </c>
      <c r="C340" s="310">
        <f t="shared" ref="C340:C373" si="240">IF(A340="","",NumberOfWeek(A340))</f>
        <v>49</v>
      </c>
      <c r="D340" s="311">
        <f t="shared" ref="D340:D373" si="241">IF(A340="","",DATE(YEAR(A340),MONTH(A340),1))</f>
        <v>42674</v>
      </c>
      <c r="E340" s="321" t="str">
        <f t="shared" si="214"/>
        <v/>
      </c>
      <c r="F340" s="5"/>
      <c r="G340" s="6" t="str">
        <f t="shared" si="215"/>
        <v/>
      </c>
      <c r="H340" s="7"/>
      <c r="I340" s="7">
        <f t="shared" si="216"/>
        <v>0</v>
      </c>
      <c r="J340" s="113">
        <f t="shared" si="204"/>
        <v>0</v>
      </c>
      <c r="K340" s="7"/>
      <c r="L340" s="7">
        <f t="shared" si="217"/>
        <v>0</v>
      </c>
      <c r="M340" s="113">
        <f t="shared" si="218"/>
        <v>0</v>
      </c>
      <c r="N340" s="113"/>
      <c r="O340" s="113">
        <f t="shared" si="205"/>
        <v>0</v>
      </c>
      <c r="P340" s="113"/>
      <c r="Q340" s="113">
        <f t="shared" si="219"/>
        <v>0</v>
      </c>
      <c r="R340" s="113">
        <f t="shared" si="220"/>
        <v>0</v>
      </c>
      <c r="S340" s="113">
        <f t="shared" si="238"/>
        <v>0</v>
      </c>
      <c r="T340" s="113">
        <f t="shared" si="221"/>
        <v>0</v>
      </c>
      <c r="U340" s="113">
        <f t="shared" si="239"/>
        <v>0</v>
      </c>
      <c r="V340" s="146">
        <f t="shared" si="222"/>
        <v>0</v>
      </c>
      <c r="W340" s="66"/>
      <c r="X340" s="115">
        <f t="shared" si="206"/>
        <v>3.125E-2</v>
      </c>
      <c r="Y340" s="110">
        <f t="shared" si="223"/>
        <v>0</v>
      </c>
      <c r="Z340" s="111">
        <f t="shared" ref="Z340:Z373" si="242">IF(AND(AK340&gt;0,AK340&lt;Feiertag),INDEX(Arbeitszeit,AK340),"")</f>
        <v>0.29166666666666669</v>
      </c>
      <c r="AA340" s="112">
        <f t="shared" si="224"/>
        <v>0</v>
      </c>
      <c r="AB340" s="67" t="str">
        <f t="shared" si="225"/>
        <v/>
      </c>
      <c r="AC340" s="193">
        <f t="shared" si="207"/>
        <v>0</v>
      </c>
      <c r="AD340" s="144" t="str">
        <f t="shared" si="208"/>
        <v/>
      </c>
      <c r="AE340" s="228">
        <f t="shared" si="234"/>
        <v>0</v>
      </c>
      <c r="AF340" s="110"/>
      <c r="AG340" s="110" t="str">
        <f t="shared" si="226"/>
        <v/>
      </c>
      <c r="AH340" s="68">
        <f t="shared" si="209"/>
        <v>0</v>
      </c>
      <c r="AI340" s="68">
        <f t="shared" si="210"/>
        <v>0</v>
      </c>
      <c r="AJ340" s="68" t="str">
        <f t="shared" si="211"/>
        <v/>
      </c>
      <c r="AK340">
        <f t="shared" si="212"/>
        <v>1</v>
      </c>
      <c r="AL340" s="122">
        <f>SUM($AD$6:AD340)</f>
        <v>0</v>
      </c>
      <c r="AM340" s="122">
        <f t="shared" ca="1" si="227"/>
        <v>0</v>
      </c>
      <c r="AN340" s="126">
        <f t="shared" si="235"/>
        <v>0</v>
      </c>
      <c r="AO340" s="126">
        <f t="shared" si="236"/>
        <v>0</v>
      </c>
      <c r="AP340" s="126">
        <f t="shared" si="237"/>
        <v>0</v>
      </c>
      <c r="AQ340" s="125">
        <f t="shared" si="228"/>
        <v>30</v>
      </c>
      <c r="AR340" s="125">
        <f t="shared" ca="1" si="229"/>
        <v>30</v>
      </c>
      <c r="AS340" s="135">
        <f t="shared" si="230"/>
        <v>0</v>
      </c>
      <c r="AT340" s="125">
        <f t="shared" si="231"/>
        <v>0</v>
      </c>
      <c r="AU340" t="b">
        <f>OR((F340&gt;0),(NOT(ISBLANK(H340))),SUM(H340:H$373),SUM(G340:G$373))</f>
        <v>0</v>
      </c>
      <c r="AV340" t="b">
        <f t="shared" ca="1" si="213"/>
        <v>0</v>
      </c>
      <c r="AX340" s="228">
        <f>SUM(AW$5:AW340)</f>
        <v>-2.9166666666666665</v>
      </c>
    </row>
    <row r="341" spans="1:50">
      <c r="A341" s="308">
        <f t="shared" si="232"/>
        <v>42704</v>
      </c>
      <c r="B341" s="309">
        <f t="shared" si="233"/>
        <v>42704</v>
      </c>
      <c r="C341" s="310">
        <f t="shared" si="240"/>
        <v>49</v>
      </c>
      <c r="D341" s="311">
        <f t="shared" si="241"/>
        <v>42704</v>
      </c>
      <c r="E341" s="321" t="str">
        <f t="shared" si="214"/>
        <v/>
      </c>
      <c r="F341" s="5"/>
      <c r="G341" s="6" t="str">
        <f t="shared" si="215"/>
        <v/>
      </c>
      <c r="H341" s="7"/>
      <c r="I341" s="7">
        <f t="shared" si="216"/>
        <v>0</v>
      </c>
      <c r="J341" s="113">
        <f t="shared" si="204"/>
        <v>0</v>
      </c>
      <c r="K341" s="7"/>
      <c r="L341" s="7">
        <f t="shared" si="217"/>
        <v>0</v>
      </c>
      <c r="M341" s="113">
        <f t="shared" si="218"/>
        <v>0</v>
      </c>
      <c r="N341" s="113"/>
      <c r="O341" s="113">
        <f t="shared" si="205"/>
        <v>0</v>
      </c>
      <c r="P341" s="113"/>
      <c r="Q341" s="113">
        <f t="shared" si="219"/>
        <v>0</v>
      </c>
      <c r="R341" s="113">
        <f t="shared" si="220"/>
        <v>0</v>
      </c>
      <c r="S341" s="113">
        <f t="shared" si="238"/>
        <v>0</v>
      </c>
      <c r="T341" s="113">
        <f t="shared" si="221"/>
        <v>0</v>
      </c>
      <c r="U341" s="113">
        <f t="shared" si="239"/>
        <v>0</v>
      </c>
      <c r="V341" s="146">
        <f t="shared" si="222"/>
        <v>0</v>
      </c>
      <c r="W341" s="66"/>
      <c r="X341" s="115">
        <f t="shared" si="206"/>
        <v>3.125E-2</v>
      </c>
      <c r="Y341" s="110">
        <f t="shared" si="223"/>
        <v>0</v>
      </c>
      <c r="Z341" s="111">
        <f t="shared" si="242"/>
        <v>0.29166666666666669</v>
      </c>
      <c r="AA341" s="112">
        <f t="shared" si="224"/>
        <v>0</v>
      </c>
      <c r="AB341" s="67" t="str">
        <f t="shared" si="225"/>
        <v/>
      </c>
      <c r="AC341" s="193">
        <f t="shared" si="207"/>
        <v>0</v>
      </c>
      <c r="AD341" s="144" t="str">
        <f t="shared" si="208"/>
        <v/>
      </c>
      <c r="AE341" s="228">
        <f t="shared" si="234"/>
        <v>0</v>
      </c>
      <c r="AF341" s="110"/>
      <c r="AG341" s="110" t="str">
        <f t="shared" si="226"/>
        <v/>
      </c>
      <c r="AH341" s="68">
        <f t="shared" si="209"/>
        <v>0</v>
      </c>
      <c r="AI341" s="68">
        <f t="shared" si="210"/>
        <v>0</v>
      </c>
      <c r="AJ341" s="68" t="str">
        <f t="shared" si="211"/>
        <v/>
      </c>
      <c r="AK341">
        <f t="shared" si="212"/>
        <v>2</v>
      </c>
      <c r="AL341" s="122">
        <f>SUM($AD$6:AD341)</f>
        <v>0</v>
      </c>
      <c r="AM341" s="122">
        <f t="shared" ca="1" si="227"/>
        <v>0</v>
      </c>
      <c r="AN341" s="126">
        <f t="shared" si="235"/>
        <v>0</v>
      </c>
      <c r="AO341" s="126">
        <f t="shared" si="236"/>
        <v>0</v>
      </c>
      <c r="AP341" s="126">
        <f t="shared" si="237"/>
        <v>0</v>
      </c>
      <c r="AQ341" s="125">
        <f t="shared" si="228"/>
        <v>30</v>
      </c>
      <c r="AR341" s="125">
        <f t="shared" ca="1" si="229"/>
        <v>30</v>
      </c>
      <c r="AS341" s="135">
        <f t="shared" si="230"/>
        <v>0</v>
      </c>
      <c r="AT341" s="125">
        <f t="shared" si="231"/>
        <v>0</v>
      </c>
      <c r="AU341" t="b">
        <f>OR((F341&gt;0),(NOT(ISBLANK(H341))),SUM(H341:H$373),SUM(G341:G$373))</f>
        <v>0</v>
      </c>
      <c r="AV341" t="b">
        <f t="shared" ca="1" si="213"/>
        <v>0</v>
      </c>
      <c r="AX341" s="228">
        <f>SUM(AW$5:AW341)</f>
        <v>-2.9166666666666665</v>
      </c>
    </row>
    <row r="342" spans="1:50">
      <c r="A342" s="308">
        <f t="shared" si="232"/>
        <v>42705</v>
      </c>
      <c r="B342" s="309">
        <f t="shared" si="233"/>
        <v>42705</v>
      </c>
      <c r="C342" s="310">
        <f t="shared" si="240"/>
        <v>49</v>
      </c>
      <c r="D342" s="311">
        <f t="shared" si="241"/>
        <v>42704</v>
      </c>
      <c r="E342" s="321" t="str">
        <f t="shared" si="214"/>
        <v/>
      </c>
      <c r="F342" s="5"/>
      <c r="G342" s="6" t="str">
        <f t="shared" si="215"/>
        <v/>
      </c>
      <c r="H342" s="7"/>
      <c r="I342" s="7">
        <f t="shared" si="216"/>
        <v>0</v>
      </c>
      <c r="J342" s="113">
        <f t="shared" si="204"/>
        <v>0</v>
      </c>
      <c r="K342" s="7"/>
      <c r="L342" s="7">
        <f t="shared" si="217"/>
        <v>0</v>
      </c>
      <c r="M342" s="113">
        <f t="shared" si="218"/>
        <v>0</v>
      </c>
      <c r="N342" s="113"/>
      <c r="O342" s="113">
        <f t="shared" si="205"/>
        <v>0</v>
      </c>
      <c r="P342" s="113"/>
      <c r="Q342" s="113">
        <f t="shared" si="219"/>
        <v>0</v>
      </c>
      <c r="R342" s="113">
        <f t="shared" si="220"/>
        <v>0</v>
      </c>
      <c r="S342" s="113">
        <f t="shared" si="238"/>
        <v>0</v>
      </c>
      <c r="T342" s="113">
        <f t="shared" si="221"/>
        <v>0</v>
      </c>
      <c r="U342" s="113">
        <f t="shared" si="239"/>
        <v>0</v>
      </c>
      <c r="V342" s="146">
        <f t="shared" si="222"/>
        <v>0</v>
      </c>
      <c r="W342" s="66"/>
      <c r="X342" s="115">
        <f t="shared" si="206"/>
        <v>3.125E-2</v>
      </c>
      <c r="Y342" s="110">
        <f t="shared" si="223"/>
        <v>0</v>
      </c>
      <c r="Z342" s="111">
        <f t="shared" si="242"/>
        <v>0.29166666666666669</v>
      </c>
      <c r="AA342" s="112">
        <f t="shared" si="224"/>
        <v>0</v>
      </c>
      <c r="AB342" s="67" t="str">
        <f t="shared" si="225"/>
        <v/>
      </c>
      <c r="AC342" s="193">
        <f t="shared" si="207"/>
        <v>0</v>
      </c>
      <c r="AD342" s="144" t="str">
        <f t="shared" si="208"/>
        <v/>
      </c>
      <c r="AE342" s="228">
        <f t="shared" si="234"/>
        <v>0</v>
      </c>
      <c r="AF342" s="110"/>
      <c r="AG342" s="110" t="str">
        <f t="shared" si="226"/>
        <v/>
      </c>
      <c r="AH342" s="68">
        <f t="shared" si="209"/>
        <v>0</v>
      </c>
      <c r="AI342" s="68">
        <f t="shared" si="210"/>
        <v>0</v>
      </c>
      <c r="AJ342" s="68" t="str">
        <f t="shared" si="211"/>
        <v/>
      </c>
      <c r="AK342">
        <f t="shared" si="212"/>
        <v>3</v>
      </c>
      <c r="AL342" s="122">
        <f>SUM($AD$6:AD342)</f>
        <v>0</v>
      </c>
      <c r="AM342" s="122">
        <f t="shared" ca="1" si="227"/>
        <v>0</v>
      </c>
      <c r="AN342" s="126">
        <f t="shared" si="235"/>
        <v>0</v>
      </c>
      <c r="AO342" s="126">
        <f t="shared" si="236"/>
        <v>0</v>
      </c>
      <c r="AP342" s="126">
        <f t="shared" si="237"/>
        <v>0</v>
      </c>
      <c r="AQ342" s="125">
        <f t="shared" si="228"/>
        <v>30</v>
      </c>
      <c r="AR342" s="125">
        <f t="shared" ca="1" si="229"/>
        <v>30</v>
      </c>
      <c r="AS342" s="135">
        <f t="shared" si="230"/>
        <v>0</v>
      </c>
      <c r="AT342" s="125">
        <f t="shared" si="231"/>
        <v>0</v>
      </c>
      <c r="AU342" t="b">
        <f>OR((F342&gt;0),(NOT(ISBLANK(H342))),SUM(H342:H$373),SUM(G342:G$373))</f>
        <v>0</v>
      </c>
      <c r="AV342" t="b">
        <f t="shared" ca="1" si="213"/>
        <v>0</v>
      </c>
      <c r="AX342" s="228">
        <f>SUM(AW$5:AW342)</f>
        <v>-2.9166666666666665</v>
      </c>
    </row>
    <row r="343" spans="1:50">
      <c r="A343" s="308">
        <f t="shared" si="232"/>
        <v>42706</v>
      </c>
      <c r="B343" s="309">
        <f t="shared" si="233"/>
        <v>42706</v>
      </c>
      <c r="C343" s="310">
        <f t="shared" si="240"/>
        <v>49</v>
      </c>
      <c r="D343" s="311">
        <f t="shared" si="241"/>
        <v>42704</v>
      </c>
      <c r="E343" s="321" t="str">
        <f t="shared" si="214"/>
        <v/>
      </c>
      <c r="F343" s="5"/>
      <c r="G343" s="6" t="str">
        <f t="shared" si="215"/>
        <v/>
      </c>
      <c r="H343" s="7"/>
      <c r="I343" s="7">
        <f t="shared" si="216"/>
        <v>0</v>
      </c>
      <c r="J343" s="113">
        <f t="shared" si="204"/>
        <v>0</v>
      </c>
      <c r="K343" s="7"/>
      <c r="L343" s="7">
        <f t="shared" si="217"/>
        <v>0</v>
      </c>
      <c r="M343" s="113">
        <f t="shared" si="218"/>
        <v>0</v>
      </c>
      <c r="N343" s="113"/>
      <c r="O343" s="113">
        <f t="shared" si="205"/>
        <v>0</v>
      </c>
      <c r="P343" s="113"/>
      <c r="Q343" s="113">
        <f t="shared" si="219"/>
        <v>0</v>
      </c>
      <c r="R343" s="113">
        <f t="shared" si="220"/>
        <v>0</v>
      </c>
      <c r="S343" s="113">
        <f t="shared" si="238"/>
        <v>0</v>
      </c>
      <c r="T343" s="113">
        <f t="shared" si="221"/>
        <v>0</v>
      </c>
      <c r="U343" s="113">
        <f t="shared" si="239"/>
        <v>0</v>
      </c>
      <c r="V343" s="146">
        <f t="shared" si="222"/>
        <v>0</v>
      </c>
      <c r="W343" s="66"/>
      <c r="X343" s="115">
        <f t="shared" si="206"/>
        <v>3.125E-2</v>
      </c>
      <c r="Y343" s="110">
        <f t="shared" si="223"/>
        <v>0</v>
      </c>
      <c r="Z343" s="111">
        <f t="shared" si="242"/>
        <v>0.29166666666666669</v>
      </c>
      <c r="AA343" s="112">
        <f t="shared" si="224"/>
        <v>0</v>
      </c>
      <c r="AB343" s="67" t="str">
        <f t="shared" si="225"/>
        <v/>
      </c>
      <c r="AC343" s="193">
        <f t="shared" si="207"/>
        <v>0</v>
      </c>
      <c r="AD343" s="144" t="str">
        <f t="shared" si="208"/>
        <v/>
      </c>
      <c r="AE343" s="228">
        <f t="shared" si="234"/>
        <v>0</v>
      </c>
      <c r="AF343" s="110"/>
      <c r="AG343" s="110" t="str">
        <f t="shared" si="226"/>
        <v/>
      </c>
      <c r="AH343" s="68">
        <f t="shared" si="209"/>
        <v>0</v>
      </c>
      <c r="AI343" s="68">
        <f t="shared" si="210"/>
        <v>0</v>
      </c>
      <c r="AJ343" s="68" t="str">
        <f t="shared" si="211"/>
        <v/>
      </c>
      <c r="AK343">
        <f t="shared" si="212"/>
        <v>4</v>
      </c>
      <c r="AL343" s="122">
        <f>SUM($AD$6:AD343)</f>
        <v>0</v>
      </c>
      <c r="AM343" s="122">
        <f t="shared" ca="1" si="227"/>
        <v>0</v>
      </c>
      <c r="AN343" s="126">
        <f t="shared" si="235"/>
        <v>0</v>
      </c>
      <c r="AO343" s="126">
        <f t="shared" si="236"/>
        <v>0</v>
      </c>
      <c r="AP343" s="126">
        <f t="shared" si="237"/>
        <v>0</v>
      </c>
      <c r="AQ343" s="125">
        <f t="shared" si="228"/>
        <v>30</v>
      </c>
      <c r="AR343" s="125">
        <f t="shared" ca="1" si="229"/>
        <v>30</v>
      </c>
      <c r="AS343" s="135">
        <f t="shared" si="230"/>
        <v>0</v>
      </c>
      <c r="AT343" s="125">
        <f t="shared" si="231"/>
        <v>0</v>
      </c>
      <c r="AU343" t="b">
        <f>OR((F343&gt;0),(NOT(ISBLANK(H343))),SUM(H343:H$373),SUM(G343:G$373))</f>
        <v>0</v>
      </c>
      <c r="AV343" t="b">
        <f t="shared" ca="1" si="213"/>
        <v>0</v>
      </c>
      <c r="AX343" s="228">
        <f>SUM(AW$5:AW343)</f>
        <v>-2.9166666666666665</v>
      </c>
    </row>
    <row r="344" spans="1:50">
      <c r="A344" s="308">
        <f t="shared" si="232"/>
        <v>42707</v>
      </c>
      <c r="B344" s="309">
        <f t="shared" si="233"/>
        <v>42707</v>
      </c>
      <c r="C344" s="310">
        <f t="shared" si="240"/>
        <v>49</v>
      </c>
      <c r="D344" s="311">
        <f t="shared" si="241"/>
        <v>42704</v>
      </c>
      <c r="E344" s="321" t="str">
        <f t="shared" si="214"/>
        <v/>
      </c>
      <c r="F344" s="5"/>
      <c r="G344" s="6" t="str">
        <f t="shared" si="215"/>
        <v/>
      </c>
      <c r="H344" s="7"/>
      <c r="I344" s="7">
        <f t="shared" si="216"/>
        <v>0</v>
      </c>
      <c r="J344" s="113">
        <f t="shared" si="204"/>
        <v>0</v>
      </c>
      <c r="K344" s="7"/>
      <c r="L344" s="7">
        <f t="shared" si="217"/>
        <v>0</v>
      </c>
      <c r="M344" s="113">
        <f t="shared" si="218"/>
        <v>0</v>
      </c>
      <c r="N344" s="113"/>
      <c r="O344" s="113">
        <f t="shared" si="205"/>
        <v>0</v>
      </c>
      <c r="P344" s="113"/>
      <c r="Q344" s="113">
        <f t="shared" si="219"/>
        <v>0</v>
      </c>
      <c r="R344" s="113">
        <f t="shared" si="220"/>
        <v>0</v>
      </c>
      <c r="S344" s="113">
        <f t="shared" si="238"/>
        <v>0</v>
      </c>
      <c r="T344" s="113">
        <f t="shared" si="221"/>
        <v>0</v>
      </c>
      <c r="U344" s="113">
        <f t="shared" si="239"/>
        <v>0</v>
      </c>
      <c r="V344" s="146">
        <f t="shared" si="222"/>
        <v>0</v>
      </c>
      <c r="W344" s="66"/>
      <c r="X344" s="115">
        <f t="shared" si="206"/>
        <v>3.125E-2</v>
      </c>
      <c r="Y344" s="110">
        <f t="shared" si="223"/>
        <v>0</v>
      </c>
      <c r="Z344" s="111">
        <f t="shared" si="242"/>
        <v>0.29166666666666669</v>
      </c>
      <c r="AA344" s="112">
        <f t="shared" si="224"/>
        <v>0</v>
      </c>
      <c r="AB344" s="67" t="str">
        <f t="shared" si="225"/>
        <v/>
      </c>
      <c r="AC344" s="193">
        <f t="shared" si="207"/>
        <v>0</v>
      </c>
      <c r="AD344" s="144" t="str">
        <f t="shared" si="208"/>
        <v/>
      </c>
      <c r="AE344" s="228">
        <f t="shared" si="234"/>
        <v>0</v>
      </c>
      <c r="AF344" s="110"/>
      <c r="AG344" s="110" t="str">
        <f t="shared" si="226"/>
        <v/>
      </c>
      <c r="AH344" s="68">
        <f t="shared" si="209"/>
        <v>0</v>
      </c>
      <c r="AI344" s="68">
        <f t="shared" si="210"/>
        <v>0</v>
      </c>
      <c r="AJ344" s="68" t="str">
        <f t="shared" si="211"/>
        <v/>
      </c>
      <c r="AK344">
        <f t="shared" si="212"/>
        <v>5</v>
      </c>
      <c r="AL344" s="122">
        <f>SUM($AD$6:AD344)</f>
        <v>0</v>
      </c>
      <c r="AM344" s="122">
        <f t="shared" ca="1" si="227"/>
        <v>0</v>
      </c>
      <c r="AN344" s="126">
        <f t="shared" si="235"/>
        <v>0</v>
      </c>
      <c r="AO344" s="126">
        <f t="shared" si="236"/>
        <v>0</v>
      </c>
      <c r="AP344" s="126">
        <f t="shared" si="237"/>
        <v>0</v>
      </c>
      <c r="AQ344" s="125">
        <f t="shared" si="228"/>
        <v>30</v>
      </c>
      <c r="AR344" s="125">
        <f t="shared" ca="1" si="229"/>
        <v>30</v>
      </c>
      <c r="AS344" s="135">
        <f t="shared" si="230"/>
        <v>0</v>
      </c>
      <c r="AT344" s="125">
        <f t="shared" si="231"/>
        <v>0</v>
      </c>
      <c r="AU344" t="b">
        <f>OR((F344&gt;0),(NOT(ISBLANK(H344))),SUM(H344:H$373),SUM(G344:G$373))</f>
        <v>0</v>
      </c>
      <c r="AV344" t="b">
        <f t="shared" ca="1" si="213"/>
        <v>0</v>
      </c>
      <c r="AX344" s="228">
        <f>SUM(AW$5:AW344)</f>
        <v>-2.9166666666666665</v>
      </c>
    </row>
    <row r="345" spans="1:50">
      <c r="A345" s="308">
        <f t="shared" si="232"/>
        <v>42708</v>
      </c>
      <c r="B345" s="309">
        <f t="shared" si="233"/>
        <v>42708</v>
      </c>
      <c r="C345" s="310">
        <f t="shared" si="240"/>
        <v>49</v>
      </c>
      <c r="D345" s="311">
        <f t="shared" si="241"/>
        <v>42704</v>
      </c>
      <c r="E345" s="321" t="str">
        <f t="shared" si="214"/>
        <v/>
      </c>
      <c r="F345" s="5"/>
      <c r="G345" s="6" t="str">
        <f t="shared" si="215"/>
        <v/>
      </c>
      <c r="H345" s="7"/>
      <c r="I345" s="7">
        <f t="shared" si="216"/>
        <v>0</v>
      </c>
      <c r="J345" s="113">
        <f t="shared" si="204"/>
        <v>0</v>
      </c>
      <c r="K345" s="7"/>
      <c r="L345" s="7">
        <f t="shared" si="217"/>
        <v>0</v>
      </c>
      <c r="M345" s="113">
        <f t="shared" si="218"/>
        <v>0</v>
      </c>
      <c r="N345" s="113"/>
      <c r="O345" s="113">
        <f t="shared" si="205"/>
        <v>0</v>
      </c>
      <c r="P345" s="113"/>
      <c r="Q345" s="113">
        <f t="shared" si="219"/>
        <v>0</v>
      </c>
      <c r="R345" s="113">
        <f t="shared" si="220"/>
        <v>0</v>
      </c>
      <c r="S345" s="113">
        <f t="shared" si="238"/>
        <v>0</v>
      </c>
      <c r="T345" s="113">
        <f t="shared" si="221"/>
        <v>0</v>
      </c>
      <c r="U345" s="113">
        <f t="shared" si="239"/>
        <v>0</v>
      </c>
      <c r="V345" s="146">
        <f t="shared" si="222"/>
        <v>0</v>
      </c>
      <c r="W345" s="66"/>
      <c r="X345" s="115">
        <f t="shared" si="206"/>
        <v>3.125E-2</v>
      </c>
      <c r="Y345" s="110">
        <f t="shared" si="223"/>
        <v>0</v>
      </c>
      <c r="Z345" s="111">
        <f t="shared" si="242"/>
        <v>0</v>
      </c>
      <c r="AA345" s="112">
        <f t="shared" si="224"/>
        <v>0</v>
      </c>
      <c r="AB345" s="67" t="str">
        <f t="shared" si="225"/>
        <v/>
      </c>
      <c r="AC345" s="193">
        <f t="shared" si="207"/>
        <v>0</v>
      </c>
      <c r="AD345" s="144" t="str">
        <f t="shared" si="208"/>
        <v/>
      </c>
      <c r="AE345" s="228">
        <f t="shared" si="234"/>
        <v>0</v>
      </c>
      <c r="AF345" s="110"/>
      <c r="AG345" s="110" t="str">
        <f t="shared" si="226"/>
        <v/>
      </c>
      <c r="AH345" s="68">
        <f t="shared" si="209"/>
        <v>0</v>
      </c>
      <c r="AI345" s="68">
        <f t="shared" si="210"/>
        <v>0</v>
      </c>
      <c r="AJ345" s="68" t="str">
        <f t="shared" si="211"/>
        <v/>
      </c>
      <c r="AK345">
        <f t="shared" si="212"/>
        <v>6</v>
      </c>
      <c r="AL345" s="122">
        <f>SUM($AD$6:AD345)</f>
        <v>0</v>
      </c>
      <c r="AM345" s="122">
        <f t="shared" ca="1" si="227"/>
        <v>0</v>
      </c>
      <c r="AN345" s="126">
        <f t="shared" si="235"/>
        <v>0</v>
      </c>
      <c r="AO345" s="126">
        <f t="shared" si="236"/>
        <v>0</v>
      </c>
      <c r="AP345" s="126">
        <f t="shared" si="237"/>
        <v>0</v>
      </c>
      <c r="AQ345" s="125">
        <f t="shared" si="228"/>
        <v>30</v>
      </c>
      <c r="AR345" s="125">
        <f t="shared" ca="1" si="229"/>
        <v>30</v>
      </c>
      <c r="AS345" s="135">
        <f t="shared" si="230"/>
        <v>0</v>
      </c>
      <c r="AT345" s="125">
        <f t="shared" si="231"/>
        <v>7</v>
      </c>
      <c r="AU345" t="b">
        <f>OR((F345&gt;0),(NOT(ISBLANK(H345))),SUM(H345:H$373),SUM(G345:G$373))</f>
        <v>0</v>
      </c>
      <c r="AV345" t="b">
        <f t="shared" ca="1" si="213"/>
        <v>1</v>
      </c>
      <c r="AX345" s="228">
        <f>SUM(AW$5:AW345)</f>
        <v>-2.9166666666666665</v>
      </c>
    </row>
    <row r="346" spans="1:50">
      <c r="A346" s="308">
        <f t="shared" si="232"/>
        <v>42709</v>
      </c>
      <c r="B346" s="309">
        <f t="shared" si="233"/>
        <v>42709</v>
      </c>
      <c r="C346" s="310">
        <f t="shared" si="240"/>
        <v>49</v>
      </c>
      <c r="D346" s="311">
        <f t="shared" si="241"/>
        <v>42704</v>
      </c>
      <c r="E346" s="321" t="str">
        <f t="shared" si="214"/>
        <v/>
      </c>
      <c r="F346" s="5"/>
      <c r="G346" s="6" t="str">
        <f t="shared" si="215"/>
        <v/>
      </c>
      <c r="H346" s="7"/>
      <c r="I346" s="7">
        <f t="shared" si="216"/>
        <v>0</v>
      </c>
      <c r="J346" s="113">
        <f t="shared" si="204"/>
        <v>0</v>
      </c>
      <c r="K346" s="7"/>
      <c r="L346" s="7">
        <f t="shared" si="217"/>
        <v>0</v>
      </c>
      <c r="M346" s="113">
        <f t="shared" si="218"/>
        <v>0</v>
      </c>
      <c r="N346" s="113"/>
      <c r="O346" s="113">
        <f t="shared" si="205"/>
        <v>0</v>
      </c>
      <c r="P346" s="113"/>
      <c r="Q346" s="113">
        <f t="shared" si="219"/>
        <v>0</v>
      </c>
      <c r="R346" s="113">
        <f t="shared" si="220"/>
        <v>0</v>
      </c>
      <c r="S346" s="113">
        <f t="shared" si="238"/>
        <v>0</v>
      </c>
      <c r="T346" s="113">
        <f t="shared" si="221"/>
        <v>0</v>
      </c>
      <c r="U346" s="113">
        <f t="shared" si="239"/>
        <v>0</v>
      </c>
      <c r="V346" s="146">
        <f t="shared" si="222"/>
        <v>0</v>
      </c>
      <c r="W346" s="66"/>
      <c r="X346" s="115">
        <f t="shared" si="206"/>
        <v>3.125E-2</v>
      </c>
      <c r="Y346" s="110">
        <f t="shared" si="223"/>
        <v>0</v>
      </c>
      <c r="Z346" s="111">
        <f t="shared" si="242"/>
        <v>0</v>
      </c>
      <c r="AA346" s="112">
        <f t="shared" si="224"/>
        <v>0</v>
      </c>
      <c r="AB346" s="67" t="str">
        <f t="shared" si="225"/>
        <v/>
      </c>
      <c r="AC346" s="193">
        <f t="shared" si="207"/>
        <v>0</v>
      </c>
      <c r="AD346" s="144" t="str">
        <f t="shared" si="208"/>
        <v/>
      </c>
      <c r="AE346" s="228">
        <f t="shared" si="234"/>
        <v>0</v>
      </c>
      <c r="AF346" s="110"/>
      <c r="AG346" s="110" t="str">
        <f t="shared" si="226"/>
        <v/>
      </c>
      <c r="AH346" s="68">
        <f t="shared" si="209"/>
        <v>0</v>
      </c>
      <c r="AI346" s="68">
        <f t="shared" si="210"/>
        <v>0</v>
      </c>
      <c r="AJ346" s="68" t="str">
        <f t="shared" si="211"/>
        <v/>
      </c>
      <c r="AK346">
        <f t="shared" si="212"/>
        <v>7</v>
      </c>
      <c r="AL346" s="122">
        <f>SUM($AD$6:AD346)</f>
        <v>0</v>
      </c>
      <c r="AM346" s="122">
        <f t="shared" ca="1" si="227"/>
        <v>0</v>
      </c>
      <c r="AN346" s="126">
        <f t="shared" si="235"/>
        <v>0</v>
      </c>
      <c r="AO346" s="126">
        <f t="shared" si="236"/>
        <v>0</v>
      </c>
      <c r="AP346" s="126">
        <f t="shared" si="237"/>
        <v>0</v>
      </c>
      <c r="AQ346" s="125">
        <f t="shared" si="228"/>
        <v>30</v>
      </c>
      <c r="AR346" s="125">
        <f t="shared" ca="1" si="229"/>
        <v>30</v>
      </c>
      <c r="AS346" s="135">
        <f t="shared" si="230"/>
        <v>0</v>
      </c>
      <c r="AT346" s="125">
        <f t="shared" si="231"/>
        <v>7</v>
      </c>
      <c r="AU346" t="b">
        <f>OR((F346&gt;0),(NOT(ISBLANK(H346))),SUM(H346:H$373),SUM(G346:G$373))</f>
        <v>0</v>
      </c>
      <c r="AV346" t="b">
        <f t="shared" ca="1" si="213"/>
        <v>1</v>
      </c>
      <c r="AX346" s="228">
        <f>SUM(AW$5:AW346)</f>
        <v>-2.9166666666666665</v>
      </c>
    </row>
    <row r="347" spans="1:50">
      <c r="A347" s="308">
        <f t="shared" si="232"/>
        <v>42710</v>
      </c>
      <c r="B347" s="309">
        <f t="shared" si="233"/>
        <v>42710</v>
      </c>
      <c r="C347" s="310">
        <f t="shared" si="240"/>
        <v>50</v>
      </c>
      <c r="D347" s="311">
        <f t="shared" si="241"/>
        <v>42704</v>
      </c>
      <c r="E347" s="321" t="str">
        <f t="shared" si="214"/>
        <v/>
      </c>
      <c r="F347" s="5"/>
      <c r="G347" s="6" t="str">
        <f t="shared" si="215"/>
        <v/>
      </c>
      <c r="H347" s="7"/>
      <c r="I347" s="7">
        <f t="shared" si="216"/>
        <v>0</v>
      </c>
      <c r="J347" s="113">
        <f t="shared" si="204"/>
        <v>0</v>
      </c>
      <c r="K347" s="7"/>
      <c r="L347" s="7">
        <f t="shared" si="217"/>
        <v>0</v>
      </c>
      <c r="M347" s="113">
        <f t="shared" si="218"/>
        <v>0</v>
      </c>
      <c r="N347" s="113"/>
      <c r="O347" s="113">
        <f t="shared" si="205"/>
        <v>0</v>
      </c>
      <c r="P347" s="113"/>
      <c r="Q347" s="113">
        <f t="shared" si="219"/>
        <v>0</v>
      </c>
      <c r="R347" s="113">
        <f t="shared" si="220"/>
        <v>0</v>
      </c>
      <c r="S347" s="113">
        <f t="shared" si="238"/>
        <v>0</v>
      </c>
      <c r="T347" s="113">
        <f t="shared" si="221"/>
        <v>0</v>
      </c>
      <c r="U347" s="113">
        <f t="shared" si="239"/>
        <v>0</v>
      </c>
      <c r="V347" s="146">
        <f t="shared" si="222"/>
        <v>0</v>
      </c>
      <c r="W347" s="66"/>
      <c r="X347" s="115">
        <f t="shared" si="206"/>
        <v>3.125E-2</v>
      </c>
      <c r="Y347" s="110">
        <f t="shared" si="223"/>
        <v>0</v>
      </c>
      <c r="Z347" s="111">
        <f t="shared" si="242"/>
        <v>0.29166666666666669</v>
      </c>
      <c r="AA347" s="112">
        <f t="shared" si="224"/>
        <v>0</v>
      </c>
      <c r="AB347" s="67" t="str">
        <f t="shared" si="225"/>
        <v/>
      </c>
      <c r="AC347" s="193">
        <f t="shared" si="207"/>
        <v>0</v>
      </c>
      <c r="AD347" s="144" t="str">
        <f t="shared" si="208"/>
        <v/>
      </c>
      <c r="AE347" s="228">
        <f t="shared" si="234"/>
        <v>0</v>
      </c>
      <c r="AF347" s="110"/>
      <c r="AG347" s="110" t="str">
        <f t="shared" si="226"/>
        <v/>
      </c>
      <c r="AH347" s="68">
        <f t="shared" si="209"/>
        <v>0</v>
      </c>
      <c r="AI347" s="68">
        <f t="shared" si="210"/>
        <v>0</v>
      </c>
      <c r="AJ347" s="68" t="str">
        <f t="shared" si="211"/>
        <v/>
      </c>
      <c r="AK347">
        <f t="shared" si="212"/>
        <v>1</v>
      </c>
      <c r="AL347" s="122">
        <f>SUM($AD$6:AD347)</f>
        <v>0</v>
      </c>
      <c r="AM347" s="122">
        <f t="shared" ca="1" si="227"/>
        <v>0</v>
      </c>
      <c r="AN347" s="126">
        <f t="shared" si="235"/>
        <v>0</v>
      </c>
      <c r="AO347" s="126">
        <f t="shared" si="236"/>
        <v>0</v>
      </c>
      <c r="AP347" s="126">
        <f t="shared" si="237"/>
        <v>0</v>
      </c>
      <c r="AQ347" s="125">
        <f t="shared" si="228"/>
        <v>30</v>
      </c>
      <c r="AR347" s="125">
        <f t="shared" ca="1" si="229"/>
        <v>30</v>
      </c>
      <c r="AS347" s="135">
        <f t="shared" si="230"/>
        <v>0</v>
      </c>
      <c r="AT347" s="125">
        <f t="shared" si="231"/>
        <v>0</v>
      </c>
      <c r="AU347" t="b">
        <f>OR((F347&gt;0),(NOT(ISBLANK(H347))),SUM(H347:H$373),SUM(G347:G$373))</f>
        <v>0</v>
      </c>
      <c r="AV347" t="b">
        <f t="shared" ca="1" si="213"/>
        <v>0</v>
      </c>
      <c r="AX347" s="228">
        <f>SUM(AW$5:AW347)</f>
        <v>-2.9166666666666665</v>
      </c>
    </row>
    <row r="348" spans="1:50">
      <c r="A348" s="308">
        <f t="shared" si="232"/>
        <v>42711</v>
      </c>
      <c r="B348" s="309">
        <f t="shared" si="233"/>
        <v>42711</v>
      </c>
      <c r="C348" s="310">
        <f t="shared" si="240"/>
        <v>50</v>
      </c>
      <c r="D348" s="311">
        <f t="shared" si="241"/>
        <v>42704</v>
      </c>
      <c r="E348" s="321" t="str">
        <f t="shared" si="214"/>
        <v/>
      </c>
      <c r="F348" s="5"/>
      <c r="G348" s="6" t="str">
        <f t="shared" si="215"/>
        <v/>
      </c>
      <c r="H348" s="7"/>
      <c r="I348" s="7">
        <f t="shared" si="216"/>
        <v>0</v>
      </c>
      <c r="J348" s="113">
        <f t="shared" si="204"/>
        <v>0</v>
      </c>
      <c r="K348" s="7"/>
      <c r="L348" s="7">
        <f t="shared" si="217"/>
        <v>0</v>
      </c>
      <c r="M348" s="113">
        <f t="shared" si="218"/>
        <v>0</v>
      </c>
      <c r="N348" s="113"/>
      <c r="O348" s="113">
        <f t="shared" si="205"/>
        <v>0</v>
      </c>
      <c r="P348" s="113"/>
      <c r="Q348" s="113">
        <f t="shared" si="219"/>
        <v>0</v>
      </c>
      <c r="R348" s="113">
        <f t="shared" si="220"/>
        <v>0</v>
      </c>
      <c r="S348" s="113">
        <f t="shared" si="238"/>
        <v>0</v>
      </c>
      <c r="T348" s="113">
        <f t="shared" si="221"/>
        <v>0</v>
      </c>
      <c r="U348" s="113">
        <f t="shared" si="239"/>
        <v>0</v>
      </c>
      <c r="V348" s="146">
        <f t="shared" si="222"/>
        <v>0</v>
      </c>
      <c r="W348" s="66"/>
      <c r="X348" s="115">
        <f t="shared" si="206"/>
        <v>3.125E-2</v>
      </c>
      <c r="Y348" s="110">
        <f t="shared" si="223"/>
        <v>0</v>
      </c>
      <c r="Z348" s="111">
        <f t="shared" si="242"/>
        <v>0.29166666666666669</v>
      </c>
      <c r="AA348" s="112">
        <f t="shared" si="224"/>
        <v>0</v>
      </c>
      <c r="AB348" s="67" t="str">
        <f t="shared" si="225"/>
        <v/>
      </c>
      <c r="AC348" s="193">
        <f t="shared" si="207"/>
        <v>0</v>
      </c>
      <c r="AD348" s="144" t="str">
        <f t="shared" si="208"/>
        <v/>
      </c>
      <c r="AE348" s="228">
        <f t="shared" si="234"/>
        <v>0</v>
      </c>
      <c r="AF348" s="110"/>
      <c r="AG348" s="110" t="str">
        <f t="shared" si="226"/>
        <v/>
      </c>
      <c r="AH348" s="68">
        <f t="shared" si="209"/>
        <v>0</v>
      </c>
      <c r="AI348" s="68">
        <f t="shared" si="210"/>
        <v>0</v>
      </c>
      <c r="AJ348" s="68" t="str">
        <f t="shared" si="211"/>
        <v/>
      </c>
      <c r="AK348">
        <f t="shared" si="212"/>
        <v>2</v>
      </c>
      <c r="AL348" s="122">
        <f>SUM($AD$6:AD348)</f>
        <v>0</v>
      </c>
      <c r="AM348" s="122">
        <f t="shared" ca="1" si="227"/>
        <v>0</v>
      </c>
      <c r="AN348" s="126">
        <f t="shared" si="235"/>
        <v>0</v>
      </c>
      <c r="AO348" s="126">
        <f t="shared" si="236"/>
        <v>0</v>
      </c>
      <c r="AP348" s="126">
        <f t="shared" si="237"/>
        <v>0</v>
      </c>
      <c r="AQ348" s="125">
        <f t="shared" si="228"/>
        <v>30</v>
      </c>
      <c r="AR348" s="125">
        <f t="shared" ca="1" si="229"/>
        <v>30</v>
      </c>
      <c r="AS348" s="135">
        <f t="shared" si="230"/>
        <v>0</v>
      </c>
      <c r="AT348" s="125">
        <f t="shared" si="231"/>
        <v>0</v>
      </c>
      <c r="AU348" t="b">
        <f>OR((F348&gt;0),(NOT(ISBLANK(H348))),SUM(H348:H$373),SUM(G348:G$373))</f>
        <v>0</v>
      </c>
      <c r="AV348" t="b">
        <f t="shared" ca="1" si="213"/>
        <v>0</v>
      </c>
      <c r="AX348" s="228">
        <f>SUM(AW$5:AW348)</f>
        <v>-2.9166666666666665</v>
      </c>
    </row>
    <row r="349" spans="1:50">
      <c r="A349" s="308">
        <f t="shared" si="232"/>
        <v>42712</v>
      </c>
      <c r="B349" s="309">
        <f t="shared" si="233"/>
        <v>42712</v>
      </c>
      <c r="C349" s="310">
        <f t="shared" si="240"/>
        <v>50</v>
      </c>
      <c r="D349" s="311">
        <f t="shared" si="241"/>
        <v>42704</v>
      </c>
      <c r="E349" s="321" t="str">
        <f t="shared" si="214"/>
        <v/>
      </c>
      <c r="F349" s="5"/>
      <c r="G349" s="6" t="str">
        <f t="shared" si="215"/>
        <v/>
      </c>
      <c r="H349" s="7"/>
      <c r="I349" s="7">
        <f t="shared" si="216"/>
        <v>0</v>
      </c>
      <c r="J349" s="113">
        <f t="shared" si="204"/>
        <v>0</v>
      </c>
      <c r="K349" s="7"/>
      <c r="L349" s="7">
        <f t="shared" si="217"/>
        <v>0</v>
      </c>
      <c r="M349" s="113">
        <f t="shared" si="218"/>
        <v>0</v>
      </c>
      <c r="N349" s="113"/>
      <c r="O349" s="113">
        <f t="shared" si="205"/>
        <v>0</v>
      </c>
      <c r="P349" s="113"/>
      <c r="Q349" s="113">
        <f t="shared" si="219"/>
        <v>0</v>
      </c>
      <c r="R349" s="113">
        <f t="shared" si="220"/>
        <v>0</v>
      </c>
      <c r="S349" s="113">
        <f t="shared" si="238"/>
        <v>0</v>
      </c>
      <c r="T349" s="113">
        <f t="shared" si="221"/>
        <v>0</v>
      </c>
      <c r="U349" s="113">
        <f t="shared" si="239"/>
        <v>0</v>
      </c>
      <c r="V349" s="146">
        <f t="shared" si="222"/>
        <v>0</v>
      </c>
      <c r="W349" s="66"/>
      <c r="X349" s="115">
        <f t="shared" si="206"/>
        <v>3.125E-2</v>
      </c>
      <c r="Y349" s="110">
        <f t="shared" si="223"/>
        <v>0</v>
      </c>
      <c r="Z349" s="111">
        <f t="shared" si="242"/>
        <v>0.29166666666666669</v>
      </c>
      <c r="AA349" s="112">
        <f t="shared" si="224"/>
        <v>0</v>
      </c>
      <c r="AB349" s="67" t="str">
        <f t="shared" si="225"/>
        <v/>
      </c>
      <c r="AC349" s="193">
        <f t="shared" si="207"/>
        <v>0</v>
      </c>
      <c r="AD349" s="144" t="str">
        <f t="shared" si="208"/>
        <v/>
      </c>
      <c r="AE349" s="228">
        <f t="shared" si="234"/>
        <v>0</v>
      </c>
      <c r="AF349" s="110"/>
      <c r="AG349" s="110" t="str">
        <f t="shared" si="226"/>
        <v/>
      </c>
      <c r="AH349" s="68">
        <f t="shared" si="209"/>
        <v>0</v>
      </c>
      <c r="AI349" s="68">
        <f t="shared" si="210"/>
        <v>0</v>
      </c>
      <c r="AJ349" s="68" t="str">
        <f t="shared" si="211"/>
        <v/>
      </c>
      <c r="AK349">
        <f t="shared" si="212"/>
        <v>3</v>
      </c>
      <c r="AL349" s="122">
        <f>SUM($AD$6:AD349)</f>
        <v>0</v>
      </c>
      <c r="AM349" s="122">
        <f t="shared" ca="1" si="227"/>
        <v>0</v>
      </c>
      <c r="AN349" s="126">
        <f t="shared" si="235"/>
        <v>0</v>
      </c>
      <c r="AO349" s="126">
        <f t="shared" si="236"/>
        <v>0</v>
      </c>
      <c r="AP349" s="126">
        <f t="shared" si="237"/>
        <v>0</v>
      </c>
      <c r="AQ349" s="125">
        <f t="shared" si="228"/>
        <v>30</v>
      </c>
      <c r="AR349" s="125">
        <f t="shared" ca="1" si="229"/>
        <v>30</v>
      </c>
      <c r="AS349" s="135">
        <f t="shared" si="230"/>
        <v>0</v>
      </c>
      <c r="AT349" s="125">
        <f t="shared" si="231"/>
        <v>0</v>
      </c>
      <c r="AU349" t="b">
        <f>OR((F349&gt;0),(NOT(ISBLANK(H349))),SUM(H349:H$373),SUM(G349:G$373))</f>
        <v>0</v>
      </c>
      <c r="AV349" t="b">
        <f t="shared" ca="1" si="213"/>
        <v>0</v>
      </c>
      <c r="AX349" s="228">
        <f>SUM(AW$5:AW349)</f>
        <v>-2.9166666666666665</v>
      </c>
    </row>
    <row r="350" spans="1:50">
      <c r="A350" s="308">
        <f t="shared" si="232"/>
        <v>42713</v>
      </c>
      <c r="B350" s="309">
        <f t="shared" si="233"/>
        <v>42713</v>
      </c>
      <c r="C350" s="310">
        <f t="shared" si="240"/>
        <v>50</v>
      </c>
      <c r="D350" s="311">
        <f t="shared" si="241"/>
        <v>42704</v>
      </c>
      <c r="E350" s="321" t="str">
        <f t="shared" si="214"/>
        <v/>
      </c>
      <c r="F350" s="5"/>
      <c r="G350" s="6" t="str">
        <f t="shared" ref="G350:G373" si="243">IF(ISBLANK(F350),IF(ISBLANK(H350),"",0),CODE(UPPER(F350)))</f>
        <v/>
      </c>
      <c r="H350" s="7"/>
      <c r="I350" s="7">
        <f t="shared" ref="I350:I373" si="244">IF(H350&gt;0,H350+Y350+X350+AC350,0)</f>
        <v>0</v>
      </c>
      <c r="J350" s="113">
        <f t="shared" ref="J350:J373" si="245">IF(I350&lt;H350,I350+1,I350)</f>
        <v>0</v>
      </c>
      <c r="K350" s="7"/>
      <c r="L350" s="7">
        <f t="shared" ref="L350:L373" si="246">IF(K350&gt;0,K350+IF((J350-H350)&lt;Y350,Y350-(J350-H350),TIME(0,10,0))+IF((K350-J350)&gt;xNoWorkTime,0,xNoWorkTime-(K350-J350)),0)</f>
        <v>0</v>
      </c>
      <c r="M350" s="113">
        <f t="shared" ref="M350:M373" si="247">IF(L350&lt;K350,L350+1,L350)</f>
        <v>0</v>
      </c>
      <c r="N350" s="113"/>
      <c r="O350" s="113">
        <f t="shared" ref="O350:O373" si="248">IF(N350&gt;0,N350+IF((J350-H350+M350-K350)&lt;Y350,Y350-(J350-H350+M350-K350),TIME(0,10,0))+IF((K350-J350+N350-M350)&gt;xNoWorkTime,0,xNoWorkTime-(K350-J350+N350-M350)),0)</f>
        <v>0</v>
      </c>
      <c r="P350" s="113"/>
      <c r="Q350" s="113">
        <f t="shared" ref="Q350:Q373" si="249">IF(O350&lt;N350,O350+1,O350)</f>
        <v>0</v>
      </c>
      <c r="R350" s="113">
        <f t="shared" ref="R350:R373" si="250">J350-H350+M350-K350+Q350-N350</f>
        <v>0</v>
      </c>
      <c r="S350" s="113">
        <f t="shared" si="238"/>
        <v>0</v>
      </c>
      <c r="T350" s="113">
        <f t="shared" si="221"/>
        <v>0</v>
      </c>
      <c r="U350" s="113">
        <f t="shared" si="239"/>
        <v>0</v>
      </c>
      <c r="V350" s="146">
        <f t="shared" si="222"/>
        <v>0</v>
      </c>
      <c r="W350" s="66"/>
      <c r="X350" s="115">
        <f t="shared" si="206"/>
        <v>3.125E-2</v>
      </c>
      <c r="Y350" s="110">
        <f t="shared" si="223"/>
        <v>0</v>
      </c>
      <c r="Z350" s="111">
        <f t="shared" si="242"/>
        <v>0.29166666666666669</v>
      </c>
      <c r="AA350" s="112">
        <f t="shared" si="224"/>
        <v>0</v>
      </c>
      <c r="AB350" s="67" t="str">
        <f t="shared" si="225"/>
        <v/>
      </c>
      <c r="AC350" s="193">
        <f t="shared" si="207"/>
        <v>0</v>
      </c>
      <c r="AD350" s="144" t="str">
        <f t="shared" si="208"/>
        <v/>
      </c>
      <c r="AE350" s="228">
        <f t="shared" si="234"/>
        <v>0</v>
      </c>
      <c r="AF350" s="110"/>
      <c r="AG350" s="110" t="str">
        <f t="shared" si="226"/>
        <v/>
      </c>
      <c r="AH350" s="68">
        <f t="shared" si="209"/>
        <v>0</v>
      </c>
      <c r="AI350" s="68">
        <f t="shared" si="210"/>
        <v>0</v>
      </c>
      <c r="AJ350" s="68" t="str">
        <f t="shared" si="211"/>
        <v/>
      </c>
      <c r="AK350">
        <f t="shared" si="212"/>
        <v>4</v>
      </c>
      <c r="AL350" s="122">
        <f>SUM($AD$6:AD350)</f>
        <v>0</v>
      </c>
      <c r="AM350" s="122">
        <f t="shared" ca="1" si="227"/>
        <v>0</v>
      </c>
      <c r="AN350" s="126">
        <f t="shared" si="235"/>
        <v>0</v>
      </c>
      <c r="AO350" s="126">
        <f t="shared" si="236"/>
        <v>0</v>
      </c>
      <c r="AP350" s="126">
        <f t="shared" si="237"/>
        <v>0</v>
      </c>
      <c r="AQ350" s="125">
        <f t="shared" si="228"/>
        <v>30</v>
      </c>
      <c r="AR350" s="125">
        <f t="shared" ca="1" si="229"/>
        <v>30</v>
      </c>
      <c r="AS350" s="135">
        <f t="shared" si="230"/>
        <v>0</v>
      </c>
      <c r="AT350" s="125">
        <f t="shared" si="231"/>
        <v>0</v>
      </c>
      <c r="AU350" t="b">
        <f>OR((F350&gt;0),(NOT(ISBLANK(H350))),SUM(H350:H$373),SUM(G350:G$373))</f>
        <v>0</v>
      </c>
      <c r="AV350" t="b">
        <f t="shared" ca="1" si="213"/>
        <v>0</v>
      </c>
      <c r="AX350" s="228">
        <f>SUM(AW$5:AW350)</f>
        <v>-2.9166666666666665</v>
      </c>
    </row>
    <row r="351" spans="1:50">
      <c r="A351" s="308">
        <f t="shared" si="232"/>
        <v>42714</v>
      </c>
      <c r="B351" s="309">
        <f t="shared" si="233"/>
        <v>42714</v>
      </c>
      <c r="C351" s="310">
        <f t="shared" si="240"/>
        <v>50</v>
      </c>
      <c r="D351" s="311">
        <f t="shared" si="241"/>
        <v>42704</v>
      </c>
      <c r="E351" s="321" t="str">
        <f t="shared" si="214"/>
        <v/>
      </c>
      <c r="F351" s="5"/>
      <c r="G351" s="6" t="str">
        <f t="shared" si="243"/>
        <v/>
      </c>
      <c r="H351" s="7"/>
      <c r="I351" s="7">
        <f t="shared" si="244"/>
        <v>0</v>
      </c>
      <c r="J351" s="113">
        <f t="shared" si="245"/>
        <v>0</v>
      </c>
      <c r="K351" s="7"/>
      <c r="L351" s="7">
        <f t="shared" si="246"/>
        <v>0</v>
      </c>
      <c r="M351" s="113">
        <f t="shared" si="247"/>
        <v>0</v>
      </c>
      <c r="N351" s="113"/>
      <c r="O351" s="113">
        <f t="shared" si="248"/>
        <v>0</v>
      </c>
      <c r="P351" s="113"/>
      <c r="Q351" s="113">
        <f t="shared" si="249"/>
        <v>0</v>
      </c>
      <c r="R351" s="113">
        <f t="shared" si="250"/>
        <v>0</v>
      </c>
      <c r="S351" s="113">
        <f t="shared" si="238"/>
        <v>0</v>
      </c>
      <c r="T351" s="113">
        <f t="shared" si="221"/>
        <v>0</v>
      </c>
      <c r="U351" s="113">
        <f t="shared" si="239"/>
        <v>0</v>
      </c>
      <c r="V351" s="146">
        <f t="shared" si="222"/>
        <v>0</v>
      </c>
      <c r="W351" s="66"/>
      <c r="X351" s="115">
        <f t="shared" si="206"/>
        <v>3.125E-2</v>
      </c>
      <c r="Y351" s="110">
        <f t="shared" si="223"/>
        <v>0</v>
      </c>
      <c r="Z351" s="111">
        <f t="shared" si="242"/>
        <v>0.29166666666666669</v>
      </c>
      <c r="AA351" s="112">
        <f t="shared" si="224"/>
        <v>0</v>
      </c>
      <c r="AB351" s="67" t="str">
        <f t="shared" si="225"/>
        <v/>
      </c>
      <c r="AC351" s="193">
        <f t="shared" si="207"/>
        <v>0</v>
      </c>
      <c r="AD351" s="144" t="str">
        <f t="shared" si="208"/>
        <v/>
      </c>
      <c r="AE351" s="228">
        <f t="shared" si="234"/>
        <v>0</v>
      </c>
      <c r="AF351" s="110"/>
      <c r="AG351" s="110" t="str">
        <f t="shared" si="226"/>
        <v/>
      </c>
      <c r="AH351" s="68">
        <f t="shared" si="209"/>
        <v>0</v>
      </c>
      <c r="AI351" s="68">
        <f t="shared" si="210"/>
        <v>0</v>
      </c>
      <c r="AJ351" s="68" t="str">
        <f t="shared" si="211"/>
        <v/>
      </c>
      <c r="AK351">
        <f t="shared" si="212"/>
        <v>5</v>
      </c>
      <c r="AL351" s="122">
        <f>SUM($AD$6:AD351)</f>
        <v>0</v>
      </c>
      <c r="AM351" s="122">
        <f t="shared" ca="1" si="227"/>
        <v>0</v>
      </c>
      <c r="AN351" s="126">
        <f t="shared" si="235"/>
        <v>0</v>
      </c>
      <c r="AO351" s="126">
        <f t="shared" si="236"/>
        <v>0</v>
      </c>
      <c r="AP351" s="126">
        <f t="shared" si="237"/>
        <v>0</v>
      </c>
      <c r="AQ351" s="125">
        <f t="shared" si="228"/>
        <v>30</v>
      </c>
      <c r="AR351" s="125">
        <f t="shared" ca="1" si="229"/>
        <v>30</v>
      </c>
      <c r="AS351" s="135">
        <f t="shared" si="230"/>
        <v>0</v>
      </c>
      <c r="AT351" s="125">
        <f t="shared" si="231"/>
        <v>0</v>
      </c>
      <c r="AU351" t="b">
        <f>OR((F351&gt;0),(NOT(ISBLANK(H351))),SUM(H351:H$373),SUM(G351:G$373))</f>
        <v>0</v>
      </c>
      <c r="AV351" t="b">
        <f t="shared" ca="1" si="213"/>
        <v>0</v>
      </c>
      <c r="AX351" s="228">
        <f>SUM(AW$5:AW351)</f>
        <v>-2.9166666666666665</v>
      </c>
    </row>
    <row r="352" spans="1:50">
      <c r="A352" s="308">
        <f t="shared" si="232"/>
        <v>42715</v>
      </c>
      <c r="B352" s="309">
        <f t="shared" si="233"/>
        <v>42715</v>
      </c>
      <c r="C352" s="310">
        <f t="shared" si="240"/>
        <v>50</v>
      </c>
      <c r="D352" s="311">
        <f t="shared" si="241"/>
        <v>42704</v>
      </c>
      <c r="E352" s="321" t="str">
        <f t="shared" si="214"/>
        <v/>
      </c>
      <c r="F352" s="5"/>
      <c r="G352" s="6" t="str">
        <f t="shared" si="243"/>
        <v/>
      </c>
      <c r="H352" s="7"/>
      <c r="I352" s="7">
        <f t="shared" si="244"/>
        <v>0</v>
      </c>
      <c r="J352" s="113">
        <f t="shared" si="245"/>
        <v>0</v>
      </c>
      <c r="K352" s="7"/>
      <c r="L352" s="7">
        <f t="shared" si="246"/>
        <v>0</v>
      </c>
      <c r="M352" s="113">
        <f t="shared" si="247"/>
        <v>0</v>
      </c>
      <c r="N352" s="113"/>
      <c r="O352" s="113">
        <f t="shared" si="248"/>
        <v>0</v>
      </c>
      <c r="P352" s="113"/>
      <c r="Q352" s="113">
        <f t="shared" si="249"/>
        <v>0</v>
      </c>
      <c r="R352" s="113">
        <f t="shared" si="250"/>
        <v>0</v>
      </c>
      <c r="S352" s="113">
        <f t="shared" si="238"/>
        <v>0</v>
      </c>
      <c r="T352" s="113">
        <f t="shared" si="221"/>
        <v>0</v>
      </c>
      <c r="U352" s="113">
        <f t="shared" si="239"/>
        <v>0</v>
      </c>
      <c r="V352" s="146">
        <f t="shared" si="222"/>
        <v>0</v>
      </c>
      <c r="W352" s="66"/>
      <c r="X352" s="115">
        <f t="shared" si="206"/>
        <v>3.125E-2</v>
      </c>
      <c r="Y352" s="110">
        <f t="shared" si="223"/>
        <v>0</v>
      </c>
      <c r="Z352" s="111">
        <f t="shared" si="242"/>
        <v>0</v>
      </c>
      <c r="AA352" s="112">
        <f t="shared" si="224"/>
        <v>0</v>
      </c>
      <c r="AB352" s="67" t="str">
        <f t="shared" si="225"/>
        <v/>
      </c>
      <c r="AC352" s="193">
        <f t="shared" si="207"/>
        <v>0</v>
      </c>
      <c r="AD352" s="144" t="str">
        <f t="shared" si="208"/>
        <v/>
      </c>
      <c r="AE352" s="228">
        <f t="shared" si="234"/>
        <v>0</v>
      </c>
      <c r="AF352" s="110"/>
      <c r="AG352" s="110" t="str">
        <f t="shared" si="226"/>
        <v/>
      </c>
      <c r="AH352" s="68">
        <f t="shared" si="209"/>
        <v>0</v>
      </c>
      <c r="AI352" s="68">
        <f t="shared" si="210"/>
        <v>0</v>
      </c>
      <c r="AJ352" s="68" t="str">
        <f t="shared" si="211"/>
        <v/>
      </c>
      <c r="AK352">
        <f t="shared" si="212"/>
        <v>6</v>
      </c>
      <c r="AL352" s="122">
        <f>SUM($AD$6:AD352)</f>
        <v>0</v>
      </c>
      <c r="AM352" s="122">
        <f t="shared" ca="1" si="227"/>
        <v>0</v>
      </c>
      <c r="AN352" s="126">
        <f t="shared" si="235"/>
        <v>0</v>
      </c>
      <c r="AO352" s="126">
        <f t="shared" si="236"/>
        <v>0</v>
      </c>
      <c r="AP352" s="126">
        <f t="shared" si="237"/>
        <v>0</v>
      </c>
      <c r="AQ352" s="125">
        <f t="shared" si="228"/>
        <v>30</v>
      </c>
      <c r="AR352" s="125">
        <f t="shared" ca="1" si="229"/>
        <v>30</v>
      </c>
      <c r="AS352" s="135">
        <f t="shared" si="230"/>
        <v>0</v>
      </c>
      <c r="AT352" s="125">
        <f t="shared" si="231"/>
        <v>7</v>
      </c>
      <c r="AU352" t="b">
        <f>OR((F352&gt;0),(NOT(ISBLANK(H352))),SUM(H352:H$373),SUM(G352:G$373))</f>
        <v>0</v>
      </c>
      <c r="AV352" t="b">
        <f t="shared" ca="1" si="213"/>
        <v>1</v>
      </c>
      <c r="AX352" s="228">
        <f>SUM(AW$5:AW352)</f>
        <v>-2.9166666666666665</v>
      </c>
    </row>
    <row r="353" spans="1:50">
      <c r="A353" s="308">
        <f t="shared" si="232"/>
        <v>42716</v>
      </c>
      <c r="B353" s="309">
        <f t="shared" si="233"/>
        <v>42716</v>
      </c>
      <c r="C353" s="310">
        <f t="shared" si="240"/>
        <v>50</v>
      </c>
      <c r="D353" s="311">
        <f t="shared" si="241"/>
        <v>42704</v>
      </c>
      <c r="E353" s="321" t="str">
        <f t="shared" si="214"/>
        <v/>
      </c>
      <c r="F353" s="5"/>
      <c r="G353" s="6" t="str">
        <f t="shared" si="243"/>
        <v/>
      </c>
      <c r="H353" s="7"/>
      <c r="I353" s="7">
        <f t="shared" si="244"/>
        <v>0</v>
      </c>
      <c r="J353" s="113">
        <f t="shared" si="245"/>
        <v>0</v>
      </c>
      <c r="K353" s="7"/>
      <c r="L353" s="7">
        <f t="shared" si="246"/>
        <v>0</v>
      </c>
      <c r="M353" s="113">
        <f t="shared" si="247"/>
        <v>0</v>
      </c>
      <c r="N353" s="113"/>
      <c r="O353" s="113">
        <f t="shared" si="248"/>
        <v>0</v>
      </c>
      <c r="P353" s="113"/>
      <c r="Q353" s="113">
        <f t="shared" si="249"/>
        <v>0</v>
      </c>
      <c r="R353" s="113">
        <f t="shared" si="250"/>
        <v>0</v>
      </c>
      <c r="S353" s="113">
        <f t="shared" si="238"/>
        <v>0</v>
      </c>
      <c r="T353" s="113">
        <f t="shared" si="221"/>
        <v>0</v>
      </c>
      <c r="U353" s="113">
        <f t="shared" si="239"/>
        <v>0</v>
      </c>
      <c r="V353" s="146">
        <f t="shared" si="222"/>
        <v>0</v>
      </c>
      <c r="W353" s="66"/>
      <c r="X353" s="115">
        <f t="shared" si="206"/>
        <v>3.125E-2</v>
      </c>
      <c r="Y353" s="110">
        <f t="shared" si="223"/>
        <v>0</v>
      </c>
      <c r="Z353" s="111">
        <f t="shared" si="242"/>
        <v>0</v>
      </c>
      <c r="AA353" s="112">
        <f t="shared" si="224"/>
        <v>0</v>
      </c>
      <c r="AB353" s="67" t="str">
        <f t="shared" si="225"/>
        <v/>
      </c>
      <c r="AC353" s="193">
        <f t="shared" si="207"/>
        <v>0</v>
      </c>
      <c r="AD353" s="144" t="str">
        <f t="shared" si="208"/>
        <v/>
      </c>
      <c r="AE353" s="228">
        <f t="shared" si="234"/>
        <v>0</v>
      </c>
      <c r="AF353" s="110"/>
      <c r="AG353" s="110" t="str">
        <f t="shared" si="226"/>
        <v/>
      </c>
      <c r="AH353" s="68">
        <f t="shared" si="209"/>
        <v>0</v>
      </c>
      <c r="AI353" s="68">
        <f t="shared" si="210"/>
        <v>0</v>
      </c>
      <c r="AJ353" s="68" t="str">
        <f t="shared" si="211"/>
        <v/>
      </c>
      <c r="AK353">
        <f t="shared" si="212"/>
        <v>7</v>
      </c>
      <c r="AL353" s="122">
        <f>SUM($AD$6:AD353)</f>
        <v>0</v>
      </c>
      <c r="AM353" s="122">
        <f t="shared" ca="1" si="227"/>
        <v>0</v>
      </c>
      <c r="AN353" s="126">
        <f t="shared" si="235"/>
        <v>0</v>
      </c>
      <c r="AO353" s="126">
        <f t="shared" si="236"/>
        <v>0</v>
      </c>
      <c r="AP353" s="126">
        <f t="shared" si="237"/>
        <v>0</v>
      </c>
      <c r="AQ353" s="125">
        <f t="shared" si="228"/>
        <v>30</v>
      </c>
      <c r="AR353" s="125">
        <f t="shared" ca="1" si="229"/>
        <v>30</v>
      </c>
      <c r="AS353" s="135">
        <f t="shared" si="230"/>
        <v>0</v>
      </c>
      <c r="AT353" s="125">
        <f t="shared" si="231"/>
        <v>7</v>
      </c>
      <c r="AU353" t="b">
        <f>OR((F353&gt;0),(NOT(ISBLANK(H353))),SUM(H353:H$373),SUM(G353:G$373))</f>
        <v>0</v>
      </c>
      <c r="AV353" t="b">
        <f t="shared" ca="1" si="213"/>
        <v>1</v>
      </c>
      <c r="AX353" s="228">
        <f>SUM(AW$5:AW353)</f>
        <v>-2.9166666666666665</v>
      </c>
    </row>
    <row r="354" spans="1:50">
      <c r="A354" s="308">
        <f t="shared" si="232"/>
        <v>42717</v>
      </c>
      <c r="B354" s="309">
        <f t="shared" si="233"/>
        <v>42717</v>
      </c>
      <c r="C354" s="310">
        <f t="shared" si="240"/>
        <v>51</v>
      </c>
      <c r="D354" s="311">
        <f t="shared" si="241"/>
        <v>42704</v>
      </c>
      <c r="E354" s="321" t="str">
        <f t="shared" si="214"/>
        <v/>
      </c>
      <c r="F354" s="5"/>
      <c r="G354" s="6" t="str">
        <f t="shared" si="243"/>
        <v/>
      </c>
      <c r="H354" s="7"/>
      <c r="I354" s="7">
        <f t="shared" si="244"/>
        <v>0</v>
      </c>
      <c r="J354" s="113">
        <f t="shared" si="245"/>
        <v>0</v>
      </c>
      <c r="K354" s="7"/>
      <c r="L354" s="7">
        <f t="shared" si="246"/>
        <v>0</v>
      </c>
      <c r="M354" s="113">
        <f t="shared" si="247"/>
        <v>0</v>
      </c>
      <c r="N354" s="113"/>
      <c r="O354" s="113">
        <f t="shared" si="248"/>
        <v>0</v>
      </c>
      <c r="P354" s="113"/>
      <c r="Q354" s="113">
        <f t="shared" si="249"/>
        <v>0</v>
      </c>
      <c r="R354" s="113">
        <f t="shared" si="250"/>
        <v>0</v>
      </c>
      <c r="S354" s="113">
        <f t="shared" si="238"/>
        <v>0</v>
      </c>
      <c r="T354" s="113">
        <f t="shared" si="221"/>
        <v>0</v>
      </c>
      <c r="U354" s="113">
        <f t="shared" si="239"/>
        <v>0</v>
      </c>
      <c r="V354" s="146">
        <f t="shared" si="222"/>
        <v>0</v>
      </c>
      <c r="W354" s="66"/>
      <c r="X354" s="115">
        <f t="shared" si="206"/>
        <v>3.125E-2</v>
      </c>
      <c r="Y354" s="110">
        <f t="shared" si="223"/>
        <v>0</v>
      </c>
      <c r="Z354" s="111">
        <f t="shared" si="242"/>
        <v>0.29166666666666669</v>
      </c>
      <c r="AA354" s="112">
        <f t="shared" si="224"/>
        <v>0</v>
      </c>
      <c r="AB354" s="67" t="str">
        <f t="shared" si="225"/>
        <v/>
      </c>
      <c r="AC354" s="193">
        <f t="shared" si="207"/>
        <v>0</v>
      </c>
      <c r="AD354" s="144" t="str">
        <f t="shared" si="208"/>
        <v/>
      </c>
      <c r="AE354" s="228">
        <f t="shared" si="234"/>
        <v>0</v>
      </c>
      <c r="AF354" s="110"/>
      <c r="AG354" s="110" t="str">
        <f t="shared" si="226"/>
        <v/>
      </c>
      <c r="AH354" s="68">
        <f t="shared" si="209"/>
        <v>0</v>
      </c>
      <c r="AI354" s="68">
        <f t="shared" si="210"/>
        <v>0</v>
      </c>
      <c r="AJ354" s="68" t="str">
        <f t="shared" si="211"/>
        <v/>
      </c>
      <c r="AK354">
        <f t="shared" si="212"/>
        <v>1</v>
      </c>
      <c r="AL354" s="122">
        <f>SUM($AD$6:AD354)</f>
        <v>0</v>
      </c>
      <c r="AM354" s="122">
        <f t="shared" ca="1" si="227"/>
        <v>0</v>
      </c>
      <c r="AN354" s="126">
        <f t="shared" si="235"/>
        <v>0</v>
      </c>
      <c r="AO354" s="126">
        <f t="shared" si="236"/>
        <v>0</v>
      </c>
      <c r="AP354" s="126">
        <f t="shared" si="237"/>
        <v>0</v>
      </c>
      <c r="AQ354" s="125">
        <f t="shared" si="228"/>
        <v>30</v>
      </c>
      <c r="AR354" s="125">
        <f t="shared" ca="1" si="229"/>
        <v>30</v>
      </c>
      <c r="AS354" s="135">
        <f t="shared" si="230"/>
        <v>0</v>
      </c>
      <c r="AT354" s="125">
        <f t="shared" si="231"/>
        <v>0</v>
      </c>
      <c r="AU354" t="b">
        <f>OR((F354&gt;0),(NOT(ISBLANK(H354))),SUM(H354:H$373),SUM(G354:G$373))</f>
        <v>0</v>
      </c>
      <c r="AV354" t="b">
        <f t="shared" ca="1" si="213"/>
        <v>0</v>
      </c>
      <c r="AX354" s="228">
        <f>SUM(AW$5:AW354)</f>
        <v>-2.9166666666666665</v>
      </c>
    </row>
    <row r="355" spans="1:50">
      <c r="A355" s="308">
        <f t="shared" si="232"/>
        <v>42718</v>
      </c>
      <c r="B355" s="309">
        <f t="shared" si="233"/>
        <v>42718</v>
      </c>
      <c r="C355" s="310">
        <f t="shared" si="240"/>
        <v>51</v>
      </c>
      <c r="D355" s="311">
        <f t="shared" si="241"/>
        <v>42704</v>
      </c>
      <c r="E355" s="321" t="str">
        <f t="shared" si="214"/>
        <v/>
      </c>
      <c r="F355" s="5"/>
      <c r="G355" s="6" t="str">
        <f t="shared" si="243"/>
        <v/>
      </c>
      <c r="H355" s="7"/>
      <c r="I355" s="7">
        <f t="shared" si="244"/>
        <v>0</v>
      </c>
      <c r="J355" s="113">
        <f t="shared" si="245"/>
        <v>0</v>
      </c>
      <c r="K355" s="7"/>
      <c r="L355" s="7">
        <f t="shared" si="246"/>
        <v>0</v>
      </c>
      <c r="M355" s="113">
        <f t="shared" si="247"/>
        <v>0</v>
      </c>
      <c r="N355" s="113"/>
      <c r="O355" s="113">
        <f t="shared" si="248"/>
        <v>0</v>
      </c>
      <c r="P355" s="113"/>
      <c r="Q355" s="113">
        <f t="shared" si="249"/>
        <v>0</v>
      </c>
      <c r="R355" s="113">
        <f t="shared" si="250"/>
        <v>0</v>
      </c>
      <c r="S355" s="113">
        <f t="shared" si="238"/>
        <v>0</v>
      </c>
      <c r="T355" s="113">
        <f t="shared" si="221"/>
        <v>0</v>
      </c>
      <c r="U355" s="113">
        <f t="shared" si="239"/>
        <v>0</v>
      </c>
      <c r="V355" s="146">
        <f t="shared" si="222"/>
        <v>0</v>
      </c>
      <c r="W355" s="66"/>
      <c r="X355" s="115">
        <f t="shared" si="206"/>
        <v>3.125E-2</v>
      </c>
      <c r="Y355" s="110">
        <f t="shared" si="223"/>
        <v>0</v>
      </c>
      <c r="Z355" s="111">
        <f t="shared" si="242"/>
        <v>0.29166666666666669</v>
      </c>
      <c r="AA355" s="112">
        <f t="shared" si="224"/>
        <v>0</v>
      </c>
      <c r="AB355" s="67" t="str">
        <f t="shared" si="225"/>
        <v/>
      </c>
      <c r="AC355" s="193">
        <f t="shared" si="207"/>
        <v>0</v>
      </c>
      <c r="AD355" s="144" t="str">
        <f t="shared" si="208"/>
        <v/>
      </c>
      <c r="AE355" s="228">
        <f t="shared" si="234"/>
        <v>0</v>
      </c>
      <c r="AF355" s="110"/>
      <c r="AG355" s="110" t="str">
        <f t="shared" si="226"/>
        <v/>
      </c>
      <c r="AH355" s="68">
        <f t="shared" si="209"/>
        <v>0</v>
      </c>
      <c r="AI355" s="68">
        <f t="shared" si="210"/>
        <v>0</v>
      </c>
      <c r="AJ355" s="68" t="str">
        <f t="shared" si="211"/>
        <v/>
      </c>
      <c r="AK355">
        <f t="shared" si="212"/>
        <v>2</v>
      </c>
      <c r="AL355" s="122">
        <f>SUM($AD$6:AD355)</f>
        <v>0</v>
      </c>
      <c r="AM355" s="122">
        <f t="shared" ca="1" si="227"/>
        <v>0</v>
      </c>
      <c r="AN355" s="126">
        <f t="shared" si="235"/>
        <v>0</v>
      </c>
      <c r="AO355" s="126">
        <f t="shared" si="236"/>
        <v>0</v>
      </c>
      <c r="AP355" s="126">
        <f t="shared" si="237"/>
        <v>0</v>
      </c>
      <c r="AQ355" s="125">
        <f t="shared" si="228"/>
        <v>30</v>
      </c>
      <c r="AR355" s="125">
        <f t="shared" ca="1" si="229"/>
        <v>30</v>
      </c>
      <c r="AS355" s="135">
        <f t="shared" si="230"/>
        <v>0</v>
      </c>
      <c r="AT355" s="125">
        <f t="shared" si="231"/>
        <v>0</v>
      </c>
      <c r="AU355" t="b">
        <f>OR((F355&gt;0),(NOT(ISBLANK(H355))),SUM(H355:H$373),SUM(G355:G$373))</f>
        <v>0</v>
      </c>
      <c r="AV355" t="b">
        <f t="shared" ca="1" si="213"/>
        <v>0</v>
      </c>
      <c r="AX355" s="228">
        <f>SUM(AW$5:AW355)</f>
        <v>-2.9166666666666665</v>
      </c>
    </row>
    <row r="356" spans="1:50">
      <c r="A356" s="308">
        <f t="shared" si="232"/>
        <v>42719</v>
      </c>
      <c r="B356" s="309">
        <f t="shared" si="233"/>
        <v>42719</v>
      </c>
      <c r="C356" s="310">
        <f t="shared" si="240"/>
        <v>51</v>
      </c>
      <c r="D356" s="311">
        <f t="shared" si="241"/>
        <v>42704</v>
      </c>
      <c r="E356" s="321" t="str">
        <f t="shared" si="214"/>
        <v/>
      </c>
      <c r="F356" s="5"/>
      <c r="G356" s="6" t="str">
        <f t="shared" si="243"/>
        <v/>
      </c>
      <c r="H356" s="7"/>
      <c r="I356" s="7">
        <f t="shared" si="244"/>
        <v>0</v>
      </c>
      <c r="J356" s="113">
        <f t="shared" si="245"/>
        <v>0</v>
      </c>
      <c r="K356" s="7"/>
      <c r="L356" s="7">
        <f t="shared" si="246"/>
        <v>0</v>
      </c>
      <c r="M356" s="113">
        <f t="shared" si="247"/>
        <v>0</v>
      </c>
      <c r="N356" s="113"/>
      <c r="O356" s="113">
        <f t="shared" si="248"/>
        <v>0</v>
      </c>
      <c r="P356" s="113"/>
      <c r="Q356" s="113">
        <f t="shared" si="249"/>
        <v>0</v>
      </c>
      <c r="R356" s="113">
        <f t="shared" si="250"/>
        <v>0</v>
      </c>
      <c r="S356" s="113">
        <f t="shared" si="238"/>
        <v>0</v>
      </c>
      <c r="T356" s="113">
        <f t="shared" si="221"/>
        <v>0</v>
      </c>
      <c r="U356" s="113">
        <f t="shared" si="239"/>
        <v>0</v>
      </c>
      <c r="V356" s="146">
        <f t="shared" si="222"/>
        <v>0</v>
      </c>
      <c r="W356" s="66"/>
      <c r="X356" s="115">
        <f t="shared" si="206"/>
        <v>3.125E-2</v>
      </c>
      <c r="Y356" s="110">
        <f t="shared" si="223"/>
        <v>0</v>
      </c>
      <c r="Z356" s="111">
        <f t="shared" si="242"/>
        <v>0.29166666666666669</v>
      </c>
      <c r="AA356" s="112">
        <f t="shared" si="224"/>
        <v>0</v>
      </c>
      <c r="AB356" s="67" t="str">
        <f t="shared" si="225"/>
        <v/>
      </c>
      <c r="AC356" s="193">
        <f t="shared" si="207"/>
        <v>0</v>
      </c>
      <c r="AD356" s="144" t="str">
        <f t="shared" si="208"/>
        <v/>
      </c>
      <c r="AE356" s="228">
        <f t="shared" si="234"/>
        <v>0</v>
      </c>
      <c r="AF356" s="110"/>
      <c r="AG356" s="110" t="str">
        <f t="shared" si="226"/>
        <v/>
      </c>
      <c r="AH356" s="68">
        <f t="shared" si="209"/>
        <v>0</v>
      </c>
      <c r="AI356" s="68">
        <f t="shared" si="210"/>
        <v>0</v>
      </c>
      <c r="AJ356" s="68" t="str">
        <f t="shared" si="211"/>
        <v/>
      </c>
      <c r="AK356">
        <f t="shared" si="212"/>
        <v>3</v>
      </c>
      <c r="AL356" s="122">
        <f>SUM($AD$6:AD356)</f>
        <v>0</v>
      </c>
      <c r="AM356" s="122">
        <f t="shared" ca="1" si="227"/>
        <v>0</v>
      </c>
      <c r="AN356" s="126">
        <f t="shared" si="235"/>
        <v>0</v>
      </c>
      <c r="AO356" s="126">
        <f t="shared" si="236"/>
        <v>0</v>
      </c>
      <c r="AP356" s="126">
        <f t="shared" si="237"/>
        <v>0</v>
      </c>
      <c r="AQ356" s="125">
        <f t="shared" si="228"/>
        <v>30</v>
      </c>
      <c r="AR356" s="125">
        <f t="shared" ca="1" si="229"/>
        <v>30</v>
      </c>
      <c r="AS356" s="135">
        <f t="shared" si="230"/>
        <v>0</v>
      </c>
      <c r="AT356" s="125">
        <f t="shared" si="231"/>
        <v>0</v>
      </c>
      <c r="AU356" t="b">
        <f>OR((F356&gt;0),(NOT(ISBLANK(H356))),SUM(H356:H$373),SUM(G356:G$373))</f>
        <v>0</v>
      </c>
      <c r="AV356" t="b">
        <f t="shared" ca="1" si="213"/>
        <v>0</v>
      </c>
      <c r="AX356" s="228">
        <f>SUM(AW$5:AW356)</f>
        <v>-2.9166666666666665</v>
      </c>
    </row>
    <row r="357" spans="1:50">
      <c r="A357" s="308">
        <f t="shared" si="232"/>
        <v>42720</v>
      </c>
      <c r="B357" s="309">
        <f t="shared" si="233"/>
        <v>42720</v>
      </c>
      <c r="C357" s="310">
        <f t="shared" si="240"/>
        <v>51</v>
      </c>
      <c r="D357" s="311">
        <f t="shared" si="241"/>
        <v>42704</v>
      </c>
      <c r="E357" s="321" t="str">
        <f t="shared" si="214"/>
        <v/>
      </c>
      <c r="F357" s="5"/>
      <c r="G357" s="6" t="str">
        <f t="shared" si="243"/>
        <v/>
      </c>
      <c r="H357" s="7"/>
      <c r="I357" s="7">
        <f t="shared" si="244"/>
        <v>0</v>
      </c>
      <c r="J357" s="113">
        <f t="shared" si="245"/>
        <v>0</v>
      </c>
      <c r="K357" s="7"/>
      <c r="L357" s="7">
        <f t="shared" si="246"/>
        <v>0</v>
      </c>
      <c r="M357" s="113">
        <f t="shared" si="247"/>
        <v>0</v>
      </c>
      <c r="N357" s="113"/>
      <c r="O357" s="113">
        <f t="shared" si="248"/>
        <v>0</v>
      </c>
      <c r="P357" s="113"/>
      <c r="Q357" s="113">
        <f t="shared" si="249"/>
        <v>0</v>
      </c>
      <c r="R357" s="113">
        <f t="shared" si="250"/>
        <v>0</v>
      </c>
      <c r="S357" s="113">
        <f t="shared" si="238"/>
        <v>0</v>
      </c>
      <c r="T357" s="113">
        <f t="shared" si="221"/>
        <v>0</v>
      </c>
      <c r="U357" s="113">
        <f t="shared" si="239"/>
        <v>0</v>
      </c>
      <c r="V357" s="146">
        <f t="shared" si="222"/>
        <v>0</v>
      </c>
      <c r="W357" s="66"/>
      <c r="X357" s="115">
        <f t="shared" si="206"/>
        <v>3.125E-2</v>
      </c>
      <c r="Y357" s="110">
        <f t="shared" si="223"/>
        <v>0</v>
      </c>
      <c r="Z357" s="111">
        <f t="shared" si="242"/>
        <v>0.29166666666666669</v>
      </c>
      <c r="AA357" s="112">
        <f t="shared" si="224"/>
        <v>0</v>
      </c>
      <c r="AB357" s="67" t="str">
        <f t="shared" si="225"/>
        <v/>
      </c>
      <c r="AC357" s="193">
        <f t="shared" si="207"/>
        <v>0</v>
      </c>
      <c r="AD357" s="144" t="str">
        <f t="shared" si="208"/>
        <v/>
      </c>
      <c r="AE357" s="228">
        <f t="shared" si="234"/>
        <v>0</v>
      </c>
      <c r="AF357" s="110"/>
      <c r="AG357" s="110" t="str">
        <f t="shared" si="226"/>
        <v/>
      </c>
      <c r="AH357" s="68">
        <f t="shared" si="209"/>
        <v>0</v>
      </c>
      <c r="AI357" s="68">
        <f t="shared" si="210"/>
        <v>0</v>
      </c>
      <c r="AJ357" s="68" t="str">
        <f t="shared" si="211"/>
        <v/>
      </c>
      <c r="AK357">
        <f t="shared" si="212"/>
        <v>4</v>
      </c>
      <c r="AL357" s="122">
        <f>SUM($AD$6:AD357)</f>
        <v>0</v>
      </c>
      <c r="AM357" s="122">
        <f t="shared" ca="1" si="227"/>
        <v>0</v>
      </c>
      <c r="AN357" s="126">
        <f t="shared" si="235"/>
        <v>0</v>
      </c>
      <c r="AO357" s="126">
        <f t="shared" si="236"/>
        <v>0</v>
      </c>
      <c r="AP357" s="126">
        <f t="shared" si="237"/>
        <v>0</v>
      </c>
      <c r="AQ357" s="125">
        <f t="shared" si="228"/>
        <v>30</v>
      </c>
      <c r="AR357" s="125">
        <f t="shared" ca="1" si="229"/>
        <v>30</v>
      </c>
      <c r="AS357" s="135">
        <f t="shared" si="230"/>
        <v>0</v>
      </c>
      <c r="AT357" s="125">
        <f t="shared" si="231"/>
        <v>0</v>
      </c>
      <c r="AU357" t="b">
        <f>OR((F357&gt;0),(NOT(ISBLANK(H357))),SUM(H357:H$373),SUM(G357:G$373))</f>
        <v>0</v>
      </c>
      <c r="AV357" t="b">
        <f t="shared" ca="1" si="213"/>
        <v>0</v>
      </c>
      <c r="AX357" s="228">
        <f>SUM(AW$5:AW357)</f>
        <v>-2.9166666666666665</v>
      </c>
    </row>
    <row r="358" spans="1:50">
      <c r="A358" s="308">
        <f t="shared" si="232"/>
        <v>42721</v>
      </c>
      <c r="B358" s="309">
        <f t="shared" si="233"/>
        <v>42721</v>
      </c>
      <c r="C358" s="310">
        <f t="shared" si="240"/>
        <v>51</v>
      </c>
      <c r="D358" s="311">
        <f t="shared" si="241"/>
        <v>42704</v>
      </c>
      <c r="E358" s="321" t="str">
        <f t="shared" si="214"/>
        <v/>
      </c>
      <c r="F358" s="5"/>
      <c r="G358" s="6" t="str">
        <f t="shared" si="243"/>
        <v/>
      </c>
      <c r="H358" s="7"/>
      <c r="I358" s="7">
        <f t="shared" si="244"/>
        <v>0</v>
      </c>
      <c r="J358" s="113">
        <f t="shared" si="245"/>
        <v>0</v>
      </c>
      <c r="K358" s="7"/>
      <c r="L358" s="7">
        <f t="shared" si="246"/>
        <v>0</v>
      </c>
      <c r="M358" s="113">
        <f t="shared" si="247"/>
        <v>0</v>
      </c>
      <c r="N358" s="113"/>
      <c r="O358" s="113">
        <f t="shared" si="248"/>
        <v>0</v>
      </c>
      <c r="P358" s="113"/>
      <c r="Q358" s="113">
        <f t="shared" si="249"/>
        <v>0</v>
      </c>
      <c r="R358" s="113">
        <f t="shared" si="250"/>
        <v>0</v>
      </c>
      <c r="S358" s="113">
        <f t="shared" si="238"/>
        <v>0</v>
      </c>
      <c r="T358" s="113">
        <f t="shared" si="221"/>
        <v>0</v>
      </c>
      <c r="U358" s="113">
        <f t="shared" si="239"/>
        <v>0</v>
      </c>
      <c r="V358" s="146">
        <f t="shared" si="222"/>
        <v>0</v>
      </c>
      <c r="W358" s="66"/>
      <c r="X358" s="115">
        <f t="shared" si="206"/>
        <v>3.125E-2</v>
      </c>
      <c r="Y358" s="110">
        <f t="shared" si="223"/>
        <v>0</v>
      </c>
      <c r="Z358" s="111">
        <f t="shared" si="242"/>
        <v>0.29166666666666669</v>
      </c>
      <c r="AA358" s="112">
        <f t="shared" si="224"/>
        <v>0</v>
      </c>
      <c r="AB358" s="67" t="str">
        <f t="shared" si="225"/>
        <v/>
      </c>
      <c r="AC358" s="193">
        <f t="shared" si="207"/>
        <v>0</v>
      </c>
      <c r="AD358" s="144" t="str">
        <f t="shared" si="208"/>
        <v/>
      </c>
      <c r="AE358" s="228">
        <f t="shared" si="234"/>
        <v>0</v>
      </c>
      <c r="AF358" s="110"/>
      <c r="AG358" s="110" t="str">
        <f t="shared" si="226"/>
        <v/>
      </c>
      <c r="AH358" s="68">
        <f t="shared" si="209"/>
        <v>0</v>
      </c>
      <c r="AI358" s="68">
        <f t="shared" si="210"/>
        <v>0</v>
      </c>
      <c r="AJ358" s="68" t="str">
        <f t="shared" si="211"/>
        <v/>
      </c>
      <c r="AK358">
        <f t="shared" si="212"/>
        <v>5</v>
      </c>
      <c r="AL358" s="122">
        <f>SUM($AD$6:AD358)</f>
        <v>0</v>
      </c>
      <c r="AM358" s="122">
        <f t="shared" ca="1" si="227"/>
        <v>0</v>
      </c>
      <c r="AN358" s="126">
        <f t="shared" si="235"/>
        <v>0</v>
      </c>
      <c r="AO358" s="126">
        <f t="shared" si="236"/>
        <v>0</v>
      </c>
      <c r="AP358" s="126">
        <f t="shared" si="237"/>
        <v>0</v>
      </c>
      <c r="AQ358" s="125">
        <f t="shared" si="228"/>
        <v>30</v>
      </c>
      <c r="AR358" s="125">
        <f t="shared" ca="1" si="229"/>
        <v>30</v>
      </c>
      <c r="AS358" s="135">
        <f t="shared" si="230"/>
        <v>0</v>
      </c>
      <c r="AT358" s="125">
        <f t="shared" si="231"/>
        <v>0</v>
      </c>
      <c r="AU358" t="b">
        <f>OR((F358&gt;0),(NOT(ISBLANK(H358))),SUM(H358:H$373),SUM(G358:G$373))</f>
        <v>0</v>
      </c>
      <c r="AV358" t="b">
        <f t="shared" ca="1" si="213"/>
        <v>0</v>
      </c>
      <c r="AX358" s="228">
        <f>SUM(AW$5:AW358)</f>
        <v>-2.9166666666666665</v>
      </c>
    </row>
    <row r="359" spans="1:50">
      <c r="A359" s="308">
        <f t="shared" si="232"/>
        <v>42722</v>
      </c>
      <c r="B359" s="309">
        <f t="shared" si="233"/>
        <v>42722</v>
      </c>
      <c r="C359" s="310">
        <f t="shared" si="240"/>
        <v>51</v>
      </c>
      <c r="D359" s="311">
        <f t="shared" si="241"/>
        <v>42704</v>
      </c>
      <c r="E359" s="321" t="str">
        <f t="shared" si="214"/>
        <v/>
      </c>
      <c r="F359" s="5"/>
      <c r="G359" s="6" t="str">
        <f t="shared" si="243"/>
        <v/>
      </c>
      <c r="H359" s="7"/>
      <c r="I359" s="7">
        <f t="shared" si="244"/>
        <v>0</v>
      </c>
      <c r="J359" s="113">
        <f t="shared" si="245"/>
        <v>0</v>
      </c>
      <c r="K359" s="7"/>
      <c r="L359" s="7">
        <f t="shared" si="246"/>
        <v>0</v>
      </c>
      <c r="M359" s="113">
        <f t="shared" si="247"/>
        <v>0</v>
      </c>
      <c r="N359" s="113"/>
      <c r="O359" s="113">
        <f t="shared" si="248"/>
        <v>0</v>
      </c>
      <c r="P359" s="113"/>
      <c r="Q359" s="113">
        <f t="shared" si="249"/>
        <v>0</v>
      </c>
      <c r="R359" s="113">
        <f t="shared" si="250"/>
        <v>0</v>
      </c>
      <c r="S359" s="113">
        <f t="shared" si="238"/>
        <v>0</v>
      </c>
      <c r="T359" s="113">
        <f t="shared" si="221"/>
        <v>0</v>
      </c>
      <c r="U359" s="113">
        <f t="shared" si="239"/>
        <v>0</v>
      </c>
      <c r="V359" s="146">
        <f t="shared" si="222"/>
        <v>0</v>
      </c>
      <c r="W359" s="66"/>
      <c r="X359" s="115">
        <f t="shared" si="206"/>
        <v>3.125E-2</v>
      </c>
      <c r="Y359" s="110">
        <f t="shared" si="223"/>
        <v>0</v>
      </c>
      <c r="Z359" s="111">
        <f t="shared" si="242"/>
        <v>0</v>
      </c>
      <c r="AA359" s="112">
        <f t="shared" si="224"/>
        <v>0</v>
      </c>
      <c r="AB359" s="67" t="str">
        <f t="shared" si="225"/>
        <v/>
      </c>
      <c r="AC359" s="193">
        <f t="shared" si="207"/>
        <v>0</v>
      </c>
      <c r="AD359" s="144" t="str">
        <f t="shared" si="208"/>
        <v/>
      </c>
      <c r="AE359" s="228">
        <f t="shared" si="234"/>
        <v>0</v>
      </c>
      <c r="AF359" s="110"/>
      <c r="AG359" s="110" t="str">
        <f t="shared" si="226"/>
        <v/>
      </c>
      <c r="AH359" s="68">
        <f t="shared" si="209"/>
        <v>0</v>
      </c>
      <c r="AI359" s="68">
        <f t="shared" si="210"/>
        <v>0</v>
      </c>
      <c r="AJ359" s="68" t="str">
        <f t="shared" si="211"/>
        <v/>
      </c>
      <c r="AK359">
        <f t="shared" si="212"/>
        <v>6</v>
      </c>
      <c r="AL359" s="122">
        <f>SUM($AD$6:AD359)</f>
        <v>0</v>
      </c>
      <c r="AM359" s="122">
        <f t="shared" ca="1" si="227"/>
        <v>0</v>
      </c>
      <c r="AN359" s="126">
        <f t="shared" si="235"/>
        <v>0</v>
      </c>
      <c r="AO359" s="126">
        <f t="shared" si="236"/>
        <v>0</v>
      </c>
      <c r="AP359" s="126">
        <f t="shared" si="237"/>
        <v>0</v>
      </c>
      <c r="AQ359" s="125">
        <f t="shared" si="228"/>
        <v>30</v>
      </c>
      <c r="AR359" s="125">
        <f t="shared" ca="1" si="229"/>
        <v>30</v>
      </c>
      <c r="AS359" s="135">
        <f t="shared" si="230"/>
        <v>0</v>
      </c>
      <c r="AT359" s="125">
        <f t="shared" si="231"/>
        <v>7</v>
      </c>
      <c r="AU359" t="b">
        <f>OR((F359&gt;0),(NOT(ISBLANK(H359))),SUM(H359:H$373),SUM(G359:G$373))</f>
        <v>0</v>
      </c>
      <c r="AV359" t="b">
        <f t="shared" ca="1" si="213"/>
        <v>1</v>
      </c>
      <c r="AX359" s="228">
        <f>SUM(AW$5:AW359)</f>
        <v>-2.9166666666666665</v>
      </c>
    </row>
    <row r="360" spans="1:50">
      <c r="A360" s="308">
        <f t="shared" si="232"/>
        <v>42723</v>
      </c>
      <c r="B360" s="309">
        <f t="shared" si="233"/>
        <v>42723</v>
      </c>
      <c r="C360" s="310">
        <f t="shared" si="240"/>
        <v>51</v>
      </c>
      <c r="D360" s="311">
        <f t="shared" si="241"/>
        <v>42704</v>
      </c>
      <c r="E360" s="321" t="str">
        <f t="shared" si="214"/>
        <v/>
      </c>
      <c r="F360" s="5"/>
      <c r="G360" s="6" t="str">
        <f t="shared" si="243"/>
        <v/>
      </c>
      <c r="H360" s="7"/>
      <c r="I360" s="7">
        <f t="shared" si="244"/>
        <v>0</v>
      </c>
      <c r="J360" s="113">
        <f t="shared" si="245"/>
        <v>0</v>
      </c>
      <c r="K360" s="7"/>
      <c r="L360" s="7">
        <f t="shared" si="246"/>
        <v>0</v>
      </c>
      <c r="M360" s="113">
        <f t="shared" si="247"/>
        <v>0</v>
      </c>
      <c r="N360" s="113"/>
      <c r="O360" s="113">
        <f t="shared" si="248"/>
        <v>0</v>
      </c>
      <c r="P360" s="113"/>
      <c r="Q360" s="113">
        <f t="shared" si="249"/>
        <v>0</v>
      </c>
      <c r="R360" s="113">
        <f t="shared" si="250"/>
        <v>0</v>
      </c>
      <c r="S360" s="113">
        <f t="shared" si="238"/>
        <v>0</v>
      </c>
      <c r="T360" s="113">
        <f t="shared" si="221"/>
        <v>0</v>
      </c>
      <c r="U360" s="113">
        <f t="shared" si="239"/>
        <v>0</v>
      </c>
      <c r="V360" s="146">
        <f t="shared" si="222"/>
        <v>0</v>
      </c>
      <c r="W360" s="66"/>
      <c r="X360" s="115">
        <f t="shared" si="206"/>
        <v>3.125E-2</v>
      </c>
      <c r="Y360" s="110">
        <f t="shared" si="223"/>
        <v>0</v>
      </c>
      <c r="Z360" s="111">
        <f t="shared" si="242"/>
        <v>0</v>
      </c>
      <c r="AA360" s="112">
        <f t="shared" si="224"/>
        <v>0</v>
      </c>
      <c r="AB360" s="67" t="str">
        <f t="shared" si="225"/>
        <v/>
      </c>
      <c r="AC360" s="193">
        <f t="shared" si="207"/>
        <v>0</v>
      </c>
      <c r="AD360" s="144" t="str">
        <f t="shared" si="208"/>
        <v/>
      </c>
      <c r="AE360" s="228">
        <f t="shared" si="234"/>
        <v>0</v>
      </c>
      <c r="AF360" s="110"/>
      <c r="AG360" s="110" t="str">
        <f t="shared" si="226"/>
        <v/>
      </c>
      <c r="AH360" s="68">
        <f t="shared" si="209"/>
        <v>0</v>
      </c>
      <c r="AI360" s="68">
        <f t="shared" si="210"/>
        <v>0</v>
      </c>
      <c r="AJ360" s="68" t="str">
        <f t="shared" si="211"/>
        <v/>
      </c>
      <c r="AK360">
        <f t="shared" si="212"/>
        <v>7</v>
      </c>
      <c r="AL360" s="122">
        <f>SUM($AD$6:AD360)</f>
        <v>0</v>
      </c>
      <c r="AM360" s="122">
        <f t="shared" ca="1" si="227"/>
        <v>0</v>
      </c>
      <c r="AN360" s="126">
        <f t="shared" si="235"/>
        <v>0</v>
      </c>
      <c r="AO360" s="126">
        <f t="shared" si="236"/>
        <v>0</v>
      </c>
      <c r="AP360" s="126">
        <f t="shared" si="237"/>
        <v>0</v>
      </c>
      <c r="AQ360" s="125">
        <f t="shared" si="228"/>
        <v>30</v>
      </c>
      <c r="AR360" s="125">
        <f t="shared" ca="1" si="229"/>
        <v>30</v>
      </c>
      <c r="AS360" s="135">
        <f t="shared" si="230"/>
        <v>0</v>
      </c>
      <c r="AT360" s="125">
        <f t="shared" si="231"/>
        <v>7</v>
      </c>
      <c r="AU360" t="b">
        <f>OR((F360&gt;0),(NOT(ISBLANK(H360))),SUM(H360:H$373),SUM(G360:G$373))</f>
        <v>0</v>
      </c>
      <c r="AV360" t="b">
        <f t="shared" ca="1" si="213"/>
        <v>1</v>
      </c>
      <c r="AX360" s="228">
        <f>SUM(AW$5:AW360)</f>
        <v>-2.9166666666666665</v>
      </c>
    </row>
    <row r="361" spans="1:50">
      <c r="A361" s="308">
        <f t="shared" si="232"/>
        <v>42724</v>
      </c>
      <c r="B361" s="309">
        <f t="shared" si="233"/>
        <v>42724</v>
      </c>
      <c r="C361" s="310">
        <f t="shared" si="240"/>
        <v>52</v>
      </c>
      <c r="D361" s="311">
        <f t="shared" si="241"/>
        <v>42704</v>
      </c>
      <c r="E361" s="321" t="str">
        <f t="shared" si="214"/>
        <v/>
      </c>
      <c r="F361" s="5"/>
      <c r="G361" s="6" t="str">
        <f t="shared" si="243"/>
        <v/>
      </c>
      <c r="H361" s="7"/>
      <c r="I361" s="7">
        <f t="shared" si="244"/>
        <v>0</v>
      </c>
      <c r="J361" s="113">
        <f t="shared" si="245"/>
        <v>0</v>
      </c>
      <c r="K361" s="7"/>
      <c r="L361" s="7">
        <f t="shared" si="246"/>
        <v>0</v>
      </c>
      <c r="M361" s="113">
        <f t="shared" si="247"/>
        <v>0</v>
      </c>
      <c r="N361" s="113"/>
      <c r="O361" s="113">
        <f t="shared" si="248"/>
        <v>0</v>
      </c>
      <c r="P361" s="113"/>
      <c r="Q361" s="113">
        <f t="shared" si="249"/>
        <v>0</v>
      </c>
      <c r="R361" s="113">
        <f t="shared" si="250"/>
        <v>0</v>
      </c>
      <c r="S361" s="113">
        <f t="shared" si="238"/>
        <v>0</v>
      </c>
      <c r="T361" s="113">
        <f t="shared" si="221"/>
        <v>0</v>
      </c>
      <c r="U361" s="113">
        <f t="shared" si="239"/>
        <v>0</v>
      </c>
      <c r="V361" s="146">
        <f t="shared" si="222"/>
        <v>0</v>
      </c>
      <c r="W361" s="66"/>
      <c r="X361" s="115">
        <f t="shared" si="206"/>
        <v>3.125E-2</v>
      </c>
      <c r="Y361" s="110">
        <f t="shared" si="223"/>
        <v>0</v>
      </c>
      <c r="Z361" s="111">
        <f t="shared" si="242"/>
        <v>0.29166666666666669</v>
      </c>
      <c r="AA361" s="112">
        <f t="shared" si="224"/>
        <v>0</v>
      </c>
      <c r="AB361" s="67" t="str">
        <f t="shared" si="225"/>
        <v/>
      </c>
      <c r="AC361" s="193">
        <f t="shared" si="207"/>
        <v>0</v>
      </c>
      <c r="AD361" s="144" t="str">
        <f t="shared" si="208"/>
        <v/>
      </c>
      <c r="AE361" s="228">
        <f t="shared" si="234"/>
        <v>0</v>
      </c>
      <c r="AF361" s="110"/>
      <c r="AG361" s="110" t="str">
        <f t="shared" si="226"/>
        <v/>
      </c>
      <c r="AH361" s="68">
        <f t="shared" si="209"/>
        <v>0</v>
      </c>
      <c r="AI361" s="68">
        <f t="shared" si="210"/>
        <v>0</v>
      </c>
      <c r="AJ361" s="68" t="str">
        <f t="shared" si="211"/>
        <v/>
      </c>
      <c r="AK361">
        <f t="shared" si="212"/>
        <v>1</v>
      </c>
      <c r="AL361" s="122">
        <f>SUM($AD$6:AD361)</f>
        <v>0</v>
      </c>
      <c r="AM361" s="122">
        <f t="shared" ca="1" si="227"/>
        <v>0</v>
      </c>
      <c r="AN361" s="126">
        <f t="shared" si="235"/>
        <v>0</v>
      </c>
      <c r="AO361" s="126">
        <f t="shared" si="236"/>
        <v>0</v>
      </c>
      <c r="AP361" s="126">
        <f t="shared" si="237"/>
        <v>0</v>
      </c>
      <c r="AQ361" s="125">
        <f t="shared" si="228"/>
        <v>30</v>
      </c>
      <c r="AR361" s="125">
        <f t="shared" ca="1" si="229"/>
        <v>30</v>
      </c>
      <c r="AS361" s="135">
        <f t="shared" si="230"/>
        <v>0</v>
      </c>
      <c r="AT361" s="125">
        <f t="shared" si="231"/>
        <v>0</v>
      </c>
      <c r="AU361" t="b">
        <f>OR((F361&gt;0),(NOT(ISBLANK(H361))),SUM(H361:H$373),SUM(G361:G$373))</f>
        <v>0</v>
      </c>
      <c r="AV361" t="b">
        <f t="shared" ca="1" si="213"/>
        <v>0</v>
      </c>
      <c r="AX361" s="228">
        <f>SUM(AW$5:AW361)</f>
        <v>-2.9166666666666665</v>
      </c>
    </row>
    <row r="362" spans="1:50">
      <c r="A362" s="308">
        <f t="shared" si="232"/>
        <v>42725</v>
      </c>
      <c r="B362" s="309">
        <f t="shared" si="233"/>
        <v>42725</v>
      </c>
      <c r="C362" s="310">
        <f t="shared" si="240"/>
        <v>52</v>
      </c>
      <c r="D362" s="311">
        <f t="shared" si="241"/>
        <v>42704</v>
      </c>
      <c r="E362" s="321" t="str">
        <f t="shared" si="214"/>
        <v/>
      </c>
      <c r="F362" s="5"/>
      <c r="G362" s="6" t="str">
        <f t="shared" si="243"/>
        <v/>
      </c>
      <c r="H362" s="7"/>
      <c r="I362" s="7">
        <f t="shared" si="244"/>
        <v>0</v>
      </c>
      <c r="J362" s="113">
        <f t="shared" si="245"/>
        <v>0</v>
      </c>
      <c r="K362" s="7"/>
      <c r="L362" s="7">
        <f t="shared" si="246"/>
        <v>0</v>
      </c>
      <c r="M362" s="113">
        <f t="shared" si="247"/>
        <v>0</v>
      </c>
      <c r="N362" s="113"/>
      <c r="O362" s="113">
        <f t="shared" si="248"/>
        <v>0</v>
      </c>
      <c r="P362" s="113"/>
      <c r="Q362" s="113">
        <f t="shared" si="249"/>
        <v>0</v>
      </c>
      <c r="R362" s="113">
        <f t="shared" si="250"/>
        <v>0</v>
      </c>
      <c r="S362" s="113">
        <f t="shared" si="238"/>
        <v>0</v>
      </c>
      <c r="T362" s="113">
        <f t="shared" si="221"/>
        <v>0</v>
      </c>
      <c r="U362" s="113">
        <f t="shared" si="239"/>
        <v>0</v>
      </c>
      <c r="V362" s="146">
        <f t="shared" si="222"/>
        <v>0</v>
      </c>
      <c r="W362" s="66"/>
      <c r="X362" s="115">
        <f t="shared" si="206"/>
        <v>3.125E-2</v>
      </c>
      <c r="Y362" s="110">
        <f t="shared" si="223"/>
        <v>0</v>
      </c>
      <c r="Z362" s="111">
        <f t="shared" si="242"/>
        <v>0.29166666666666669</v>
      </c>
      <c r="AA362" s="112">
        <f t="shared" si="224"/>
        <v>0</v>
      </c>
      <c r="AB362" s="67" t="str">
        <f t="shared" si="225"/>
        <v/>
      </c>
      <c r="AC362" s="193">
        <f t="shared" si="207"/>
        <v>0</v>
      </c>
      <c r="AD362" s="144" t="str">
        <f t="shared" si="208"/>
        <v/>
      </c>
      <c r="AE362" s="228">
        <f t="shared" si="234"/>
        <v>0</v>
      </c>
      <c r="AF362" s="110"/>
      <c r="AG362" s="110" t="str">
        <f t="shared" si="226"/>
        <v/>
      </c>
      <c r="AH362" s="68">
        <f t="shared" si="209"/>
        <v>0</v>
      </c>
      <c r="AI362" s="68">
        <f t="shared" si="210"/>
        <v>0</v>
      </c>
      <c r="AJ362" s="68" t="str">
        <f t="shared" si="211"/>
        <v/>
      </c>
      <c r="AK362">
        <f t="shared" si="212"/>
        <v>2</v>
      </c>
      <c r="AL362" s="122">
        <f>SUM($AD$6:AD362)</f>
        <v>0</v>
      </c>
      <c r="AM362" s="122">
        <f t="shared" ca="1" si="227"/>
        <v>0</v>
      </c>
      <c r="AN362" s="126">
        <f t="shared" si="235"/>
        <v>0</v>
      </c>
      <c r="AO362" s="126">
        <f t="shared" si="236"/>
        <v>0</v>
      </c>
      <c r="AP362" s="126">
        <f t="shared" si="237"/>
        <v>0</v>
      </c>
      <c r="AQ362" s="125">
        <f t="shared" si="228"/>
        <v>30</v>
      </c>
      <c r="AR362" s="125">
        <f t="shared" ca="1" si="229"/>
        <v>30</v>
      </c>
      <c r="AS362" s="135">
        <f t="shared" si="230"/>
        <v>0</v>
      </c>
      <c r="AT362" s="125">
        <f t="shared" si="231"/>
        <v>0</v>
      </c>
      <c r="AU362" t="b">
        <f>OR((F362&gt;0),(NOT(ISBLANK(H362))),SUM(H362:H$373),SUM(G362:G$373))</f>
        <v>0</v>
      </c>
      <c r="AV362" t="b">
        <f t="shared" ca="1" si="213"/>
        <v>0</v>
      </c>
      <c r="AX362" s="228">
        <f>SUM(AW$5:AW362)</f>
        <v>-2.9166666666666665</v>
      </c>
    </row>
    <row r="363" spans="1:50">
      <c r="A363" s="308">
        <f t="shared" si="232"/>
        <v>42726</v>
      </c>
      <c r="B363" s="309">
        <f t="shared" si="233"/>
        <v>42726</v>
      </c>
      <c r="C363" s="310">
        <f t="shared" si="240"/>
        <v>52</v>
      </c>
      <c r="D363" s="311">
        <f t="shared" si="241"/>
        <v>42704</v>
      </c>
      <c r="E363" s="321" t="str">
        <f t="shared" si="214"/>
        <v/>
      </c>
      <c r="F363" s="5"/>
      <c r="G363" s="6" t="str">
        <f t="shared" si="243"/>
        <v/>
      </c>
      <c r="H363" s="7"/>
      <c r="I363" s="7">
        <f t="shared" si="244"/>
        <v>0</v>
      </c>
      <c r="J363" s="113">
        <f t="shared" si="245"/>
        <v>0</v>
      </c>
      <c r="K363" s="7"/>
      <c r="L363" s="7">
        <f t="shared" si="246"/>
        <v>0</v>
      </c>
      <c r="M363" s="113">
        <f t="shared" si="247"/>
        <v>0</v>
      </c>
      <c r="N363" s="113"/>
      <c r="O363" s="113">
        <f t="shared" si="248"/>
        <v>0</v>
      </c>
      <c r="P363" s="113"/>
      <c r="Q363" s="113">
        <f t="shared" si="249"/>
        <v>0</v>
      </c>
      <c r="R363" s="113">
        <f t="shared" si="250"/>
        <v>0</v>
      </c>
      <c r="S363" s="113">
        <f t="shared" si="238"/>
        <v>0</v>
      </c>
      <c r="T363" s="113">
        <f t="shared" si="221"/>
        <v>0</v>
      </c>
      <c r="U363" s="113">
        <f t="shared" si="239"/>
        <v>0</v>
      </c>
      <c r="V363" s="146">
        <f t="shared" si="222"/>
        <v>0</v>
      </c>
      <c r="W363" s="66"/>
      <c r="X363" s="115">
        <f t="shared" si="206"/>
        <v>3.125E-2</v>
      </c>
      <c r="Y363" s="110">
        <f t="shared" si="223"/>
        <v>0</v>
      </c>
      <c r="Z363" s="111">
        <f t="shared" si="242"/>
        <v>0.29166666666666669</v>
      </c>
      <c r="AA363" s="112">
        <f t="shared" si="224"/>
        <v>0</v>
      </c>
      <c r="AB363" s="67" t="str">
        <f t="shared" si="225"/>
        <v/>
      </c>
      <c r="AC363" s="193">
        <f t="shared" si="207"/>
        <v>0</v>
      </c>
      <c r="AD363" s="144" t="str">
        <f t="shared" si="208"/>
        <v/>
      </c>
      <c r="AE363" s="228">
        <f t="shared" si="234"/>
        <v>0</v>
      </c>
      <c r="AF363" s="110"/>
      <c r="AG363" s="110" t="str">
        <f t="shared" si="226"/>
        <v/>
      </c>
      <c r="AH363" s="68">
        <f t="shared" si="209"/>
        <v>0</v>
      </c>
      <c r="AI363" s="68">
        <f t="shared" si="210"/>
        <v>0</v>
      </c>
      <c r="AJ363" s="68" t="str">
        <f t="shared" si="211"/>
        <v/>
      </c>
      <c r="AK363">
        <f t="shared" si="212"/>
        <v>3</v>
      </c>
      <c r="AL363" s="122">
        <f>SUM($AD$6:AD363)</f>
        <v>0</v>
      </c>
      <c r="AM363" s="122">
        <f t="shared" ca="1" si="227"/>
        <v>0</v>
      </c>
      <c r="AN363" s="126">
        <f t="shared" si="235"/>
        <v>0</v>
      </c>
      <c r="AO363" s="126">
        <f t="shared" si="236"/>
        <v>0</v>
      </c>
      <c r="AP363" s="126">
        <f t="shared" si="237"/>
        <v>0</v>
      </c>
      <c r="AQ363" s="125">
        <f t="shared" si="228"/>
        <v>30</v>
      </c>
      <c r="AR363" s="125">
        <f t="shared" ca="1" si="229"/>
        <v>30</v>
      </c>
      <c r="AS363" s="135">
        <f t="shared" si="230"/>
        <v>0</v>
      </c>
      <c r="AT363" s="125">
        <f t="shared" si="231"/>
        <v>0</v>
      </c>
      <c r="AU363" t="b">
        <f>OR((F363&gt;0),(NOT(ISBLANK(H363))),SUM(H363:H$373),SUM(G363:G$373))</f>
        <v>0</v>
      </c>
      <c r="AV363" t="b">
        <f t="shared" ca="1" si="213"/>
        <v>0</v>
      </c>
      <c r="AX363" s="228">
        <f>SUM(AW$5:AW363)</f>
        <v>-2.9166666666666665</v>
      </c>
    </row>
    <row r="364" spans="1:50">
      <c r="A364" s="308">
        <f t="shared" si="232"/>
        <v>42727</v>
      </c>
      <c r="B364" s="309">
        <f t="shared" si="233"/>
        <v>42727</v>
      </c>
      <c r="C364" s="310">
        <f t="shared" si="240"/>
        <v>52</v>
      </c>
      <c r="D364" s="311">
        <f t="shared" si="241"/>
        <v>42704</v>
      </c>
      <c r="E364" s="321" t="str">
        <f t="shared" si="214"/>
        <v/>
      </c>
      <c r="F364" s="5"/>
      <c r="G364" s="6" t="str">
        <f t="shared" si="243"/>
        <v/>
      </c>
      <c r="H364" s="7"/>
      <c r="I364" s="7">
        <f t="shared" si="244"/>
        <v>0</v>
      </c>
      <c r="J364" s="113">
        <f t="shared" si="245"/>
        <v>0</v>
      </c>
      <c r="K364" s="7"/>
      <c r="L364" s="7">
        <f t="shared" si="246"/>
        <v>0</v>
      </c>
      <c r="M364" s="113">
        <f t="shared" si="247"/>
        <v>0</v>
      </c>
      <c r="N364" s="113"/>
      <c r="O364" s="113">
        <f t="shared" si="248"/>
        <v>0</v>
      </c>
      <c r="P364" s="113"/>
      <c r="Q364" s="113">
        <f t="shared" si="249"/>
        <v>0</v>
      </c>
      <c r="R364" s="113">
        <f t="shared" si="250"/>
        <v>0</v>
      </c>
      <c r="S364" s="113">
        <f t="shared" si="238"/>
        <v>0</v>
      </c>
      <c r="T364" s="113">
        <f t="shared" si="221"/>
        <v>0</v>
      </c>
      <c r="U364" s="113">
        <f t="shared" si="239"/>
        <v>0</v>
      </c>
      <c r="V364" s="146">
        <f t="shared" si="222"/>
        <v>0</v>
      </c>
      <c r="W364" s="66"/>
      <c r="X364" s="115">
        <f t="shared" si="206"/>
        <v>3.125E-2</v>
      </c>
      <c r="Y364" s="110">
        <f t="shared" si="223"/>
        <v>0</v>
      </c>
      <c r="Z364" s="111">
        <f t="shared" si="242"/>
        <v>0.29166666666666669</v>
      </c>
      <c r="AA364" s="112">
        <f t="shared" si="224"/>
        <v>0</v>
      </c>
      <c r="AB364" s="67" t="str">
        <f t="shared" si="225"/>
        <v/>
      </c>
      <c r="AC364" s="193">
        <f t="shared" si="207"/>
        <v>0</v>
      </c>
      <c r="AD364" s="144" t="str">
        <f t="shared" si="208"/>
        <v/>
      </c>
      <c r="AE364" s="228">
        <f t="shared" si="234"/>
        <v>0</v>
      </c>
      <c r="AF364" s="110"/>
      <c r="AG364" s="110" t="str">
        <f t="shared" si="226"/>
        <v/>
      </c>
      <c r="AH364" s="68">
        <f t="shared" si="209"/>
        <v>0</v>
      </c>
      <c r="AI364" s="68">
        <f t="shared" si="210"/>
        <v>0</v>
      </c>
      <c r="AJ364" s="68" t="str">
        <f t="shared" si="211"/>
        <v/>
      </c>
      <c r="AK364">
        <f t="shared" si="212"/>
        <v>4</v>
      </c>
      <c r="AL364" s="122">
        <f>SUM($AD$6:AD364)</f>
        <v>0</v>
      </c>
      <c r="AM364" s="122">
        <f t="shared" ca="1" si="227"/>
        <v>0</v>
      </c>
      <c r="AN364" s="126">
        <f t="shared" si="235"/>
        <v>0</v>
      </c>
      <c r="AO364" s="126">
        <f t="shared" si="236"/>
        <v>0</v>
      </c>
      <c r="AP364" s="126">
        <f t="shared" si="237"/>
        <v>0</v>
      </c>
      <c r="AQ364" s="125">
        <f t="shared" si="228"/>
        <v>30</v>
      </c>
      <c r="AR364" s="125">
        <f t="shared" ca="1" si="229"/>
        <v>30</v>
      </c>
      <c r="AS364" s="135">
        <f t="shared" si="230"/>
        <v>0</v>
      </c>
      <c r="AT364" s="125">
        <f t="shared" si="231"/>
        <v>0</v>
      </c>
      <c r="AU364" t="b">
        <f>OR((F364&gt;0),(NOT(ISBLANK(H364))),SUM(H364:H$373),SUM(G364:G$373))</f>
        <v>0</v>
      </c>
      <c r="AV364" t="b">
        <f t="shared" ca="1" si="213"/>
        <v>0</v>
      </c>
      <c r="AX364" s="228">
        <f>SUM(AW$5:AW364)</f>
        <v>-2.9166666666666665</v>
      </c>
    </row>
    <row r="365" spans="1:50">
      <c r="A365" s="308">
        <f t="shared" si="232"/>
        <v>42728</v>
      </c>
      <c r="B365" s="309">
        <f t="shared" si="233"/>
        <v>42728</v>
      </c>
      <c r="C365" s="310">
        <f t="shared" si="240"/>
        <v>52</v>
      </c>
      <c r="D365" s="311">
        <f t="shared" si="241"/>
        <v>42704</v>
      </c>
      <c r="E365" s="321" t="str">
        <f t="shared" si="214"/>
        <v>1. Weihnachtsfeiertag</v>
      </c>
      <c r="F365" s="5"/>
      <c r="G365" s="6" t="str">
        <f t="shared" si="243"/>
        <v/>
      </c>
      <c r="H365" s="7"/>
      <c r="I365" s="7">
        <f t="shared" si="244"/>
        <v>0</v>
      </c>
      <c r="J365" s="113">
        <f t="shared" si="245"/>
        <v>0</v>
      </c>
      <c r="K365" s="7"/>
      <c r="L365" s="7">
        <f t="shared" si="246"/>
        <v>0</v>
      </c>
      <c r="M365" s="113">
        <f t="shared" si="247"/>
        <v>0</v>
      </c>
      <c r="N365" s="113"/>
      <c r="O365" s="113">
        <f t="shared" si="248"/>
        <v>0</v>
      </c>
      <c r="P365" s="113"/>
      <c r="Q365" s="113">
        <f t="shared" si="249"/>
        <v>0</v>
      </c>
      <c r="R365" s="113">
        <f t="shared" si="250"/>
        <v>0</v>
      </c>
      <c r="S365" s="113">
        <f t="shared" si="238"/>
        <v>0</v>
      </c>
      <c r="T365" s="113">
        <f t="shared" si="221"/>
        <v>0</v>
      </c>
      <c r="U365" s="113">
        <f t="shared" si="239"/>
        <v>0</v>
      </c>
      <c r="V365" s="146">
        <f t="shared" si="222"/>
        <v>0</v>
      </c>
      <c r="W365" s="66"/>
      <c r="X365" s="115">
        <f t="shared" si="206"/>
        <v>3.125E-2</v>
      </c>
      <c r="Y365" s="110">
        <f t="shared" si="223"/>
        <v>0</v>
      </c>
      <c r="Z365" s="111" t="str">
        <f t="shared" si="242"/>
        <v/>
      </c>
      <c r="AA365" s="112">
        <f t="shared" si="224"/>
        <v>0</v>
      </c>
      <c r="AB365" s="67" t="str">
        <f t="shared" si="225"/>
        <v/>
      </c>
      <c r="AC365" s="193">
        <f t="shared" si="207"/>
        <v>0</v>
      </c>
      <c r="AD365" s="144" t="str">
        <f t="shared" si="208"/>
        <v/>
      </c>
      <c r="AE365" s="228">
        <f t="shared" si="234"/>
        <v>0</v>
      </c>
      <c r="AF365" s="110"/>
      <c r="AG365" s="110" t="str">
        <f t="shared" si="226"/>
        <v/>
      </c>
      <c r="AH365" s="68">
        <f t="shared" si="209"/>
        <v>0</v>
      </c>
      <c r="AI365" s="68">
        <f t="shared" si="210"/>
        <v>0</v>
      </c>
      <c r="AJ365" s="68" t="str">
        <f t="shared" si="211"/>
        <v/>
      </c>
      <c r="AK365">
        <f t="shared" si="212"/>
        <v>8</v>
      </c>
      <c r="AL365" s="122">
        <f>SUM($AD$6:AD365)</f>
        <v>0</v>
      </c>
      <c r="AM365" s="122">
        <f t="shared" ca="1" si="227"/>
        <v>0</v>
      </c>
      <c r="AN365" s="126">
        <f t="shared" si="235"/>
        <v>0</v>
      </c>
      <c r="AO365" s="126">
        <f t="shared" si="236"/>
        <v>0</v>
      </c>
      <c r="AP365" s="126">
        <f t="shared" si="237"/>
        <v>0</v>
      </c>
      <c r="AQ365" s="125">
        <f t="shared" si="228"/>
        <v>30</v>
      </c>
      <c r="AR365" s="125">
        <f t="shared" ca="1" si="229"/>
        <v>30</v>
      </c>
      <c r="AS365" s="135">
        <f t="shared" si="230"/>
        <v>0</v>
      </c>
      <c r="AT365" s="125">
        <f t="shared" si="231"/>
        <v>8</v>
      </c>
      <c r="AU365" t="b">
        <f>OR((F365&gt;0),(NOT(ISBLANK(H365))),SUM(H365:H$373),SUM(G365:G$373))</f>
        <v>0</v>
      </c>
      <c r="AV365" t="b">
        <f t="shared" ca="1" si="213"/>
        <v>1</v>
      </c>
      <c r="AX365" s="228">
        <f>SUM(AW$5:AW365)</f>
        <v>-2.9166666666666665</v>
      </c>
    </row>
    <row r="366" spans="1:50">
      <c r="A366" s="308">
        <f t="shared" si="232"/>
        <v>42729</v>
      </c>
      <c r="B366" s="309">
        <f t="shared" si="233"/>
        <v>42729</v>
      </c>
      <c r="C366" s="310">
        <f t="shared" si="240"/>
        <v>52</v>
      </c>
      <c r="D366" s="311">
        <f t="shared" si="241"/>
        <v>42704</v>
      </c>
      <c r="E366" s="321" t="str">
        <f t="shared" si="214"/>
        <v>2. Weihnachtsfeiertag</v>
      </c>
      <c r="F366" s="5"/>
      <c r="G366" s="6" t="str">
        <f t="shared" si="243"/>
        <v/>
      </c>
      <c r="H366" s="7"/>
      <c r="I366" s="7">
        <f t="shared" si="244"/>
        <v>0</v>
      </c>
      <c r="J366" s="113">
        <f t="shared" si="245"/>
        <v>0</v>
      </c>
      <c r="K366" s="7"/>
      <c r="L366" s="7">
        <f t="shared" si="246"/>
        <v>0</v>
      </c>
      <c r="M366" s="113">
        <f t="shared" si="247"/>
        <v>0</v>
      </c>
      <c r="N366" s="113"/>
      <c r="O366" s="113">
        <f t="shared" si="248"/>
        <v>0</v>
      </c>
      <c r="P366" s="113"/>
      <c r="Q366" s="113">
        <f t="shared" si="249"/>
        <v>0</v>
      </c>
      <c r="R366" s="113">
        <f t="shared" si="250"/>
        <v>0</v>
      </c>
      <c r="S366" s="113">
        <f t="shared" si="238"/>
        <v>0</v>
      </c>
      <c r="T366" s="113">
        <f t="shared" si="221"/>
        <v>0</v>
      </c>
      <c r="U366" s="113">
        <f t="shared" si="239"/>
        <v>0</v>
      </c>
      <c r="V366" s="146">
        <f t="shared" si="222"/>
        <v>0</v>
      </c>
      <c r="W366" s="66"/>
      <c r="X366" s="115">
        <f t="shared" si="206"/>
        <v>3.125E-2</v>
      </c>
      <c r="Y366" s="110">
        <f t="shared" si="223"/>
        <v>0</v>
      </c>
      <c r="Z366" s="111" t="str">
        <f t="shared" si="242"/>
        <v/>
      </c>
      <c r="AA366" s="112">
        <f t="shared" si="224"/>
        <v>0</v>
      </c>
      <c r="AB366" s="67" t="str">
        <f t="shared" si="225"/>
        <v/>
      </c>
      <c r="AC366" s="193">
        <f t="shared" si="207"/>
        <v>0</v>
      </c>
      <c r="AD366" s="144" t="str">
        <f t="shared" si="208"/>
        <v/>
      </c>
      <c r="AE366" s="228">
        <f t="shared" si="234"/>
        <v>0</v>
      </c>
      <c r="AF366" s="110"/>
      <c r="AG366" s="110" t="str">
        <f t="shared" si="226"/>
        <v/>
      </c>
      <c r="AH366" s="68">
        <f t="shared" si="209"/>
        <v>0</v>
      </c>
      <c r="AI366" s="68">
        <f t="shared" si="210"/>
        <v>0</v>
      </c>
      <c r="AJ366" s="68" t="str">
        <f t="shared" si="211"/>
        <v/>
      </c>
      <c r="AK366">
        <f t="shared" si="212"/>
        <v>8</v>
      </c>
      <c r="AL366" s="122">
        <f>SUM($AD$6:AD366)</f>
        <v>0</v>
      </c>
      <c r="AM366" s="122">
        <f t="shared" ca="1" si="227"/>
        <v>0</v>
      </c>
      <c r="AN366" s="126">
        <f t="shared" si="235"/>
        <v>0</v>
      </c>
      <c r="AO366" s="126">
        <f t="shared" si="236"/>
        <v>0</v>
      </c>
      <c r="AP366" s="126">
        <f t="shared" si="237"/>
        <v>0</v>
      </c>
      <c r="AQ366" s="125">
        <f t="shared" si="228"/>
        <v>30</v>
      </c>
      <c r="AR366" s="125">
        <f t="shared" ca="1" si="229"/>
        <v>30</v>
      </c>
      <c r="AS366" s="135">
        <f t="shared" si="230"/>
        <v>0</v>
      </c>
      <c r="AT366" s="125">
        <f t="shared" si="231"/>
        <v>8</v>
      </c>
      <c r="AU366" t="b">
        <f>OR((F366&gt;0),(NOT(ISBLANK(H366))),SUM(H366:H$373),SUM(G366:G$373))</f>
        <v>0</v>
      </c>
      <c r="AV366" t="b">
        <f t="shared" ca="1" si="213"/>
        <v>1</v>
      </c>
      <c r="AX366" s="228">
        <f>SUM(AW$5:AW366)</f>
        <v>-2.9166666666666665</v>
      </c>
    </row>
    <row r="367" spans="1:50">
      <c r="A367" s="308">
        <f t="shared" si="232"/>
        <v>42730</v>
      </c>
      <c r="B367" s="309">
        <f t="shared" si="233"/>
        <v>42730</v>
      </c>
      <c r="C367" s="310">
        <f t="shared" si="240"/>
        <v>52</v>
      </c>
      <c r="D367" s="311">
        <f t="shared" si="241"/>
        <v>42704</v>
      </c>
      <c r="E367" s="321" t="str">
        <f t="shared" ref="E367:E373" si="251">IF((R367-U367)&gt;XWorkTimeMax,$Z$4,IF(AT367=Feiertag,VLOOKUP(B367,db_Feiertag,2,FALSE),""))</f>
        <v/>
      </c>
      <c r="F367" s="5"/>
      <c r="G367" s="6" t="str">
        <f t="shared" si="243"/>
        <v/>
      </c>
      <c r="H367" s="7"/>
      <c r="I367" s="7">
        <f t="shared" si="244"/>
        <v>0</v>
      </c>
      <c r="J367" s="113">
        <f t="shared" si="245"/>
        <v>0</v>
      </c>
      <c r="K367" s="7"/>
      <c r="L367" s="7">
        <f t="shared" si="246"/>
        <v>0</v>
      </c>
      <c r="M367" s="113">
        <f t="shared" si="247"/>
        <v>0</v>
      </c>
      <c r="N367" s="113"/>
      <c r="O367" s="113">
        <f t="shared" si="248"/>
        <v>0</v>
      </c>
      <c r="P367" s="113"/>
      <c r="Q367" s="113">
        <f t="shared" si="249"/>
        <v>0</v>
      </c>
      <c r="R367" s="113">
        <f t="shared" si="250"/>
        <v>0</v>
      </c>
      <c r="S367" s="113">
        <f t="shared" si="238"/>
        <v>0</v>
      </c>
      <c r="T367" s="113">
        <f t="shared" si="221"/>
        <v>0</v>
      </c>
      <c r="U367" s="113">
        <f t="shared" si="239"/>
        <v>0</v>
      </c>
      <c r="V367" s="146">
        <f t="shared" si="222"/>
        <v>0</v>
      </c>
      <c r="W367" s="66"/>
      <c r="X367" s="115">
        <f t="shared" si="206"/>
        <v>3.125E-2</v>
      </c>
      <c r="Y367" s="110">
        <f t="shared" si="223"/>
        <v>0</v>
      </c>
      <c r="Z367" s="111">
        <f t="shared" si="242"/>
        <v>0</v>
      </c>
      <c r="AA367" s="112">
        <f t="shared" si="224"/>
        <v>0</v>
      </c>
      <c r="AB367" s="67" t="str">
        <f t="shared" si="225"/>
        <v/>
      </c>
      <c r="AC367" s="193">
        <f t="shared" si="207"/>
        <v>0</v>
      </c>
      <c r="AD367" s="144" t="str">
        <f t="shared" si="208"/>
        <v/>
      </c>
      <c r="AE367" s="228">
        <f t="shared" si="234"/>
        <v>0</v>
      </c>
      <c r="AF367" s="110"/>
      <c r="AG367" s="110" t="str">
        <f t="shared" si="226"/>
        <v/>
      </c>
      <c r="AH367" s="68">
        <f t="shared" si="209"/>
        <v>0</v>
      </c>
      <c r="AI367" s="68">
        <f t="shared" si="210"/>
        <v>0</v>
      </c>
      <c r="AJ367" s="68" t="str">
        <f t="shared" si="211"/>
        <v/>
      </c>
      <c r="AK367">
        <f t="shared" si="212"/>
        <v>7</v>
      </c>
      <c r="AL367" s="122">
        <f>SUM($AD$6:AD367)</f>
        <v>0</v>
      </c>
      <c r="AM367" s="122">
        <f t="shared" ca="1" si="227"/>
        <v>0</v>
      </c>
      <c r="AN367" s="126">
        <f t="shared" si="235"/>
        <v>0</v>
      </c>
      <c r="AO367" s="126">
        <f t="shared" si="236"/>
        <v>0</v>
      </c>
      <c r="AP367" s="126">
        <f t="shared" si="237"/>
        <v>0</v>
      </c>
      <c r="AQ367" s="125">
        <f t="shared" si="228"/>
        <v>30</v>
      </c>
      <c r="AR367" s="125">
        <f t="shared" ca="1" si="229"/>
        <v>30</v>
      </c>
      <c r="AS367" s="135">
        <f t="shared" si="230"/>
        <v>0</v>
      </c>
      <c r="AT367" s="125">
        <f t="shared" si="231"/>
        <v>7</v>
      </c>
      <c r="AU367" t="b">
        <f>OR((F367&gt;0),(NOT(ISBLANK(H367))),SUM(H367:H$373),SUM(G367:G$373))</f>
        <v>0</v>
      </c>
      <c r="AV367" t="b">
        <f t="shared" ca="1" si="213"/>
        <v>1</v>
      </c>
      <c r="AX367" s="228">
        <f>SUM(AW$5:AW367)</f>
        <v>-2.9166666666666665</v>
      </c>
    </row>
    <row r="368" spans="1:50">
      <c r="A368" s="308">
        <f t="shared" si="232"/>
        <v>42731</v>
      </c>
      <c r="B368" s="309">
        <f t="shared" si="233"/>
        <v>42731</v>
      </c>
      <c r="C368" s="310">
        <f t="shared" si="240"/>
        <v>53</v>
      </c>
      <c r="D368" s="311">
        <f t="shared" si="241"/>
        <v>42704</v>
      </c>
      <c r="E368" s="321" t="str">
        <f t="shared" si="251"/>
        <v/>
      </c>
      <c r="F368" s="5"/>
      <c r="G368" s="6" t="str">
        <f t="shared" si="243"/>
        <v/>
      </c>
      <c r="H368" s="7"/>
      <c r="I368" s="7">
        <f t="shared" si="244"/>
        <v>0</v>
      </c>
      <c r="J368" s="113">
        <f t="shared" si="245"/>
        <v>0</v>
      </c>
      <c r="K368" s="7"/>
      <c r="L368" s="7">
        <f t="shared" si="246"/>
        <v>0</v>
      </c>
      <c r="M368" s="113">
        <f t="shared" si="247"/>
        <v>0</v>
      </c>
      <c r="N368" s="113"/>
      <c r="O368" s="113">
        <f t="shared" si="248"/>
        <v>0</v>
      </c>
      <c r="P368" s="113"/>
      <c r="Q368" s="113">
        <f t="shared" si="249"/>
        <v>0</v>
      </c>
      <c r="R368" s="113">
        <f t="shared" si="250"/>
        <v>0</v>
      </c>
      <c r="S368" s="113">
        <f t="shared" si="238"/>
        <v>0</v>
      </c>
      <c r="T368" s="113">
        <f t="shared" si="221"/>
        <v>0</v>
      </c>
      <c r="U368" s="113">
        <f t="shared" si="239"/>
        <v>0</v>
      </c>
      <c r="V368" s="146">
        <f t="shared" si="222"/>
        <v>0</v>
      </c>
      <c r="W368" s="66"/>
      <c r="X368" s="115">
        <f t="shared" si="206"/>
        <v>3.125E-2</v>
      </c>
      <c r="Y368" s="110">
        <f t="shared" si="223"/>
        <v>0</v>
      </c>
      <c r="Z368" s="111">
        <f t="shared" si="242"/>
        <v>0.29166666666666669</v>
      </c>
      <c r="AA368" s="112">
        <f t="shared" si="224"/>
        <v>0</v>
      </c>
      <c r="AB368" s="67" t="str">
        <f t="shared" si="225"/>
        <v/>
      </c>
      <c r="AC368" s="193">
        <f t="shared" si="207"/>
        <v>0</v>
      </c>
      <c r="AD368" s="144" t="str">
        <f t="shared" si="208"/>
        <v/>
      </c>
      <c r="AE368" s="228">
        <f t="shared" si="234"/>
        <v>0</v>
      </c>
      <c r="AF368" s="110"/>
      <c r="AG368" s="110" t="str">
        <f t="shared" si="226"/>
        <v/>
      </c>
      <c r="AH368" s="68">
        <f t="shared" si="209"/>
        <v>0</v>
      </c>
      <c r="AI368" s="68">
        <f t="shared" si="210"/>
        <v>0</v>
      </c>
      <c r="AJ368" s="68" t="str">
        <f t="shared" si="211"/>
        <v/>
      </c>
      <c r="AK368">
        <f t="shared" si="212"/>
        <v>1</v>
      </c>
      <c r="AL368" s="122">
        <f>SUM($AD$6:AD368)</f>
        <v>0</v>
      </c>
      <c r="AM368" s="122">
        <f t="shared" ca="1" si="227"/>
        <v>0</v>
      </c>
      <c r="AN368" s="126">
        <f t="shared" si="235"/>
        <v>0</v>
      </c>
      <c r="AO368" s="126">
        <f t="shared" si="236"/>
        <v>0</v>
      </c>
      <c r="AP368" s="126">
        <f t="shared" si="237"/>
        <v>0</v>
      </c>
      <c r="AQ368" s="125">
        <f t="shared" si="228"/>
        <v>30</v>
      </c>
      <c r="AR368" s="125">
        <f t="shared" ca="1" si="229"/>
        <v>30</v>
      </c>
      <c r="AS368" s="135">
        <f t="shared" si="230"/>
        <v>0</v>
      </c>
      <c r="AT368" s="125">
        <f t="shared" si="231"/>
        <v>0</v>
      </c>
      <c r="AU368" t="b">
        <f>OR((F368&gt;0),(NOT(ISBLANK(H368))),SUM(H368:H$373),SUM(G368:G$373))</f>
        <v>0</v>
      </c>
      <c r="AV368" t="b">
        <f t="shared" ca="1" si="213"/>
        <v>0</v>
      </c>
      <c r="AX368" s="228">
        <f>SUM(AW$5:AW368)</f>
        <v>-2.9166666666666665</v>
      </c>
    </row>
    <row r="369" spans="1:50">
      <c r="A369" s="308">
        <f t="shared" si="232"/>
        <v>42732</v>
      </c>
      <c r="B369" s="309">
        <f t="shared" si="233"/>
        <v>42732</v>
      </c>
      <c r="C369" s="310">
        <f t="shared" si="240"/>
        <v>53</v>
      </c>
      <c r="D369" s="311">
        <f t="shared" si="241"/>
        <v>42704</v>
      </c>
      <c r="E369" s="321" t="str">
        <f t="shared" si="251"/>
        <v/>
      </c>
      <c r="F369" s="5"/>
      <c r="G369" s="6" t="str">
        <f t="shared" si="243"/>
        <v/>
      </c>
      <c r="H369" s="7"/>
      <c r="I369" s="7">
        <f t="shared" si="244"/>
        <v>0</v>
      </c>
      <c r="J369" s="113">
        <f t="shared" si="245"/>
        <v>0</v>
      </c>
      <c r="K369" s="7"/>
      <c r="L369" s="7">
        <f t="shared" si="246"/>
        <v>0</v>
      </c>
      <c r="M369" s="113">
        <f t="shared" si="247"/>
        <v>0</v>
      </c>
      <c r="N369" s="113"/>
      <c r="O369" s="113">
        <f t="shared" si="248"/>
        <v>0</v>
      </c>
      <c r="P369" s="113"/>
      <c r="Q369" s="113">
        <f t="shared" si="249"/>
        <v>0</v>
      </c>
      <c r="R369" s="113">
        <f t="shared" si="250"/>
        <v>0</v>
      </c>
      <c r="S369" s="113">
        <f t="shared" si="238"/>
        <v>0</v>
      </c>
      <c r="T369" s="113">
        <f t="shared" si="221"/>
        <v>0</v>
      </c>
      <c r="U369" s="113">
        <f t="shared" si="239"/>
        <v>0</v>
      </c>
      <c r="V369" s="146">
        <f t="shared" si="222"/>
        <v>0</v>
      </c>
      <c r="W369" s="66"/>
      <c r="X369" s="115">
        <f t="shared" si="206"/>
        <v>3.125E-2</v>
      </c>
      <c r="Y369" s="110">
        <f t="shared" si="223"/>
        <v>0</v>
      </c>
      <c r="Z369" s="111">
        <f t="shared" si="242"/>
        <v>0.29166666666666669</v>
      </c>
      <c r="AA369" s="112">
        <f t="shared" si="224"/>
        <v>0</v>
      </c>
      <c r="AB369" s="67" t="str">
        <f t="shared" si="225"/>
        <v/>
      </c>
      <c r="AC369" s="193">
        <f t="shared" si="207"/>
        <v>0</v>
      </c>
      <c r="AD369" s="144" t="str">
        <f t="shared" si="208"/>
        <v/>
      </c>
      <c r="AE369" s="228">
        <f t="shared" si="234"/>
        <v>0</v>
      </c>
      <c r="AF369" s="110"/>
      <c r="AG369" s="110" t="str">
        <f t="shared" si="226"/>
        <v/>
      </c>
      <c r="AH369" s="68">
        <f t="shared" si="209"/>
        <v>0</v>
      </c>
      <c r="AI369" s="68">
        <f t="shared" si="210"/>
        <v>0</v>
      </c>
      <c r="AJ369" s="68" t="str">
        <f t="shared" si="211"/>
        <v/>
      </c>
      <c r="AK369">
        <f t="shared" si="212"/>
        <v>2</v>
      </c>
      <c r="AL369" s="122">
        <f>SUM($AD$6:AD369)</f>
        <v>0</v>
      </c>
      <c r="AM369" s="122">
        <f t="shared" ca="1" si="227"/>
        <v>0</v>
      </c>
      <c r="AN369" s="126">
        <f t="shared" si="235"/>
        <v>0</v>
      </c>
      <c r="AO369" s="126">
        <f t="shared" si="236"/>
        <v>0</v>
      </c>
      <c r="AP369" s="126">
        <f t="shared" si="237"/>
        <v>0</v>
      </c>
      <c r="AQ369" s="125">
        <f t="shared" si="228"/>
        <v>30</v>
      </c>
      <c r="AR369" s="125">
        <f t="shared" ca="1" si="229"/>
        <v>30</v>
      </c>
      <c r="AS369" s="135">
        <f t="shared" si="230"/>
        <v>0</v>
      </c>
      <c r="AT369" s="125">
        <f t="shared" si="231"/>
        <v>0</v>
      </c>
      <c r="AU369" t="b">
        <f>OR((F369&gt;0),(NOT(ISBLANK(H369))),SUM(H369:H$373),SUM(G369:G$373))</f>
        <v>0</v>
      </c>
      <c r="AV369" t="b">
        <f t="shared" ca="1" si="213"/>
        <v>0</v>
      </c>
      <c r="AX369" s="228">
        <f>SUM(AW$5:AW369)</f>
        <v>-2.9166666666666665</v>
      </c>
    </row>
    <row r="370" spans="1:50">
      <c r="A370" s="308">
        <f t="shared" si="232"/>
        <v>42733</v>
      </c>
      <c r="B370" s="309">
        <f t="shared" si="233"/>
        <v>42733</v>
      </c>
      <c r="C370" s="310">
        <f t="shared" si="240"/>
        <v>53</v>
      </c>
      <c r="D370" s="311">
        <f t="shared" si="241"/>
        <v>42704</v>
      </c>
      <c r="E370" s="321" t="str">
        <f t="shared" si="251"/>
        <v/>
      </c>
      <c r="F370" s="5"/>
      <c r="G370" s="6" t="str">
        <f t="shared" si="243"/>
        <v/>
      </c>
      <c r="H370" s="7"/>
      <c r="I370" s="7">
        <f t="shared" si="244"/>
        <v>0</v>
      </c>
      <c r="J370" s="113">
        <f t="shared" si="245"/>
        <v>0</v>
      </c>
      <c r="K370" s="7"/>
      <c r="L370" s="7">
        <f t="shared" si="246"/>
        <v>0</v>
      </c>
      <c r="M370" s="113">
        <f t="shared" si="247"/>
        <v>0</v>
      </c>
      <c r="N370" s="113"/>
      <c r="O370" s="113">
        <f t="shared" si="248"/>
        <v>0</v>
      </c>
      <c r="P370" s="113"/>
      <c r="Q370" s="113">
        <f t="shared" si="249"/>
        <v>0</v>
      </c>
      <c r="R370" s="113">
        <f t="shared" si="250"/>
        <v>0</v>
      </c>
      <c r="S370" s="113">
        <f t="shared" si="238"/>
        <v>0</v>
      </c>
      <c r="T370" s="113">
        <f t="shared" si="221"/>
        <v>0</v>
      </c>
      <c r="U370" s="113">
        <f t="shared" si="239"/>
        <v>0</v>
      </c>
      <c r="V370" s="146">
        <f t="shared" si="222"/>
        <v>0</v>
      </c>
      <c r="W370" s="66"/>
      <c r="X370" s="115">
        <f t="shared" si="206"/>
        <v>3.125E-2</v>
      </c>
      <c r="Y370" s="110">
        <f t="shared" si="223"/>
        <v>0</v>
      </c>
      <c r="Z370" s="111">
        <f t="shared" si="242"/>
        <v>0.29166666666666669</v>
      </c>
      <c r="AA370" s="112">
        <f t="shared" si="224"/>
        <v>0</v>
      </c>
      <c r="AB370" s="67" t="str">
        <f t="shared" si="225"/>
        <v/>
      </c>
      <c r="AC370" s="193">
        <f t="shared" si="207"/>
        <v>0</v>
      </c>
      <c r="AD370" s="144" t="str">
        <f t="shared" si="208"/>
        <v/>
      </c>
      <c r="AE370" s="228">
        <f t="shared" si="234"/>
        <v>0</v>
      </c>
      <c r="AF370" s="110"/>
      <c r="AG370" s="110" t="str">
        <f t="shared" si="226"/>
        <v/>
      </c>
      <c r="AH370" s="68">
        <f t="shared" si="209"/>
        <v>0</v>
      </c>
      <c r="AI370" s="68">
        <f t="shared" si="210"/>
        <v>0</v>
      </c>
      <c r="AJ370" s="68" t="str">
        <f t="shared" si="211"/>
        <v/>
      </c>
      <c r="AK370">
        <f t="shared" si="212"/>
        <v>3</v>
      </c>
      <c r="AL370" s="122">
        <f>SUM($AD$6:AD370)</f>
        <v>0</v>
      </c>
      <c r="AM370" s="122">
        <f t="shared" ca="1" si="227"/>
        <v>0</v>
      </c>
      <c r="AN370" s="126">
        <f t="shared" si="235"/>
        <v>0</v>
      </c>
      <c r="AO370" s="126">
        <f t="shared" si="236"/>
        <v>0</v>
      </c>
      <c r="AP370" s="126">
        <f t="shared" si="237"/>
        <v>0</v>
      </c>
      <c r="AQ370" s="125">
        <f t="shared" si="228"/>
        <v>30</v>
      </c>
      <c r="AR370" s="125">
        <f t="shared" ca="1" si="229"/>
        <v>30</v>
      </c>
      <c r="AS370" s="135">
        <f t="shared" si="230"/>
        <v>0</v>
      </c>
      <c r="AT370" s="125">
        <f t="shared" si="231"/>
        <v>0</v>
      </c>
      <c r="AU370" t="b">
        <f>OR((F370&gt;0),(NOT(ISBLANK(H370))),SUM(H370:H$373),SUM(G370:G$373))</f>
        <v>0</v>
      </c>
      <c r="AV370" t="b">
        <f t="shared" ca="1" si="213"/>
        <v>0</v>
      </c>
      <c r="AX370" s="228">
        <f>SUM(AW$5:AW370)</f>
        <v>-2.9166666666666665</v>
      </c>
    </row>
    <row r="371" spans="1:50">
      <c r="A371" s="308">
        <f t="shared" si="232"/>
        <v>42734</v>
      </c>
      <c r="B371" s="309">
        <f t="shared" si="233"/>
        <v>42734</v>
      </c>
      <c r="C371" s="310">
        <f t="shared" si="240"/>
        <v>53</v>
      </c>
      <c r="D371" s="311">
        <f t="shared" si="241"/>
        <v>42704</v>
      </c>
      <c r="E371" s="321" t="str">
        <f t="shared" si="251"/>
        <v/>
      </c>
      <c r="F371" s="5"/>
      <c r="G371" s="6" t="str">
        <f t="shared" si="243"/>
        <v/>
      </c>
      <c r="H371" s="7"/>
      <c r="I371" s="7">
        <f t="shared" si="244"/>
        <v>0</v>
      </c>
      <c r="J371" s="113">
        <f t="shared" si="245"/>
        <v>0</v>
      </c>
      <c r="K371" s="7"/>
      <c r="L371" s="7">
        <f t="shared" si="246"/>
        <v>0</v>
      </c>
      <c r="M371" s="113">
        <f t="shared" si="247"/>
        <v>0</v>
      </c>
      <c r="N371" s="113"/>
      <c r="O371" s="113">
        <f t="shared" si="248"/>
        <v>0</v>
      </c>
      <c r="P371" s="113"/>
      <c r="Q371" s="113">
        <f t="shared" si="249"/>
        <v>0</v>
      </c>
      <c r="R371" s="113">
        <f t="shared" si="250"/>
        <v>0</v>
      </c>
      <c r="S371" s="113">
        <f t="shared" si="238"/>
        <v>0</v>
      </c>
      <c r="T371" s="113">
        <f t="shared" si="221"/>
        <v>0</v>
      </c>
      <c r="U371" s="113">
        <f t="shared" si="239"/>
        <v>0</v>
      </c>
      <c r="V371" s="146">
        <f t="shared" si="222"/>
        <v>0</v>
      </c>
      <c r="W371" s="66"/>
      <c r="X371" s="115">
        <f t="shared" si="206"/>
        <v>3.125E-2</v>
      </c>
      <c r="Y371" s="110">
        <f t="shared" si="223"/>
        <v>0</v>
      </c>
      <c r="Z371" s="111">
        <f t="shared" si="242"/>
        <v>0.29166666666666669</v>
      </c>
      <c r="AA371" s="112">
        <f t="shared" si="224"/>
        <v>0</v>
      </c>
      <c r="AB371" s="67" t="str">
        <f t="shared" si="225"/>
        <v/>
      </c>
      <c r="AC371" s="193">
        <f t="shared" si="207"/>
        <v>0</v>
      </c>
      <c r="AD371" s="144" t="str">
        <f t="shared" si="208"/>
        <v/>
      </c>
      <c r="AE371" s="228">
        <f t="shared" si="234"/>
        <v>0</v>
      </c>
      <c r="AF371" s="110"/>
      <c r="AG371" s="110" t="str">
        <f t="shared" si="226"/>
        <v/>
      </c>
      <c r="AH371" s="68">
        <f t="shared" si="209"/>
        <v>0</v>
      </c>
      <c r="AI371" s="68">
        <f t="shared" si="210"/>
        <v>0</v>
      </c>
      <c r="AJ371" s="68" t="str">
        <f t="shared" si="211"/>
        <v/>
      </c>
      <c r="AK371">
        <f t="shared" si="212"/>
        <v>4</v>
      </c>
      <c r="AL371" s="122">
        <f>SUM($AD$6:AD371)</f>
        <v>0</v>
      </c>
      <c r="AM371" s="122">
        <f t="shared" ca="1" si="227"/>
        <v>0</v>
      </c>
      <c r="AN371" s="126">
        <f t="shared" si="235"/>
        <v>0</v>
      </c>
      <c r="AO371" s="126">
        <f t="shared" si="236"/>
        <v>0</v>
      </c>
      <c r="AP371" s="126">
        <f t="shared" si="237"/>
        <v>0</v>
      </c>
      <c r="AQ371" s="125">
        <f t="shared" si="228"/>
        <v>30</v>
      </c>
      <c r="AR371" s="125">
        <f t="shared" ca="1" si="229"/>
        <v>30</v>
      </c>
      <c r="AS371" s="135">
        <f t="shared" si="230"/>
        <v>0</v>
      </c>
      <c r="AT371" s="125">
        <f t="shared" si="231"/>
        <v>0</v>
      </c>
      <c r="AU371" t="b">
        <f>OR((F371&gt;0),(NOT(ISBLANK(H371))),SUM(H371:H$373),SUM(G371:G$373))</f>
        <v>0</v>
      </c>
      <c r="AV371" t="b">
        <f t="shared" ca="1" si="213"/>
        <v>0</v>
      </c>
      <c r="AX371" s="228">
        <f>SUM(AW$5:AW371)</f>
        <v>-2.9166666666666665</v>
      </c>
    </row>
    <row r="372" spans="1:50">
      <c r="A372" s="308" t="str">
        <f t="shared" si="232"/>
        <v/>
      </c>
      <c r="B372" s="309" t="str">
        <f t="shared" si="233"/>
        <v/>
      </c>
      <c r="C372" s="310" t="str">
        <f t="shared" si="240"/>
        <v/>
      </c>
      <c r="D372" s="311" t="str">
        <f t="shared" si="241"/>
        <v/>
      </c>
      <c r="E372" s="321" t="str">
        <f t="shared" si="251"/>
        <v/>
      </c>
      <c r="F372" s="5"/>
      <c r="G372" s="6" t="str">
        <f t="shared" si="243"/>
        <v/>
      </c>
      <c r="H372" s="7"/>
      <c r="I372" s="7">
        <f t="shared" si="244"/>
        <v>0</v>
      </c>
      <c r="J372" s="113">
        <f t="shared" si="245"/>
        <v>0</v>
      </c>
      <c r="K372" s="7"/>
      <c r="L372" s="7">
        <f t="shared" si="246"/>
        <v>0</v>
      </c>
      <c r="M372" s="113">
        <f t="shared" si="247"/>
        <v>0</v>
      </c>
      <c r="N372" s="113"/>
      <c r="O372" s="113">
        <f t="shared" si="248"/>
        <v>0</v>
      </c>
      <c r="P372" s="113"/>
      <c r="Q372" s="113">
        <f t="shared" si="249"/>
        <v>0</v>
      </c>
      <c r="R372" s="113">
        <f t="shared" si="250"/>
        <v>0</v>
      </c>
      <c r="S372" s="113">
        <f t="shared" si="238"/>
        <v>0</v>
      </c>
      <c r="T372" s="113">
        <f t="shared" si="221"/>
        <v>0</v>
      </c>
      <c r="U372" s="113">
        <f t="shared" si="239"/>
        <v>0</v>
      </c>
      <c r="V372" s="146">
        <f t="shared" si="222"/>
        <v>0</v>
      </c>
      <c r="W372" s="66"/>
      <c r="X372" s="115">
        <f t="shared" si="206"/>
        <v>3.125E-2</v>
      </c>
      <c r="Y372" s="110">
        <f t="shared" si="223"/>
        <v>0</v>
      </c>
      <c r="Z372" s="111" t="str">
        <f t="shared" si="242"/>
        <v/>
      </c>
      <c r="AA372" s="112">
        <f t="shared" si="224"/>
        <v>0</v>
      </c>
      <c r="AB372" s="67" t="str">
        <f t="shared" si="225"/>
        <v/>
      </c>
      <c r="AC372" s="193">
        <f t="shared" si="207"/>
        <v>0</v>
      </c>
      <c r="AD372" s="144" t="str">
        <f t="shared" si="208"/>
        <v/>
      </c>
      <c r="AE372" s="228">
        <f t="shared" si="234"/>
        <v>0</v>
      </c>
      <c r="AF372" s="110"/>
      <c r="AG372" s="110" t="str">
        <f t="shared" si="226"/>
        <v/>
      </c>
      <c r="AH372" s="68">
        <f t="shared" si="209"/>
        <v>0</v>
      </c>
      <c r="AI372" s="68">
        <f t="shared" si="210"/>
        <v>0</v>
      </c>
      <c r="AJ372" s="68" t="str">
        <f t="shared" si="211"/>
        <v/>
      </c>
      <c r="AK372">
        <f t="shared" si="212"/>
        <v>0</v>
      </c>
      <c r="AL372" s="122">
        <f>SUM($AD$6:AD372)</f>
        <v>0</v>
      </c>
      <c r="AM372" s="122">
        <f t="shared" ca="1" si="227"/>
        <v>0</v>
      </c>
      <c r="AN372" s="126">
        <f t="shared" si="235"/>
        <v>0</v>
      </c>
      <c r="AO372" s="126">
        <f t="shared" si="236"/>
        <v>0</v>
      </c>
      <c r="AP372" s="126">
        <f t="shared" si="237"/>
        <v>0</v>
      </c>
      <c r="AQ372" s="125" t="str">
        <f t="shared" si="228"/>
        <v/>
      </c>
      <c r="AR372" s="125" t="str">
        <f t="shared" ca="1" si="229"/>
        <v/>
      </c>
      <c r="AS372" s="135">
        <f t="shared" si="230"/>
        <v>0</v>
      </c>
      <c r="AT372" s="125">
        <f t="shared" si="231"/>
        <v>0</v>
      </c>
      <c r="AU372" t="b">
        <f>OR((F372&gt;0),(NOT(ISBLANK(H372))),SUM(H372:H$373),SUM(G372:G$373))</f>
        <v>0</v>
      </c>
      <c r="AV372" t="b">
        <f t="shared" ca="1" si="213"/>
        <v>0</v>
      </c>
      <c r="AX372" s="228">
        <f>SUM(AW$5:AW372)</f>
        <v>-2.9166666666666665</v>
      </c>
    </row>
    <row r="373" spans="1:50">
      <c r="A373" s="308" t="str">
        <f t="shared" si="232"/>
        <v/>
      </c>
      <c r="B373" s="309" t="str">
        <f t="shared" si="233"/>
        <v/>
      </c>
      <c r="C373" s="310" t="str">
        <f t="shared" si="240"/>
        <v/>
      </c>
      <c r="D373" s="311" t="str">
        <f t="shared" si="241"/>
        <v/>
      </c>
      <c r="E373" s="321" t="str">
        <f t="shared" si="251"/>
        <v/>
      </c>
      <c r="F373" s="5"/>
      <c r="G373" s="6" t="str">
        <f t="shared" si="243"/>
        <v/>
      </c>
      <c r="H373" s="7"/>
      <c r="I373" s="7">
        <f t="shared" si="244"/>
        <v>0</v>
      </c>
      <c r="J373" s="113">
        <f t="shared" si="245"/>
        <v>0</v>
      </c>
      <c r="K373" s="7"/>
      <c r="L373" s="7">
        <f t="shared" si="246"/>
        <v>0</v>
      </c>
      <c r="M373" s="113">
        <f t="shared" si="247"/>
        <v>0</v>
      </c>
      <c r="N373" s="113"/>
      <c r="O373" s="113">
        <f t="shared" si="248"/>
        <v>0</v>
      </c>
      <c r="P373" s="113"/>
      <c r="Q373" s="113">
        <f t="shared" si="249"/>
        <v>0</v>
      </c>
      <c r="R373" s="113">
        <f t="shared" si="250"/>
        <v>0</v>
      </c>
      <c r="S373" s="113">
        <f t="shared" si="238"/>
        <v>0</v>
      </c>
      <c r="T373" s="113">
        <f t="shared" si="221"/>
        <v>0</v>
      </c>
      <c r="U373" s="113">
        <f t="shared" si="239"/>
        <v>0</v>
      </c>
      <c r="V373" s="146">
        <f t="shared" si="222"/>
        <v>0</v>
      </c>
      <c r="W373" s="66"/>
      <c r="X373" s="115">
        <f t="shared" si="206"/>
        <v>3.125E-2</v>
      </c>
      <c r="Y373" s="110">
        <f t="shared" si="223"/>
        <v>0</v>
      </c>
      <c r="Z373" s="111" t="str">
        <f t="shared" si="242"/>
        <v/>
      </c>
      <c r="AA373" s="112">
        <f t="shared" si="224"/>
        <v>0</v>
      </c>
      <c r="AB373" s="67" t="str">
        <f t="shared" si="225"/>
        <v/>
      </c>
      <c r="AC373" s="193">
        <f t="shared" si="207"/>
        <v>0</v>
      </c>
      <c r="AD373" s="144" t="str">
        <f t="shared" si="208"/>
        <v/>
      </c>
      <c r="AE373" s="228">
        <f t="shared" si="234"/>
        <v>0</v>
      </c>
      <c r="AF373" s="110"/>
      <c r="AG373" s="110" t="str">
        <f t="shared" si="226"/>
        <v/>
      </c>
      <c r="AH373" s="68">
        <f t="shared" si="209"/>
        <v>0</v>
      </c>
      <c r="AI373" s="68">
        <f t="shared" si="210"/>
        <v>0</v>
      </c>
      <c r="AJ373" s="68" t="str">
        <f t="shared" si="211"/>
        <v/>
      </c>
      <c r="AK373">
        <f t="shared" si="212"/>
        <v>0</v>
      </c>
      <c r="AL373" s="122">
        <f>SUM($AD$6:AD373)</f>
        <v>0</v>
      </c>
      <c r="AM373" s="122">
        <f t="shared" ca="1" si="227"/>
        <v>0</v>
      </c>
      <c r="AN373" s="126">
        <f t="shared" si="235"/>
        <v>0</v>
      </c>
      <c r="AO373" s="126">
        <f t="shared" si="236"/>
        <v>0</v>
      </c>
      <c r="AP373" s="126">
        <f t="shared" si="237"/>
        <v>0</v>
      </c>
      <c r="AQ373" s="125" t="str">
        <f t="shared" si="228"/>
        <v/>
      </c>
      <c r="AR373" s="125" t="str">
        <f t="shared" ca="1" si="229"/>
        <v/>
      </c>
      <c r="AS373" s="135">
        <f t="shared" si="230"/>
        <v>0</v>
      </c>
      <c r="AT373" s="125">
        <f t="shared" si="231"/>
        <v>0</v>
      </c>
      <c r="AU373" t="b">
        <f>OR((F373&gt;0),(NOT(ISBLANK(H373))),SUM(H373:H$373),SUM(G373:G$373))</f>
        <v>0</v>
      </c>
      <c r="AV373" t="b">
        <f t="shared" ca="1" si="213"/>
        <v>0</v>
      </c>
      <c r="AX373" s="228">
        <f>SUM(AW$5:AW373)</f>
        <v>-2.9166666666666665</v>
      </c>
    </row>
    <row r="374" spans="1:50" s="1" customFormat="1" ht="12.75" customHeight="1">
      <c r="A374" s="8"/>
      <c r="B374" s="8"/>
      <c r="C374" s="8"/>
      <c r="D374" s="9"/>
      <c r="E374" s="627">
        <f>SUBTOTAL(3,F6:F373)</f>
        <v>0</v>
      </c>
      <c r="F374" s="627"/>
      <c r="G374" s="8"/>
      <c r="H374" s="322" t="s">
        <v>43</v>
      </c>
      <c r="I374" s="322"/>
      <c r="J374" s="323"/>
      <c r="K374" s="323"/>
      <c r="L374" s="323"/>
      <c r="M374" s="323"/>
      <c r="N374" s="323"/>
      <c r="O374" s="323"/>
      <c r="P374" s="323"/>
      <c r="Q374" s="323"/>
      <c r="R374" s="323"/>
      <c r="S374" s="323"/>
      <c r="T374" s="323"/>
      <c r="U374" s="323"/>
      <c r="V374" s="324">
        <f>SUBTOTAL(9,V6:V373)</f>
        <v>0</v>
      </c>
      <c r="W374" s="325"/>
      <c r="X374" s="318"/>
      <c r="Y374" s="324">
        <f>SUBTOTAL(9,Y6:Y373)</f>
        <v>0</v>
      </c>
      <c r="Z374" s="319"/>
      <c r="AA374" s="326">
        <f>SUBTOTAL(9,AA6:AA373)</f>
        <v>0</v>
      </c>
      <c r="AB374" s="325"/>
      <c r="AC374" s="320"/>
      <c r="AD374" s="491">
        <f>SUBTOTAL(9,AD6:AD373)</f>
        <v>0</v>
      </c>
      <c r="AE374"/>
      <c r="AF374" s="324">
        <f>SUBTOTAL(9,AF6:AF373)</f>
        <v>0</v>
      </c>
      <c r="AG374" s="324">
        <f>SUBTOTAL(9,AG6:AG373)</f>
        <v>0</v>
      </c>
      <c r="AN374" s="8">
        <f>SUBTOTAL(9,AN6:AN373)</f>
        <v>0</v>
      </c>
      <c r="AO374" s="8">
        <f>SUBTOTAL(9,AO6:AO373)</f>
        <v>0</v>
      </c>
      <c r="AP374" s="8">
        <f>SUBTOTAL(9,AP6:AP373)</f>
        <v>0</v>
      </c>
    </row>
    <row r="375" spans="1:50" ht="9.9499999999999993" customHeight="1">
      <c r="A375" s="8"/>
      <c r="B375" s="8"/>
      <c r="C375" s="8"/>
      <c r="D375" s="9"/>
      <c r="E375" s="316"/>
      <c r="G375" s="8"/>
      <c r="H375" s="8"/>
      <c r="I375" s="8"/>
      <c r="J375" s="8"/>
      <c r="K375" s="8"/>
      <c r="L375" s="8"/>
      <c r="M375" s="10"/>
      <c r="N375" s="10"/>
      <c r="O375" s="10"/>
      <c r="P375" s="10"/>
      <c r="Q375" s="10"/>
      <c r="R375" s="10"/>
      <c r="S375" s="616"/>
      <c r="T375" s="10"/>
      <c r="U375" s="10"/>
      <c r="V375" s="10"/>
      <c r="X375" s="10"/>
      <c r="Z375" s="123"/>
      <c r="AA375" s="11"/>
      <c r="AB375" s="1"/>
      <c r="AC375" s="12"/>
      <c r="AF375" s="10"/>
      <c r="AG375" s="10"/>
    </row>
    <row r="376" spans="1:50" ht="11.25" customHeight="1">
      <c r="A376" s="337" t="s">
        <v>27</v>
      </c>
      <c r="B376" s="338"/>
      <c r="C376" s="338"/>
      <c r="D376" s="339"/>
      <c r="E376" s="316"/>
      <c r="G376" s="8"/>
      <c r="H376" s="337" t="s">
        <v>31</v>
      </c>
      <c r="I376" s="337"/>
      <c r="J376" s="340"/>
      <c r="K376" s="338"/>
      <c r="L376" s="338"/>
      <c r="M376" s="341"/>
      <c r="N376" s="341"/>
      <c r="O376" s="341"/>
      <c r="P376" s="341"/>
      <c r="Q376" s="341"/>
      <c r="R376" s="341"/>
      <c r="S376" s="341"/>
      <c r="T376" s="341"/>
      <c r="U376" s="341"/>
      <c r="V376" s="341"/>
      <c r="W376" s="340"/>
      <c r="X376" s="341"/>
      <c r="Y376" s="340"/>
      <c r="Z376" s="342"/>
      <c r="AA376" s="343"/>
      <c r="AB376" s="344"/>
      <c r="AC376" s="345"/>
      <c r="AD376" s="340"/>
      <c r="AF376" s="10"/>
      <c r="AG376" s="10"/>
    </row>
    <row r="377" spans="1:50">
      <c r="A377" s="267">
        <f>B_Vorjahr_hhmm</f>
        <v>0</v>
      </c>
      <c r="B377" s="265" t="s">
        <v>28</v>
      </c>
      <c r="C377" s="266"/>
      <c r="D377" s="272"/>
      <c r="E377" s="316"/>
      <c r="F377" s="3"/>
      <c r="G377" s="13"/>
      <c r="H377" s="262" t="s">
        <v>110</v>
      </c>
      <c r="I377" s="601"/>
      <c r="J377" s="263"/>
      <c r="K377" s="263"/>
      <c r="L377" s="263"/>
      <c r="M377" s="264"/>
      <c r="N377" s="264"/>
      <c r="O377" s="264"/>
      <c r="P377" s="264"/>
      <c r="Q377" s="264"/>
      <c r="R377" s="264"/>
      <c r="S377" s="264"/>
      <c r="T377" s="264"/>
      <c r="U377" s="264"/>
      <c r="V377" s="15">
        <f>SUM(V6:V373)</f>
        <v>0</v>
      </c>
      <c r="W377" s="16"/>
      <c r="X377" s="1"/>
      <c r="AA377" s="252">
        <f>SUM(AA6:AA373)</f>
        <v>0</v>
      </c>
      <c r="AB377" s="14"/>
      <c r="AD377" s="17">
        <f>SUM(AD6:AD373)</f>
        <v>0</v>
      </c>
    </row>
    <row r="378" spans="1:50">
      <c r="A378" s="268">
        <f>B_UrlaubVJRest</f>
        <v>0</v>
      </c>
      <c r="B378" s="262" t="s">
        <v>111</v>
      </c>
      <c r="C378" s="266"/>
      <c r="D378" s="271"/>
      <c r="G378" s="18"/>
      <c r="H378" s="265" t="s">
        <v>112</v>
      </c>
      <c r="I378" s="266"/>
      <c r="J378" s="266"/>
      <c r="K378" s="266"/>
      <c r="L378" s="266"/>
      <c r="M378" s="263"/>
      <c r="N378" s="486"/>
      <c r="O378" s="486"/>
      <c r="P378" s="486"/>
      <c r="Q378" s="486"/>
      <c r="R378" s="486"/>
      <c r="S378" s="486"/>
      <c r="T378" s="486"/>
      <c r="U378" s="486"/>
      <c r="V378" s="255">
        <f>SUM(Y6:Y373)</f>
        <v>0</v>
      </c>
      <c r="W378" s="256"/>
      <c r="X378" s="1"/>
    </row>
    <row r="379" spans="1:50">
      <c r="A379" s="337"/>
      <c r="B379" s="337"/>
      <c r="C379" s="337"/>
      <c r="D379" s="337"/>
      <c r="E379" s="316"/>
      <c r="F379" s="3"/>
      <c r="G379" s="18"/>
      <c r="H379" s="262" t="s">
        <v>34</v>
      </c>
      <c r="I379" s="601"/>
      <c r="J379" s="266"/>
      <c r="K379" s="266"/>
      <c r="L379" s="266"/>
      <c r="M379" s="264"/>
      <c r="N379" s="264"/>
      <c r="O379" s="264"/>
      <c r="P379" s="264"/>
      <c r="Q379" s="264"/>
      <c r="R379" s="264"/>
      <c r="S379" s="264"/>
      <c r="T379" s="264"/>
      <c r="U379" s="264"/>
      <c r="V379" s="328">
        <f>SUM(AF5:AF373)</f>
        <v>0</v>
      </c>
      <c r="W379" s="259"/>
    </row>
    <row r="380" spans="1:50">
      <c r="A380" s="268">
        <f>COUNTIF(F6:F373,Krank)-COUNTIF(F6:F373,"J")</f>
        <v>0</v>
      </c>
      <c r="B380" s="265" t="s">
        <v>32</v>
      </c>
      <c r="C380" s="270"/>
      <c r="D380" s="271"/>
      <c r="E380" s="316"/>
      <c r="F380" s="3"/>
      <c r="G380" s="18"/>
      <c r="H380" s="265" t="s">
        <v>21</v>
      </c>
      <c r="I380" s="266"/>
      <c r="J380" s="266"/>
      <c r="K380" s="266"/>
      <c r="L380" s="266"/>
      <c r="M380" s="264"/>
      <c r="N380" s="487"/>
      <c r="O380" s="487"/>
      <c r="P380" s="487"/>
      <c r="Q380" s="487"/>
      <c r="R380" s="487"/>
      <c r="S380" s="487"/>
      <c r="T380" s="487"/>
      <c r="U380" s="487"/>
      <c r="V380" s="257">
        <f>xVorjahrSaldo+V377-V378-V379</f>
        <v>0</v>
      </c>
      <c r="W380" s="258" t="str">
        <f>IF(V380&lt;0,"*","")</f>
        <v/>
      </c>
      <c r="Y380" s="624">
        <f>V380/B_WorkTime</f>
        <v>0</v>
      </c>
      <c r="Z380" s="625"/>
      <c r="AA380" s="626"/>
    </row>
    <row r="381" spans="1:50">
      <c r="A381" s="268">
        <f>(FREQUENCY(G6:G373,0)-FREQUENCY(G6:G373,-1))+(FREQUENCY(G6:G373,83)-FREQUENCY(G6:G373,82))</f>
        <v>0</v>
      </c>
      <c r="B381" s="262" t="s">
        <v>29</v>
      </c>
      <c r="C381" s="270"/>
      <c r="D381" s="271"/>
      <c r="G381" s="19"/>
      <c r="H381" s="265" t="s">
        <v>33</v>
      </c>
      <c r="I381" s="266"/>
      <c r="J381" s="266"/>
      <c r="K381" s="266"/>
      <c r="L381" s="266"/>
      <c r="M381" s="263"/>
      <c r="N381" s="486"/>
      <c r="O381" s="486"/>
      <c r="P381" s="486"/>
      <c r="Q381" s="486"/>
      <c r="R381" s="486"/>
      <c r="S381" s="486"/>
      <c r="T381" s="486"/>
      <c r="U381" s="486"/>
      <c r="V381" s="260">
        <f>COUNTIF(F6:F373,Urlaub)-COUNTIF(F6:F373,"T")</f>
        <v>0</v>
      </c>
      <c r="W381" s="16"/>
      <c r="X381" s="251"/>
      <c r="AA381" s="48"/>
    </row>
    <row r="382" spans="1:50">
      <c r="A382" s="269">
        <f>IF(AND(V377&gt;0,A381&gt;0),V377 / A381,0)</f>
        <v>0</v>
      </c>
      <c r="B382" s="262" t="s">
        <v>30</v>
      </c>
      <c r="C382" s="270"/>
      <c r="D382" s="271"/>
      <c r="F382" s="3"/>
      <c r="H382" s="262" t="s">
        <v>114</v>
      </c>
      <c r="I382" s="601"/>
      <c r="J382" s="263"/>
      <c r="K382" s="263"/>
      <c r="L382" s="263"/>
      <c r="M382" s="488"/>
      <c r="N382" s="488"/>
      <c r="O382" s="488"/>
      <c r="P382" s="488"/>
      <c r="Q382" s="488"/>
      <c r="R382" s="488"/>
      <c r="S382" s="488"/>
      <c r="T382" s="488"/>
      <c r="U382" s="488"/>
      <c r="V382" s="253">
        <f>A378+B_UrlaubNeu-V381</f>
        <v>30</v>
      </c>
      <c r="W382" s="254"/>
      <c r="X382" s="8"/>
      <c r="AA382" s="21"/>
      <c r="AC382" s="8"/>
    </row>
    <row r="383" spans="1:50">
      <c r="A383" s="558">
        <f>SUMIF($AK$6:$AK$373,6,$AN$6:$AN$373)</f>
        <v>0</v>
      </c>
      <c r="B383" s="262" t="s">
        <v>82</v>
      </c>
      <c r="C383" s="270"/>
      <c r="D383" s="271"/>
      <c r="H383" s="262" t="s">
        <v>81</v>
      </c>
      <c r="I383" s="601"/>
      <c r="J383" s="263"/>
      <c r="K383" s="263"/>
      <c r="L383" s="263"/>
      <c r="M383" s="488"/>
      <c r="N383" s="488"/>
      <c r="O383" s="488"/>
      <c r="P383" s="488"/>
      <c r="Q383" s="488"/>
      <c r="R383" s="488"/>
      <c r="S383" s="488"/>
      <c r="T383" s="488"/>
      <c r="U383" s="488"/>
      <c r="V383" s="253">
        <f>COUNTIF(F6:F375,Gleittag)</f>
        <v>0</v>
      </c>
      <c r="W383" s="254"/>
      <c r="AD383" s="22"/>
    </row>
    <row r="384" spans="1:50">
      <c r="A384" s="558">
        <f>SUMIF($AK$6:$AK$373,7,$AN$6:$AN$373)</f>
        <v>0</v>
      </c>
      <c r="B384" s="262" t="s">
        <v>83</v>
      </c>
      <c r="C384" s="270"/>
      <c r="D384" s="271"/>
      <c r="J384" s="20"/>
    </row>
    <row r="385" spans="1:4">
      <c r="A385" s="558">
        <f>SUMIF($AK$6:$AK$373,8,$AN$6:$AN$373)</f>
        <v>0</v>
      </c>
      <c r="B385" s="262" t="s">
        <v>3</v>
      </c>
      <c r="C385" s="270"/>
      <c r="D385" s="271"/>
    </row>
  </sheetData>
  <autoFilter ref="B4:AX373" xr:uid="{B27BE5D9-EE32-49C3-A3EB-B7E92B4635B6}"/>
  <mergeCells count="3">
    <mergeCell ref="C3:D3"/>
    <mergeCell ref="Y380:AA380"/>
    <mergeCell ref="E374:F374"/>
  </mergeCells>
  <phoneticPr fontId="0" type="noConversion"/>
  <conditionalFormatting sqref="E5:I5 AC5:AE5 K5:L5 N5:O5 R5:AA5">
    <cfRule type="expression" dxfId="27" priority="66" stopIfTrue="1">
      <formula>INDIRECT(ADDRESS(ROW(),COLUMN(xDay)))&gt;5</formula>
    </cfRule>
  </conditionalFormatting>
  <conditionalFormatting sqref="AB5">
    <cfRule type="expression" dxfId="26" priority="67" stopIfTrue="1">
      <formula>INDIRECT(ADDRESS(ROW(),COLUMN(xDay)))&gt;5</formula>
    </cfRule>
    <cfRule type="cellIs" dxfId="25" priority="68" stopIfTrue="1" operator="lessThan">
      <formula>0</formula>
    </cfRule>
  </conditionalFormatting>
  <conditionalFormatting sqref="AA377">
    <cfRule type="cellIs" dxfId="24" priority="69" stopIfTrue="1" operator="lessThan">
      <formula>0</formula>
    </cfRule>
  </conditionalFormatting>
  <conditionalFormatting sqref="AH6:AT373">
    <cfRule type="expression" dxfId="23" priority="70" stopIfTrue="1">
      <formula>INDIRECT(ADDRESS(ROW(),COLUMN(xDay)))&gt;5</formula>
    </cfRule>
  </conditionalFormatting>
  <conditionalFormatting sqref="Q6:AD373 AF6:AG373 A6:O373">
    <cfRule type="expression" dxfId="22" priority="71" stopIfTrue="1">
      <formula>INDIRECT(ADDRESS(ROW(),COLUMN(xDay)))&gt;5</formula>
    </cfRule>
  </conditionalFormatting>
  <conditionalFormatting sqref="AE6:AE373">
    <cfRule type="expression" dxfId="21" priority="72" stopIfTrue="1">
      <formula>INDIRECT(ADDRESS(ROW(),COLUMN(xDay)))&gt;5</formula>
    </cfRule>
  </conditionalFormatting>
  <conditionalFormatting sqref="C12">
    <cfRule type="expression" dxfId="20" priority="65" stopIfTrue="1">
      <formula>INDIRECT(ADDRESS(ROW(),COLUMN(xDay)))&gt;5</formula>
    </cfRule>
  </conditionalFormatting>
  <conditionalFormatting sqref="J5">
    <cfRule type="expression" dxfId="19" priority="64" stopIfTrue="1">
      <formula>INDIRECT(ADDRESS(ROW(),COLUMN(xDay)))&gt;5</formula>
    </cfRule>
  </conditionalFormatting>
  <conditionalFormatting sqref="M5">
    <cfRule type="expression" dxfId="18" priority="63" stopIfTrue="1">
      <formula>INDIRECT(ADDRESS(ROW(),COLUMN(xDay)))&gt;5</formula>
    </cfRule>
  </conditionalFormatting>
  <conditionalFormatting sqref="Q5">
    <cfRule type="expression" dxfId="17" priority="62" stopIfTrue="1">
      <formula>INDIRECT(ADDRESS(ROW(),COLUMN(xDay)))&gt;5</formula>
    </cfRule>
  </conditionalFormatting>
  <conditionalFormatting sqref="P5">
    <cfRule type="expression" dxfId="16" priority="60" stopIfTrue="1">
      <formula>INDIRECT(ADDRESS(ROW(),COLUMN(xDay)))&gt;5</formula>
    </cfRule>
  </conditionalFormatting>
  <conditionalFormatting sqref="P6:P373">
    <cfRule type="expression" dxfId="15" priority="61" stopIfTrue="1">
      <formula>INDIRECT(ADDRESS(ROW(),COLUMN(xDay)))&gt;5</formula>
    </cfRule>
  </conditionalFormatting>
  <conditionalFormatting sqref="Y6:Y373 AA6:AA373 AE6:AE373">
    <cfRule type="expression" dxfId="14" priority="15">
      <formula>AND(ISBLANK($F6),ISBLANK($H6),NOT($AV6))</formula>
    </cfRule>
    <cfRule type="expression" dxfId="13" priority="16">
      <formula>AND(ISBLANK($F6),ISBLANK($H6),($AV6))</formula>
    </cfRule>
    <cfRule type="expression" dxfId="12" priority="17">
      <formula>AND(ISBLANK($F6),ISBLANK($H6),($AV6))</formula>
    </cfRule>
    <cfRule type="expression" dxfId="11" priority="18">
      <formula>AND(ISBLANK($F6),ISBLANK($H6),NOT($AV6))</formula>
    </cfRule>
  </conditionalFormatting>
  <conditionalFormatting sqref="L6:L373">
    <cfRule type="expression" dxfId="10" priority="13">
      <formula>AND(ISBLANK($K6),($AV6))</formula>
    </cfRule>
    <cfRule type="expression" dxfId="9" priority="14">
      <formula>AND(ISBLANK($K6),NOT($AV6))</formula>
    </cfRule>
  </conditionalFormatting>
  <conditionalFormatting sqref="I6:I373">
    <cfRule type="expression" dxfId="8" priority="41">
      <formula>AND(ISBLANK($H6),($AV6))</formula>
    </cfRule>
    <cfRule type="expression" dxfId="7" priority="42">
      <formula>AND(ISBLANK($H6),NOT($AV6))</formula>
    </cfRule>
  </conditionalFormatting>
  <conditionalFormatting sqref="AX6:AX373">
    <cfRule type="expression" dxfId="6" priority="9" stopIfTrue="1">
      <formula>INDIRECT(ADDRESS(ROW(),COLUMN(xDay)))&gt;5</formula>
    </cfRule>
  </conditionalFormatting>
  <conditionalFormatting sqref="AX6:AX373">
    <cfRule type="expression" dxfId="5" priority="4">
      <formula>AND(ISBLANK($F6),ISBLANK($H6),NOT($AV6))</formula>
    </cfRule>
    <cfRule type="expression" dxfId="4" priority="5">
      <formula>AND(ISBLANK($F6),ISBLANK($H6),($AV6))</formula>
    </cfRule>
    <cfRule type="expression" dxfId="3" priority="6">
      <formula>AND(ISBLANK($F6),ISBLANK($H6),($AV6))</formula>
    </cfRule>
    <cfRule type="expression" dxfId="2" priority="7">
      <formula>AND(ISBLANK($F6),ISBLANK($H6),NOT($AV6))</formula>
    </cfRule>
  </conditionalFormatting>
  <conditionalFormatting sqref="AF5:AX5">
    <cfRule type="expression" dxfId="1" priority="3" stopIfTrue="1">
      <formula>INDIRECT(ADDRESS(ROW(),COLUMN(xDay)))&gt;5</formula>
    </cfRule>
  </conditionalFormatting>
  <conditionalFormatting sqref="V6:V373">
    <cfRule type="expression" dxfId="0" priority="1">
      <formula>B_MarkIstueberlauf&lt;V6</formula>
    </cfRule>
  </conditionalFormatting>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baseColWidth="10" defaultColWidth="11.5703125" defaultRowHeight="12.75"/>
  <cols>
    <col min="1" max="1" width="7" customWidth="1"/>
    <col min="2" max="2" width="14.5703125" style="188" customWidth="1"/>
    <col min="3" max="3" width="3.85546875" style="188" customWidth="1"/>
    <col min="4" max="5" width="11.42578125" style="189" customWidth="1"/>
  </cols>
  <sheetData>
    <row r="1" spans="2:7" ht="18.75" customHeight="1">
      <c r="B1" s="438" t="str">
        <f>Einstellungen!B3</f>
        <v>Name:</v>
      </c>
      <c r="C1" s="188" t="str">
        <f>B_PersonName</f>
        <v>Mustermann</v>
      </c>
      <c r="D1" s="439"/>
      <c r="F1" s="440" t="str">
        <f>Einstellungen!B4</f>
        <v>Abteilung:</v>
      </c>
      <c r="G1" s="192" t="str">
        <f>B_Department</f>
        <v>Siemens</v>
      </c>
    </row>
    <row r="4" spans="2:7">
      <c r="B4" s="188" t="str">
        <f>Arbeitszeit!AE4</f>
        <v>Saldo</v>
      </c>
      <c r="D4" s="188" t="str">
        <f>Arbeitszeit!AL4</f>
        <v>sum &gt; 10 Std</v>
      </c>
    </row>
    <row r="5" spans="2:7">
      <c r="B5" s="497">
        <f>Arbeitszeit!AE5</f>
        <v>0</v>
      </c>
      <c r="D5" s="189">
        <f>Arbeitszeit!AL8</f>
        <v>0</v>
      </c>
    </row>
    <row r="6" spans="2:7">
      <c r="B6" s="497">
        <f>B5+Arbeitszeit!AA6-Arbeitszeit!AF6</f>
        <v>0</v>
      </c>
      <c r="D6" s="188">
        <f t="shared" ref="D6:D69" si="0">db_jSumOverMax</f>
        <v>0</v>
      </c>
    </row>
    <row r="7" spans="2:7">
      <c r="B7" s="497">
        <f>B6+Arbeitszeit!AA7-Arbeitszeit!AF7</f>
        <v>0</v>
      </c>
      <c r="D7" s="188">
        <f t="shared" si="0"/>
        <v>0</v>
      </c>
    </row>
    <row r="8" spans="2:7">
      <c r="B8" s="497">
        <f>B7+Arbeitszeit!AA8-Arbeitszeit!AF8</f>
        <v>0</v>
      </c>
      <c r="D8" s="188">
        <f t="shared" si="0"/>
        <v>0</v>
      </c>
    </row>
    <row r="9" spans="2:7">
      <c r="B9" s="497">
        <f>B8+Arbeitszeit!AA9-Arbeitszeit!AF9</f>
        <v>0</v>
      </c>
      <c r="D9" s="188">
        <f t="shared" si="0"/>
        <v>0</v>
      </c>
    </row>
    <row r="10" spans="2:7">
      <c r="B10" s="497">
        <f>B9+Arbeitszeit!AA10-Arbeitszeit!AF10</f>
        <v>0</v>
      </c>
      <c r="D10" s="188">
        <f t="shared" si="0"/>
        <v>0</v>
      </c>
    </row>
    <row r="11" spans="2:7">
      <c r="B11" s="497">
        <f>B10+Arbeitszeit!AA11-Arbeitszeit!AF11</f>
        <v>0</v>
      </c>
      <c r="D11" s="188">
        <f t="shared" si="0"/>
        <v>0</v>
      </c>
    </row>
    <row r="12" spans="2:7">
      <c r="B12" s="497">
        <f>B11+Arbeitszeit!AA12-Arbeitszeit!AF12</f>
        <v>0</v>
      </c>
      <c r="D12" s="188">
        <f t="shared" si="0"/>
        <v>0</v>
      </c>
    </row>
    <row r="13" spans="2:7">
      <c r="B13" s="497">
        <f>B12+Arbeitszeit!AA13-Arbeitszeit!AF13</f>
        <v>0</v>
      </c>
      <c r="D13" s="188">
        <f t="shared" si="0"/>
        <v>0</v>
      </c>
    </row>
    <row r="14" spans="2:7">
      <c r="B14" s="497">
        <f>B13+Arbeitszeit!AA14-Arbeitszeit!AF14</f>
        <v>0</v>
      </c>
      <c r="D14" s="188">
        <f t="shared" si="0"/>
        <v>0</v>
      </c>
    </row>
    <row r="15" spans="2:7">
      <c r="B15" s="497">
        <f>B14+Arbeitszeit!AA15-Arbeitszeit!AF15</f>
        <v>0</v>
      </c>
      <c r="D15" s="188">
        <f t="shared" si="0"/>
        <v>0</v>
      </c>
    </row>
    <row r="16" spans="2:7">
      <c r="B16" s="497">
        <f>B15+Arbeitszeit!AA16-Arbeitszeit!AF16</f>
        <v>0</v>
      </c>
      <c r="D16" s="188">
        <f t="shared" si="0"/>
        <v>0</v>
      </c>
    </row>
    <row r="17" spans="2:11">
      <c r="B17" s="497">
        <f>B16+Arbeitszeit!AA17-Arbeitszeit!AF17</f>
        <v>0</v>
      </c>
      <c r="D17" s="188">
        <f t="shared" si="0"/>
        <v>0</v>
      </c>
    </row>
    <row r="18" spans="2:11">
      <c r="B18" s="497">
        <f>B17+Arbeitszeit!AA18-Arbeitszeit!AF18</f>
        <v>0</v>
      </c>
      <c r="D18" s="188">
        <f t="shared" si="0"/>
        <v>0</v>
      </c>
    </row>
    <row r="19" spans="2:11">
      <c r="B19" s="497">
        <f>B18+Arbeitszeit!AA19-Arbeitszeit!AF19</f>
        <v>0</v>
      </c>
      <c r="D19" s="188">
        <f t="shared" si="0"/>
        <v>0</v>
      </c>
      <c r="J19" s="68">
        <v>0.58333333333333337</v>
      </c>
      <c r="K19" s="511">
        <v>0.6875</v>
      </c>
    </row>
    <row r="20" spans="2:11">
      <c r="B20" s="497">
        <f>B19+Arbeitszeit!AA20-Arbeitszeit!AF20</f>
        <v>0</v>
      </c>
      <c r="D20" s="188">
        <f t="shared" si="0"/>
        <v>0</v>
      </c>
    </row>
    <row r="21" spans="2:11">
      <c r="B21" s="497">
        <f>B20+Arbeitszeit!AA21-Arbeitszeit!AF21</f>
        <v>0</v>
      </c>
      <c r="D21" s="188">
        <f t="shared" si="0"/>
        <v>0</v>
      </c>
    </row>
    <row r="22" spans="2:11">
      <c r="B22" s="497">
        <f>B21+Arbeitszeit!AA22-Arbeitszeit!AF22</f>
        <v>0</v>
      </c>
      <c r="D22" s="188">
        <f t="shared" si="0"/>
        <v>0</v>
      </c>
    </row>
    <row r="23" spans="2:11">
      <c r="B23" s="497">
        <f>B22+Arbeitszeit!AA23-Arbeitszeit!AF23</f>
        <v>0</v>
      </c>
      <c r="D23" s="188">
        <f t="shared" si="0"/>
        <v>0</v>
      </c>
    </row>
    <row r="24" spans="2:11">
      <c r="B24" s="497">
        <f>B23+Arbeitszeit!AA24-Arbeitszeit!AF24</f>
        <v>0</v>
      </c>
      <c r="D24" s="188">
        <f t="shared" si="0"/>
        <v>0</v>
      </c>
    </row>
    <row r="25" spans="2:11">
      <c r="B25" s="497">
        <f>B24+Arbeitszeit!AA25-Arbeitszeit!AF25</f>
        <v>0</v>
      </c>
      <c r="D25" s="188">
        <f t="shared" si="0"/>
        <v>0</v>
      </c>
    </row>
    <row r="26" spans="2:11">
      <c r="B26" s="497">
        <f>B25+Arbeitszeit!AA26-Arbeitszeit!AF26</f>
        <v>0</v>
      </c>
      <c r="D26" s="188">
        <f t="shared" si="0"/>
        <v>0</v>
      </c>
    </row>
    <row r="27" spans="2:11">
      <c r="B27" s="497">
        <f>B26+Arbeitszeit!AA27-Arbeitszeit!AF27</f>
        <v>0</v>
      </c>
      <c r="D27" s="188">
        <f t="shared" si="0"/>
        <v>0</v>
      </c>
    </row>
    <row r="28" spans="2:11">
      <c r="B28" s="497">
        <f>B27+Arbeitszeit!AA28-Arbeitszeit!AF28</f>
        <v>0</v>
      </c>
      <c r="D28" s="188">
        <f t="shared" si="0"/>
        <v>0</v>
      </c>
    </row>
    <row r="29" spans="2:11">
      <c r="B29" s="497">
        <f>B28+Arbeitszeit!AA29-Arbeitszeit!AF29</f>
        <v>0</v>
      </c>
      <c r="D29" s="188">
        <f t="shared" si="0"/>
        <v>0</v>
      </c>
    </row>
    <row r="30" spans="2:11">
      <c r="B30" s="497">
        <f>B29+Arbeitszeit!AA30-Arbeitszeit!AF30</f>
        <v>0</v>
      </c>
      <c r="D30" s="188">
        <f t="shared" si="0"/>
        <v>0</v>
      </c>
    </row>
    <row r="31" spans="2:11">
      <c r="B31" s="497">
        <f>B30+Arbeitszeit!AA31-Arbeitszeit!AF31</f>
        <v>0</v>
      </c>
      <c r="D31" s="188">
        <f t="shared" si="0"/>
        <v>0</v>
      </c>
    </row>
    <row r="32" spans="2:11">
      <c r="B32" s="497">
        <f>B31+Arbeitszeit!AA32-Arbeitszeit!AF32</f>
        <v>0</v>
      </c>
      <c r="D32" s="188">
        <f t="shared" si="0"/>
        <v>0</v>
      </c>
    </row>
    <row r="33" spans="2:4">
      <c r="B33" s="497">
        <f>B32+Arbeitszeit!AA33-Arbeitszeit!AF33</f>
        <v>0</v>
      </c>
      <c r="D33" s="188">
        <f t="shared" si="0"/>
        <v>0</v>
      </c>
    </row>
    <row r="34" spans="2:4">
      <c r="B34" s="497">
        <f>B33+Arbeitszeit!AA34-Arbeitszeit!AF34</f>
        <v>0</v>
      </c>
      <c r="D34" s="188">
        <f t="shared" si="0"/>
        <v>0</v>
      </c>
    </row>
    <row r="35" spans="2:4">
      <c r="B35" s="497">
        <f>B34+Arbeitszeit!AA35-Arbeitszeit!AF35</f>
        <v>0</v>
      </c>
      <c r="D35" s="188">
        <f t="shared" si="0"/>
        <v>0</v>
      </c>
    </row>
    <row r="36" spans="2:4">
      <c r="B36" s="497">
        <f>B35+Arbeitszeit!AA36-Arbeitszeit!AF36</f>
        <v>0</v>
      </c>
      <c r="D36" s="188">
        <f t="shared" si="0"/>
        <v>0</v>
      </c>
    </row>
    <row r="37" spans="2:4">
      <c r="B37" s="497">
        <f>B36+Arbeitszeit!AA37-Arbeitszeit!AF37</f>
        <v>0</v>
      </c>
      <c r="D37" s="188">
        <f t="shared" si="0"/>
        <v>0</v>
      </c>
    </row>
    <row r="38" spans="2:4">
      <c r="B38" s="497">
        <f>B37+Arbeitszeit!AA38-Arbeitszeit!AF38</f>
        <v>0</v>
      </c>
      <c r="D38" s="188">
        <f t="shared" si="0"/>
        <v>0</v>
      </c>
    </row>
    <row r="39" spans="2:4">
      <c r="B39" s="497">
        <f>B38+Arbeitszeit!AA39-Arbeitszeit!AF39</f>
        <v>0</v>
      </c>
      <c r="D39" s="188">
        <f t="shared" si="0"/>
        <v>0</v>
      </c>
    </row>
    <row r="40" spans="2:4">
      <c r="B40" s="497">
        <f>B39+Arbeitszeit!AA40-Arbeitszeit!AF40</f>
        <v>0</v>
      </c>
      <c r="D40" s="188">
        <f t="shared" si="0"/>
        <v>0</v>
      </c>
    </row>
    <row r="41" spans="2:4">
      <c r="B41" s="497">
        <f>B40+Arbeitszeit!AA41-Arbeitszeit!AF41</f>
        <v>0</v>
      </c>
      <c r="D41" s="188">
        <f t="shared" si="0"/>
        <v>0</v>
      </c>
    </row>
    <row r="42" spans="2:4">
      <c r="B42" s="497">
        <f>B41+Arbeitszeit!AA42-Arbeitszeit!AF42</f>
        <v>0</v>
      </c>
      <c r="D42" s="188">
        <f t="shared" si="0"/>
        <v>0</v>
      </c>
    </row>
    <row r="43" spans="2:4">
      <c r="B43" s="497">
        <f>B42+Arbeitszeit!AA43-Arbeitszeit!AF43</f>
        <v>0</v>
      </c>
      <c r="D43" s="188">
        <f t="shared" si="0"/>
        <v>0</v>
      </c>
    </row>
    <row r="44" spans="2:4">
      <c r="B44" s="497">
        <f>B43+Arbeitszeit!AA44-Arbeitszeit!AF44</f>
        <v>0</v>
      </c>
      <c r="D44" s="188">
        <f t="shared" si="0"/>
        <v>0</v>
      </c>
    </row>
    <row r="45" spans="2:4">
      <c r="B45" s="497">
        <f>B44+Arbeitszeit!AA45-Arbeitszeit!AF45</f>
        <v>0</v>
      </c>
      <c r="D45" s="188">
        <f t="shared" si="0"/>
        <v>0</v>
      </c>
    </row>
    <row r="46" spans="2:4">
      <c r="B46" s="497">
        <f>B45+Arbeitszeit!AA46-Arbeitszeit!AF46</f>
        <v>0</v>
      </c>
      <c r="D46" s="188">
        <f t="shared" si="0"/>
        <v>0</v>
      </c>
    </row>
    <row r="47" spans="2:4">
      <c r="B47" s="497">
        <f>B46+Arbeitszeit!AA47-Arbeitszeit!AF47</f>
        <v>0</v>
      </c>
      <c r="D47" s="188">
        <f t="shared" si="0"/>
        <v>0</v>
      </c>
    </row>
    <row r="48" spans="2:4">
      <c r="B48" s="497">
        <f>B47+Arbeitszeit!AA48-Arbeitszeit!AF48</f>
        <v>0</v>
      </c>
      <c r="D48" s="188">
        <f t="shared" si="0"/>
        <v>0</v>
      </c>
    </row>
    <row r="49" spans="2:4">
      <c r="B49" s="497">
        <f>B48+Arbeitszeit!AA49-Arbeitszeit!AF49</f>
        <v>0</v>
      </c>
      <c r="D49" s="188">
        <f t="shared" si="0"/>
        <v>0</v>
      </c>
    </row>
    <row r="50" spans="2:4">
      <c r="B50" s="497">
        <f>B49+Arbeitszeit!AA50-Arbeitszeit!AF50</f>
        <v>0</v>
      </c>
      <c r="D50" s="188">
        <f t="shared" si="0"/>
        <v>0</v>
      </c>
    </row>
    <row r="51" spans="2:4">
      <c r="B51" s="497">
        <f>B50+Arbeitszeit!AA51-Arbeitszeit!AF51</f>
        <v>0</v>
      </c>
      <c r="D51" s="188">
        <f t="shared" si="0"/>
        <v>0</v>
      </c>
    </row>
    <row r="52" spans="2:4">
      <c r="B52" s="497">
        <f>B51+Arbeitszeit!AA52-Arbeitszeit!AF52</f>
        <v>0</v>
      </c>
      <c r="D52" s="188">
        <f t="shared" si="0"/>
        <v>0</v>
      </c>
    </row>
    <row r="53" spans="2:4">
      <c r="B53" s="497">
        <f>B52+Arbeitszeit!AA53-Arbeitszeit!AF53</f>
        <v>0</v>
      </c>
      <c r="D53" s="188">
        <f t="shared" si="0"/>
        <v>0</v>
      </c>
    </row>
    <row r="54" spans="2:4">
      <c r="B54" s="497">
        <f>B53+Arbeitszeit!AA54-Arbeitszeit!AF54</f>
        <v>0</v>
      </c>
      <c r="D54" s="188">
        <f t="shared" si="0"/>
        <v>0</v>
      </c>
    </row>
    <row r="55" spans="2:4">
      <c r="B55" s="497">
        <f>B54+Arbeitszeit!AA55-Arbeitszeit!AF55</f>
        <v>0</v>
      </c>
      <c r="D55" s="188">
        <f t="shared" si="0"/>
        <v>0</v>
      </c>
    </row>
    <row r="56" spans="2:4">
      <c r="B56" s="497">
        <f>B55+Arbeitszeit!AA56-Arbeitszeit!AF56</f>
        <v>0</v>
      </c>
      <c r="D56" s="188">
        <f t="shared" si="0"/>
        <v>0</v>
      </c>
    </row>
    <row r="57" spans="2:4">
      <c r="B57" s="497">
        <f>B56+Arbeitszeit!AA57-Arbeitszeit!AF57</f>
        <v>0</v>
      </c>
      <c r="D57" s="188">
        <f t="shared" si="0"/>
        <v>0</v>
      </c>
    </row>
    <row r="58" spans="2:4">
      <c r="B58" s="497">
        <f>B57+Arbeitszeit!AA58-Arbeitszeit!AF58</f>
        <v>0</v>
      </c>
      <c r="D58" s="188">
        <f t="shared" si="0"/>
        <v>0</v>
      </c>
    </row>
    <row r="59" spans="2:4">
      <c r="B59" s="497">
        <f>B58+Arbeitszeit!AA59-Arbeitszeit!AF59</f>
        <v>0</v>
      </c>
      <c r="D59" s="188">
        <f t="shared" si="0"/>
        <v>0</v>
      </c>
    </row>
    <row r="60" spans="2:4">
      <c r="B60" s="497">
        <f>B59+Arbeitszeit!AA60-Arbeitszeit!AF60</f>
        <v>0</v>
      </c>
      <c r="D60" s="188">
        <f t="shared" si="0"/>
        <v>0</v>
      </c>
    </row>
    <row r="61" spans="2:4">
      <c r="B61" s="497">
        <f>B60+Arbeitszeit!AA61-Arbeitszeit!AF61</f>
        <v>0</v>
      </c>
      <c r="D61" s="188">
        <f t="shared" si="0"/>
        <v>0</v>
      </c>
    </row>
    <row r="62" spans="2:4">
      <c r="B62" s="497">
        <f>B61+Arbeitszeit!AA62-Arbeitszeit!AF62</f>
        <v>0</v>
      </c>
      <c r="D62" s="188">
        <f t="shared" si="0"/>
        <v>0</v>
      </c>
    </row>
    <row r="63" spans="2:4">
      <c r="B63" s="497">
        <f>B62+Arbeitszeit!AA63-Arbeitszeit!AF63</f>
        <v>0</v>
      </c>
      <c r="D63" s="188">
        <f t="shared" si="0"/>
        <v>0</v>
      </c>
    </row>
    <row r="64" spans="2:4">
      <c r="B64" s="497">
        <f>B63+Arbeitszeit!AA64-Arbeitszeit!AF64</f>
        <v>0</v>
      </c>
      <c r="D64" s="188">
        <f t="shared" si="0"/>
        <v>0</v>
      </c>
    </row>
    <row r="65" spans="2:4">
      <c r="B65" s="497">
        <f>B64+Arbeitszeit!AA65-Arbeitszeit!AF65</f>
        <v>0</v>
      </c>
      <c r="D65" s="188">
        <f t="shared" si="0"/>
        <v>0</v>
      </c>
    </row>
    <row r="66" spans="2:4">
      <c r="B66" s="497">
        <f>B65+Arbeitszeit!AA66-Arbeitszeit!AF66</f>
        <v>0</v>
      </c>
      <c r="D66" s="188">
        <f t="shared" si="0"/>
        <v>0</v>
      </c>
    </row>
    <row r="67" spans="2:4">
      <c r="B67" s="497">
        <f>B66+Arbeitszeit!AA67-Arbeitszeit!AF67</f>
        <v>0</v>
      </c>
      <c r="D67" s="188">
        <f t="shared" si="0"/>
        <v>0</v>
      </c>
    </row>
    <row r="68" spans="2:4">
      <c r="B68" s="497">
        <f>B67+Arbeitszeit!AA68-Arbeitszeit!AF68</f>
        <v>0</v>
      </c>
      <c r="D68" s="188">
        <f t="shared" si="0"/>
        <v>0</v>
      </c>
    </row>
    <row r="69" spans="2:4">
      <c r="B69" s="497">
        <f>B68+Arbeitszeit!AA69-Arbeitszeit!AF69</f>
        <v>0</v>
      </c>
      <c r="D69" s="188">
        <f t="shared" si="0"/>
        <v>0</v>
      </c>
    </row>
    <row r="70" spans="2:4">
      <c r="B70" s="497">
        <f>B69+Arbeitszeit!AA70-Arbeitszeit!AF70</f>
        <v>0</v>
      </c>
      <c r="D70" s="188">
        <f t="shared" ref="D70:D133" si="1">db_jSumOverMax</f>
        <v>0</v>
      </c>
    </row>
    <row r="71" spans="2:4">
      <c r="B71" s="497">
        <f>B70+Arbeitszeit!AA71-Arbeitszeit!AF71</f>
        <v>0</v>
      </c>
      <c r="D71" s="188">
        <f t="shared" si="1"/>
        <v>0</v>
      </c>
    </row>
    <row r="72" spans="2:4">
      <c r="B72" s="497">
        <f>B71+Arbeitszeit!AA72-Arbeitszeit!AF72</f>
        <v>0</v>
      </c>
      <c r="D72" s="188">
        <f t="shared" si="1"/>
        <v>0</v>
      </c>
    </row>
    <row r="73" spans="2:4">
      <c r="B73" s="497">
        <f>B72+Arbeitszeit!AA73-Arbeitszeit!AF73</f>
        <v>0</v>
      </c>
      <c r="D73" s="188">
        <f t="shared" si="1"/>
        <v>0</v>
      </c>
    </row>
    <row r="74" spans="2:4">
      <c r="B74" s="497">
        <f>B73+Arbeitszeit!AA74-Arbeitszeit!AF74</f>
        <v>0</v>
      </c>
      <c r="D74" s="188">
        <f t="shared" si="1"/>
        <v>0</v>
      </c>
    </row>
    <row r="75" spans="2:4">
      <c r="B75" s="497">
        <f>B74+Arbeitszeit!AA75-Arbeitszeit!AF75</f>
        <v>0</v>
      </c>
      <c r="D75" s="188">
        <f t="shared" si="1"/>
        <v>0</v>
      </c>
    </row>
    <row r="76" spans="2:4">
      <c r="B76" s="497">
        <f>B75+Arbeitszeit!AA76-Arbeitszeit!AF76</f>
        <v>0</v>
      </c>
      <c r="D76" s="188">
        <f t="shared" si="1"/>
        <v>0</v>
      </c>
    </row>
    <row r="77" spans="2:4">
      <c r="B77" s="497">
        <f>B76+Arbeitszeit!AA77-Arbeitszeit!AF77</f>
        <v>0</v>
      </c>
      <c r="D77" s="188">
        <f t="shared" si="1"/>
        <v>0</v>
      </c>
    </row>
    <row r="78" spans="2:4">
      <c r="B78" s="497">
        <f>B77+Arbeitszeit!AA78-Arbeitszeit!AF78</f>
        <v>0</v>
      </c>
      <c r="D78" s="188">
        <f t="shared" si="1"/>
        <v>0</v>
      </c>
    </row>
    <row r="79" spans="2:4">
      <c r="B79" s="497">
        <f>B78+Arbeitszeit!AA79-Arbeitszeit!AF79</f>
        <v>0</v>
      </c>
      <c r="D79" s="188">
        <f t="shared" si="1"/>
        <v>0</v>
      </c>
    </row>
    <row r="80" spans="2:4">
      <c r="B80" s="497">
        <f>B79+Arbeitszeit!AA80-Arbeitszeit!AF80</f>
        <v>0</v>
      </c>
      <c r="D80" s="188">
        <f t="shared" si="1"/>
        <v>0</v>
      </c>
    </row>
    <row r="81" spans="2:4">
      <c r="B81" s="497">
        <f>B80+Arbeitszeit!AA81-Arbeitszeit!AF81</f>
        <v>0</v>
      </c>
      <c r="D81" s="188">
        <f t="shared" si="1"/>
        <v>0</v>
      </c>
    </row>
    <row r="82" spans="2:4">
      <c r="B82" s="497">
        <f>B81+Arbeitszeit!AA82-Arbeitszeit!AF82</f>
        <v>0</v>
      </c>
      <c r="D82" s="188">
        <f t="shared" si="1"/>
        <v>0</v>
      </c>
    </row>
    <row r="83" spans="2:4">
      <c r="B83" s="497">
        <f>B82+Arbeitszeit!AA83-Arbeitszeit!AF83</f>
        <v>0</v>
      </c>
      <c r="D83" s="188">
        <f t="shared" si="1"/>
        <v>0</v>
      </c>
    </row>
    <row r="84" spans="2:4">
      <c r="B84" s="497">
        <f>B83+Arbeitszeit!AA84-Arbeitszeit!AF84</f>
        <v>0</v>
      </c>
      <c r="D84" s="188">
        <f t="shared" si="1"/>
        <v>0</v>
      </c>
    </row>
    <row r="85" spans="2:4">
      <c r="B85" s="497">
        <f>B84+Arbeitszeit!AA85-Arbeitszeit!AF85</f>
        <v>0</v>
      </c>
      <c r="D85" s="188">
        <f t="shared" si="1"/>
        <v>0</v>
      </c>
    </row>
    <row r="86" spans="2:4">
      <c r="B86" s="497">
        <f>B85+Arbeitszeit!AA86-Arbeitszeit!AF86</f>
        <v>0</v>
      </c>
      <c r="D86" s="188">
        <f t="shared" si="1"/>
        <v>0</v>
      </c>
    </row>
    <row r="87" spans="2:4">
      <c r="B87" s="497">
        <f>B86+Arbeitszeit!AA87-Arbeitszeit!AF87</f>
        <v>0</v>
      </c>
      <c r="D87" s="188">
        <f t="shared" si="1"/>
        <v>0</v>
      </c>
    </row>
    <row r="88" spans="2:4">
      <c r="B88" s="497">
        <f>B87+Arbeitszeit!AA88-Arbeitszeit!AF88</f>
        <v>0</v>
      </c>
      <c r="D88" s="188">
        <f t="shared" si="1"/>
        <v>0</v>
      </c>
    </row>
    <row r="89" spans="2:4">
      <c r="B89" s="497">
        <f>B88+Arbeitszeit!AA89-Arbeitszeit!AF89</f>
        <v>0</v>
      </c>
      <c r="D89" s="188">
        <f t="shared" si="1"/>
        <v>0</v>
      </c>
    </row>
    <row r="90" spans="2:4">
      <c r="B90" s="497">
        <f>B89+Arbeitszeit!AA90-Arbeitszeit!AF90</f>
        <v>0</v>
      </c>
      <c r="D90" s="188">
        <f t="shared" si="1"/>
        <v>0</v>
      </c>
    </row>
    <row r="91" spans="2:4">
      <c r="B91" s="497">
        <f>B90+Arbeitszeit!AA91-Arbeitszeit!AF91</f>
        <v>0</v>
      </c>
      <c r="D91" s="188">
        <f t="shared" si="1"/>
        <v>0</v>
      </c>
    </row>
    <row r="92" spans="2:4">
      <c r="B92" s="497">
        <f>B91+Arbeitszeit!AA92-Arbeitszeit!AF92</f>
        <v>0</v>
      </c>
      <c r="D92" s="188">
        <f t="shared" si="1"/>
        <v>0</v>
      </c>
    </row>
    <row r="93" spans="2:4">
      <c r="B93" s="497">
        <f>B92+Arbeitszeit!AA93-Arbeitszeit!AF93</f>
        <v>0</v>
      </c>
      <c r="D93" s="188">
        <f t="shared" si="1"/>
        <v>0</v>
      </c>
    </row>
    <row r="94" spans="2:4">
      <c r="B94" s="497">
        <f>B93+Arbeitszeit!AA94-Arbeitszeit!AF94</f>
        <v>0</v>
      </c>
      <c r="D94" s="188">
        <f t="shared" si="1"/>
        <v>0</v>
      </c>
    </row>
    <row r="95" spans="2:4">
      <c r="B95" s="497">
        <f>B94+Arbeitszeit!AA95-Arbeitszeit!AF95</f>
        <v>0</v>
      </c>
      <c r="D95" s="188">
        <f t="shared" si="1"/>
        <v>0</v>
      </c>
    </row>
    <row r="96" spans="2:4">
      <c r="B96" s="497">
        <f>B95+Arbeitszeit!AA96-Arbeitszeit!AF96</f>
        <v>0</v>
      </c>
      <c r="D96" s="188">
        <f t="shared" si="1"/>
        <v>0</v>
      </c>
    </row>
    <row r="97" spans="2:4">
      <c r="B97" s="497">
        <f>B96+Arbeitszeit!AA97-Arbeitszeit!AF97</f>
        <v>0</v>
      </c>
      <c r="D97" s="188">
        <f t="shared" si="1"/>
        <v>0</v>
      </c>
    </row>
    <row r="98" spans="2:4">
      <c r="B98" s="497">
        <f>B97+Arbeitszeit!AA98-Arbeitszeit!AF98</f>
        <v>0</v>
      </c>
      <c r="D98" s="188">
        <f t="shared" si="1"/>
        <v>0</v>
      </c>
    </row>
    <row r="99" spans="2:4">
      <c r="B99" s="497">
        <f>B98+Arbeitszeit!AA99-Arbeitszeit!AF99</f>
        <v>0</v>
      </c>
      <c r="D99" s="188">
        <f t="shared" si="1"/>
        <v>0</v>
      </c>
    </row>
    <row r="100" spans="2:4">
      <c r="B100" s="497">
        <f>B99+Arbeitszeit!AA100-Arbeitszeit!AF100</f>
        <v>0</v>
      </c>
      <c r="D100" s="188">
        <f t="shared" si="1"/>
        <v>0</v>
      </c>
    </row>
    <row r="101" spans="2:4">
      <c r="B101" s="497">
        <f>B100+Arbeitszeit!AA101-Arbeitszeit!AF101</f>
        <v>0</v>
      </c>
      <c r="D101" s="188">
        <f t="shared" si="1"/>
        <v>0</v>
      </c>
    </row>
    <row r="102" spans="2:4">
      <c r="B102" s="497">
        <f>B101+Arbeitszeit!AA102-Arbeitszeit!AF102</f>
        <v>0</v>
      </c>
      <c r="D102" s="188">
        <f t="shared" si="1"/>
        <v>0</v>
      </c>
    </row>
    <row r="103" spans="2:4">
      <c r="B103" s="497">
        <f>B102+Arbeitszeit!AA103-Arbeitszeit!AF103</f>
        <v>0</v>
      </c>
      <c r="D103" s="188">
        <f t="shared" si="1"/>
        <v>0</v>
      </c>
    </row>
    <row r="104" spans="2:4">
      <c r="B104" s="497">
        <f>B103+Arbeitszeit!AA104-Arbeitszeit!AF104</f>
        <v>0</v>
      </c>
      <c r="D104" s="188">
        <f t="shared" si="1"/>
        <v>0</v>
      </c>
    </row>
    <row r="105" spans="2:4">
      <c r="B105" s="497">
        <f>B104+Arbeitszeit!AA105-Arbeitszeit!AF105</f>
        <v>0</v>
      </c>
      <c r="D105" s="188">
        <f t="shared" si="1"/>
        <v>0</v>
      </c>
    </row>
    <row r="106" spans="2:4">
      <c r="B106" s="497">
        <f>B105+Arbeitszeit!AA106-Arbeitszeit!AF106</f>
        <v>0</v>
      </c>
      <c r="D106" s="188">
        <f t="shared" si="1"/>
        <v>0</v>
      </c>
    </row>
    <row r="107" spans="2:4">
      <c r="B107" s="497">
        <f>B106+Arbeitszeit!AA107-Arbeitszeit!AF107</f>
        <v>0</v>
      </c>
      <c r="D107" s="188">
        <f t="shared" si="1"/>
        <v>0</v>
      </c>
    </row>
    <row r="108" spans="2:4">
      <c r="B108" s="497">
        <f>B107+Arbeitszeit!AA108-Arbeitszeit!AF108</f>
        <v>0</v>
      </c>
      <c r="D108" s="188">
        <f t="shared" si="1"/>
        <v>0</v>
      </c>
    </row>
    <row r="109" spans="2:4">
      <c r="B109" s="497">
        <f>B108+Arbeitszeit!AA109-Arbeitszeit!AF109</f>
        <v>0</v>
      </c>
      <c r="D109" s="188">
        <f t="shared" si="1"/>
        <v>0</v>
      </c>
    </row>
    <row r="110" spans="2:4">
      <c r="B110" s="497">
        <f>B109+Arbeitszeit!AA110-Arbeitszeit!AF110</f>
        <v>0</v>
      </c>
      <c r="D110" s="188">
        <f t="shared" si="1"/>
        <v>0</v>
      </c>
    </row>
    <row r="111" spans="2:4">
      <c r="B111" s="497">
        <f>B110+Arbeitszeit!AA111-Arbeitszeit!AF111</f>
        <v>0</v>
      </c>
      <c r="D111" s="188">
        <f t="shared" si="1"/>
        <v>0</v>
      </c>
    </row>
    <row r="112" spans="2:4">
      <c r="B112" s="497">
        <f>B111+Arbeitszeit!AA112-Arbeitszeit!AF112</f>
        <v>0</v>
      </c>
      <c r="D112" s="188">
        <f t="shared" si="1"/>
        <v>0</v>
      </c>
    </row>
    <row r="113" spans="2:4">
      <c r="B113" s="497">
        <f>B112+Arbeitszeit!AA113-Arbeitszeit!AF113</f>
        <v>0</v>
      </c>
      <c r="D113" s="188">
        <f t="shared" si="1"/>
        <v>0</v>
      </c>
    </row>
    <row r="114" spans="2:4">
      <c r="B114" s="497">
        <f>B113+Arbeitszeit!AA114-Arbeitszeit!AF114</f>
        <v>0</v>
      </c>
      <c r="D114" s="188">
        <f t="shared" si="1"/>
        <v>0</v>
      </c>
    </row>
    <row r="115" spans="2:4">
      <c r="B115" s="497">
        <f>B114+Arbeitszeit!AA115-Arbeitszeit!AF115</f>
        <v>0</v>
      </c>
      <c r="D115" s="188">
        <f t="shared" si="1"/>
        <v>0</v>
      </c>
    </row>
    <row r="116" spans="2:4">
      <c r="B116" s="497">
        <f>B115+Arbeitszeit!AA116-Arbeitszeit!AF116</f>
        <v>0</v>
      </c>
      <c r="D116" s="188">
        <f t="shared" si="1"/>
        <v>0</v>
      </c>
    </row>
    <row r="117" spans="2:4">
      <c r="B117" s="497">
        <f>B116+Arbeitszeit!AA117-Arbeitszeit!AF117</f>
        <v>0</v>
      </c>
      <c r="D117" s="188">
        <f t="shared" si="1"/>
        <v>0</v>
      </c>
    </row>
    <row r="118" spans="2:4">
      <c r="B118" s="497">
        <f>B117+Arbeitszeit!AA118-Arbeitszeit!AF118</f>
        <v>0</v>
      </c>
      <c r="D118" s="188">
        <f t="shared" si="1"/>
        <v>0</v>
      </c>
    </row>
    <row r="119" spans="2:4">
      <c r="B119" s="497">
        <f>B118+Arbeitszeit!AA119-Arbeitszeit!AF119</f>
        <v>0</v>
      </c>
      <c r="D119" s="188">
        <f t="shared" si="1"/>
        <v>0</v>
      </c>
    </row>
    <row r="120" spans="2:4">
      <c r="B120" s="497">
        <f>B119+Arbeitszeit!AA120-Arbeitszeit!AF120</f>
        <v>0</v>
      </c>
      <c r="D120" s="188">
        <f t="shared" si="1"/>
        <v>0</v>
      </c>
    </row>
    <row r="121" spans="2:4">
      <c r="B121" s="497">
        <f>B120+Arbeitszeit!AA121-Arbeitszeit!AF121</f>
        <v>0</v>
      </c>
      <c r="D121" s="188">
        <f t="shared" si="1"/>
        <v>0</v>
      </c>
    </row>
    <row r="122" spans="2:4">
      <c r="B122" s="497">
        <f>B121+Arbeitszeit!AA122-Arbeitszeit!AF122</f>
        <v>0</v>
      </c>
      <c r="D122" s="188">
        <f t="shared" si="1"/>
        <v>0</v>
      </c>
    </row>
    <row r="123" spans="2:4">
      <c r="B123" s="497">
        <f>B122+Arbeitszeit!AA123-Arbeitszeit!AF123</f>
        <v>0</v>
      </c>
      <c r="D123" s="188">
        <f t="shared" si="1"/>
        <v>0</v>
      </c>
    </row>
    <row r="124" spans="2:4">
      <c r="B124" s="497">
        <f>B123+Arbeitszeit!AA124-Arbeitszeit!AF124</f>
        <v>0</v>
      </c>
      <c r="D124" s="188">
        <f t="shared" si="1"/>
        <v>0</v>
      </c>
    </row>
    <row r="125" spans="2:4">
      <c r="B125" s="497">
        <f>B124+Arbeitszeit!AA125-Arbeitszeit!AF125</f>
        <v>0</v>
      </c>
      <c r="D125" s="188">
        <f t="shared" si="1"/>
        <v>0</v>
      </c>
    </row>
    <row r="126" spans="2:4">
      <c r="B126" s="497">
        <f>B125+Arbeitszeit!AA126-Arbeitszeit!AF126</f>
        <v>0</v>
      </c>
      <c r="D126" s="188">
        <f t="shared" si="1"/>
        <v>0</v>
      </c>
    </row>
    <row r="127" spans="2:4">
      <c r="B127" s="497">
        <f>B126+Arbeitszeit!AA127-Arbeitszeit!AF127</f>
        <v>0</v>
      </c>
      <c r="D127" s="188">
        <f t="shared" si="1"/>
        <v>0</v>
      </c>
    </row>
    <row r="128" spans="2:4">
      <c r="B128" s="497">
        <f>B127+Arbeitszeit!AA128-Arbeitszeit!AF128</f>
        <v>0</v>
      </c>
      <c r="D128" s="188">
        <f t="shared" si="1"/>
        <v>0</v>
      </c>
    </row>
    <row r="129" spans="2:4">
      <c r="B129" s="497">
        <f>B128+Arbeitszeit!AA129-Arbeitszeit!AF129</f>
        <v>0</v>
      </c>
      <c r="D129" s="188">
        <f t="shared" si="1"/>
        <v>0</v>
      </c>
    </row>
    <row r="130" spans="2:4">
      <c r="B130" s="497">
        <f>B129+Arbeitszeit!AA130-Arbeitszeit!AF130</f>
        <v>0</v>
      </c>
      <c r="D130" s="188">
        <f t="shared" si="1"/>
        <v>0</v>
      </c>
    </row>
    <row r="131" spans="2:4">
      <c r="B131" s="497">
        <f>B130+Arbeitszeit!AA131-Arbeitszeit!AF131</f>
        <v>0</v>
      </c>
      <c r="D131" s="188">
        <f t="shared" si="1"/>
        <v>0</v>
      </c>
    </row>
    <row r="132" spans="2:4">
      <c r="B132" s="497">
        <f>B131+Arbeitszeit!AA132-Arbeitszeit!AF132</f>
        <v>0</v>
      </c>
      <c r="D132" s="188">
        <f t="shared" si="1"/>
        <v>0</v>
      </c>
    </row>
    <row r="133" spans="2:4">
      <c r="B133" s="497">
        <f>B132+Arbeitszeit!AA133-Arbeitszeit!AF133</f>
        <v>0</v>
      </c>
      <c r="D133" s="188">
        <f t="shared" si="1"/>
        <v>0</v>
      </c>
    </row>
    <row r="134" spans="2:4">
      <c r="B134" s="497">
        <f>B133+Arbeitszeit!AA134-Arbeitszeit!AF134</f>
        <v>0</v>
      </c>
      <c r="D134" s="188">
        <f t="shared" ref="D134:D197" si="2">db_jSumOverMax</f>
        <v>0</v>
      </c>
    </row>
    <row r="135" spans="2:4">
      <c r="B135" s="497">
        <f>B134+Arbeitszeit!AA135-Arbeitszeit!AF135</f>
        <v>0</v>
      </c>
      <c r="D135" s="188">
        <f t="shared" si="2"/>
        <v>0</v>
      </c>
    </row>
    <row r="136" spans="2:4">
      <c r="B136" s="497">
        <f>B135+Arbeitszeit!AA136-Arbeitszeit!AF136</f>
        <v>0</v>
      </c>
      <c r="D136" s="188">
        <f t="shared" si="2"/>
        <v>0</v>
      </c>
    </row>
    <row r="137" spans="2:4">
      <c r="B137" s="497">
        <f>B136+Arbeitszeit!AA137-Arbeitszeit!AF137</f>
        <v>0</v>
      </c>
      <c r="D137" s="188">
        <f t="shared" si="2"/>
        <v>0</v>
      </c>
    </row>
    <row r="138" spans="2:4">
      <c r="B138" s="497">
        <f>B137+Arbeitszeit!AA138-Arbeitszeit!AF138</f>
        <v>0</v>
      </c>
      <c r="D138" s="188">
        <f t="shared" si="2"/>
        <v>0</v>
      </c>
    </row>
    <row r="139" spans="2:4">
      <c r="B139" s="497">
        <f>B138+Arbeitszeit!AA139-Arbeitszeit!AF139</f>
        <v>0</v>
      </c>
      <c r="D139" s="188">
        <f t="shared" si="2"/>
        <v>0</v>
      </c>
    </row>
    <row r="140" spans="2:4">
      <c r="B140" s="497">
        <f>B139+Arbeitszeit!AA140-Arbeitszeit!AF140</f>
        <v>0</v>
      </c>
      <c r="D140" s="188">
        <f t="shared" si="2"/>
        <v>0</v>
      </c>
    </row>
    <row r="141" spans="2:4">
      <c r="B141" s="497">
        <f>B140+Arbeitszeit!AA141-Arbeitszeit!AF141</f>
        <v>0</v>
      </c>
      <c r="D141" s="188">
        <f t="shared" si="2"/>
        <v>0</v>
      </c>
    </row>
    <row r="142" spans="2:4">
      <c r="B142" s="497">
        <f>B141+Arbeitszeit!AA142-Arbeitszeit!AF142</f>
        <v>0</v>
      </c>
      <c r="D142" s="188">
        <f t="shared" si="2"/>
        <v>0</v>
      </c>
    </row>
    <row r="143" spans="2:4">
      <c r="B143" s="497">
        <f>B142+Arbeitszeit!AA143-Arbeitszeit!AF143</f>
        <v>0</v>
      </c>
      <c r="D143" s="188">
        <f t="shared" si="2"/>
        <v>0</v>
      </c>
    </row>
    <row r="144" spans="2:4">
      <c r="B144" s="497">
        <f>B143+Arbeitszeit!AA144-Arbeitszeit!AF144</f>
        <v>0</v>
      </c>
      <c r="D144" s="188">
        <f t="shared" si="2"/>
        <v>0</v>
      </c>
    </row>
    <row r="145" spans="2:4">
      <c r="B145" s="497">
        <f>B144+Arbeitszeit!AA145-Arbeitszeit!AF145</f>
        <v>0</v>
      </c>
      <c r="D145" s="188">
        <f t="shared" si="2"/>
        <v>0</v>
      </c>
    </row>
    <row r="146" spans="2:4">
      <c r="B146" s="497">
        <f>B145+Arbeitszeit!AA146-Arbeitszeit!AF146</f>
        <v>0</v>
      </c>
      <c r="D146" s="188">
        <f t="shared" si="2"/>
        <v>0</v>
      </c>
    </row>
    <row r="147" spans="2:4">
      <c r="B147" s="497">
        <f>B146+Arbeitszeit!AA147-Arbeitszeit!AF147</f>
        <v>0</v>
      </c>
      <c r="D147" s="188">
        <f t="shared" si="2"/>
        <v>0</v>
      </c>
    </row>
    <row r="148" spans="2:4">
      <c r="B148" s="497">
        <f>B147+Arbeitszeit!AA148-Arbeitszeit!AF148</f>
        <v>0</v>
      </c>
      <c r="D148" s="188">
        <f t="shared" si="2"/>
        <v>0</v>
      </c>
    </row>
    <row r="149" spans="2:4">
      <c r="B149" s="497">
        <f>B148+Arbeitszeit!AA149-Arbeitszeit!AF149</f>
        <v>0</v>
      </c>
      <c r="D149" s="188">
        <f t="shared" si="2"/>
        <v>0</v>
      </c>
    </row>
    <row r="150" spans="2:4">
      <c r="B150" s="497">
        <f>B149+Arbeitszeit!AA150-Arbeitszeit!AF150</f>
        <v>0</v>
      </c>
      <c r="D150" s="188">
        <f t="shared" si="2"/>
        <v>0</v>
      </c>
    </row>
    <row r="151" spans="2:4">
      <c r="B151" s="497">
        <f>B150+Arbeitszeit!AA151-Arbeitszeit!AF151</f>
        <v>0</v>
      </c>
      <c r="D151" s="188">
        <f t="shared" si="2"/>
        <v>0</v>
      </c>
    </row>
    <row r="152" spans="2:4">
      <c r="B152" s="497">
        <f>B151+Arbeitszeit!AA152-Arbeitszeit!AF152</f>
        <v>0</v>
      </c>
      <c r="D152" s="188">
        <f t="shared" si="2"/>
        <v>0</v>
      </c>
    </row>
    <row r="153" spans="2:4">
      <c r="B153" s="497">
        <f>B152+Arbeitszeit!AA153-Arbeitszeit!AF153</f>
        <v>0</v>
      </c>
      <c r="D153" s="188">
        <f t="shared" si="2"/>
        <v>0</v>
      </c>
    </row>
    <row r="154" spans="2:4">
      <c r="B154" s="497">
        <f>B153+Arbeitszeit!AA154-Arbeitszeit!AF154</f>
        <v>0</v>
      </c>
      <c r="D154" s="188">
        <f t="shared" si="2"/>
        <v>0</v>
      </c>
    </row>
    <row r="155" spans="2:4">
      <c r="B155" s="497">
        <f>B154+Arbeitszeit!AA155-Arbeitszeit!AF155</f>
        <v>0</v>
      </c>
      <c r="D155" s="188">
        <f t="shared" si="2"/>
        <v>0</v>
      </c>
    </row>
    <row r="156" spans="2:4">
      <c r="B156" s="497">
        <f>B155+Arbeitszeit!AA156-Arbeitszeit!AF156</f>
        <v>0</v>
      </c>
      <c r="D156" s="188">
        <f t="shared" si="2"/>
        <v>0</v>
      </c>
    </row>
    <row r="157" spans="2:4">
      <c r="B157" s="497">
        <f>B156+Arbeitszeit!AA157-Arbeitszeit!AF157</f>
        <v>0</v>
      </c>
      <c r="D157" s="188">
        <f t="shared" si="2"/>
        <v>0</v>
      </c>
    </row>
    <row r="158" spans="2:4">
      <c r="B158" s="497">
        <f>B157+Arbeitszeit!AA158-Arbeitszeit!AF158</f>
        <v>0</v>
      </c>
      <c r="D158" s="188">
        <f t="shared" si="2"/>
        <v>0</v>
      </c>
    </row>
    <row r="159" spans="2:4">
      <c r="B159" s="497">
        <f>B158+Arbeitszeit!AA159-Arbeitszeit!AF159</f>
        <v>0</v>
      </c>
      <c r="D159" s="188">
        <f t="shared" si="2"/>
        <v>0</v>
      </c>
    </row>
    <row r="160" spans="2:4">
      <c r="B160" s="497">
        <f>B159+Arbeitszeit!AA160-Arbeitszeit!AF160</f>
        <v>0</v>
      </c>
      <c r="D160" s="188">
        <f t="shared" si="2"/>
        <v>0</v>
      </c>
    </row>
    <row r="161" spans="2:4">
      <c r="B161" s="497">
        <f>B160+Arbeitszeit!AA161-Arbeitszeit!AF161</f>
        <v>0</v>
      </c>
      <c r="D161" s="188">
        <f t="shared" si="2"/>
        <v>0</v>
      </c>
    </row>
    <row r="162" spans="2:4">
      <c r="B162" s="497">
        <f>B161+Arbeitszeit!AA162-Arbeitszeit!AF162</f>
        <v>0</v>
      </c>
      <c r="D162" s="188">
        <f t="shared" si="2"/>
        <v>0</v>
      </c>
    </row>
    <row r="163" spans="2:4">
      <c r="B163" s="497">
        <f>B162+Arbeitszeit!AA163-Arbeitszeit!AF163</f>
        <v>0</v>
      </c>
      <c r="D163" s="188">
        <f t="shared" si="2"/>
        <v>0</v>
      </c>
    </row>
    <row r="164" spans="2:4">
      <c r="B164" s="497">
        <f>B163+Arbeitszeit!AA164-Arbeitszeit!AF164</f>
        <v>0</v>
      </c>
      <c r="D164" s="188">
        <f t="shared" si="2"/>
        <v>0</v>
      </c>
    </row>
    <row r="165" spans="2:4">
      <c r="B165" s="497">
        <f>B164+Arbeitszeit!AA165-Arbeitszeit!AF165</f>
        <v>0</v>
      </c>
      <c r="D165" s="188">
        <f t="shared" si="2"/>
        <v>0</v>
      </c>
    </row>
    <row r="166" spans="2:4">
      <c r="B166" s="497">
        <f>B165+Arbeitszeit!AA166-Arbeitszeit!AF166</f>
        <v>0</v>
      </c>
      <c r="D166" s="188">
        <f t="shared" si="2"/>
        <v>0</v>
      </c>
    </row>
    <row r="167" spans="2:4">
      <c r="B167" s="497">
        <f>B166+Arbeitszeit!AA167-Arbeitszeit!AF167</f>
        <v>0</v>
      </c>
      <c r="D167" s="188">
        <f t="shared" si="2"/>
        <v>0</v>
      </c>
    </row>
    <row r="168" spans="2:4">
      <c r="B168" s="497">
        <f>B167+Arbeitszeit!AA168-Arbeitszeit!AF168</f>
        <v>0</v>
      </c>
      <c r="D168" s="188">
        <f t="shared" si="2"/>
        <v>0</v>
      </c>
    </row>
    <row r="169" spans="2:4">
      <c r="B169" s="497">
        <f>B168+Arbeitszeit!AA169-Arbeitszeit!AF169</f>
        <v>0</v>
      </c>
      <c r="D169" s="188">
        <f t="shared" si="2"/>
        <v>0</v>
      </c>
    </row>
    <row r="170" spans="2:4">
      <c r="B170" s="497">
        <f>B169+Arbeitszeit!AA170-Arbeitszeit!AF170</f>
        <v>0</v>
      </c>
      <c r="D170" s="188">
        <f t="shared" si="2"/>
        <v>0</v>
      </c>
    </row>
    <row r="171" spans="2:4">
      <c r="B171" s="497">
        <f>B170+Arbeitszeit!AA171-Arbeitszeit!AF171</f>
        <v>0</v>
      </c>
      <c r="D171" s="188">
        <f t="shared" si="2"/>
        <v>0</v>
      </c>
    </row>
    <row r="172" spans="2:4">
      <c r="B172" s="497">
        <f>B171+Arbeitszeit!AA172-Arbeitszeit!AF172</f>
        <v>0</v>
      </c>
      <c r="D172" s="188">
        <f t="shared" si="2"/>
        <v>0</v>
      </c>
    </row>
    <row r="173" spans="2:4">
      <c r="B173" s="497">
        <f>B172+Arbeitszeit!AA173-Arbeitszeit!AF173</f>
        <v>0</v>
      </c>
      <c r="D173" s="188">
        <f t="shared" si="2"/>
        <v>0</v>
      </c>
    </row>
    <row r="174" spans="2:4">
      <c r="B174" s="497">
        <f>B173+Arbeitszeit!AA174-Arbeitszeit!AF174</f>
        <v>0</v>
      </c>
      <c r="D174" s="188">
        <f t="shared" si="2"/>
        <v>0</v>
      </c>
    </row>
    <row r="175" spans="2:4">
      <c r="B175" s="497">
        <f>B174+Arbeitszeit!AA175-Arbeitszeit!AF175</f>
        <v>0</v>
      </c>
      <c r="D175" s="188">
        <f t="shared" si="2"/>
        <v>0</v>
      </c>
    </row>
    <row r="176" spans="2:4">
      <c r="B176" s="497">
        <f>B175+Arbeitszeit!AA176-Arbeitszeit!AF176</f>
        <v>0</v>
      </c>
      <c r="D176" s="188">
        <f t="shared" si="2"/>
        <v>0</v>
      </c>
    </row>
    <row r="177" spans="2:4">
      <c r="B177" s="497">
        <f>B176+Arbeitszeit!AA177-Arbeitszeit!AF177</f>
        <v>0</v>
      </c>
      <c r="D177" s="188">
        <f t="shared" si="2"/>
        <v>0</v>
      </c>
    </row>
    <row r="178" spans="2:4">
      <c r="B178" s="497">
        <f>B177+Arbeitszeit!AA178-Arbeitszeit!AF178</f>
        <v>0</v>
      </c>
      <c r="D178" s="188">
        <f t="shared" si="2"/>
        <v>0</v>
      </c>
    </row>
    <row r="179" spans="2:4">
      <c r="B179" s="497">
        <f>B178+Arbeitszeit!AA179-Arbeitszeit!AF179</f>
        <v>0</v>
      </c>
      <c r="D179" s="188">
        <f t="shared" si="2"/>
        <v>0</v>
      </c>
    </row>
    <row r="180" spans="2:4">
      <c r="B180" s="497">
        <f>B179+Arbeitszeit!AA180-Arbeitszeit!AF180</f>
        <v>0</v>
      </c>
      <c r="D180" s="188">
        <f t="shared" si="2"/>
        <v>0</v>
      </c>
    </row>
    <row r="181" spans="2:4">
      <c r="B181" s="497">
        <f>B180+Arbeitszeit!AA181-Arbeitszeit!AF181</f>
        <v>0</v>
      </c>
      <c r="D181" s="188">
        <f t="shared" si="2"/>
        <v>0</v>
      </c>
    </row>
    <row r="182" spans="2:4">
      <c r="B182" s="497">
        <f>B181+Arbeitszeit!AA182-Arbeitszeit!AF182</f>
        <v>0</v>
      </c>
      <c r="D182" s="188">
        <f t="shared" si="2"/>
        <v>0</v>
      </c>
    </row>
    <row r="183" spans="2:4">
      <c r="B183" s="497">
        <f>B182+Arbeitszeit!AA183-Arbeitszeit!AF183</f>
        <v>0</v>
      </c>
      <c r="D183" s="188">
        <f t="shared" si="2"/>
        <v>0</v>
      </c>
    </row>
    <row r="184" spans="2:4">
      <c r="B184" s="497">
        <f>B183+Arbeitszeit!AA184-Arbeitszeit!AF184</f>
        <v>0</v>
      </c>
      <c r="D184" s="188">
        <f t="shared" si="2"/>
        <v>0</v>
      </c>
    </row>
    <row r="185" spans="2:4">
      <c r="B185" s="497">
        <f>B184+Arbeitszeit!AA185-Arbeitszeit!AF185</f>
        <v>0</v>
      </c>
      <c r="D185" s="188">
        <f t="shared" si="2"/>
        <v>0</v>
      </c>
    </row>
    <row r="186" spans="2:4">
      <c r="B186" s="497">
        <f>B185+Arbeitszeit!AA186-Arbeitszeit!AF186</f>
        <v>0</v>
      </c>
      <c r="D186" s="188">
        <f t="shared" si="2"/>
        <v>0</v>
      </c>
    </row>
    <row r="187" spans="2:4">
      <c r="B187" s="497">
        <f>B186+Arbeitszeit!AA187-Arbeitszeit!AF187</f>
        <v>0</v>
      </c>
      <c r="D187" s="188">
        <f t="shared" si="2"/>
        <v>0</v>
      </c>
    </row>
    <row r="188" spans="2:4">
      <c r="B188" s="497">
        <f>B187+Arbeitszeit!AA188-Arbeitszeit!AF188</f>
        <v>0</v>
      </c>
      <c r="D188" s="188">
        <f t="shared" si="2"/>
        <v>0</v>
      </c>
    </row>
    <row r="189" spans="2:4">
      <c r="B189" s="497">
        <f>B188+Arbeitszeit!AA189-Arbeitszeit!AF189</f>
        <v>0</v>
      </c>
      <c r="D189" s="188">
        <f t="shared" si="2"/>
        <v>0</v>
      </c>
    </row>
    <row r="190" spans="2:4">
      <c r="B190" s="497">
        <f>B189+Arbeitszeit!AA190-Arbeitszeit!AF190</f>
        <v>0</v>
      </c>
      <c r="D190" s="188">
        <f t="shared" si="2"/>
        <v>0</v>
      </c>
    </row>
    <row r="191" spans="2:4">
      <c r="B191" s="497">
        <f>B190+Arbeitszeit!AA191-Arbeitszeit!AF191</f>
        <v>0</v>
      </c>
      <c r="D191" s="188">
        <f t="shared" si="2"/>
        <v>0</v>
      </c>
    </row>
    <row r="192" spans="2:4">
      <c r="B192" s="497">
        <f>B191+Arbeitszeit!AA192-Arbeitszeit!AF192</f>
        <v>0</v>
      </c>
      <c r="D192" s="188">
        <f t="shared" si="2"/>
        <v>0</v>
      </c>
    </row>
    <row r="193" spans="2:4">
      <c r="B193" s="497">
        <f>B192+Arbeitszeit!AA193-Arbeitszeit!AF193</f>
        <v>0</v>
      </c>
      <c r="D193" s="188">
        <f t="shared" si="2"/>
        <v>0</v>
      </c>
    </row>
    <row r="194" spans="2:4">
      <c r="B194" s="497">
        <f>B193+Arbeitszeit!AA194-Arbeitszeit!AF194</f>
        <v>0</v>
      </c>
      <c r="D194" s="188">
        <f t="shared" si="2"/>
        <v>0</v>
      </c>
    </row>
    <row r="195" spans="2:4">
      <c r="B195" s="497">
        <f>B194+Arbeitszeit!AA195-Arbeitszeit!AF195</f>
        <v>0</v>
      </c>
      <c r="D195" s="188">
        <f t="shared" si="2"/>
        <v>0</v>
      </c>
    </row>
    <row r="196" spans="2:4">
      <c r="B196" s="497">
        <f>B195+Arbeitszeit!AA196-Arbeitszeit!AF196</f>
        <v>0</v>
      </c>
      <c r="D196" s="188">
        <f t="shared" si="2"/>
        <v>0</v>
      </c>
    </row>
    <row r="197" spans="2:4">
      <c r="B197" s="497">
        <f>B196+Arbeitszeit!AA197-Arbeitszeit!AF197</f>
        <v>0</v>
      </c>
      <c r="D197" s="188">
        <f t="shared" si="2"/>
        <v>0</v>
      </c>
    </row>
    <row r="198" spans="2:4">
      <c r="B198" s="497">
        <f>B197+Arbeitszeit!AA198-Arbeitszeit!AF198</f>
        <v>0</v>
      </c>
      <c r="D198" s="188">
        <f t="shared" ref="D198:D261" si="3">db_jSumOverMax</f>
        <v>0</v>
      </c>
    </row>
    <row r="199" spans="2:4">
      <c r="B199" s="497">
        <f>B198+Arbeitszeit!AA199-Arbeitszeit!AF199</f>
        <v>0</v>
      </c>
      <c r="D199" s="188">
        <f t="shared" si="3"/>
        <v>0</v>
      </c>
    </row>
    <row r="200" spans="2:4">
      <c r="B200" s="497">
        <f>B199+Arbeitszeit!AA200-Arbeitszeit!AF200</f>
        <v>0</v>
      </c>
      <c r="D200" s="188">
        <f t="shared" si="3"/>
        <v>0</v>
      </c>
    </row>
    <row r="201" spans="2:4">
      <c r="B201" s="497">
        <f>B200+Arbeitszeit!AA201-Arbeitszeit!AF201</f>
        <v>0</v>
      </c>
      <c r="D201" s="188">
        <f t="shared" si="3"/>
        <v>0</v>
      </c>
    </row>
    <row r="202" spans="2:4">
      <c r="B202" s="497">
        <f>B201+Arbeitszeit!AA202-Arbeitszeit!AF202</f>
        <v>0</v>
      </c>
      <c r="D202" s="188">
        <f t="shared" si="3"/>
        <v>0</v>
      </c>
    </row>
    <row r="203" spans="2:4">
      <c r="B203" s="497">
        <f>B202+Arbeitszeit!AA203-Arbeitszeit!AF203</f>
        <v>0</v>
      </c>
      <c r="D203" s="188">
        <f t="shared" si="3"/>
        <v>0</v>
      </c>
    </row>
    <row r="204" spans="2:4">
      <c r="B204" s="497">
        <f>B203+Arbeitszeit!AA204-Arbeitszeit!AF204</f>
        <v>0</v>
      </c>
      <c r="D204" s="188">
        <f t="shared" si="3"/>
        <v>0</v>
      </c>
    </row>
    <row r="205" spans="2:4">
      <c r="B205" s="497">
        <f>B204+Arbeitszeit!AA205-Arbeitszeit!AF205</f>
        <v>0</v>
      </c>
      <c r="D205" s="188">
        <f t="shared" si="3"/>
        <v>0</v>
      </c>
    </row>
    <row r="206" spans="2:4">
      <c r="B206" s="497">
        <f>B205+Arbeitszeit!AA206-Arbeitszeit!AF206</f>
        <v>0</v>
      </c>
      <c r="D206" s="188">
        <f t="shared" si="3"/>
        <v>0</v>
      </c>
    </row>
    <row r="207" spans="2:4">
      <c r="B207" s="497">
        <f>B206+Arbeitszeit!AA207-Arbeitszeit!AF207</f>
        <v>0</v>
      </c>
      <c r="D207" s="188">
        <f t="shared" si="3"/>
        <v>0</v>
      </c>
    </row>
    <row r="208" spans="2:4">
      <c r="B208" s="497">
        <f>B207+Arbeitszeit!AA208-Arbeitszeit!AF208</f>
        <v>0</v>
      </c>
      <c r="D208" s="188">
        <f t="shared" si="3"/>
        <v>0</v>
      </c>
    </row>
    <row r="209" spans="2:4">
      <c r="B209" s="497">
        <f>B208+Arbeitszeit!AA209-Arbeitszeit!AF209</f>
        <v>0</v>
      </c>
      <c r="D209" s="188">
        <f t="shared" si="3"/>
        <v>0</v>
      </c>
    </row>
    <row r="210" spans="2:4">
      <c r="B210" s="497">
        <f>B209+Arbeitszeit!AA210-Arbeitszeit!AF210</f>
        <v>0</v>
      </c>
      <c r="D210" s="188">
        <f t="shared" si="3"/>
        <v>0</v>
      </c>
    </row>
    <row r="211" spans="2:4">
      <c r="B211" s="497">
        <f>B210+Arbeitszeit!AA211-Arbeitszeit!AF211</f>
        <v>0</v>
      </c>
      <c r="D211" s="188">
        <f t="shared" si="3"/>
        <v>0</v>
      </c>
    </row>
    <row r="212" spans="2:4">
      <c r="B212" s="497">
        <f>B211+Arbeitszeit!AA212-Arbeitszeit!AF212</f>
        <v>0</v>
      </c>
      <c r="D212" s="188">
        <f t="shared" si="3"/>
        <v>0</v>
      </c>
    </row>
    <row r="213" spans="2:4">
      <c r="B213" s="497">
        <f>B212+Arbeitszeit!AA213-Arbeitszeit!AF213</f>
        <v>0</v>
      </c>
      <c r="D213" s="188">
        <f t="shared" si="3"/>
        <v>0</v>
      </c>
    </row>
    <row r="214" spans="2:4">
      <c r="B214" s="497">
        <f>B213+Arbeitszeit!AA214-Arbeitszeit!AF214</f>
        <v>0</v>
      </c>
      <c r="D214" s="188">
        <f t="shared" si="3"/>
        <v>0</v>
      </c>
    </row>
    <row r="215" spans="2:4">
      <c r="B215" s="497">
        <f>B214+Arbeitszeit!AA215-Arbeitszeit!AF215</f>
        <v>0</v>
      </c>
      <c r="D215" s="188">
        <f t="shared" si="3"/>
        <v>0</v>
      </c>
    </row>
    <row r="216" spans="2:4">
      <c r="B216" s="497">
        <f>B215+Arbeitszeit!AA216-Arbeitszeit!AF216</f>
        <v>0</v>
      </c>
      <c r="D216" s="188">
        <f t="shared" si="3"/>
        <v>0</v>
      </c>
    </row>
    <row r="217" spans="2:4">
      <c r="B217" s="497">
        <f>B216+Arbeitszeit!AA217-Arbeitszeit!AF217</f>
        <v>0</v>
      </c>
      <c r="D217" s="188">
        <f t="shared" si="3"/>
        <v>0</v>
      </c>
    </row>
    <row r="218" spans="2:4">
      <c r="B218" s="497">
        <f>B217+Arbeitszeit!AA218-Arbeitszeit!AF218</f>
        <v>0</v>
      </c>
      <c r="D218" s="188">
        <f t="shared" si="3"/>
        <v>0</v>
      </c>
    </row>
    <row r="219" spans="2:4">
      <c r="B219" s="497">
        <f>B218+Arbeitszeit!AA219-Arbeitszeit!AF219</f>
        <v>0</v>
      </c>
      <c r="D219" s="188">
        <f t="shared" si="3"/>
        <v>0</v>
      </c>
    </row>
    <row r="220" spans="2:4">
      <c r="B220" s="497">
        <f>B219+Arbeitszeit!AA220-Arbeitszeit!AF220</f>
        <v>0</v>
      </c>
      <c r="D220" s="188">
        <f t="shared" si="3"/>
        <v>0</v>
      </c>
    </row>
    <row r="221" spans="2:4">
      <c r="B221" s="497">
        <f>B220+Arbeitszeit!AA221-Arbeitszeit!AF221</f>
        <v>0</v>
      </c>
      <c r="D221" s="188">
        <f t="shared" si="3"/>
        <v>0</v>
      </c>
    </row>
    <row r="222" spans="2:4">
      <c r="B222" s="497">
        <f>B221+Arbeitszeit!AA222-Arbeitszeit!AF222</f>
        <v>0</v>
      </c>
      <c r="D222" s="188">
        <f t="shared" si="3"/>
        <v>0</v>
      </c>
    </row>
    <row r="223" spans="2:4">
      <c r="B223" s="497">
        <f>B222+Arbeitszeit!AA223-Arbeitszeit!AF223</f>
        <v>0</v>
      </c>
      <c r="D223" s="188">
        <f t="shared" si="3"/>
        <v>0</v>
      </c>
    </row>
    <row r="224" spans="2:4">
      <c r="B224" s="497">
        <f>B223+Arbeitszeit!AA224-Arbeitszeit!AF224</f>
        <v>0</v>
      </c>
      <c r="D224" s="188">
        <f t="shared" si="3"/>
        <v>0</v>
      </c>
    </row>
    <row r="225" spans="2:4">
      <c r="B225" s="497">
        <f>B224+Arbeitszeit!AA225-Arbeitszeit!AF225</f>
        <v>0</v>
      </c>
      <c r="D225" s="188">
        <f t="shared" si="3"/>
        <v>0</v>
      </c>
    </row>
    <row r="226" spans="2:4">
      <c r="B226" s="497">
        <f>B225+Arbeitszeit!AA226-Arbeitszeit!AF226</f>
        <v>0</v>
      </c>
      <c r="D226" s="188">
        <f t="shared" si="3"/>
        <v>0</v>
      </c>
    </row>
    <row r="227" spans="2:4">
      <c r="B227" s="497">
        <f>B226+Arbeitszeit!AA227-Arbeitszeit!AF227</f>
        <v>0</v>
      </c>
      <c r="D227" s="188">
        <f t="shared" si="3"/>
        <v>0</v>
      </c>
    </row>
    <row r="228" spans="2:4">
      <c r="B228" s="497">
        <f>B227+Arbeitszeit!AA228-Arbeitszeit!AF228</f>
        <v>0</v>
      </c>
      <c r="D228" s="188">
        <f t="shared" si="3"/>
        <v>0</v>
      </c>
    </row>
    <row r="229" spans="2:4">
      <c r="B229" s="497">
        <f>B228+Arbeitszeit!AA229-Arbeitszeit!AF229</f>
        <v>0</v>
      </c>
      <c r="D229" s="188">
        <f t="shared" si="3"/>
        <v>0</v>
      </c>
    </row>
    <row r="230" spans="2:4">
      <c r="B230" s="497">
        <f>B229+Arbeitszeit!AA230-Arbeitszeit!AF230</f>
        <v>0</v>
      </c>
      <c r="D230" s="188">
        <f t="shared" si="3"/>
        <v>0</v>
      </c>
    </row>
    <row r="231" spans="2:4">
      <c r="B231" s="497">
        <f>B230+Arbeitszeit!AA231-Arbeitszeit!AF231</f>
        <v>0</v>
      </c>
      <c r="D231" s="188">
        <f t="shared" si="3"/>
        <v>0</v>
      </c>
    </row>
    <row r="232" spans="2:4">
      <c r="B232" s="497">
        <f>B231+Arbeitszeit!AA232-Arbeitszeit!AF232</f>
        <v>0</v>
      </c>
      <c r="D232" s="188">
        <f t="shared" si="3"/>
        <v>0</v>
      </c>
    </row>
    <row r="233" spans="2:4">
      <c r="B233" s="497">
        <f>B232+Arbeitszeit!AA233-Arbeitszeit!AF233</f>
        <v>0</v>
      </c>
      <c r="D233" s="188">
        <f t="shared" si="3"/>
        <v>0</v>
      </c>
    </row>
    <row r="234" spans="2:4">
      <c r="B234" s="497">
        <f>B233+Arbeitszeit!AA234-Arbeitszeit!AF234</f>
        <v>0</v>
      </c>
      <c r="D234" s="188">
        <f t="shared" si="3"/>
        <v>0</v>
      </c>
    </row>
    <row r="235" spans="2:4">
      <c r="B235" s="497">
        <f>B234+Arbeitszeit!AA235-Arbeitszeit!AF235</f>
        <v>0</v>
      </c>
      <c r="D235" s="188">
        <f t="shared" si="3"/>
        <v>0</v>
      </c>
    </row>
    <row r="236" spans="2:4">
      <c r="B236" s="497">
        <f>B235+Arbeitszeit!AA236-Arbeitszeit!AF236</f>
        <v>0</v>
      </c>
      <c r="D236" s="188">
        <f t="shared" si="3"/>
        <v>0</v>
      </c>
    </row>
    <row r="237" spans="2:4">
      <c r="B237" s="497">
        <f>B236+Arbeitszeit!AA237-Arbeitszeit!AF237</f>
        <v>0</v>
      </c>
      <c r="D237" s="188">
        <f t="shared" si="3"/>
        <v>0</v>
      </c>
    </row>
    <row r="238" spans="2:4">
      <c r="B238" s="497">
        <f>B237+Arbeitszeit!AA238-Arbeitszeit!AF238</f>
        <v>0</v>
      </c>
      <c r="D238" s="188">
        <f t="shared" si="3"/>
        <v>0</v>
      </c>
    </row>
    <row r="239" spans="2:4">
      <c r="B239" s="497">
        <f>B238+Arbeitszeit!AA239-Arbeitszeit!AF239</f>
        <v>0</v>
      </c>
      <c r="D239" s="188">
        <f t="shared" si="3"/>
        <v>0</v>
      </c>
    </row>
    <row r="240" spans="2:4">
      <c r="B240" s="497">
        <f>B239+Arbeitszeit!AA240-Arbeitszeit!AF240</f>
        <v>0</v>
      </c>
      <c r="D240" s="188">
        <f t="shared" si="3"/>
        <v>0</v>
      </c>
    </row>
    <row r="241" spans="2:4">
      <c r="B241" s="497">
        <f>B240+Arbeitszeit!AA241-Arbeitszeit!AF241</f>
        <v>0</v>
      </c>
      <c r="D241" s="188">
        <f t="shared" si="3"/>
        <v>0</v>
      </c>
    </row>
    <row r="242" spans="2:4">
      <c r="B242" s="497">
        <f>B241+Arbeitszeit!AA242-Arbeitszeit!AF242</f>
        <v>0</v>
      </c>
      <c r="D242" s="188">
        <f t="shared" si="3"/>
        <v>0</v>
      </c>
    </row>
    <row r="243" spans="2:4">
      <c r="B243" s="497">
        <f>B242+Arbeitszeit!AA243-Arbeitszeit!AF243</f>
        <v>0</v>
      </c>
      <c r="D243" s="188">
        <f t="shared" si="3"/>
        <v>0</v>
      </c>
    </row>
    <row r="244" spans="2:4">
      <c r="B244" s="497">
        <f>B243+Arbeitszeit!AA244-Arbeitszeit!AF244</f>
        <v>0</v>
      </c>
      <c r="D244" s="188">
        <f t="shared" si="3"/>
        <v>0</v>
      </c>
    </row>
    <row r="245" spans="2:4">
      <c r="B245" s="497">
        <f>B244+Arbeitszeit!AA245-Arbeitszeit!AF245</f>
        <v>0</v>
      </c>
      <c r="D245" s="188">
        <f t="shared" si="3"/>
        <v>0</v>
      </c>
    </row>
    <row r="246" spans="2:4">
      <c r="B246" s="497">
        <f>B245+Arbeitszeit!AA246-Arbeitszeit!AF246</f>
        <v>0</v>
      </c>
      <c r="D246" s="188">
        <f t="shared" si="3"/>
        <v>0</v>
      </c>
    </row>
    <row r="247" spans="2:4">
      <c r="B247" s="497">
        <f>B246+Arbeitszeit!AA247-Arbeitszeit!AF247</f>
        <v>0</v>
      </c>
      <c r="D247" s="188">
        <f t="shared" si="3"/>
        <v>0</v>
      </c>
    </row>
    <row r="248" spans="2:4">
      <c r="B248" s="497">
        <f>B247+Arbeitszeit!AA248-Arbeitszeit!AF248</f>
        <v>0</v>
      </c>
      <c r="D248" s="188">
        <f t="shared" si="3"/>
        <v>0</v>
      </c>
    </row>
    <row r="249" spans="2:4">
      <c r="B249" s="497">
        <f>B248+Arbeitszeit!AA249-Arbeitszeit!AF249</f>
        <v>0</v>
      </c>
      <c r="D249" s="188">
        <f t="shared" si="3"/>
        <v>0</v>
      </c>
    </row>
    <row r="250" spans="2:4">
      <c r="B250" s="497">
        <f>B249+Arbeitszeit!AA250-Arbeitszeit!AF250</f>
        <v>0</v>
      </c>
      <c r="D250" s="188">
        <f t="shared" si="3"/>
        <v>0</v>
      </c>
    </row>
    <row r="251" spans="2:4">
      <c r="B251" s="497">
        <f>B250+Arbeitszeit!AA251-Arbeitszeit!AF251</f>
        <v>0</v>
      </c>
      <c r="D251" s="188">
        <f t="shared" si="3"/>
        <v>0</v>
      </c>
    </row>
    <row r="252" spans="2:4">
      <c r="B252" s="497">
        <f>B251+Arbeitszeit!AA252-Arbeitszeit!AF252</f>
        <v>0</v>
      </c>
      <c r="D252" s="188">
        <f t="shared" si="3"/>
        <v>0</v>
      </c>
    </row>
    <row r="253" spans="2:4">
      <c r="B253" s="497">
        <f>B252+Arbeitszeit!AA253-Arbeitszeit!AF253</f>
        <v>0</v>
      </c>
      <c r="D253" s="188">
        <f t="shared" si="3"/>
        <v>0</v>
      </c>
    </row>
    <row r="254" spans="2:4">
      <c r="B254" s="497">
        <f>B253+Arbeitszeit!AA254-Arbeitszeit!AF254</f>
        <v>0</v>
      </c>
      <c r="D254" s="188">
        <f t="shared" si="3"/>
        <v>0</v>
      </c>
    </row>
    <row r="255" spans="2:4">
      <c r="B255" s="497">
        <f>B254+Arbeitszeit!AA255-Arbeitszeit!AF255</f>
        <v>0</v>
      </c>
      <c r="D255" s="188">
        <f t="shared" si="3"/>
        <v>0</v>
      </c>
    </row>
    <row r="256" spans="2:4">
      <c r="B256" s="497">
        <f>B255+Arbeitszeit!AA256-Arbeitszeit!AF256</f>
        <v>0</v>
      </c>
      <c r="D256" s="188">
        <f t="shared" si="3"/>
        <v>0</v>
      </c>
    </row>
    <row r="257" spans="2:4">
      <c r="B257" s="497">
        <f>B256+Arbeitszeit!AA257-Arbeitszeit!AF257</f>
        <v>0</v>
      </c>
      <c r="D257" s="188">
        <f t="shared" si="3"/>
        <v>0</v>
      </c>
    </row>
    <row r="258" spans="2:4">
      <c r="B258" s="497">
        <f>B257+Arbeitszeit!AA258-Arbeitszeit!AF258</f>
        <v>0</v>
      </c>
      <c r="D258" s="188">
        <f t="shared" si="3"/>
        <v>0</v>
      </c>
    </row>
    <row r="259" spans="2:4">
      <c r="B259" s="497">
        <f>B258+Arbeitszeit!AA259-Arbeitszeit!AF259</f>
        <v>0</v>
      </c>
      <c r="D259" s="188">
        <f t="shared" si="3"/>
        <v>0</v>
      </c>
    </row>
    <row r="260" spans="2:4">
      <c r="B260" s="497">
        <f>B259+Arbeitszeit!AA260-Arbeitszeit!AF260</f>
        <v>0</v>
      </c>
      <c r="D260" s="188">
        <f t="shared" si="3"/>
        <v>0</v>
      </c>
    </row>
    <row r="261" spans="2:4">
      <c r="B261" s="497">
        <f>B260+Arbeitszeit!AA261-Arbeitszeit!AF261</f>
        <v>0</v>
      </c>
      <c r="D261" s="188">
        <f t="shared" si="3"/>
        <v>0</v>
      </c>
    </row>
    <row r="262" spans="2:4">
      <c r="B262" s="497">
        <f>B261+Arbeitszeit!AA262-Arbeitszeit!AF262</f>
        <v>0</v>
      </c>
      <c r="D262" s="188">
        <f t="shared" ref="D262:D325" si="4">db_jSumOverMax</f>
        <v>0</v>
      </c>
    </row>
    <row r="263" spans="2:4">
      <c r="B263" s="497">
        <f>B262+Arbeitszeit!AA263-Arbeitszeit!AF263</f>
        <v>0</v>
      </c>
      <c r="D263" s="188">
        <f t="shared" si="4"/>
        <v>0</v>
      </c>
    </row>
    <row r="264" spans="2:4">
      <c r="B264" s="497">
        <f>B263+Arbeitszeit!AA264-Arbeitszeit!AF264</f>
        <v>0</v>
      </c>
      <c r="D264" s="188">
        <f t="shared" si="4"/>
        <v>0</v>
      </c>
    </row>
    <row r="265" spans="2:4">
      <c r="B265" s="497">
        <f>B264+Arbeitszeit!AA265-Arbeitszeit!AF265</f>
        <v>0</v>
      </c>
      <c r="D265" s="188">
        <f t="shared" si="4"/>
        <v>0</v>
      </c>
    </row>
    <row r="266" spans="2:4">
      <c r="B266" s="497">
        <f>B265+Arbeitszeit!AA266-Arbeitszeit!AF266</f>
        <v>0</v>
      </c>
      <c r="D266" s="188">
        <f t="shared" si="4"/>
        <v>0</v>
      </c>
    </row>
    <row r="267" spans="2:4">
      <c r="B267" s="497">
        <f>B266+Arbeitszeit!AA267-Arbeitszeit!AF267</f>
        <v>0</v>
      </c>
      <c r="D267" s="188">
        <f t="shared" si="4"/>
        <v>0</v>
      </c>
    </row>
    <row r="268" spans="2:4">
      <c r="B268" s="497">
        <f>B267+Arbeitszeit!AA268-Arbeitszeit!AF268</f>
        <v>0</v>
      </c>
      <c r="D268" s="188">
        <f t="shared" si="4"/>
        <v>0</v>
      </c>
    </row>
    <row r="269" spans="2:4">
      <c r="B269" s="497">
        <f>B268+Arbeitszeit!AA269-Arbeitszeit!AF269</f>
        <v>0</v>
      </c>
      <c r="D269" s="188">
        <f t="shared" si="4"/>
        <v>0</v>
      </c>
    </row>
    <row r="270" spans="2:4">
      <c r="B270" s="497">
        <f>B269+Arbeitszeit!AA270-Arbeitszeit!AF270</f>
        <v>0</v>
      </c>
      <c r="D270" s="188">
        <f t="shared" si="4"/>
        <v>0</v>
      </c>
    </row>
    <row r="271" spans="2:4">
      <c r="B271" s="497">
        <f>B270+Arbeitszeit!AA271-Arbeitszeit!AF271</f>
        <v>0</v>
      </c>
      <c r="D271" s="188">
        <f t="shared" si="4"/>
        <v>0</v>
      </c>
    </row>
    <row r="272" spans="2:4">
      <c r="B272" s="497">
        <f>B271+Arbeitszeit!AA272-Arbeitszeit!AF272</f>
        <v>0</v>
      </c>
      <c r="D272" s="188">
        <f t="shared" si="4"/>
        <v>0</v>
      </c>
    </row>
    <row r="273" spans="2:4">
      <c r="B273" s="497">
        <f>B272+Arbeitszeit!AA273-Arbeitszeit!AF273</f>
        <v>0</v>
      </c>
      <c r="D273" s="188">
        <f t="shared" si="4"/>
        <v>0</v>
      </c>
    </row>
    <row r="274" spans="2:4">
      <c r="B274" s="497">
        <f>B273+Arbeitszeit!AA274-Arbeitszeit!AF274</f>
        <v>0</v>
      </c>
      <c r="D274" s="188">
        <f t="shared" si="4"/>
        <v>0</v>
      </c>
    </row>
    <row r="275" spans="2:4">
      <c r="B275" s="497">
        <f>B274+Arbeitszeit!AA275-Arbeitszeit!AF275</f>
        <v>0</v>
      </c>
      <c r="D275" s="188">
        <f t="shared" si="4"/>
        <v>0</v>
      </c>
    </row>
    <row r="276" spans="2:4">
      <c r="B276" s="497">
        <f>B275+Arbeitszeit!AA276-Arbeitszeit!AF276</f>
        <v>0</v>
      </c>
      <c r="D276" s="188">
        <f t="shared" si="4"/>
        <v>0</v>
      </c>
    </row>
    <row r="277" spans="2:4">
      <c r="B277" s="497">
        <f>B276+Arbeitszeit!AA277-Arbeitszeit!AF277</f>
        <v>0</v>
      </c>
      <c r="D277" s="188">
        <f t="shared" si="4"/>
        <v>0</v>
      </c>
    </row>
    <row r="278" spans="2:4">
      <c r="B278" s="497">
        <f>B277+Arbeitszeit!AA278-Arbeitszeit!AF278</f>
        <v>0</v>
      </c>
      <c r="D278" s="188">
        <f t="shared" si="4"/>
        <v>0</v>
      </c>
    </row>
    <row r="279" spans="2:4">
      <c r="B279" s="497">
        <f>B278+Arbeitszeit!AA279-Arbeitszeit!AF279</f>
        <v>0</v>
      </c>
      <c r="D279" s="188">
        <f t="shared" si="4"/>
        <v>0</v>
      </c>
    </row>
    <row r="280" spans="2:4">
      <c r="B280" s="497">
        <f>B279+Arbeitszeit!AA280-Arbeitszeit!AF280</f>
        <v>0</v>
      </c>
      <c r="D280" s="188">
        <f t="shared" si="4"/>
        <v>0</v>
      </c>
    </row>
    <row r="281" spans="2:4">
      <c r="B281" s="497">
        <f>B280+Arbeitszeit!AA281-Arbeitszeit!AF281</f>
        <v>0</v>
      </c>
      <c r="D281" s="188">
        <f t="shared" si="4"/>
        <v>0</v>
      </c>
    </row>
    <row r="282" spans="2:4">
      <c r="B282" s="497">
        <f>B281+Arbeitszeit!AA282-Arbeitszeit!AF282</f>
        <v>0</v>
      </c>
      <c r="D282" s="188">
        <f t="shared" si="4"/>
        <v>0</v>
      </c>
    </row>
    <row r="283" spans="2:4">
      <c r="B283" s="497">
        <f>B282+Arbeitszeit!AA283-Arbeitszeit!AF283</f>
        <v>0</v>
      </c>
      <c r="D283" s="188">
        <f t="shared" si="4"/>
        <v>0</v>
      </c>
    </row>
    <row r="284" spans="2:4">
      <c r="B284" s="497">
        <f>B283+Arbeitszeit!AA284-Arbeitszeit!AF284</f>
        <v>0</v>
      </c>
      <c r="D284" s="188">
        <f t="shared" si="4"/>
        <v>0</v>
      </c>
    </row>
    <row r="285" spans="2:4">
      <c r="B285" s="497">
        <f>B284+Arbeitszeit!AA285-Arbeitszeit!AF285</f>
        <v>0</v>
      </c>
      <c r="D285" s="188">
        <f t="shared" si="4"/>
        <v>0</v>
      </c>
    </row>
    <row r="286" spans="2:4">
      <c r="B286" s="497">
        <f>B285+Arbeitszeit!AA286-Arbeitszeit!AF286</f>
        <v>0</v>
      </c>
      <c r="D286" s="188">
        <f t="shared" si="4"/>
        <v>0</v>
      </c>
    </row>
    <row r="287" spans="2:4">
      <c r="B287" s="497">
        <f>B286+Arbeitszeit!AA287-Arbeitszeit!AF287</f>
        <v>0</v>
      </c>
      <c r="D287" s="188">
        <f t="shared" si="4"/>
        <v>0</v>
      </c>
    </row>
    <row r="288" spans="2:4">
      <c r="B288" s="497">
        <f>B287+Arbeitszeit!AA288-Arbeitszeit!AF288</f>
        <v>0</v>
      </c>
      <c r="D288" s="188">
        <f t="shared" si="4"/>
        <v>0</v>
      </c>
    </row>
    <row r="289" spans="2:4">
      <c r="B289" s="497">
        <f>B288+Arbeitszeit!AA289-Arbeitszeit!AF289</f>
        <v>0</v>
      </c>
      <c r="D289" s="188">
        <f t="shared" si="4"/>
        <v>0</v>
      </c>
    </row>
    <row r="290" spans="2:4">
      <c r="B290" s="497">
        <f>B289+Arbeitszeit!AA290-Arbeitszeit!AF290</f>
        <v>0</v>
      </c>
      <c r="D290" s="188">
        <f t="shared" si="4"/>
        <v>0</v>
      </c>
    </row>
    <row r="291" spans="2:4">
      <c r="B291" s="497">
        <f>B290+Arbeitszeit!AA291-Arbeitszeit!AF291</f>
        <v>0</v>
      </c>
      <c r="D291" s="188">
        <f t="shared" si="4"/>
        <v>0</v>
      </c>
    </row>
    <row r="292" spans="2:4">
      <c r="B292" s="497">
        <f>B291+Arbeitszeit!AA292-Arbeitszeit!AF292</f>
        <v>0</v>
      </c>
      <c r="D292" s="188">
        <f t="shared" si="4"/>
        <v>0</v>
      </c>
    </row>
    <row r="293" spans="2:4">
      <c r="B293" s="497">
        <f>B292+Arbeitszeit!AA293-Arbeitszeit!AF293</f>
        <v>0</v>
      </c>
      <c r="D293" s="188">
        <f t="shared" si="4"/>
        <v>0</v>
      </c>
    </row>
    <row r="294" spans="2:4">
      <c r="B294" s="497">
        <f>B293+Arbeitszeit!AA294-Arbeitszeit!AF294</f>
        <v>0</v>
      </c>
      <c r="D294" s="188">
        <f t="shared" si="4"/>
        <v>0</v>
      </c>
    </row>
    <row r="295" spans="2:4">
      <c r="B295" s="497">
        <f>B294+Arbeitszeit!AA295-Arbeitszeit!AF295</f>
        <v>0</v>
      </c>
      <c r="D295" s="188">
        <f t="shared" si="4"/>
        <v>0</v>
      </c>
    </row>
    <row r="296" spans="2:4">
      <c r="B296" s="497">
        <f>B295+Arbeitszeit!AA296-Arbeitszeit!AF296</f>
        <v>0</v>
      </c>
      <c r="D296" s="188">
        <f t="shared" si="4"/>
        <v>0</v>
      </c>
    </row>
    <row r="297" spans="2:4">
      <c r="B297" s="497">
        <f>B296+Arbeitszeit!AA297-Arbeitszeit!AF297</f>
        <v>0</v>
      </c>
      <c r="D297" s="188">
        <f t="shared" si="4"/>
        <v>0</v>
      </c>
    </row>
    <row r="298" spans="2:4">
      <c r="B298" s="497">
        <f>B297+Arbeitszeit!AA298-Arbeitszeit!AF298</f>
        <v>0</v>
      </c>
      <c r="D298" s="188">
        <f t="shared" si="4"/>
        <v>0</v>
      </c>
    </row>
    <row r="299" spans="2:4">
      <c r="B299" s="497">
        <f>B298+Arbeitszeit!AA299-Arbeitszeit!AF299</f>
        <v>0</v>
      </c>
      <c r="D299" s="188">
        <f t="shared" si="4"/>
        <v>0</v>
      </c>
    </row>
    <row r="300" spans="2:4">
      <c r="B300" s="497">
        <f>B299+Arbeitszeit!AA300-Arbeitszeit!AF300</f>
        <v>0</v>
      </c>
      <c r="D300" s="188">
        <f t="shared" si="4"/>
        <v>0</v>
      </c>
    </row>
    <row r="301" spans="2:4">
      <c r="B301" s="497">
        <f>B300+Arbeitszeit!AA301-Arbeitszeit!AF301</f>
        <v>0</v>
      </c>
      <c r="D301" s="188">
        <f t="shared" si="4"/>
        <v>0</v>
      </c>
    </row>
    <row r="302" spans="2:4">
      <c r="B302" s="497">
        <f>B301+Arbeitszeit!AA302-Arbeitszeit!AF302</f>
        <v>0</v>
      </c>
      <c r="D302" s="188">
        <f t="shared" si="4"/>
        <v>0</v>
      </c>
    </row>
    <row r="303" spans="2:4">
      <c r="B303" s="497">
        <f>B302+Arbeitszeit!AA303-Arbeitszeit!AF303</f>
        <v>0</v>
      </c>
      <c r="D303" s="188">
        <f t="shared" si="4"/>
        <v>0</v>
      </c>
    </row>
    <row r="304" spans="2:4">
      <c r="B304" s="497">
        <f>B303+Arbeitszeit!AA304-Arbeitszeit!AF304</f>
        <v>0</v>
      </c>
      <c r="D304" s="188">
        <f t="shared" si="4"/>
        <v>0</v>
      </c>
    </row>
    <row r="305" spans="2:4">
      <c r="B305" s="497">
        <f>B304+Arbeitszeit!AA305-Arbeitszeit!AF305</f>
        <v>0</v>
      </c>
      <c r="D305" s="188">
        <f t="shared" si="4"/>
        <v>0</v>
      </c>
    </row>
    <row r="306" spans="2:4">
      <c r="B306" s="497">
        <f>B305+Arbeitszeit!AA306-Arbeitszeit!AF306</f>
        <v>0</v>
      </c>
      <c r="D306" s="188">
        <f t="shared" si="4"/>
        <v>0</v>
      </c>
    </row>
    <row r="307" spans="2:4">
      <c r="B307" s="497">
        <f>B306+Arbeitszeit!AA307-Arbeitszeit!AF307</f>
        <v>0</v>
      </c>
      <c r="D307" s="188">
        <f t="shared" si="4"/>
        <v>0</v>
      </c>
    </row>
    <row r="308" spans="2:4">
      <c r="B308" s="497">
        <f>B307+Arbeitszeit!AA308-Arbeitszeit!AF308</f>
        <v>0</v>
      </c>
      <c r="D308" s="188">
        <f t="shared" si="4"/>
        <v>0</v>
      </c>
    </row>
    <row r="309" spans="2:4">
      <c r="B309" s="497">
        <f>B308+Arbeitszeit!AA309-Arbeitszeit!AF309</f>
        <v>0</v>
      </c>
      <c r="D309" s="188">
        <f t="shared" si="4"/>
        <v>0</v>
      </c>
    </row>
    <row r="310" spans="2:4">
      <c r="B310" s="497">
        <f>B309+Arbeitszeit!AA310-Arbeitszeit!AF310</f>
        <v>0</v>
      </c>
      <c r="D310" s="188">
        <f t="shared" si="4"/>
        <v>0</v>
      </c>
    </row>
    <row r="311" spans="2:4">
      <c r="B311" s="497">
        <f>B310+Arbeitszeit!AA311-Arbeitszeit!AF311</f>
        <v>0</v>
      </c>
      <c r="D311" s="188">
        <f t="shared" si="4"/>
        <v>0</v>
      </c>
    </row>
    <row r="312" spans="2:4">
      <c r="B312" s="497">
        <f>B311+Arbeitszeit!AA312-Arbeitszeit!AF312</f>
        <v>0</v>
      </c>
      <c r="D312" s="188">
        <f t="shared" si="4"/>
        <v>0</v>
      </c>
    </row>
    <row r="313" spans="2:4">
      <c r="B313" s="497">
        <f>B312+Arbeitszeit!AA313-Arbeitszeit!AF313</f>
        <v>0</v>
      </c>
      <c r="D313" s="188">
        <f t="shared" si="4"/>
        <v>0</v>
      </c>
    </row>
    <row r="314" spans="2:4">
      <c r="B314" s="497">
        <f>B313+Arbeitszeit!AA314-Arbeitszeit!AF314</f>
        <v>0</v>
      </c>
      <c r="D314" s="188">
        <f t="shared" si="4"/>
        <v>0</v>
      </c>
    </row>
    <row r="315" spans="2:4">
      <c r="B315" s="497">
        <f>B314+Arbeitszeit!AA315-Arbeitszeit!AF315</f>
        <v>0</v>
      </c>
      <c r="D315" s="188">
        <f t="shared" si="4"/>
        <v>0</v>
      </c>
    </row>
    <row r="316" spans="2:4">
      <c r="B316" s="497">
        <f>B315+Arbeitszeit!AA316-Arbeitszeit!AF316</f>
        <v>0</v>
      </c>
      <c r="D316" s="188">
        <f t="shared" si="4"/>
        <v>0</v>
      </c>
    </row>
    <row r="317" spans="2:4">
      <c r="B317" s="497">
        <f>B316+Arbeitszeit!AA317-Arbeitszeit!AF317</f>
        <v>0</v>
      </c>
      <c r="D317" s="188">
        <f t="shared" si="4"/>
        <v>0</v>
      </c>
    </row>
    <row r="318" spans="2:4">
      <c r="B318" s="497">
        <f>B317+Arbeitszeit!AA318-Arbeitszeit!AF318</f>
        <v>0</v>
      </c>
      <c r="D318" s="188">
        <f t="shared" si="4"/>
        <v>0</v>
      </c>
    </row>
    <row r="319" spans="2:4">
      <c r="B319" s="497">
        <f>B318+Arbeitszeit!AA319-Arbeitszeit!AF319</f>
        <v>0</v>
      </c>
      <c r="D319" s="188">
        <f t="shared" si="4"/>
        <v>0</v>
      </c>
    </row>
    <row r="320" spans="2:4">
      <c r="B320" s="497">
        <f>B319+Arbeitszeit!AA320-Arbeitszeit!AF320</f>
        <v>0</v>
      </c>
      <c r="D320" s="188">
        <f t="shared" si="4"/>
        <v>0</v>
      </c>
    </row>
    <row r="321" spans="2:4">
      <c r="B321" s="497">
        <f>B320+Arbeitszeit!AA321-Arbeitszeit!AF321</f>
        <v>0</v>
      </c>
      <c r="D321" s="188">
        <f t="shared" si="4"/>
        <v>0</v>
      </c>
    </row>
    <row r="322" spans="2:4">
      <c r="B322" s="497">
        <f>B321+Arbeitszeit!AA322-Arbeitszeit!AF322</f>
        <v>0</v>
      </c>
      <c r="D322" s="188">
        <f t="shared" si="4"/>
        <v>0</v>
      </c>
    </row>
    <row r="323" spans="2:4">
      <c r="B323" s="497">
        <f>B322+Arbeitszeit!AA323-Arbeitszeit!AF323</f>
        <v>0</v>
      </c>
      <c r="D323" s="188">
        <f t="shared" si="4"/>
        <v>0</v>
      </c>
    </row>
    <row r="324" spans="2:4">
      <c r="B324" s="497">
        <f>B323+Arbeitszeit!AA324-Arbeitszeit!AF324</f>
        <v>0</v>
      </c>
      <c r="D324" s="188">
        <f t="shared" si="4"/>
        <v>0</v>
      </c>
    </row>
    <row r="325" spans="2:4">
      <c r="B325" s="497">
        <f>B324+Arbeitszeit!AA325-Arbeitszeit!AF325</f>
        <v>0</v>
      </c>
      <c r="D325" s="188">
        <f t="shared" si="4"/>
        <v>0</v>
      </c>
    </row>
    <row r="326" spans="2:4">
      <c r="B326" s="497">
        <f>B325+Arbeitszeit!AA326-Arbeitszeit!AF326</f>
        <v>0</v>
      </c>
      <c r="D326" s="188">
        <f t="shared" ref="D326:D373" si="5">db_jSumOverMax</f>
        <v>0</v>
      </c>
    </row>
    <row r="327" spans="2:4">
      <c r="B327" s="497">
        <f>B326+Arbeitszeit!AA327-Arbeitszeit!AF327</f>
        <v>0</v>
      </c>
      <c r="D327" s="188">
        <f t="shared" si="5"/>
        <v>0</v>
      </c>
    </row>
    <row r="328" spans="2:4">
      <c r="B328" s="497">
        <f>B327+Arbeitszeit!AA328-Arbeitszeit!AF328</f>
        <v>0</v>
      </c>
      <c r="D328" s="188">
        <f t="shared" si="5"/>
        <v>0</v>
      </c>
    </row>
    <row r="329" spans="2:4">
      <c r="B329" s="497">
        <f>B328+Arbeitszeit!AA329-Arbeitszeit!AF329</f>
        <v>0</v>
      </c>
      <c r="D329" s="188">
        <f t="shared" si="5"/>
        <v>0</v>
      </c>
    </row>
    <row r="330" spans="2:4">
      <c r="B330" s="497">
        <f>B329+Arbeitszeit!AA330-Arbeitszeit!AF330</f>
        <v>0</v>
      </c>
      <c r="D330" s="188">
        <f t="shared" si="5"/>
        <v>0</v>
      </c>
    </row>
    <row r="331" spans="2:4">
      <c r="B331" s="497">
        <f>B330+Arbeitszeit!AA331-Arbeitszeit!AF331</f>
        <v>0</v>
      </c>
      <c r="D331" s="188">
        <f t="shared" si="5"/>
        <v>0</v>
      </c>
    </row>
    <row r="332" spans="2:4">
      <c r="B332" s="497">
        <f>B331+Arbeitszeit!AA332-Arbeitszeit!AF332</f>
        <v>0</v>
      </c>
      <c r="D332" s="188">
        <f t="shared" si="5"/>
        <v>0</v>
      </c>
    </row>
    <row r="333" spans="2:4">
      <c r="B333" s="497">
        <f>B332+Arbeitszeit!AA333-Arbeitszeit!AF333</f>
        <v>0</v>
      </c>
      <c r="D333" s="188">
        <f t="shared" si="5"/>
        <v>0</v>
      </c>
    </row>
    <row r="334" spans="2:4">
      <c r="B334" s="497">
        <f>B333+Arbeitszeit!AA334-Arbeitszeit!AF334</f>
        <v>0</v>
      </c>
      <c r="D334" s="188">
        <f t="shared" si="5"/>
        <v>0</v>
      </c>
    </row>
    <row r="335" spans="2:4">
      <c r="B335" s="497">
        <f>B334+Arbeitszeit!AA335-Arbeitszeit!AF335</f>
        <v>0</v>
      </c>
      <c r="D335" s="188">
        <f t="shared" si="5"/>
        <v>0</v>
      </c>
    </row>
    <row r="336" spans="2:4">
      <c r="B336" s="497">
        <f>B335+Arbeitszeit!AA336-Arbeitszeit!AF336</f>
        <v>0</v>
      </c>
      <c r="D336" s="188">
        <f t="shared" si="5"/>
        <v>0</v>
      </c>
    </row>
    <row r="337" spans="2:4">
      <c r="B337" s="497">
        <f>B336+Arbeitszeit!AA337-Arbeitszeit!AF337</f>
        <v>0</v>
      </c>
      <c r="D337" s="188">
        <f t="shared" si="5"/>
        <v>0</v>
      </c>
    </row>
    <row r="338" spans="2:4">
      <c r="B338" s="497">
        <f>B337+Arbeitszeit!AA338-Arbeitszeit!AF338</f>
        <v>0</v>
      </c>
      <c r="D338" s="188">
        <f t="shared" si="5"/>
        <v>0</v>
      </c>
    </row>
    <row r="339" spans="2:4">
      <c r="B339" s="497">
        <f>B338+Arbeitszeit!AA339-Arbeitszeit!AF339</f>
        <v>0</v>
      </c>
      <c r="D339" s="188">
        <f t="shared" si="5"/>
        <v>0</v>
      </c>
    </row>
    <row r="340" spans="2:4">
      <c r="B340" s="497">
        <f>B339+Arbeitszeit!AA340-Arbeitszeit!AF340</f>
        <v>0</v>
      </c>
      <c r="D340" s="188">
        <f t="shared" si="5"/>
        <v>0</v>
      </c>
    </row>
    <row r="341" spans="2:4">
      <c r="B341" s="497">
        <f>B340+Arbeitszeit!AA341-Arbeitszeit!AF341</f>
        <v>0</v>
      </c>
      <c r="D341" s="188">
        <f t="shared" si="5"/>
        <v>0</v>
      </c>
    </row>
    <row r="342" spans="2:4">
      <c r="B342" s="497">
        <f>B341+Arbeitszeit!AA342-Arbeitszeit!AF342</f>
        <v>0</v>
      </c>
      <c r="D342" s="188">
        <f t="shared" si="5"/>
        <v>0</v>
      </c>
    </row>
    <row r="343" spans="2:4">
      <c r="B343" s="497">
        <f>B342+Arbeitszeit!AA343-Arbeitszeit!AF343</f>
        <v>0</v>
      </c>
      <c r="D343" s="188">
        <f t="shared" si="5"/>
        <v>0</v>
      </c>
    </row>
    <row r="344" spans="2:4">
      <c r="B344" s="497">
        <f>B343+Arbeitszeit!AA344-Arbeitszeit!AF344</f>
        <v>0</v>
      </c>
      <c r="D344" s="188">
        <f t="shared" si="5"/>
        <v>0</v>
      </c>
    </row>
    <row r="345" spans="2:4">
      <c r="B345" s="497">
        <f>B344+Arbeitszeit!AA345-Arbeitszeit!AF345</f>
        <v>0</v>
      </c>
      <c r="D345" s="188">
        <f t="shared" si="5"/>
        <v>0</v>
      </c>
    </row>
    <row r="346" spans="2:4">
      <c r="B346" s="497">
        <f>B345+Arbeitszeit!AA346-Arbeitszeit!AF346</f>
        <v>0</v>
      </c>
      <c r="D346" s="188">
        <f t="shared" si="5"/>
        <v>0</v>
      </c>
    </row>
    <row r="347" spans="2:4">
      <c r="B347" s="497">
        <f>B346+Arbeitszeit!AA347-Arbeitszeit!AF347</f>
        <v>0</v>
      </c>
      <c r="D347" s="188">
        <f t="shared" si="5"/>
        <v>0</v>
      </c>
    </row>
    <row r="348" spans="2:4">
      <c r="B348" s="497">
        <f>B347+Arbeitszeit!AA348-Arbeitszeit!AF348</f>
        <v>0</v>
      </c>
      <c r="D348" s="188">
        <f t="shared" si="5"/>
        <v>0</v>
      </c>
    </row>
    <row r="349" spans="2:4">
      <c r="B349" s="497">
        <f>B348+Arbeitszeit!AA349-Arbeitszeit!AF349</f>
        <v>0</v>
      </c>
      <c r="D349" s="188">
        <f t="shared" si="5"/>
        <v>0</v>
      </c>
    </row>
    <row r="350" spans="2:4">
      <c r="B350" s="497">
        <f>B349+Arbeitszeit!AA350-Arbeitszeit!AF350</f>
        <v>0</v>
      </c>
      <c r="D350" s="188">
        <f t="shared" si="5"/>
        <v>0</v>
      </c>
    </row>
    <row r="351" spans="2:4">
      <c r="B351" s="497">
        <f>B350+Arbeitszeit!AA351-Arbeitszeit!AF351</f>
        <v>0</v>
      </c>
      <c r="D351" s="188">
        <f t="shared" si="5"/>
        <v>0</v>
      </c>
    </row>
    <row r="352" spans="2:4">
      <c r="B352" s="497">
        <f>B351+Arbeitszeit!AA352-Arbeitszeit!AF352</f>
        <v>0</v>
      </c>
      <c r="D352" s="188">
        <f t="shared" si="5"/>
        <v>0</v>
      </c>
    </row>
    <row r="353" spans="2:4">
      <c r="B353" s="497">
        <f>B352+Arbeitszeit!AA353-Arbeitszeit!AF353</f>
        <v>0</v>
      </c>
      <c r="D353" s="188">
        <f t="shared" si="5"/>
        <v>0</v>
      </c>
    </row>
    <row r="354" spans="2:4">
      <c r="B354" s="497">
        <f>B353+Arbeitszeit!AA354-Arbeitszeit!AF354</f>
        <v>0</v>
      </c>
      <c r="D354" s="188">
        <f t="shared" si="5"/>
        <v>0</v>
      </c>
    </row>
    <row r="355" spans="2:4">
      <c r="B355" s="497">
        <f>B354+Arbeitszeit!AA355-Arbeitszeit!AF355</f>
        <v>0</v>
      </c>
      <c r="D355" s="188">
        <f t="shared" si="5"/>
        <v>0</v>
      </c>
    </row>
    <row r="356" spans="2:4">
      <c r="B356" s="497">
        <f>B355+Arbeitszeit!AA356-Arbeitszeit!AF356</f>
        <v>0</v>
      </c>
      <c r="D356" s="188">
        <f t="shared" si="5"/>
        <v>0</v>
      </c>
    </row>
    <row r="357" spans="2:4">
      <c r="B357" s="497">
        <f>B356+Arbeitszeit!AA357-Arbeitszeit!AF357</f>
        <v>0</v>
      </c>
      <c r="D357" s="188">
        <f t="shared" si="5"/>
        <v>0</v>
      </c>
    </row>
    <row r="358" spans="2:4">
      <c r="B358" s="497">
        <f>B357+Arbeitszeit!AA358-Arbeitszeit!AF358</f>
        <v>0</v>
      </c>
      <c r="D358" s="188">
        <f t="shared" si="5"/>
        <v>0</v>
      </c>
    </row>
    <row r="359" spans="2:4">
      <c r="B359" s="497">
        <f>B358+Arbeitszeit!AA359-Arbeitszeit!AF359</f>
        <v>0</v>
      </c>
      <c r="D359" s="188">
        <f t="shared" si="5"/>
        <v>0</v>
      </c>
    </row>
    <row r="360" spans="2:4">
      <c r="B360" s="497">
        <f>B359+Arbeitszeit!AA360-Arbeitszeit!AF360</f>
        <v>0</v>
      </c>
      <c r="D360" s="188">
        <f t="shared" si="5"/>
        <v>0</v>
      </c>
    </row>
    <row r="361" spans="2:4">
      <c r="B361" s="497">
        <f>B360+Arbeitszeit!AA361-Arbeitszeit!AF361</f>
        <v>0</v>
      </c>
      <c r="D361" s="188">
        <f t="shared" si="5"/>
        <v>0</v>
      </c>
    </row>
    <row r="362" spans="2:4">
      <c r="B362" s="497">
        <f>B361+Arbeitszeit!AA362-Arbeitszeit!AF362</f>
        <v>0</v>
      </c>
      <c r="D362" s="188">
        <f t="shared" si="5"/>
        <v>0</v>
      </c>
    </row>
    <row r="363" spans="2:4">
      <c r="B363" s="497">
        <f>B362+Arbeitszeit!AA363-Arbeitszeit!AF363</f>
        <v>0</v>
      </c>
      <c r="D363" s="188">
        <f t="shared" si="5"/>
        <v>0</v>
      </c>
    </row>
    <row r="364" spans="2:4">
      <c r="B364" s="497">
        <f>B363+Arbeitszeit!AA364-Arbeitszeit!AF364</f>
        <v>0</v>
      </c>
      <c r="D364" s="188">
        <f t="shared" si="5"/>
        <v>0</v>
      </c>
    </row>
    <row r="365" spans="2:4">
      <c r="B365" s="497">
        <f>B364+Arbeitszeit!AA365-Arbeitszeit!AF365</f>
        <v>0</v>
      </c>
      <c r="D365" s="188">
        <f t="shared" si="5"/>
        <v>0</v>
      </c>
    </row>
    <row r="366" spans="2:4">
      <c r="B366" s="497">
        <f>B365+Arbeitszeit!AA366-Arbeitszeit!AF366</f>
        <v>0</v>
      </c>
      <c r="D366" s="188">
        <f t="shared" si="5"/>
        <v>0</v>
      </c>
    </row>
    <row r="367" spans="2:4">
      <c r="B367" s="497">
        <f>B366+Arbeitszeit!AA367-Arbeitszeit!AF367</f>
        <v>0</v>
      </c>
      <c r="D367" s="188">
        <f t="shared" si="5"/>
        <v>0</v>
      </c>
    </row>
    <row r="368" spans="2:4">
      <c r="B368" s="497">
        <f>B367+Arbeitszeit!AA368-Arbeitszeit!AF368</f>
        <v>0</v>
      </c>
      <c r="D368" s="188">
        <f t="shared" si="5"/>
        <v>0</v>
      </c>
    </row>
    <row r="369" spans="2:4">
      <c r="B369" s="497">
        <f>B368+Arbeitszeit!AA369-Arbeitszeit!AF369</f>
        <v>0</v>
      </c>
      <c r="D369" s="188">
        <f t="shared" si="5"/>
        <v>0</v>
      </c>
    </row>
    <row r="370" spans="2:4">
      <c r="B370" s="497">
        <f>B369+Arbeitszeit!AA370-Arbeitszeit!AF370</f>
        <v>0</v>
      </c>
      <c r="D370" s="188">
        <f t="shared" si="5"/>
        <v>0</v>
      </c>
    </row>
    <row r="371" spans="2:4">
      <c r="B371" s="497">
        <f>B370+Arbeitszeit!AA371-Arbeitszeit!AF371</f>
        <v>0</v>
      </c>
      <c r="D371" s="188">
        <f t="shared" si="5"/>
        <v>0</v>
      </c>
    </row>
    <row r="372" spans="2:4">
      <c r="B372" s="497">
        <f>B371+Arbeitszeit!AA372-Arbeitszeit!AF372</f>
        <v>0</v>
      </c>
      <c r="D372" s="188">
        <f t="shared" si="5"/>
        <v>0</v>
      </c>
    </row>
    <row r="373" spans="2:4">
      <c r="B373" s="497">
        <f>B372+Arbeitszeit!AA373-Arbeitszeit!AF373</f>
        <v>0</v>
      </c>
      <c r="D373" s="188">
        <f t="shared" si="5"/>
        <v>0</v>
      </c>
    </row>
    <row r="374" spans="2:4">
      <c r="B374" s="497"/>
      <c r="D374" s="188"/>
    </row>
    <row r="375" spans="2:4">
      <c r="D375" s="188"/>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28"/>
  <sheetViews>
    <sheetView showZeros="0" zoomScale="95" zoomScaleNormal="95" workbookViewId="0">
      <pane xSplit="4" ySplit="3" topLeftCell="E4" activePane="bottomRight" state="frozenSplit"/>
      <selection pane="topRight" activeCell="E1" sqref="E1"/>
      <selection pane="bottomLeft" activeCell="A3" sqref="A3"/>
      <selection pane="bottomRight" activeCell="L76" sqref="L76"/>
    </sheetView>
  </sheetViews>
  <sheetFormatPr baseColWidth="10" defaultColWidth="11.5703125" defaultRowHeight="12.75"/>
  <cols>
    <col min="1" max="1" width="11.7109375" customWidth="1"/>
    <col min="2" max="2" width="0.85546875" customWidth="1"/>
    <col min="3" max="3" width="7" customWidth="1"/>
    <col min="4" max="4" width="19.140625" customWidth="1"/>
    <col min="5" max="16" width="4.7109375" customWidth="1"/>
    <col min="17" max="17" width="3.5703125" style="460" hidden="1" customWidth="1"/>
    <col min="18" max="18" width="7" customWidth="1"/>
    <col min="19" max="19" width="34.28515625" bestFit="1" customWidth="1"/>
  </cols>
  <sheetData>
    <row r="1" spans="1:19">
      <c r="A1" s="1" t="s">
        <v>97</v>
      </c>
      <c r="B1" s="1"/>
      <c r="C1" s="2" t="str">
        <f>B_PersonName</f>
        <v>Mustermann</v>
      </c>
      <c r="F1" s="4" t="s">
        <v>98</v>
      </c>
      <c r="G1" s="2" t="str">
        <f>B_Department</f>
        <v>Siemens</v>
      </c>
    </row>
    <row r="2" spans="1:19" ht="13.5" thickBot="1">
      <c r="A2" s="141" t="str">
        <f ca="1">CELL("filename",A2)</f>
        <v>D:\_pdata\GLAZ\andi\[vGlaz2020.xlsm]AufgabenM</v>
      </c>
      <c r="B2" s="141"/>
      <c r="D2" s="3"/>
    </row>
    <row r="3" spans="1:19" ht="51" customHeight="1" thickBot="1">
      <c r="A3" s="461">
        <f>Arbeitszeit!xJahr</f>
        <v>42369</v>
      </c>
      <c r="B3" s="462"/>
      <c r="C3" s="495" t="s">
        <v>75</v>
      </c>
      <c r="D3" s="496" t="s">
        <v>76</v>
      </c>
      <c r="E3" s="492">
        <f>Arbeitszeit!xJahr</f>
        <v>42369</v>
      </c>
      <c r="F3" s="492">
        <f t="shared" ref="F3:Q3" si="0">DATE(YEAR(E3),MONTH(E3)+1,1)</f>
        <v>42400</v>
      </c>
      <c r="G3" s="492">
        <f t="shared" si="0"/>
        <v>42429</v>
      </c>
      <c r="H3" s="492">
        <f t="shared" si="0"/>
        <v>42460</v>
      </c>
      <c r="I3" s="492">
        <f t="shared" si="0"/>
        <v>42490</v>
      </c>
      <c r="J3" s="492">
        <f t="shared" si="0"/>
        <v>42521</v>
      </c>
      <c r="K3" s="492">
        <f t="shared" si="0"/>
        <v>42551</v>
      </c>
      <c r="L3" s="492">
        <f t="shared" si="0"/>
        <v>42582</v>
      </c>
      <c r="M3" s="492">
        <f t="shared" si="0"/>
        <v>42613</v>
      </c>
      <c r="N3" s="492">
        <f t="shared" si="0"/>
        <v>42643</v>
      </c>
      <c r="O3" s="492">
        <f t="shared" si="0"/>
        <v>42674</v>
      </c>
      <c r="P3" s="492">
        <f t="shared" si="0"/>
        <v>42704</v>
      </c>
      <c r="Q3" s="493">
        <f t="shared" si="0"/>
        <v>42735</v>
      </c>
      <c r="R3" s="494" t="s">
        <v>77</v>
      </c>
      <c r="S3" s="463" t="s">
        <v>18</v>
      </c>
    </row>
    <row r="4" spans="1:19">
      <c r="A4" s="476" t="str">
        <f>INDEX(g_NameAufgaben,$B4)</f>
        <v>Urlaub</v>
      </c>
      <c r="B4" s="464">
        <v>1</v>
      </c>
      <c r="C4" s="480"/>
      <c r="D4" s="465"/>
      <c r="E4" s="498">
        <f t="shared" ref="E4:P4" ca="1" si="1">SUM(OFFSET(db_Aufgaben,MATCH(E$3,db_Aufgaben_Zeit,0)+1,($B4-1)*2,F$3-E$3,1))</f>
        <v>0</v>
      </c>
      <c r="F4" s="498">
        <f t="shared" ca="1" si="1"/>
        <v>0</v>
      </c>
      <c r="G4" s="498">
        <f t="shared" ca="1" si="1"/>
        <v>0</v>
      </c>
      <c r="H4" s="498">
        <f t="shared" ca="1" si="1"/>
        <v>0</v>
      </c>
      <c r="I4" s="498">
        <f t="shared" ca="1" si="1"/>
        <v>0</v>
      </c>
      <c r="J4" s="498">
        <f t="shared" ca="1" si="1"/>
        <v>0</v>
      </c>
      <c r="K4" s="498">
        <f t="shared" ca="1" si="1"/>
        <v>0</v>
      </c>
      <c r="L4" s="498">
        <f t="shared" ca="1" si="1"/>
        <v>0</v>
      </c>
      <c r="M4" s="498">
        <f t="shared" ca="1" si="1"/>
        <v>0</v>
      </c>
      <c r="N4" s="498">
        <f t="shared" ca="1" si="1"/>
        <v>0</v>
      </c>
      <c r="O4" s="498">
        <f t="shared" ca="1" si="1"/>
        <v>0</v>
      </c>
      <c r="P4" s="498">
        <f t="shared" ca="1" si="1"/>
        <v>0</v>
      </c>
      <c r="Q4" s="499"/>
      <c r="R4" s="500">
        <f t="shared" ref="R4:R25" ca="1" si="2">SUM(E4:P4)</f>
        <v>0</v>
      </c>
      <c r="S4" s="466"/>
    </row>
    <row r="5" spans="1:19">
      <c r="A5" s="477" t="str">
        <f t="shared" ref="A5:A25" si="3">INDEX(g_NameAufgaben,$B5)</f>
        <v>Krank</v>
      </c>
      <c r="B5" s="467">
        <v>2</v>
      </c>
      <c r="C5" s="481"/>
      <c r="D5" s="153"/>
      <c r="E5" s="501">
        <f t="shared" ref="E5:P5" ca="1" si="4">SUM(OFFSET(db_Aufgaben,MATCH(E$3,db_Aufgaben_Zeit,0)+1,($B5-1)*2,F$3-E$3,1))</f>
        <v>0</v>
      </c>
      <c r="F5" s="501">
        <f t="shared" ca="1" si="4"/>
        <v>0</v>
      </c>
      <c r="G5" s="501">
        <f t="shared" ca="1" si="4"/>
        <v>0</v>
      </c>
      <c r="H5" s="501">
        <f t="shared" ca="1" si="4"/>
        <v>0</v>
      </c>
      <c r="I5" s="501">
        <f t="shared" ca="1" si="4"/>
        <v>0</v>
      </c>
      <c r="J5" s="501">
        <f t="shared" ca="1" si="4"/>
        <v>0</v>
      </c>
      <c r="K5" s="501">
        <f t="shared" ca="1" si="4"/>
        <v>0</v>
      </c>
      <c r="L5" s="501">
        <f t="shared" ca="1" si="4"/>
        <v>0</v>
      </c>
      <c r="M5" s="501">
        <f t="shared" ca="1" si="4"/>
        <v>0</v>
      </c>
      <c r="N5" s="501">
        <f t="shared" ca="1" si="4"/>
        <v>0</v>
      </c>
      <c r="O5" s="501">
        <f t="shared" ca="1" si="4"/>
        <v>0</v>
      </c>
      <c r="P5" s="501">
        <f t="shared" ca="1" si="4"/>
        <v>0</v>
      </c>
      <c r="Q5" s="502"/>
      <c r="R5" s="503">
        <f t="shared" ca="1" si="2"/>
        <v>0</v>
      </c>
      <c r="S5" s="468"/>
    </row>
    <row r="6" spans="1:19">
      <c r="A6" s="478" t="str">
        <f t="shared" si="3"/>
        <v>Allgemein</v>
      </c>
      <c r="B6" s="469">
        <v>3</v>
      </c>
      <c r="C6" s="482"/>
      <c r="D6" s="470"/>
      <c r="E6" s="504">
        <f t="shared" ref="E6:P6" ca="1" si="5">SUM(OFFSET(db_Aufgaben,MATCH(E$3,db_Aufgaben_Zeit,0)+1,($B6-1)*2,F$3-E$3,1))</f>
        <v>0</v>
      </c>
      <c r="F6" s="504">
        <f t="shared" ca="1" si="5"/>
        <v>0</v>
      </c>
      <c r="G6" s="504">
        <f t="shared" ca="1" si="5"/>
        <v>0</v>
      </c>
      <c r="H6" s="504">
        <f t="shared" ca="1" si="5"/>
        <v>0</v>
      </c>
      <c r="I6" s="504">
        <f t="shared" ca="1" si="5"/>
        <v>0</v>
      </c>
      <c r="J6" s="504">
        <f t="shared" ca="1" si="5"/>
        <v>0</v>
      </c>
      <c r="K6" s="504">
        <f t="shared" ca="1" si="5"/>
        <v>0</v>
      </c>
      <c r="L6" s="504">
        <f t="shared" ca="1" si="5"/>
        <v>0</v>
      </c>
      <c r="M6" s="504">
        <f t="shared" ca="1" si="5"/>
        <v>0</v>
      </c>
      <c r="N6" s="504">
        <f t="shared" ca="1" si="5"/>
        <v>0</v>
      </c>
      <c r="O6" s="504">
        <f t="shared" ca="1" si="5"/>
        <v>0</v>
      </c>
      <c r="P6" s="504">
        <f t="shared" ca="1" si="5"/>
        <v>0</v>
      </c>
      <c r="Q6" s="505"/>
      <c r="R6" s="506">
        <f t="shared" ca="1" si="2"/>
        <v>0</v>
      </c>
      <c r="S6" s="471"/>
    </row>
    <row r="7" spans="1:19">
      <c r="A7" s="479" t="str">
        <f t="shared" si="3"/>
        <v>Aufgabe 01</v>
      </c>
      <c r="B7" s="472">
        <v>4</v>
      </c>
      <c r="C7" s="483"/>
      <c r="D7" s="473">
        <f t="shared" ref="D7:D25" si="6">INDEX(g_Aufgaben,$B7,9)</f>
        <v>0</v>
      </c>
      <c r="E7" s="507">
        <f t="shared" ref="E7:P7" ca="1" si="7">SUM(OFFSET(db_Aufgaben,MATCH(E$3,db_Aufgaben_Zeit,0)+1,($B7-1)*2,F$3-E$3,1))</f>
        <v>0</v>
      </c>
      <c r="F7" s="507">
        <f t="shared" ca="1" si="7"/>
        <v>0</v>
      </c>
      <c r="G7" s="507">
        <f t="shared" ca="1" si="7"/>
        <v>0</v>
      </c>
      <c r="H7" s="507">
        <f t="shared" ca="1" si="7"/>
        <v>0</v>
      </c>
      <c r="I7" s="507">
        <f t="shared" ca="1" si="7"/>
        <v>0</v>
      </c>
      <c r="J7" s="507">
        <f t="shared" ca="1" si="7"/>
        <v>0</v>
      </c>
      <c r="K7" s="507">
        <f t="shared" ca="1" si="7"/>
        <v>0</v>
      </c>
      <c r="L7" s="507">
        <f t="shared" ca="1" si="7"/>
        <v>0</v>
      </c>
      <c r="M7" s="507">
        <f t="shared" ca="1" si="7"/>
        <v>0</v>
      </c>
      <c r="N7" s="507">
        <f t="shared" ca="1" si="7"/>
        <v>0</v>
      </c>
      <c r="O7" s="507">
        <f t="shared" ca="1" si="7"/>
        <v>0</v>
      </c>
      <c r="P7" s="507">
        <f t="shared" ca="1" si="7"/>
        <v>0</v>
      </c>
      <c r="Q7" s="508"/>
      <c r="R7" s="509">
        <f t="shared" ca="1" si="2"/>
        <v>0</v>
      </c>
      <c r="S7" s="510">
        <f t="shared" ref="S7:S25" si="8">INDEX(g_Aufgaben,$B7,3)</f>
        <v>0</v>
      </c>
    </row>
    <row r="8" spans="1:19">
      <c r="A8" s="479" t="str">
        <f t="shared" si="3"/>
        <v>Aufgabe 02</v>
      </c>
      <c r="B8" s="472">
        <v>5</v>
      </c>
      <c r="C8" s="483"/>
      <c r="D8" s="473">
        <f t="shared" si="6"/>
        <v>0</v>
      </c>
      <c r="E8" s="507">
        <f t="shared" ref="E8:P8" ca="1" si="9">SUM(OFFSET(db_Aufgaben,MATCH(E$3,db_Aufgaben_Zeit,0)+1,($B8-1)*2,F$3-E$3,1))</f>
        <v>0</v>
      </c>
      <c r="F8" s="507">
        <f t="shared" ca="1" si="9"/>
        <v>0</v>
      </c>
      <c r="G8" s="507">
        <f t="shared" ca="1" si="9"/>
        <v>0</v>
      </c>
      <c r="H8" s="507">
        <f t="shared" ca="1" si="9"/>
        <v>0</v>
      </c>
      <c r="I8" s="507">
        <f t="shared" ca="1" si="9"/>
        <v>0</v>
      </c>
      <c r="J8" s="507">
        <f t="shared" ca="1" si="9"/>
        <v>0</v>
      </c>
      <c r="K8" s="507">
        <f t="shared" ca="1" si="9"/>
        <v>0</v>
      </c>
      <c r="L8" s="507">
        <f t="shared" ca="1" si="9"/>
        <v>0</v>
      </c>
      <c r="M8" s="507">
        <f t="shared" ca="1" si="9"/>
        <v>0</v>
      </c>
      <c r="N8" s="507">
        <f t="shared" ca="1" si="9"/>
        <v>0</v>
      </c>
      <c r="O8" s="507">
        <f t="shared" ca="1" si="9"/>
        <v>0</v>
      </c>
      <c r="P8" s="507">
        <f t="shared" ca="1" si="9"/>
        <v>0</v>
      </c>
      <c r="Q8" s="508"/>
      <c r="R8" s="509">
        <f t="shared" ca="1" si="2"/>
        <v>0</v>
      </c>
      <c r="S8" s="510">
        <f t="shared" si="8"/>
        <v>0</v>
      </c>
    </row>
    <row r="9" spans="1:19">
      <c r="A9" s="479" t="str">
        <f t="shared" si="3"/>
        <v>Aufgabe 03</v>
      </c>
      <c r="B9" s="472">
        <v>6</v>
      </c>
      <c r="C9" s="483"/>
      <c r="D9" s="473">
        <f t="shared" si="6"/>
        <v>0</v>
      </c>
      <c r="E9" s="507">
        <f t="shared" ref="E9:P9" ca="1" si="10">SUM(OFFSET(db_Aufgaben,MATCH(E$3,db_Aufgaben_Zeit,0)+1,($B9-1)*2,F$3-E$3,1))</f>
        <v>0</v>
      </c>
      <c r="F9" s="507">
        <f t="shared" ca="1" si="10"/>
        <v>0</v>
      </c>
      <c r="G9" s="507">
        <f t="shared" ca="1" si="10"/>
        <v>0</v>
      </c>
      <c r="H9" s="507">
        <f t="shared" ca="1" si="10"/>
        <v>0</v>
      </c>
      <c r="I9" s="507">
        <f t="shared" ca="1" si="10"/>
        <v>0</v>
      </c>
      <c r="J9" s="507">
        <f t="shared" ca="1" si="10"/>
        <v>0</v>
      </c>
      <c r="K9" s="507">
        <f t="shared" ca="1" si="10"/>
        <v>0</v>
      </c>
      <c r="L9" s="507">
        <f t="shared" ca="1" si="10"/>
        <v>0</v>
      </c>
      <c r="M9" s="507">
        <f t="shared" ca="1" si="10"/>
        <v>0</v>
      </c>
      <c r="N9" s="507">
        <f t="shared" ca="1" si="10"/>
        <v>0</v>
      </c>
      <c r="O9" s="507">
        <f t="shared" ca="1" si="10"/>
        <v>0</v>
      </c>
      <c r="P9" s="507">
        <f t="shared" ca="1" si="10"/>
        <v>0</v>
      </c>
      <c r="Q9" s="508"/>
      <c r="R9" s="509">
        <f t="shared" ca="1" si="2"/>
        <v>0</v>
      </c>
      <c r="S9" s="510">
        <f t="shared" si="8"/>
        <v>0</v>
      </c>
    </row>
    <row r="10" spans="1:19">
      <c r="A10" s="479" t="str">
        <f t="shared" si="3"/>
        <v>Aufgabe 04</v>
      </c>
      <c r="B10" s="472">
        <v>7</v>
      </c>
      <c r="C10" s="483"/>
      <c r="D10" s="473">
        <f t="shared" si="6"/>
        <v>0</v>
      </c>
      <c r="E10" s="507">
        <f t="shared" ref="E10:P10" ca="1" si="11">SUM(OFFSET(db_Aufgaben,MATCH(E$3,db_Aufgaben_Zeit,0)+1,($B10-1)*2,F$3-E$3,1))</f>
        <v>0</v>
      </c>
      <c r="F10" s="507">
        <f t="shared" ca="1" si="11"/>
        <v>0</v>
      </c>
      <c r="G10" s="507">
        <f t="shared" ca="1" si="11"/>
        <v>0</v>
      </c>
      <c r="H10" s="507">
        <f t="shared" ca="1" si="11"/>
        <v>0</v>
      </c>
      <c r="I10" s="507">
        <f t="shared" ca="1" si="11"/>
        <v>0</v>
      </c>
      <c r="J10" s="507">
        <f t="shared" ca="1" si="11"/>
        <v>0</v>
      </c>
      <c r="K10" s="507">
        <f t="shared" ca="1" si="11"/>
        <v>0</v>
      </c>
      <c r="L10" s="507">
        <f t="shared" ca="1" si="11"/>
        <v>0</v>
      </c>
      <c r="M10" s="507">
        <f t="shared" ca="1" si="11"/>
        <v>0</v>
      </c>
      <c r="N10" s="507">
        <f t="shared" ca="1" si="11"/>
        <v>0</v>
      </c>
      <c r="O10" s="507">
        <f t="shared" ca="1" si="11"/>
        <v>0</v>
      </c>
      <c r="P10" s="507">
        <f t="shared" ca="1" si="11"/>
        <v>0</v>
      </c>
      <c r="Q10" s="508"/>
      <c r="R10" s="509">
        <f t="shared" ca="1" si="2"/>
        <v>0</v>
      </c>
      <c r="S10" s="510">
        <f t="shared" si="8"/>
        <v>0</v>
      </c>
    </row>
    <row r="11" spans="1:19">
      <c r="A11" s="479" t="str">
        <f t="shared" si="3"/>
        <v>Aufgabe 05</v>
      </c>
      <c r="B11" s="472">
        <v>8</v>
      </c>
      <c r="C11" s="483"/>
      <c r="D11" s="473">
        <f t="shared" si="6"/>
        <v>0</v>
      </c>
      <c r="E11" s="507">
        <f t="shared" ref="E11:P11" ca="1" si="12">SUM(OFFSET(db_Aufgaben,MATCH(E$3,db_Aufgaben_Zeit,0)+1,($B11-1)*2,F$3-E$3,1))</f>
        <v>0</v>
      </c>
      <c r="F11" s="507">
        <f t="shared" ca="1" si="12"/>
        <v>0</v>
      </c>
      <c r="G11" s="507">
        <f t="shared" ca="1" si="12"/>
        <v>0</v>
      </c>
      <c r="H11" s="507">
        <f t="shared" ca="1" si="12"/>
        <v>0</v>
      </c>
      <c r="I11" s="507">
        <f t="shared" ca="1" si="12"/>
        <v>0</v>
      </c>
      <c r="J11" s="507">
        <f t="shared" ca="1" si="12"/>
        <v>0</v>
      </c>
      <c r="K11" s="507">
        <f t="shared" ca="1" si="12"/>
        <v>0</v>
      </c>
      <c r="L11" s="507">
        <f t="shared" ca="1" si="12"/>
        <v>0</v>
      </c>
      <c r="M11" s="507">
        <f t="shared" ca="1" si="12"/>
        <v>0</v>
      </c>
      <c r="N11" s="507">
        <f t="shared" ca="1" si="12"/>
        <v>0</v>
      </c>
      <c r="O11" s="507">
        <f t="shared" ca="1" si="12"/>
        <v>0</v>
      </c>
      <c r="P11" s="507">
        <f t="shared" ca="1" si="12"/>
        <v>0</v>
      </c>
      <c r="Q11" s="508"/>
      <c r="R11" s="509">
        <f t="shared" ca="1" si="2"/>
        <v>0</v>
      </c>
      <c r="S11" s="510">
        <f t="shared" si="8"/>
        <v>0</v>
      </c>
    </row>
    <row r="12" spans="1:19">
      <c r="A12" s="479" t="str">
        <f t="shared" si="3"/>
        <v>Aufgabe 06</v>
      </c>
      <c r="B12" s="472">
        <v>9</v>
      </c>
      <c r="C12" s="483"/>
      <c r="D12" s="473">
        <f t="shared" si="6"/>
        <v>0</v>
      </c>
      <c r="E12" s="507">
        <f t="shared" ref="E12:P12" ca="1" si="13">SUM(OFFSET(db_Aufgaben,MATCH(E$3,db_Aufgaben_Zeit,0)+1,($B12-1)*2,F$3-E$3,1))</f>
        <v>0</v>
      </c>
      <c r="F12" s="507">
        <f t="shared" ca="1" si="13"/>
        <v>0</v>
      </c>
      <c r="G12" s="507">
        <f t="shared" ca="1" si="13"/>
        <v>0</v>
      </c>
      <c r="H12" s="507">
        <f t="shared" ca="1" si="13"/>
        <v>0</v>
      </c>
      <c r="I12" s="507">
        <f t="shared" ca="1" si="13"/>
        <v>0</v>
      </c>
      <c r="J12" s="507">
        <f t="shared" ca="1" si="13"/>
        <v>0</v>
      </c>
      <c r="K12" s="507">
        <f t="shared" ca="1" si="13"/>
        <v>0</v>
      </c>
      <c r="L12" s="507">
        <f t="shared" ca="1" si="13"/>
        <v>0</v>
      </c>
      <c r="M12" s="507">
        <f t="shared" ca="1" si="13"/>
        <v>0</v>
      </c>
      <c r="N12" s="507">
        <f t="shared" ca="1" si="13"/>
        <v>0</v>
      </c>
      <c r="O12" s="507">
        <f t="shared" ca="1" si="13"/>
        <v>0</v>
      </c>
      <c r="P12" s="507">
        <f t="shared" ca="1" si="13"/>
        <v>0</v>
      </c>
      <c r="Q12" s="508"/>
      <c r="R12" s="509">
        <f t="shared" ca="1" si="2"/>
        <v>0</v>
      </c>
      <c r="S12" s="510">
        <f t="shared" si="8"/>
        <v>0</v>
      </c>
    </row>
    <row r="13" spans="1:19">
      <c r="A13" s="479" t="str">
        <f t="shared" si="3"/>
        <v>Aufgabe 07</v>
      </c>
      <c r="B13" s="472">
        <v>10</v>
      </c>
      <c r="C13" s="483"/>
      <c r="D13" s="473">
        <f t="shared" si="6"/>
        <v>0</v>
      </c>
      <c r="E13" s="507">
        <f t="shared" ref="E13:P13" ca="1" si="14">SUM(OFFSET(db_Aufgaben,MATCH(E$3,db_Aufgaben_Zeit,0)+1,($B13-1)*2,F$3-E$3,1))</f>
        <v>0</v>
      </c>
      <c r="F13" s="507">
        <f t="shared" ca="1" si="14"/>
        <v>0</v>
      </c>
      <c r="G13" s="507">
        <f t="shared" ca="1" si="14"/>
        <v>0</v>
      </c>
      <c r="H13" s="507">
        <f t="shared" ca="1" si="14"/>
        <v>0</v>
      </c>
      <c r="I13" s="507">
        <f t="shared" ca="1" si="14"/>
        <v>0</v>
      </c>
      <c r="J13" s="507">
        <f t="shared" ca="1" si="14"/>
        <v>0</v>
      </c>
      <c r="K13" s="507">
        <f t="shared" ca="1" si="14"/>
        <v>0</v>
      </c>
      <c r="L13" s="507">
        <f t="shared" ca="1" si="14"/>
        <v>0</v>
      </c>
      <c r="M13" s="507">
        <f t="shared" ca="1" si="14"/>
        <v>0</v>
      </c>
      <c r="N13" s="507">
        <f t="shared" ca="1" si="14"/>
        <v>0</v>
      </c>
      <c r="O13" s="507">
        <f t="shared" ca="1" si="14"/>
        <v>0</v>
      </c>
      <c r="P13" s="507">
        <f t="shared" ca="1" si="14"/>
        <v>0</v>
      </c>
      <c r="Q13" s="508"/>
      <c r="R13" s="509">
        <f t="shared" ca="1" si="2"/>
        <v>0</v>
      </c>
      <c r="S13" s="510">
        <f t="shared" si="8"/>
        <v>0</v>
      </c>
    </row>
    <row r="14" spans="1:19">
      <c r="A14" s="479" t="str">
        <f t="shared" si="3"/>
        <v>Aufgabe 08</v>
      </c>
      <c r="B14" s="472">
        <v>11</v>
      </c>
      <c r="C14" s="483"/>
      <c r="D14" s="473">
        <f t="shared" si="6"/>
        <v>0</v>
      </c>
      <c r="E14" s="507">
        <f t="shared" ref="E14:P14" ca="1" si="15">SUM(OFFSET(db_Aufgaben,MATCH(E$3,db_Aufgaben_Zeit,0)+1,($B14-1)*2,F$3-E$3,1))</f>
        <v>0</v>
      </c>
      <c r="F14" s="507">
        <f t="shared" ca="1" si="15"/>
        <v>0</v>
      </c>
      <c r="G14" s="507">
        <f t="shared" ca="1" si="15"/>
        <v>0</v>
      </c>
      <c r="H14" s="507">
        <f t="shared" ca="1" si="15"/>
        <v>0</v>
      </c>
      <c r="I14" s="507">
        <f t="shared" ca="1" si="15"/>
        <v>0</v>
      </c>
      <c r="J14" s="507">
        <f t="shared" ca="1" si="15"/>
        <v>0</v>
      </c>
      <c r="K14" s="507">
        <f t="shared" ca="1" si="15"/>
        <v>0</v>
      </c>
      <c r="L14" s="507">
        <f t="shared" ca="1" si="15"/>
        <v>0</v>
      </c>
      <c r="M14" s="507">
        <f t="shared" ca="1" si="15"/>
        <v>0</v>
      </c>
      <c r="N14" s="507">
        <f t="shared" ca="1" si="15"/>
        <v>0</v>
      </c>
      <c r="O14" s="507">
        <f t="shared" ca="1" si="15"/>
        <v>0</v>
      </c>
      <c r="P14" s="507">
        <f t="shared" ca="1" si="15"/>
        <v>0</v>
      </c>
      <c r="Q14" s="508"/>
      <c r="R14" s="509">
        <f t="shared" ca="1" si="2"/>
        <v>0</v>
      </c>
      <c r="S14" s="510">
        <f t="shared" si="8"/>
        <v>0</v>
      </c>
    </row>
    <row r="15" spans="1:19">
      <c r="A15" s="479" t="str">
        <f t="shared" si="3"/>
        <v>Aufgabe 09</v>
      </c>
      <c r="B15" s="472">
        <v>12</v>
      </c>
      <c r="C15" s="483"/>
      <c r="D15" s="473">
        <f t="shared" si="6"/>
        <v>0</v>
      </c>
      <c r="E15" s="507">
        <f t="shared" ref="E15:P15" ca="1" si="16">SUM(OFFSET(db_Aufgaben,MATCH(E$3,db_Aufgaben_Zeit,0)+1,($B15-1)*2,F$3-E$3,1))</f>
        <v>0</v>
      </c>
      <c r="F15" s="507">
        <f t="shared" ca="1" si="16"/>
        <v>0</v>
      </c>
      <c r="G15" s="507">
        <f t="shared" ca="1" si="16"/>
        <v>0</v>
      </c>
      <c r="H15" s="507">
        <f t="shared" ca="1" si="16"/>
        <v>0</v>
      </c>
      <c r="I15" s="507">
        <f t="shared" ca="1" si="16"/>
        <v>0</v>
      </c>
      <c r="J15" s="507">
        <f t="shared" ca="1" si="16"/>
        <v>0</v>
      </c>
      <c r="K15" s="507">
        <f t="shared" ca="1" si="16"/>
        <v>0</v>
      </c>
      <c r="L15" s="507">
        <f t="shared" ca="1" si="16"/>
        <v>0</v>
      </c>
      <c r="M15" s="507">
        <f t="shared" ca="1" si="16"/>
        <v>0</v>
      </c>
      <c r="N15" s="507">
        <f t="shared" ca="1" si="16"/>
        <v>0</v>
      </c>
      <c r="O15" s="507">
        <f t="shared" ca="1" si="16"/>
        <v>0</v>
      </c>
      <c r="P15" s="507">
        <f t="shared" ca="1" si="16"/>
        <v>0</v>
      </c>
      <c r="Q15" s="508"/>
      <c r="R15" s="509">
        <f t="shared" ca="1" si="2"/>
        <v>0</v>
      </c>
      <c r="S15" s="510">
        <f t="shared" si="8"/>
        <v>0</v>
      </c>
    </row>
    <row r="16" spans="1:19">
      <c r="A16" s="479" t="str">
        <f t="shared" si="3"/>
        <v>Aufgabe 10</v>
      </c>
      <c r="B16" s="472">
        <v>13</v>
      </c>
      <c r="C16" s="483"/>
      <c r="D16" s="473">
        <f t="shared" si="6"/>
        <v>0</v>
      </c>
      <c r="E16" s="507">
        <f t="shared" ref="E16:P16" ca="1" si="17">SUM(OFFSET(db_Aufgaben,MATCH(E$3,db_Aufgaben_Zeit,0)+1,($B16-1)*2,F$3-E$3,1))</f>
        <v>0</v>
      </c>
      <c r="F16" s="507">
        <f t="shared" ca="1" si="17"/>
        <v>0</v>
      </c>
      <c r="G16" s="507">
        <f t="shared" ca="1" si="17"/>
        <v>0</v>
      </c>
      <c r="H16" s="507">
        <f t="shared" ca="1" si="17"/>
        <v>0</v>
      </c>
      <c r="I16" s="507">
        <f t="shared" ca="1" si="17"/>
        <v>0</v>
      </c>
      <c r="J16" s="507">
        <f t="shared" ca="1" si="17"/>
        <v>0</v>
      </c>
      <c r="K16" s="507">
        <f t="shared" ca="1" si="17"/>
        <v>0</v>
      </c>
      <c r="L16" s="507">
        <f t="shared" ca="1" si="17"/>
        <v>0</v>
      </c>
      <c r="M16" s="507">
        <f t="shared" ca="1" si="17"/>
        <v>0</v>
      </c>
      <c r="N16" s="507">
        <f t="shared" ca="1" si="17"/>
        <v>0</v>
      </c>
      <c r="O16" s="507">
        <f t="shared" ca="1" si="17"/>
        <v>0</v>
      </c>
      <c r="P16" s="507">
        <f t="shared" ca="1" si="17"/>
        <v>0</v>
      </c>
      <c r="Q16" s="508"/>
      <c r="R16" s="509">
        <f t="shared" ca="1" si="2"/>
        <v>0</v>
      </c>
      <c r="S16" s="510">
        <f t="shared" si="8"/>
        <v>0</v>
      </c>
    </row>
    <row r="17" spans="1:19">
      <c r="A17" s="479" t="str">
        <f t="shared" si="3"/>
        <v>Aufgabe 11</v>
      </c>
      <c r="B17" s="472">
        <v>14</v>
      </c>
      <c r="C17" s="483"/>
      <c r="D17" s="473">
        <f t="shared" si="6"/>
        <v>0</v>
      </c>
      <c r="E17" s="507">
        <f t="shared" ref="E17:P17" ca="1" si="18">SUM(OFFSET(db_Aufgaben,MATCH(E$3,db_Aufgaben_Zeit,0)+1,($B17-1)*2,F$3-E$3,1))</f>
        <v>0</v>
      </c>
      <c r="F17" s="507">
        <f t="shared" ca="1" si="18"/>
        <v>0</v>
      </c>
      <c r="G17" s="507">
        <f t="shared" ca="1" si="18"/>
        <v>0</v>
      </c>
      <c r="H17" s="507">
        <f t="shared" ca="1" si="18"/>
        <v>0</v>
      </c>
      <c r="I17" s="507">
        <f t="shared" ca="1" si="18"/>
        <v>0</v>
      </c>
      <c r="J17" s="507">
        <f t="shared" ca="1" si="18"/>
        <v>0</v>
      </c>
      <c r="K17" s="507">
        <f t="shared" ca="1" si="18"/>
        <v>0</v>
      </c>
      <c r="L17" s="507">
        <f t="shared" ca="1" si="18"/>
        <v>0</v>
      </c>
      <c r="M17" s="507">
        <f t="shared" ca="1" si="18"/>
        <v>0</v>
      </c>
      <c r="N17" s="507">
        <f t="shared" ca="1" si="18"/>
        <v>0</v>
      </c>
      <c r="O17" s="507">
        <f t="shared" ca="1" si="18"/>
        <v>0</v>
      </c>
      <c r="P17" s="507">
        <f t="shared" ca="1" si="18"/>
        <v>0</v>
      </c>
      <c r="Q17" s="508"/>
      <c r="R17" s="509">
        <f t="shared" ca="1" si="2"/>
        <v>0</v>
      </c>
      <c r="S17" s="510">
        <f t="shared" si="8"/>
        <v>0</v>
      </c>
    </row>
    <row r="18" spans="1:19">
      <c r="A18" s="479" t="str">
        <f t="shared" si="3"/>
        <v>Aufgabe 12</v>
      </c>
      <c r="B18" s="472">
        <v>15</v>
      </c>
      <c r="C18" s="483"/>
      <c r="D18" s="473">
        <f t="shared" si="6"/>
        <v>0</v>
      </c>
      <c r="E18" s="507">
        <f t="shared" ref="E18:P18" ca="1" si="19">SUM(OFFSET(db_Aufgaben,MATCH(E$3,db_Aufgaben_Zeit,0)+1,($B18-1)*2,F$3-E$3,1))</f>
        <v>0</v>
      </c>
      <c r="F18" s="507">
        <f t="shared" ca="1" si="19"/>
        <v>0</v>
      </c>
      <c r="G18" s="507">
        <f t="shared" ca="1" si="19"/>
        <v>0</v>
      </c>
      <c r="H18" s="507">
        <f t="shared" ca="1" si="19"/>
        <v>0</v>
      </c>
      <c r="I18" s="507">
        <f t="shared" ca="1" si="19"/>
        <v>0</v>
      </c>
      <c r="J18" s="507">
        <f t="shared" ca="1" si="19"/>
        <v>0</v>
      </c>
      <c r="K18" s="507">
        <f t="shared" ca="1" si="19"/>
        <v>0</v>
      </c>
      <c r="L18" s="507">
        <f t="shared" ca="1" si="19"/>
        <v>0</v>
      </c>
      <c r="M18" s="507">
        <f t="shared" ca="1" si="19"/>
        <v>0</v>
      </c>
      <c r="N18" s="507">
        <f t="shared" ca="1" si="19"/>
        <v>0</v>
      </c>
      <c r="O18" s="507">
        <f t="shared" ca="1" si="19"/>
        <v>0</v>
      </c>
      <c r="P18" s="507">
        <f t="shared" ca="1" si="19"/>
        <v>0</v>
      </c>
      <c r="Q18" s="508"/>
      <c r="R18" s="509">
        <f t="shared" ca="1" si="2"/>
        <v>0</v>
      </c>
      <c r="S18" s="510">
        <f t="shared" si="8"/>
        <v>0</v>
      </c>
    </row>
    <row r="19" spans="1:19">
      <c r="A19" s="479" t="str">
        <f t="shared" si="3"/>
        <v>Aufgabe 13</v>
      </c>
      <c r="B19" s="472">
        <v>16</v>
      </c>
      <c r="C19" s="483"/>
      <c r="D19" s="473">
        <f t="shared" si="6"/>
        <v>0</v>
      </c>
      <c r="E19" s="507">
        <f t="shared" ref="E19:P19" ca="1" si="20">SUM(OFFSET(db_Aufgaben,MATCH(E$3,db_Aufgaben_Zeit,0)+1,($B19-1)*2,F$3-E$3,1))</f>
        <v>0</v>
      </c>
      <c r="F19" s="507">
        <f t="shared" ca="1" si="20"/>
        <v>0</v>
      </c>
      <c r="G19" s="507">
        <f t="shared" ca="1" si="20"/>
        <v>0</v>
      </c>
      <c r="H19" s="507">
        <f t="shared" ca="1" si="20"/>
        <v>0</v>
      </c>
      <c r="I19" s="507">
        <f t="shared" ca="1" si="20"/>
        <v>0</v>
      </c>
      <c r="J19" s="507">
        <f t="shared" ca="1" si="20"/>
        <v>0</v>
      </c>
      <c r="K19" s="507">
        <f t="shared" ca="1" si="20"/>
        <v>0</v>
      </c>
      <c r="L19" s="507">
        <f t="shared" ca="1" si="20"/>
        <v>0</v>
      </c>
      <c r="M19" s="507">
        <f t="shared" ca="1" si="20"/>
        <v>0</v>
      </c>
      <c r="N19" s="507">
        <f t="shared" ca="1" si="20"/>
        <v>0</v>
      </c>
      <c r="O19" s="507">
        <f t="shared" ca="1" si="20"/>
        <v>0</v>
      </c>
      <c r="P19" s="507">
        <f t="shared" ca="1" si="20"/>
        <v>0</v>
      </c>
      <c r="Q19" s="508"/>
      <c r="R19" s="509">
        <f t="shared" ca="1" si="2"/>
        <v>0</v>
      </c>
      <c r="S19" s="510">
        <f t="shared" si="8"/>
        <v>0</v>
      </c>
    </row>
    <row r="20" spans="1:19">
      <c r="A20" s="479" t="str">
        <f t="shared" si="3"/>
        <v>Aufgabe 14</v>
      </c>
      <c r="B20" s="472">
        <v>17</v>
      </c>
      <c r="C20" s="483"/>
      <c r="D20" s="473">
        <f t="shared" si="6"/>
        <v>0</v>
      </c>
      <c r="E20" s="507">
        <f t="shared" ref="E20:P20" ca="1" si="21">SUM(OFFSET(db_Aufgaben,MATCH(E$3,db_Aufgaben_Zeit,0)+1,($B20-1)*2,F$3-E$3,1))</f>
        <v>0</v>
      </c>
      <c r="F20" s="507">
        <f t="shared" ca="1" si="21"/>
        <v>0</v>
      </c>
      <c r="G20" s="507">
        <f t="shared" ca="1" si="21"/>
        <v>0</v>
      </c>
      <c r="H20" s="507">
        <f t="shared" ca="1" si="21"/>
        <v>0</v>
      </c>
      <c r="I20" s="507">
        <f t="shared" ca="1" si="21"/>
        <v>0</v>
      </c>
      <c r="J20" s="507">
        <f t="shared" ca="1" si="21"/>
        <v>0</v>
      </c>
      <c r="K20" s="507">
        <f t="shared" ca="1" si="21"/>
        <v>0</v>
      </c>
      <c r="L20" s="507">
        <f t="shared" ca="1" si="21"/>
        <v>0</v>
      </c>
      <c r="M20" s="507">
        <f t="shared" ca="1" si="21"/>
        <v>0</v>
      </c>
      <c r="N20" s="507">
        <f t="shared" ca="1" si="21"/>
        <v>0</v>
      </c>
      <c r="O20" s="507">
        <f t="shared" ca="1" si="21"/>
        <v>0</v>
      </c>
      <c r="P20" s="507">
        <f t="shared" ca="1" si="21"/>
        <v>0</v>
      </c>
      <c r="Q20" s="508"/>
      <c r="R20" s="509">
        <f t="shared" ca="1" si="2"/>
        <v>0</v>
      </c>
      <c r="S20" s="510">
        <f t="shared" si="8"/>
        <v>0</v>
      </c>
    </row>
    <row r="21" spans="1:19">
      <c r="A21" s="479" t="str">
        <f t="shared" si="3"/>
        <v>Aufgabe 15</v>
      </c>
      <c r="B21" s="472">
        <v>18</v>
      </c>
      <c r="C21" s="483"/>
      <c r="D21" s="473">
        <f t="shared" si="6"/>
        <v>0</v>
      </c>
      <c r="E21" s="507">
        <f t="shared" ref="E21:P21" ca="1" si="22">SUM(OFFSET(db_Aufgaben,MATCH(E$3,db_Aufgaben_Zeit,0)+1,($B21-1)*2,F$3-E$3,1))</f>
        <v>0</v>
      </c>
      <c r="F21" s="507">
        <f t="shared" ca="1" si="22"/>
        <v>0</v>
      </c>
      <c r="G21" s="507">
        <f t="shared" ca="1" si="22"/>
        <v>0</v>
      </c>
      <c r="H21" s="507">
        <f t="shared" ca="1" si="22"/>
        <v>0</v>
      </c>
      <c r="I21" s="507">
        <f t="shared" ca="1" si="22"/>
        <v>0</v>
      </c>
      <c r="J21" s="507">
        <f t="shared" ca="1" si="22"/>
        <v>0</v>
      </c>
      <c r="K21" s="507">
        <f t="shared" ca="1" si="22"/>
        <v>0</v>
      </c>
      <c r="L21" s="507">
        <f t="shared" ca="1" si="22"/>
        <v>0</v>
      </c>
      <c r="M21" s="507">
        <f t="shared" ca="1" si="22"/>
        <v>0</v>
      </c>
      <c r="N21" s="507">
        <f t="shared" ca="1" si="22"/>
        <v>0</v>
      </c>
      <c r="O21" s="507">
        <f t="shared" ca="1" si="22"/>
        <v>0</v>
      </c>
      <c r="P21" s="507">
        <f t="shared" ca="1" si="22"/>
        <v>0</v>
      </c>
      <c r="Q21" s="508"/>
      <c r="R21" s="509">
        <f t="shared" ca="1" si="2"/>
        <v>0</v>
      </c>
      <c r="S21" s="510">
        <f t="shared" si="8"/>
        <v>0</v>
      </c>
    </row>
    <row r="22" spans="1:19">
      <c r="A22" s="479" t="str">
        <f t="shared" si="3"/>
        <v>Aufgabe 16</v>
      </c>
      <c r="B22" s="472">
        <v>19</v>
      </c>
      <c r="C22" s="483"/>
      <c r="D22" s="473">
        <f t="shared" si="6"/>
        <v>0</v>
      </c>
      <c r="E22" s="507">
        <f t="shared" ref="E22:P22" ca="1" si="23">SUM(OFFSET(db_Aufgaben,MATCH(E$3,db_Aufgaben_Zeit,0)+1,($B22-1)*2,F$3-E$3,1))</f>
        <v>0</v>
      </c>
      <c r="F22" s="507">
        <f t="shared" ca="1" si="23"/>
        <v>0</v>
      </c>
      <c r="G22" s="507">
        <f t="shared" ca="1" si="23"/>
        <v>0</v>
      </c>
      <c r="H22" s="507">
        <f t="shared" ca="1" si="23"/>
        <v>0</v>
      </c>
      <c r="I22" s="507">
        <f t="shared" ca="1" si="23"/>
        <v>0</v>
      </c>
      <c r="J22" s="507">
        <f t="shared" ca="1" si="23"/>
        <v>0</v>
      </c>
      <c r="K22" s="507">
        <f t="shared" ca="1" si="23"/>
        <v>0</v>
      </c>
      <c r="L22" s="507">
        <f t="shared" ca="1" si="23"/>
        <v>0</v>
      </c>
      <c r="M22" s="507">
        <f t="shared" ca="1" si="23"/>
        <v>0</v>
      </c>
      <c r="N22" s="507">
        <f t="shared" ca="1" si="23"/>
        <v>0</v>
      </c>
      <c r="O22" s="507">
        <f t="shared" ca="1" si="23"/>
        <v>0</v>
      </c>
      <c r="P22" s="507">
        <f t="shared" ca="1" si="23"/>
        <v>0</v>
      </c>
      <c r="Q22" s="508"/>
      <c r="R22" s="509">
        <f t="shared" ca="1" si="2"/>
        <v>0</v>
      </c>
      <c r="S22" s="510">
        <f t="shared" si="8"/>
        <v>0</v>
      </c>
    </row>
    <row r="23" spans="1:19">
      <c r="A23" s="479" t="str">
        <f t="shared" si="3"/>
        <v>Aufgabe 17</v>
      </c>
      <c r="B23" s="472">
        <v>20</v>
      </c>
      <c r="C23" s="483"/>
      <c r="D23" s="473">
        <f t="shared" si="6"/>
        <v>0</v>
      </c>
      <c r="E23" s="507">
        <f t="shared" ref="E23:P23" ca="1" si="24">SUM(OFFSET(db_Aufgaben,MATCH(E$3,db_Aufgaben_Zeit,0)+1,($B23-1)*2,F$3-E$3,1))</f>
        <v>0</v>
      </c>
      <c r="F23" s="507">
        <f t="shared" ca="1" si="24"/>
        <v>0</v>
      </c>
      <c r="G23" s="507">
        <f t="shared" ca="1" si="24"/>
        <v>0</v>
      </c>
      <c r="H23" s="507">
        <f t="shared" ca="1" si="24"/>
        <v>0</v>
      </c>
      <c r="I23" s="507">
        <f t="shared" ca="1" si="24"/>
        <v>0</v>
      </c>
      <c r="J23" s="507">
        <f t="shared" ca="1" si="24"/>
        <v>0</v>
      </c>
      <c r="K23" s="507">
        <f t="shared" ca="1" si="24"/>
        <v>0</v>
      </c>
      <c r="L23" s="507">
        <f t="shared" ca="1" si="24"/>
        <v>0</v>
      </c>
      <c r="M23" s="507">
        <f t="shared" ca="1" si="24"/>
        <v>0</v>
      </c>
      <c r="N23" s="507">
        <f t="shared" ca="1" si="24"/>
        <v>0</v>
      </c>
      <c r="O23" s="507">
        <f t="shared" ca="1" si="24"/>
        <v>0</v>
      </c>
      <c r="P23" s="507">
        <f t="shared" ca="1" si="24"/>
        <v>0</v>
      </c>
      <c r="Q23" s="508"/>
      <c r="R23" s="509">
        <f t="shared" ca="1" si="2"/>
        <v>0</v>
      </c>
      <c r="S23" s="510">
        <f t="shared" si="8"/>
        <v>0</v>
      </c>
    </row>
    <row r="24" spans="1:19">
      <c r="A24" s="479" t="str">
        <f t="shared" si="3"/>
        <v>Aufgabe 18</v>
      </c>
      <c r="B24" s="472">
        <v>21</v>
      </c>
      <c r="C24" s="483"/>
      <c r="D24" s="473">
        <f t="shared" si="6"/>
        <v>0</v>
      </c>
      <c r="E24" s="507">
        <f t="shared" ref="E24:P24" ca="1" si="25">SUM(OFFSET(db_Aufgaben,MATCH(E$3,db_Aufgaben_Zeit,0)+1,($B24-1)*2,F$3-E$3,1))</f>
        <v>0</v>
      </c>
      <c r="F24" s="507">
        <f t="shared" ca="1" si="25"/>
        <v>0</v>
      </c>
      <c r="G24" s="507">
        <f t="shared" ca="1" si="25"/>
        <v>0</v>
      </c>
      <c r="H24" s="507">
        <f t="shared" ca="1" si="25"/>
        <v>0</v>
      </c>
      <c r="I24" s="507">
        <f t="shared" ca="1" si="25"/>
        <v>0</v>
      </c>
      <c r="J24" s="507">
        <f t="shared" ca="1" si="25"/>
        <v>0</v>
      </c>
      <c r="K24" s="507">
        <f t="shared" ca="1" si="25"/>
        <v>0</v>
      </c>
      <c r="L24" s="507">
        <f t="shared" ca="1" si="25"/>
        <v>0</v>
      </c>
      <c r="M24" s="507">
        <f t="shared" ca="1" si="25"/>
        <v>0</v>
      </c>
      <c r="N24" s="507">
        <f t="shared" ca="1" si="25"/>
        <v>0</v>
      </c>
      <c r="O24" s="507">
        <f t="shared" ca="1" si="25"/>
        <v>0</v>
      </c>
      <c r="P24" s="507">
        <f t="shared" ca="1" si="25"/>
        <v>0</v>
      </c>
      <c r="Q24" s="508"/>
      <c r="R24" s="509">
        <f ca="1">SUM(E24:P24)</f>
        <v>0</v>
      </c>
      <c r="S24" s="510">
        <f t="shared" si="8"/>
        <v>0</v>
      </c>
    </row>
    <row r="25" spans="1:19">
      <c r="A25" s="479" t="str">
        <f t="shared" si="3"/>
        <v>Aufgabe 19</v>
      </c>
      <c r="B25" s="472">
        <v>22</v>
      </c>
      <c r="C25" s="483"/>
      <c r="D25" s="473">
        <f t="shared" si="6"/>
        <v>0</v>
      </c>
      <c r="E25" s="507">
        <f t="shared" ref="E25:P25" ca="1" si="26">SUM(OFFSET(db_Aufgaben,MATCH(E$3,db_Aufgaben_Zeit,0)+1,($B25-1)*2,F$3-E$3,1))</f>
        <v>0</v>
      </c>
      <c r="F25" s="507">
        <f t="shared" ca="1" si="26"/>
        <v>0</v>
      </c>
      <c r="G25" s="507">
        <f t="shared" ca="1" si="26"/>
        <v>0</v>
      </c>
      <c r="H25" s="507">
        <f t="shared" ca="1" si="26"/>
        <v>0</v>
      </c>
      <c r="I25" s="507">
        <f t="shared" ca="1" si="26"/>
        <v>0</v>
      </c>
      <c r="J25" s="507">
        <f t="shared" ca="1" si="26"/>
        <v>0</v>
      </c>
      <c r="K25" s="507">
        <f t="shared" ca="1" si="26"/>
        <v>0</v>
      </c>
      <c r="L25" s="507">
        <f t="shared" ca="1" si="26"/>
        <v>0</v>
      </c>
      <c r="M25" s="507">
        <f t="shared" ca="1" si="26"/>
        <v>0</v>
      </c>
      <c r="N25" s="507">
        <f t="shared" ca="1" si="26"/>
        <v>0</v>
      </c>
      <c r="O25" s="507">
        <f t="shared" ca="1" si="26"/>
        <v>0</v>
      </c>
      <c r="P25" s="507">
        <f t="shared" ca="1" si="26"/>
        <v>0</v>
      </c>
      <c r="Q25" s="508"/>
      <c r="R25" s="509">
        <f t="shared" ca="1" si="2"/>
        <v>0</v>
      </c>
      <c r="S25" s="510">
        <f t="shared" si="8"/>
        <v>0</v>
      </c>
    </row>
    <row r="26" spans="1:19" ht="5.25" customHeight="1" thickBot="1">
      <c r="C26" s="484"/>
      <c r="R26" s="474"/>
    </row>
    <row r="27" spans="1:19" ht="13.5" thickBot="1">
      <c r="A27" s="475"/>
      <c r="B27" s="475"/>
      <c r="C27" s="475"/>
      <c r="D27" s="475"/>
      <c r="E27" s="517">
        <f t="shared" ref="E27:P27" ca="1" si="27">SUBTOTAL(9,E4:E26)</f>
        <v>0</v>
      </c>
      <c r="F27" s="517">
        <f t="shared" ca="1" si="27"/>
        <v>0</v>
      </c>
      <c r="G27" s="517">
        <f t="shared" ca="1" si="27"/>
        <v>0</v>
      </c>
      <c r="H27" s="517">
        <f t="shared" ca="1" si="27"/>
        <v>0</v>
      </c>
      <c r="I27" s="517">
        <f t="shared" ca="1" si="27"/>
        <v>0</v>
      </c>
      <c r="J27" s="517">
        <f t="shared" ca="1" si="27"/>
        <v>0</v>
      </c>
      <c r="K27" s="517">
        <f t="shared" ca="1" si="27"/>
        <v>0</v>
      </c>
      <c r="L27" s="517">
        <f t="shared" ca="1" si="27"/>
        <v>0</v>
      </c>
      <c r="M27" s="517">
        <f t="shared" ca="1" si="27"/>
        <v>0</v>
      </c>
      <c r="N27" s="517">
        <f t="shared" ca="1" si="27"/>
        <v>0</v>
      </c>
      <c r="O27" s="517">
        <f t="shared" ca="1" si="27"/>
        <v>0</v>
      </c>
      <c r="P27" s="517">
        <f t="shared" ca="1" si="27"/>
        <v>0</v>
      </c>
      <c r="Q27" s="518"/>
      <c r="R27" s="519">
        <f ca="1">SUBTOTAL(9,R4:R26)</f>
        <v>0</v>
      </c>
      <c r="S27" s="475"/>
    </row>
    <row r="28" spans="1:19" ht="13.5" thickBot="1">
      <c r="D28" s="70" t="s">
        <v>80</v>
      </c>
      <c r="E28" s="514">
        <f t="shared" ref="E28:R28" ca="1" si="28">SUBTOTAL(9,E7:E23)</f>
        <v>0</v>
      </c>
      <c r="F28" s="515">
        <f t="shared" ca="1" si="28"/>
        <v>0</v>
      </c>
      <c r="G28" s="515">
        <f t="shared" ca="1" si="28"/>
        <v>0</v>
      </c>
      <c r="H28" s="515">
        <f t="shared" ca="1" si="28"/>
        <v>0</v>
      </c>
      <c r="I28" s="515">
        <f t="shared" ca="1" si="28"/>
        <v>0</v>
      </c>
      <c r="J28" s="515">
        <f t="shared" ca="1" si="28"/>
        <v>0</v>
      </c>
      <c r="K28" s="515">
        <f t="shared" ca="1" si="28"/>
        <v>0</v>
      </c>
      <c r="L28" s="515">
        <f t="shared" ca="1" si="28"/>
        <v>0</v>
      </c>
      <c r="M28" s="515">
        <f t="shared" ca="1" si="28"/>
        <v>0</v>
      </c>
      <c r="N28" s="515">
        <f t="shared" ca="1" si="28"/>
        <v>0</v>
      </c>
      <c r="O28" s="515">
        <f t="shared" ca="1" si="28"/>
        <v>0</v>
      </c>
      <c r="P28" s="515">
        <f t="shared" ca="1" si="28"/>
        <v>0</v>
      </c>
      <c r="Q28" s="515">
        <f t="shared" si="28"/>
        <v>0</v>
      </c>
      <c r="R28" s="516">
        <f t="shared" ca="1" si="28"/>
        <v>0</v>
      </c>
    </row>
  </sheetData>
  <autoFilter ref="A3:S25"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ckpit"/>
  <dimension ref="A1:AC403"/>
  <sheetViews>
    <sheetView showGridLines="0" showRowColHeaders="0" showZeros="0" topLeftCell="A4" workbookViewId="0">
      <pane xSplit="8" ySplit="26" topLeftCell="I30" activePane="bottomRight" state="frozenSplit"/>
      <selection activeCell="B4" sqref="B4"/>
      <selection pane="topRight" activeCell="H4" sqref="H4"/>
      <selection pane="bottomLeft" activeCell="B35" sqref="B35"/>
      <selection pane="bottomRight" activeCell="B4" sqref="B4"/>
    </sheetView>
  </sheetViews>
  <sheetFormatPr baseColWidth="10" defaultColWidth="11.5703125" defaultRowHeight="12.75"/>
  <cols>
    <col min="1" max="1" width="7.7109375" hidden="1" customWidth="1"/>
    <col min="2" max="2" width="4.5703125" style="74" customWidth="1"/>
    <col min="3" max="3" width="10.7109375" style="70" customWidth="1"/>
    <col min="4" max="4" width="3.7109375" customWidth="1"/>
    <col min="5" max="5" width="10.7109375" style="2" customWidth="1"/>
    <col min="6" max="6" width="3.5703125" style="2" customWidth="1"/>
    <col min="7" max="7" width="8.5703125" bestFit="1" customWidth="1"/>
    <col min="8" max="8" width="9.5703125" customWidth="1"/>
    <col min="9" max="9" width="10.140625" customWidth="1"/>
    <col min="10" max="10" width="11.5703125" bestFit="1" customWidth="1"/>
    <col min="11" max="27" width="11.42578125" customWidth="1"/>
    <col min="28" max="28" width="2.7109375" customWidth="1"/>
    <col min="29" max="29" width="13.7109375" customWidth="1"/>
  </cols>
  <sheetData>
    <row r="1" spans="2:10" hidden="1">
      <c r="H1" s="71"/>
      <c r="I1" s="10"/>
      <c r="J1" s="69"/>
    </row>
    <row r="2" spans="2:10" hidden="1">
      <c r="H2" s="71"/>
      <c r="I2" s="10"/>
      <c r="J2" s="69"/>
    </row>
    <row r="3" spans="2:10" hidden="1">
      <c r="H3" s="71"/>
      <c r="I3" s="10"/>
      <c r="J3" s="69"/>
    </row>
    <row r="4" spans="2:10">
      <c r="I4" s="10"/>
      <c r="J4" s="69"/>
    </row>
    <row r="5" spans="2:10" ht="20.25">
      <c r="C5" s="628"/>
      <c r="D5" s="629"/>
      <c r="E5" s="629"/>
      <c r="F5" s="629"/>
      <c r="G5" s="629"/>
      <c r="H5" s="71"/>
      <c r="I5" s="630" t="s">
        <v>151</v>
      </c>
      <c r="J5" s="630"/>
    </row>
    <row r="6" spans="2:10" ht="15.75">
      <c r="H6" s="83"/>
      <c r="I6" s="85" t="s">
        <v>126</v>
      </c>
      <c r="J6" s="96">
        <f>J11</f>
        <v>42369</v>
      </c>
    </row>
    <row r="7" spans="2:10" ht="15.75">
      <c r="B7" s="82"/>
      <c r="C7" s="84"/>
      <c r="D7" s="75"/>
      <c r="E7" s="85" t="s">
        <v>152</v>
      </c>
      <c r="F7" s="86"/>
      <c r="G7" s="149">
        <f>Arbeitszeit!xSaldo</f>
        <v>0</v>
      </c>
      <c r="H7" s="148">
        <f>Arbeitszeit!Y380</f>
        <v>0</v>
      </c>
      <c r="I7" s="86"/>
      <c r="J7" s="86"/>
    </row>
    <row r="8" spans="2:10" ht="15">
      <c r="B8" s="82"/>
      <c r="H8" s="75"/>
      <c r="I8" s="86"/>
      <c r="J8" s="86"/>
    </row>
    <row r="9" spans="2:10" ht="15">
      <c r="B9" s="82"/>
      <c r="H9" s="75"/>
      <c r="I9" s="86"/>
      <c r="J9" s="97">
        <f>DATE(YEAR(J11)+IF(AND(1=MONTH(J11),DAY(J11)),0,1),MONTH(J11-1),DAY(J11-1))</f>
        <v>42734</v>
      </c>
    </row>
    <row r="10" spans="2:10" ht="15">
      <c r="B10" s="82"/>
      <c r="C10" s="84"/>
      <c r="D10" s="75"/>
      <c r="E10" s="84" t="s">
        <v>149</v>
      </c>
      <c r="F10" s="86"/>
      <c r="G10" s="88">
        <f>Arbeitszeit!V377</f>
        <v>0</v>
      </c>
      <c r="H10" s="100">
        <v>0</v>
      </c>
      <c r="I10" s="86"/>
      <c r="J10" s="97">
        <f ca="1">TODAY()</f>
        <v>42354</v>
      </c>
    </row>
    <row r="11" spans="2:10" ht="15">
      <c r="B11" s="82"/>
      <c r="C11" s="84"/>
      <c r="D11" s="75"/>
      <c r="E11" s="84" t="s">
        <v>150</v>
      </c>
      <c r="F11" s="87"/>
      <c r="G11" s="88">
        <f>Arbeitszeit!V378</f>
        <v>0</v>
      </c>
      <c r="H11" s="100">
        <f>Arbeitszeit!Y380</f>
        <v>0</v>
      </c>
      <c r="I11" s="75"/>
      <c r="J11" s="97">
        <f>B_Year</f>
        <v>42369</v>
      </c>
    </row>
    <row r="12" spans="2:10" ht="15">
      <c r="B12" s="82"/>
      <c r="H12" s="86"/>
      <c r="I12" s="86"/>
      <c r="J12" s="98">
        <f ca="1">IF((J10-J11)&lt;0,0,IF((J10-J11)&gt;366,366,(J10-J11)))</f>
        <v>0</v>
      </c>
    </row>
    <row r="13" spans="2:10" ht="15">
      <c r="B13" s="82"/>
      <c r="C13" s="84"/>
      <c r="D13" s="75"/>
      <c r="E13" s="87"/>
      <c r="F13" s="87"/>
      <c r="G13" s="75"/>
      <c r="H13" s="86"/>
      <c r="I13" s="86"/>
      <c r="J13" s="98">
        <f ca="1">IF((J9-J10)&lt;0,0,IF((J9-J10)&gt;366,366,(J9-J10)))</f>
        <v>366</v>
      </c>
    </row>
    <row r="14" spans="2:10" ht="15.75">
      <c r="B14" s="82"/>
      <c r="C14" s="84"/>
      <c r="D14" s="75"/>
      <c r="E14" s="85" t="s">
        <v>148</v>
      </c>
      <c r="F14" s="86"/>
      <c r="G14" s="89">
        <f ca="1">IF(AND(J17&gt;=Arbeitszeit!xJahr,J17&lt;=Arbeitszeit!xJahrEnd),LOOKUP(J17,db_jZeit,db_jUrlRest),Arbeitszeit!xResturlaub)</f>
        <v>30</v>
      </c>
      <c r="H14" s="86"/>
      <c r="I14" s="86"/>
    </row>
    <row r="15" spans="2:10" ht="15">
      <c r="B15" s="82"/>
      <c r="C15" s="84"/>
      <c r="D15" s="75"/>
      <c r="E15" s="87"/>
      <c r="F15" s="87"/>
      <c r="G15" s="75"/>
      <c r="H15" s="75"/>
      <c r="I15" s="86"/>
      <c r="J15" s="86"/>
    </row>
    <row r="16" spans="2:10" ht="15.75">
      <c r="B16" s="82"/>
      <c r="C16" s="90"/>
      <c r="D16" s="86"/>
      <c r="E16" s="91" t="str">
        <f>"&gt; "&amp; TEXT(Einstellungen!D7,"h") &amp;" Std:"</f>
        <v>&gt; 10 Std:</v>
      </c>
      <c r="F16" s="92"/>
      <c r="G16" s="93">
        <f>Arbeitszeit!AD377</f>
        <v>0</v>
      </c>
      <c r="H16" s="75"/>
      <c r="I16" s="86"/>
      <c r="J16" s="86"/>
    </row>
    <row r="17" spans="1:29" ht="15.75">
      <c r="C17" s="90"/>
      <c r="D17" s="86"/>
      <c r="E17" s="94" t="s">
        <v>118</v>
      </c>
      <c r="F17" s="92"/>
      <c r="G17" s="95">
        <f>Arbeitszeit!A381</f>
        <v>0</v>
      </c>
      <c r="H17" s="75"/>
      <c r="I17" s="85" t="s">
        <v>147</v>
      </c>
      <c r="J17" s="147">
        <f ca="1">TODAY()</f>
        <v>42354</v>
      </c>
    </row>
    <row r="18" spans="1:29">
      <c r="C18" s="84"/>
      <c r="D18" s="75"/>
      <c r="E18" s="94" t="s">
        <v>119</v>
      </c>
      <c r="F18" s="87"/>
      <c r="G18" s="150">
        <f>Arbeitszeit!A382</f>
        <v>0</v>
      </c>
      <c r="H18" s="99"/>
      <c r="I18" s="75"/>
      <c r="J18" s="75"/>
    </row>
    <row r="19" spans="1:29">
      <c r="C19" s="84"/>
      <c r="D19" s="75"/>
      <c r="E19" s="87"/>
      <c r="F19" s="87"/>
      <c r="G19" s="75"/>
      <c r="H19" s="75"/>
      <c r="I19" s="75"/>
      <c r="J19" s="75"/>
    </row>
    <row r="21" spans="1:29" hidden="1"/>
    <row r="22" spans="1:29" hidden="1"/>
    <row r="23" spans="1:29" hidden="1">
      <c r="E23" s="2" t="s">
        <v>15</v>
      </c>
      <c r="F23" s="2">
        <v>0</v>
      </c>
      <c r="G23">
        <f ca="1">INDEX($G$25:$AA$25,MATCH(TRUE,OFFSET($G$24:$AA$24,0,F23,,COLUMNS($G$24:$AA$24)-F23),0))</f>
        <v>1</v>
      </c>
      <c r="H23">
        <f ca="1">INDEX($G$25:$AA$25,MATCH(TRUE,OFFSET($G$24:$AA$24,0,G23,,COLUMNS($G$24:$AA$24)-G23),0)+G23)</f>
        <v>2</v>
      </c>
      <c r="I23">
        <f ca="1">INDEX($G$25:$AA$25,MATCH(TRUE,OFFSET($G$24:$AA$24,0,H23,,COLUMNS($G$24:$AA$24)-H23),0)+H23)</f>
        <v>3</v>
      </c>
      <c r="J23">
        <f t="shared" ref="J23:AA23" ca="1" si="0">INDEX($G$25:$AA$25,MATCH(TRUE,OFFSET($G$24:$AA$24,0,I23,,COLUMNS($G$24:$AA$24)-I23),0)+I23)</f>
        <v>4</v>
      </c>
      <c r="K23">
        <f t="shared" ca="1" si="0"/>
        <v>5</v>
      </c>
      <c r="L23">
        <f t="shared" ca="1" si="0"/>
        <v>6</v>
      </c>
      <c r="M23">
        <f t="shared" ca="1" si="0"/>
        <v>7</v>
      </c>
      <c r="N23">
        <f t="shared" ca="1" si="0"/>
        <v>8</v>
      </c>
      <c r="O23">
        <f t="shared" ca="1" si="0"/>
        <v>9</v>
      </c>
      <c r="P23">
        <f t="shared" ca="1" si="0"/>
        <v>10</v>
      </c>
      <c r="Q23">
        <f t="shared" ca="1" si="0"/>
        <v>11</v>
      </c>
      <c r="R23">
        <f t="shared" ca="1" si="0"/>
        <v>12</v>
      </c>
      <c r="S23">
        <f t="shared" ca="1" si="0"/>
        <v>13</v>
      </c>
      <c r="T23">
        <f t="shared" ca="1" si="0"/>
        <v>14</v>
      </c>
      <c r="U23">
        <f t="shared" ca="1" si="0"/>
        <v>15</v>
      </c>
      <c r="V23">
        <f t="shared" ca="1" si="0"/>
        <v>16</v>
      </c>
      <c r="W23">
        <f t="shared" ca="1" si="0"/>
        <v>17</v>
      </c>
      <c r="X23">
        <f t="shared" ca="1" si="0"/>
        <v>18</v>
      </c>
      <c r="Y23">
        <f t="shared" ca="1" si="0"/>
        <v>19</v>
      </c>
      <c r="Z23">
        <f t="shared" ca="1" si="0"/>
        <v>20</v>
      </c>
      <c r="AA23">
        <f t="shared" ca="1" si="0"/>
        <v>21</v>
      </c>
    </row>
    <row r="24" spans="1:29" hidden="1">
      <c r="E24" s="2" t="s">
        <v>16</v>
      </c>
      <c r="G24" t="b">
        <v>1</v>
      </c>
      <c r="H24" t="b">
        <v>1</v>
      </c>
      <c r="I24" t="b">
        <v>1</v>
      </c>
      <c r="J24" t="b">
        <v>1</v>
      </c>
      <c r="K24" t="b">
        <v>1</v>
      </c>
      <c r="L24" t="b">
        <v>1</v>
      </c>
      <c r="M24" t="b">
        <v>1</v>
      </c>
      <c r="N24" t="b">
        <v>1</v>
      </c>
      <c r="O24" t="b">
        <v>1</v>
      </c>
      <c r="P24" t="b">
        <v>1</v>
      </c>
      <c r="Q24" t="b">
        <v>1</v>
      </c>
      <c r="R24" t="b">
        <v>1</v>
      </c>
      <c r="S24" t="b">
        <v>1</v>
      </c>
      <c r="T24" t="b">
        <v>1</v>
      </c>
      <c r="U24" t="b">
        <v>1</v>
      </c>
      <c r="V24" t="b">
        <v>1</v>
      </c>
      <c r="W24" t="b">
        <v>1</v>
      </c>
      <c r="X24" t="b">
        <v>1</v>
      </c>
      <c r="Y24" t="b">
        <v>1</v>
      </c>
      <c r="Z24" t="b">
        <v>1</v>
      </c>
      <c r="AA24" t="b">
        <v>1</v>
      </c>
    </row>
    <row r="25" spans="1:29" hidden="1">
      <c r="E25" s="2" t="s">
        <v>14</v>
      </c>
      <c r="G25">
        <v>1</v>
      </c>
      <c r="H25">
        <v>2</v>
      </c>
      <c r="I25">
        <v>3</v>
      </c>
      <c r="J25">
        <v>4</v>
      </c>
      <c r="K25">
        <v>5</v>
      </c>
      <c r="L25">
        <v>6</v>
      </c>
      <c r="M25">
        <v>7</v>
      </c>
      <c r="N25">
        <v>8</v>
      </c>
      <c r="O25">
        <v>9</v>
      </c>
      <c r="P25">
        <v>10</v>
      </c>
      <c r="Q25">
        <v>11</v>
      </c>
      <c r="R25">
        <v>12</v>
      </c>
      <c r="S25">
        <v>13</v>
      </c>
      <c r="T25">
        <v>14</v>
      </c>
      <c r="U25">
        <v>15</v>
      </c>
      <c r="V25">
        <v>16</v>
      </c>
      <c r="W25">
        <v>17</v>
      </c>
      <c r="X25">
        <v>18</v>
      </c>
      <c r="Y25">
        <v>19</v>
      </c>
      <c r="Z25">
        <v>20</v>
      </c>
      <c r="AA25">
        <v>21</v>
      </c>
    </row>
    <row r="26" spans="1:29" s="10" customFormat="1" ht="18" customHeight="1">
      <c r="B26" s="74"/>
      <c r="C26" s="631" t="s">
        <v>166</v>
      </c>
      <c r="D26" s="631"/>
      <c r="E26" s="631"/>
      <c r="G26" s="23" t="str">
        <f>INDEX(g_NameAufgaben,G$25)</f>
        <v>Urlaub</v>
      </c>
      <c r="H26" s="23" t="str">
        <f t="shared" ref="H26:AA26" si="1">INDEX(g_NameAufgaben,H$25)</f>
        <v>Krank</v>
      </c>
      <c r="I26" s="61" t="str">
        <f t="shared" si="1"/>
        <v>Allgemein</v>
      </c>
      <c r="J26" s="63" t="str">
        <f t="shared" si="1"/>
        <v>Aufgabe 01</v>
      </c>
      <c r="K26" s="63" t="str">
        <f t="shared" si="1"/>
        <v>Aufgabe 02</v>
      </c>
      <c r="L26" s="63" t="str">
        <f t="shared" si="1"/>
        <v>Aufgabe 03</v>
      </c>
      <c r="M26" s="63" t="str">
        <f t="shared" si="1"/>
        <v>Aufgabe 04</v>
      </c>
      <c r="N26" s="63" t="str">
        <f t="shared" si="1"/>
        <v>Aufgabe 05</v>
      </c>
      <c r="O26" s="63" t="str">
        <f t="shared" si="1"/>
        <v>Aufgabe 06</v>
      </c>
      <c r="P26" s="63" t="str">
        <f t="shared" si="1"/>
        <v>Aufgabe 07</v>
      </c>
      <c r="Q26" s="63" t="str">
        <f t="shared" si="1"/>
        <v>Aufgabe 08</v>
      </c>
      <c r="R26" s="63" t="str">
        <f t="shared" si="1"/>
        <v>Aufgabe 09</v>
      </c>
      <c r="S26" s="63" t="str">
        <f t="shared" si="1"/>
        <v>Aufgabe 10</v>
      </c>
      <c r="T26" s="63" t="str">
        <f t="shared" si="1"/>
        <v>Aufgabe 11</v>
      </c>
      <c r="U26" s="63" t="str">
        <f t="shared" si="1"/>
        <v>Aufgabe 12</v>
      </c>
      <c r="V26" s="63" t="str">
        <f t="shared" si="1"/>
        <v>Aufgabe 13</v>
      </c>
      <c r="W26" s="63" t="str">
        <f t="shared" si="1"/>
        <v>Aufgabe 14</v>
      </c>
      <c r="X26" s="63" t="str">
        <f t="shared" si="1"/>
        <v>Aufgabe 15</v>
      </c>
      <c r="Y26" s="63" t="str">
        <f t="shared" si="1"/>
        <v>Aufgabe 16</v>
      </c>
      <c r="Z26" s="63" t="str">
        <f t="shared" si="1"/>
        <v>Aufgabe 17</v>
      </c>
      <c r="AA26" s="63" t="str">
        <f t="shared" si="1"/>
        <v>Aufgabe 18</v>
      </c>
      <c r="AC26" s="102" t="s">
        <v>165</v>
      </c>
    </row>
    <row r="27" spans="1:29">
      <c r="A27" s="73" t="str">
        <f>Aufgaben!A4</f>
        <v>Übertrag</v>
      </c>
    </row>
    <row r="28" spans="1:29" ht="12" customHeight="1">
      <c r="A28" s="73">
        <f>Aufgaben!A5</f>
        <v>42369</v>
      </c>
      <c r="C28" s="152"/>
      <c r="D28" s="151"/>
      <c r="E28" s="152"/>
      <c r="F28" s="72"/>
    </row>
    <row r="29" spans="1:29" s="80" customFormat="1" ht="15.75" customHeight="1">
      <c r="A29" s="73">
        <f>Arbeitszeit!$A7</f>
        <v>42370</v>
      </c>
      <c r="B29" s="77"/>
      <c r="C29" s="78">
        <v>1</v>
      </c>
      <c r="D29" s="77" t="s">
        <v>146</v>
      </c>
      <c r="E29" s="79">
        <v>365</v>
      </c>
      <c r="F29" s="79"/>
      <c r="G29" s="81">
        <f t="shared" ref="G29:AA29" ca="1" si="2">SUM(OFFSET(db_Aufgaben,$C29+1,(G$25-1)*2,$E29-$C29+1,1))</f>
        <v>0</v>
      </c>
      <c r="H29" s="81">
        <f t="shared" ca="1" si="2"/>
        <v>0</v>
      </c>
      <c r="I29" s="81">
        <f t="shared" ca="1" si="2"/>
        <v>0</v>
      </c>
      <c r="J29" s="81">
        <f t="shared" ca="1" si="2"/>
        <v>0</v>
      </c>
      <c r="K29" s="81">
        <f t="shared" ca="1" si="2"/>
        <v>0</v>
      </c>
      <c r="L29" s="81">
        <f t="shared" ca="1" si="2"/>
        <v>0</v>
      </c>
      <c r="M29" s="81">
        <f t="shared" ca="1" si="2"/>
        <v>0</v>
      </c>
      <c r="N29" s="81">
        <f t="shared" ca="1" si="2"/>
        <v>0</v>
      </c>
      <c r="O29" s="81">
        <f t="shared" ca="1" si="2"/>
        <v>0</v>
      </c>
      <c r="P29" s="81">
        <f t="shared" ca="1" si="2"/>
        <v>0</v>
      </c>
      <c r="Q29" s="81">
        <f t="shared" ca="1" si="2"/>
        <v>0</v>
      </c>
      <c r="R29" s="81">
        <f t="shared" ca="1" si="2"/>
        <v>0</v>
      </c>
      <c r="S29" s="81">
        <f t="shared" ca="1" si="2"/>
        <v>0</v>
      </c>
      <c r="T29" s="81">
        <f t="shared" ca="1" si="2"/>
        <v>0</v>
      </c>
      <c r="U29" s="81">
        <f t="shared" ca="1" si="2"/>
        <v>0</v>
      </c>
      <c r="V29" s="81">
        <f t="shared" ca="1" si="2"/>
        <v>0</v>
      </c>
      <c r="W29" s="81">
        <f t="shared" ca="1" si="2"/>
        <v>0</v>
      </c>
      <c r="X29" s="81">
        <f t="shared" ca="1" si="2"/>
        <v>0</v>
      </c>
      <c r="Y29" s="81">
        <f t="shared" ca="1" si="2"/>
        <v>0</v>
      </c>
      <c r="Z29" s="81">
        <f t="shared" ca="1" si="2"/>
        <v>0</v>
      </c>
      <c r="AA29" s="81">
        <f t="shared" ca="1" si="2"/>
        <v>0</v>
      </c>
      <c r="AC29" s="103">
        <f ca="1">SUM(G29:AB29)</f>
        <v>0</v>
      </c>
    </row>
    <row r="30" spans="1:29" ht="9.75" customHeight="1">
      <c r="A30" s="73">
        <f>Arbeitszeit!$A8</f>
        <v>42371</v>
      </c>
      <c r="C30" s="152"/>
      <c r="D30" s="10"/>
      <c r="E30" s="152"/>
      <c r="F30" s="69"/>
      <c r="G30" s="74"/>
      <c r="H30" s="74"/>
      <c r="I30" s="74"/>
      <c r="J30" s="74"/>
      <c r="K30" s="74"/>
      <c r="L30" s="74"/>
      <c r="M30" s="74"/>
      <c r="N30" s="74"/>
      <c r="O30" s="74"/>
      <c r="P30" s="74"/>
      <c r="Q30" s="74"/>
      <c r="R30" s="75"/>
    </row>
    <row r="31" spans="1:29" ht="15.75" customHeight="1">
      <c r="A31" s="73">
        <f>Arbeitszeit!$A9</f>
        <v>42372</v>
      </c>
      <c r="B31" s="74">
        <v>1</v>
      </c>
      <c r="C31" s="70">
        <v>1</v>
      </c>
      <c r="D31" s="74" t="s">
        <v>146</v>
      </c>
      <c r="E31" s="2">
        <v>23</v>
      </c>
      <c r="F31" s="69"/>
      <c r="G31" s="76">
        <f t="shared" ref="G31:AA31" ca="1" si="3">SUM(OFFSET(db_Aufgaben,$C31+1,(G$25-1)*2,$E31-$C31+1,1))</f>
        <v>0</v>
      </c>
      <c r="H31" s="76">
        <f t="shared" ca="1" si="3"/>
        <v>0</v>
      </c>
      <c r="I31" s="76">
        <f t="shared" ca="1" si="3"/>
        <v>0</v>
      </c>
      <c r="J31" s="76">
        <f t="shared" ca="1" si="3"/>
        <v>0</v>
      </c>
      <c r="K31" s="76">
        <f t="shared" ca="1" si="3"/>
        <v>0</v>
      </c>
      <c r="L31" s="76">
        <f t="shared" ca="1" si="3"/>
        <v>0</v>
      </c>
      <c r="M31" s="76">
        <f t="shared" ca="1" si="3"/>
        <v>0</v>
      </c>
      <c r="N31" s="76">
        <f t="shared" ca="1" si="3"/>
        <v>0</v>
      </c>
      <c r="O31" s="76">
        <f t="shared" ca="1" si="3"/>
        <v>0</v>
      </c>
      <c r="P31" s="76">
        <f t="shared" ca="1" si="3"/>
        <v>0</v>
      </c>
      <c r="Q31" s="76">
        <f t="shared" ca="1" si="3"/>
        <v>0</v>
      </c>
      <c r="R31" s="76">
        <f t="shared" ca="1" si="3"/>
        <v>0</v>
      </c>
      <c r="S31" s="76">
        <f t="shared" ca="1" si="3"/>
        <v>0</v>
      </c>
      <c r="T31" s="76">
        <f t="shared" ca="1" si="3"/>
        <v>0</v>
      </c>
      <c r="U31" s="76">
        <f t="shared" ca="1" si="3"/>
        <v>0</v>
      </c>
      <c r="V31" s="76">
        <f t="shared" ca="1" si="3"/>
        <v>0</v>
      </c>
      <c r="W31" s="76">
        <f t="shared" ca="1" si="3"/>
        <v>0</v>
      </c>
      <c r="X31" s="76">
        <f t="shared" ca="1" si="3"/>
        <v>0</v>
      </c>
      <c r="Y31" s="76">
        <f t="shared" ca="1" si="3"/>
        <v>0</v>
      </c>
      <c r="Z31" s="76">
        <f t="shared" ca="1" si="3"/>
        <v>0</v>
      </c>
      <c r="AA31" s="76">
        <f t="shared" ca="1" si="3"/>
        <v>0</v>
      </c>
      <c r="AC31" s="103">
        <f ca="1">SUM(G31:AB31)</f>
        <v>0</v>
      </c>
    </row>
    <row r="32" spans="1:29" ht="6.95" customHeight="1">
      <c r="A32" s="73">
        <f>Arbeitszeit!$A10</f>
        <v>42373</v>
      </c>
      <c r="C32" s="152"/>
      <c r="D32" s="10"/>
      <c r="E32" s="152"/>
      <c r="F32" s="69"/>
      <c r="G32" s="74"/>
      <c r="H32" s="74"/>
      <c r="I32" s="74"/>
      <c r="J32" s="74"/>
      <c r="K32" s="74"/>
      <c r="L32" s="74"/>
      <c r="M32" s="74"/>
      <c r="N32" s="74"/>
      <c r="O32" s="74"/>
      <c r="P32" s="74"/>
      <c r="Q32" s="74"/>
      <c r="R32" s="74"/>
      <c r="S32" s="74"/>
      <c r="T32" s="74"/>
      <c r="U32" s="74"/>
      <c r="V32" s="74"/>
      <c r="W32" s="74"/>
      <c r="X32" s="74"/>
      <c r="Y32" s="74"/>
      <c r="Z32" s="74"/>
      <c r="AA32" s="74"/>
      <c r="AC32" s="104"/>
    </row>
    <row r="33" spans="1:29" ht="15.75" customHeight="1">
      <c r="A33" s="73">
        <f>Arbeitszeit!$A11</f>
        <v>42374</v>
      </c>
      <c r="B33" s="74">
        <v>2</v>
      </c>
      <c r="C33" s="70">
        <v>24</v>
      </c>
      <c r="D33" s="74" t="s">
        <v>146</v>
      </c>
      <c r="E33" s="2">
        <v>53</v>
      </c>
      <c r="G33" s="76">
        <f t="shared" ref="G33:AA33" ca="1" si="4">SUM(OFFSET(db_Aufgaben,$C33+1,(G$25-1)*2,$E33-$C33+1,1))</f>
        <v>0</v>
      </c>
      <c r="H33" s="76">
        <f t="shared" ca="1" si="4"/>
        <v>0</v>
      </c>
      <c r="I33" s="76">
        <f t="shared" ca="1" si="4"/>
        <v>0</v>
      </c>
      <c r="J33" s="76">
        <f t="shared" ca="1" si="4"/>
        <v>0</v>
      </c>
      <c r="K33" s="76">
        <f t="shared" ca="1" si="4"/>
        <v>0</v>
      </c>
      <c r="L33" s="76">
        <f t="shared" ca="1" si="4"/>
        <v>0</v>
      </c>
      <c r="M33" s="76">
        <f t="shared" ca="1" si="4"/>
        <v>0</v>
      </c>
      <c r="N33" s="76">
        <f t="shared" ca="1" si="4"/>
        <v>0</v>
      </c>
      <c r="O33" s="76">
        <f t="shared" ca="1" si="4"/>
        <v>0</v>
      </c>
      <c r="P33" s="76">
        <f t="shared" ca="1" si="4"/>
        <v>0</v>
      </c>
      <c r="Q33" s="76">
        <f t="shared" ca="1" si="4"/>
        <v>0</v>
      </c>
      <c r="R33" s="76">
        <f t="shared" ca="1" si="4"/>
        <v>0</v>
      </c>
      <c r="S33" s="76">
        <f t="shared" ca="1" si="4"/>
        <v>0</v>
      </c>
      <c r="T33" s="76">
        <f t="shared" ca="1" si="4"/>
        <v>0</v>
      </c>
      <c r="U33" s="76">
        <f t="shared" ca="1" si="4"/>
        <v>0</v>
      </c>
      <c r="V33" s="76">
        <f t="shared" ca="1" si="4"/>
        <v>0</v>
      </c>
      <c r="W33" s="76">
        <f t="shared" ca="1" si="4"/>
        <v>0</v>
      </c>
      <c r="X33" s="76">
        <f t="shared" ca="1" si="4"/>
        <v>0</v>
      </c>
      <c r="Y33" s="76">
        <f t="shared" ca="1" si="4"/>
        <v>0</v>
      </c>
      <c r="Z33" s="76">
        <f t="shared" ca="1" si="4"/>
        <v>0</v>
      </c>
      <c r="AA33" s="76">
        <f t="shared" ca="1" si="4"/>
        <v>0</v>
      </c>
      <c r="AC33" s="103">
        <f ca="1">SUM(G33:AB33)</f>
        <v>0</v>
      </c>
    </row>
    <row r="34" spans="1:29" ht="6.95" customHeight="1">
      <c r="A34" s="73">
        <f>Arbeitszeit!$A12</f>
        <v>42375</v>
      </c>
      <c r="C34" s="152"/>
      <c r="D34" s="10"/>
      <c r="E34" s="152"/>
      <c r="F34" s="69"/>
      <c r="G34" s="74"/>
      <c r="H34" s="74"/>
      <c r="I34" s="74"/>
      <c r="J34" s="74"/>
      <c r="K34" s="74"/>
      <c r="L34" s="74"/>
      <c r="M34" s="74"/>
      <c r="N34" s="74"/>
      <c r="O34" s="74"/>
      <c r="P34" s="74"/>
      <c r="Q34" s="74"/>
      <c r="R34" s="74"/>
      <c r="S34" s="74"/>
      <c r="T34" s="74"/>
      <c r="U34" s="74"/>
      <c r="V34" s="74"/>
      <c r="W34" s="74"/>
      <c r="X34" s="74"/>
      <c r="Y34" s="74"/>
      <c r="Z34" s="74"/>
      <c r="AA34" s="74"/>
      <c r="AC34" s="104"/>
    </row>
    <row r="35" spans="1:29" ht="15.75" customHeight="1">
      <c r="A35" s="73">
        <f>Arbeitszeit!$A13</f>
        <v>42376</v>
      </c>
      <c r="B35" s="74">
        <v>3</v>
      </c>
      <c r="C35" s="70">
        <v>54</v>
      </c>
      <c r="D35" s="74" t="s">
        <v>146</v>
      </c>
      <c r="E35" s="2">
        <v>83</v>
      </c>
      <c r="F35" s="69"/>
      <c r="G35" s="76">
        <f t="shared" ref="G35:AA35" ca="1" si="5">SUM(OFFSET(db_Aufgaben,$C35+1,(G$25-1)*2,$E35-$C35+1,1))</f>
        <v>0</v>
      </c>
      <c r="H35" s="76">
        <f t="shared" ca="1" si="5"/>
        <v>0</v>
      </c>
      <c r="I35" s="76">
        <f t="shared" ca="1" si="5"/>
        <v>0</v>
      </c>
      <c r="J35" s="76">
        <f t="shared" ca="1" si="5"/>
        <v>0</v>
      </c>
      <c r="K35" s="76">
        <f t="shared" ca="1" si="5"/>
        <v>0</v>
      </c>
      <c r="L35" s="76">
        <f t="shared" ca="1" si="5"/>
        <v>0</v>
      </c>
      <c r="M35" s="76">
        <f t="shared" ca="1" si="5"/>
        <v>0</v>
      </c>
      <c r="N35" s="76">
        <f t="shared" ca="1" si="5"/>
        <v>0</v>
      </c>
      <c r="O35" s="76">
        <f t="shared" ca="1" si="5"/>
        <v>0</v>
      </c>
      <c r="P35" s="76">
        <f t="shared" ca="1" si="5"/>
        <v>0</v>
      </c>
      <c r="Q35" s="76">
        <f t="shared" ca="1" si="5"/>
        <v>0</v>
      </c>
      <c r="R35" s="76">
        <f t="shared" ca="1" si="5"/>
        <v>0</v>
      </c>
      <c r="S35" s="76">
        <f t="shared" ca="1" si="5"/>
        <v>0</v>
      </c>
      <c r="T35" s="76">
        <f t="shared" ca="1" si="5"/>
        <v>0</v>
      </c>
      <c r="U35" s="76">
        <f t="shared" ca="1" si="5"/>
        <v>0</v>
      </c>
      <c r="V35" s="76">
        <f t="shared" ca="1" si="5"/>
        <v>0</v>
      </c>
      <c r="W35" s="76">
        <f t="shared" ca="1" si="5"/>
        <v>0</v>
      </c>
      <c r="X35" s="76">
        <f t="shared" ca="1" si="5"/>
        <v>0</v>
      </c>
      <c r="Y35" s="76">
        <f t="shared" ca="1" si="5"/>
        <v>0</v>
      </c>
      <c r="Z35" s="76">
        <f t="shared" ca="1" si="5"/>
        <v>0</v>
      </c>
      <c r="AA35" s="76">
        <f t="shared" ca="1" si="5"/>
        <v>0</v>
      </c>
      <c r="AC35" s="103">
        <f ca="1">SUM(G35:AB35)</f>
        <v>0</v>
      </c>
    </row>
    <row r="36" spans="1:29" ht="6.95" customHeight="1">
      <c r="A36" s="73">
        <f>Arbeitszeit!$A14</f>
        <v>42377</v>
      </c>
      <c r="C36" s="152"/>
      <c r="D36" s="10"/>
      <c r="E36" s="152"/>
      <c r="F36" s="69"/>
      <c r="G36" s="74"/>
      <c r="H36" s="74"/>
      <c r="I36" s="74"/>
      <c r="J36" s="74"/>
      <c r="K36" s="74"/>
      <c r="L36" s="74"/>
      <c r="M36" s="74"/>
      <c r="N36" s="74"/>
      <c r="O36" s="74"/>
      <c r="P36" s="74"/>
      <c r="Q36" s="74"/>
      <c r="R36" s="74"/>
      <c r="S36" s="74"/>
      <c r="T36" s="74"/>
      <c r="U36" s="74"/>
      <c r="V36" s="74"/>
      <c r="W36" s="74"/>
      <c r="X36" s="74"/>
      <c r="Y36" s="74"/>
      <c r="Z36" s="74"/>
      <c r="AA36" s="74"/>
      <c r="AC36" s="104"/>
    </row>
    <row r="37" spans="1:29" ht="15.75" customHeight="1">
      <c r="A37" s="73">
        <f>Arbeitszeit!$A15</f>
        <v>42378</v>
      </c>
      <c r="B37" s="74">
        <v>4</v>
      </c>
      <c r="C37" s="70">
        <v>84</v>
      </c>
      <c r="D37" s="74" t="s">
        <v>146</v>
      </c>
      <c r="E37" s="2">
        <v>113</v>
      </c>
      <c r="F37" s="69"/>
      <c r="G37" s="76">
        <f t="shared" ref="G37:AA37" ca="1" si="6">SUM(OFFSET(db_Aufgaben,$C37+1,(G$25-1)*2,$E37-$C37+1,1))</f>
        <v>0</v>
      </c>
      <c r="H37" s="76">
        <f t="shared" ca="1" si="6"/>
        <v>0</v>
      </c>
      <c r="I37" s="76">
        <f t="shared" ca="1" si="6"/>
        <v>0</v>
      </c>
      <c r="J37" s="76">
        <f t="shared" ca="1" si="6"/>
        <v>0</v>
      </c>
      <c r="K37" s="76">
        <f t="shared" ca="1" si="6"/>
        <v>0</v>
      </c>
      <c r="L37" s="76">
        <f t="shared" ca="1" si="6"/>
        <v>0</v>
      </c>
      <c r="M37" s="76">
        <f t="shared" ca="1" si="6"/>
        <v>0</v>
      </c>
      <c r="N37" s="76">
        <f t="shared" ca="1" si="6"/>
        <v>0</v>
      </c>
      <c r="O37" s="76">
        <f t="shared" ca="1" si="6"/>
        <v>0</v>
      </c>
      <c r="P37" s="76">
        <f t="shared" ca="1" si="6"/>
        <v>0</v>
      </c>
      <c r="Q37" s="76">
        <f t="shared" ca="1" si="6"/>
        <v>0</v>
      </c>
      <c r="R37" s="76">
        <f t="shared" ca="1" si="6"/>
        <v>0</v>
      </c>
      <c r="S37" s="76">
        <f t="shared" ca="1" si="6"/>
        <v>0</v>
      </c>
      <c r="T37" s="76">
        <f t="shared" ca="1" si="6"/>
        <v>0</v>
      </c>
      <c r="U37" s="76">
        <f t="shared" ca="1" si="6"/>
        <v>0</v>
      </c>
      <c r="V37" s="76">
        <f t="shared" ca="1" si="6"/>
        <v>0</v>
      </c>
      <c r="W37" s="76">
        <f t="shared" ca="1" si="6"/>
        <v>0</v>
      </c>
      <c r="X37" s="76">
        <f t="shared" ca="1" si="6"/>
        <v>0</v>
      </c>
      <c r="Y37" s="76">
        <f t="shared" ca="1" si="6"/>
        <v>0</v>
      </c>
      <c r="Z37" s="76">
        <f t="shared" ca="1" si="6"/>
        <v>0</v>
      </c>
      <c r="AA37" s="76">
        <f t="shared" ca="1" si="6"/>
        <v>0</v>
      </c>
      <c r="AC37" s="103">
        <f ca="1">SUM(G37:AB37)</f>
        <v>0</v>
      </c>
    </row>
    <row r="38" spans="1:29" ht="6.95" customHeight="1">
      <c r="A38" s="73">
        <f>Arbeitszeit!$A16</f>
        <v>42379</v>
      </c>
      <c r="C38" s="152"/>
      <c r="D38" s="10"/>
      <c r="E38" s="152"/>
      <c r="F38" s="69"/>
      <c r="G38" s="74"/>
      <c r="H38" s="74"/>
      <c r="I38" s="74"/>
      <c r="J38" s="74"/>
      <c r="K38" s="74"/>
      <c r="L38" s="74"/>
      <c r="M38" s="74"/>
      <c r="N38" s="74"/>
      <c r="O38" s="74"/>
      <c r="P38" s="74"/>
      <c r="Q38" s="74"/>
      <c r="R38" s="74"/>
      <c r="S38" s="74"/>
      <c r="T38" s="74"/>
      <c r="U38" s="74"/>
      <c r="V38" s="74"/>
      <c r="W38" s="74"/>
      <c r="X38" s="74"/>
      <c r="Y38" s="74"/>
      <c r="Z38" s="74"/>
      <c r="AA38" s="74"/>
      <c r="AC38" s="104"/>
    </row>
    <row r="39" spans="1:29" ht="15.75" customHeight="1">
      <c r="A39" s="73">
        <f>Arbeitszeit!$A17</f>
        <v>42380</v>
      </c>
      <c r="B39" s="74">
        <v>5</v>
      </c>
      <c r="C39" s="70">
        <v>114</v>
      </c>
      <c r="D39" s="74" t="s">
        <v>146</v>
      </c>
      <c r="E39" s="2">
        <v>142</v>
      </c>
      <c r="F39" s="69"/>
      <c r="G39" s="76">
        <f t="shared" ref="G39:AA39" ca="1" si="7">SUM(OFFSET(db_Aufgaben,$C39+1,(G$25-1)*2,$E39-$C39+1,1))</f>
        <v>0</v>
      </c>
      <c r="H39" s="76">
        <f t="shared" ca="1" si="7"/>
        <v>0</v>
      </c>
      <c r="I39" s="76">
        <f t="shared" ca="1" si="7"/>
        <v>0</v>
      </c>
      <c r="J39" s="76">
        <f t="shared" ca="1" si="7"/>
        <v>0</v>
      </c>
      <c r="K39" s="76">
        <f t="shared" ca="1" si="7"/>
        <v>0</v>
      </c>
      <c r="L39" s="76">
        <f t="shared" ca="1" si="7"/>
        <v>0</v>
      </c>
      <c r="M39" s="76">
        <f t="shared" ca="1" si="7"/>
        <v>0</v>
      </c>
      <c r="N39" s="76">
        <f t="shared" ca="1" si="7"/>
        <v>0</v>
      </c>
      <c r="O39" s="76">
        <f t="shared" ca="1" si="7"/>
        <v>0</v>
      </c>
      <c r="P39" s="76">
        <f t="shared" ca="1" si="7"/>
        <v>0</v>
      </c>
      <c r="Q39" s="76">
        <f t="shared" ca="1" si="7"/>
        <v>0</v>
      </c>
      <c r="R39" s="76">
        <f t="shared" ca="1" si="7"/>
        <v>0</v>
      </c>
      <c r="S39" s="76">
        <f t="shared" ca="1" si="7"/>
        <v>0</v>
      </c>
      <c r="T39" s="76">
        <f t="shared" ca="1" si="7"/>
        <v>0</v>
      </c>
      <c r="U39" s="76">
        <f t="shared" ca="1" si="7"/>
        <v>0</v>
      </c>
      <c r="V39" s="76">
        <f t="shared" ca="1" si="7"/>
        <v>0</v>
      </c>
      <c r="W39" s="76">
        <f t="shared" ca="1" si="7"/>
        <v>0</v>
      </c>
      <c r="X39" s="76">
        <f t="shared" ca="1" si="7"/>
        <v>0</v>
      </c>
      <c r="Y39" s="76">
        <f t="shared" ca="1" si="7"/>
        <v>0</v>
      </c>
      <c r="Z39" s="76">
        <f t="shared" ca="1" si="7"/>
        <v>0</v>
      </c>
      <c r="AA39" s="76">
        <f t="shared" ca="1" si="7"/>
        <v>0</v>
      </c>
      <c r="AC39" s="103">
        <f ca="1">SUM(G39:AB39)</f>
        <v>0</v>
      </c>
    </row>
    <row r="40" spans="1:29" ht="6.95" customHeight="1">
      <c r="A40" s="73">
        <f>Arbeitszeit!$A18</f>
        <v>42381</v>
      </c>
      <c r="C40" s="152"/>
      <c r="D40" s="10"/>
      <c r="E40" s="152"/>
      <c r="F40" s="69"/>
      <c r="G40" s="74"/>
      <c r="H40" s="74"/>
      <c r="I40" s="74"/>
      <c r="J40" s="74"/>
      <c r="K40" s="74"/>
      <c r="L40" s="74"/>
      <c r="M40" s="74"/>
      <c r="N40" s="74"/>
      <c r="O40" s="74"/>
      <c r="P40" s="74"/>
      <c r="Q40" s="74"/>
      <c r="R40" s="74"/>
      <c r="S40" s="74"/>
      <c r="T40" s="74"/>
      <c r="U40" s="74"/>
      <c r="V40" s="74"/>
      <c r="W40" s="74"/>
      <c r="X40" s="74"/>
      <c r="Y40" s="74"/>
      <c r="Z40" s="74"/>
      <c r="AA40" s="74"/>
      <c r="AC40" s="104"/>
    </row>
    <row r="41" spans="1:29" ht="15.75" customHeight="1">
      <c r="A41" s="73">
        <f>Arbeitszeit!$A19</f>
        <v>42382</v>
      </c>
      <c r="B41" s="74">
        <v>6</v>
      </c>
      <c r="C41" s="70">
        <v>143</v>
      </c>
      <c r="D41" s="74" t="s">
        <v>146</v>
      </c>
      <c r="E41" s="2">
        <v>174</v>
      </c>
      <c r="F41" s="69"/>
      <c r="G41" s="76">
        <f t="shared" ref="G41:AA41" ca="1" si="8">SUM(OFFSET(db_Aufgaben,$C41+1,(G$25-1)*2,$E41-$C41+1,1))</f>
        <v>0</v>
      </c>
      <c r="H41" s="76">
        <f t="shared" ca="1" si="8"/>
        <v>0</v>
      </c>
      <c r="I41" s="76">
        <f t="shared" ca="1" si="8"/>
        <v>0</v>
      </c>
      <c r="J41" s="76">
        <f t="shared" ca="1" si="8"/>
        <v>0</v>
      </c>
      <c r="K41" s="76">
        <f t="shared" ca="1" si="8"/>
        <v>0</v>
      </c>
      <c r="L41" s="76">
        <f t="shared" ca="1" si="8"/>
        <v>0</v>
      </c>
      <c r="M41" s="76">
        <f t="shared" ca="1" si="8"/>
        <v>0</v>
      </c>
      <c r="N41" s="76">
        <f t="shared" ca="1" si="8"/>
        <v>0</v>
      </c>
      <c r="O41" s="76">
        <f t="shared" ca="1" si="8"/>
        <v>0</v>
      </c>
      <c r="P41" s="76">
        <f t="shared" ca="1" si="8"/>
        <v>0</v>
      </c>
      <c r="Q41" s="76">
        <f t="shared" ca="1" si="8"/>
        <v>0</v>
      </c>
      <c r="R41" s="76">
        <f t="shared" ca="1" si="8"/>
        <v>0</v>
      </c>
      <c r="S41" s="76">
        <f t="shared" ca="1" si="8"/>
        <v>0</v>
      </c>
      <c r="T41" s="76">
        <f t="shared" ca="1" si="8"/>
        <v>0</v>
      </c>
      <c r="U41" s="76">
        <f t="shared" ca="1" si="8"/>
        <v>0</v>
      </c>
      <c r="V41" s="76">
        <f t="shared" ca="1" si="8"/>
        <v>0</v>
      </c>
      <c r="W41" s="76">
        <f t="shared" ca="1" si="8"/>
        <v>0</v>
      </c>
      <c r="X41" s="76">
        <f t="shared" ca="1" si="8"/>
        <v>0</v>
      </c>
      <c r="Y41" s="76">
        <f t="shared" ca="1" si="8"/>
        <v>0</v>
      </c>
      <c r="Z41" s="76">
        <f t="shared" ca="1" si="8"/>
        <v>0</v>
      </c>
      <c r="AA41" s="76">
        <f t="shared" ca="1" si="8"/>
        <v>0</v>
      </c>
      <c r="AC41" s="103">
        <f ca="1">SUM(G41:AB41)</f>
        <v>0</v>
      </c>
    </row>
    <row r="42" spans="1:29" ht="6.95" customHeight="1">
      <c r="A42" s="73">
        <f>Arbeitszeit!$A20</f>
        <v>42383</v>
      </c>
      <c r="C42" s="152"/>
      <c r="E42" s="152"/>
      <c r="G42" s="74"/>
      <c r="H42" s="74"/>
      <c r="I42" s="74"/>
      <c r="J42" s="74"/>
      <c r="K42" s="74"/>
      <c r="L42" s="74"/>
      <c r="M42" s="74"/>
      <c r="N42" s="74"/>
      <c r="O42" s="74"/>
      <c r="P42" s="74"/>
      <c r="Q42" s="74"/>
      <c r="R42" s="74"/>
      <c r="S42" s="74"/>
      <c r="T42" s="74"/>
      <c r="U42" s="74"/>
      <c r="V42" s="74"/>
      <c r="W42" s="74"/>
      <c r="X42" s="74"/>
      <c r="Y42" s="74"/>
      <c r="Z42" s="74"/>
      <c r="AA42" s="74"/>
      <c r="AC42" s="104"/>
    </row>
    <row r="43" spans="1:29" ht="15.75" customHeight="1">
      <c r="A43" s="73">
        <f>Arbeitszeit!$A21</f>
        <v>42384</v>
      </c>
      <c r="B43" s="74">
        <v>7</v>
      </c>
      <c r="C43" s="70">
        <v>175</v>
      </c>
      <c r="D43" s="74" t="s">
        <v>146</v>
      </c>
      <c r="E43" s="2">
        <v>205</v>
      </c>
      <c r="G43" s="76">
        <f t="shared" ref="G43:AA43" ca="1" si="9">SUM(OFFSET(db_Aufgaben,$C43+1,(G$25-1)*2,$E43-$C43+1,1))</f>
        <v>0</v>
      </c>
      <c r="H43" s="76">
        <f t="shared" ca="1" si="9"/>
        <v>0</v>
      </c>
      <c r="I43" s="76">
        <f t="shared" ca="1" si="9"/>
        <v>0</v>
      </c>
      <c r="J43" s="76">
        <f t="shared" ca="1" si="9"/>
        <v>0</v>
      </c>
      <c r="K43" s="76">
        <f t="shared" ca="1" si="9"/>
        <v>0</v>
      </c>
      <c r="L43" s="76">
        <f t="shared" ca="1" si="9"/>
        <v>0</v>
      </c>
      <c r="M43" s="76">
        <f t="shared" ca="1" si="9"/>
        <v>0</v>
      </c>
      <c r="N43" s="76">
        <f t="shared" ca="1" si="9"/>
        <v>0</v>
      </c>
      <c r="O43" s="76">
        <f t="shared" ca="1" si="9"/>
        <v>0</v>
      </c>
      <c r="P43" s="76">
        <f t="shared" ca="1" si="9"/>
        <v>0</v>
      </c>
      <c r="Q43" s="76">
        <f t="shared" ca="1" si="9"/>
        <v>0</v>
      </c>
      <c r="R43" s="76">
        <f t="shared" ca="1" si="9"/>
        <v>0</v>
      </c>
      <c r="S43" s="76">
        <f t="shared" ca="1" si="9"/>
        <v>0</v>
      </c>
      <c r="T43" s="76">
        <f t="shared" ca="1" si="9"/>
        <v>0</v>
      </c>
      <c r="U43" s="76">
        <f t="shared" ca="1" si="9"/>
        <v>0</v>
      </c>
      <c r="V43" s="76">
        <f t="shared" ca="1" si="9"/>
        <v>0</v>
      </c>
      <c r="W43" s="76">
        <f t="shared" ca="1" si="9"/>
        <v>0</v>
      </c>
      <c r="X43" s="76">
        <f t="shared" ca="1" si="9"/>
        <v>0</v>
      </c>
      <c r="Y43" s="76">
        <f t="shared" ca="1" si="9"/>
        <v>0</v>
      </c>
      <c r="Z43" s="76">
        <f t="shared" ca="1" si="9"/>
        <v>0</v>
      </c>
      <c r="AA43" s="76">
        <f t="shared" ca="1" si="9"/>
        <v>0</v>
      </c>
      <c r="AC43" s="103">
        <f ca="1">SUM(G43:AB43)</f>
        <v>0</v>
      </c>
    </row>
    <row r="44" spans="1:29" ht="6.95" customHeight="1">
      <c r="A44" s="73">
        <f>Arbeitszeit!$A22</f>
        <v>42385</v>
      </c>
      <c r="C44" s="152"/>
      <c r="E44" s="152"/>
      <c r="G44" s="74"/>
      <c r="H44" s="74"/>
      <c r="I44" s="74"/>
      <c r="J44" s="74"/>
      <c r="K44" s="74"/>
      <c r="L44" s="74"/>
      <c r="M44" s="74"/>
      <c r="N44" s="74"/>
      <c r="O44" s="74"/>
      <c r="P44" s="74"/>
      <c r="Q44" s="74"/>
      <c r="R44" s="74"/>
      <c r="S44" s="74"/>
      <c r="T44" s="74"/>
      <c r="U44" s="74"/>
      <c r="V44" s="74"/>
      <c r="W44" s="74"/>
      <c r="X44" s="74"/>
      <c r="Y44" s="74"/>
      <c r="Z44" s="74"/>
      <c r="AA44" s="74"/>
      <c r="AC44" s="104"/>
    </row>
    <row r="45" spans="1:29" ht="15.75" customHeight="1">
      <c r="A45" s="73">
        <f>Arbeitszeit!$A23</f>
        <v>42386</v>
      </c>
      <c r="B45" s="74">
        <v>8</v>
      </c>
      <c r="C45" s="70">
        <v>206</v>
      </c>
      <c r="D45" s="74" t="s">
        <v>146</v>
      </c>
      <c r="E45" s="2">
        <v>236</v>
      </c>
      <c r="G45" s="76">
        <f t="shared" ref="G45:AA45" ca="1" si="10">SUM(OFFSET(db_Aufgaben,$C45+1,(G$25-1)*2,$E45-$C45+1,1))</f>
        <v>0</v>
      </c>
      <c r="H45" s="76">
        <f t="shared" ca="1" si="10"/>
        <v>0</v>
      </c>
      <c r="I45" s="76">
        <f t="shared" ca="1" si="10"/>
        <v>0</v>
      </c>
      <c r="J45" s="76">
        <f t="shared" ca="1" si="10"/>
        <v>0</v>
      </c>
      <c r="K45" s="76">
        <f t="shared" ca="1" si="10"/>
        <v>0</v>
      </c>
      <c r="L45" s="76">
        <f t="shared" ca="1" si="10"/>
        <v>0</v>
      </c>
      <c r="M45" s="76">
        <f t="shared" ca="1" si="10"/>
        <v>0</v>
      </c>
      <c r="N45" s="76">
        <f t="shared" ca="1" si="10"/>
        <v>0</v>
      </c>
      <c r="O45" s="76">
        <f t="shared" ca="1" si="10"/>
        <v>0</v>
      </c>
      <c r="P45" s="76">
        <f t="shared" ca="1" si="10"/>
        <v>0</v>
      </c>
      <c r="Q45" s="76">
        <f t="shared" ca="1" si="10"/>
        <v>0</v>
      </c>
      <c r="R45" s="76">
        <f t="shared" ca="1" si="10"/>
        <v>0</v>
      </c>
      <c r="S45" s="76">
        <f t="shared" ca="1" si="10"/>
        <v>0</v>
      </c>
      <c r="T45" s="76">
        <f t="shared" ca="1" si="10"/>
        <v>0</v>
      </c>
      <c r="U45" s="76">
        <f t="shared" ca="1" si="10"/>
        <v>0</v>
      </c>
      <c r="V45" s="76">
        <f t="shared" ca="1" si="10"/>
        <v>0</v>
      </c>
      <c r="W45" s="76">
        <f t="shared" ca="1" si="10"/>
        <v>0</v>
      </c>
      <c r="X45" s="76">
        <f t="shared" ca="1" si="10"/>
        <v>0</v>
      </c>
      <c r="Y45" s="76">
        <f t="shared" ca="1" si="10"/>
        <v>0</v>
      </c>
      <c r="Z45" s="76">
        <f t="shared" ca="1" si="10"/>
        <v>0</v>
      </c>
      <c r="AA45" s="76">
        <f t="shared" ca="1" si="10"/>
        <v>0</v>
      </c>
      <c r="AC45" s="103">
        <f ca="1">SUM(G45:AB45)</f>
        <v>0</v>
      </c>
    </row>
    <row r="46" spans="1:29" ht="6.95" customHeight="1">
      <c r="A46" s="73">
        <f>Arbeitszeit!$A24</f>
        <v>42387</v>
      </c>
      <c r="C46" s="152"/>
      <c r="E46" s="152"/>
      <c r="G46" s="74"/>
      <c r="H46" s="74"/>
      <c r="I46" s="74"/>
      <c r="J46" s="74"/>
      <c r="K46" s="74"/>
      <c r="L46" s="74"/>
      <c r="M46" s="74"/>
      <c r="N46" s="74"/>
      <c r="O46" s="74"/>
      <c r="P46" s="74"/>
      <c r="Q46" s="74"/>
      <c r="R46" s="74"/>
      <c r="S46" s="74"/>
      <c r="T46" s="74"/>
      <c r="U46" s="74"/>
      <c r="V46" s="74"/>
      <c r="W46" s="74"/>
      <c r="X46" s="74"/>
      <c r="Y46" s="74"/>
      <c r="Z46" s="74"/>
      <c r="AA46" s="74"/>
      <c r="AC46" s="104"/>
    </row>
    <row r="47" spans="1:29" ht="15.75" customHeight="1">
      <c r="A47" s="73">
        <f>Arbeitszeit!$A25</f>
        <v>42388</v>
      </c>
      <c r="B47" s="74">
        <v>9</v>
      </c>
      <c r="C47" s="70">
        <v>237</v>
      </c>
      <c r="D47" s="74" t="s">
        <v>146</v>
      </c>
      <c r="E47" s="2">
        <v>273</v>
      </c>
      <c r="G47" s="76">
        <f t="shared" ref="G47:AA47" ca="1" si="11">SUM(OFFSET(db_Aufgaben,$C47+1,(G$25-1)*2,$E47-$C47+1,1))</f>
        <v>0</v>
      </c>
      <c r="H47" s="76">
        <f t="shared" ca="1" si="11"/>
        <v>0</v>
      </c>
      <c r="I47" s="76">
        <f t="shared" ca="1" si="11"/>
        <v>0</v>
      </c>
      <c r="J47" s="76">
        <f t="shared" ca="1" si="11"/>
        <v>0</v>
      </c>
      <c r="K47" s="76">
        <f t="shared" ca="1" si="11"/>
        <v>0</v>
      </c>
      <c r="L47" s="76">
        <f t="shared" ca="1" si="11"/>
        <v>0</v>
      </c>
      <c r="M47" s="76">
        <f t="shared" ca="1" si="11"/>
        <v>0</v>
      </c>
      <c r="N47" s="76">
        <f t="shared" ca="1" si="11"/>
        <v>0</v>
      </c>
      <c r="O47" s="76">
        <f t="shared" ca="1" si="11"/>
        <v>0</v>
      </c>
      <c r="P47" s="76">
        <f t="shared" ca="1" si="11"/>
        <v>0</v>
      </c>
      <c r="Q47" s="76">
        <f t="shared" ca="1" si="11"/>
        <v>0</v>
      </c>
      <c r="R47" s="76">
        <f t="shared" ca="1" si="11"/>
        <v>0</v>
      </c>
      <c r="S47" s="76">
        <f t="shared" ca="1" si="11"/>
        <v>0</v>
      </c>
      <c r="T47" s="76">
        <f t="shared" ca="1" si="11"/>
        <v>0</v>
      </c>
      <c r="U47" s="76">
        <f t="shared" ca="1" si="11"/>
        <v>0</v>
      </c>
      <c r="V47" s="76">
        <f t="shared" ca="1" si="11"/>
        <v>0</v>
      </c>
      <c r="W47" s="76">
        <f t="shared" ca="1" si="11"/>
        <v>0</v>
      </c>
      <c r="X47" s="76">
        <f t="shared" ca="1" si="11"/>
        <v>0</v>
      </c>
      <c r="Y47" s="76">
        <f t="shared" ca="1" si="11"/>
        <v>0</v>
      </c>
      <c r="Z47" s="76">
        <f t="shared" ca="1" si="11"/>
        <v>0</v>
      </c>
      <c r="AA47" s="76">
        <f t="shared" ca="1" si="11"/>
        <v>0</v>
      </c>
      <c r="AC47" s="103">
        <f ca="1">SUM(G47:AB47)</f>
        <v>0</v>
      </c>
    </row>
    <row r="48" spans="1:29" ht="6.95" customHeight="1">
      <c r="A48" s="73">
        <f>Arbeitszeit!$A26</f>
        <v>42389</v>
      </c>
      <c r="C48" s="152"/>
      <c r="E48" s="152"/>
      <c r="G48" s="74"/>
      <c r="H48" s="74"/>
      <c r="I48" s="74"/>
      <c r="J48" s="74"/>
      <c r="K48" s="74"/>
      <c r="L48" s="74"/>
      <c r="M48" s="74"/>
      <c r="N48" s="74"/>
      <c r="O48" s="74"/>
      <c r="P48" s="74"/>
      <c r="Q48" s="74"/>
      <c r="R48" s="74"/>
      <c r="S48" s="74"/>
      <c r="T48" s="74"/>
      <c r="U48" s="74"/>
      <c r="V48" s="74"/>
      <c r="W48" s="74"/>
      <c r="X48" s="74"/>
      <c r="Y48" s="74"/>
      <c r="Z48" s="74"/>
      <c r="AA48" s="74"/>
      <c r="AC48" s="104"/>
    </row>
    <row r="49" spans="1:29" ht="15.75" customHeight="1">
      <c r="A49" s="73">
        <f>Arbeitszeit!$A27</f>
        <v>42390</v>
      </c>
      <c r="B49" s="74">
        <v>10</v>
      </c>
      <c r="C49" s="70">
        <v>274</v>
      </c>
      <c r="D49" s="74" t="s">
        <v>146</v>
      </c>
      <c r="E49" s="2">
        <v>327</v>
      </c>
      <c r="G49" s="76">
        <f t="shared" ref="G49:AA49" ca="1" si="12">SUM(OFFSET(db_Aufgaben,$C49+1,(G$25-1)*2,$E49-$C49+1,1))</f>
        <v>0</v>
      </c>
      <c r="H49" s="76">
        <f t="shared" ca="1" si="12"/>
        <v>0</v>
      </c>
      <c r="I49" s="76">
        <f t="shared" ca="1" si="12"/>
        <v>0</v>
      </c>
      <c r="J49" s="76">
        <f t="shared" ca="1" si="12"/>
        <v>0</v>
      </c>
      <c r="K49" s="76">
        <f t="shared" ca="1" si="12"/>
        <v>0</v>
      </c>
      <c r="L49" s="76">
        <f t="shared" ca="1" si="12"/>
        <v>0</v>
      </c>
      <c r="M49" s="76">
        <f t="shared" ca="1" si="12"/>
        <v>0</v>
      </c>
      <c r="N49" s="76">
        <f t="shared" ca="1" si="12"/>
        <v>0</v>
      </c>
      <c r="O49" s="76">
        <f t="shared" ca="1" si="12"/>
        <v>0</v>
      </c>
      <c r="P49" s="76">
        <f t="shared" ca="1" si="12"/>
        <v>0</v>
      </c>
      <c r="Q49" s="76">
        <f t="shared" ca="1" si="12"/>
        <v>0</v>
      </c>
      <c r="R49" s="76">
        <f t="shared" ca="1" si="12"/>
        <v>0</v>
      </c>
      <c r="S49" s="76">
        <f t="shared" ca="1" si="12"/>
        <v>0</v>
      </c>
      <c r="T49" s="76">
        <f t="shared" ca="1" si="12"/>
        <v>0</v>
      </c>
      <c r="U49" s="76">
        <f t="shared" ca="1" si="12"/>
        <v>0</v>
      </c>
      <c r="V49" s="76">
        <f t="shared" ca="1" si="12"/>
        <v>0</v>
      </c>
      <c r="W49" s="76">
        <f t="shared" ca="1" si="12"/>
        <v>0</v>
      </c>
      <c r="X49" s="76">
        <f t="shared" ca="1" si="12"/>
        <v>0</v>
      </c>
      <c r="Y49" s="76">
        <f t="shared" ca="1" si="12"/>
        <v>0</v>
      </c>
      <c r="Z49" s="76">
        <f t="shared" ca="1" si="12"/>
        <v>0</v>
      </c>
      <c r="AA49" s="76">
        <f t="shared" ca="1" si="12"/>
        <v>0</v>
      </c>
      <c r="AC49" s="103">
        <f ca="1">SUM(G49:AB49)</f>
        <v>0</v>
      </c>
    </row>
    <row r="50" spans="1:29" ht="6.95" customHeight="1">
      <c r="A50" s="73">
        <f>Arbeitszeit!$A28</f>
        <v>42391</v>
      </c>
      <c r="C50" s="152"/>
      <c r="E50" s="152"/>
      <c r="G50" s="74"/>
      <c r="H50" s="74"/>
      <c r="I50" s="74"/>
      <c r="J50" s="74"/>
      <c r="K50" s="74"/>
      <c r="L50" s="74"/>
      <c r="M50" s="74"/>
      <c r="N50" s="74"/>
      <c r="O50" s="74"/>
      <c r="P50" s="74"/>
      <c r="Q50" s="74"/>
      <c r="R50" s="74"/>
      <c r="S50" s="74"/>
      <c r="T50" s="74"/>
      <c r="U50" s="74"/>
      <c r="V50" s="74"/>
      <c r="W50" s="74"/>
      <c r="X50" s="74"/>
      <c r="Y50" s="74"/>
      <c r="Z50" s="74"/>
      <c r="AA50" s="74"/>
      <c r="AC50" s="104"/>
    </row>
    <row r="51" spans="1:29" ht="15.75" customHeight="1">
      <c r="A51" s="73">
        <f>Arbeitszeit!$A29</f>
        <v>42392</v>
      </c>
      <c r="B51" s="74">
        <v>11</v>
      </c>
      <c r="C51" s="70">
        <v>328</v>
      </c>
      <c r="D51" s="74" t="s">
        <v>146</v>
      </c>
      <c r="E51" s="2">
        <v>335</v>
      </c>
      <c r="G51" s="76">
        <f t="shared" ref="G51:AA51" ca="1" si="13">SUM(OFFSET(db_Aufgaben,$C51+1,(G$25-1)*2,$E51-$C51+1,1))</f>
        <v>0</v>
      </c>
      <c r="H51" s="76">
        <f t="shared" ca="1" si="13"/>
        <v>0</v>
      </c>
      <c r="I51" s="76">
        <f t="shared" ca="1" si="13"/>
        <v>0</v>
      </c>
      <c r="J51" s="76">
        <f t="shared" ca="1" si="13"/>
        <v>0</v>
      </c>
      <c r="K51" s="76">
        <f t="shared" ca="1" si="13"/>
        <v>0</v>
      </c>
      <c r="L51" s="76">
        <f t="shared" ca="1" si="13"/>
        <v>0</v>
      </c>
      <c r="M51" s="76">
        <f t="shared" ca="1" si="13"/>
        <v>0</v>
      </c>
      <c r="N51" s="76">
        <f t="shared" ca="1" si="13"/>
        <v>0</v>
      </c>
      <c r="O51" s="76">
        <f t="shared" ca="1" si="13"/>
        <v>0</v>
      </c>
      <c r="P51" s="76">
        <f t="shared" ca="1" si="13"/>
        <v>0</v>
      </c>
      <c r="Q51" s="76">
        <f t="shared" ca="1" si="13"/>
        <v>0</v>
      </c>
      <c r="R51" s="76">
        <f t="shared" ca="1" si="13"/>
        <v>0</v>
      </c>
      <c r="S51" s="76">
        <f t="shared" ca="1" si="13"/>
        <v>0</v>
      </c>
      <c r="T51" s="76">
        <f t="shared" ca="1" si="13"/>
        <v>0</v>
      </c>
      <c r="U51" s="76">
        <f t="shared" ca="1" si="13"/>
        <v>0</v>
      </c>
      <c r="V51" s="76">
        <f t="shared" ca="1" si="13"/>
        <v>0</v>
      </c>
      <c r="W51" s="76">
        <f t="shared" ca="1" si="13"/>
        <v>0</v>
      </c>
      <c r="X51" s="76">
        <f t="shared" ca="1" si="13"/>
        <v>0</v>
      </c>
      <c r="Y51" s="76">
        <f t="shared" ca="1" si="13"/>
        <v>0</v>
      </c>
      <c r="Z51" s="76">
        <f t="shared" ca="1" si="13"/>
        <v>0</v>
      </c>
      <c r="AA51" s="76">
        <f t="shared" ca="1" si="13"/>
        <v>0</v>
      </c>
      <c r="AC51" s="103">
        <f ca="1">SUM(G51:AB51)</f>
        <v>0</v>
      </c>
    </row>
    <row r="52" spans="1:29" ht="6.95" customHeight="1">
      <c r="A52" s="73">
        <f>Arbeitszeit!$A30</f>
        <v>42393</v>
      </c>
      <c r="C52" s="152"/>
      <c r="E52" s="152"/>
      <c r="G52" s="74"/>
      <c r="H52" s="74"/>
      <c r="I52" s="74"/>
      <c r="J52" s="74"/>
      <c r="K52" s="74"/>
      <c r="L52" s="74"/>
      <c r="M52" s="74"/>
      <c r="N52" s="74"/>
      <c r="O52" s="74"/>
      <c r="P52" s="74"/>
      <c r="Q52" s="74"/>
      <c r="R52" s="74"/>
      <c r="S52" s="74"/>
      <c r="T52" s="74"/>
      <c r="U52" s="74"/>
      <c r="V52" s="74"/>
      <c r="W52" s="74"/>
      <c r="X52" s="74"/>
      <c r="Y52" s="74"/>
      <c r="Z52" s="74"/>
      <c r="AA52" s="74"/>
      <c r="AC52" s="104"/>
    </row>
    <row r="53" spans="1:29" ht="15.75" customHeight="1">
      <c r="A53" s="73">
        <f>Arbeitszeit!$A31</f>
        <v>42394</v>
      </c>
      <c r="B53" s="74">
        <v>12</v>
      </c>
      <c r="C53" s="70">
        <v>336</v>
      </c>
      <c r="D53" s="74" t="s">
        <v>146</v>
      </c>
      <c r="E53" s="2">
        <v>366</v>
      </c>
      <c r="G53" s="76">
        <f t="shared" ref="G53:AA53" ca="1" si="14">SUM(OFFSET(db_Aufgaben,$C53+1,(G$25-1)*2,$E53-$C53+1,1))</f>
        <v>0</v>
      </c>
      <c r="H53" s="76">
        <f t="shared" ca="1" si="14"/>
        <v>0</v>
      </c>
      <c r="I53" s="76">
        <f t="shared" ca="1" si="14"/>
        <v>0</v>
      </c>
      <c r="J53" s="76">
        <f t="shared" ca="1" si="14"/>
        <v>0</v>
      </c>
      <c r="K53" s="76">
        <f t="shared" ca="1" si="14"/>
        <v>0</v>
      </c>
      <c r="L53" s="76">
        <f t="shared" ca="1" si="14"/>
        <v>0</v>
      </c>
      <c r="M53" s="76">
        <f t="shared" ca="1" si="14"/>
        <v>0</v>
      </c>
      <c r="N53" s="76">
        <f t="shared" ca="1" si="14"/>
        <v>0</v>
      </c>
      <c r="O53" s="76">
        <f t="shared" ca="1" si="14"/>
        <v>0</v>
      </c>
      <c r="P53" s="76">
        <f t="shared" ca="1" si="14"/>
        <v>0</v>
      </c>
      <c r="Q53" s="76">
        <f t="shared" ca="1" si="14"/>
        <v>0</v>
      </c>
      <c r="R53" s="76">
        <f t="shared" ca="1" si="14"/>
        <v>0</v>
      </c>
      <c r="S53" s="76">
        <f t="shared" ca="1" si="14"/>
        <v>0</v>
      </c>
      <c r="T53" s="76">
        <f t="shared" ca="1" si="14"/>
        <v>0</v>
      </c>
      <c r="U53" s="76">
        <f t="shared" ca="1" si="14"/>
        <v>0</v>
      </c>
      <c r="V53" s="76">
        <f t="shared" ca="1" si="14"/>
        <v>0</v>
      </c>
      <c r="W53" s="76">
        <f t="shared" ca="1" si="14"/>
        <v>0</v>
      </c>
      <c r="X53" s="76">
        <f t="shared" ca="1" si="14"/>
        <v>0</v>
      </c>
      <c r="Y53" s="76">
        <f t="shared" ca="1" si="14"/>
        <v>0</v>
      </c>
      <c r="Z53" s="76">
        <f t="shared" ca="1" si="14"/>
        <v>0</v>
      </c>
      <c r="AA53" s="76">
        <f t="shared" ca="1" si="14"/>
        <v>0</v>
      </c>
      <c r="AC53" s="103">
        <f ca="1">SUM(G53:AB53)</f>
        <v>0</v>
      </c>
    </row>
    <row r="54" spans="1:29" ht="6.95" customHeight="1">
      <c r="A54" s="73">
        <f>Arbeitszeit!$A32</f>
        <v>42395</v>
      </c>
      <c r="C54" s="152"/>
      <c r="E54" s="152"/>
      <c r="G54" s="74"/>
      <c r="H54" s="74"/>
      <c r="I54" s="74"/>
      <c r="J54" s="74"/>
      <c r="K54" s="74"/>
      <c r="L54" s="74"/>
      <c r="M54" s="74"/>
      <c r="N54" s="74"/>
      <c r="O54" s="74"/>
      <c r="P54" s="74"/>
      <c r="Q54" s="74"/>
      <c r="R54" s="74"/>
      <c r="S54" s="74"/>
      <c r="T54" s="74"/>
      <c r="U54" s="74"/>
      <c r="V54" s="74"/>
      <c r="W54" s="74"/>
      <c r="X54" s="74"/>
      <c r="Y54" s="74"/>
      <c r="Z54" s="74"/>
      <c r="AA54" s="74"/>
      <c r="AC54" s="104"/>
    </row>
    <row r="55" spans="1:29" ht="15.75" customHeight="1">
      <c r="A55" s="73">
        <f>Arbeitszeit!$A33</f>
        <v>42396</v>
      </c>
      <c r="B55" s="74">
        <v>13</v>
      </c>
      <c r="C55" s="70">
        <v>366</v>
      </c>
      <c r="D55" s="74" t="s">
        <v>146</v>
      </c>
      <c r="E55" s="2">
        <v>366</v>
      </c>
      <c r="G55" s="76">
        <f t="shared" ref="G55:AA55" ca="1" si="15">SUM(OFFSET(db_Aufgaben,$C55+1,(G$25-1)*2,$E55-$C55+1,1))</f>
        <v>0</v>
      </c>
      <c r="H55" s="76">
        <f t="shared" ca="1" si="15"/>
        <v>0</v>
      </c>
      <c r="I55" s="76">
        <f t="shared" ca="1" si="15"/>
        <v>0</v>
      </c>
      <c r="J55" s="76">
        <f t="shared" ca="1" si="15"/>
        <v>0</v>
      </c>
      <c r="K55" s="76">
        <f t="shared" ca="1" si="15"/>
        <v>0</v>
      </c>
      <c r="L55" s="76">
        <f t="shared" ca="1" si="15"/>
        <v>0</v>
      </c>
      <c r="M55" s="76">
        <f t="shared" ca="1" si="15"/>
        <v>0</v>
      </c>
      <c r="N55" s="76">
        <f t="shared" ca="1" si="15"/>
        <v>0</v>
      </c>
      <c r="O55" s="76">
        <f t="shared" ca="1" si="15"/>
        <v>0</v>
      </c>
      <c r="P55" s="76">
        <f t="shared" ca="1" si="15"/>
        <v>0</v>
      </c>
      <c r="Q55" s="76">
        <f t="shared" ca="1" si="15"/>
        <v>0</v>
      </c>
      <c r="R55" s="76">
        <f t="shared" ca="1" si="15"/>
        <v>0</v>
      </c>
      <c r="S55" s="76">
        <f t="shared" ca="1" si="15"/>
        <v>0</v>
      </c>
      <c r="T55" s="76">
        <f t="shared" ca="1" si="15"/>
        <v>0</v>
      </c>
      <c r="U55" s="76">
        <f t="shared" ca="1" si="15"/>
        <v>0</v>
      </c>
      <c r="V55" s="76">
        <f t="shared" ca="1" si="15"/>
        <v>0</v>
      </c>
      <c r="W55" s="76">
        <f t="shared" ca="1" si="15"/>
        <v>0</v>
      </c>
      <c r="X55" s="76">
        <f t="shared" ca="1" si="15"/>
        <v>0</v>
      </c>
      <c r="Y55" s="76">
        <f t="shared" ca="1" si="15"/>
        <v>0</v>
      </c>
      <c r="Z55" s="76">
        <f t="shared" ca="1" si="15"/>
        <v>0</v>
      </c>
      <c r="AA55" s="76">
        <f t="shared" ca="1" si="15"/>
        <v>0</v>
      </c>
      <c r="AC55" s="103">
        <f ca="1">SUM(G55:AB55)</f>
        <v>0</v>
      </c>
    </row>
    <row r="56" spans="1:29" ht="6.95" customHeight="1">
      <c r="A56" s="73">
        <f>Arbeitszeit!$A34</f>
        <v>42397</v>
      </c>
      <c r="C56" s="152"/>
      <c r="E56" s="152"/>
      <c r="G56" s="74"/>
      <c r="H56" s="74"/>
      <c r="I56" s="74"/>
      <c r="J56" s="74"/>
      <c r="K56" s="74"/>
      <c r="L56" s="74"/>
      <c r="M56" s="74"/>
      <c r="N56" s="74"/>
      <c r="O56" s="74"/>
      <c r="P56" s="74"/>
      <c r="Q56" s="74"/>
      <c r="R56" s="74"/>
      <c r="S56" s="74"/>
      <c r="T56" s="74"/>
      <c r="U56" s="74"/>
      <c r="V56" s="74"/>
      <c r="W56" s="74"/>
      <c r="X56" s="74"/>
      <c r="Y56" s="74"/>
      <c r="Z56" s="74"/>
      <c r="AA56" s="74"/>
      <c r="AC56" s="104"/>
    </row>
    <row r="57" spans="1:29" ht="15.75" customHeight="1">
      <c r="A57" s="73">
        <f>Arbeitszeit!$A35</f>
        <v>42398</v>
      </c>
      <c r="B57" s="74">
        <v>14</v>
      </c>
      <c r="C57" s="70">
        <v>366</v>
      </c>
      <c r="D57" s="74" t="s">
        <v>146</v>
      </c>
      <c r="E57" s="2">
        <v>366</v>
      </c>
      <c r="G57" s="76">
        <f t="shared" ref="G57:AA57" ca="1" si="16">SUM(OFFSET(db_Aufgaben,$C57+1,(G$25-1)*2,$E57-$C57+1,1))</f>
        <v>0</v>
      </c>
      <c r="H57" s="76">
        <f t="shared" ca="1" si="16"/>
        <v>0</v>
      </c>
      <c r="I57" s="76">
        <f t="shared" ca="1" si="16"/>
        <v>0</v>
      </c>
      <c r="J57" s="76">
        <f t="shared" ca="1" si="16"/>
        <v>0</v>
      </c>
      <c r="K57" s="76">
        <f t="shared" ca="1" si="16"/>
        <v>0</v>
      </c>
      <c r="L57" s="76">
        <f t="shared" ca="1" si="16"/>
        <v>0</v>
      </c>
      <c r="M57" s="76">
        <f t="shared" ca="1" si="16"/>
        <v>0</v>
      </c>
      <c r="N57" s="76">
        <f t="shared" ca="1" si="16"/>
        <v>0</v>
      </c>
      <c r="O57" s="76">
        <f t="shared" ca="1" si="16"/>
        <v>0</v>
      </c>
      <c r="P57" s="76">
        <f t="shared" ca="1" si="16"/>
        <v>0</v>
      </c>
      <c r="Q57" s="76">
        <f t="shared" ca="1" si="16"/>
        <v>0</v>
      </c>
      <c r="R57" s="76">
        <f t="shared" ca="1" si="16"/>
        <v>0</v>
      </c>
      <c r="S57" s="76">
        <f t="shared" ca="1" si="16"/>
        <v>0</v>
      </c>
      <c r="T57" s="76">
        <f t="shared" ca="1" si="16"/>
        <v>0</v>
      </c>
      <c r="U57" s="76">
        <f t="shared" ca="1" si="16"/>
        <v>0</v>
      </c>
      <c r="V57" s="76">
        <f t="shared" ca="1" si="16"/>
        <v>0</v>
      </c>
      <c r="W57" s="76">
        <f t="shared" ca="1" si="16"/>
        <v>0</v>
      </c>
      <c r="X57" s="76">
        <f t="shared" ca="1" si="16"/>
        <v>0</v>
      </c>
      <c r="Y57" s="76">
        <f t="shared" ca="1" si="16"/>
        <v>0</v>
      </c>
      <c r="Z57" s="76">
        <f t="shared" ca="1" si="16"/>
        <v>0</v>
      </c>
      <c r="AA57" s="76">
        <f t="shared" ca="1" si="16"/>
        <v>0</v>
      </c>
      <c r="AC57" s="103">
        <f ca="1">SUM(G57:AB57)</f>
        <v>0</v>
      </c>
    </row>
    <row r="58" spans="1:29">
      <c r="A58" s="73">
        <f>Arbeitszeit!$A36</f>
        <v>42399</v>
      </c>
      <c r="G58" s="74"/>
      <c r="H58" s="74"/>
      <c r="I58" s="74"/>
      <c r="J58" s="74"/>
      <c r="K58" s="74"/>
      <c r="L58" s="74"/>
      <c r="M58" s="74"/>
      <c r="N58" s="74"/>
      <c r="O58" s="74"/>
      <c r="P58" s="74"/>
      <c r="Q58" s="74"/>
      <c r="R58" s="75"/>
      <c r="AC58" s="74"/>
    </row>
    <row r="59" spans="1:29">
      <c r="A59" s="73">
        <f>Arbeitszeit!$A37</f>
        <v>42400</v>
      </c>
      <c r="G59" s="74"/>
      <c r="H59" s="74"/>
      <c r="I59" s="74"/>
      <c r="J59" s="74"/>
      <c r="K59" s="74"/>
      <c r="L59" s="74"/>
      <c r="M59" s="74"/>
      <c r="N59" s="74"/>
      <c r="O59" s="74"/>
      <c r="P59" s="74"/>
      <c r="Q59" s="74"/>
      <c r="R59" s="75"/>
    </row>
    <row r="60" spans="1:29">
      <c r="A60" s="73">
        <f>Arbeitszeit!$A38</f>
        <v>42401</v>
      </c>
      <c r="G60" s="74"/>
      <c r="H60" s="74"/>
      <c r="I60" s="74"/>
      <c r="J60" s="74"/>
      <c r="K60" s="74"/>
      <c r="L60" s="74"/>
      <c r="M60" s="74"/>
      <c r="N60" s="74"/>
      <c r="O60" s="74"/>
      <c r="P60" s="74"/>
      <c r="Q60" s="74"/>
      <c r="R60" s="75"/>
    </row>
    <row r="61" spans="1:29">
      <c r="A61" s="73">
        <f>Arbeitszeit!$A39</f>
        <v>42402</v>
      </c>
      <c r="G61" s="10"/>
      <c r="H61" s="10"/>
      <c r="I61" s="10"/>
      <c r="J61" s="10"/>
      <c r="K61" s="10"/>
      <c r="L61" s="10"/>
      <c r="M61" s="10"/>
      <c r="N61" s="10"/>
      <c r="O61" s="10"/>
      <c r="P61" s="10"/>
      <c r="Q61" s="10"/>
    </row>
    <row r="62" spans="1:29">
      <c r="A62" s="73">
        <f>Arbeitszeit!$A40</f>
        <v>42403</v>
      </c>
    </row>
    <row r="63" spans="1:29">
      <c r="A63" s="73">
        <f>Arbeitszeit!$A41</f>
        <v>42404</v>
      </c>
    </row>
    <row r="64" spans="1:29">
      <c r="A64" s="73">
        <f>Arbeitszeit!$A42</f>
        <v>42405</v>
      </c>
    </row>
    <row r="65" spans="1:1">
      <c r="A65" s="73">
        <f>Arbeitszeit!$A43</f>
        <v>42406</v>
      </c>
    </row>
    <row r="66" spans="1:1">
      <c r="A66" s="73">
        <f>Arbeitszeit!$A44</f>
        <v>42407</v>
      </c>
    </row>
    <row r="67" spans="1:1">
      <c r="A67" s="73">
        <f>Arbeitszeit!$A45</f>
        <v>42408</v>
      </c>
    </row>
    <row r="68" spans="1:1">
      <c r="A68" s="73">
        <f>Arbeitszeit!$A46</f>
        <v>42409</v>
      </c>
    </row>
    <row r="69" spans="1:1">
      <c r="A69" s="73">
        <f>Arbeitszeit!$A47</f>
        <v>42410</v>
      </c>
    </row>
    <row r="70" spans="1:1">
      <c r="A70" s="73">
        <f>Arbeitszeit!$A48</f>
        <v>42411</v>
      </c>
    </row>
    <row r="71" spans="1:1">
      <c r="A71" s="73">
        <f>Arbeitszeit!$A49</f>
        <v>42412</v>
      </c>
    </row>
    <row r="72" spans="1:1">
      <c r="A72" s="73">
        <f>Arbeitszeit!$A50</f>
        <v>42413</v>
      </c>
    </row>
    <row r="73" spans="1:1">
      <c r="A73" s="73">
        <f>Arbeitszeit!$A51</f>
        <v>42414</v>
      </c>
    </row>
    <row r="74" spans="1:1">
      <c r="A74" s="73">
        <f>Arbeitszeit!$A52</f>
        <v>42415</v>
      </c>
    </row>
    <row r="75" spans="1:1">
      <c r="A75" s="73">
        <f>Arbeitszeit!$A53</f>
        <v>42416</v>
      </c>
    </row>
    <row r="76" spans="1:1">
      <c r="A76" s="73">
        <f>Arbeitszeit!$A54</f>
        <v>42417</v>
      </c>
    </row>
    <row r="77" spans="1:1">
      <c r="A77" s="73">
        <f>Arbeitszeit!$A55</f>
        <v>42418</v>
      </c>
    </row>
    <row r="78" spans="1:1">
      <c r="A78" s="73">
        <f>Arbeitszeit!$A56</f>
        <v>42419</v>
      </c>
    </row>
    <row r="79" spans="1:1">
      <c r="A79" s="73">
        <f>Arbeitszeit!$A57</f>
        <v>42420</v>
      </c>
    </row>
    <row r="80" spans="1:1">
      <c r="A80" s="73">
        <f>Arbeitszeit!$A58</f>
        <v>42421</v>
      </c>
    </row>
    <row r="81" spans="1:1">
      <c r="A81" s="73">
        <f>Arbeitszeit!$A59</f>
        <v>42422</v>
      </c>
    </row>
    <row r="82" spans="1:1">
      <c r="A82" s="73">
        <f>Arbeitszeit!$A60</f>
        <v>42423</v>
      </c>
    </row>
    <row r="83" spans="1:1">
      <c r="A83" s="73">
        <f>Arbeitszeit!$A61</f>
        <v>42424</v>
      </c>
    </row>
    <row r="84" spans="1:1">
      <c r="A84" s="73">
        <f>Arbeitszeit!$A62</f>
        <v>42425</v>
      </c>
    </row>
    <row r="85" spans="1:1">
      <c r="A85" s="73">
        <f>Arbeitszeit!$A63</f>
        <v>42426</v>
      </c>
    </row>
    <row r="86" spans="1:1">
      <c r="A86" s="73">
        <f>Arbeitszeit!$A64</f>
        <v>42427</v>
      </c>
    </row>
    <row r="87" spans="1:1">
      <c r="A87" s="73">
        <f>Arbeitszeit!$A65</f>
        <v>42428</v>
      </c>
    </row>
    <row r="88" spans="1:1">
      <c r="A88" s="73">
        <f>Arbeitszeit!$A66</f>
        <v>42429</v>
      </c>
    </row>
    <row r="89" spans="1:1">
      <c r="A89" s="73">
        <f>Arbeitszeit!$A67</f>
        <v>42430</v>
      </c>
    </row>
    <row r="90" spans="1:1">
      <c r="A90" s="73">
        <f>Arbeitszeit!$A68</f>
        <v>42431</v>
      </c>
    </row>
    <row r="91" spans="1:1">
      <c r="A91" s="73">
        <f>Arbeitszeit!$A69</f>
        <v>42432</v>
      </c>
    </row>
    <row r="92" spans="1:1">
      <c r="A92" s="73">
        <f>Arbeitszeit!$A70</f>
        <v>42433</v>
      </c>
    </row>
    <row r="93" spans="1:1">
      <c r="A93" s="73">
        <f>Arbeitszeit!$A71</f>
        <v>42434</v>
      </c>
    </row>
    <row r="94" spans="1:1">
      <c r="A94" s="73">
        <f>Arbeitszeit!$A72</f>
        <v>42435</v>
      </c>
    </row>
    <row r="95" spans="1:1">
      <c r="A95" s="73">
        <f>Arbeitszeit!$A73</f>
        <v>42436</v>
      </c>
    </row>
    <row r="96" spans="1:1">
      <c r="A96" s="73">
        <f>Arbeitszeit!$A74</f>
        <v>42437</v>
      </c>
    </row>
    <row r="97" spans="1:1">
      <c r="A97" s="73">
        <f>Arbeitszeit!$A75</f>
        <v>42438</v>
      </c>
    </row>
    <row r="98" spans="1:1">
      <c r="A98" s="73">
        <f>Arbeitszeit!$A76</f>
        <v>42439</v>
      </c>
    </row>
    <row r="99" spans="1:1">
      <c r="A99" s="73">
        <f>Arbeitszeit!$A77</f>
        <v>42440</v>
      </c>
    </row>
    <row r="100" spans="1:1">
      <c r="A100" s="73">
        <f>Arbeitszeit!$A78</f>
        <v>42441</v>
      </c>
    </row>
    <row r="101" spans="1:1">
      <c r="A101" s="73">
        <f>Arbeitszeit!$A79</f>
        <v>42442</v>
      </c>
    </row>
    <row r="102" spans="1:1">
      <c r="A102" s="73">
        <f>Arbeitszeit!$A80</f>
        <v>42443</v>
      </c>
    </row>
    <row r="103" spans="1:1">
      <c r="A103" s="73">
        <f>Arbeitszeit!$A81</f>
        <v>42444</v>
      </c>
    </row>
    <row r="104" spans="1:1">
      <c r="A104" s="73">
        <f>Arbeitszeit!$A82</f>
        <v>42445</v>
      </c>
    </row>
    <row r="105" spans="1:1">
      <c r="A105" s="73">
        <f>Arbeitszeit!$A83</f>
        <v>42446</v>
      </c>
    </row>
    <row r="106" spans="1:1">
      <c r="A106" s="73">
        <f>Arbeitszeit!$A84</f>
        <v>42447</v>
      </c>
    </row>
    <row r="107" spans="1:1">
      <c r="A107" s="73">
        <f>Arbeitszeit!$A85</f>
        <v>42448</v>
      </c>
    </row>
    <row r="108" spans="1:1">
      <c r="A108" s="73">
        <f>Arbeitszeit!$A86</f>
        <v>42449</v>
      </c>
    </row>
    <row r="109" spans="1:1">
      <c r="A109" s="73">
        <f>Arbeitszeit!$A87</f>
        <v>42450</v>
      </c>
    </row>
    <row r="110" spans="1:1">
      <c r="A110" s="73">
        <f>Arbeitszeit!$A88</f>
        <v>42451</v>
      </c>
    </row>
    <row r="111" spans="1:1">
      <c r="A111" s="73">
        <f>Arbeitszeit!$A89</f>
        <v>42452</v>
      </c>
    </row>
    <row r="112" spans="1:1">
      <c r="A112" s="73">
        <f>Arbeitszeit!$A90</f>
        <v>42453</v>
      </c>
    </row>
    <row r="113" spans="1:1">
      <c r="A113" s="73">
        <f>Arbeitszeit!$A91</f>
        <v>42454</v>
      </c>
    </row>
    <row r="114" spans="1:1">
      <c r="A114" s="73">
        <f>Arbeitszeit!$A92</f>
        <v>42455</v>
      </c>
    </row>
    <row r="115" spans="1:1">
      <c r="A115" s="73">
        <f>Arbeitszeit!$A93</f>
        <v>42456</v>
      </c>
    </row>
    <row r="116" spans="1:1">
      <c r="A116" s="73">
        <f>Arbeitszeit!$A94</f>
        <v>42457</v>
      </c>
    </row>
    <row r="117" spans="1:1">
      <c r="A117" s="73">
        <f>Arbeitszeit!$A95</f>
        <v>42458</v>
      </c>
    </row>
    <row r="118" spans="1:1">
      <c r="A118" s="73">
        <f>Arbeitszeit!$A96</f>
        <v>42459</v>
      </c>
    </row>
    <row r="119" spans="1:1">
      <c r="A119" s="73">
        <f>Arbeitszeit!$A97</f>
        <v>42460</v>
      </c>
    </row>
    <row r="120" spans="1:1">
      <c r="A120" s="73">
        <f>Arbeitszeit!$A98</f>
        <v>42461</v>
      </c>
    </row>
    <row r="121" spans="1:1">
      <c r="A121" s="73">
        <f>Arbeitszeit!$A99</f>
        <v>42462</v>
      </c>
    </row>
    <row r="122" spans="1:1">
      <c r="A122" s="73">
        <f>Arbeitszeit!$A100</f>
        <v>42463</v>
      </c>
    </row>
    <row r="123" spans="1:1">
      <c r="A123" s="73">
        <f>Arbeitszeit!$A101</f>
        <v>42464</v>
      </c>
    </row>
    <row r="124" spans="1:1">
      <c r="A124" s="73">
        <f>Arbeitszeit!$A102</f>
        <v>42465</v>
      </c>
    </row>
    <row r="125" spans="1:1">
      <c r="A125" s="73">
        <f>Arbeitszeit!$A103</f>
        <v>42466</v>
      </c>
    </row>
    <row r="126" spans="1:1">
      <c r="A126" s="73">
        <f>Arbeitszeit!$A104</f>
        <v>42467</v>
      </c>
    </row>
    <row r="127" spans="1:1">
      <c r="A127" s="73">
        <f>Arbeitszeit!$A105</f>
        <v>42468</v>
      </c>
    </row>
    <row r="128" spans="1:1">
      <c r="A128" s="73">
        <f>Arbeitszeit!$A106</f>
        <v>42469</v>
      </c>
    </row>
    <row r="129" spans="1:1">
      <c r="A129" s="73">
        <f>Arbeitszeit!$A107</f>
        <v>42470</v>
      </c>
    </row>
    <row r="130" spans="1:1">
      <c r="A130" s="73">
        <f>Arbeitszeit!$A108</f>
        <v>42471</v>
      </c>
    </row>
    <row r="131" spans="1:1">
      <c r="A131" s="73">
        <f>Arbeitszeit!$A109</f>
        <v>42472</v>
      </c>
    </row>
    <row r="132" spans="1:1">
      <c r="A132" s="73">
        <f>Arbeitszeit!$A110</f>
        <v>42473</v>
      </c>
    </row>
    <row r="133" spans="1:1">
      <c r="A133" s="73">
        <f>Arbeitszeit!$A111</f>
        <v>42474</v>
      </c>
    </row>
    <row r="134" spans="1:1">
      <c r="A134" s="73">
        <f>Arbeitszeit!$A112</f>
        <v>42475</v>
      </c>
    </row>
    <row r="135" spans="1:1">
      <c r="A135" s="73">
        <f>Arbeitszeit!$A113</f>
        <v>42476</v>
      </c>
    </row>
    <row r="136" spans="1:1">
      <c r="A136" s="73">
        <f>Arbeitszeit!$A114</f>
        <v>42477</v>
      </c>
    </row>
    <row r="137" spans="1:1">
      <c r="A137" s="73">
        <f>Arbeitszeit!$A115</f>
        <v>42478</v>
      </c>
    </row>
    <row r="138" spans="1:1">
      <c r="A138" s="73">
        <f>Arbeitszeit!$A116</f>
        <v>42479</v>
      </c>
    </row>
    <row r="139" spans="1:1">
      <c r="A139" s="73">
        <f>Arbeitszeit!$A117</f>
        <v>42480</v>
      </c>
    </row>
    <row r="140" spans="1:1">
      <c r="A140" s="73">
        <f>Arbeitszeit!$A118</f>
        <v>42481</v>
      </c>
    </row>
    <row r="141" spans="1:1">
      <c r="A141" s="73">
        <f>Arbeitszeit!$A119</f>
        <v>42482</v>
      </c>
    </row>
    <row r="142" spans="1:1">
      <c r="A142" s="73">
        <f>Arbeitszeit!$A120</f>
        <v>42483</v>
      </c>
    </row>
    <row r="143" spans="1:1">
      <c r="A143" s="73">
        <f>Arbeitszeit!$A121</f>
        <v>42484</v>
      </c>
    </row>
    <row r="144" spans="1:1">
      <c r="A144" s="73">
        <f>Arbeitszeit!$A122</f>
        <v>42485</v>
      </c>
    </row>
    <row r="145" spans="1:1">
      <c r="A145" s="73">
        <f>Arbeitszeit!$A123</f>
        <v>42486</v>
      </c>
    </row>
    <row r="146" spans="1:1">
      <c r="A146" s="73">
        <f>Arbeitszeit!$A124</f>
        <v>42487</v>
      </c>
    </row>
    <row r="147" spans="1:1">
      <c r="A147" s="73">
        <f>Arbeitszeit!$A125</f>
        <v>42488</v>
      </c>
    </row>
    <row r="148" spans="1:1">
      <c r="A148" s="73">
        <f>Arbeitszeit!$A126</f>
        <v>42489</v>
      </c>
    </row>
    <row r="149" spans="1:1">
      <c r="A149" s="73">
        <f>Arbeitszeit!$A127</f>
        <v>42490</v>
      </c>
    </row>
    <row r="150" spans="1:1">
      <c r="A150" s="73">
        <f>Arbeitszeit!$A128</f>
        <v>42491</v>
      </c>
    </row>
    <row r="151" spans="1:1">
      <c r="A151" s="73">
        <f>Arbeitszeit!$A129</f>
        <v>42492</v>
      </c>
    </row>
    <row r="152" spans="1:1">
      <c r="A152" s="73">
        <f>Arbeitszeit!$A130</f>
        <v>42493</v>
      </c>
    </row>
    <row r="153" spans="1:1">
      <c r="A153" s="73">
        <f>Arbeitszeit!$A131</f>
        <v>42494</v>
      </c>
    </row>
    <row r="154" spans="1:1">
      <c r="A154" s="73">
        <f>Arbeitszeit!$A132</f>
        <v>42495</v>
      </c>
    </row>
    <row r="155" spans="1:1">
      <c r="A155" s="73">
        <f>Arbeitszeit!$A133</f>
        <v>42496</v>
      </c>
    </row>
    <row r="156" spans="1:1">
      <c r="A156" s="73">
        <f>Arbeitszeit!$A134</f>
        <v>42497</v>
      </c>
    </row>
    <row r="157" spans="1:1">
      <c r="A157" s="73">
        <f>Arbeitszeit!$A135</f>
        <v>42498</v>
      </c>
    </row>
    <row r="158" spans="1:1">
      <c r="A158" s="73">
        <f>Arbeitszeit!$A136</f>
        <v>42499</v>
      </c>
    </row>
    <row r="159" spans="1:1">
      <c r="A159" s="73">
        <f>Arbeitszeit!$A137</f>
        <v>42500</v>
      </c>
    </row>
    <row r="160" spans="1:1">
      <c r="A160" s="73">
        <f>Arbeitszeit!$A138</f>
        <v>42501</v>
      </c>
    </row>
    <row r="161" spans="1:1">
      <c r="A161" s="73">
        <f>Arbeitszeit!$A139</f>
        <v>42502</v>
      </c>
    </row>
    <row r="162" spans="1:1">
      <c r="A162" s="73">
        <f>Arbeitszeit!$A140</f>
        <v>42503</v>
      </c>
    </row>
    <row r="163" spans="1:1">
      <c r="A163" s="73">
        <f>Arbeitszeit!$A141</f>
        <v>42504</v>
      </c>
    </row>
    <row r="164" spans="1:1">
      <c r="A164" s="73">
        <f>Arbeitszeit!$A142</f>
        <v>42505</v>
      </c>
    </row>
    <row r="165" spans="1:1">
      <c r="A165" s="73">
        <f>Arbeitszeit!$A143</f>
        <v>42506</v>
      </c>
    </row>
    <row r="166" spans="1:1">
      <c r="A166" s="73">
        <f>Arbeitszeit!$A144</f>
        <v>42507</v>
      </c>
    </row>
    <row r="167" spans="1:1">
      <c r="A167" s="73">
        <f>Arbeitszeit!$A145</f>
        <v>42508</v>
      </c>
    </row>
    <row r="168" spans="1:1">
      <c r="A168" s="73">
        <f>Arbeitszeit!$A146</f>
        <v>42509</v>
      </c>
    </row>
    <row r="169" spans="1:1">
      <c r="A169" s="73">
        <f>Arbeitszeit!$A147</f>
        <v>42510</v>
      </c>
    </row>
    <row r="170" spans="1:1">
      <c r="A170" s="73">
        <f>Arbeitszeit!$A148</f>
        <v>42511</v>
      </c>
    </row>
    <row r="171" spans="1:1">
      <c r="A171" s="73">
        <f>Arbeitszeit!$A149</f>
        <v>42512</v>
      </c>
    </row>
    <row r="172" spans="1:1">
      <c r="A172" s="73">
        <f>Arbeitszeit!$A150</f>
        <v>42513</v>
      </c>
    </row>
    <row r="173" spans="1:1">
      <c r="A173" s="73">
        <f>Arbeitszeit!$A151</f>
        <v>42514</v>
      </c>
    </row>
    <row r="174" spans="1:1">
      <c r="A174" s="73">
        <f>Arbeitszeit!$A152</f>
        <v>42515</v>
      </c>
    </row>
    <row r="175" spans="1:1">
      <c r="A175" s="73">
        <f>Arbeitszeit!$A153</f>
        <v>42516</v>
      </c>
    </row>
    <row r="176" spans="1:1">
      <c r="A176" s="73">
        <f>Arbeitszeit!$A154</f>
        <v>42517</v>
      </c>
    </row>
    <row r="177" spans="1:1">
      <c r="A177" s="73">
        <f>Arbeitszeit!$A155</f>
        <v>42518</v>
      </c>
    </row>
    <row r="178" spans="1:1">
      <c r="A178" s="73">
        <f>Arbeitszeit!$A156</f>
        <v>42519</v>
      </c>
    </row>
    <row r="179" spans="1:1">
      <c r="A179" s="73">
        <f>Arbeitszeit!$A157</f>
        <v>42520</v>
      </c>
    </row>
    <row r="180" spans="1:1">
      <c r="A180" s="73">
        <f>Arbeitszeit!$A158</f>
        <v>42521</v>
      </c>
    </row>
    <row r="181" spans="1:1">
      <c r="A181" s="73">
        <f>Arbeitszeit!$A159</f>
        <v>42522</v>
      </c>
    </row>
    <row r="182" spans="1:1">
      <c r="A182" s="73">
        <f>Arbeitszeit!$A160</f>
        <v>42523</v>
      </c>
    </row>
    <row r="183" spans="1:1">
      <c r="A183" s="73">
        <f>Arbeitszeit!$A161</f>
        <v>42524</v>
      </c>
    </row>
    <row r="184" spans="1:1">
      <c r="A184" s="73">
        <f>Arbeitszeit!$A162</f>
        <v>42525</v>
      </c>
    </row>
    <row r="185" spans="1:1">
      <c r="A185" s="73">
        <f>Arbeitszeit!$A163</f>
        <v>42526</v>
      </c>
    </row>
    <row r="186" spans="1:1">
      <c r="A186" s="73">
        <f>Arbeitszeit!$A164</f>
        <v>42527</v>
      </c>
    </row>
    <row r="187" spans="1:1">
      <c r="A187" s="73">
        <f>Arbeitszeit!$A165</f>
        <v>42528</v>
      </c>
    </row>
    <row r="188" spans="1:1">
      <c r="A188" s="73">
        <f>Arbeitszeit!$A166</f>
        <v>42529</v>
      </c>
    </row>
    <row r="189" spans="1:1">
      <c r="A189" s="73">
        <f>Arbeitszeit!$A167</f>
        <v>42530</v>
      </c>
    </row>
    <row r="190" spans="1:1">
      <c r="A190" s="73">
        <f>Arbeitszeit!$A168</f>
        <v>42531</v>
      </c>
    </row>
    <row r="191" spans="1:1">
      <c r="A191" s="73">
        <f>Arbeitszeit!$A169</f>
        <v>42532</v>
      </c>
    </row>
    <row r="192" spans="1:1">
      <c r="A192" s="73">
        <f>Arbeitszeit!$A170</f>
        <v>42533</v>
      </c>
    </row>
    <row r="193" spans="1:1">
      <c r="A193" s="73">
        <f>Arbeitszeit!$A171</f>
        <v>42534</v>
      </c>
    </row>
    <row r="194" spans="1:1">
      <c r="A194" s="73">
        <f>Arbeitszeit!$A172</f>
        <v>42535</v>
      </c>
    </row>
    <row r="195" spans="1:1">
      <c r="A195" s="73">
        <f>Arbeitszeit!$A173</f>
        <v>42536</v>
      </c>
    </row>
    <row r="196" spans="1:1">
      <c r="A196" s="73">
        <f>Arbeitszeit!$A174</f>
        <v>42537</v>
      </c>
    </row>
    <row r="197" spans="1:1">
      <c r="A197" s="73">
        <f>Arbeitszeit!$A175</f>
        <v>42538</v>
      </c>
    </row>
    <row r="198" spans="1:1">
      <c r="A198" s="73">
        <f>Arbeitszeit!$A176</f>
        <v>42539</v>
      </c>
    </row>
    <row r="199" spans="1:1">
      <c r="A199" s="73">
        <f>Arbeitszeit!$A177</f>
        <v>42540</v>
      </c>
    </row>
    <row r="200" spans="1:1">
      <c r="A200" s="73">
        <f>Arbeitszeit!$A178</f>
        <v>42541</v>
      </c>
    </row>
    <row r="201" spans="1:1">
      <c r="A201" s="73">
        <f>Arbeitszeit!$A179</f>
        <v>42542</v>
      </c>
    </row>
    <row r="202" spans="1:1">
      <c r="A202" s="73">
        <f>Arbeitszeit!$A180</f>
        <v>42543</v>
      </c>
    </row>
    <row r="203" spans="1:1">
      <c r="A203" s="73">
        <f>Arbeitszeit!$A181</f>
        <v>42544</v>
      </c>
    </row>
    <row r="204" spans="1:1">
      <c r="A204" s="73">
        <f>Arbeitszeit!$A182</f>
        <v>42545</v>
      </c>
    </row>
    <row r="205" spans="1:1">
      <c r="A205" s="73">
        <f>Arbeitszeit!$A183</f>
        <v>42546</v>
      </c>
    </row>
    <row r="206" spans="1:1">
      <c r="A206" s="73">
        <f>Arbeitszeit!$A184</f>
        <v>42547</v>
      </c>
    </row>
    <row r="207" spans="1:1">
      <c r="A207" s="73">
        <f>Arbeitszeit!$A185</f>
        <v>42548</v>
      </c>
    </row>
    <row r="208" spans="1:1">
      <c r="A208" s="73">
        <f>Arbeitszeit!$A186</f>
        <v>42549</v>
      </c>
    </row>
    <row r="209" spans="1:1">
      <c r="A209" s="73">
        <f>Arbeitszeit!$A187</f>
        <v>42550</v>
      </c>
    </row>
    <row r="210" spans="1:1">
      <c r="A210" s="73">
        <f>Arbeitszeit!$A188</f>
        <v>42551</v>
      </c>
    </row>
    <row r="211" spans="1:1">
      <c r="A211" s="73">
        <f>Arbeitszeit!$A189</f>
        <v>42552</v>
      </c>
    </row>
    <row r="212" spans="1:1">
      <c r="A212" s="73">
        <f>Arbeitszeit!$A190</f>
        <v>42553</v>
      </c>
    </row>
    <row r="213" spans="1:1">
      <c r="A213" s="73">
        <f>Arbeitszeit!$A191</f>
        <v>42554</v>
      </c>
    </row>
    <row r="214" spans="1:1">
      <c r="A214" s="73">
        <f>Arbeitszeit!$A192</f>
        <v>42555</v>
      </c>
    </row>
    <row r="215" spans="1:1">
      <c r="A215" s="73">
        <f>Arbeitszeit!$A193</f>
        <v>42556</v>
      </c>
    </row>
    <row r="216" spans="1:1">
      <c r="A216" s="73">
        <f>Arbeitszeit!$A194</f>
        <v>42557</v>
      </c>
    </row>
    <row r="217" spans="1:1">
      <c r="A217" s="73">
        <f>Arbeitszeit!$A195</f>
        <v>42558</v>
      </c>
    </row>
    <row r="218" spans="1:1">
      <c r="A218" s="73">
        <f>Arbeitszeit!$A196</f>
        <v>42559</v>
      </c>
    </row>
    <row r="219" spans="1:1">
      <c r="A219" s="73">
        <f>Arbeitszeit!$A197</f>
        <v>42560</v>
      </c>
    </row>
    <row r="220" spans="1:1">
      <c r="A220" s="73">
        <f>Arbeitszeit!$A198</f>
        <v>42561</v>
      </c>
    </row>
    <row r="221" spans="1:1">
      <c r="A221" s="73">
        <f>Arbeitszeit!$A199</f>
        <v>42562</v>
      </c>
    </row>
    <row r="222" spans="1:1">
      <c r="A222" s="73">
        <f>Arbeitszeit!$A200</f>
        <v>42563</v>
      </c>
    </row>
    <row r="223" spans="1:1">
      <c r="A223" s="73">
        <f>Arbeitszeit!$A201</f>
        <v>42564</v>
      </c>
    </row>
    <row r="224" spans="1:1">
      <c r="A224" s="73">
        <f>Arbeitszeit!$A202</f>
        <v>42565</v>
      </c>
    </row>
    <row r="225" spans="1:1">
      <c r="A225" s="73">
        <f>Arbeitszeit!$A203</f>
        <v>42566</v>
      </c>
    </row>
    <row r="226" spans="1:1">
      <c r="A226" s="73">
        <f>Arbeitszeit!$A204</f>
        <v>42567</v>
      </c>
    </row>
    <row r="227" spans="1:1">
      <c r="A227" s="73">
        <f>Arbeitszeit!$A205</f>
        <v>42568</v>
      </c>
    </row>
    <row r="228" spans="1:1">
      <c r="A228" s="73">
        <f>Arbeitszeit!$A206</f>
        <v>42569</v>
      </c>
    </row>
    <row r="229" spans="1:1">
      <c r="A229" s="73">
        <f>Arbeitszeit!$A207</f>
        <v>42570</v>
      </c>
    </row>
    <row r="230" spans="1:1">
      <c r="A230" s="73">
        <f>Arbeitszeit!$A208</f>
        <v>42571</v>
      </c>
    </row>
    <row r="231" spans="1:1">
      <c r="A231" s="73">
        <f>Arbeitszeit!$A209</f>
        <v>42572</v>
      </c>
    </row>
    <row r="232" spans="1:1">
      <c r="A232" s="73">
        <f>Arbeitszeit!$A210</f>
        <v>42573</v>
      </c>
    </row>
    <row r="233" spans="1:1">
      <c r="A233" s="73">
        <f>Arbeitszeit!$A211</f>
        <v>42574</v>
      </c>
    </row>
    <row r="234" spans="1:1">
      <c r="A234" s="73">
        <f>Arbeitszeit!$A212</f>
        <v>42575</v>
      </c>
    </row>
    <row r="235" spans="1:1">
      <c r="A235" s="73">
        <f>Arbeitszeit!$A213</f>
        <v>42576</v>
      </c>
    </row>
    <row r="236" spans="1:1">
      <c r="A236" s="73">
        <f>Arbeitszeit!$A214</f>
        <v>42577</v>
      </c>
    </row>
    <row r="237" spans="1:1">
      <c r="A237" s="73">
        <f>Arbeitszeit!$A215</f>
        <v>42578</v>
      </c>
    </row>
    <row r="238" spans="1:1">
      <c r="A238" s="73">
        <f>Arbeitszeit!$A216</f>
        <v>42579</v>
      </c>
    </row>
    <row r="239" spans="1:1">
      <c r="A239" s="73">
        <f>Arbeitszeit!$A217</f>
        <v>42580</v>
      </c>
    </row>
    <row r="240" spans="1:1">
      <c r="A240" s="73">
        <f>Arbeitszeit!$A218</f>
        <v>42581</v>
      </c>
    </row>
    <row r="241" spans="1:1">
      <c r="A241" s="73">
        <f>Arbeitszeit!$A219</f>
        <v>42582</v>
      </c>
    </row>
    <row r="242" spans="1:1">
      <c r="A242" s="73">
        <f>Arbeitszeit!$A220</f>
        <v>42583</v>
      </c>
    </row>
    <row r="243" spans="1:1">
      <c r="A243" s="73">
        <f>Arbeitszeit!$A221</f>
        <v>42584</v>
      </c>
    </row>
    <row r="244" spans="1:1">
      <c r="A244" s="73">
        <f>Arbeitszeit!$A222</f>
        <v>42585</v>
      </c>
    </row>
    <row r="245" spans="1:1">
      <c r="A245" s="73">
        <f>Arbeitszeit!$A223</f>
        <v>42586</v>
      </c>
    </row>
    <row r="246" spans="1:1">
      <c r="A246" s="73">
        <f>Arbeitszeit!$A224</f>
        <v>42587</v>
      </c>
    </row>
    <row r="247" spans="1:1">
      <c r="A247" s="73">
        <f>Arbeitszeit!$A225</f>
        <v>42588</v>
      </c>
    </row>
    <row r="248" spans="1:1">
      <c r="A248" s="73">
        <f>Arbeitszeit!$A226</f>
        <v>42589</v>
      </c>
    </row>
    <row r="249" spans="1:1">
      <c r="A249" s="73">
        <f>Arbeitszeit!$A227</f>
        <v>42590</v>
      </c>
    </row>
    <row r="250" spans="1:1">
      <c r="A250" s="73">
        <f>Arbeitszeit!$A228</f>
        <v>42591</v>
      </c>
    </row>
    <row r="251" spans="1:1">
      <c r="A251" s="73">
        <f>Arbeitszeit!$A229</f>
        <v>42592</v>
      </c>
    </row>
    <row r="252" spans="1:1">
      <c r="A252" s="73">
        <f>Arbeitszeit!$A230</f>
        <v>42593</v>
      </c>
    </row>
    <row r="253" spans="1:1">
      <c r="A253" s="73">
        <f>Arbeitszeit!$A231</f>
        <v>42594</v>
      </c>
    </row>
    <row r="254" spans="1:1">
      <c r="A254" s="73">
        <f>Arbeitszeit!$A232</f>
        <v>42595</v>
      </c>
    </row>
    <row r="255" spans="1:1">
      <c r="A255" s="73">
        <f>Arbeitszeit!$A233</f>
        <v>42596</v>
      </c>
    </row>
    <row r="256" spans="1:1">
      <c r="A256" s="73">
        <f>Arbeitszeit!$A234</f>
        <v>42597</v>
      </c>
    </row>
    <row r="257" spans="1:1">
      <c r="A257" s="73">
        <f>Arbeitszeit!$A235</f>
        <v>42598</v>
      </c>
    </row>
    <row r="258" spans="1:1">
      <c r="A258" s="73">
        <f>Arbeitszeit!$A236</f>
        <v>42599</v>
      </c>
    </row>
    <row r="259" spans="1:1">
      <c r="A259" s="73">
        <f>Arbeitszeit!$A237</f>
        <v>42600</v>
      </c>
    </row>
    <row r="260" spans="1:1">
      <c r="A260" s="73">
        <f>Arbeitszeit!$A238</f>
        <v>42601</v>
      </c>
    </row>
    <row r="261" spans="1:1">
      <c r="A261" s="73">
        <f>Arbeitszeit!$A239</f>
        <v>42602</v>
      </c>
    </row>
    <row r="262" spans="1:1">
      <c r="A262" s="73">
        <f>Arbeitszeit!$A240</f>
        <v>42603</v>
      </c>
    </row>
    <row r="263" spans="1:1">
      <c r="A263" s="73">
        <f>Arbeitszeit!$A241</f>
        <v>42604</v>
      </c>
    </row>
    <row r="264" spans="1:1">
      <c r="A264" s="73">
        <f>Arbeitszeit!$A242</f>
        <v>42605</v>
      </c>
    </row>
    <row r="265" spans="1:1">
      <c r="A265" s="73">
        <f>Arbeitszeit!$A243</f>
        <v>42606</v>
      </c>
    </row>
    <row r="266" spans="1:1">
      <c r="A266" s="73">
        <f>Arbeitszeit!$A244</f>
        <v>42607</v>
      </c>
    </row>
    <row r="267" spans="1:1">
      <c r="A267" s="73">
        <f>Arbeitszeit!$A245</f>
        <v>42608</v>
      </c>
    </row>
    <row r="268" spans="1:1">
      <c r="A268" s="73">
        <f>Arbeitszeit!$A246</f>
        <v>42609</v>
      </c>
    </row>
    <row r="269" spans="1:1">
      <c r="A269" s="73">
        <f>Arbeitszeit!$A247</f>
        <v>42610</v>
      </c>
    </row>
    <row r="270" spans="1:1">
      <c r="A270" s="73">
        <f>Arbeitszeit!$A248</f>
        <v>42611</v>
      </c>
    </row>
    <row r="271" spans="1:1">
      <c r="A271" s="73">
        <f>Arbeitszeit!$A249</f>
        <v>42612</v>
      </c>
    </row>
    <row r="272" spans="1:1">
      <c r="A272" s="73">
        <f>Arbeitszeit!$A250</f>
        <v>42613</v>
      </c>
    </row>
    <row r="273" spans="1:1">
      <c r="A273" s="73">
        <f>Arbeitszeit!$A251</f>
        <v>42614</v>
      </c>
    </row>
    <row r="274" spans="1:1">
      <c r="A274" s="73">
        <f>Arbeitszeit!$A252</f>
        <v>42615</v>
      </c>
    </row>
    <row r="275" spans="1:1">
      <c r="A275" s="73">
        <f>Arbeitszeit!$A253</f>
        <v>42616</v>
      </c>
    </row>
    <row r="276" spans="1:1">
      <c r="A276" s="73">
        <f>Arbeitszeit!$A254</f>
        <v>42617</v>
      </c>
    </row>
    <row r="277" spans="1:1">
      <c r="A277" s="73">
        <f>Arbeitszeit!$A255</f>
        <v>42618</v>
      </c>
    </row>
    <row r="278" spans="1:1">
      <c r="A278" s="73">
        <f>Arbeitszeit!$A256</f>
        <v>42619</v>
      </c>
    </row>
    <row r="279" spans="1:1">
      <c r="A279" s="73">
        <f>Arbeitszeit!$A257</f>
        <v>42620</v>
      </c>
    </row>
    <row r="280" spans="1:1">
      <c r="A280" s="73">
        <f>Arbeitszeit!$A258</f>
        <v>42621</v>
      </c>
    </row>
    <row r="281" spans="1:1">
      <c r="A281" s="73">
        <f>Arbeitszeit!$A259</f>
        <v>42622</v>
      </c>
    </row>
    <row r="282" spans="1:1">
      <c r="A282" s="73">
        <f>Arbeitszeit!$A260</f>
        <v>42623</v>
      </c>
    </row>
    <row r="283" spans="1:1">
      <c r="A283" s="73">
        <f>Arbeitszeit!$A261</f>
        <v>42624</v>
      </c>
    </row>
    <row r="284" spans="1:1">
      <c r="A284" s="73">
        <f>Arbeitszeit!$A262</f>
        <v>42625</v>
      </c>
    </row>
    <row r="285" spans="1:1">
      <c r="A285" s="73">
        <f>Arbeitszeit!$A263</f>
        <v>42626</v>
      </c>
    </row>
    <row r="286" spans="1:1">
      <c r="A286" s="73">
        <f>Arbeitszeit!$A264</f>
        <v>42627</v>
      </c>
    </row>
    <row r="287" spans="1:1">
      <c r="A287" s="73">
        <f>Arbeitszeit!$A265</f>
        <v>42628</v>
      </c>
    </row>
    <row r="288" spans="1:1">
      <c r="A288" s="73">
        <f>Arbeitszeit!$A266</f>
        <v>42629</v>
      </c>
    </row>
    <row r="289" spans="1:1">
      <c r="A289" s="73">
        <f>Arbeitszeit!$A267</f>
        <v>42630</v>
      </c>
    </row>
    <row r="290" spans="1:1">
      <c r="A290" s="73">
        <f>Arbeitszeit!$A268</f>
        <v>42631</v>
      </c>
    </row>
    <row r="291" spans="1:1">
      <c r="A291" s="73">
        <f>Arbeitszeit!$A269</f>
        <v>42632</v>
      </c>
    </row>
    <row r="292" spans="1:1">
      <c r="A292" s="73">
        <f>Arbeitszeit!$A270</f>
        <v>42633</v>
      </c>
    </row>
    <row r="293" spans="1:1">
      <c r="A293" s="73">
        <f>Arbeitszeit!$A271</f>
        <v>42634</v>
      </c>
    </row>
    <row r="294" spans="1:1">
      <c r="A294" s="73">
        <f>Arbeitszeit!$A272</f>
        <v>42635</v>
      </c>
    </row>
    <row r="295" spans="1:1">
      <c r="A295" s="73">
        <f>Arbeitszeit!$A273</f>
        <v>42636</v>
      </c>
    </row>
    <row r="296" spans="1:1">
      <c r="A296" s="73">
        <f>Arbeitszeit!$A274</f>
        <v>42637</v>
      </c>
    </row>
    <row r="297" spans="1:1">
      <c r="A297" s="73">
        <f>Arbeitszeit!$A275</f>
        <v>42638</v>
      </c>
    </row>
    <row r="298" spans="1:1">
      <c r="A298" s="73">
        <f>Arbeitszeit!$A276</f>
        <v>42639</v>
      </c>
    </row>
    <row r="299" spans="1:1">
      <c r="A299" s="73">
        <f>Arbeitszeit!$A277</f>
        <v>42640</v>
      </c>
    </row>
    <row r="300" spans="1:1">
      <c r="A300" s="73">
        <f>Arbeitszeit!$A278</f>
        <v>42641</v>
      </c>
    </row>
    <row r="301" spans="1:1">
      <c r="A301" s="73">
        <f>Arbeitszeit!$A279</f>
        <v>42642</v>
      </c>
    </row>
    <row r="302" spans="1:1">
      <c r="A302" s="73">
        <f>Arbeitszeit!$A280</f>
        <v>42643</v>
      </c>
    </row>
    <row r="303" spans="1:1">
      <c r="A303" s="73">
        <f>Arbeitszeit!$A281</f>
        <v>42644</v>
      </c>
    </row>
    <row r="304" spans="1:1">
      <c r="A304" s="73">
        <f>Arbeitszeit!$A282</f>
        <v>42645</v>
      </c>
    </row>
    <row r="305" spans="1:1">
      <c r="A305" s="73">
        <f>Arbeitszeit!$A283</f>
        <v>42646</v>
      </c>
    </row>
    <row r="306" spans="1:1">
      <c r="A306" s="73">
        <f>Arbeitszeit!$A284</f>
        <v>42647</v>
      </c>
    </row>
    <row r="307" spans="1:1">
      <c r="A307" s="73">
        <f>Arbeitszeit!$A285</f>
        <v>42648</v>
      </c>
    </row>
    <row r="308" spans="1:1">
      <c r="A308" s="73">
        <f>Arbeitszeit!$A286</f>
        <v>42649</v>
      </c>
    </row>
    <row r="309" spans="1:1">
      <c r="A309" s="73">
        <f>Arbeitszeit!$A287</f>
        <v>42650</v>
      </c>
    </row>
    <row r="310" spans="1:1">
      <c r="A310" s="73">
        <f>Arbeitszeit!$A288</f>
        <v>42651</v>
      </c>
    </row>
    <row r="311" spans="1:1">
      <c r="A311" s="73">
        <f>Arbeitszeit!$A289</f>
        <v>42652</v>
      </c>
    </row>
    <row r="312" spans="1:1">
      <c r="A312" s="73">
        <f>Arbeitszeit!$A290</f>
        <v>42653</v>
      </c>
    </row>
    <row r="313" spans="1:1">
      <c r="A313" s="73">
        <f>Arbeitszeit!$A291</f>
        <v>42654</v>
      </c>
    </row>
    <row r="314" spans="1:1">
      <c r="A314" s="73">
        <f>Arbeitszeit!$A292</f>
        <v>42655</v>
      </c>
    </row>
    <row r="315" spans="1:1">
      <c r="A315" s="73">
        <f>Arbeitszeit!$A293</f>
        <v>42656</v>
      </c>
    </row>
    <row r="316" spans="1:1">
      <c r="A316" s="73">
        <f>Arbeitszeit!$A294</f>
        <v>42657</v>
      </c>
    </row>
    <row r="317" spans="1:1">
      <c r="A317" s="73">
        <f>Arbeitszeit!$A295</f>
        <v>42658</v>
      </c>
    </row>
    <row r="318" spans="1:1">
      <c r="A318" s="73">
        <f>Arbeitszeit!$A296</f>
        <v>42659</v>
      </c>
    </row>
    <row r="319" spans="1:1">
      <c r="A319" s="73">
        <f>Arbeitszeit!$A297</f>
        <v>42660</v>
      </c>
    </row>
    <row r="320" spans="1:1">
      <c r="A320" s="73">
        <f>Arbeitszeit!$A298</f>
        <v>42661</v>
      </c>
    </row>
    <row r="321" spans="1:1">
      <c r="A321" s="73">
        <f>Arbeitszeit!$A299</f>
        <v>42662</v>
      </c>
    </row>
    <row r="322" spans="1:1">
      <c r="A322" s="73">
        <f>Arbeitszeit!$A300</f>
        <v>42663</v>
      </c>
    </row>
    <row r="323" spans="1:1">
      <c r="A323" s="73">
        <f>Arbeitszeit!$A301</f>
        <v>42664</v>
      </c>
    </row>
    <row r="324" spans="1:1">
      <c r="A324" s="73">
        <f>Arbeitszeit!$A302</f>
        <v>42665</v>
      </c>
    </row>
    <row r="325" spans="1:1">
      <c r="A325" s="73">
        <f>Arbeitszeit!$A303</f>
        <v>42666</v>
      </c>
    </row>
    <row r="326" spans="1:1">
      <c r="A326" s="73">
        <f>Arbeitszeit!$A304</f>
        <v>42667</v>
      </c>
    </row>
    <row r="327" spans="1:1">
      <c r="A327" s="73">
        <f>Arbeitszeit!$A305</f>
        <v>42668</v>
      </c>
    </row>
    <row r="328" spans="1:1">
      <c r="A328" s="73">
        <f>Arbeitszeit!$A306</f>
        <v>42669</v>
      </c>
    </row>
    <row r="329" spans="1:1">
      <c r="A329" s="73">
        <f>Arbeitszeit!$A307</f>
        <v>42670</v>
      </c>
    </row>
    <row r="330" spans="1:1">
      <c r="A330" s="73">
        <f>Arbeitszeit!$A308</f>
        <v>42671</v>
      </c>
    </row>
    <row r="331" spans="1:1">
      <c r="A331" s="73">
        <f>Arbeitszeit!$A309</f>
        <v>42672</v>
      </c>
    </row>
    <row r="332" spans="1:1">
      <c r="A332" s="73">
        <f>Arbeitszeit!$A310</f>
        <v>42673</v>
      </c>
    </row>
    <row r="333" spans="1:1">
      <c r="A333" s="73">
        <f>Arbeitszeit!$A311</f>
        <v>42674</v>
      </c>
    </row>
    <row r="334" spans="1:1">
      <c r="A334" s="73">
        <f>Arbeitszeit!$A312</f>
        <v>42675</v>
      </c>
    </row>
    <row r="335" spans="1:1">
      <c r="A335" s="73">
        <f>Arbeitszeit!$A313</f>
        <v>42676</v>
      </c>
    </row>
    <row r="336" spans="1:1">
      <c r="A336" s="73">
        <f>Arbeitszeit!$A314</f>
        <v>42677</v>
      </c>
    </row>
    <row r="337" spans="1:1">
      <c r="A337" s="73">
        <f>Arbeitszeit!$A315</f>
        <v>42678</v>
      </c>
    </row>
    <row r="338" spans="1:1">
      <c r="A338" s="73">
        <f>Arbeitszeit!$A316</f>
        <v>42679</v>
      </c>
    </row>
    <row r="339" spans="1:1">
      <c r="A339" s="73">
        <f>Arbeitszeit!$A317</f>
        <v>42680</v>
      </c>
    </row>
    <row r="340" spans="1:1">
      <c r="A340" s="73">
        <f>Arbeitszeit!$A318</f>
        <v>42681</v>
      </c>
    </row>
    <row r="341" spans="1:1">
      <c r="A341" s="73">
        <f>Arbeitszeit!$A319</f>
        <v>42682</v>
      </c>
    </row>
    <row r="342" spans="1:1">
      <c r="A342" s="73">
        <f>Arbeitszeit!$A320</f>
        <v>42683</v>
      </c>
    </row>
    <row r="343" spans="1:1">
      <c r="A343" s="73">
        <f>Arbeitszeit!$A321</f>
        <v>42684</v>
      </c>
    </row>
    <row r="344" spans="1:1">
      <c r="A344" s="73">
        <f>Arbeitszeit!$A322</f>
        <v>42685</v>
      </c>
    </row>
    <row r="345" spans="1:1">
      <c r="A345" s="73">
        <f>Arbeitszeit!$A323</f>
        <v>42686</v>
      </c>
    </row>
    <row r="346" spans="1:1">
      <c r="A346" s="73">
        <f>Arbeitszeit!$A324</f>
        <v>42687</v>
      </c>
    </row>
    <row r="347" spans="1:1">
      <c r="A347" s="73">
        <f>Arbeitszeit!$A325</f>
        <v>42688</v>
      </c>
    </row>
    <row r="348" spans="1:1">
      <c r="A348" s="73">
        <f>Arbeitszeit!$A326</f>
        <v>42689</v>
      </c>
    </row>
    <row r="349" spans="1:1">
      <c r="A349" s="73">
        <f>Arbeitszeit!$A327</f>
        <v>42690</v>
      </c>
    </row>
    <row r="350" spans="1:1">
      <c r="A350" s="73">
        <f>Arbeitszeit!$A328</f>
        <v>42691</v>
      </c>
    </row>
    <row r="351" spans="1:1">
      <c r="A351" s="73">
        <f>Arbeitszeit!$A329</f>
        <v>42692</v>
      </c>
    </row>
    <row r="352" spans="1:1">
      <c r="A352" s="73">
        <f>Arbeitszeit!$A330</f>
        <v>42693</v>
      </c>
    </row>
    <row r="353" spans="1:1">
      <c r="A353" s="73">
        <f>Arbeitszeit!$A331</f>
        <v>42694</v>
      </c>
    </row>
    <row r="354" spans="1:1">
      <c r="A354" s="73">
        <f>Arbeitszeit!$A332</f>
        <v>42695</v>
      </c>
    </row>
    <row r="355" spans="1:1">
      <c r="A355" s="73">
        <f>Arbeitszeit!$A333</f>
        <v>42696</v>
      </c>
    </row>
    <row r="356" spans="1:1">
      <c r="A356" s="73">
        <f>Arbeitszeit!$A334</f>
        <v>42697</v>
      </c>
    </row>
    <row r="357" spans="1:1">
      <c r="A357" s="73">
        <f>Arbeitszeit!$A335</f>
        <v>42698</v>
      </c>
    </row>
    <row r="358" spans="1:1">
      <c r="A358" s="73">
        <f>Arbeitszeit!$A336</f>
        <v>42699</v>
      </c>
    </row>
    <row r="359" spans="1:1">
      <c r="A359" s="73">
        <f>Arbeitszeit!$A337</f>
        <v>42700</v>
      </c>
    </row>
    <row r="360" spans="1:1">
      <c r="A360" s="73">
        <f>Arbeitszeit!$A338</f>
        <v>42701</v>
      </c>
    </row>
    <row r="361" spans="1:1">
      <c r="A361" s="73">
        <f>Arbeitszeit!$A339</f>
        <v>42702</v>
      </c>
    </row>
    <row r="362" spans="1:1">
      <c r="A362" s="73">
        <f>Arbeitszeit!$A340</f>
        <v>42703</v>
      </c>
    </row>
    <row r="363" spans="1:1">
      <c r="A363" s="73">
        <f>Arbeitszeit!$A341</f>
        <v>42704</v>
      </c>
    </row>
    <row r="364" spans="1:1">
      <c r="A364" s="73">
        <f>Arbeitszeit!$A342</f>
        <v>42705</v>
      </c>
    </row>
    <row r="365" spans="1:1">
      <c r="A365" s="73">
        <f>Arbeitszeit!$A343</f>
        <v>42706</v>
      </c>
    </row>
    <row r="366" spans="1:1">
      <c r="A366" s="73">
        <f>Arbeitszeit!$A344</f>
        <v>42707</v>
      </c>
    </row>
    <row r="367" spans="1:1">
      <c r="A367" s="73">
        <f>Arbeitszeit!$A345</f>
        <v>42708</v>
      </c>
    </row>
    <row r="368" spans="1:1">
      <c r="A368" s="73">
        <f>Arbeitszeit!$A346</f>
        <v>42709</v>
      </c>
    </row>
    <row r="369" spans="1:1">
      <c r="A369" s="73">
        <f>Arbeitszeit!$A347</f>
        <v>42710</v>
      </c>
    </row>
    <row r="370" spans="1:1">
      <c r="A370" s="73">
        <f>Arbeitszeit!$A348</f>
        <v>42711</v>
      </c>
    </row>
    <row r="371" spans="1:1">
      <c r="A371" s="73">
        <f>Arbeitszeit!$A349</f>
        <v>42712</v>
      </c>
    </row>
    <row r="372" spans="1:1">
      <c r="A372" s="73">
        <f>Arbeitszeit!$A350</f>
        <v>42713</v>
      </c>
    </row>
    <row r="373" spans="1:1">
      <c r="A373" s="73">
        <f>Arbeitszeit!$A351</f>
        <v>42714</v>
      </c>
    </row>
    <row r="374" spans="1:1">
      <c r="A374" s="73">
        <f>Arbeitszeit!$A352</f>
        <v>42715</v>
      </c>
    </row>
    <row r="375" spans="1:1">
      <c r="A375" s="73">
        <f>Arbeitszeit!$A353</f>
        <v>42716</v>
      </c>
    </row>
    <row r="376" spans="1:1">
      <c r="A376" s="73">
        <f>Arbeitszeit!$A354</f>
        <v>42717</v>
      </c>
    </row>
    <row r="377" spans="1:1">
      <c r="A377" s="73">
        <f>Arbeitszeit!$A355</f>
        <v>42718</v>
      </c>
    </row>
    <row r="378" spans="1:1">
      <c r="A378" s="73">
        <f>Arbeitszeit!$A356</f>
        <v>42719</v>
      </c>
    </row>
    <row r="379" spans="1:1">
      <c r="A379" s="73">
        <f>Arbeitszeit!$A357</f>
        <v>42720</v>
      </c>
    </row>
    <row r="380" spans="1:1">
      <c r="A380" s="73">
        <f>Arbeitszeit!$A358</f>
        <v>42721</v>
      </c>
    </row>
    <row r="381" spans="1:1">
      <c r="A381" s="73">
        <f>Arbeitszeit!$A359</f>
        <v>42722</v>
      </c>
    </row>
    <row r="382" spans="1:1">
      <c r="A382" s="73">
        <f>Arbeitszeit!$A360</f>
        <v>42723</v>
      </c>
    </row>
    <row r="383" spans="1:1">
      <c r="A383" s="73">
        <f>Arbeitszeit!$A361</f>
        <v>42724</v>
      </c>
    </row>
    <row r="384" spans="1:1">
      <c r="A384" s="73">
        <f>Arbeitszeit!$A362</f>
        <v>42725</v>
      </c>
    </row>
    <row r="385" spans="1:27">
      <c r="A385" s="73">
        <f>Arbeitszeit!$A363</f>
        <v>42726</v>
      </c>
    </row>
    <row r="386" spans="1:27">
      <c r="A386" s="73">
        <f>Arbeitszeit!$A364</f>
        <v>42727</v>
      </c>
    </row>
    <row r="387" spans="1:27">
      <c r="A387" s="73">
        <f>Arbeitszeit!$A365</f>
        <v>42728</v>
      </c>
    </row>
    <row r="388" spans="1:27">
      <c r="A388" s="73">
        <f>Arbeitszeit!$A366</f>
        <v>42729</v>
      </c>
    </row>
    <row r="389" spans="1:27">
      <c r="A389" s="73">
        <f>Arbeitszeit!$A367</f>
        <v>42730</v>
      </c>
    </row>
    <row r="390" spans="1:27">
      <c r="A390" s="73">
        <f>Arbeitszeit!$A368</f>
        <v>42731</v>
      </c>
    </row>
    <row r="391" spans="1:27">
      <c r="A391" s="73">
        <f>Arbeitszeit!$A369</f>
        <v>42732</v>
      </c>
    </row>
    <row r="392" spans="1:27">
      <c r="A392" s="73">
        <f>Arbeitszeit!$A370</f>
        <v>42733</v>
      </c>
    </row>
    <row r="393" spans="1:27">
      <c r="A393" s="73">
        <f>Arbeitszeit!$A371</f>
        <v>42734</v>
      </c>
    </row>
    <row r="394" spans="1:27">
      <c r="A394" s="73"/>
    </row>
    <row r="395" spans="1:27">
      <c r="A395" s="73"/>
    </row>
    <row r="396" spans="1:27">
      <c r="A396" s="73"/>
    </row>
    <row r="397" spans="1:27">
      <c r="A397" s="73"/>
    </row>
    <row r="400" spans="1:27">
      <c r="A400" s="73"/>
      <c r="F400" s="2">
        <f ca="1">COUNT(G23:AA23)</f>
        <v>21</v>
      </c>
      <c r="G400" t="str">
        <f ca="1">IF(ISNUMBER(G$23),INDEX($G$26:$AA$26,G$23),"")</f>
        <v>Urlaub</v>
      </c>
      <c r="H400" t="str">
        <f t="shared" ref="H400:N400" ca="1" si="17">IF(ISNUMBER(H$23),INDEX($G$26:$AA$26,H$23),"")</f>
        <v>Krank</v>
      </c>
      <c r="I400" t="str">
        <f t="shared" ca="1" si="17"/>
        <v>Allgemein</v>
      </c>
      <c r="J400" t="str">
        <f t="shared" ca="1" si="17"/>
        <v>Aufgabe 01</v>
      </c>
      <c r="K400" t="str">
        <f t="shared" ca="1" si="17"/>
        <v>Aufgabe 02</v>
      </c>
      <c r="L400" t="str">
        <f t="shared" ca="1" si="17"/>
        <v>Aufgabe 03</v>
      </c>
      <c r="M400" t="str">
        <f t="shared" ca="1" si="17"/>
        <v>Aufgabe 04</v>
      </c>
      <c r="N400" t="str">
        <f t="shared" ca="1" si="17"/>
        <v>Aufgabe 05</v>
      </c>
      <c r="O400" t="str">
        <f t="shared" ref="O400:AA400" ca="1" si="18">IF(ISNUMBER(O23),INDEX($G$26:$AA$26,O23),"")</f>
        <v>Aufgabe 06</v>
      </c>
      <c r="P400" t="str">
        <f t="shared" ca="1" si="18"/>
        <v>Aufgabe 07</v>
      </c>
      <c r="Q400" t="str">
        <f t="shared" ca="1" si="18"/>
        <v>Aufgabe 08</v>
      </c>
      <c r="R400" t="str">
        <f t="shared" ca="1" si="18"/>
        <v>Aufgabe 09</v>
      </c>
      <c r="S400" t="str">
        <f t="shared" ca="1" si="18"/>
        <v>Aufgabe 10</v>
      </c>
      <c r="T400" t="str">
        <f t="shared" ca="1" si="18"/>
        <v>Aufgabe 11</v>
      </c>
      <c r="U400" t="str">
        <f t="shared" ca="1" si="18"/>
        <v>Aufgabe 12</v>
      </c>
      <c r="V400" t="str">
        <f t="shared" ca="1" si="18"/>
        <v>Aufgabe 13</v>
      </c>
      <c r="W400" t="str">
        <f t="shared" ca="1" si="18"/>
        <v>Aufgabe 14</v>
      </c>
      <c r="X400" t="str">
        <f t="shared" ca="1" si="18"/>
        <v>Aufgabe 15</v>
      </c>
      <c r="Y400" t="str">
        <f t="shared" ca="1" si="18"/>
        <v>Aufgabe 16</v>
      </c>
      <c r="Z400" t="str">
        <f t="shared" ca="1" si="18"/>
        <v>Aufgabe 17</v>
      </c>
      <c r="AA400" t="str">
        <f t="shared" ca="1" si="18"/>
        <v>Aufgabe 18</v>
      </c>
    </row>
    <row r="401" spans="7:27">
      <c r="G401">
        <f ca="1">IF(ISNUMBER(G$23),INDEX($G$29:$AA$29,G$23),"")</f>
        <v>0</v>
      </c>
      <c r="H401">
        <f t="shared" ref="H401:AA401" ca="1" si="19">IF(ISNUMBER(H$23),INDEX($G$29:$AA$29,H$23),"")</f>
        <v>0</v>
      </c>
      <c r="I401">
        <f t="shared" ca="1" si="19"/>
        <v>0</v>
      </c>
      <c r="J401">
        <f t="shared" ca="1" si="19"/>
        <v>0</v>
      </c>
      <c r="K401">
        <f t="shared" ca="1" si="19"/>
        <v>0</v>
      </c>
      <c r="L401">
        <f t="shared" ca="1" si="19"/>
        <v>0</v>
      </c>
      <c r="M401">
        <f t="shared" ca="1" si="19"/>
        <v>0</v>
      </c>
      <c r="N401">
        <f t="shared" ca="1" si="19"/>
        <v>0</v>
      </c>
      <c r="O401">
        <f t="shared" ca="1" si="19"/>
        <v>0</v>
      </c>
      <c r="P401">
        <f t="shared" ca="1" si="19"/>
        <v>0</v>
      </c>
      <c r="Q401">
        <f t="shared" ca="1" si="19"/>
        <v>0</v>
      </c>
      <c r="R401">
        <f t="shared" ca="1" si="19"/>
        <v>0</v>
      </c>
      <c r="S401">
        <f t="shared" ca="1" si="19"/>
        <v>0</v>
      </c>
      <c r="T401">
        <f t="shared" ca="1" si="19"/>
        <v>0</v>
      </c>
      <c r="U401">
        <f t="shared" ca="1" si="19"/>
        <v>0</v>
      </c>
      <c r="V401">
        <f t="shared" ca="1" si="19"/>
        <v>0</v>
      </c>
      <c r="W401">
        <f t="shared" ca="1" si="19"/>
        <v>0</v>
      </c>
      <c r="X401">
        <f t="shared" ca="1" si="19"/>
        <v>0</v>
      </c>
      <c r="Y401">
        <f t="shared" ca="1" si="19"/>
        <v>0</v>
      </c>
      <c r="Z401">
        <f t="shared" ca="1" si="19"/>
        <v>0</v>
      </c>
      <c r="AA401">
        <f t="shared" ca="1" si="19"/>
        <v>0</v>
      </c>
    </row>
    <row r="403" spans="7:27">
      <c r="G403">
        <v>0</v>
      </c>
      <c r="H403">
        <v>0</v>
      </c>
      <c r="I403">
        <v>0</v>
      </c>
      <c r="J403">
        <v>0</v>
      </c>
      <c r="K403">
        <v>0</v>
      </c>
      <c r="L403">
        <v>0</v>
      </c>
      <c r="M403">
        <v>0</v>
      </c>
      <c r="N403">
        <v>0</v>
      </c>
      <c r="O403">
        <v>0</v>
      </c>
      <c r="P403">
        <v>0</v>
      </c>
      <c r="Q403">
        <v>0</v>
      </c>
    </row>
  </sheetData>
  <mergeCells count="3">
    <mergeCell ref="C5:G5"/>
    <mergeCell ref="I5:J5"/>
    <mergeCell ref="C26:E26"/>
  </mergeCells>
  <phoneticPr fontId="0" type="noConversion"/>
  <pageMargins left="0.78740157499999996" right="0.78740157499999996" top="0.984251969" bottom="0.984251969" header="0.4921259845" footer="0.4921259845"/>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2</xdr:col>
                    <xdr:colOff>0</xdr:colOff>
                    <xdr:row>28</xdr:row>
                    <xdr:rowOff>0</xdr:rowOff>
                  </from>
                  <to>
                    <xdr:col>3</xdr:col>
                    <xdr:colOff>9525</xdr:colOff>
                    <xdr:row>29</xdr:row>
                    <xdr:rowOff>0</xdr:rowOff>
                  </to>
                </anchor>
              </controlPr>
            </control>
          </mc:Choice>
        </mc:AlternateContent>
        <mc:AlternateContent xmlns:mc="http://schemas.openxmlformats.org/markup-compatibility/2006">
          <mc:Choice Requires="x14">
            <control shapeId="21506" r:id="rId5" name="Drop Down 2">
              <controlPr defaultSize="0" autoLine="0" autoPict="0">
                <anchor moveWithCells="1">
                  <from>
                    <xdr:col>4</xdr:col>
                    <xdr:colOff>0</xdr:colOff>
                    <xdr:row>28</xdr:row>
                    <xdr:rowOff>0</xdr:rowOff>
                  </from>
                  <to>
                    <xdr:col>5</xdr:col>
                    <xdr:colOff>9525</xdr:colOff>
                    <xdr:row>29</xdr:row>
                    <xdr:rowOff>0</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08" r:id="rId7" name="Drop Down 4">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09" r:id="rId8" name="Drop Down 5">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0" r:id="rId9" name="Drop Down 6">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1" r:id="rId10" name="Drop Down 7">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12" r:id="rId11" name="Drop Down 8">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13" r:id="rId12" name="Drop Down 9">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4" r:id="rId13" name="Drop Down 10">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5" r:id="rId14" name="Drop Down 11">
              <controlPr defaultSize="0" autoLine="0" autoPict="0">
                <anchor moveWithCells="1">
                  <from>
                    <xdr:col>2</xdr:col>
                    <xdr:colOff>0</xdr:colOff>
                    <xdr:row>38</xdr:row>
                    <xdr:rowOff>0</xdr:rowOff>
                  </from>
                  <to>
                    <xdr:col>3</xdr:col>
                    <xdr:colOff>9525</xdr:colOff>
                    <xdr:row>39</xdr:row>
                    <xdr:rowOff>0</xdr:rowOff>
                  </to>
                </anchor>
              </controlPr>
            </control>
          </mc:Choice>
        </mc:AlternateContent>
        <mc:AlternateContent xmlns:mc="http://schemas.openxmlformats.org/markup-compatibility/2006">
          <mc:Choice Requires="x14">
            <control shapeId="21516" r:id="rId15" name="Drop Down 12">
              <controlPr defaultSize="0" autoLine="0" autoPict="0">
                <anchor moveWithCells="1">
                  <from>
                    <xdr:col>2</xdr:col>
                    <xdr:colOff>0</xdr:colOff>
                    <xdr:row>40</xdr:row>
                    <xdr:rowOff>0</xdr:rowOff>
                  </from>
                  <to>
                    <xdr:col>3</xdr:col>
                    <xdr:colOff>9525</xdr:colOff>
                    <xdr:row>41</xdr:row>
                    <xdr:rowOff>0</xdr:rowOff>
                  </to>
                </anchor>
              </controlPr>
            </control>
          </mc:Choice>
        </mc:AlternateContent>
        <mc:AlternateContent xmlns:mc="http://schemas.openxmlformats.org/markup-compatibility/2006">
          <mc:Choice Requires="x14">
            <control shapeId="21517" r:id="rId16" name="Drop Down 13">
              <controlPr defaultSize="0" autoLine="0" autoPict="0">
                <anchor moveWithCells="1">
                  <from>
                    <xdr:col>2</xdr:col>
                    <xdr:colOff>0</xdr:colOff>
                    <xdr:row>42</xdr:row>
                    <xdr:rowOff>0</xdr:rowOff>
                  </from>
                  <to>
                    <xdr:col>3</xdr:col>
                    <xdr:colOff>9525</xdr:colOff>
                    <xdr:row>43</xdr:row>
                    <xdr:rowOff>0</xdr:rowOff>
                  </to>
                </anchor>
              </controlPr>
            </control>
          </mc:Choice>
        </mc:AlternateContent>
        <mc:AlternateContent xmlns:mc="http://schemas.openxmlformats.org/markup-compatibility/2006">
          <mc:Choice Requires="x14">
            <control shapeId="21518" r:id="rId17" name="Drop Down 14">
              <controlPr defaultSize="0" autoLine="0" autoPict="0">
                <anchor moveWithCells="1">
                  <from>
                    <xdr:col>2</xdr:col>
                    <xdr:colOff>0</xdr:colOff>
                    <xdr:row>44</xdr:row>
                    <xdr:rowOff>0</xdr:rowOff>
                  </from>
                  <to>
                    <xdr:col>3</xdr:col>
                    <xdr:colOff>9525</xdr:colOff>
                    <xdr:row>45</xdr:row>
                    <xdr:rowOff>0</xdr:rowOff>
                  </to>
                </anchor>
              </controlPr>
            </control>
          </mc:Choice>
        </mc:AlternateContent>
        <mc:AlternateContent xmlns:mc="http://schemas.openxmlformats.org/markup-compatibility/2006">
          <mc:Choice Requires="x14">
            <control shapeId="21519" r:id="rId18" name="Drop Down 15">
              <controlPr defaultSize="0" autoLine="0" autoPict="0">
                <anchor moveWithCells="1">
                  <from>
                    <xdr:col>2</xdr:col>
                    <xdr:colOff>0</xdr:colOff>
                    <xdr:row>46</xdr:row>
                    <xdr:rowOff>0</xdr:rowOff>
                  </from>
                  <to>
                    <xdr:col>3</xdr:col>
                    <xdr:colOff>9525</xdr:colOff>
                    <xdr:row>47</xdr:row>
                    <xdr:rowOff>0</xdr:rowOff>
                  </to>
                </anchor>
              </controlPr>
            </control>
          </mc:Choice>
        </mc:AlternateContent>
        <mc:AlternateContent xmlns:mc="http://schemas.openxmlformats.org/markup-compatibility/2006">
          <mc:Choice Requires="x14">
            <control shapeId="21520" r:id="rId19" name="Drop Down 16">
              <controlPr defaultSize="0" autoLine="0" autoPict="0">
                <anchor moveWithCells="1">
                  <from>
                    <xdr:col>2</xdr:col>
                    <xdr:colOff>0</xdr:colOff>
                    <xdr:row>48</xdr:row>
                    <xdr:rowOff>0</xdr:rowOff>
                  </from>
                  <to>
                    <xdr:col>3</xdr:col>
                    <xdr:colOff>9525</xdr:colOff>
                    <xdr:row>49</xdr:row>
                    <xdr:rowOff>0</xdr:rowOff>
                  </to>
                </anchor>
              </controlPr>
            </control>
          </mc:Choice>
        </mc:AlternateContent>
        <mc:AlternateContent xmlns:mc="http://schemas.openxmlformats.org/markup-compatibility/2006">
          <mc:Choice Requires="x14">
            <control shapeId="21521" r:id="rId20" name="Drop Down 17">
              <controlPr defaultSize="0" autoLine="0" autoPict="0">
                <anchor moveWithCells="1">
                  <from>
                    <xdr:col>2</xdr:col>
                    <xdr:colOff>0</xdr:colOff>
                    <xdr:row>50</xdr:row>
                    <xdr:rowOff>0</xdr:rowOff>
                  </from>
                  <to>
                    <xdr:col>3</xdr:col>
                    <xdr:colOff>9525</xdr:colOff>
                    <xdr:row>51</xdr:row>
                    <xdr:rowOff>0</xdr:rowOff>
                  </to>
                </anchor>
              </controlPr>
            </control>
          </mc:Choice>
        </mc:AlternateContent>
        <mc:AlternateContent xmlns:mc="http://schemas.openxmlformats.org/markup-compatibility/2006">
          <mc:Choice Requires="x14">
            <control shapeId="21522" r:id="rId21" name="Drop Down 18">
              <controlPr defaultSize="0" autoLine="0" autoPict="0">
                <anchor moveWithCells="1">
                  <from>
                    <xdr:col>2</xdr:col>
                    <xdr:colOff>0</xdr:colOff>
                    <xdr:row>52</xdr:row>
                    <xdr:rowOff>0</xdr:rowOff>
                  </from>
                  <to>
                    <xdr:col>3</xdr:col>
                    <xdr:colOff>9525</xdr:colOff>
                    <xdr:row>53</xdr:row>
                    <xdr:rowOff>0</xdr:rowOff>
                  </to>
                </anchor>
              </controlPr>
            </control>
          </mc:Choice>
        </mc:AlternateContent>
        <mc:AlternateContent xmlns:mc="http://schemas.openxmlformats.org/markup-compatibility/2006">
          <mc:Choice Requires="x14">
            <control shapeId="21523" r:id="rId22" name="Drop Down 19">
              <controlPr defaultSize="0" autoLine="0" autoPict="0">
                <anchor moveWithCells="1">
                  <from>
                    <xdr:col>4</xdr:col>
                    <xdr:colOff>0</xdr:colOff>
                    <xdr:row>30</xdr:row>
                    <xdr:rowOff>0</xdr:rowOff>
                  </from>
                  <to>
                    <xdr:col>5</xdr:col>
                    <xdr:colOff>9525</xdr:colOff>
                    <xdr:row>31</xdr:row>
                    <xdr:rowOff>0</xdr:rowOff>
                  </to>
                </anchor>
              </controlPr>
            </control>
          </mc:Choice>
        </mc:AlternateContent>
        <mc:AlternateContent xmlns:mc="http://schemas.openxmlformats.org/markup-compatibility/2006">
          <mc:Choice Requires="x14">
            <control shapeId="21524" r:id="rId23" name="Drop Down 20">
              <controlPr defaultSize="0" autoLine="0" autoPict="0">
                <anchor moveWithCells="1">
                  <from>
                    <xdr:col>4</xdr:col>
                    <xdr:colOff>0</xdr:colOff>
                    <xdr:row>32</xdr:row>
                    <xdr:rowOff>0</xdr:rowOff>
                  </from>
                  <to>
                    <xdr:col>5</xdr:col>
                    <xdr:colOff>9525</xdr:colOff>
                    <xdr:row>33</xdr:row>
                    <xdr:rowOff>0</xdr:rowOff>
                  </to>
                </anchor>
              </controlPr>
            </control>
          </mc:Choice>
        </mc:AlternateContent>
        <mc:AlternateContent xmlns:mc="http://schemas.openxmlformats.org/markup-compatibility/2006">
          <mc:Choice Requires="x14">
            <control shapeId="21525" r:id="rId24" name="Drop Down 21">
              <controlPr defaultSize="0" autoLine="0" autoPict="0">
                <anchor moveWithCells="1">
                  <from>
                    <xdr:col>4</xdr:col>
                    <xdr:colOff>0</xdr:colOff>
                    <xdr:row>34</xdr:row>
                    <xdr:rowOff>0</xdr:rowOff>
                  </from>
                  <to>
                    <xdr:col>5</xdr:col>
                    <xdr:colOff>9525</xdr:colOff>
                    <xdr:row>35</xdr:row>
                    <xdr:rowOff>0</xdr:rowOff>
                  </to>
                </anchor>
              </controlPr>
            </control>
          </mc:Choice>
        </mc:AlternateContent>
        <mc:AlternateContent xmlns:mc="http://schemas.openxmlformats.org/markup-compatibility/2006">
          <mc:Choice Requires="x14">
            <control shapeId="21526" r:id="rId25" name="Drop Down 22">
              <controlPr defaultSize="0" autoLine="0" autoPict="0">
                <anchor moveWithCells="1">
                  <from>
                    <xdr:col>4</xdr:col>
                    <xdr:colOff>0</xdr:colOff>
                    <xdr:row>36</xdr:row>
                    <xdr:rowOff>0</xdr:rowOff>
                  </from>
                  <to>
                    <xdr:col>5</xdr:col>
                    <xdr:colOff>9525</xdr:colOff>
                    <xdr:row>37</xdr:row>
                    <xdr:rowOff>0</xdr:rowOff>
                  </to>
                </anchor>
              </controlPr>
            </control>
          </mc:Choice>
        </mc:AlternateContent>
        <mc:AlternateContent xmlns:mc="http://schemas.openxmlformats.org/markup-compatibility/2006">
          <mc:Choice Requires="x14">
            <control shapeId="21527" r:id="rId26" name="Drop Down 23">
              <controlPr defaultSize="0" autoLine="0" autoPict="0">
                <anchor moveWithCells="1">
                  <from>
                    <xdr:col>4</xdr:col>
                    <xdr:colOff>0</xdr:colOff>
                    <xdr:row>38</xdr:row>
                    <xdr:rowOff>0</xdr:rowOff>
                  </from>
                  <to>
                    <xdr:col>5</xdr:col>
                    <xdr:colOff>9525</xdr:colOff>
                    <xdr:row>39</xdr:row>
                    <xdr:rowOff>0</xdr:rowOff>
                  </to>
                </anchor>
              </controlPr>
            </control>
          </mc:Choice>
        </mc:AlternateContent>
        <mc:AlternateContent xmlns:mc="http://schemas.openxmlformats.org/markup-compatibility/2006">
          <mc:Choice Requires="x14">
            <control shapeId="21528" r:id="rId27" name="Drop Down 24">
              <controlPr defaultSize="0" autoLine="0" autoPict="0">
                <anchor moveWithCells="1">
                  <from>
                    <xdr:col>4</xdr:col>
                    <xdr:colOff>0</xdr:colOff>
                    <xdr:row>40</xdr:row>
                    <xdr:rowOff>0</xdr:rowOff>
                  </from>
                  <to>
                    <xdr:col>5</xdr:col>
                    <xdr:colOff>9525</xdr:colOff>
                    <xdr:row>41</xdr:row>
                    <xdr:rowOff>0</xdr:rowOff>
                  </to>
                </anchor>
              </controlPr>
            </control>
          </mc:Choice>
        </mc:AlternateContent>
        <mc:AlternateContent xmlns:mc="http://schemas.openxmlformats.org/markup-compatibility/2006">
          <mc:Choice Requires="x14">
            <control shapeId="21529" r:id="rId28" name="Drop Down 25">
              <controlPr defaultSize="0" autoLine="0" autoPict="0">
                <anchor moveWithCells="1">
                  <from>
                    <xdr:col>4</xdr:col>
                    <xdr:colOff>0</xdr:colOff>
                    <xdr:row>44</xdr:row>
                    <xdr:rowOff>0</xdr:rowOff>
                  </from>
                  <to>
                    <xdr:col>5</xdr:col>
                    <xdr:colOff>9525</xdr:colOff>
                    <xdr:row>45</xdr:row>
                    <xdr:rowOff>0</xdr:rowOff>
                  </to>
                </anchor>
              </controlPr>
            </control>
          </mc:Choice>
        </mc:AlternateContent>
        <mc:AlternateContent xmlns:mc="http://schemas.openxmlformats.org/markup-compatibility/2006">
          <mc:Choice Requires="x14">
            <control shapeId="21530" r:id="rId29" name="Drop Down 26">
              <controlPr defaultSize="0" autoLine="0" autoPict="0">
                <anchor moveWithCells="1">
                  <from>
                    <xdr:col>4</xdr:col>
                    <xdr:colOff>0</xdr:colOff>
                    <xdr:row>42</xdr:row>
                    <xdr:rowOff>0</xdr:rowOff>
                  </from>
                  <to>
                    <xdr:col>5</xdr:col>
                    <xdr:colOff>9525</xdr:colOff>
                    <xdr:row>43</xdr:row>
                    <xdr:rowOff>0</xdr:rowOff>
                  </to>
                </anchor>
              </controlPr>
            </control>
          </mc:Choice>
        </mc:AlternateContent>
        <mc:AlternateContent xmlns:mc="http://schemas.openxmlformats.org/markup-compatibility/2006">
          <mc:Choice Requires="x14">
            <control shapeId="21531" r:id="rId30" name="Drop Down 27">
              <controlPr defaultSize="0" autoLine="0" autoPict="0">
                <anchor moveWithCells="1">
                  <from>
                    <xdr:col>4</xdr:col>
                    <xdr:colOff>0</xdr:colOff>
                    <xdr:row>46</xdr:row>
                    <xdr:rowOff>0</xdr:rowOff>
                  </from>
                  <to>
                    <xdr:col>5</xdr:col>
                    <xdr:colOff>9525</xdr:colOff>
                    <xdr:row>47</xdr:row>
                    <xdr:rowOff>0</xdr:rowOff>
                  </to>
                </anchor>
              </controlPr>
            </control>
          </mc:Choice>
        </mc:AlternateContent>
        <mc:AlternateContent xmlns:mc="http://schemas.openxmlformats.org/markup-compatibility/2006">
          <mc:Choice Requires="x14">
            <control shapeId="21532" r:id="rId31" name="Drop Down 28">
              <controlPr defaultSize="0" autoLine="0" autoPict="0">
                <anchor moveWithCells="1">
                  <from>
                    <xdr:col>4</xdr:col>
                    <xdr:colOff>0</xdr:colOff>
                    <xdr:row>48</xdr:row>
                    <xdr:rowOff>0</xdr:rowOff>
                  </from>
                  <to>
                    <xdr:col>5</xdr:col>
                    <xdr:colOff>9525</xdr:colOff>
                    <xdr:row>49</xdr:row>
                    <xdr:rowOff>0</xdr:rowOff>
                  </to>
                </anchor>
              </controlPr>
            </control>
          </mc:Choice>
        </mc:AlternateContent>
        <mc:AlternateContent xmlns:mc="http://schemas.openxmlformats.org/markup-compatibility/2006">
          <mc:Choice Requires="x14">
            <control shapeId="21533" r:id="rId32" name="Drop Down 29">
              <controlPr defaultSize="0" autoLine="0" autoPict="0">
                <anchor moveWithCells="1">
                  <from>
                    <xdr:col>4</xdr:col>
                    <xdr:colOff>0</xdr:colOff>
                    <xdr:row>50</xdr:row>
                    <xdr:rowOff>0</xdr:rowOff>
                  </from>
                  <to>
                    <xdr:col>5</xdr:col>
                    <xdr:colOff>9525</xdr:colOff>
                    <xdr:row>51</xdr:row>
                    <xdr:rowOff>0</xdr:rowOff>
                  </to>
                </anchor>
              </controlPr>
            </control>
          </mc:Choice>
        </mc:AlternateContent>
        <mc:AlternateContent xmlns:mc="http://schemas.openxmlformats.org/markup-compatibility/2006">
          <mc:Choice Requires="x14">
            <control shapeId="21534" r:id="rId33" name="Drop Down 30">
              <controlPr defaultSize="0" autoLine="0" autoPict="0">
                <anchor moveWithCells="1">
                  <from>
                    <xdr:col>4</xdr:col>
                    <xdr:colOff>0</xdr:colOff>
                    <xdr:row>52</xdr:row>
                    <xdr:rowOff>0</xdr:rowOff>
                  </from>
                  <to>
                    <xdr:col>5</xdr:col>
                    <xdr:colOff>9525</xdr:colOff>
                    <xdr:row>53</xdr:row>
                    <xdr:rowOff>0</xdr:rowOff>
                  </to>
                </anchor>
              </controlPr>
            </control>
          </mc:Choice>
        </mc:AlternateContent>
        <mc:AlternateContent xmlns:mc="http://schemas.openxmlformats.org/markup-compatibility/2006">
          <mc:Choice Requires="x14">
            <control shapeId="21535" r:id="rId34" name="Drop Down 31">
              <controlPr defaultSize="0" autoLine="0" autoPict="0">
                <anchor moveWithCells="1">
                  <from>
                    <xdr:col>2</xdr:col>
                    <xdr:colOff>0</xdr:colOff>
                    <xdr:row>54</xdr:row>
                    <xdr:rowOff>0</xdr:rowOff>
                  </from>
                  <to>
                    <xdr:col>3</xdr:col>
                    <xdr:colOff>9525</xdr:colOff>
                    <xdr:row>55</xdr:row>
                    <xdr:rowOff>0</xdr:rowOff>
                  </to>
                </anchor>
              </controlPr>
            </control>
          </mc:Choice>
        </mc:AlternateContent>
        <mc:AlternateContent xmlns:mc="http://schemas.openxmlformats.org/markup-compatibility/2006">
          <mc:Choice Requires="x14">
            <control shapeId="21536" r:id="rId35" name="Drop Down 32">
              <controlPr defaultSize="0" autoLine="0" autoPict="0">
                <anchor moveWithCells="1">
                  <from>
                    <xdr:col>4</xdr:col>
                    <xdr:colOff>0</xdr:colOff>
                    <xdr:row>54</xdr:row>
                    <xdr:rowOff>0</xdr:rowOff>
                  </from>
                  <to>
                    <xdr:col>5</xdr:col>
                    <xdr:colOff>9525</xdr:colOff>
                    <xdr:row>55</xdr:row>
                    <xdr:rowOff>0</xdr:rowOff>
                  </to>
                </anchor>
              </controlPr>
            </control>
          </mc:Choice>
        </mc:AlternateContent>
        <mc:AlternateContent xmlns:mc="http://schemas.openxmlformats.org/markup-compatibility/2006">
          <mc:Choice Requires="x14">
            <control shapeId="21537" r:id="rId36" name="Drop Down 33">
              <controlPr defaultSize="0" autoLine="0" autoPict="0">
                <anchor moveWithCells="1">
                  <from>
                    <xdr:col>2</xdr:col>
                    <xdr:colOff>0</xdr:colOff>
                    <xdr:row>56</xdr:row>
                    <xdr:rowOff>0</xdr:rowOff>
                  </from>
                  <to>
                    <xdr:col>3</xdr:col>
                    <xdr:colOff>9525</xdr:colOff>
                    <xdr:row>57</xdr:row>
                    <xdr:rowOff>0</xdr:rowOff>
                  </to>
                </anchor>
              </controlPr>
            </control>
          </mc:Choice>
        </mc:AlternateContent>
        <mc:AlternateContent xmlns:mc="http://schemas.openxmlformats.org/markup-compatibility/2006">
          <mc:Choice Requires="x14">
            <control shapeId="21538" r:id="rId37" name="Drop Down 34">
              <controlPr defaultSize="0" autoLine="0" autoPict="0">
                <anchor moveWithCells="1">
                  <from>
                    <xdr:col>4</xdr:col>
                    <xdr:colOff>0</xdr:colOff>
                    <xdr:row>56</xdr:row>
                    <xdr:rowOff>0</xdr:rowOff>
                  </from>
                  <to>
                    <xdr:col>5</xdr:col>
                    <xdr:colOff>9525</xdr:colOff>
                    <xdr:row>57</xdr:row>
                    <xdr:rowOff>0</xdr:rowOff>
                  </to>
                </anchor>
              </controlPr>
            </control>
          </mc:Choice>
        </mc:AlternateContent>
        <mc:AlternateContent xmlns:mc="http://schemas.openxmlformats.org/markup-compatibility/2006">
          <mc:Choice Requires="x14">
            <control shapeId="21580" r:id="rId38" name="Check Box 76">
              <controlPr defaultSize="0" autoFill="0" autoLine="0" autoPict="0" macro="[0]!Cockpit.show_diagramm">
                <anchor moveWithCells="1">
                  <from>
                    <xdr:col>9</xdr:col>
                    <xdr:colOff>314325</xdr:colOff>
                    <xdr:row>25</xdr:row>
                    <xdr:rowOff>200025</xdr:rowOff>
                  </from>
                  <to>
                    <xdr:col>9</xdr:col>
                    <xdr:colOff>619125</xdr:colOff>
                    <xdr:row>27</xdr:row>
                    <xdr:rowOff>38100</xdr:rowOff>
                  </to>
                </anchor>
              </controlPr>
            </control>
          </mc:Choice>
        </mc:AlternateContent>
        <mc:AlternateContent xmlns:mc="http://schemas.openxmlformats.org/markup-compatibility/2006">
          <mc:Choice Requires="x14">
            <control shapeId="21581" r:id="rId39" name="Check Box 77">
              <controlPr defaultSize="0" autoFill="0" autoLine="0" autoPict="0" macro="[0]!Cockpit.show_diagramm">
                <anchor moveWithCells="1">
                  <from>
                    <xdr:col>10</xdr:col>
                    <xdr:colOff>304800</xdr:colOff>
                    <xdr:row>25</xdr:row>
                    <xdr:rowOff>200025</xdr:rowOff>
                  </from>
                  <to>
                    <xdr:col>10</xdr:col>
                    <xdr:colOff>609600</xdr:colOff>
                    <xdr:row>27</xdr:row>
                    <xdr:rowOff>38100</xdr:rowOff>
                  </to>
                </anchor>
              </controlPr>
            </control>
          </mc:Choice>
        </mc:AlternateContent>
        <mc:AlternateContent xmlns:mc="http://schemas.openxmlformats.org/markup-compatibility/2006">
          <mc:Choice Requires="x14">
            <control shapeId="21582" r:id="rId40" name="Check Box 78">
              <controlPr defaultSize="0" autoFill="0" autoLine="0" autoPict="0" macro="[0]!Cockpit.show_diagramm">
                <anchor moveWithCells="1">
                  <from>
                    <xdr:col>11</xdr:col>
                    <xdr:colOff>314325</xdr:colOff>
                    <xdr:row>25</xdr:row>
                    <xdr:rowOff>200025</xdr:rowOff>
                  </from>
                  <to>
                    <xdr:col>11</xdr:col>
                    <xdr:colOff>619125</xdr:colOff>
                    <xdr:row>27</xdr:row>
                    <xdr:rowOff>38100</xdr:rowOff>
                  </to>
                </anchor>
              </controlPr>
            </control>
          </mc:Choice>
        </mc:AlternateContent>
        <mc:AlternateContent xmlns:mc="http://schemas.openxmlformats.org/markup-compatibility/2006">
          <mc:Choice Requires="x14">
            <control shapeId="21583" r:id="rId41" name="Check Box 79">
              <controlPr defaultSize="0" autoFill="0" autoLine="0" autoPict="0" macro="[0]!Cockpit.show_diagramm">
                <anchor moveWithCells="1">
                  <from>
                    <xdr:col>12</xdr:col>
                    <xdr:colOff>314325</xdr:colOff>
                    <xdr:row>25</xdr:row>
                    <xdr:rowOff>200025</xdr:rowOff>
                  </from>
                  <to>
                    <xdr:col>12</xdr:col>
                    <xdr:colOff>619125</xdr:colOff>
                    <xdr:row>27</xdr:row>
                    <xdr:rowOff>38100</xdr:rowOff>
                  </to>
                </anchor>
              </controlPr>
            </control>
          </mc:Choice>
        </mc:AlternateContent>
        <mc:AlternateContent xmlns:mc="http://schemas.openxmlformats.org/markup-compatibility/2006">
          <mc:Choice Requires="x14">
            <control shapeId="21584" r:id="rId42" name="Check Box 80">
              <controlPr defaultSize="0" autoFill="0" autoLine="0" autoPict="0" macro="[0]!Cockpit.show_diagramm">
                <anchor moveWithCells="1">
                  <from>
                    <xdr:col>13</xdr:col>
                    <xdr:colOff>314325</xdr:colOff>
                    <xdr:row>25</xdr:row>
                    <xdr:rowOff>200025</xdr:rowOff>
                  </from>
                  <to>
                    <xdr:col>13</xdr:col>
                    <xdr:colOff>619125</xdr:colOff>
                    <xdr:row>27</xdr:row>
                    <xdr:rowOff>38100</xdr:rowOff>
                  </to>
                </anchor>
              </controlPr>
            </control>
          </mc:Choice>
        </mc:AlternateContent>
        <mc:AlternateContent xmlns:mc="http://schemas.openxmlformats.org/markup-compatibility/2006">
          <mc:Choice Requires="x14">
            <control shapeId="21585" r:id="rId43" name="Check Box 81">
              <controlPr defaultSize="0" autoFill="0" autoLine="0" autoPict="0" macro="[0]!Cockpit.show_diagramm">
                <anchor moveWithCells="1">
                  <from>
                    <xdr:col>14</xdr:col>
                    <xdr:colOff>314325</xdr:colOff>
                    <xdr:row>25</xdr:row>
                    <xdr:rowOff>200025</xdr:rowOff>
                  </from>
                  <to>
                    <xdr:col>14</xdr:col>
                    <xdr:colOff>619125</xdr:colOff>
                    <xdr:row>27</xdr:row>
                    <xdr:rowOff>38100</xdr:rowOff>
                  </to>
                </anchor>
              </controlPr>
            </control>
          </mc:Choice>
        </mc:AlternateContent>
        <mc:AlternateContent xmlns:mc="http://schemas.openxmlformats.org/markup-compatibility/2006">
          <mc:Choice Requires="x14">
            <control shapeId="21586" r:id="rId44" name="Check Box 82">
              <controlPr defaultSize="0" autoFill="0" autoLine="0" autoPict="0" macro="[0]!Cockpit.show_diagramm">
                <anchor moveWithCells="1">
                  <from>
                    <xdr:col>15</xdr:col>
                    <xdr:colOff>314325</xdr:colOff>
                    <xdr:row>25</xdr:row>
                    <xdr:rowOff>200025</xdr:rowOff>
                  </from>
                  <to>
                    <xdr:col>15</xdr:col>
                    <xdr:colOff>619125</xdr:colOff>
                    <xdr:row>27</xdr:row>
                    <xdr:rowOff>38100</xdr:rowOff>
                  </to>
                </anchor>
              </controlPr>
            </control>
          </mc:Choice>
        </mc:AlternateContent>
        <mc:AlternateContent xmlns:mc="http://schemas.openxmlformats.org/markup-compatibility/2006">
          <mc:Choice Requires="x14">
            <control shapeId="21587" r:id="rId45" name="Check Box 83">
              <controlPr defaultSize="0" autoFill="0" autoLine="0" autoPict="0" macro="[0]!Cockpit.show_diagramm">
                <anchor moveWithCells="1">
                  <from>
                    <xdr:col>16</xdr:col>
                    <xdr:colOff>314325</xdr:colOff>
                    <xdr:row>25</xdr:row>
                    <xdr:rowOff>200025</xdr:rowOff>
                  </from>
                  <to>
                    <xdr:col>16</xdr:col>
                    <xdr:colOff>619125</xdr:colOff>
                    <xdr:row>27</xdr:row>
                    <xdr:rowOff>38100</xdr:rowOff>
                  </to>
                </anchor>
              </controlPr>
            </control>
          </mc:Choice>
        </mc:AlternateContent>
        <mc:AlternateContent xmlns:mc="http://schemas.openxmlformats.org/markup-compatibility/2006">
          <mc:Choice Requires="x14">
            <control shapeId="21588" r:id="rId46" name="Check Box 84">
              <controlPr defaultSize="0" autoFill="0" autoLine="0" autoPict="0" macro="[0]!Cockpit.show_diagramm">
                <anchor moveWithCells="1">
                  <from>
                    <xdr:col>8</xdr:col>
                    <xdr:colOff>314325</xdr:colOff>
                    <xdr:row>25</xdr:row>
                    <xdr:rowOff>200025</xdr:rowOff>
                  </from>
                  <to>
                    <xdr:col>8</xdr:col>
                    <xdr:colOff>619125</xdr:colOff>
                    <xdr:row>27</xdr:row>
                    <xdr:rowOff>38100</xdr:rowOff>
                  </to>
                </anchor>
              </controlPr>
            </control>
          </mc:Choice>
        </mc:AlternateContent>
        <mc:AlternateContent xmlns:mc="http://schemas.openxmlformats.org/markup-compatibility/2006">
          <mc:Choice Requires="x14">
            <control shapeId="21589" r:id="rId47" name="Check Box 85">
              <controlPr defaultSize="0" autoFill="0" autoLine="0" autoPict="0" macro="[0]!Cockpit.show_diagramm">
                <anchor moveWithCells="1">
                  <from>
                    <xdr:col>6</xdr:col>
                    <xdr:colOff>142875</xdr:colOff>
                    <xdr:row>25</xdr:row>
                    <xdr:rowOff>200025</xdr:rowOff>
                  </from>
                  <to>
                    <xdr:col>6</xdr:col>
                    <xdr:colOff>447675</xdr:colOff>
                    <xdr:row>27</xdr:row>
                    <xdr:rowOff>38100</xdr:rowOff>
                  </to>
                </anchor>
              </controlPr>
            </control>
          </mc:Choice>
        </mc:AlternateContent>
        <mc:AlternateContent xmlns:mc="http://schemas.openxmlformats.org/markup-compatibility/2006">
          <mc:Choice Requires="x14">
            <control shapeId="21590" r:id="rId48" name="Check Box 86">
              <controlPr defaultSize="0" autoFill="0" autoLine="0" autoPict="0" macro="[0]!Cockpit.show_diagramm">
                <anchor moveWithCells="1">
                  <from>
                    <xdr:col>7</xdr:col>
                    <xdr:colOff>314325</xdr:colOff>
                    <xdr:row>25</xdr:row>
                    <xdr:rowOff>200025</xdr:rowOff>
                  </from>
                  <to>
                    <xdr:col>7</xdr:col>
                    <xdr:colOff>619125</xdr:colOff>
                    <xdr:row>27</xdr:row>
                    <xdr:rowOff>38100</xdr:rowOff>
                  </to>
                </anchor>
              </controlPr>
            </control>
          </mc:Choice>
        </mc:AlternateContent>
        <mc:AlternateContent xmlns:mc="http://schemas.openxmlformats.org/markup-compatibility/2006">
          <mc:Choice Requires="x14">
            <control shapeId="21591" r:id="rId49" name="Check Box 87">
              <controlPr defaultSize="0" autoFill="0" autoLine="0" autoPict="0" macro="[0]!Cockpit.show_diagramm">
                <anchor moveWithCells="1">
                  <from>
                    <xdr:col>17</xdr:col>
                    <xdr:colOff>314325</xdr:colOff>
                    <xdr:row>25</xdr:row>
                    <xdr:rowOff>200025</xdr:rowOff>
                  </from>
                  <to>
                    <xdr:col>17</xdr:col>
                    <xdr:colOff>619125</xdr:colOff>
                    <xdr:row>27</xdr:row>
                    <xdr:rowOff>38100</xdr:rowOff>
                  </to>
                </anchor>
              </controlPr>
            </control>
          </mc:Choice>
        </mc:AlternateContent>
        <mc:AlternateContent xmlns:mc="http://schemas.openxmlformats.org/markup-compatibility/2006">
          <mc:Choice Requires="x14">
            <control shapeId="21592" r:id="rId50" name="Check Box 88">
              <controlPr defaultSize="0" autoFill="0" autoLine="0" autoPict="0" macro="[0]!Cockpit.show_diagramm">
                <anchor moveWithCells="1">
                  <from>
                    <xdr:col>18</xdr:col>
                    <xdr:colOff>304800</xdr:colOff>
                    <xdr:row>25</xdr:row>
                    <xdr:rowOff>200025</xdr:rowOff>
                  </from>
                  <to>
                    <xdr:col>18</xdr:col>
                    <xdr:colOff>609600</xdr:colOff>
                    <xdr:row>27</xdr:row>
                    <xdr:rowOff>38100</xdr:rowOff>
                  </to>
                </anchor>
              </controlPr>
            </control>
          </mc:Choice>
        </mc:AlternateContent>
        <mc:AlternateContent xmlns:mc="http://schemas.openxmlformats.org/markup-compatibility/2006">
          <mc:Choice Requires="x14">
            <control shapeId="21593" r:id="rId51" name="Check Box 89">
              <controlPr defaultSize="0" autoFill="0" autoLine="0" autoPict="0" macro="[0]!Cockpit.show_diagramm">
                <anchor moveWithCells="1">
                  <from>
                    <xdr:col>19</xdr:col>
                    <xdr:colOff>314325</xdr:colOff>
                    <xdr:row>25</xdr:row>
                    <xdr:rowOff>200025</xdr:rowOff>
                  </from>
                  <to>
                    <xdr:col>19</xdr:col>
                    <xdr:colOff>619125</xdr:colOff>
                    <xdr:row>27</xdr:row>
                    <xdr:rowOff>38100</xdr:rowOff>
                  </to>
                </anchor>
              </controlPr>
            </control>
          </mc:Choice>
        </mc:AlternateContent>
        <mc:AlternateContent xmlns:mc="http://schemas.openxmlformats.org/markup-compatibility/2006">
          <mc:Choice Requires="x14">
            <control shapeId="21594" r:id="rId52" name="Check Box 90">
              <controlPr defaultSize="0" autoFill="0" autoLine="0" autoPict="0" macro="[0]!Cockpit.show_diagramm">
                <anchor moveWithCells="1">
                  <from>
                    <xdr:col>20</xdr:col>
                    <xdr:colOff>314325</xdr:colOff>
                    <xdr:row>25</xdr:row>
                    <xdr:rowOff>200025</xdr:rowOff>
                  </from>
                  <to>
                    <xdr:col>20</xdr:col>
                    <xdr:colOff>619125</xdr:colOff>
                    <xdr:row>27</xdr:row>
                    <xdr:rowOff>38100</xdr:rowOff>
                  </to>
                </anchor>
              </controlPr>
            </control>
          </mc:Choice>
        </mc:AlternateContent>
        <mc:AlternateContent xmlns:mc="http://schemas.openxmlformats.org/markup-compatibility/2006">
          <mc:Choice Requires="x14">
            <control shapeId="21595" r:id="rId53" name="Check Box 91">
              <controlPr defaultSize="0" autoFill="0" autoLine="0" autoPict="0" macro="[0]!Cockpit.show_diagramm">
                <anchor moveWithCells="1">
                  <from>
                    <xdr:col>21</xdr:col>
                    <xdr:colOff>314325</xdr:colOff>
                    <xdr:row>25</xdr:row>
                    <xdr:rowOff>200025</xdr:rowOff>
                  </from>
                  <to>
                    <xdr:col>21</xdr:col>
                    <xdr:colOff>619125</xdr:colOff>
                    <xdr:row>27</xdr:row>
                    <xdr:rowOff>38100</xdr:rowOff>
                  </to>
                </anchor>
              </controlPr>
            </control>
          </mc:Choice>
        </mc:AlternateContent>
        <mc:AlternateContent xmlns:mc="http://schemas.openxmlformats.org/markup-compatibility/2006">
          <mc:Choice Requires="x14">
            <control shapeId="21596" r:id="rId54" name="Check Box 92">
              <controlPr defaultSize="0" autoFill="0" autoLine="0" autoPict="0" macro="[0]!Cockpit.show_diagramm">
                <anchor moveWithCells="1">
                  <from>
                    <xdr:col>22</xdr:col>
                    <xdr:colOff>314325</xdr:colOff>
                    <xdr:row>25</xdr:row>
                    <xdr:rowOff>200025</xdr:rowOff>
                  </from>
                  <to>
                    <xdr:col>22</xdr:col>
                    <xdr:colOff>619125</xdr:colOff>
                    <xdr:row>27</xdr:row>
                    <xdr:rowOff>38100</xdr:rowOff>
                  </to>
                </anchor>
              </controlPr>
            </control>
          </mc:Choice>
        </mc:AlternateContent>
        <mc:AlternateContent xmlns:mc="http://schemas.openxmlformats.org/markup-compatibility/2006">
          <mc:Choice Requires="x14">
            <control shapeId="21597" r:id="rId55" name="Check Box 93">
              <controlPr defaultSize="0" autoFill="0" autoLine="0" autoPict="0" macro="[0]!Cockpit.show_diagramm">
                <anchor moveWithCells="1">
                  <from>
                    <xdr:col>23</xdr:col>
                    <xdr:colOff>314325</xdr:colOff>
                    <xdr:row>25</xdr:row>
                    <xdr:rowOff>200025</xdr:rowOff>
                  </from>
                  <to>
                    <xdr:col>23</xdr:col>
                    <xdr:colOff>619125</xdr:colOff>
                    <xdr:row>27</xdr:row>
                    <xdr:rowOff>38100</xdr:rowOff>
                  </to>
                </anchor>
              </controlPr>
            </control>
          </mc:Choice>
        </mc:AlternateContent>
        <mc:AlternateContent xmlns:mc="http://schemas.openxmlformats.org/markup-compatibility/2006">
          <mc:Choice Requires="x14">
            <control shapeId="21598" r:id="rId56" name="Check Box 94">
              <controlPr defaultSize="0" autoFill="0" autoLine="0" autoPict="0" macro="[0]!Cockpit.show_diagramm">
                <anchor moveWithCells="1">
                  <from>
                    <xdr:col>24</xdr:col>
                    <xdr:colOff>314325</xdr:colOff>
                    <xdr:row>25</xdr:row>
                    <xdr:rowOff>200025</xdr:rowOff>
                  </from>
                  <to>
                    <xdr:col>24</xdr:col>
                    <xdr:colOff>619125</xdr:colOff>
                    <xdr:row>27</xdr:row>
                    <xdr:rowOff>38100</xdr:rowOff>
                  </to>
                </anchor>
              </controlPr>
            </control>
          </mc:Choice>
        </mc:AlternateContent>
        <mc:AlternateContent xmlns:mc="http://schemas.openxmlformats.org/markup-compatibility/2006">
          <mc:Choice Requires="x14">
            <control shapeId="21599" r:id="rId57" name="Check Box 95">
              <controlPr defaultSize="0" autoFill="0" autoLine="0" autoPict="0" macro="[0]!Cockpit.show_diagramm">
                <anchor moveWithCells="1">
                  <from>
                    <xdr:col>25</xdr:col>
                    <xdr:colOff>314325</xdr:colOff>
                    <xdr:row>25</xdr:row>
                    <xdr:rowOff>200025</xdr:rowOff>
                  </from>
                  <to>
                    <xdr:col>25</xdr:col>
                    <xdr:colOff>619125</xdr:colOff>
                    <xdr:row>27</xdr:row>
                    <xdr:rowOff>38100</xdr:rowOff>
                  </to>
                </anchor>
              </controlPr>
            </control>
          </mc:Choice>
        </mc:AlternateContent>
        <mc:AlternateContent xmlns:mc="http://schemas.openxmlformats.org/markup-compatibility/2006">
          <mc:Choice Requires="x14">
            <control shapeId="21600" r:id="rId58" name="Check Box 96">
              <controlPr defaultSize="0" autoFill="0" autoLine="0" autoPict="0" macro="[0]!Cockpit.show_diagramm">
                <anchor moveWithCells="1">
                  <from>
                    <xdr:col>26</xdr:col>
                    <xdr:colOff>314325</xdr:colOff>
                    <xdr:row>25</xdr:row>
                    <xdr:rowOff>200025</xdr:rowOff>
                  </from>
                  <to>
                    <xdr:col>26</xdr:col>
                    <xdr:colOff>619125</xdr:colOff>
                    <xdr:row>27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48"/>
  <sheetViews>
    <sheetView showGridLines="0" zoomScale="90" workbookViewId="0">
      <selection activeCell="B27" sqref="B27:H46"/>
    </sheetView>
  </sheetViews>
  <sheetFormatPr baseColWidth="10" defaultColWidth="11.42578125" defaultRowHeight="12.75"/>
  <cols>
    <col min="1" max="1" width="2.28515625" style="24" customWidth="1"/>
    <col min="2" max="2" width="16.28515625" style="25" bestFit="1" customWidth="1"/>
    <col min="3" max="3" width="2.140625" style="24" customWidth="1"/>
    <col min="4" max="4" width="16.42578125" style="24" customWidth="1"/>
    <col min="5" max="5" width="5.7109375" style="24" customWidth="1"/>
    <col min="6" max="6" width="20" style="24" customWidth="1"/>
    <col min="7" max="7" width="1.5703125" style="24" customWidth="1"/>
    <col min="8" max="8" width="10" style="24" customWidth="1"/>
    <col min="9" max="9" width="5.7109375" style="24" customWidth="1"/>
    <col min="10" max="10" width="13.5703125" style="24" customWidth="1"/>
    <col min="11" max="11" width="1" style="24" customWidth="1"/>
    <col min="12" max="12" width="10.5703125" style="24" customWidth="1"/>
    <col min="13" max="13" width="3.85546875" style="24" hidden="1" customWidth="1"/>
    <col min="14" max="14" width="5.140625" style="24" customWidth="1"/>
    <col min="15" max="15" width="15.7109375" style="64" customWidth="1"/>
    <col min="16" max="16" width="1.28515625" style="24" customWidth="1"/>
    <col min="17" max="17" width="13" style="24" customWidth="1"/>
    <col min="18" max="16384" width="11.42578125" style="24"/>
  </cols>
  <sheetData>
    <row r="1" spans="2:17" ht="20.25">
      <c r="B1" s="648" t="s">
        <v>125</v>
      </c>
      <c r="C1" s="648"/>
      <c r="D1" s="648"/>
      <c r="F1" s="648" t="s">
        <v>128</v>
      </c>
      <c r="G1" s="648"/>
      <c r="H1" s="648"/>
      <c r="J1" s="648" t="s">
        <v>137</v>
      </c>
      <c r="K1" s="648"/>
      <c r="L1" s="648"/>
      <c r="O1" s="648" t="s">
        <v>195</v>
      </c>
      <c r="P1" s="648"/>
      <c r="Q1" s="629"/>
    </row>
    <row r="2" spans="2:17" ht="15" customHeight="1">
      <c r="B2" s="315" t="str">
        <f ca="1">CELL("filename",B2)</f>
        <v>D:\_pdata\GLAZ\andi\[vGlaz2020.xlsm]Einstellungen</v>
      </c>
      <c r="O2" s="654" t="s">
        <v>51</v>
      </c>
      <c r="P2" s="654"/>
      <c r="Q2" s="654"/>
    </row>
    <row r="3" spans="2:17">
      <c r="B3" s="26" t="s">
        <v>97</v>
      </c>
      <c r="C3" s="27"/>
      <c r="D3" s="607" t="s">
        <v>227</v>
      </c>
      <c r="F3" s="118" t="s">
        <v>70</v>
      </c>
      <c r="G3" s="28"/>
      <c r="H3" s="35">
        <v>0</v>
      </c>
      <c r="J3" s="26" t="s">
        <v>138</v>
      </c>
      <c r="K3" s="27"/>
      <c r="L3" s="105">
        <v>0.29166666666666669</v>
      </c>
      <c r="M3" s="59">
        <f t="shared" ref="M3:M9" si="0">IF(L3&gt;0,1,0)</f>
        <v>1</v>
      </c>
      <c r="O3" s="165" t="s">
        <v>192</v>
      </c>
      <c r="P3" s="380" t="s">
        <v>177</v>
      </c>
      <c r="Q3" s="166">
        <v>0</v>
      </c>
    </row>
    <row r="4" spans="2:17" ht="13.5" thickBot="1">
      <c r="B4" s="36" t="s">
        <v>120</v>
      </c>
      <c r="C4" s="34"/>
      <c r="D4" s="609" t="s">
        <v>229</v>
      </c>
      <c r="F4" s="33" t="s">
        <v>176</v>
      </c>
      <c r="G4" s="34"/>
      <c r="H4" s="35">
        <v>30</v>
      </c>
      <c r="J4" s="36" t="s">
        <v>139</v>
      </c>
      <c r="K4" s="34"/>
      <c r="L4" s="105">
        <v>0.29166666666666669</v>
      </c>
      <c r="M4" s="59">
        <f t="shared" si="0"/>
        <v>1</v>
      </c>
      <c r="O4" s="176" t="s">
        <v>194</v>
      </c>
      <c r="P4" s="381" t="s">
        <v>177</v>
      </c>
      <c r="Q4" s="172">
        <v>1</v>
      </c>
    </row>
    <row r="5" spans="2:17" ht="14.25" thickTop="1" thickBot="1">
      <c r="B5" s="566" t="s">
        <v>202</v>
      </c>
      <c r="C5" s="31"/>
      <c r="D5" s="608" t="s">
        <v>228</v>
      </c>
      <c r="F5" s="30" t="s">
        <v>71</v>
      </c>
      <c r="G5" s="119"/>
      <c r="H5" s="29">
        <f>H3+H4</f>
        <v>30</v>
      </c>
      <c r="J5" s="36" t="s">
        <v>140</v>
      </c>
      <c r="K5" s="34"/>
      <c r="L5" s="105">
        <v>0.29166666666666669</v>
      </c>
      <c r="M5" s="59">
        <f t="shared" si="0"/>
        <v>1</v>
      </c>
      <c r="O5" s="177" t="s">
        <v>196</v>
      </c>
      <c r="P5" s="382" t="s">
        <v>177</v>
      </c>
      <c r="Q5" s="170">
        <v>2</v>
      </c>
    </row>
    <row r="6" spans="2:17" ht="13.5" thickTop="1">
      <c r="B6" s="26" t="s">
        <v>121</v>
      </c>
      <c r="C6" s="27"/>
      <c r="D6" s="108">
        <f>L10/M10</f>
        <v>0.29166666666666669</v>
      </c>
      <c r="F6" s="33" t="s">
        <v>113</v>
      </c>
      <c r="G6" s="34"/>
      <c r="H6" s="35">
        <v>0</v>
      </c>
      <c r="J6" s="36" t="s">
        <v>141</v>
      </c>
      <c r="K6" s="34"/>
      <c r="L6" s="105">
        <v>0.29166666666666669</v>
      </c>
      <c r="M6" s="59">
        <f t="shared" si="0"/>
        <v>1</v>
      </c>
      <c r="O6" s="178" t="s">
        <v>0</v>
      </c>
      <c r="P6" s="383" t="s">
        <v>177</v>
      </c>
      <c r="Q6" s="171">
        <v>3</v>
      </c>
    </row>
    <row r="7" spans="2:17" ht="13.5" thickBot="1">
      <c r="B7" s="36" t="s">
        <v>122</v>
      </c>
      <c r="C7" s="34"/>
      <c r="D7" s="109">
        <v>0.41666666666666669</v>
      </c>
      <c r="F7" s="33" t="s">
        <v>172</v>
      </c>
      <c r="G7" s="34"/>
      <c r="H7" s="35">
        <v>0</v>
      </c>
      <c r="J7" s="36" t="s">
        <v>142</v>
      </c>
      <c r="K7" s="34"/>
      <c r="L7" s="105">
        <v>0.29166666666666669</v>
      </c>
      <c r="M7" s="59">
        <f t="shared" si="0"/>
        <v>1</v>
      </c>
      <c r="O7" s="36" t="s">
        <v>193</v>
      </c>
      <c r="P7" s="121" t="s">
        <v>177</v>
      </c>
      <c r="Q7" s="65">
        <v>7</v>
      </c>
    </row>
    <row r="8" spans="2:17" ht="14.25" thickTop="1" thickBot="1">
      <c r="B8" s="603" t="s">
        <v>223</v>
      </c>
      <c r="C8" s="34"/>
      <c r="D8" s="109">
        <v>0.25</v>
      </c>
      <c r="F8" s="117" t="s">
        <v>175</v>
      </c>
      <c r="G8" s="31"/>
      <c r="H8" s="116">
        <f>B_VorJahr_hh/24+B_VorJahr_mm/24/60</f>
        <v>0</v>
      </c>
      <c r="J8" s="53" t="s">
        <v>143</v>
      </c>
      <c r="K8" s="54"/>
      <c r="L8" s="106"/>
      <c r="M8" s="59">
        <f t="shared" si="0"/>
        <v>0</v>
      </c>
      <c r="O8" s="179" t="s">
        <v>191</v>
      </c>
      <c r="P8" s="388" t="s">
        <v>177</v>
      </c>
      <c r="Q8" s="173">
        <v>8</v>
      </c>
    </row>
    <row r="9" spans="2:17" ht="14.25" thickTop="1" thickBot="1">
      <c r="B9" s="603" t="s">
        <v>224</v>
      </c>
      <c r="C9" s="34"/>
      <c r="D9" s="109">
        <v>2.0833333333333332E-2</v>
      </c>
      <c r="H9" s="250" t="str">
        <f>IF(OR(AND(B_VorJahr_hh&gt;0,B_VorJahr_mm&lt;0),AND(B_VorJahr_hh&lt;0,B_VorJahr_mm&gt;0)),"!?Vorzeichen hh-mm?!","")</f>
        <v/>
      </c>
      <c r="J9" s="55" t="s">
        <v>144</v>
      </c>
      <c r="K9" s="56"/>
      <c r="L9" s="107"/>
      <c r="M9" s="59">
        <f t="shared" si="0"/>
        <v>0</v>
      </c>
      <c r="O9" s="183" t="s">
        <v>20</v>
      </c>
      <c r="P9" s="485" t="s">
        <v>177</v>
      </c>
      <c r="Q9" s="182">
        <v>71</v>
      </c>
    </row>
    <row r="10" spans="2:17" ht="14.25" thickTop="1" thickBot="1">
      <c r="B10" s="603" t="s">
        <v>221</v>
      </c>
      <c r="C10" s="34"/>
      <c r="D10" s="109">
        <v>0.375</v>
      </c>
      <c r="F10" s="37" t="s">
        <v>57</v>
      </c>
      <c r="G10" s="38"/>
      <c r="H10" s="39"/>
      <c r="J10" s="52" t="s">
        <v>145</v>
      </c>
      <c r="K10" s="57"/>
      <c r="L10" s="58">
        <f>SUM(L3:L9)</f>
        <v>1.4583333333333335</v>
      </c>
      <c r="M10" s="59">
        <f>SUM(M3:M9)</f>
        <v>5</v>
      </c>
      <c r="O10" s="180" t="s">
        <v>117</v>
      </c>
      <c r="P10" s="384" t="s">
        <v>177</v>
      </c>
      <c r="Q10" s="175">
        <v>75</v>
      </c>
    </row>
    <row r="11" spans="2:17" ht="13.5" thickTop="1">
      <c r="B11" s="603" t="s">
        <v>222</v>
      </c>
      <c r="C11" s="34"/>
      <c r="D11" s="109">
        <v>1.0416666666666666E-2</v>
      </c>
      <c r="M11" s="51"/>
      <c r="O11" s="181" t="s">
        <v>116</v>
      </c>
      <c r="P11" s="385" t="s">
        <v>177</v>
      </c>
      <c r="Q11" s="174">
        <v>85</v>
      </c>
    </row>
    <row r="12" spans="2:17">
      <c r="B12" s="36" t="s">
        <v>124</v>
      </c>
      <c r="C12" s="34"/>
      <c r="D12" s="109">
        <v>0</v>
      </c>
      <c r="E12" s="227" t="str">
        <f>IF(ISTEXT(B_Year),"???","")</f>
        <v/>
      </c>
      <c r="O12" s="387" t="s">
        <v>1</v>
      </c>
      <c r="P12" s="386" t="s">
        <v>177</v>
      </c>
      <c r="Q12" s="379" t="str">
        <f>""</f>
        <v/>
      </c>
    </row>
    <row r="13" spans="2:17">
      <c r="B13" s="36" t="s">
        <v>123</v>
      </c>
      <c r="C13" s="34"/>
      <c r="D13" s="109">
        <v>0</v>
      </c>
      <c r="O13" s="168"/>
      <c r="P13" s="167"/>
      <c r="Q13" s="169"/>
    </row>
    <row r="14" spans="2:17">
      <c r="B14" s="30" t="s">
        <v>232</v>
      </c>
      <c r="C14" s="31"/>
      <c r="D14" s="677">
        <v>0.38541666666666669</v>
      </c>
      <c r="O14" s="168"/>
      <c r="P14" s="167"/>
      <c r="Q14" s="169"/>
    </row>
    <row r="15" spans="2:17" ht="13.5" thickBot="1">
      <c r="O15" s="168"/>
      <c r="P15" s="167"/>
      <c r="Q15" s="169"/>
    </row>
    <row r="16" spans="2:17" s="408" customFormat="1" ht="13.5" thickBot="1">
      <c r="B16" s="37" t="s">
        <v>42</v>
      </c>
      <c r="C16" s="38"/>
      <c r="D16" s="185">
        <v>42369</v>
      </c>
      <c r="E16" s="24"/>
      <c r="F16" s="24"/>
      <c r="G16" s="24"/>
      <c r="H16" s="24"/>
      <c r="J16" s="406" t="s">
        <v>17</v>
      </c>
      <c r="K16" s="407"/>
      <c r="L16" s="649" t="s">
        <v>55</v>
      </c>
      <c r="M16" s="650"/>
      <c r="N16" s="650"/>
      <c r="O16" s="650"/>
      <c r="P16" s="650"/>
      <c r="Q16" s="413"/>
    </row>
    <row r="17" spans="2:18">
      <c r="B17" s="47" t="s">
        <v>73</v>
      </c>
      <c r="E17" s="408"/>
      <c r="F17" s="408"/>
      <c r="G17" s="408"/>
      <c r="H17" s="408"/>
      <c r="J17" s="400" t="s">
        <v>116</v>
      </c>
      <c r="K17" s="45"/>
      <c r="L17" s="651" t="s">
        <v>58</v>
      </c>
      <c r="M17" s="652"/>
      <c r="N17" s="652"/>
      <c r="O17" s="652"/>
      <c r="P17" s="652"/>
      <c r="Q17" s="653"/>
    </row>
    <row r="18" spans="2:18">
      <c r="J18" s="411" t="s">
        <v>117</v>
      </c>
      <c r="K18" s="412"/>
      <c r="L18" s="655" t="s">
        <v>59</v>
      </c>
      <c r="M18" s="656"/>
      <c r="N18" s="656"/>
      <c r="O18" s="656"/>
      <c r="P18" s="656"/>
      <c r="Q18" s="657"/>
    </row>
    <row r="19" spans="2:18">
      <c r="B19" s="40" t="s">
        <v>231</v>
      </c>
      <c r="C19" s="41"/>
      <c r="D19" s="41"/>
      <c r="E19" s="41"/>
      <c r="F19" s="41"/>
      <c r="G19" s="41"/>
      <c r="H19" s="42"/>
      <c r="J19" s="404" t="s">
        <v>130</v>
      </c>
      <c r="K19" s="405"/>
      <c r="L19" s="658" t="s">
        <v>60</v>
      </c>
      <c r="M19" s="659"/>
      <c r="N19" s="659"/>
      <c r="O19" s="659"/>
      <c r="P19" s="659"/>
      <c r="Q19" s="660"/>
    </row>
    <row r="20" spans="2:18">
      <c r="B20" s="43"/>
      <c r="C20" s="44"/>
      <c r="D20" s="44"/>
      <c r="E20" s="44"/>
      <c r="F20" s="44"/>
      <c r="G20" s="44"/>
      <c r="H20" s="45"/>
      <c r="J20" s="579" t="s">
        <v>207</v>
      </c>
      <c r="K20" s="402"/>
      <c r="L20" s="632"/>
      <c r="M20" s="633"/>
      <c r="N20" s="633"/>
      <c r="O20" s="633"/>
      <c r="P20" s="633"/>
      <c r="Q20" s="634"/>
      <c r="R20" s="520"/>
    </row>
    <row r="21" spans="2:18">
      <c r="B21" s="43" t="s">
        <v>134</v>
      </c>
      <c r="C21" s="44" t="s">
        <v>135</v>
      </c>
      <c r="D21" s="44"/>
      <c r="E21" s="44"/>
      <c r="F21" s="44"/>
      <c r="G21" s="44"/>
      <c r="H21" s="45"/>
      <c r="J21" s="580" t="s">
        <v>208</v>
      </c>
      <c r="K21" s="410"/>
      <c r="L21" s="635"/>
      <c r="M21" s="636"/>
      <c r="N21" s="636"/>
      <c r="O21" s="636"/>
      <c r="P21" s="636"/>
      <c r="Q21" s="637"/>
      <c r="R21" s="520"/>
    </row>
    <row r="22" spans="2:18">
      <c r="B22" s="43"/>
      <c r="C22" s="44" t="s">
        <v>163</v>
      </c>
      <c r="D22" s="44"/>
      <c r="E22" s="44"/>
      <c r="F22" s="44"/>
      <c r="G22" s="44"/>
      <c r="H22" s="45"/>
      <c r="J22" s="579" t="s">
        <v>209</v>
      </c>
      <c r="K22" s="402"/>
      <c r="L22" s="632"/>
      <c r="M22" s="633"/>
      <c r="N22" s="633"/>
      <c r="O22" s="633"/>
      <c r="P22" s="633"/>
      <c r="Q22" s="634"/>
      <c r="R22" s="520"/>
    </row>
    <row r="23" spans="2:18">
      <c r="B23" s="43"/>
      <c r="C23" s="44"/>
      <c r="D23" s="44"/>
      <c r="E23" s="44"/>
      <c r="F23" s="44"/>
      <c r="G23" s="44"/>
      <c r="H23" s="45"/>
      <c r="J23" s="580" t="s">
        <v>210</v>
      </c>
      <c r="K23" s="410"/>
      <c r="L23" s="635"/>
      <c r="M23" s="636"/>
      <c r="N23" s="636"/>
      <c r="O23" s="636"/>
      <c r="P23" s="636"/>
      <c r="Q23" s="637"/>
      <c r="R23" s="520"/>
    </row>
    <row r="24" spans="2:18">
      <c r="B24" s="43"/>
      <c r="C24" s="44" t="s">
        <v>72</v>
      </c>
      <c r="D24" s="44"/>
      <c r="E24" s="44"/>
      <c r="F24" s="44"/>
      <c r="G24" s="44"/>
      <c r="H24" s="45"/>
      <c r="J24" s="579" t="s">
        <v>211</v>
      </c>
      <c r="K24" s="402"/>
      <c r="L24" s="632"/>
      <c r="M24" s="633"/>
      <c r="N24" s="633"/>
      <c r="O24" s="633"/>
      <c r="P24" s="633"/>
      <c r="Q24" s="634"/>
      <c r="R24" s="520"/>
    </row>
    <row r="25" spans="2:18">
      <c r="B25" s="43"/>
      <c r="C25" s="44" t="s">
        <v>74</v>
      </c>
      <c r="D25" s="44"/>
      <c r="E25" s="44"/>
      <c r="F25" s="44"/>
      <c r="G25" s="44"/>
      <c r="H25" s="45"/>
      <c r="J25" s="580" t="s">
        <v>212</v>
      </c>
      <c r="K25" s="410"/>
      <c r="L25" s="635"/>
      <c r="M25" s="636"/>
      <c r="N25" s="636"/>
      <c r="O25" s="636"/>
      <c r="P25" s="636"/>
      <c r="Q25" s="637"/>
      <c r="R25" s="520"/>
    </row>
    <row r="26" spans="2:18">
      <c r="B26" s="43"/>
      <c r="C26" s="44"/>
      <c r="D26" s="44"/>
      <c r="E26" s="44"/>
      <c r="F26" s="44"/>
      <c r="G26" s="44"/>
      <c r="H26" s="45"/>
      <c r="J26" s="579" t="s">
        <v>213</v>
      </c>
      <c r="K26" s="402"/>
      <c r="L26" s="632"/>
      <c r="M26" s="633"/>
      <c r="N26" s="633"/>
      <c r="O26" s="633"/>
      <c r="P26" s="633"/>
      <c r="Q26" s="634"/>
      <c r="R26" s="520"/>
    </row>
    <row r="27" spans="2:18" ht="12.75" customHeight="1">
      <c r="B27" s="641" t="s">
        <v>233</v>
      </c>
      <c r="C27" s="642"/>
      <c r="D27" s="642"/>
      <c r="E27" s="642"/>
      <c r="F27" s="642"/>
      <c r="G27" s="642"/>
      <c r="H27" s="643"/>
      <c r="J27" s="580" t="s">
        <v>214</v>
      </c>
      <c r="K27" s="410"/>
      <c r="L27" s="635"/>
      <c r="M27" s="636"/>
      <c r="N27" s="636"/>
      <c r="O27" s="636"/>
      <c r="P27" s="636"/>
      <c r="Q27" s="637"/>
      <c r="R27" s="520"/>
    </row>
    <row r="28" spans="2:18">
      <c r="B28" s="644"/>
      <c r="C28" s="642"/>
      <c r="D28" s="642"/>
      <c r="E28" s="642"/>
      <c r="F28" s="642"/>
      <c r="G28" s="642"/>
      <c r="H28" s="643"/>
      <c r="J28" s="579" t="s">
        <v>215</v>
      </c>
      <c r="K28" s="402"/>
      <c r="L28" s="632"/>
      <c r="M28" s="633"/>
      <c r="N28" s="633"/>
      <c r="O28" s="633"/>
      <c r="P28" s="633"/>
      <c r="Q28" s="634"/>
      <c r="R28" s="520"/>
    </row>
    <row r="29" spans="2:18">
      <c r="B29" s="644"/>
      <c r="C29" s="642"/>
      <c r="D29" s="642"/>
      <c r="E29" s="642"/>
      <c r="F29" s="642"/>
      <c r="G29" s="642"/>
      <c r="H29" s="643"/>
      <c r="J29" s="409" t="s">
        <v>88</v>
      </c>
      <c r="K29" s="410"/>
      <c r="L29" s="635"/>
      <c r="M29" s="636"/>
      <c r="N29" s="636"/>
      <c r="O29" s="636"/>
      <c r="P29" s="636"/>
      <c r="Q29" s="637"/>
      <c r="R29" s="520"/>
    </row>
    <row r="30" spans="2:18">
      <c r="B30" s="644"/>
      <c r="C30" s="642"/>
      <c r="D30" s="642"/>
      <c r="E30" s="642"/>
      <c r="F30" s="642"/>
      <c r="G30" s="642"/>
      <c r="H30" s="643"/>
      <c r="J30" s="401" t="s">
        <v>89</v>
      </c>
      <c r="K30" s="402"/>
      <c r="L30" s="632"/>
      <c r="M30" s="633"/>
      <c r="N30" s="633"/>
      <c r="O30" s="633"/>
      <c r="P30" s="633"/>
      <c r="Q30" s="634"/>
      <c r="R30" s="520"/>
    </row>
    <row r="31" spans="2:18">
      <c r="B31" s="644"/>
      <c r="C31" s="642"/>
      <c r="D31" s="642"/>
      <c r="E31" s="642"/>
      <c r="F31" s="642"/>
      <c r="G31" s="642"/>
      <c r="H31" s="643"/>
      <c r="J31" s="409" t="s">
        <v>90</v>
      </c>
      <c r="K31" s="410"/>
      <c r="L31" s="635"/>
      <c r="M31" s="636"/>
      <c r="N31" s="636"/>
      <c r="O31" s="636"/>
      <c r="P31" s="636"/>
      <c r="Q31" s="637"/>
      <c r="R31" s="520"/>
    </row>
    <row r="32" spans="2:18">
      <c r="B32" s="644"/>
      <c r="C32" s="642"/>
      <c r="D32" s="642"/>
      <c r="E32" s="642"/>
      <c r="F32" s="642"/>
      <c r="G32" s="642"/>
      <c r="H32" s="643"/>
      <c r="J32" s="401" t="s">
        <v>91</v>
      </c>
      <c r="K32" s="402"/>
      <c r="L32" s="632"/>
      <c r="M32" s="633"/>
      <c r="N32" s="633"/>
      <c r="O32" s="633"/>
      <c r="P32" s="633"/>
      <c r="Q32" s="634"/>
      <c r="R32" s="520"/>
    </row>
    <row r="33" spans="1:18">
      <c r="B33" s="644"/>
      <c r="C33" s="642"/>
      <c r="D33" s="642"/>
      <c r="E33" s="642"/>
      <c r="F33" s="642"/>
      <c r="G33" s="642"/>
      <c r="H33" s="643"/>
      <c r="J33" s="409" t="s">
        <v>92</v>
      </c>
      <c r="K33" s="410"/>
      <c r="L33" s="635"/>
      <c r="M33" s="636"/>
      <c r="N33" s="636"/>
      <c r="O33" s="636"/>
      <c r="P33" s="636"/>
      <c r="Q33" s="637"/>
      <c r="R33" s="520"/>
    </row>
    <row r="34" spans="1:18">
      <c r="B34" s="644"/>
      <c r="C34" s="642"/>
      <c r="D34" s="642"/>
      <c r="E34" s="642"/>
      <c r="F34" s="642"/>
      <c r="G34" s="642"/>
      <c r="H34" s="643"/>
      <c r="J34" s="401" t="s">
        <v>93</v>
      </c>
      <c r="K34" s="402"/>
      <c r="L34" s="632"/>
      <c r="M34" s="633"/>
      <c r="N34" s="633"/>
      <c r="O34" s="633"/>
      <c r="P34" s="633"/>
      <c r="Q34" s="634"/>
      <c r="R34" s="520"/>
    </row>
    <row r="35" spans="1:18">
      <c r="B35" s="644"/>
      <c r="C35" s="642"/>
      <c r="D35" s="642"/>
      <c r="E35" s="642"/>
      <c r="F35" s="642"/>
      <c r="G35" s="642"/>
      <c r="H35" s="643"/>
      <c r="J35" s="409" t="s">
        <v>94</v>
      </c>
      <c r="K35" s="410"/>
      <c r="L35" s="635"/>
      <c r="M35" s="636"/>
      <c r="N35" s="636"/>
      <c r="O35" s="636"/>
      <c r="P35" s="636"/>
      <c r="Q35" s="637"/>
      <c r="R35" s="520"/>
    </row>
    <row r="36" spans="1:18">
      <c r="B36" s="644"/>
      <c r="C36" s="642"/>
      <c r="D36" s="642"/>
      <c r="E36" s="642"/>
      <c r="F36" s="642"/>
      <c r="G36" s="642"/>
      <c r="H36" s="643"/>
      <c r="J36" s="401" t="s">
        <v>164</v>
      </c>
      <c r="K36" s="402"/>
      <c r="L36" s="632"/>
      <c r="M36" s="633"/>
      <c r="N36" s="633"/>
      <c r="O36" s="633"/>
      <c r="P36" s="633"/>
      <c r="Q36" s="634"/>
      <c r="R36" s="520"/>
    </row>
    <row r="37" spans="1:18">
      <c r="B37" s="644"/>
      <c r="C37" s="642"/>
      <c r="D37" s="642"/>
      <c r="E37" s="642"/>
      <c r="F37" s="642"/>
      <c r="G37" s="642"/>
      <c r="H37" s="643"/>
      <c r="J37" s="409" t="s">
        <v>95</v>
      </c>
      <c r="K37" s="410"/>
      <c r="L37" s="635"/>
      <c r="M37" s="636"/>
      <c r="N37" s="636"/>
      <c r="O37" s="636"/>
      <c r="P37" s="636"/>
      <c r="Q37" s="637"/>
      <c r="R37" s="520"/>
    </row>
    <row r="38" spans="1:18">
      <c r="B38" s="644"/>
      <c r="C38" s="642"/>
      <c r="D38" s="642"/>
      <c r="E38" s="642"/>
      <c r="F38" s="642"/>
      <c r="G38" s="642"/>
      <c r="H38" s="643"/>
      <c r="J38" s="403" t="s">
        <v>96</v>
      </c>
      <c r="K38" s="32"/>
      <c r="L38" s="638"/>
      <c r="M38" s="639"/>
      <c r="N38" s="639"/>
      <c r="O38" s="639"/>
      <c r="P38" s="639"/>
      <c r="Q38" s="640"/>
      <c r="R38" s="520"/>
    </row>
    <row r="39" spans="1:18">
      <c r="B39" s="644"/>
      <c r="C39" s="642"/>
      <c r="D39" s="642"/>
      <c r="E39" s="642"/>
      <c r="F39" s="642"/>
      <c r="G39" s="642"/>
      <c r="H39" s="643"/>
      <c r="J39" s="540" t="s">
        <v>230</v>
      </c>
      <c r="K39" s="540"/>
      <c r="L39" s="540"/>
      <c r="M39" s="540"/>
      <c r="N39" s="540"/>
      <c r="O39" s="541"/>
      <c r="P39" s="542"/>
      <c r="Q39" s="543"/>
    </row>
    <row r="40" spans="1:18">
      <c r="B40" s="644"/>
      <c r="C40" s="642"/>
      <c r="D40" s="642"/>
      <c r="E40" s="642"/>
      <c r="F40" s="642"/>
      <c r="G40" s="642"/>
      <c r="H40" s="643"/>
      <c r="O40" s="168"/>
      <c r="P40" s="167"/>
      <c r="Q40" s="169"/>
    </row>
    <row r="41" spans="1:18">
      <c r="B41" s="644"/>
      <c r="C41" s="642"/>
      <c r="D41" s="642"/>
      <c r="E41" s="642"/>
      <c r="F41" s="642"/>
      <c r="G41" s="642"/>
      <c r="H41" s="643"/>
      <c r="O41" s="168"/>
      <c r="P41" s="167"/>
      <c r="Q41" s="169"/>
    </row>
    <row r="42" spans="1:18">
      <c r="B42" s="644"/>
      <c r="C42" s="642"/>
      <c r="D42" s="642"/>
      <c r="E42" s="642"/>
      <c r="F42" s="642"/>
      <c r="G42" s="642"/>
      <c r="H42" s="643"/>
      <c r="O42" s="168"/>
      <c r="P42" s="167"/>
      <c r="Q42" s="169"/>
    </row>
    <row r="43" spans="1:18">
      <c r="B43" s="644"/>
      <c r="C43" s="642"/>
      <c r="D43" s="642"/>
      <c r="E43" s="642"/>
      <c r="F43" s="642"/>
      <c r="G43" s="642"/>
      <c r="H43" s="643"/>
      <c r="O43" s="168"/>
      <c r="P43" s="167"/>
      <c r="Q43" s="169"/>
    </row>
    <row r="44" spans="1:18">
      <c r="B44" s="644"/>
      <c r="C44" s="642"/>
      <c r="D44" s="642"/>
      <c r="E44" s="642"/>
      <c r="F44" s="642"/>
      <c r="G44" s="642"/>
      <c r="H44" s="643"/>
      <c r="O44" s="168"/>
      <c r="P44" s="167"/>
      <c r="Q44" s="169"/>
    </row>
    <row r="45" spans="1:18">
      <c r="B45" s="644"/>
      <c r="C45" s="642"/>
      <c r="D45" s="642"/>
      <c r="E45" s="642"/>
      <c r="F45" s="642"/>
      <c r="G45" s="642"/>
      <c r="H45" s="643"/>
      <c r="I45" s="25"/>
      <c r="O45" s="168"/>
      <c r="P45" s="167"/>
      <c r="Q45" s="169"/>
    </row>
    <row r="46" spans="1:18" ht="230.25" customHeight="1">
      <c r="B46" s="645"/>
      <c r="C46" s="646"/>
      <c r="D46" s="646"/>
      <c r="E46" s="646"/>
      <c r="F46" s="646"/>
      <c r="G46" s="646"/>
      <c r="H46" s="647"/>
      <c r="I46" s="25"/>
    </row>
    <row r="47" spans="1:18">
      <c r="A47" s="46"/>
      <c r="C47" s="25"/>
      <c r="D47" s="25"/>
      <c r="E47" s="25"/>
      <c r="F47" s="25"/>
      <c r="G47" s="25"/>
      <c r="H47" s="25"/>
      <c r="I47" s="25"/>
    </row>
    <row r="48" spans="1:18">
      <c r="I48" s="25"/>
    </row>
  </sheetData>
  <mergeCells count="29">
    <mergeCell ref="B27:H46"/>
    <mergeCell ref="B1:D1"/>
    <mergeCell ref="F1:H1"/>
    <mergeCell ref="J1:L1"/>
    <mergeCell ref="L16:P16"/>
    <mergeCell ref="L17:Q17"/>
    <mergeCell ref="O2:Q2"/>
    <mergeCell ref="O1:Q1"/>
    <mergeCell ref="L18:Q18"/>
    <mergeCell ref="L19:Q19"/>
    <mergeCell ref="L31:Q31"/>
    <mergeCell ref="L20:Q20"/>
    <mergeCell ref="L21:Q21"/>
    <mergeCell ref="L22:Q22"/>
    <mergeCell ref="L23:Q23"/>
    <mergeCell ref="L24:Q24"/>
    <mergeCell ref="L25:Q25"/>
    <mergeCell ref="L26:Q26"/>
    <mergeCell ref="L27:Q27"/>
    <mergeCell ref="L28:Q28"/>
    <mergeCell ref="L29:Q29"/>
    <mergeCell ref="L30:Q30"/>
    <mergeCell ref="L32:Q32"/>
    <mergeCell ref="L33:Q33"/>
    <mergeCell ref="L38:Q38"/>
    <mergeCell ref="L34:Q34"/>
    <mergeCell ref="L35:Q35"/>
    <mergeCell ref="L36:Q36"/>
    <mergeCell ref="L37:Q37"/>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2"/>
  <sheetViews>
    <sheetView workbookViewId="0">
      <selection activeCell="B64" sqref="B64"/>
    </sheetView>
  </sheetViews>
  <sheetFormatPr baseColWidth="10" defaultColWidth="11.5703125" defaultRowHeight="12.75"/>
  <cols>
    <col min="1" max="1" width="3" customWidth="1"/>
    <col min="2" max="2" width="22.140625" customWidth="1"/>
    <col min="3" max="3" width="23.7109375" customWidth="1"/>
    <col min="4" max="4" width="36.140625" customWidth="1"/>
  </cols>
  <sheetData>
    <row r="1" spans="2:3">
      <c r="B1" s="49"/>
    </row>
    <row r="2" spans="2:3" ht="16.5" thickBot="1">
      <c r="B2" s="423" t="s">
        <v>3</v>
      </c>
    </row>
    <row r="3" spans="2:3" ht="13.5" thickBot="1">
      <c r="B3" s="420" t="s">
        <v>168</v>
      </c>
      <c r="C3" s="421" t="s">
        <v>169</v>
      </c>
    </row>
    <row r="4" spans="2:3">
      <c r="B4" s="525">
        <f>IF(DATE(YEAR(B_Year),1,1)&lt;B_Year,DATE(YEAR(B_Year)+1,1,1),DATE(YEAR(B_Year),1,1))</f>
        <v>42369</v>
      </c>
      <c r="C4" s="457" t="s">
        <v>162</v>
      </c>
    </row>
    <row r="5" spans="2:3">
      <c r="B5" s="525">
        <f>IF(DATE(YEAR(B_Year),1,6)&lt;B_Year,DATE(YEAR(B_Year)+1,1,6),DATE(YEAR(B_Year),1,6))</f>
        <v>42374</v>
      </c>
      <c r="C5" s="458" t="s">
        <v>170</v>
      </c>
    </row>
    <row r="6" spans="2:3">
      <c r="B6" s="526">
        <f>IF(Karfreitag(YEAR(B_Year))&lt;B_Year,Karfreitag(YEAR(B_Year)+1),Karfreitag(YEAR(B_Year)))</f>
        <v>42469</v>
      </c>
      <c r="C6" s="458" t="s">
        <v>153</v>
      </c>
    </row>
    <row r="7" spans="2:3">
      <c r="B7" s="526">
        <f>IF(OsterSon(YEAR(B_Year))&lt;B_Year,OsterSon(YEAR(B_Year)+1),OsterSon(YEAR(B_Year)))</f>
        <v>42471</v>
      </c>
      <c r="C7" s="458" t="s">
        <v>63</v>
      </c>
    </row>
    <row r="8" spans="2:3">
      <c r="B8" s="526">
        <f>IF(OsterMon(YEAR(B_Year))&lt;B_Year,OsterMon(YEAR(B_Year)+1),OsterMon(YEAR(B_Year)))</f>
        <v>42472</v>
      </c>
      <c r="C8" s="458" t="s">
        <v>154</v>
      </c>
    </row>
    <row r="9" spans="2:3">
      <c r="B9" s="525">
        <f>IF(DATE(YEAR(B_Year),5,1)&lt;B_Year,DATE(YEAR(B_Year)+1,5,1),DATE(YEAR(B_Year),5,1))</f>
        <v>42490</v>
      </c>
      <c r="C9" s="458" t="s">
        <v>157</v>
      </c>
    </row>
    <row r="10" spans="2:3">
      <c r="B10" s="526">
        <f>IF(Himmelfahrt(YEAR(B_Year))&lt;B_Year,Himmelfahrt(YEAR(B_Year)+1),Himmelfahrt(YEAR(B_Year)))</f>
        <v>42510</v>
      </c>
      <c r="C10" s="458" t="s">
        <v>155</v>
      </c>
    </row>
    <row r="11" spans="2:3">
      <c r="B11" s="526">
        <f>IF(PfingstSon(YEAR(B_Year))&lt;B_Year,PfingstSon(YEAR(B_Year)+1),PfingstSon(YEAR(B_Year)))</f>
        <v>42520</v>
      </c>
      <c r="C11" s="458" t="s">
        <v>64</v>
      </c>
    </row>
    <row r="12" spans="2:3">
      <c r="B12" s="526">
        <f>IF(PfingstMon(YEAR(B_Year))&lt;B_Year,PfingstMon(YEAR(B_Year)+1),PfingstMon(YEAR(B_Year)))</f>
        <v>42521</v>
      </c>
      <c r="C12" s="458" t="s">
        <v>156</v>
      </c>
    </row>
    <row r="13" spans="2:3">
      <c r="B13" s="526">
        <f>IF(Fronleichnam(YEAR(B_Year))&lt;B_Year,Fronleichnam(YEAR(B_Year)+1),Fronleichnam(YEAR(B_Year)))</f>
        <v>42531</v>
      </c>
      <c r="C13" s="458" t="s">
        <v>171</v>
      </c>
    </row>
    <row r="14" spans="2:3">
      <c r="B14" s="525">
        <f>IF(DATE(YEAR(B_Year),10,3)&lt;B_Year,DATE(YEAR(B_Year)+1,10,3),DATE(YEAR(B_Year),10,3))</f>
        <v>42645</v>
      </c>
      <c r="C14" s="458" t="s">
        <v>158</v>
      </c>
    </row>
    <row r="15" spans="2:3">
      <c r="B15" s="525">
        <f>IF(DATE(YEAR(B_Year),11,1)&lt;B_Year,DATE(YEAR(B_Year)+1,11,1),DATE(YEAR(B_Year),11,1))</f>
        <v>42674</v>
      </c>
      <c r="C15" s="458" t="s">
        <v>159</v>
      </c>
    </row>
    <row r="16" spans="2:3">
      <c r="B16" s="525">
        <f>IF(DATE(YEAR(B_Year),12,25)&lt;B_Year,DATE(YEAR(B_Year)+1,12,25),DATE(YEAR(B_Year),12,25))</f>
        <v>42728</v>
      </c>
      <c r="C16" s="458" t="s">
        <v>160</v>
      </c>
    </row>
    <row r="17" spans="2:4" ht="13.5" thickBot="1">
      <c r="B17" s="527">
        <f>IF(DATE(YEAR(B_Year),12,26)&lt;B_Year,DATE(YEAR(B_Year)+1,12,26),DATE(YEAR(B_Year),12,26))</f>
        <v>42729</v>
      </c>
      <c r="C17" s="459" t="s">
        <v>161</v>
      </c>
    </row>
    <row r="18" spans="2:4">
      <c r="B18" s="455"/>
      <c r="C18" s="456"/>
    </row>
    <row r="20" spans="2:4" ht="16.5" thickBot="1">
      <c r="B20" s="423" t="s">
        <v>4</v>
      </c>
    </row>
    <row r="21" spans="2:4" ht="13.5" thickBot="1">
      <c r="B21" s="420" t="s">
        <v>7</v>
      </c>
      <c r="C21" s="422" t="s">
        <v>6</v>
      </c>
      <c r="D21" s="421" t="s">
        <v>169</v>
      </c>
    </row>
    <row r="22" spans="2:4">
      <c r="B22" s="528">
        <v>42360</v>
      </c>
      <c r="C22" s="528">
        <v>42371</v>
      </c>
      <c r="D22" s="417" t="s">
        <v>5</v>
      </c>
    </row>
    <row r="23" spans="2:4">
      <c r="B23" s="529">
        <v>42423</v>
      </c>
      <c r="C23" s="530">
        <v>42427</v>
      </c>
      <c r="D23" s="418" t="s">
        <v>65</v>
      </c>
    </row>
    <row r="24" spans="2:4">
      <c r="B24" s="529">
        <v>42465</v>
      </c>
      <c r="C24" s="530">
        <v>42477</v>
      </c>
      <c r="D24" s="418" t="s">
        <v>66</v>
      </c>
    </row>
    <row r="25" spans="2:4">
      <c r="B25" s="529">
        <v>42522</v>
      </c>
      <c r="C25" s="530">
        <v>42533</v>
      </c>
      <c r="D25" s="418" t="s">
        <v>67</v>
      </c>
    </row>
    <row r="26" spans="2:4">
      <c r="B26" s="529">
        <v>42577</v>
      </c>
      <c r="C26" s="530">
        <v>42619</v>
      </c>
      <c r="D26" s="418" t="s">
        <v>68</v>
      </c>
    </row>
    <row r="27" spans="2:4">
      <c r="B27" s="529">
        <v>42673</v>
      </c>
      <c r="C27" s="530">
        <v>42679</v>
      </c>
      <c r="D27" s="418" t="s">
        <v>69</v>
      </c>
    </row>
    <row r="28" spans="2:4">
      <c r="B28" s="529">
        <v>42726</v>
      </c>
      <c r="C28" s="530">
        <v>42743</v>
      </c>
      <c r="D28" s="418" t="s">
        <v>5</v>
      </c>
    </row>
    <row r="29" spans="2:4">
      <c r="B29" s="529"/>
      <c r="C29" s="530"/>
      <c r="D29" s="418"/>
    </row>
    <row r="30" spans="2:4">
      <c r="B30" s="529"/>
      <c r="C30" s="530"/>
      <c r="D30" s="418"/>
    </row>
    <row r="31" spans="2:4">
      <c r="B31" s="529"/>
      <c r="C31" s="530"/>
      <c r="D31" s="418"/>
    </row>
    <row r="32" spans="2:4">
      <c r="B32" s="531"/>
      <c r="C32" s="532"/>
      <c r="D32" s="419"/>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4 B5:B1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47625</xdr:colOff>
                    <xdr:row>18</xdr:row>
                    <xdr:rowOff>142875</xdr:rowOff>
                  </from>
                  <to>
                    <xdr:col>3</xdr:col>
                    <xdr:colOff>2381250</xdr:colOff>
                    <xdr:row>19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Q30"/>
  <sheetViews>
    <sheetView showGridLines="0" workbookViewId="0">
      <selection activeCell="M21" sqref="M21"/>
    </sheetView>
  </sheetViews>
  <sheetFormatPr baseColWidth="10" defaultColWidth="11.42578125" defaultRowHeight="12.75"/>
  <cols>
    <col min="1" max="1" width="10.42578125" style="189" customWidth="1"/>
    <col min="2" max="2" width="5.28515625" style="189" customWidth="1"/>
    <col min="3" max="3" width="6.7109375" style="189" customWidth="1"/>
    <col min="4" max="4" width="5.28515625" style="189" customWidth="1"/>
    <col min="5" max="5" width="6.7109375" style="189" customWidth="1"/>
    <col min="6" max="6" width="9.140625" style="189" bestFit="1" customWidth="1"/>
    <col min="7" max="7" width="6.5703125" style="189" customWidth="1"/>
    <col min="8" max="8" width="12.7109375" style="189" customWidth="1"/>
    <col min="9" max="9" width="6.5703125" style="189" customWidth="1"/>
    <col min="10" max="10" width="8.5703125" style="189" customWidth="1"/>
    <col min="11" max="11" width="6.5703125" style="189" customWidth="1"/>
    <col min="12" max="12" width="7.7109375" style="189" customWidth="1"/>
    <col min="13" max="13" width="7.85546875" style="189" bestFit="1" customWidth="1"/>
    <col min="14" max="14" width="5.7109375" style="189" customWidth="1"/>
    <col min="15" max="15" width="6.85546875" style="189" bestFit="1" customWidth="1"/>
    <col min="16" max="16" width="5.42578125" style="189" bestFit="1" customWidth="1"/>
    <col min="17" max="17" width="7.42578125" style="189" customWidth="1"/>
    <col min="18" max="18" width="1.7109375" style="189" customWidth="1"/>
    <col min="19" max="19" width="8.42578125" style="189" customWidth="1"/>
    <col min="20" max="20" width="7.28515625" style="189" customWidth="1"/>
    <col min="21" max="21" width="5.85546875" style="189" bestFit="1" customWidth="1"/>
    <col min="22" max="23" width="4.7109375" style="189" customWidth="1"/>
    <col min="24" max="24" width="7.140625" style="189" customWidth="1"/>
    <col min="25" max="25" width="8.140625" style="189" customWidth="1"/>
    <col min="26" max="16384" width="11.42578125" style="189"/>
  </cols>
  <sheetData>
    <row r="1" spans="1:16">
      <c r="A1" s="194" t="s">
        <v>97</v>
      </c>
      <c r="B1" s="195" t="str">
        <f>B_PersonName</f>
        <v>Mustermann</v>
      </c>
      <c r="D1" s="195"/>
      <c r="F1" s="196" t="s">
        <v>98</v>
      </c>
      <c r="G1" s="189" t="str">
        <f>B_Department</f>
        <v>Siemens</v>
      </c>
    </row>
    <row r="2" spans="1:16" ht="13.5" thickBot="1">
      <c r="A2" s="449" t="str">
        <f ca="1">CELL("filename",A2)</f>
        <v>D:\_pdata\GLAZ\andi\[vGlaz2020.xlsm]Übersicht</v>
      </c>
      <c r="B2" s="197"/>
      <c r="D2" s="197"/>
      <c r="K2" s="197"/>
    </row>
    <row r="3" spans="1:16" ht="14.25" thickTop="1" thickBot="1">
      <c r="A3" s="450">
        <f>B_Year</f>
        <v>42369</v>
      </c>
      <c r="B3" s="450" t="s">
        <v>146</v>
      </c>
      <c r="C3" s="663">
        <f>Arbeitszeit!xJahrEnd</f>
        <v>42734</v>
      </c>
      <c r="D3" s="664"/>
      <c r="E3" s="198"/>
      <c r="K3" s="199"/>
    </row>
    <row r="4" spans="1:16" s="448" customFormat="1" ht="27.75" customHeight="1" thickTop="1">
      <c r="A4" s="454" t="s">
        <v>182</v>
      </c>
      <c r="B4" s="451" t="s">
        <v>61</v>
      </c>
      <c r="C4" s="452" t="s">
        <v>8</v>
      </c>
      <c r="D4" s="452" t="s">
        <v>10</v>
      </c>
      <c r="E4" s="451" t="s">
        <v>9</v>
      </c>
      <c r="F4" s="451" t="s">
        <v>62</v>
      </c>
      <c r="G4" s="451" t="s">
        <v>106</v>
      </c>
      <c r="H4" s="453" t="s">
        <v>107</v>
      </c>
      <c r="I4" s="453" t="s">
        <v>108</v>
      </c>
      <c r="J4" s="451" t="str">
        <f>Arbeitszeit!AD4</f>
        <v>&gt; 10 Std</v>
      </c>
      <c r="K4" s="451" t="s">
        <v>183</v>
      </c>
      <c r="L4" s="453" t="s">
        <v>11</v>
      </c>
      <c r="M4" s="451" t="s">
        <v>12</v>
      </c>
      <c r="N4" s="451" t="s">
        <v>117</v>
      </c>
      <c r="O4" s="451" t="s">
        <v>116</v>
      </c>
    </row>
    <row r="5" spans="1:16">
      <c r="A5" s="447">
        <f>xJahr-1</f>
        <v>42368</v>
      </c>
      <c r="B5" s="200"/>
      <c r="C5" s="201"/>
      <c r="D5" s="200"/>
      <c r="E5" s="202"/>
      <c r="F5" s="203"/>
      <c r="G5" s="203"/>
      <c r="H5" s="203"/>
      <c r="I5" s="203"/>
      <c r="J5" s="204"/>
      <c r="K5" s="201"/>
      <c r="L5" s="203"/>
      <c r="M5" s="201">
        <f>A21</f>
        <v>0</v>
      </c>
      <c r="N5" s="206"/>
      <c r="O5" s="206"/>
    </row>
    <row r="6" spans="1:16">
      <c r="A6" s="447">
        <f>xJahr</f>
        <v>42369</v>
      </c>
      <c r="B6" s="207">
        <f>C6/B_WorkTime</f>
        <v>0</v>
      </c>
      <c r="C6" s="205">
        <f>SUMIF(R_Monat,$A6,R_Soll)</f>
        <v>0</v>
      </c>
      <c r="D6" s="207">
        <f>E6/B_WorkTime</f>
        <v>0</v>
      </c>
      <c r="E6" s="205">
        <f>SUMIF(R_Monat,$A6,R_Ist)</f>
        <v>0</v>
      </c>
      <c r="F6" s="205">
        <f>SUMIF(R_Monat,$A6,R_ArbDiff)</f>
        <v>0</v>
      </c>
      <c r="G6" s="205">
        <f>IF(C6&gt;E6,E6,C6)</f>
        <v>0</v>
      </c>
      <c r="H6" s="205">
        <f t="shared" ref="H6:H17" si="0">IF(F6&gt;0,F6,0)</f>
        <v>0</v>
      </c>
      <c r="I6" s="205">
        <f>IF(F6&lt;0,F6,0)</f>
        <v>0</v>
      </c>
      <c r="J6" s="208">
        <f>SUMIF(R_Monat,$A6,R_ArbMax)</f>
        <v>0</v>
      </c>
      <c r="K6" s="205">
        <f t="shared" ref="K6:K17" si="1">SUMIF(R_Monat,$A6,R_Korrekt)</f>
        <v>0</v>
      </c>
      <c r="L6" s="205">
        <f t="shared" ref="L6:L17" si="2">F6+J6</f>
        <v>0</v>
      </c>
      <c r="M6" s="205">
        <f t="shared" ref="M6:M17" si="3">M5+F6-K6</f>
        <v>0</v>
      </c>
      <c r="N6" s="209">
        <f>SUMIF(R_Monat,$A6,R_Krank)</f>
        <v>0</v>
      </c>
      <c r="O6" s="209">
        <f>SUMIF(R_Monat,$A6,R_Urlaub)</f>
        <v>0</v>
      </c>
    </row>
    <row r="7" spans="1:16">
      <c r="A7" s="447">
        <f>DATE(YEAR(A6),MONTH(A6)+1,1)</f>
        <v>42400</v>
      </c>
      <c r="B7" s="207">
        <f t="shared" ref="B7:D17" si="4">C7/B_WorkTime</f>
        <v>0</v>
      </c>
      <c r="C7" s="205">
        <f t="shared" ref="C7:C17" si="5">SUMIF(R_Monat,$A7,R_Soll)</f>
        <v>0</v>
      </c>
      <c r="D7" s="207">
        <f t="shared" si="4"/>
        <v>0</v>
      </c>
      <c r="E7" s="205">
        <f t="shared" ref="E7:E17" si="6">SUMIF(R_Monat,$A7,R_Ist)</f>
        <v>0</v>
      </c>
      <c r="F7" s="205">
        <f t="shared" ref="F7:F17" si="7">SUMIF(R_Monat,$A7,R_ArbDiff)</f>
        <v>0</v>
      </c>
      <c r="G7" s="205">
        <f t="shared" ref="G7:G17" si="8">IF(C7&gt;E7,E7,C7)</f>
        <v>0</v>
      </c>
      <c r="H7" s="205">
        <f t="shared" si="0"/>
        <v>0</v>
      </c>
      <c r="I7" s="205">
        <f t="shared" ref="I7:I17" si="9">IF(F7&lt;0,F7,0)</f>
        <v>0</v>
      </c>
      <c r="J7" s="208">
        <f t="shared" ref="J7:J17" si="10">SUMIF(R_Monat,$A7,R_ArbMax)</f>
        <v>0</v>
      </c>
      <c r="K7" s="205">
        <f t="shared" si="1"/>
        <v>0</v>
      </c>
      <c r="L7" s="205">
        <f t="shared" si="2"/>
        <v>0</v>
      </c>
      <c r="M7" s="205">
        <f t="shared" si="3"/>
        <v>0</v>
      </c>
      <c r="N7" s="209">
        <f t="shared" ref="N7:N17" si="11">SUMIF(R_Monat,$A7,R_Krank)</f>
        <v>0</v>
      </c>
      <c r="O7" s="209">
        <f t="shared" ref="O7:O17" si="12">SUMIF(R_Monat,$A7,R_Urlaub)</f>
        <v>0</v>
      </c>
    </row>
    <row r="8" spans="1:16">
      <c r="A8" s="447">
        <f t="shared" ref="A8:A17" si="13">DATE(YEAR(A7),MONTH(A7)+1,1)</f>
        <v>42429</v>
      </c>
      <c r="B8" s="207">
        <f t="shared" si="4"/>
        <v>0</v>
      </c>
      <c r="C8" s="205">
        <f t="shared" si="5"/>
        <v>0</v>
      </c>
      <c r="D8" s="207">
        <f t="shared" si="4"/>
        <v>0</v>
      </c>
      <c r="E8" s="205">
        <f t="shared" si="6"/>
        <v>0</v>
      </c>
      <c r="F8" s="205">
        <f t="shared" si="7"/>
        <v>0</v>
      </c>
      <c r="G8" s="205">
        <f t="shared" si="8"/>
        <v>0</v>
      </c>
      <c r="H8" s="205">
        <f t="shared" si="0"/>
        <v>0</v>
      </c>
      <c r="I8" s="205">
        <f t="shared" si="9"/>
        <v>0</v>
      </c>
      <c r="J8" s="208">
        <f t="shared" si="10"/>
        <v>0</v>
      </c>
      <c r="K8" s="205">
        <f t="shared" si="1"/>
        <v>0</v>
      </c>
      <c r="L8" s="205">
        <f t="shared" si="2"/>
        <v>0</v>
      </c>
      <c r="M8" s="205">
        <f t="shared" si="3"/>
        <v>0</v>
      </c>
      <c r="N8" s="209">
        <f t="shared" si="11"/>
        <v>0</v>
      </c>
      <c r="O8" s="209">
        <f t="shared" si="12"/>
        <v>0</v>
      </c>
    </row>
    <row r="9" spans="1:16">
      <c r="A9" s="447">
        <f t="shared" si="13"/>
        <v>42460</v>
      </c>
      <c r="B9" s="207">
        <f t="shared" si="4"/>
        <v>0</v>
      </c>
      <c r="C9" s="205">
        <f t="shared" si="5"/>
        <v>0</v>
      </c>
      <c r="D9" s="207">
        <f t="shared" si="4"/>
        <v>0</v>
      </c>
      <c r="E9" s="205">
        <f t="shared" si="6"/>
        <v>0</v>
      </c>
      <c r="F9" s="205">
        <f t="shared" si="7"/>
        <v>0</v>
      </c>
      <c r="G9" s="205">
        <f t="shared" si="8"/>
        <v>0</v>
      </c>
      <c r="H9" s="205">
        <f t="shared" si="0"/>
        <v>0</v>
      </c>
      <c r="I9" s="205">
        <f t="shared" si="9"/>
        <v>0</v>
      </c>
      <c r="J9" s="208">
        <f t="shared" si="10"/>
        <v>0</v>
      </c>
      <c r="K9" s="205">
        <f t="shared" si="1"/>
        <v>0</v>
      </c>
      <c r="L9" s="205">
        <f t="shared" si="2"/>
        <v>0</v>
      </c>
      <c r="M9" s="205">
        <f t="shared" si="3"/>
        <v>0</v>
      </c>
      <c r="N9" s="209">
        <f t="shared" si="11"/>
        <v>0</v>
      </c>
      <c r="O9" s="209">
        <f t="shared" si="12"/>
        <v>0</v>
      </c>
    </row>
    <row r="10" spans="1:16">
      <c r="A10" s="447">
        <f t="shared" si="13"/>
        <v>42490</v>
      </c>
      <c r="B10" s="207">
        <f t="shared" si="4"/>
        <v>0</v>
      </c>
      <c r="C10" s="205">
        <f t="shared" si="5"/>
        <v>0</v>
      </c>
      <c r="D10" s="207">
        <f t="shared" si="4"/>
        <v>0</v>
      </c>
      <c r="E10" s="205">
        <f t="shared" si="6"/>
        <v>0</v>
      </c>
      <c r="F10" s="205">
        <f t="shared" si="7"/>
        <v>0</v>
      </c>
      <c r="G10" s="205">
        <f t="shared" si="8"/>
        <v>0</v>
      </c>
      <c r="H10" s="205">
        <f t="shared" si="0"/>
        <v>0</v>
      </c>
      <c r="I10" s="205">
        <f t="shared" si="9"/>
        <v>0</v>
      </c>
      <c r="J10" s="208">
        <f t="shared" si="10"/>
        <v>0</v>
      </c>
      <c r="K10" s="205">
        <f t="shared" si="1"/>
        <v>0</v>
      </c>
      <c r="L10" s="205">
        <f t="shared" si="2"/>
        <v>0</v>
      </c>
      <c r="M10" s="205">
        <f t="shared" si="3"/>
        <v>0</v>
      </c>
      <c r="N10" s="209">
        <f t="shared" si="11"/>
        <v>0</v>
      </c>
      <c r="O10" s="209">
        <f t="shared" si="12"/>
        <v>0</v>
      </c>
    </row>
    <row r="11" spans="1:16">
      <c r="A11" s="447">
        <f t="shared" si="13"/>
        <v>42521</v>
      </c>
      <c r="B11" s="207">
        <f t="shared" si="4"/>
        <v>0</v>
      </c>
      <c r="C11" s="205">
        <f t="shared" si="5"/>
        <v>0</v>
      </c>
      <c r="D11" s="207">
        <f t="shared" si="4"/>
        <v>0</v>
      </c>
      <c r="E11" s="205">
        <f t="shared" si="6"/>
        <v>0</v>
      </c>
      <c r="F11" s="205">
        <f t="shared" si="7"/>
        <v>0</v>
      </c>
      <c r="G11" s="205">
        <f t="shared" si="8"/>
        <v>0</v>
      </c>
      <c r="H11" s="205">
        <f t="shared" si="0"/>
        <v>0</v>
      </c>
      <c r="I11" s="205">
        <f t="shared" si="9"/>
        <v>0</v>
      </c>
      <c r="J11" s="208">
        <f t="shared" si="10"/>
        <v>0</v>
      </c>
      <c r="K11" s="205">
        <f t="shared" si="1"/>
        <v>0</v>
      </c>
      <c r="L11" s="205">
        <f t="shared" si="2"/>
        <v>0</v>
      </c>
      <c r="M11" s="205">
        <f t="shared" si="3"/>
        <v>0</v>
      </c>
      <c r="N11" s="209">
        <f t="shared" si="11"/>
        <v>0</v>
      </c>
      <c r="O11" s="209">
        <f t="shared" si="12"/>
        <v>0</v>
      </c>
    </row>
    <row r="12" spans="1:16">
      <c r="A12" s="447">
        <f t="shared" si="13"/>
        <v>42551</v>
      </c>
      <c r="B12" s="207">
        <f t="shared" si="4"/>
        <v>0</v>
      </c>
      <c r="C12" s="205">
        <f t="shared" si="5"/>
        <v>0</v>
      </c>
      <c r="D12" s="207">
        <f t="shared" si="4"/>
        <v>0</v>
      </c>
      <c r="E12" s="205">
        <f t="shared" si="6"/>
        <v>0</v>
      </c>
      <c r="F12" s="205">
        <f t="shared" si="7"/>
        <v>0</v>
      </c>
      <c r="G12" s="205">
        <f t="shared" si="8"/>
        <v>0</v>
      </c>
      <c r="H12" s="205">
        <f t="shared" si="0"/>
        <v>0</v>
      </c>
      <c r="I12" s="205">
        <f t="shared" si="9"/>
        <v>0</v>
      </c>
      <c r="J12" s="208">
        <f t="shared" si="10"/>
        <v>0</v>
      </c>
      <c r="K12" s="205">
        <f t="shared" si="1"/>
        <v>0</v>
      </c>
      <c r="L12" s="205">
        <f t="shared" si="2"/>
        <v>0</v>
      </c>
      <c r="M12" s="205">
        <f t="shared" si="3"/>
        <v>0</v>
      </c>
      <c r="N12" s="209">
        <f t="shared" si="11"/>
        <v>0</v>
      </c>
      <c r="O12" s="209">
        <f t="shared" si="12"/>
        <v>0</v>
      </c>
      <c r="P12" s="210"/>
    </row>
    <row r="13" spans="1:16">
      <c r="A13" s="447">
        <f t="shared" si="13"/>
        <v>42582</v>
      </c>
      <c r="B13" s="207">
        <f t="shared" si="4"/>
        <v>0</v>
      </c>
      <c r="C13" s="205">
        <f t="shared" si="5"/>
        <v>0</v>
      </c>
      <c r="D13" s="207">
        <f t="shared" si="4"/>
        <v>0</v>
      </c>
      <c r="E13" s="205">
        <f t="shared" si="6"/>
        <v>0</v>
      </c>
      <c r="F13" s="205">
        <f t="shared" si="7"/>
        <v>0</v>
      </c>
      <c r="G13" s="205">
        <f t="shared" si="8"/>
        <v>0</v>
      </c>
      <c r="H13" s="205">
        <f t="shared" si="0"/>
        <v>0</v>
      </c>
      <c r="I13" s="205">
        <f t="shared" si="9"/>
        <v>0</v>
      </c>
      <c r="J13" s="208">
        <f t="shared" si="10"/>
        <v>0</v>
      </c>
      <c r="K13" s="205">
        <f t="shared" si="1"/>
        <v>0</v>
      </c>
      <c r="L13" s="205">
        <f t="shared" si="2"/>
        <v>0</v>
      </c>
      <c r="M13" s="205">
        <f t="shared" si="3"/>
        <v>0</v>
      </c>
      <c r="N13" s="209">
        <f t="shared" si="11"/>
        <v>0</v>
      </c>
      <c r="O13" s="209">
        <f t="shared" si="12"/>
        <v>0</v>
      </c>
    </row>
    <row r="14" spans="1:16">
      <c r="A14" s="447">
        <f t="shared" si="13"/>
        <v>42613</v>
      </c>
      <c r="B14" s="207">
        <f t="shared" si="4"/>
        <v>0</v>
      </c>
      <c r="C14" s="205">
        <f t="shared" si="5"/>
        <v>0</v>
      </c>
      <c r="D14" s="207">
        <f t="shared" si="4"/>
        <v>0</v>
      </c>
      <c r="E14" s="205">
        <f t="shared" si="6"/>
        <v>0</v>
      </c>
      <c r="F14" s="205">
        <f t="shared" si="7"/>
        <v>0</v>
      </c>
      <c r="G14" s="205">
        <f t="shared" si="8"/>
        <v>0</v>
      </c>
      <c r="H14" s="205">
        <f t="shared" si="0"/>
        <v>0</v>
      </c>
      <c r="I14" s="205">
        <f t="shared" si="9"/>
        <v>0</v>
      </c>
      <c r="J14" s="208">
        <f t="shared" si="10"/>
        <v>0</v>
      </c>
      <c r="K14" s="205">
        <f t="shared" si="1"/>
        <v>0</v>
      </c>
      <c r="L14" s="205">
        <f t="shared" si="2"/>
        <v>0</v>
      </c>
      <c r="M14" s="205">
        <f t="shared" si="3"/>
        <v>0</v>
      </c>
      <c r="N14" s="209">
        <f t="shared" si="11"/>
        <v>0</v>
      </c>
      <c r="O14" s="209">
        <f t="shared" si="12"/>
        <v>0</v>
      </c>
    </row>
    <row r="15" spans="1:16">
      <c r="A15" s="447">
        <f t="shared" si="13"/>
        <v>42643</v>
      </c>
      <c r="B15" s="207">
        <f t="shared" si="4"/>
        <v>0</v>
      </c>
      <c r="C15" s="205">
        <f t="shared" si="5"/>
        <v>0</v>
      </c>
      <c r="D15" s="207">
        <f t="shared" si="4"/>
        <v>0</v>
      </c>
      <c r="E15" s="205">
        <f t="shared" si="6"/>
        <v>0</v>
      </c>
      <c r="F15" s="205">
        <f t="shared" si="7"/>
        <v>0</v>
      </c>
      <c r="G15" s="205">
        <f t="shared" si="8"/>
        <v>0</v>
      </c>
      <c r="H15" s="205">
        <f t="shared" si="0"/>
        <v>0</v>
      </c>
      <c r="I15" s="205">
        <f t="shared" si="9"/>
        <v>0</v>
      </c>
      <c r="J15" s="208">
        <f t="shared" si="10"/>
        <v>0</v>
      </c>
      <c r="K15" s="205">
        <f t="shared" si="1"/>
        <v>0</v>
      </c>
      <c r="L15" s="205">
        <f t="shared" si="2"/>
        <v>0</v>
      </c>
      <c r="M15" s="205">
        <f t="shared" si="3"/>
        <v>0</v>
      </c>
      <c r="N15" s="209">
        <f t="shared" si="11"/>
        <v>0</v>
      </c>
      <c r="O15" s="209">
        <f t="shared" si="12"/>
        <v>0</v>
      </c>
    </row>
    <row r="16" spans="1:16">
      <c r="A16" s="447">
        <f t="shared" si="13"/>
        <v>42674</v>
      </c>
      <c r="B16" s="207">
        <f t="shared" si="4"/>
        <v>0</v>
      </c>
      <c r="C16" s="205">
        <f t="shared" si="5"/>
        <v>0</v>
      </c>
      <c r="D16" s="207">
        <f t="shared" si="4"/>
        <v>0</v>
      </c>
      <c r="E16" s="205">
        <f t="shared" si="6"/>
        <v>0</v>
      </c>
      <c r="F16" s="205">
        <f t="shared" si="7"/>
        <v>0</v>
      </c>
      <c r="G16" s="205">
        <f t="shared" si="8"/>
        <v>0</v>
      </c>
      <c r="H16" s="205">
        <f t="shared" si="0"/>
        <v>0</v>
      </c>
      <c r="I16" s="205">
        <f t="shared" si="9"/>
        <v>0</v>
      </c>
      <c r="J16" s="208">
        <f t="shared" si="10"/>
        <v>0</v>
      </c>
      <c r="K16" s="205">
        <f t="shared" si="1"/>
        <v>0</v>
      </c>
      <c r="L16" s="205">
        <f t="shared" si="2"/>
        <v>0</v>
      </c>
      <c r="M16" s="205">
        <f t="shared" si="3"/>
        <v>0</v>
      </c>
      <c r="N16" s="209">
        <f t="shared" si="11"/>
        <v>0</v>
      </c>
      <c r="O16" s="209">
        <f t="shared" si="12"/>
        <v>0</v>
      </c>
    </row>
    <row r="17" spans="1:17">
      <c r="A17" s="447">
        <f t="shared" si="13"/>
        <v>42704</v>
      </c>
      <c r="B17" s="207">
        <f t="shared" si="4"/>
        <v>0</v>
      </c>
      <c r="C17" s="205">
        <f t="shared" si="5"/>
        <v>0</v>
      </c>
      <c r="D17" s="207">
        <f t="shared" si="4"/>
        <v>0</v>
      </c>
      <c r="E17" s="205">
        <f t="shared" si="6"/>
        <v>0</v>
      </c>
      <c r="F17" s="205">
        <f t="shared" si="7"/>
        <v>0</v>
      </c>
      <c r="G17" s="205">
        <f t="shared" si="8"/>
        <v>0</v>
      </c>
      <c r="H17" s="205">
        <f t="shared" si="0"/>
        <v>0</v>
      </c>
      <c r="I17" s="205">
        <f t="shared" si="9"/>
        <v>0</v>
      </c>
      <c r="J17" s="208">
        <f t="shared" si="10"/>
        <v>0</v>
      </c>
      <c r="K17" s="205">
        <f t="shared" si="1"/>
        <v>0</v>
      </c>
      <c r="L17" s="205">
        <f t="shared" si="2"/>
        <v>0</v>
      </c>
      <c r="M17" s="205">
        <f t="shared" si="3"/>
        <v>0</v>
      </c>
      <c r="N17" s="209">
        <f t="shared" si="11"/>
        <v>0</v>
      </c>
      <c r="O17" s="209">
        <f t="shared" si="12"/>
        <v>0</v>
      </c>
    </row>
    <row r="18" spans="1:17">
      <c r="A18" s="296" t="s">
        <v>165</v>
      </c>
      <c r="B18" s="212">
        <f>SUBTOTAL(9,B6:B17)</f>
        <v>0</v>
      </c>
      <c r="C18" s="213">
        <f>SUBTOTAL(9,C6:C17)</f>
        <v>0</v>
      </c>
      <c r="D18" s="212">
        <f>SUBTOTAL(9,D6:D17)</f>
        <v>0</v>
      </c>
      <c r="E18" s="213">
        <f>SUBTOTAL(9,E6:E17)</f>
        <v>0</v>
      </c>
      <c r="F18" s="213">
        <f t="shared" ref="F18:L18" si="14">SUBTOTAL(9,F6:F17)</f>
        <v>0</v>
      </c>
      <c r="G18" s="213">
        <f t="shared" si="14"/>
        <v>0</v>
      </c>
      <c r="H18" s="213">
        <f t="shared" si="14"/>
        <v>0</v>
      </c>
      <c r="I18" s="213">
        <f t="shared" si="14"/>
        <v>0</v>
      </c>
      <c r="J18" s="213">
        <f t="shared" si="14"/>
        <v>0</v>
      </c>
      <c r="K18" s="213">
        <f>SUBTOTAL(9,K6:K17)</f>
        <v>0</v>
      </c>
      <c r="L18" s="213">
        <f t="shared" si="14"/>
        <v>0</v>
      </c>
      <c r="M18" s="213">
        <f>SUBTOTAL(1,M6:M17)</f>
        <v>0</v>
      </c>
      <c r="N18" s="214">
        <f>SUBTOTAL(9,N6:N17)</f>
        <v>0</v>
      </c>
      <c r="O18" s="214">
        <f>SUBTOTAL(9,O6:O17)</f>
        <v>0</v>
      </c>
    </row>
    <row r="19" spans="1:17" ht="5.25" customHeight="1">
      <c r="A19" s="211"/>
      <c r="B19" s="211"/>
      <c r="D19" s="211"/>
      <c r="E19" s="215"/>
      <c r="G19" s="216"/>
      <c r="H19" s="216"/>
      <c r="I19" s="216"/>
      <c r="J19" s="216"/>
      <c r="K19" s="217"/>
      <c r="L19" s="215"/>
      <c r="M19" s="215"/>
      <c r="O19" s="218"/>
      <c r="P19" s="194"/>
      <c r="Q19" s="219"/>
    </row>
    <row r="20" spans="1:17" ht="12" customHeight="1">
      <c r="A20" s="441" t="s">
        <v>27</v>
      </c>
      <c r="B20" s="442"/>
      <c r="C20" s="443"/>
      <c r="D20" s="442"/>
      <c r="E20" s="444"/>
      <c r="G20" s="216"/>
      <c r="H20" s="441" t="s">
        <v>31</v>
      </c>
      <c r="I20" s="445"/>
      <c r="J20" s="445"/>
      <c r="K20" s="446"/>
      <c r="L20" s="444"/>
      <c r="M20" s="444"/>
      <c r="N20" s="443"/>
      <c r="O20" s="218"/>
      <c r="P20" s="194"/>
      <c r="Q20" s="219"/>
    </row>
    <row r="21" spans="1:17">
      <c r="A21" s="279">
        <f>B_Vorjahr_hhmm</f>
        <v>0</v>
      </c>
      <c r="B21" s="281" t="s">
        <v>37</v>
      </c>
      <c r="C21" s="282"/>
      <c r="D21" s="283"/>
      <c r="E21" s="284"/>
      <c r="G21" s="198"/>
      <c r="H21" s="293" t="str">
        <f>Arbeitszeit!H377</f>
        <v>Summe IST-Anwesenheit</v>
      </c>
      <c r="I21" s="294"/>
      <c r="J21" s="295"/>
      <c r="K21" s="295"/>
      <c r="L21" s="295"/>
      <c r="M21" s="220">
        <f>SUM(E6:E17)</f>
        <v>0</v>
      </c>
      <c r="N21" s="221"/>
      <c r="O21" s="194"/>
    </row>
    <row r="22" spans="1:17">
      <c r="A22" s="278">
        <f>B_UrlaubVJRest</f>
        <v>0</v>
      </c>
      <c r="B22" s="285" t="s">
        <v>111</v>
      </c>
      <c r="C22" s="286"/>
      <c r="D22" s="287"/>
      <c r="E22" s="288"/>
      <c r="G22" s="194"/>
      <c r="H22" s="293" t="str">
        <f>Arbeitszeit!H378</f>
        <v>Summe Soll-Arbeitszeit</v>
      </c>
      <c r="I22" s="282"/>
      <c r="J22" s="294"/>
      <c r="K22" s="294"/>
      <c r="L22" s="294"/>
      <c r="M22" s="220">
        <f>SUM(C6:C17)</f>
        <v>0</v>
      </c>
      <c r="N22" s="221"/>
      <c r="O22" s="222">
        <f>M21-M22</f>
        <v>0</v>
      </c>
      <c r="P22" s="189" t="s">
        <v>105</v>
      </c>
    </row>
    <row r="23" spans="1:17">
      <c r="B23" s="274"/>
      <c r="C23" s="274"/>
      <c r="D23" s="217"/>
      <c r="F23" s="275"/>
      <c r="G23" s="194"/>
      <c r="H23" s="293" t="s">
        <v>38</v>
      </c>
      <c r="I23" s="282"/>
      <c r="J23" s="294"/>
      <c r="K23" s="294"/>
      <c r="L23" s="294"/>
      <c r="M23" s="220">
        <f>SUM(K5:K17)</f>
        <v>0</v>
      </c>
      <c r="N23" s="221"/>
      <c r="O23" s="222">
        <f>SUM(J6:J17)</f>
        <v>0</v>
      </c>
      <c r="P23" s="277" t="str">
        <f>J4</f>
        <v>&gt; 10 Std</v>
      </c>
    </row>
    <row r="24" spans="1:17">
      <c r="A24" s="278">
        <f>B_UrlaubNeu</f>
        <v>30</v>
      </c>
      <c r="B24" s="289" t="s">
        <v>19</v>
      </c>
      <c r="C24" s="290"/>
      <c r="D24" s="283"/>
      <c r="E24" s="288"/>
      <c r="G24" s="194"/>
      <c r="H24" s="293" t="str">
        <f>Arbeitszeit!H380</f>
        <v>Gleitzeit-Saldo aktuell</v>
      </c>
      <c r="I24" s="282"/>
      <c r="J24" s="294"/>
      <c r="K24" s="294"/>
      <c r="L24" s="294"/>
      <c r="M24" s="220">
        <f>A21+M21-M22-M23</f>
        <v>0</v>
      </c>
      <c r="N24" s="221" t="str">
        <f>IF(M24&lt;0,"*","")</f>
        <v/>
      </c>
      <c r="O24" s="661">
        <f>M24/B_WorkTime</f>
        <v>0</v>
      </c>
      <c r="P24" s="662"/>
    </row>
    <row r="25" spans="1:17">
      <c r="C25" s="276"/>
      <c r="D25" s="217"/>
      <c r="H25" s="293" t="str">
        <f>Arbeitszeit!B380</f>
        <v>Krankheitstage</v>
      </c>
      <c r="I25" s="282"/>
      <c r="J25" s="294"/>
      <c r="K25" s="294"/>
      <c r="L25" s="294"/>
      <c r="M25" s="223">
        <f>SUM(N6:N17)</f>
        <v>0</v>
      </c>
      <c r="N25" s="221"/>
      <c r="O25" s="194"/>
    </row>
    <row r="26" spans="1:17">
      <c r="A26" s="278">
        <f>SUM(B6:B17)</f>
        <v>0</v>
      </c>
      <c r="B26" s="291" t="s">
        <v>29</v>
      </c>
      <c r="C26" s="287"/>
      <c r="D26" s="287"/>
      <c r="E26" s="288"/>
      <c r="G26" s="217"/>
      <c r="H26" s="293" t="str">
        <f>Arbeitszeit!H381</f>
        <v>genommene Urlaubstage</v>
      </c>
      <c r="I26" s="282"/>
      <c r="J26" s="294"/>
      <c r="K26" s="294"/>
      <c r="L26" s="294"/>
      <c r="M26" s="223">
        <f>SUM(O6:O17)</f>
        <v>0</v>
      </c>
      <c r="N26" s="221"/>
    </row>
    <row r="27" spans="1:17">
      <c r="A27" s="280">
        <f>IF(SUM(E6:E17)&gt;0,SUM(E6:E17) / A26,0)</f>
        <v>0</v>
      </c>
      <c r="B27" s="285" t="s">
        <v>30</v>
      </c>
      <c r="C27" s="292"/>
      <c r="D27" s="287"/>
      <c r="E27" s="288"/>
      <c r="H27" s="293" t="s">
        <v>114</v>
      </c>
      <c r="I27" s="282"/>
      <c r="J27" s="294"/>
      <c r="K27" s="294"/>
      <c r="L27" s="294"/>
      <c r="M27" s="223">
        <f>A22+B_UrlaubNeu-M26</f>
        <v>30</v>
      </c>
      <c r="N27" s="221"/>
      <c r="O27" s="194"/>
    </row>
    <row r="28" spans="1:17">
      <c r="B28" s="196"/>
      <c r="L28" s="216"/>
    </row>
    <row r="29" spans="1:17">
      <c r="I29" s="216"/>
      <c r="J29" s="216"/>
      <c r="K29" s="216"/>
      <c r="L29" s="216"/>
      <c r="O29" s="224"/>
    </row>
    <row r="30" spans="1:17">
      <c r="K30" s="225"/>
      <c r="N30" s="226"/>
    </row>
  </sheetData>
  <mergeCells count="2">
    <mergeCell ref="O24:P24"/>
    <mergeCell ref="C3:D3"/>
  </mergeCells>
  <phoneticPr fontId="0" type="noConversion"/>
  <conditionalFormatting sqref="P5:Q17">
    <cfRule type="expression" dxfId="59" priority="1" stopIfTrue="1">
      <formula>INDIRECT(ADDRESS(ROW(),COLUMN(xDay)))&gt;5</formula>
    </cfRule>
  </conditionalFormatting>
  <conditionalFormatting sqref="J6:J18">
    <cfRule type="cellIs" dxfId="58" priority="2" stopIfTrue="1" operator="greaterThan">
      <formula>0</formula>
    </cfRule>
  </conditionalFormatting>
  <conditionalFormatting sqref="F6:F18">
    <cfRule type="cellIs" dxfId="57" priority="3" stopIfTrue="1" operator="lessThan">
      <formula>0</formula>
    </cfRule>
  </conditionalFormatting>
  <conditionalFormatting sqref="O22">
    <cfRule type="cellIs" dxfId="56"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136</vt:i4>
      </vt:variant>
    </vt:vector>
  </HeadingPairs>
  <TitlesOfParts>
    <vt:vector size="147" baseType="lpstr">
      <vt:lpstr>Classic</vt:lpstr>
      <vt:lpstr>Kalender</vt:lpstr>
      <vt:lpstr>Transport</vt:lpstr>
      <vt:lpstr>Aufgaben</vt:lpstr>
      <vt:lpstr>Arbeitszeit</vt:lpstr>
      <vt:lpstr>Diagramm</vt:lpstr>
      <vt:lpstr>AufgabenM</vt:lpstr>
      <vt:lpstr>Cockpit</vt:lpstr>
      <vt:lpstr>Einstellungen</vt:lpstr>
      <vt:lpstr>Feiertage</vt:lpstr>
      <vt:lpstr>Übersicht</vt:lpstr>
      <vt:lpstr>A_Aufgaben</vt:lpstr>
      <vt:lpstr>A_Aufgabendatum</vt:lpstr>
      <vt:lpstr>A_Aufgabenende</vt:lpstr>
      <vt:lpstr>A_Endedatum</vt:lpstr>
      <vt:lpstr>A_Monatsende</vt:lpstr>
      <vt:lpstr>Arbeitszeit</vt:lpstr>
      <vt:lpstr>AufgabenM!B_Department</vt:lpstr>
      <vt:lpstr>B_Department</vt:lpstr>
      <vt:lpstr>B_MarkIstueberlauf</vt:lpstr>
      <vt:lpstr>B_OverTime</vt:lpstr>
      <vt:lpstr>B_Pause1Dauer</vt:lpstr>
      <vt:lpstr>B_Pause1Nach</vt:lpstr>
      <vt:lpstr>B_Pause2Dauer</vt:lpstr>
      <vt:lpstr>B_Pause2Nach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db_ZeitTTMMM</vt:lpstr>
      <vt:lpstr>Diagramm!Druckbereich</vt:lpstr>
      <vt:lpstr>AufgabenM!Drucktitel</vt:lpstr>
      <vt:lpstr>Classic!Drucktitel</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R_ArbDiff</vt:lpstr>
      <vt:lpstr>R_ArbMax</vt:lpstr>
      <vt:lpstr>R_Ist</vt:lpstr>
      <vt:lpstr>R_Kalender</vt:lpstr>
      <vt:lpstr>R_Korrekt</vt:lpstr>
      <vt:lpstr>R_Krank</vt:lpstr>
      <vt:lpstr>R_Monat</vt:lpstr>
      <vt:lpstr>R_Soll</vt:lpstr>
      <vt:lpstr>R_Urlaub</vt:lpstr>
      <vt:lpstr>xArbeitstag</vt:lpstr>
      <vt:lpstr>Cockpit!xcboAllg</vt:lpstr>
      <vt:lpstr>Cockpit!xcboKrk</vt:lpstr>
      <vt:lpstr>Cockpit!xcboUrl</vt:lpstr>
      <vt:lpstr>xcboValues</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Cockpit!xCurveHeader</vt:lpstr>
      <vt:lpstr>Cockpit!xCurveItem</vt:lpstr>
      <vt:lpstr>Cockpit!xCurveValue</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Cockpit!xGlazPosAkt</vt:lpstr>
      <vt:lpstr>Cockpit!xGlazPosNew</vt:lpstr>
      <vt:lpstr>Arbeitszeit!xJahr</vt:lpstr>
      <vt:lpstr>Übersicht!xJahr</vt:lpstr>
      <vt:lpstr>Arbeitszeit!xJahrEnd</vt:lpstr>
      <vt:lpstr>Arbeitszeit!xNoWorkTime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 (GS IT DE PLM PRO SOL EN)</cp:lastModifiedBy>
  <cp:lastPrinted>2009-07-03T06:08:48Z</cp:lastPrinted>
  <dcterms:created xsi:type="dcterms:W3CDTF">1998-12-01T06:37:17Z</dcterms:created>
  <dcterms:modified xsi:type="dcterms:W3CDTF">2019-12-17T14:51:33Z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ies>
</file>