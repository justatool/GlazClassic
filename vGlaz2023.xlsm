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F178F9A7-883D-41D8-968A-AD44D716EAB2}" xr6:coauthVersionLast="47" xr6:coauthVersionMax="47" xr10:uidLastSave="{00000000-0000-0000-0000-000000000000}"/>
  <bookViews>
    <workbookView xWindow="9855" yWindow="2985" windowWidth="27735" windowHeight="18390" tabRatio="662" activeTab="8"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 name="Infos Arbeitsort" sheetId="51" r:id="rId12"/>
  </sheets>
  <functionGroups builtInGroupCount="19"/>
  <definedNames>
    <definedName name="_xlnm._FilterDatabase" localSheetId="4" hidden="1">Arbeitszeit!$A$4:$BC$373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Aufgaben!$G$3:$AY$372</definedName>
    <definedName name="db_Aufgaben_Zeit">Aufgaben!$A$5:$A$372</definedName>
    <definedName name="db_AufgabenGes">Aufgaben!$A$3:$AY$373</definedName>
    <definedName name="db_Feiertag">Feiertage!$B$3:$C$17</definedName>
    <definedName name="db_Ferien">Feiertage!$B$21:$D$33</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Cockpit!$A$28:$A$400</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Einstellungen!$J$18:$S$39</definedName>
    <definedName name="g_NameAufgaben">Einstellungen!$J$18:$J$39</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Arbeitszeit!$AJ$6:$AJ$373</definedName>
    <definedName name="XcurveBasis" localSheetId="0">Classic!$S$5:$S$35</definedName>
    <definedName name="XcurveBasis" localSheetId="10">Übersicht!$G$6:$G$17</definedName>
    <definedName name="XcurveDiffMinus" localSheetId="4">Arbeitszeit!$AL$6:$AL$373</definedName>
    <definedName name="XcurveDiffMinus" localSheetId="0">Classic!$U$5:$U$35</definedName>
    <definedName name="XcurveDiffMinus" localSheetId="10">Übersicht!$I$6:$I$17</definedName>
    <definedName name="XcurveDiffOver" localSheetId="4">Arbeitszeit!$AD$6:$AD$373</definedName>
    <definedName name="XcurveDiffOver" localSheetId="0">Classic!$R$5:$R$35</definedName>
    <definedName name="XcurveDiffOver" localSheetId="10">Übersicht!$J$6:$J$17</definedName>
    <definedName name="XcurveDiffPlus" localSheetId="4">Arbeitszeit!$AK$6:$AK$373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8">Einstellungen!$H$5</definedName>
    <definedName name="xSaldo" localSheetId="4">Arbeitszeit!$V$380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97" i="38" l="1"/>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I8"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50"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T20" i="38"/>
  <c r="T19" i="38"/>
  <c r="T18" i="38"/>
  <c r="T17" i="38"/>
  <c r="T15" i="38"/>
  <c r="T14" i="38"/>
  <c r="T13" i="38"/>
  <c r="T12" i="38"/>
  <c r="T11" i="38"/>
  <c r="T10" i="38"/>
  <c r="T9" i="38"/>
  <c r="T8" i="38"/>
  <c r="T7" i="38"/>
  <c r="T6" i="38"/>
  <c r="I9" i="38"/>
  <c r="C390" i="38"/>
  <c r="A390" i="38" s="1"/>
  <c r="C389" i="38"/>
  <c r="A389" i="38" s="1"/>
  <c r="C388" i="38"/>
  <c r="A388" i="38" s="1"/>
  <c r="C387" i="38"/>
  <c r="A387" i="38" s="1"/>
  <c r="R4" i="47"/>
  <c r="Q4" i="47"/>
  <c r="P4" i="47"/>
  <c r="A396" i="38" l="1" a="1"/>
  <c r="A396" i="38" s="1"/>
  <c r="A397" i="38" a="1"/>
  <c r="A397" i="38" s="1"/>
  <c r="A394" i="38" a="1"/>
  <c r="A394" i="38" s="1"/>
  <c r="A395" i="38" a="1"/>
  <c r="A395" i="38" s="1"/>
  <c r="F397" i="38"/>
  <c r="F396" i="38"/>
  <c r="I13" i="38"/>
  <c r="A398" i="38" l="1"/>
  <c r="B395" i="38" s="1"/>
  <c r="J13" i="38"/>
  <c r="AH13" i="38"/>
  <c r="B397" i="38" l="1"/>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R10" i="38" l="1"/>
  <c r="R79" i="38"/>
  <c r="R330" i="38"/>
  <c r="R286" i="38"/>
  <c r="R68" i="38"/>
  <c r="R343" i="38"/>
  <c r="R339" i="38"/>
  <c r="R338" i="38"/>
  <c r="R254" i="38"/>
  <c r="R235" i="38"/>
  <c r="R56" i="38"/>
  <c r="R49" i="38"/>
  <c r="R21"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28" i="38"/>
  <c r="R105" i="38"/>
  <c r="R55" i="38"/>
  <c r="R38" i="38"/>
  <c r="R118" i="38"/>
  <c r="R62" i="38"/>
  <c r="R50"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U21" i="38" l="1"/>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I369" i="38" l="1"/>
  <c r="J369" i="38" s="1"/>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J11" i="24"/>
  <c r="J6" i="24" s="1"/>
  <c r="V379" i="38"/>
  <c r="J10" i="24"/>
  <c r="J17" i="24"/>
  <c r="V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5" i="48"/>
  <c r="B13" i="25"/>
  <c r="B12" i="25"/>
  <c r="B8" i="25"/>
  <c r="B10" i="25"/>
  <c r="B7" i="25"/>
  <c r="B11" i="25"/>
  <c r="B6" i="25"/>
  <c r="C4" i="50" l="1"/>
  <c r="C34" i="50" s="1"/>
  <c r="C51" i="50" s="1"/>
  <c r="D5" i="50"/>
  <c r="E5" i="50" s="1"/>
  <c r="F5" i="50" s="1"/>
  <c r="G5" i="50" s="1"/>
  <c r="H5" i="50" s="1"/>
  <c r="I5" i="50" s="1"/>
  <c r="J5" i="50" s="1"/>
  <c r="K5" i="50" s="1"/>
  <c r="L5" i="50" s="1"/>
  <c r="M5" i="50" s="1"/>
  <c r="N5" i="50" s="1"/>
  <c r="O5" i="50" s="1"/>
  <c r="P5" i="50" s="1"/>
  <c r="Q5" i="50" s="1"/>
  <c r="R5" i="50" s="1"/>
  <c r="S5" i="50" s="1"/>
  <c r="T5" i="50" s="1"/>
  <c r="U5" i="50" s="1"/>
  <c r="V5" i="50" s="1"/>
  <c r="W5" i="50" s="1"/>
  <c r="X5" i="50" s="1"/>
  <c r="Y5" i="50" s="1"/>
  <c r="Z5" i="50" s="1"/>
  <c r="AA5" i="50" s="1"/>
  <c r="AB5" i="50" s="1"/>
  <c r="AC5" i="50" s="1"/>
  <c r="AD5" i="50" s="1"/>
  <c r="AE5" i="50" s="1"/>
  <c r="AF5" i="50" s="1"/>
  <c r="AG5" i="50" s="1"/>
  <c r="A391" i="38"/>
  <c r="A7" i="47"/>
  <c r="AW15" i="38"/>
  <c r="AW14" i="38"/>
  <c r="R3" i="48"/>
  <c r="AT5" i="38"/>
  <c r="AS5" i="38"/>
  <c r="AC119" i="38"/>
  <c r="X262" i="38"/>
  <c r="X232" i="38"/>
  <c r="X174" i="38"/>
  <c r="AC241" i="38"/>
  <c r="X220" i="38"/>
  <c r="X217" i="38"/>
  <c r="X177" i="38"/>
  <c r="X19" i="38"/>
  <c r="AN3" i="7"/>
  <c r="AC250" i="38"/>
  <c r="B20" i="50"/>
  <c r="B49" i="50" s="1"/>
  <c r="AC243" i="38"/>
  <c r="AC85" i="38"/>
  <c r="J9" i="24"/>
  <c r="J13" i="24" s="1"/>
  <c r="B18" i="50"/>
  <c r="B47" i="50" s="1"/>
  <c r="AC103" i="38"/>
  <c r="AC343" i="38"/>
  <c r="AC233" i="38"/>
  <c r="AC65" i="38"/>
  <c r="B13" i="50"/>
  <c r="B42" i="50" s="1"/>
  <c r="A377" i="38"/>
  <c r="AO5" i="38" s="1"/>
  <c r="AC314" i="38"/>
  <c r="AC132" i="38"/>
  <c r="AC338" i="38"/>
  <c r="AC245" i="38"/>
  <c r="AC84" i="38"/>
  <c r="B9" i="50"/>
  <c r="B38" i="50" s="1"/>
  <c r="AC114" i="38"/>
  <c r="AC68" i="38"/>
  <c r="AC353" i="38"/>
  <c r="X12" i="38"/>
  <c r="X186" i="38"/>
  <c r="X123" i="38"/>
  <c r="A5" i="47"/>
  <c r="AV3" i="7"/>
  <c r="V382" i="38"/>
  <c r="X243" i="38"/>
  <c r="X315" i="38"/>
  <c r="X222" i="38"/>
  <c r="X296" i="38"/>
  <c r="B23" i="50"/>
  <c r="B52" i="50" s="1"/>
  <c r="B16" i="50"/>
  <c r="B45" i="50" s="1"/>
  <c r="B17" i="50"/>
  <c r="B46" i="50" s="1"/>
  <c r="B25" i="50"/>
  <c r="B54" i="50" s="1"/>
  <c r="X340" i="38"/>
  <c r="X64" i="38"/>
  <c r="X254" i="38"/>
  <c r="X105" i="38"/>
  <c r="X35" i="38"/>
  <c r="X280" i="38"/>
  <c r="X237" i="38"/>
  <c r="B6" i="50"/>
  <c r="B35" i="50" s="1"/>
  <c r="P3" i="7"/>
  <c r="X183" i="38"/>
  <c r="X190" i="38"/>
  <c r="X299" i="38"/>
  <c r="X365" i="38"/>
  <c r="X317" i="38"/>
  <c r="X286" i="38"/>
  <c r="X79" i="38"/>
  <c r="G55" i="24"/>
  <c r="AC55" i="24" s="1"/>
  <c r="B11" i="50"/>
  <c r="B40" i="50" s="1"/>
  <c r="AW11" i="38"/>
  <c r="AR3" i="7"/>
  <c r="B27" i="50"/>
  <c r="B56" i="50" s="1"/>
  <c r="AL3" i="7"/>
  <c r="AW370" i="38"/>
  <c r="AE370" i="38" s="1"/>
  <c r="T3" i="7"/>
  <c r="B15" i="50"/>
  <c r="B44" i="50" s="1"/>
  <c r="B19" i="50"/>
  <c r="B48" i="50" s="1"/>
  <c r="AW366" i="38"/>
  <c r="AE366" i="38" s="1"/>
  <c r="AP306" i="38"/>
  <c r="AW306" i="38"/>
  <c r="AE306" i="38" s="1"/>
  <c r="AW222" i="38"/>
  <c r="AE222" i="38" s="1"/>
  <c r="AW159" i="38"/>
  <c r="AE159" i="38" s="1"/>
  <c r="A40" i="48"/>
  <c r="A6" i="48"/>
  <c r="V5" i="48"/>
  <c r="AW369" i="38"/>
  <c r="AE369" i="38" s="1"/>
  <c r="AP238" i="38"/>
  <c r="AW238" i="38"/>
  <c r="AE238" i="38" s="1"/>
  <c r="AP266" i="38"/>
  <c r="AW265" i="38"/>
  <c r="AE265" i="38" s="1"/>
  <c r="AW121" i="38"/>
  <c r="AE121" i="38" s="1"/>
  <c r="AW339" i="38"/>
  <c r="AE339" i="38" s="1"/>
  <c r="AW8" i="38"/>
  <c r="AW241" i="38"/>
  <c r="AE241" i="38" s="1"/>
  <c r="AP325" i="38"/>
  <c r="AW325" i="38"/>
  <c r="AE325" i="38" s="1"/>
  <c r="AW295" i="38"/>
  <c r="AE295" i="38" s="1"/>
  <c r="AW282" i="38"/>
  <c r="AE282" i="38" s="1"/>
  <c r="AP193" i="38"/>
  <c r="AW192" i="38"/>
  <c r="AE192" i="38" s="1"/>
  <c r="AP156" i="38"/>
  <c r="AW153" i="38"/>
  <c r="AE153" i="38" s="1"/>
  <c r="AP58" i="38"/>
  <c r="AW57" i="38"/>
  <c r="AE57" i="38" s="1"/>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E85" i="38" s="1"/>
  <c r="AW115" i="38"/>
  <c r="AE115" i="38" s="1"/>
  <c r="AW343" i="38"/>
  <c r="AE343" i="38" s="1"/>
  <c r="AW9" i="38"/>
  <c r="C2" i="23"/>
  <c r="X3" i="7"/>
  <c r="AW148" i="38"/>
  <c r="AE148" i="38" s="1"/>
  <c r="AW17" i="38"/>
  <c r="B7" i="50"/>
  <c r="B36" i="50" s="1"/>
  <c r="AW358" i="38"/>
  <c r="AE358" i="38" s="1"/>
  <c r="AW270" i="38"/>
  <c r="AE270" i="38" s="1"/>
  <c r="AW247" i="38"/>
  <c r="AE247" i="38" s="1"/>
  <c r="AW133" i="38"/>
  <c r="AE133" i="38" s="1"/>
  <c r="AW34" i="38"/>
  <c r="AE34" i="38" s="1"/>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E347" i="38" s="1"/>
  <c r="AW340" i="38"/>
  <c r="AE340" i="38" s="1"/>
  <c r="AP246" i="38"/>
  <c r="AW246" i="38"/>
  <c r="AE246" i="38" s="1"/>
  <c r="AW87" i="38"/>
  <c r="AE87" i="38" s="1"/>
  <c r="AW102" i="38"/>
  <c r="AE102" i="38" s="1"/>
  <c r="AW117" i="38"/>
  <c r="AE117" i="38" s="1"/>
  <c r="AW151" i="38"/>
  <c r="AE151" i="38" s="1"/>
  <c r="AW186" i="38"/>
  <c r="AE186" i="38" s="1"/>
  <c r="AW294" i="38"/>
  <c r="AE294" i="38" s="1"/>
  <c r="AW314" i="38"/>
  <c r="AE314" i="38" s="1"/>
  <c r="AW71" i="38"/>
  <c r="AE71" i="38" s="1"/>
  <c r="AW21" i="38"/>
  <c r="AE21" i="38" s="1"/>
  <c r="AW45" i="38"/>
  <c r="AE45" i="38" s="1"/>
  <c r="AW98" i="38"/>
  <c r="AE98" i="38" s="1"/>
  <c r="AW127" i="38"/>
  <c r="AE127" i="38" s="1"/>
  <c r="AW140" i="38"/>
  <c r="AE140" i="38" s="1"/>
  <c r="AW203" i="38"/>
  <c r="AE203" i="38" s="1"/>
  <c r="AW188" i="38"/>
  <c r="AE188" i="38" s="1"/>
  <c r="AW322" i="38"/>
  <c r="AE322" i="38" s="1"/>
  <c r="AW334" i="38"/>
  <c r="AE334" i="38" s="1"/>
  <c r="AW277" i="38"/>
  <c r="AE277" i="38" s="1"/>
  <c r="AP277" i="38"/>
  <c r="AW272" i="38"/>
  <c r="AE272" i="38" s="1"/>
  <c r="AW263" i="38"/>
  <c r="AE263" i="38" s="1"/>
  <c r="AP263" i="38"/>
  <c r="AP227" i="38"/>
  <c r="AW227" i="38"/>
  <c r="AE227" i="38" s="1"/>
  <c r="AW225" i="38"/>
  <c r="AE225" i="38" s="1"/>
  <c r="AW226" i="38"/>
  <c r="AE226" i="38" s="1"/>
  <c r="AW224" i="38"/>
  <c r="AE224" i="38" s="1"/>
  <c r="AP221" i="38"/>
  <c r="AW221" i="38"/>
  <c r="AE221" i="38" s="1"/>
  <c r="AW220" i="38"/>
  <c r="AE220" i="38" s="1"/>
  <c r="AW218" i="38"/>
  <c r="AE218" i="38" s="1"/>
  <c r="AP214" i="38"/>
  <c r="AW213" i="38"/>
  <c r="AE213" i="38" s="1"/>
  <c r="AW214" i="38"/>
  <c r="AE214" i="38" s="1"/>
  <c r="AW162" i="38"/>
  <c r="AE162" i="38" s="1"/>
  <c r="AW164" i="38"/>
  <c r="AE164" i="38" s="1"/>
  <c r="AP164" i="38"/>
  <c r="AW160" i="38"/>
  <c r="AE160" i="38" s="1"/>
  <c r="AW149" i="38"/>
  <c r="AE149" i="38" s="1"/>
  <c r="AW365" i="38"/>
  <c r="AE365" i="38" s="1"/>
  <c r="AP367" i="38"/>
  <c r="AW367" i="38"/>
  <c r="AE367" i="38" s="1"/>
  <c r="AP360" i="38"/>
  <c r="AW360" i="38"/>
  <c r="AE360" i="38" s="1"/>
  <c r="AP292" i="38"/>
  <c r="AW292" i="38"/>
  <c r="AE292" i="38" s="1"/>
  <c r="AW286" i="38"/>
  <c r="AE286" i="38" s="1"/>
  <c r="AW290" i="38"/>
  <c r="AE290" i="38" s="1"/>
  <c r="AW287" i="38"/>
  <c r="AE287" i="38" s="1"/>
  <c r="AW291" i="38"/>
  <c r="AE291" i="38" s="1"/>
  <c r="AW285" i="38"/>
  <c r="AE285" i="38" s="1"/>
  <c r="AW284" i="38"/>
  <c r="AE284" i="38" s="1"/>
  <c r="AW283" i="38"/>
  <c r="AE283" i="38" s="1"/>
  <c r="AP285" i="38"/>
  <c r="AW271" i="38"/>
  <c r="AE271" i="38" s="1"/>
  <c r="AP271" i="38"/>
  <c r="AP253" i="38"/>
  <c r="AW248" i="38"/>
  <c r="AE248" i="38" s="1"/>
  <c r="AW253" i="38"/>
  <c r="AE253" i="38" s="1"/>
  <c r="AW207" i="38"/>
  <c r="AE207" i="38" s="1"/>
  <c r="AW206" i="38"/>
  <c r="AE206" i="38" s="1"/>
  <c r="AW208" i="38"/>
  <c r="AE208" i="38" s="1"/>
  <c r="AP208" i="38"/>
  <c r="AP62" i="38"/>
  <c r="AW58" i="38"/>
  <c r="AE58" i="38" s="1"/>
  <c r="AW60" i="38"/>
  <c r="AE60" i="38" s="1"/>
  <c r="AW59" i="38"/>
  <c r="AE59" i="38" s="1"/>
  <c r="AW119" i="38"/>
  <c r="AE119" i="38" s="1"/>
  <c r="AW135" i="38"/>
  <c r="AE135" i="38" s="1"/>
  <c r="AW163" i="38"/>
  <c r="AE163" i="38" s="1"/>
  <c r="AW181" i="38"/>
  <c r="AE181" i="38" s="1"/>
  <c r="AW185" i="38"/>
  <c r="AE185" i="38" s="1"/>
  <c r="AW310" i="38"/>
  <c r="AE310" i="38" s="1"/>
  <c r="AW311" i="38"/>
  <c r="AE311" i="38" s="1"/>
  <c r="AW337" i="38"/>
  <c r="AE337" i="38" s="1"/>
  <c r="AW348" i="38"/>
  <c r="AE348" i="38" s="1"/>
  <c r="AW69" i="38"/>
  <c r="AE69" i="38" s="1"/>
  <c r="AW52" i="38"/>
  <c r="AE52" i="38" s="1"/>
  <c r="AW73" i="38"/>
  <c r="AE73" i="38" s="1"/>
  <c r="AW62" i="38"/>
  <c r="AE62" i="38" s="1"/>
  <c r="AW39" i="38"/>
  <c r="AE39" i="38" s="1"/>
  <c r="AW82" i="38"/>
  <c r="AE82" i="38" s="1"/>
  <c r="AW235" i="38"/>
  <c r="AE235" i="38" s="1"/>
  <c r="AW217" i="38"/>
  <c r="AE217" i="38" s="1"/>
  <c r="AW281" i="38"/>
  <c r="AE281" i="38" s="1"/>
  <c r="AW252" i="38"/>
  <c r="AE252" i="38" s="1"/>
  <c r="AW194" i="38"/>
  <c r="AE194" i="38" s="1"/>
  <c r="AW297" i="38"/>
  <c r="AE297" i="38" s="1"/>
  <c r="AW346" i="38"/>
  <c r="AE346" i="38" s="1"/>
  <c r="AP333" i="38"/>
  <c r="AW333" i="38"/>
  <c r="AE333" i="38" s="1"/>
  <c r="AW332" i="38"/>
  <c r="AE332" i="38" s="1"/>
  <c r="AW329" i="38"/>
  <c r="AE329" i="38" s="1"/>
  <c r="AW328" i="38"/>
  <c r="AE328" i="38" s="1"/>
  <c r="AW296" i="38"/>
  <c r="AE296" i="38" s="1"/>
  <c r="AW320" i="38"/>
  <c r="AE320" i="38" s="1"/>
  <c r="AW304" i="38"/>
  <c r="AE304" i="38" s="1"/>
  <c r="AW305" i="38"/>
  <c r="AE305" i="38" s="1"/>
  <c r="AW268" i="38"/>
  <c r="AE268" i="38" s="1"/>
  <c r="AW269" i="38"/>
  <c r="AE269" i="38" s="1"/>
  <c r="AP269" i="38"/>
  <c r="AW264" i="38"/>
  <c r="AE264" i="38" s="1"/>
  <c r="AW254" i="38"/>
  <c r="AE254" i="38" s="1"/>
  <c r="AW255" i="38"/>
  <c r="AE255" i="38" s="1"/>
  <c r="AP255" i="38"/>
  <c r="AP195" i="38"/>
  <c r="AW193" i="38"/>
  <c r="AE193" i="38" s="1"/>
  <c r="AW195" i="38"/>
  <c r="AE195" i="38" s="1"/>
  <c r="AP189" i="38"/>
  <c r="AW189" i="38"/>
  <c r="AE189" i="38" s="1"/>
  <c r="AW177" i="38"/>
  <c r="AE177" i="38" s="1"/>
  <c r="AW184" i="38"/>
  <c r="AE184" i="38" s="1"/>
  <c r="AW179" i="38"/>
  <c r="AE179" i="38" s="1"/>
  <c r="AW187" i="38"/>
  <c r="AE187" i="38" s="1"/>
  <c r="AW176" i="38"/>
  <c r="AE176" i="38" s="1"/>
  <c r="AW183" i="38"/>
  <c r="AE183" i="38" s="1"/>
  <c r="AW180" i="38"/>
  <c r="AE180" i="38" s="1"/>
  <c r="AP174" i="38"/>
  <c r="AW172" i="38"/>
  <c r="AE172" i="38" s="1"/>
  <c r="AW169" i="38"/>
  <c r="AE169" i="38" s="1"/>
  <c r="AW168" i="38"/>
  <c r="AE168" i="38" s="1"/>
  <c r="AW170" i="38"/>
  <c r="AE170" i="38" s="1"/>
  <c r="AW100" i="38"/>
  <c r="AE100" i="38" s="1"/>
  <c r="AP100" i="38"/>
  <c r="AW64" i="38"/>
  <c r="AE64" i="38" s="1"/>
  <c r="AW99" i="38"/>
  <c r="AE99" i="38" s="1"/>
  <c r="AW84" i="38"/>
  <c r="AE84" i="38" s="1"/>
  <c r="AW88" i="38"/>
  <c r="AE88" i="38" s="1"/>
  <c r="AW104" i="38"/>
  <c r="AE104" i="38" s="1"/>
  <c r="AW154" i="38"/>
  <c r="AE154" i="38" s="1"/>
  <c r="AW165" i="38"/>
  <c r="AE165" i="38" s="1"/>
  <c r="AW182" i="38"/>
  <c r="AE182" i="38" s="1"/>
  <c r="AW299" i="38"/>
  <c r="AE299" i="38" s="1"/>
  <c r="AW307" i="38"/>
  <c r="AE307" i="38" s="1"/>
  <c r="AW342" i="38"/>
  <c r="AE342" i="38" s="1"/>
  <c r="AW355" i="38"/>
  <c r="AE355" i="38" s="1"/>
  <c r="AW37" i="38"/>
  <c r="AE37" i="38" s="1"/>
  <c r="AW49" i="38"/>
  <c r="AE49" i="38" s="1"/>
  <c r="AW7" i="38"/>
  <c r="AW22" i="38"/>
  <c r="AE22" i="38" s="1"/>
  <c r="AW61" i="38"/>
  <c r="AE61" i="38" s="1"/>
  <c r="AW130" i="38"/>
  <c r="AE130" i="38" s="1"/>
  <c r="AW174" i="38"/>
  <c r="AE174" i="38" s="1"/>
  <c r="AW273" i="38"/>
  <c r="AE273" i="38" s="1"/>
  <c r="AW262" i="38"/>
  <c r="AE262" i="38" s="1"/>
  <c r="AW230" i="38"/>
  <c r="AE230" i="38" s="1"/>
  <c r="AW190" i="38"/>
  <c r="AE190" i="38" s="1"/>
  <c r="AW276" i="38"/>
  <c r="AE276" i="38" s="1"/>
  <c r="AW278" i="38"/>
  <c r="AE278" i="38" s="1"/>
  <c r="AW279" i="38"/>
  <c r="AE279" i="38" s="1"/>
  <c r="AP279" i="38"/>
  <c r="AW260" i="38"/>
  <c r="AE260" i="38" s="1"/>
  <c r="AP261" i="38"/>
  <c r="AW259" i="38"/>
  <c r="AE259" i="38" s="1"/>
  <c r="AW257" i="38"/>
  <c r="AE257" i="38" s="1"/>
  <c r="AW261" i="38"/>
  <c r="AE261" i="38" s="1"/>
  <c r="AW256" i="38"/>
  <c r="AE256" i="38" s="1"/>
  <c r="AW239" i="38"/>
  <c r="AE239" i="38" s="1"/>
  <c r="AW240" i="38"/>
  <c r="AE240" i="38" s="1"/>
  <c r="AP240" i="38"/>
  <c r="AW234" i="38"/>
  <c r="AE234" i="38" s="1"/>
  <c r="AW231" i="38"/>
  <c r="AE231" i="38" s="1"/>
  <c r="AP139" i="38"/>
  <c r="AW139" i="38"/>
  <c r="AE139" i="38" s="1"/>
  <c r="AW134" i="38"/>
  <c r="AE134" i="38" s="1"/>
  <c r="AP135" i="38"/>
  <c r="AP129" i="38"/>
  <c r="AW129" i="38"/>
  <c r="AE129" i="38" s="1"/>
  <c r="AW128" i="38"/>
  <c r="AE128" i="38" s="1"/>
  <c r="AP125" i="38"/>
  <c r="AW125" i="38"/>
  <c r="AE125" i="38" s="1"/>
  <c r="AW123" i="38"/>
  <c r="AE123" i="38" s="1"/>
  <c r="AW112" i="38"/>
  <c r="AE112" i="38" s="1"/>
  <c r="AW120" i="38"/>
  <c r="AE120" i="38" s="1"/>
  <c r="AW116" i="38"/>
  <c r="AE116" i="38" s="1"/>
  <c r="AW124" i="38"/>
  <c r="AE124" i="38" s="1"/>
  <c r="AW113" i="38"/>
  <c r="AE113" i="38" s="1"/>
  <c r="AW122" i="38"/>
  <c r="AE122" i="38" s="1"/>
  <c r="AW118" i="38"/>
  <c r="AE118" i="38" s="1"/>
  <c r="AP110" i="38"/>
  <c r="AW108" i="38"/>
  <c r="AE108" i="38" s="1"/>
  <c r="AW107" i="38"/>
  <c r="AE107" i="38" s="1"/>
  <c r="AW110" i="38"/>
  <c r="AE110" i="38" s="1"/>
  <c r="AW109" i="38"/>
  <c r="AE109" i="38" s="1"/>
  <c r="AP106" i="38"/>
  <c r="AW103" i="38"/>
  <c r="AE103" i="38" s="1"/>
  <c r="AW105" i="38"/>
  <c r="AE105" i="38" s="1"/>
  <c r="AW101" i="38"/>
  <c r="AE101" i="38" s="1"/>
  <c r="AW106" i="38"/>
  <c r="AE106" i="38" s="1"/>
  <c r="AW56" i="38"/>
  <c r="AE56" i="38" s="1"/>
  <c r="AW55" i="38"/>
  <c r="AE55" i="38" s="1"/>
  <c r="AW47" i="38"/>
  <c r="AE47" i="38" s="1"/>
  <c r="AW53" i="38"/>
  <c r="AE53" i="38" s="1"/>
  <c r="AW50" i="38"/>
  <c r="AE50" i="38" s="1"/>
  <c r="AP56" i="38"/>
  <c r="AW38" i="38"/>
  <c r="AE38" i="38" s="1"/>
  <c r="AW54" i="38"/>
  <c r="AE54" i="38" s="1"/>
  <c r="AW36" i="38"/>
  <c r="AE36" i="38" s="1"/>
  <c r="AW16" i="38"/>
  <c r="AW48" i="38"/>
  <c r="AE48" i="38" s="1"/>
  <c r="AW353" i="38"/>
  <c r="AE353" i="38" s="1"/>
  <c r="AP353" i="38"/>
  <c r="AW350" i="38"/>
  <c r="AE350" i="38" s="1"/>
  <c r="AW352" i="38"/>
  <c r="AE352" i="38" s="1"/>
  <c r="AW345" i="38"/>
  <c r="AE345" i="38" s="1"/>
  <c r="AW338" i="38"/>
  <c r="AE338" i="38" s="1"/>
  <c r="AW336" i="38"/>
  <c r="AE336" i="38" s="1"/>
  <c r="AW344" i="38"/>
  <c r="AE344" i="38" s="1"/>
  <c r="AP335" i="38"/>
  <c r="AW335" i="38"/>
  <c r="AE335" i="38" s="1"/>
  <c r="AP327" i="38"/>
  <c r="AW323" i="38"/>
  <c r="AE323" i="38" s="1"/>
  <c r="AW327" i="38"/>
  <c r="AE327" i="38" s="1"/>
  <c r="AW321" i="38"/>
  <c r="AE321" i="38" s="1"/>
  <c r="AW324" i="38"/>
  <c r="AE324" i="38" s="1"/>
  <c r="AW318" i="38"/>
  <c r="AE318" i="38" s="1"/>
  <c r="AW319" i="38"/>
  <c r="AE319" i="38" s="1"/>
  <c r="AP317" i="38"/>
  <c r="AW317" i="38"/>
  <c r="AE317" i="38" s="1"/>
  <c r="AW315" i="38"/>
  <c r="AE315" i="38" s="1"/>
  <c r="AW316" i="38"/>
  <c r="AE316" i="38" s="1"/>
  <c r="AW313" i="38"/>
  <c r="AE313" i="38" s="1"/>
  <c r="AP304" i="38"/>
  <c r="AW302" i="38"/>
  <c r="AE302" i="38" s="1"/>
  <c r="AW298" i="38"/>
  <c r="AE298" i="38" s="1"/>
  <c r="AW301" i="38"/>
  <c r="AE301" i="38" s="1"/>
  <c r="AW303" i="38"/>
  <c r="AE303" i="38" s="1"/>
  <c r="AP297" i="38"/>
  <c r="AW293" i="38"/>
  <c r="AE293" i="38" s="1"/>
  <c r="AP243" i="38"/>
  <c r="AW243" i="38"/>
  <c r="AE243" i="38" s="1"/>
  <c r="AW242" i="38"/>
  <c r="AE242" i="38" s="1"/>
  <c r="AP237" i="38"/>
  <c r="AW237" i="38"/>
  <c r="AE237" i="38" s="1"/>
  <c r="AW233" i="38"/>
  <c r="AE233" i="38" s="1"/>
  <c r="AW236" i="38"/>
  <c r="AE236" i="38" s="1"/>
  <c r="AP230" i="38"/>
  <c r="AW229" i="38"/>
  <c r="AE229" i="38" s="1"/>
  <c r="AW223" i="38"/>
  <c r="AE223" i="38" s="1"/>
  <c r="AP171" i="38"/>
  <c r="AW171" i="38"/>
  <c r="AE171" i="38" s="1"/>
  <c r="AW167" i="38"/>
  <c r="AE167" i="38" s="1"/>
  <c r="AW166" i="38"/>
  <c r="AE166" i="38" s="1"/>
  <c r="AP161" i="38"/>
  <c r="AW161" i="38"/>
  <c r="AE161" i="38" s="1"/>
  <c r="AP157" i="38"/>
  <c r="AW157" i="38"/>
  <c r="AE157" i="38" s="1"/>
  <c r="AW156" i="38"/>
  <c r="AE156" i="38" s="1"/>
  <c r="AW144" i="38"/>
  <c r="AE144" i="38" s="1"/>
  <c r="AW143" i="38"/>
  <c r="AE143" i="38" s="1"/>
  <c r="AW152" i="38"/>
  <c r="AE152" i="38" s="1"/>
  <c r="AW147" i="38"/>
  <c r="AE147" i="38" s="1"/>
  <c r="AW155" i="38"/>
  <c r="AE155" i="38" s="1"/>
  <c r="AW146" i="38"/>
  <c r="AE146" i="38" s="1"/>
  <c r="AW150" i="38"/>
  <c r="AE150" i="38" s="1"/>
  <c r="AP142" i="38"/>
  <c r="AW142" i="38"/>
  <c r="AE142" i="38" s="1"/>
  <c r="AW136" i="38"/>
  <c r="AE136" i="38" s="1"/>
  <c r="AW138" i="38"/>
  <c r="AE138" i="38" s="1"/>
  <c r="AW137" i="38"/>
  <c r="AE137" i="38" s="1"/>
  <c r="AW131" i="38"/>
  <c r="AE131" i="38" s="1"/>
  <c r="AW132" i="38"/>
  <c r="AE132" i="38" s="1"/>
  <c r="AP46" i="38"/>
  <c r="AW26" i="38"/>
  <c r="AE26" i="38" s="1"/>
  <c r="AW41" i="38"/>
  <c r="AE41" i="38" s="1"/>
  <c r="AW32" i="38"/>
  <c r="AE32" i="38" s="1"/>
  <c r="AW27" i="38"/>
  <c r="AE27" i="38" s="1"/>
  <c r="AW31" i="38"/>
  <c r="AE31" i="38" s="1"/>
  <c r="AW19" i="38"/>
  <c r="AW10" i="38"/>
  <c r="AW40" i="38"/>
  <c r="AE40" i="38" s="1"/>
  <c r="AW29" i="38"/>
  <c r="AE29" i="38" s="1"/>
  <c r="AW46" i="38"/>
  <c r="AE46" i="38" s="1"/>
  <c r="AW42" i="38"/>
  <c r="AE42" i="38" s="1"/>
  <c r="AW23" i="38"/>
  <c r="AE23" i="38" s="1"/>
  <c r="AW30" i="38"/>
  <c r="AE30" i="38" s="1"/>
  <c r="AW13" i="38"/>
  <c r="AW18" i="38"/>
  <c r="AW25" i="38"/>
  <c r="AE25" i="38" s="1"/>
  <c r="AW33" i="38"/>
  <c r="AE33" i="38" s="1"/>
  <c r="AW28" i="38"/>
  <c r="AE28" i="38" s="1"/>
  <c r="AW24" i="38"/>
  <c r="AE24" i="38" s="1"/>
  <c r="AW43" i="38"/>
  <c r="AE43" i="38" s="1"/>
  <c r="AW44" i="38"/>
  <c r="AE44" i="38" s="1"/>
  <c r="AW6" i="38"/>
  <c r="AW35" i="38"/>
  <c r="AE35" i="38" s="1"/>
  <c r="AW20" i="38"/>
  <c r="AE20" i="38" s="1"/>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E309" i="38" s="1"/>
  <c r="AW308" i="38"/>
  <c r="AE308" i="38" s="1"/>
  <c r="AW312" i="38"/>
  <c r="AE312" i="38" s="1"/>
  <c r="AP211" i="38"/>
  <c r="AW209" i="38"/>
  <c r="AE209" i="38" s="1"/>
  <c r="AW210" i="38"/>
  <c r="AE210" i="38" s="1"/>
  <c r="AW211" i="38"/>
  <c r="AE211" i="38" s="1"/>
  <c r="AP205" i="38"/>
  <c r="AW204" i="38"/>
  <c r="AE204" i="38" s="1"/>
  <c r="AW205" i="38"/>
  <c r="AE205" i="38" s="1"/>
  <c r="AW200" i="38"/>
  <c r="AE200" i="38" s="1"/>
  <c r="AP198" i="38"/>
  <c r="AW198" i="38"/>
  <c r="AE198" i="38" s="1"/>
  <c r="AW196" i="38"/>
  <c r="AE196" i="38" s="1"/>
  <c r="AW191" i="38"/>
  <c r="AE191" i="38" s="1"/>
  <c r="AP97" i="38"/>
  <c r="AW95" i="38"/>
  <c r="AE95" i="38" s="1"/>
  <c r="AW96" i="38"/>
  <c r="AE96" i="38" s="1"/>
  <c r="AW97" i="38"/>
  <c r="AE97" i="38" s="1"/>
  <c r="AW94" i="38"/>
  <c r="AE94" i="38" s="1"/>
  <c r="AW89" i="38"/>
  <c r="AE89" i="38" s="1"/>
  <c r="AW86" i="38"/>
  <c r="AE86" i="38" s="1"/>
  <c r="AW93" i="38"/>
  <c r="AE93" i="38" s="1"/>
  <c r="AW79" i="38"/>
  <c r="AE79" i="38" s="1"/>
  <c r="AW90" i="38"/>
  <c r="AE90" i="38" s="1"/>
  <c r="AW83" i="38"/>
  <c r="AE83" i="38" s="1"/>
  <c r="AP78" i="38"/>
  <c r="AW78" i="38"/>
  <c r="AE78" i="38" s="1"/>
  <c r="AW77" i="38"/>
  <c r="AE77" i="38" s="1"/>
  <c r="AW74" i="38"/>
  <c r="AE74" i="38" s="1"/>
  <c r="AW76" i="38"/>
  <c r="AE76" i="38" s="1"/>
  <c r="AW75" i="38"/>
  <c r="AE75" i="38" s="1"/>
  <c r="AW72" i="38"/>
  <c r="AE72" i="38" s="1"/>
  <c r="AW67" i="38"/>
  <c r="AE67" i="38" s="1"/>
  <c r="AW68" i="38"/>
  <c r="AE68" i="38" s="1"/>
  <c r="AW63" i="38"/>
  <c r="AE63" i="38" s="1"/>
  <c r="AW66" i="38"/>
  <c r="AE66" i="38" s="1"/>
  <c r="AW326" i="38"/>
  <c r="AE326" i="38" s="1"/>
  <c r="AW289" i="38"/>
  <c r="AE289" i="38" s="1"/>
  <c r="AW288" i="38"/>
  <c r="AE288" i="38" s="1"/>
  <c r="AP281" i="38"/>
  <c r="AW280" i="38"/>
  <c r="AE280" i="38" s="1"/>
  <c r="AP251" i="38"/>
  <c r="AW251" i="38"/>
  <c r="AE251" i="38" s="1"/>
  <c r="AW250" i="38"/>
  <c r="AE250" i="38" s="1"/>
  <c r="AW249" i="38"/>
  <c r="AE249" i="38" s="1"/>
  <c r="AP245" i="38"/>
  <c r="AW245" i="38"/>
  <c r="AE245" i="38" s="1"/>
  <c r="AW244" i="38"/>
  <c r="AE244" i="38" s="1"/>
  <c r="AP229" i="38"/>
  <c r="AW228" i="38"/>
  <c r="AE228" i="38" s="1"/>
  <c r="AP219" i="38"/>
  <c r="AW219" i="38"/>
  <c r="AE219" i="38" s="1"/>
  <c r="AP213" i="38"/>
  <c r="AW212" i="38"/>
  <c r="AE212" i="38" s="1"/>
  <c r="AP203" i="38"/>
  <c r="AW201" i="38"/>
  <c r="AE201" i="38" s="1"/>
  <c r="AW202" i="38"/>
  <c r="AE202" i="38" s="1"/>
  <c r="AP197" i="38"/>
  <c r="AW197" i="38"/>
  <c r="AE197" i="38" s="1"/>
  <c r="AP177" i="38"/>
  <c r="AW175" i="38"/>
  <c r="AE175" i="38" s="1"/>
  <c r="AP173" i="38"/>
  <c r="AW173" i="38"/>
  <c r="AE173" i="38" s="1"/>
  <c r="AP145" i="38"/>
  <c r="AW145" i="38"/>
  <c r="AE145" i="38" s="1"/>
  <c r="AP141" i="38"/>
  <c r="AW141" i="38"/>
  <c r="AE141" i="38" s="1"/>
  <c r="AP113" i="38"/>
  <c r="AW111" i="38"/>
  <c r="AE111" i="38" s="1"/>
  <c r="AP81" i="38"/>
  <c r="AW80" i="38"/>
  <c r="AE80" i="38" s="1"/>
  <c r="AW81" i="38"/>
  <c r="AE81" i="38" s="1"/>
  <c r="AP357" i="38"/>
  <c r="AW357" i="38"/>
  <c r="AE357" i="38" s="1"/>
  <c r="AW349" i="38"/>
  <c r="AE349" i="38" s="1"/>
  <c r="AP350" i="38"/>
  <c r="AP331" i="38"/>
  <c r="AW330" i="38"/>
  <c r="AE330" i="38" s="1"/>
  <c r="AW331" i="38"/>
  <c r="AE331" i="38" s="1"/>
  <c r="AW300" i="38"/>
  <c r="AE300" i="38" s="1"/>
  <c r="AW275" i="38"/>
  <c r="AE275" i="38" s="1"/>
  <c r="AW274" i="38"/>
  <c r="AE274" i="38" s="1"/>
  <c r="AW266" i="38"/>
  <c r="AE266" i="38" s="1"/>
  <c r="AW267" i="38"/>
  <c r="AE267" i="38" s="1"/>
  <c r="AW258" i="38"/>
  <c r="AE258" i="38" s="1"/>
  <c r="AW232" i="38"/>
  <c r="AE232" i="38" s="1"/>
  <c r="AW215" i="38"/>
  <c r="AE215" i="38" s="1"/>
  <c r="AW216" i="38"/>
  <c r="AE216" i="38" s="1"/>
  <c r="AW199" i="38"/>
  <c r="AE199" i="38" s="1"/>
  <c r="AW178" i="38"/>
  <c r="AE178" i="38" s="1"/>
  <c r="AP158" i="38"/>
  <c r="AW158" i="38"/>
  <c r="AE158" i="38" s="1"/>
  <c r="AP126" i="38"/>
  <c r="AW126" i="38"/>
  <c r="AE126" i="38" s="1"/>
  <c r="AW114" i="38"/>
  <c r="AE114" i="38" s="1"/>
  <c r="AP94" i="38"/>
  <c r="AW92" i="38"/>
  <c r="AE92" i="38" s="1"/>
  <c r="AW91" i="38"/>
  <c r="AE91" i="38" s="1"/>
  <c r="AP70" i="38"/>
  <c r="AW70" i="38"/>
  <c r="AE70" i="38" s="1"/>
  <c r="AW65" i="38"/>
  <c r="AE65" i="38" s="1"/>
  <c r="AP54" i="38"/>
  <c r="AW51" i="38"/>
  <c r="AE51" i="38" s="1"/>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G17" i="24" s="1"/>
  <c r="H53" i="24"/>
  <c r="H45" i="24"/>
  <c r="H41" i="24"/>
  <c r="H35" i="24"/>
  <c r="H31" i="24"/>
  <c r="G39" i="24"/>
  <c r="R368" i="38"/>
  <c r="R359" i="38"/>
  <c r="R355" i="38"/>
  <c r="R351" i="38"/>
  <c r="H49" i="24"/>
  <c r="H51" i="24"/>
  <c r="H47" i="24"/>
  <c r="H43" i="24"/>
  <c r="H39" i="24"/>
  <c r="H33" i="24"/>
  <c r="H57" i="24"/>
  <c r="AC57" i="24" s="1"/>
  <c r="G37" i="24"/>
  <c r="A3" i="49"/>
  <c r="A6" i="38"/>
  <c r="G47" i="24"/>
  <c r="E3" i="49"/>
  <c r="R361" i="38"/>
  <c r="F2" i="23"/>
  <c r="E2" i="23"/>
  <c r="AQ374" i="38"/>
  <c r="AR374" i="38"/>
  <c r="B8" i="50"/>
  <c r="B37" i="50" s="1"/>
  <c r="L3" i="7"/>
  <c r="G53" i="24"/>
  <c r="AW341" i="38"/>
  <c r="AE341" i="38" s="1"/>
  <c r="R371" i="38"/>
  <c r="R367" i="38"/>
  <c r="R363" i="38"/>
  <c r="R360" i="38"/>
  <c r="R352" i="38"/>
  <c r="H23" i="24"/>
  <c r="G400" i="24"/>
  <c r="R373" i="38"/>
  <c r="R365" i="38"/>
  <c r="R358" i="38"/>
  <c r="R354" i="38"/>
  <c r="R350" i="38"/>
  <c r="U11" i="38"/>
  <c r="R356" i="38"/>
  <c r="J12" i="24"/>
  <c r="B6" i="48"/>
  <c r="C6" i="38"/>
  <c r="B389" i="38" l="1"/>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0" i="38"/>
  <c r="AD350"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51" i="24" s="1"/>
  <c r="AC51" i="24" s="1"/>
  <c r="G322" i="7"/>
  <c r="V158" i="38"/>
  <c r="G85" i="7"/>
  <c r="G35" i="24" s="1"/>
  <c r="AC35" i="24" s="1"/>
  <c r="G183" i="7"/>
  <c r="G176" i="7"/>
  <c r="G41" i="24" s="1"/>
  <c r="AC41" i="24" s="1"/>
  <c r="G186" i="7"/>
  <c r="G179" i="7"/>
  <c r="G187" i="7"/>
  <c r="G211" i="7"/>
  <c r="G45" i="24" s="1"/>
  <c r="AC45" i="24" s="1"/>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28"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AD27" i="38"/>
  <c r="V38" i="38"/>
  <c r="AD150" i="38"/>
  <c r="AD182" i="38"/>
  <c r="AD262" i="38"/>
  <c r="V326" i="38"/>
  <c r="V342" i="38"/>
  <c r="AD144" i="38"/>
  <c r="AD192" i="38"/>
  <c r="V212" i="38"/>
  <c r="V189" i="38"/>
  <c r="AD191" i="38"/>
  <c r="AD95" i="38"/>
  <c r="V199" i="38"/>
  <c r="AI199" i="38" s="1"/>
  <c r="AD157" i="38"/>
  <c r="AD177" i="38"/>
  <c r="C35" i="50"/>
  <c r="C42" i="50"/>
  <c r="C50" i="50"/>
  <c r="C39" i="50"/>
  <c r="C52" i="50"/>
  <c r="C45" i="50"/>
  <c r="C43" i="50"/>
  <c r="C55" i="50"/>
  <c r="C38" i="50"/>
  <c r="C37" i="50"/>
  <c r="C40" i="50"/>
  <c r="C44" i="50"/>
  <c r="C54" i="50"/>
  <c r="C49" i="50"/>
  <c r="C53" i="50"/>
  <c r="C46" i="50"/>
  <c r="C36" i="50"/>
  <c r="C47" i="50"/>
  <c r="D34" i="50"/>
  <c r="D50" i="50" s="1"/>
  <c r="C48" i="50"/>
  <c r="C41" i="50"/>
  <c r="C56" i="50"/>
  <c r="AP374" i="38"/>
  <c r="A7" i="48"/>
  <c r="V215" i="38"/>
  <c r="AD166" i="38"/>
  <c r="AC53" i="24"/>
  <c r="AC47" i="24"/>
  <c r="AC39" i="24"/>
  <c r="F3" i="49"/>
  <c r="G3" i="49" s="1"/>
  <c r="H3" i="49" s="1"/>
  <c r="AM6" i="38"/>
  <c r="AS6" i="38"/>
  <c r="D6" i="38"/>
  <c r="B6" i="38"/>
  <c r="AD297" i="38"/>
  <c r="E33" i="23"/>
  <c r="D33" i="23" s="1"/>
  <c r="E32" i="23"/>
  <c r="D32" i="23" s="1"/>
  <c r="G2" i="23"/>
  <c r="H2" i="23"/>
  <c r="I23" i="24"/>
  <c r="H400" i="24"/>
  <c r="B7" i="48"/>
  <c r="E211" i="7" l="1"/>
  <c r="F211" i="7" s="1"/>
  <c r="E206" i="7"/>
  <c r="F206" i="7" s="1"/>
  <c r="E338" i="7"/>
  <c r="F338" i="7" s="1"/>
  <c r="AX6" i="38"/>
  <c r="A9" i="47" l="1"/>
  <c r="G49" i="24"/>
  <c r="AC49" i="24" s="1"/>
  <c r="G43" i="24"/>
  <c r="AC43" i="24" s="1"/>
  <c r="H37" i="24"/>
  <c r="AC37" i="24" s="1"/>
  <c r="I374" i="7"/>
  <c r="I2" i="7"/>
  <c r="H29" i="24"/>
  <c r="H401" i="24" s="1"/>
  <c r="G33" i="24"/>
  <c r="AC33" i="24" s="1"/>
  <c r="G2" i="7"/>
  <c r="G29" i="24"/>
  <c r="G374" i="7"/>
  <c r="G31" i="24"/>
  <c r="AC31" i="24" s="1"/>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34" i="50"/>
  <c r="E42" i="50" s="1"/>
  <c r="D55"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50" i="38"/>
  <c r="E357" i="7" s="1"/>
  <c r="F357" i="7" s="1"/>
  <c r="V310" i="38"/>
  <c r="AU310" i="38" s="1"/>
  <c r="V281" i="38"/>
  <c r="AU281" i="38" s="1"/>
  <c r="D51" i="50"/>
  <c r="D52" i="50"/>
  <c r="E351" i="7"/>
  <c r="F351" i="7" s="1"/>
  <c r="AD199" i="38"/>
  <c r="AU199" i="38" s="1"/>
  <c r="AD352" i="38"/>
  <c r="AU352" i="38" s="1"/>
  <c r="V340" i="38"/>
  <c r="V325" i="38"/>
  <c r="D38"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40" i="50"/>
  <c r="D43" i="50"/>
  <c r="AD109" i="38"/>
  <c r="AU109" i="38" s="1"/>
  <c r="V353" i="38"/>
  <c r="AU353" i="38" s="1"/>
  <c r="D56" i="50"/>
  <c r="D37" i="50"/>
  <c r="C58" i="50"/>
  <c r="C59" i="50" s="1"/>
  <c r="AD41" i="38"/>
  <c r="AU41" i="38" s="1"/>
  <c r="AD87" i="38"/>
  <c r="AU87" i="38" s="1"/>
  <c r="AI41" i="38"/>
  <c r="V33" i="38"/>
  <c r="AI33" i="38" s="1"/>
  <c r="AD29" i="38"/>
  <c r="AU29" i="38" s="1"/>
  <c r="D53" i="50"/>
  <c r="D35" i="50"/>
  <c r="D47" i="50"/>
  <c r="V345" i="38"/>
  <c r="E354" i="7" s="1"/>
  <c r="F354" i="7" s="1"/>
  <c r="V176" i="38"/>
  <c r="AU176" i="38" s="1"/>
  <c r="V86" i="38"/>
  <c r="AU86" i="38" s="1"/>
  <c r="AI193" i="38"/>
  <c r="D41" i="50"/>
  <c r="D49" i="50"/>
  <c r="D42" i="50"/>
  <c r="D45" i="50"/>
  <c r="D46" i="50"/>
  <c r="D48" i="50"/>
  <c r="D36" i="50"/>
  <c r="D39" i="50"/>
  <c r="D44" i="50"/>
  <c r="D54"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I3" i="49"/>
  <c r="E136" i="7"/>
  <c r="F136" i="7" s="1"/>
  <c r="AI137" i="38"/>
  <c r="I2" i="23"/>
  <c r="I33" i="23" s="1"/>
  <c r="H33" i="23" s="1"/>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7" i="38"/>
  <c r="V206" i="38"/>
  <c r="V188" i="38"/>
  <c r="AI73" i="38"/>
  <c r="V324" i="38"/>
  <c r="V356" i="38"/>
  <c r="E113" i="7" s="1"/>
  <c r="F113" i="7" s="1"/>
  <c r="AD44" i="38"/>
  <c r="V348" i="38"/>
  <c r="V248" i="38"/>
  <c r="AI270" i="38"/>
  <c r="AI215" i="38"/>
  <c r="V150" i="38"/>
  <c r="E372" i="7"/>
  <c r="F372" i="7" s="1"/>
  <c r="AI373" i="38"/>
  <c r="E297" i="7"/>
  <c r="F297" i="7" s="1"/>
  <c r="AI298" i="38"/>
  <c r="AI158" i="38"/>
  <c r="J23" i="24"/>
  <c r="I400" i="24"/>
  <c r="I401" i="24"/>
  <c r="AD46" i="38"/>
  <c r="AI354" i="38"/>
  <c r="AI36" i="38"/>
  <c r="V116" i="38"/>
  <c r="V344" i="38"/>
  <c r="E353" i="7" s="1"/>
  <c r="F353" i="7" s="1"/>
  <c r="V28" i="38"/>
  <c r="V332" i="38"/>
  <c r="AD26" i="38"/>
  <c r="AI66" i="38"/>
  <c r="AI39" i="38"/>
  <c r="E38" i="7"/>
  <c r="F38" i="7" s="1"/>
  <c r="E341" i="7"/>
  <c r="F341" i="7" s="1"/>
  <c r="AI342" i="38"/>
  <c r="B8" i="48"/>
  <c r="E346" i="7" l="1"/>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A10" i="47" l="1"/>
  <c r="G401" i="24"/>
  <c r="AC29" i="24"/>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35" i="50"/>
  <c r="E43" i="50"/>
  <c r="E52" i="50"/>
  <c r="E45" i="50"/>
  <c r="E46" i="50"/>
  <c r="E41" i="50"/>
  <c r="E47" i="50"/>
  <c r="E37" i="50"/>
  <c r="E36" i="50"/>
  <c r="E51" i="50"/>
  <c r="E116" i="7"/>
  <c r="F116" i="7" s="1"/>
  <c r="E55" i="50"/>
  <c r="E48" i="50"/>
  <c r="F34" i="50"/>
  <c r="F40" i="50" s="1"/>
  <c r="E53" i="50"/>
  <c r="E50" i="50"/>
  <c r="E44" i="50"/>
  <c r="E39" i="50"/>
  <c r="E40" i="50"/>
  <c r="E49" i="50"/>
  <c r="E54" i="50"/>
  <c r="E56" i="50"/>
  <c r="E38"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50" i="38"/>
  <c r="AI325" i="38"/>
  <c r="AU350"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D58" i="50"/>
  <c r="D59" i="50"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7" i="38"/>
  <c r="AI27" i="38"/>
  <c r="AU26" i="38"/>
  <c r="K23" i="24"/>
  <c r="J400" i="24"/>
  <c r="J401" i="24"/>
  <c r="AU324" i="38"/>
  <c r="AI324" i="38"/>
  <c r="AI188" i="38"/>
  <c r="AU188" i="38"/>
  <c r="AI206" i="38"/>
  <c r="AU206" i="38"/>
  <c r="E205" i="7"/>
  <c r="F205" i="7" s="1"/>
  <c r="AI94" i="38"/>
  <c r="AU94" i="38"/>
  <c r="AU44" i="38"/>
  <c r="AI28" i="38"/>
  <c r="AU28"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A11" i="47" l="1"/>
  <c r="F46" i="50"/>
  <c r="F54" i="50"/>
  <c r="F56" i="50"/>
  <c r="F39" i="50"/>
  <c r="F37" i="50"/>
  <c r="E58" i="50"/>
  <c r="E59" i="50" s="1"/>
  <c r="F55" i="50"/>
  <c r="F50" i="50"/>
  <c r="F47" i="50"/>
  <c r="F51" i="50"/>
  <c r="F45" i="50"/>
  <c r="F49" i="50"/>
  <c r="F52" i="50"/>
  <c r="F53" i="50"/>
  <c r="G34" i="50"/>
  <c r="G51" i="50" s="1"/>
  <c r="F38" i="50"/>
  <c r="F44" i="50"/>
  <c r="F43" i="50"/>
  <c r="F36" i="50"/>
  <c r="F48" i="50"/>
  <c r="F42" i="50"/>
  <c r="F35" i="50"/>
  <c r="F41" i="50"/>
  <c r="V9" i="48"/>
  <c r="A10" i="48"/>
  <c r="M2" i="23"/>
  <c r="N2" i="23"/>
  <c r="K3" i="49"/>
  <c r="L23" i="24"/>
  <c r="K400" i="24"/>
  <c r="K401" i="24"/>
  <c r="B10" i="48"/>
  <c r="J8" i="38" l="1"/>
  <c r="A12" i="47"/>
  <c r="V6" i="38"/>
  <c r="G46" i="50"/>
  <c r="G42" i="50"/>
  <c r="G36" i="50"/>
  <c r="G56" i="50"/>
  <c r="G52" i="50"/>
  <c r="H34" i="50"/>
  <c r="H44" i="50" s="1"/>
  <c r="G40" i="50"/>
  <c r="G37" i="50"/>
  <c r="G44" i="50"/>
  <c r="G55" i="50"/>
  <c r="G47" i="50"/>
  <c r="G50" i="50"/>
  <c r="G38" i="50"/>
  <c r="G35" i="50"/>
  <c r="G49" i="50"/>
  <c r="G45" i="50"/>
  <c r="G48" i="50"/>
  <c r="F58" i="50"/>
  <c r="F59" i="50" s="1"/>
  <c r="G43" i="50"/>
  <c r="G41" i="50"/>
  <c r="G39" i="50"/>
  <c r="G54" i="50"/>
  <c r="G53" i="50"/>
  <c r="AE5" i="38"/>
  <c r="V10" i="48"/>
  <c r="A11" i="48"/>
  <c r="L3" i="49"/>
  <c r="O2" i="23"/>
  <c r="P2" i="23"/>
  <c r="M33" i="23"/>
  <c r="L33" i="23" s="1"/>
  <c r="L400" i="24"/>
  <c r="M23" i="24"/>
  <c r="L401" i="24"/>
  <c r="B11" i="48"/>
  <c r="N11" i="50" l="1"/>
  <c r="I11" i="50"/>
  <c r="F22" i="50"/>
  <c r="I27"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C27" i="50"/>
  <c r="I16" i="50"/>
  <c r="F21" i="50"/>
  <c r="C8" i="50"/>
  <c r="F17" i="50"/>
  <c r="G24" i="50"/>
  <c r="J25" i="50"/>
  <c r="H24" i="50"/>
  <c r="G21" i="50"/>
  <c r="I8" i="50"/>
  <c r="H23" i="50"/>
  <c r="F20" i="50"/>
  <c r="H27" i="50"/>
  <c r="I21" i="50"/>
  <c r="H16" i="50"/>
  <c r="G16" i="50"/>
  <c r="I19" i="50"/>
  <c r="E9" i="50"/>
  <c r="C11" i="50"/>
  <c r="E21" i="50"/>
  <c r="D15" i="50"/>
  <c r="G26" i="50"/>
  <c r="F24" i="50"/>
  <c r="J14" i="50"/>
  <c r="J10" i="50"/>
  <c r="E6" i="50"/>
  <c r="E11" i="50"/>
  <c r="F11" i="50"/>
  <c r="D18" i="50"/>
  <c r="J19" i="50"/>
  <c r="C21" i="50"/>
  <c r="F26" i="50"/>
  <c r="G22" i="50"/>
  <c r="J22" i="50"/>
  <c r="F10" i="50"/>
  <c r="I24" i="50"/>
  <c r="F27"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J27" i="50"/>
  <c r="D24" i="50"/>
  <c r="C6" i="50"/>
  <c r="E14" i="50"/>
  <c r="H14" i="50"/>
  <c r="D20" i="50"/>
  <c r="E27" i="50"/>
  <c r="G27"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D27"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27" i="50"/>
  <c r="K19" i="50"/>
  <c r="L26" i="50"/>
  <c r="L20" i="50"/>
  <c r="L27" i="50"/>
  <c r="L22" i="50"/>
  <c r="L8" i="50"/>
  <c r="L10" i="50"/>
  <c r="L12" i="50"/>
  <c r="L9" i="50"/>
  <c r="L25" i="50"/>
  <c r="L18" i="50"/>
  <c r="L16" i="50"/>
  <c r="L11" i="50"/>
  <c r="L7" i="50"/>
  <c r="L14" i="50"/>
  <c r="L24" i="50"/>
  <c r="L19" i="50"/>
  <c r="L15" i="50"/>
  <c r="L17" i="50"/>
  <c r="L21" i="50"/>
  <c r="L13" i="50"/>
  <c r="L6" i="50"/>
  <c r="L23" i="50"/>
  <c r="M14" i="50"/>
  <c r="M27" i="50"/>
  <c r="M23" i="50"/>
  <c r="M6" i="50"/>
  <c r="M9" i="50"/>
  <c r="M10" i="50"/>
  <c r="M11" i="50"/>
  <c r="M8" i="50"/>
  <c r="M19" i="50"/>
  <c r="M15" i="50"/>
  <c r="M21" i="50"/>
  <c r="M12" i="50"/>
  <c r="M18" i="50"/>
  <c r="M7" i="50"/>
  <c r="M17" i="50"/>
  <c r="M13" i="50"/>
  <c r="M20" i="50"/>
  <c r="M22" i="50"/>
  <c r="M26" i="50"/>
  <c r="M24" i="50"/>
  <c r="M25" i="50"/>
  <c r="M16" i="50"/>
  <c r="N15" i="50"/>
  <c r="N22" i="50"/>
  <c r="N20" i="50"/>
  <c r="N9" i="50"/>
  <c r="N18" i="50"/>
  <c r="N13" i="50"/>
  <c r="N21" i="50"/>
  <c r="N25" i="50"/>
  <c r="N17" i="50"/>
  <c r="N12" i="50"/>
  <c r="N8" i="50"/>
  <c r="N24" i="50"/>
  <c r="N10" i="50"/>
  <c r="N16" i="50"/>
  <c r="N7" i="50"/>
  <c r="N27" i="50"/>
  <c r="N6" i="50"/>
  <c r="N26" i="50"/>
  <c r="N14" i="50"/>
  <c r="N19" i="50"/>
  <c r="N23" i="50"/>
  <c r="C5" i="7"/>
  <c r="L29" i="50" l="1"/>
  <c r="L30" i="50" s="1"/>
  <c r="G29" i="50"/>
  <c r="G30" i="50" s="1"/>
  <c r="C29" i="50"/>
  <c r="C30" i="50" s="1"/>
  <c r="I29" i="50"/>
  <c r="I30" i="50" s="1"/>
  <c r="H29" i="50"/>
  <c r="H30" i="50" s="1"/>
  <c r="K29" i="50"/>
  <c r="K30" i="50" s="1"/>
  <c r="D29" i="50"/>
  <c r="D30" i="50" s="1"/>
  <c r="J29" i="50"/>
  <c r="J30" i="50" s="1"/>
  <c r="F29" i="50"/>
  <c r="F30" i="50" s="1"/>
  <c r="M29" i="50"/>
  <c r="M30" i="50" s="1"/>
  <c r="E29" i="50"/>
  <c r="E30" i="50" s="1"/>
  <c r="D5" i="7"/>
  <c r="B5" i="7"/>
  <c r="A28" i="24"/>
  <c r="A13" i="47"/>
  <c r="AY5" i="38"/>
  <c r="AZ6" i="38" s="1"/>
  <c r="AZ5" i="38"/>
  <c r="R8" i="38"/>
  <c r="AD6" i="38"/>
  <c r="H48" i="50"/>
  <c r="H36" i="50"/>
  <c r="H49" i="50"/>
  <c r="I34" i="50"/>
  <c r="I46" i="50" s="1"/>
  <c r="H45" i="50"/>
  <c r="H37" i="50"/>
  <c r="H53" i="50"/>
  <c r="H42" i="50"/>
  <c r="H55" i="50"/>
  <c r="H54" i="50"/>
  <c r="H35" i="50"/>
  <c r="H52" i="50"/>
  <c r="H50" i="50"/>
  <c r="H38" i="50"/>
  <c r="H39" i="50"/>
  <c r="H51" i="50"/>
  <c r="H56" i="50"/>
  <c r="H46" i="50"/>
  <c r="H40" i="50"/>
  <c r="H47" i="50"/>
  <c r="H41" i="50"/>
  <c r="H43" i="50"/>
  <c r="G58" i="50"/>
  <c r="G59" i="50" s="1"/>
  <c r="A12" i="48"/>
  <c r="V11" i="48"/>
  <c r="R2" i="23"/>
  <c r="Q2" i="23"/>
  <c r="N29" i="50"/>
  <c r="N30" i="50" s="1"/>
  <c r="M3" i="49"/>
  <c r="O12" i="50"/>
  <c r="O27" i="50"/>
  <c r="O7" i="50"/>
  <c r="O17" i="50"/>
  <c r="O22" i="50"/>
  <c r="O21" i="50"/>
  <c r="O15" i="50"/>
  <c r="O11" i="50"/>
  <c r="O23" i="50"/>
  <c r="O14" i="50"/>
  <c r="O9" i="50"/>
  <c r="O8" i="50"/>
  <c r="O18" i="50"/>
  <c r="O24" i="50"/>
  <c r="O16" i="50"/>
  <c r="O20" i="50"/>
  <c r="O6" i="50"/>
  <c r="O13" i="50"/>
  <c r="O25" i="50"/>
  <c r="O19" i="50"/>
  <c r="O10" i="50"/>
  <c r="O26" i="50"/>
  <c r="M401" i="24"/>
  <c r="M400" i="24"/>
  <c r="N23" i="24"/>
  <c r="AZ5" i="7"/>
  <c r="B12" i="48"/>
  <c r="J9" i="38" l="1"/>
  <c r="R9" i="38" s="1"/>
  <c r="A14" i="47"/>
  <c r="U7" i="38"/>
  <c r="U8" i="38"/>
  <c r="V8" i="38" s="1"/>
  <c r="E122" i="7" s="1"/>
  <c r="F122" i="7" s="1"/>
  <c r="AK6" i="38"/>
  <c r="I41" i="50"/>
  <c r="I56" i="50"/>
  <c r="AB6" i="38"/>
  <c r="AA6" i="38"/>
  <c r="AI6" i="38"/>
  <c r="AU6" i="38"/>
  <c r="AL6" i="38"/>
  <c r="E5" i="7"/>
  <c r="F5" i="7" s="1"/>
  <c r="AJ6" i="38"/>
  <c r="I35" i="50"/>
  <c r="I36" i="50"/>
  <c r="I44" i="50"/>
  <c r="I40" i="50"/>
  <c r="J34" i="50"/>
  <c r="J41" i="50" s="1"/>
  <c r="I47" i="50"/>
  <c r="I38" i="50"/>
  <c r="I49" i="50"/>
  <c r="I48" i="50"/>
  <c r="I55" i="50"/>
  <c r="I54" i="50"/>
  <c r="I53" i="50"/>
  <c r="I37" i="50"/>
  <c r="I45" i="50"/>
  <c r="I39" i="50"/>
  <c r="I50" i="50"/>
  <c r="I42" i="50"/>
  <c r="I51" i="50"/>
  <c r="I43" i="50"/>
  <c r="I52" i="50"/>
  <c r="H58" i="50"/>
  <c r="H59" i="50" s="1"/>
  <c r="V12" i="48"/>
  <c r="A13" i="48"/>
  <c r="N3" i="49"/>
  <c r="T2" i="23"/>
  <c r="S2" i="23"/>
  <c r="O29" i="50"/>
  <c r="O30" i="50" s="1"/>
  <c r="P11" i="50"/>
  <c r="P19" i="50"/>
  <c r="P14" i="50"/>
  <c r="P6" i="50"/>
  <c r="P21" i="50"/>
  <c r="P22" i="50"/>
  <c r="P7" i="50"/>
  <c r="P9" i="50"/>
  <c r="P24" i="50"/>
  <c r="P20" i="50"/>
  <c r="P15" i="50"/>
  <c r="P26" i="50"/>
  <c r="P25" i="50"/>
  <c r="P13" i="50"/>
  <c r="P17" i="50"/>
  <c r="P18" i="50"/>
  <c r="P8" i="50"/>
  <c r="P10" i="50"/>
  <c r="P23" i="50"/>
  <c r="P27" i="50"/>
  <c r="P16" i="50"/>
  <c r="P12" i="50"/>
  <c r="N401" i="24"/>
  <c r="N400" i="24"/>
  <c r="O23" i="24"/>
  <c r="B13" i="48"/>
  <c r="U9" i="38" l="1"/>
  <c r="V9" i="38" s="1"/>
  <c r="A15" i="47"/>
  <c r="AD8" i="38"/>
  <c r="AV6" i="38"/>
  <c r="E6" i="38" s="1"/>
  <c r="AE6" i="38"/>
  <c r="B5" i="6" s="1"/>
  <c r="AI8" i="38"/>
  <c r="O5" i="48"/>
  <c r="P5" i="48"/>
  <c r="J56" i="50"/>
  <c r="J46" i="50"/>
  <c r="K34" i="50"/>
  <c r="K42" i="50" s="1"/>
  <c r="J36" i="50"/>
  <c r="J50" i="50"/>
  <c r="J54" i="50"/>
  <c r="J35" i="50"/>
  <c r="J48" i="50"/>
  <c r="J47" i="50"/>
  <c r="J38" i="50"/>
  <c r="J37" i="50"/>
  <c r="J53" i="50"/>
  <c r="J52" i="50"/>
  <c r="J51" i="50"/>
  <c r="J55" i="50"/>
  <c r="J44" i="50"/>
  <c r="J39" i="50"/>
  <c r="J43" i="50"/>
  <c r="J40" i="50"/>
  <c r="J42" i="50"/>
  <c r="J49" i="50"/>
  <c r="J45" i="50"/>
  <c r="I58" i="50"/>
  <c r="I59" i="50" s="1"/>
  <c r="A14" i="48"/>
  <c r="V13" i="48"/>
  <c r="Q16" i="50"/>
  <c r="Q9" i="50"/>
  <c r="Q7" i="50"/>
  <c r="Q18" i="50"/>
  <c r="Q19" i="50"/>
  <c r="Q12" i="50"/>
  <c r="Q13" i="50"/>
  <c r="Q8" i="50"/>
  <c r="Q11" i="50"/>
  <c r="Q10" i="50"/>
  <c r="Q25" i="50"/>
  <c r="Q22" i="50"/>
  <c r="Q17" i="50"/>
  <c r="Q27" i="50"/>
  <c r="Q21" i="50"/>
  <c r="Q20" i="50"/>
  <c r="Q26" i="50"/>
  <c r="Q23" i="50"/>
  <c r="Q15" i="50"/>
  <c r="Q14" i="50"/>
  <c r="Q24" i="50"/>
  <c r="Q6" i="50"/>
  <c r="S33" i="23"/>
  <c r="R33" i="23" s="1"/>
  <c r="O3" i="49"/>
  <c r="P29" i="50"/>
  <c r="P30" i="50" s="1"/>
  <c r="U2" i="23"/>
  <c r="V2" i="23"/>
  <c r="O401" i="24"/>
  <c r="O400" i="24"/>
  <c r="P23" i="24"/>
  <c r="B14" i="48"/>
  <c r="A16" i="47" l="1"/>
  <c r="AU8" i="38"/>
  <c r="AE7" i="38"/>
  <c r="AE8" i="38" s="1"/>
  <c r="U10" i="38"/>
  <c r="AD9" i="38"/>
  <c r="O10" i="48"/>
  <c r="P10" i="48"/>
  <c r="K54" i="50"/>
  <c r="K35" i="50"/>
  <c r="K44" i="50"/>
  <c r="K38" i="50"/>
  <c r="K48" i="50"/>
  <c r="K53" i="50"/>
  <c r="K50" i="50"/>
  <c r="K55" i="50"/>
  <c r="K43" i="50"/>
  <c r="K56" i="50"/>
  <c r="K45" i="50"/>
  <c r="L34" i="50"/>
  <c r="L37" i="50" s="1"/>
  <c r="K36" i="50"/>
  <c r="K49" i="50"/>
  <c r="K46" i="50"/>
  <c r="K39" i="50"/>
  <c r="K52" i="50"/>
  <c r="K40" i="50"/>
  <c r="K37" i="50"/>
  <c r="K41" i="50"/>
  <c r="K47" i="50"/>
  <c r="K51" i="50"/>
  <c r="J58" i="50"/>
  <c r="J59" i="50" s="1"/>
  <c r="AI9" i="38"/>
  <c r="A15" i="48"/>
  <c r="V14" i="48"/>
  <c r="P3" i="49"/>
  <c r="R11" i="50"/>
  <c r="R12" i="50"/>
  <c r="R22" i="50"/>
  <c r="R19" i="50"/>
  <c r="R15" i="50"/>
  <c r="R18" i="50"/>
  <c r="R25" i="50"/>
  <c r="R26" i="50"/>
  <c r="R9" i="50"/>
  <c r="R14" i="50"/>
  <c r="R20" i="50"/>
  <c r="R16" i="50"/>
  <c r="R6" i="50"/>
  <c r="R21" i="50"/>
  <c r="R27" i="50"/>
  <c r="R10" i="50"/>
  <c r="R24" i="50"/>
  <c r="R8" i="50"/>
  <c r="R7" i="50"/>
  <c r="R13" i="50"/>
  <c r="R23" i="50"/>
  <c r="R17" i="50"/>
  <c r="W2" i="23"/>
  <c r="X2" i="23"/>
  <c r="Y2" i="23" s="1"/>
  <c r="Q29" i="50"/>
  <c r="Q30" i="50" s="1"/>
  <c r="P401" i="24"/>
  <c r="Q23" i="24"/>
  <c r="P400" i="24"/>
  <c r="B15" i="48"/>
  <c r="I12" i="38" l="1"/>
  <c r="J12" i="38" s="1"/>
  <c r="A17" i="47" l="1"/>
  <c r="AE9" i="38"/>
  <c r="AD10" i="38"/>
  <c r="V10" i="38"/>
  <c r="AU9" i="38"/>
  <c r="L38" i="50"/>
  <c r="L40" i="50"/>
  <c r="L48" i="50"/>
  <c r="L35" i="50"/>
  <c r="L43" i="50"/>
  <c r="L44" i="50"/>
  <c r="L47" i="50"/>
  <c r="L56" i="50"/>
  <c r="L54" i="50"/>
  <c r="L36" i="50"/>
  <c r="L50" i="50"/>
  <c r="L39" i="50"/>
  <c r="L53" i="50"/>
  <c r="L45" i="50"/>
  <c r="L42" i="50"/>
  <c r="L52" i="50"/>
  <c r="L46" i="50"/>
  <c r="L49" i="50"/>
  <c r="L55" i="50"/>
  <c r="M34" i="50"/>
  <c r="M56" i="50" s="1"/>
  <c r="L41" i="50"/>
  <c r="L51" i="50"/>
  <c r="K58" i="50"/>
  <c r="K59" i="50" s="1"/>
  <c r="A16" i="48"/>
  <c r="V15" i="48"/>
  <c r="R29" i="50"/>
  <c r="R30" i="50" s="1"/>
  <c r="Q3" i="49"/>
  <c r="W33" i="23"/>
  <c r="V33" i="23" s="1"/>
  <c r="S22" i="50"/>
  <c r="S10" i="50"/>
  <c r="S25" i="50"/>
  <c r="S21" i="50"/>
  <c r="S13" i="50"/>
  <c r="S12" i="50"/>
  <c r="S8" i="50"/>
  <c r="S14" i="50"/>
  <c r="S17" i="50"/>
  <c r="S11" i="50"/>
  <c r="S19" i="50"/>
  <c r="S27" i="50"/>
  <c r="S6" i="50"/>
  <c r="S18" i="50"/>
  <c r="S20" i="50"/>
  <c r="S7" i="50"/>
  <c r="S24" i="50"/>
  <c r="S15" i="50"/>
  <c r="S23" i="50"/>
  <c r="S16" i="50"/>
  <c r="S26" i="50"/>
  <c r="S9" i="50"/>
  <c r="Q400" i="24"/>
  <c r="R23" i="24"/>
  <c r="Q401" i="24"/>
  <c r="B16" i="48"/>
  <c r="E124" i="7" l="1"/>
  <c r="F124" i="7" s="1"/>
  <c r="R13" i="38" l="1"/>
  <c r="R12" i="38"/>
  <c r="AU10" i="38"/>
  <c r="AI10" i="38"/>
  <c r="M36" i="50"/>
  <c r="M45" i="50"/>
  <c r="M53" i="50"/>
  <c r="M54" i="50"/>
  <c r="M50" i="50"/>
  <c r="M46" i="50"/>
  <c r="M42" i="50"/>
  <c r="M40" i="50"/>
  <c r="M35" i="50"/>
  <c r="M44" i="50"/>
  <c r="M52" i="50"/>
  <c r="M38" i="50"/>
  <c r="M43" i="50"/>
  <c r="M41" i="50"/>
  <c r="M55" i="50"/>
  <c r="M48" i="50"/>
  <c r="M47" i="50"/>
  <c r="L58" i="50"/>
  <c r="L59" i="50" s="1"/>
  <c r="M37" i="50"/>
  <c r="M49" i="50"/>
  <c r="M51" i="50"/>
  <c r="N34" i="50"/>
  <c r="N39" i="50" s="1"/>
  <c r="M39" i="50"/>
  <c r="V16" i="48"/>
  <c r="A17" i="48"/>
  <c r="T13" i="50"/>
  <c r="T27" i="50"/>
  <c r="T19" i="50"/>
  <c r="T15" i="50"/>
  <c r="T7" i="50"/>
  <c r="T10" i="50"/>
  <c r="T14" i="50"/>
  <c r="T25" i="50"/>
  <c r="T23" i="50"/>
  <c r="T6" i="50"/>
  <c r="T9" i="50"/>
  <c r="T12" i="50"/>
  <c r="T8" i="50"/>
  <c r="T21" i="50"/>
  <c r="T16" i="50"/>
  <c r="T20" i="50"/>
  <c r="T17" i="50"/>
  <c r="T24" i="50"/>
  <c r="T26" i="50"/>
  <c r="T22" i="50"/>
  <c r="T18" i="50"/>
  <c r="T11" i="50"/>
  <c r="S29" i="50"/>
  <c r="S30" i="50" s="1"/>
  <c r="R401" i="24"/>
  <c r="S23" i="24"/>
  <c r="R400" i="24"/>
  <c r="B17" i="48"/>
  <c r="AE10" i="38" l="1"/>
  <c r="AE11" i="38" s="1"/>
  <c r="U13" i="38"/>
  <c r="I14" i="38"/>
  <c r="U12" i="38"/>
  <c r="AD12" i="38" s="1"/>
  <c r="N37" i="50"/>
  <c r="N49" i="50"/>
  <c r="N40" i="50"/>
  <c r="N46" i="50"/>
  <c r="N35" i="50"/>
  <c r="N36" i="50"/>
  <c r="N48" i="50"/>
  <c r="N42" i="50"/>
  <c r="N47" i="50"/>
  <c r="N45" i="50"/>
  <c r="N56" i="50"/>
  <c r="N44" i="50"/>
  <c r="N50" i="50"/>
  <c r="N43" i="50"/>
  <c r="N54" i="50"/>
  <c r="O34" i="50"/>
  <c r="O54" i="50" s="1"/>
  <c r="N38" i="50"/>
  <c r="M58" i="50"/>
  <c r="M59" i="50" s="1"/>
  <c r="N53" i="50"/>
  <c r="N41" i="50"/>
  <c r="N55" i="50"/>
  <c r="N52" i="50"/>
  <c r="N51" i="50"/>
  <c r="A18" i="48"/>
  <c r="V17" i="48"/>
  <c r="T29" i="50"/>
  <c r="T30" i="50" s="1"/>
  <c r="U15" i="50"/>
  <c r="U27" i="50"/>
  <c r="U12" i="50"/>
  <c r="U11" i="50"/>
  <c r="U18" i="50"/>
  <c r="U8" i="50"/>
  <c r="U20" i="50"/>
  <c r="U14" i="50"/>
  <c r="U21" i="50"/>
  <c r="U22" i="50"/>
  <c r="U19" i="50"/>
  <c r="U7" i="50"/>
  <c r="U16" i="50"/>
  <c r="U13" i="50"/>
  <c r="U23" i="50"/>
  <c r="U25" i="50"/>
  <c r="U6" i="50"/>
  <c r="U9" i="50"/>
  <c r="U17" i="50"/>
  <c r="U10" i="50"/>
  <c r="U26" i="50"/>
  <c r="U24" i="50"/>
  <c r="T23" i="24"/>
  <c r="S400" i="24"/>
  <c r="S401" i="24"/>
  <c r="B18" i="48"/>
  <c r="J14" i="38" l="1"/>
  <c r="R14" i="38" s="1"/>
  <c r="V12" i="38"/>
  <c r="V13" i="38"/>
  <c r="O46" i="50"/>
  <c r="O43" i="50"/>
  <c r="O53" i="50"/>
  <c r="O41" i="50"/>
  <c r="O50" i="50"/>
  <c r="O39" i="50"/>
  <c r="O42" i="50"/>
  <c r="O40" i="50"/>
  <c r="P34" i="50"/>
  <c r="P44" i="50" s="1"/>
  <c r="O35" i="50"/>
  <c r="O44" i="50"/>
  <c r="O48" i="50"/>
  <c r="O45" i="50"/>
  <c r="O55" i="50"/>
  <c r="O52" i="50"/>
  <c r="O51" i="50"/>
  <c r="O38" i="50"/>
  <c r="O47" i="50"/>
  <c r="O36" i="50"/>
  <c r="O49" i="50"/>
  <c r="O56" i="50"/>
  <c r="O37" i="50"/>
  <c r="N58" i="50"/>
  <c r="N59" i="50" s="1"/>
  <c r="AD15" i="38"/>
  <c r="V18" i="48"/>
  <c r="A19" i="48"/>
  <c r="V7" i="50"/>
  <c r="V19" i="50"/>
  <c r="V20" i="50"/>
  <c r="V21" i="50"/>
  <c r="V8" i="50"/>
  <c r="V12" i="50"/>
  <c r="V14" i="50"/>
  <c r="V22" i="50"/>
  <c r="V15" i="50"/>
  <c r="V9" i="50"/>
  <c r="V10" i="50"/>
  <c r="V27" i="50"/>
  <c r="V13" i="50"/>
  <c r="V17" i="50"/>
  <c r="V18" i="50"/>
  <c r="V24" i="50"/>
  <c r="V6" i="50"/>
  <c r="V23" i="50"/>
  <c r="V26" i="50"/>
  <c r="V11" i="50"/>
  <c r="V16" i="50"/>
  <c r="V25" i="50"/>
  <c r="U29" i="50"/>
  <c r="U30" i="50" s="1"/>
  <c r="T401" i="24"/>
  <c r="U23" i="24"/>
  <c r="T400" i="24"/>
  <c r="B19" i="48"/>
  <c r="AI13" i="38" l="1"/>
  <c r="E7" i="7"/>
  <c r="F7" i="7" s="1"/>
  <c r="AU12" i="38"/>
  <c r="I16" i="38" l="1"/>
  <c r="J16" i="38" s="1"/>
  <c r="U14" i="38"/>
  <c r="AD14" i="38" s="1"/>
  <c r="AI12" i="38"/>
  <c r="E11" i="7"/>
  <c r="F11" i="7" s="1"/>
  <c r="AD13" i="38"/>
  <c r="E12" i="7"/>
  <c r="F12" i="7" s="1"/>
  <c r="P51" i="50"/>
  <c r="P35" i="50"/>
  <c r="P39" i="50"/>
  <c r="P36" i="50"/>
  <c r="Q34" i="50"/>
  <c r="R34" i="50" s="1"/>
  <c r="P56" i="50"/>
  <c r="O58" i="50"/>
  <c r="O59" i="50" s="1"/>
  <c r="P46" i="50"/>
  <c r="P53" i="50"/>
  <c r="P37" i="50"/>
  <c r="P47" i="50"/>
  <c r="P52" i="50"/>
  <c r="P41" i="50"/>
  <c r="P54" i="50"/>
  <c r="P40" i="50"/>
  <c r="P55" i="50"/>
  <c r="P49" i="50"/>
  <c r="P38" i="50"/>
  <c r="P43" i="50"/>
  <c r="P45" i="50"/>
  <c r="P48" i="50"/>
  <c r="P42" i="50"/>
  <c r="P50" i="50"/>
  <c r="V15" i="38"/>
  <c r="A20" i="48"/>
  <c r="V19" i="48"/>
  <c r="W19" i="50"/>
  <c r="W7" i="50"/>
  <c r="W25" i="50"/>
  <c r="W24" i="50"/>
  <c r="W10" i="50"/>
  <c r="W20" i="50"/>
  <c r="W16" i="50"/>
  <c r="W27" i="50"/>
  <c r="W9" i="50"/>
  <c r="W8" i="50"/>
  <c r="W17" i="50"/>
  <c r="W18" i="50"/>
  <c r="W21" i="50"/>
  <c r="W15" i="50"/>
  <c r="W12" i="50"/>
  <c r="W14" i="50"/>
  <c r="W6" i="50"/>
  <c r="W11" i="50"/>
  <c r="W23" i="50"/>
  <c r="W22" i="50"/>
  <c r="W26" i="50"/>
  <c r="W13" i="50"/>
  <c r="V29" i="50"/>
  <c r="V30" i="50" s="1"/>
  <c r="U400" i="24"/>
  <c r="V23" i="24"/>
  <c r="U401" i="24"/>
  <c r="B20" i="48"/>
  <c r="AE12" i="38" l="1"/>
  <c r="R16" i="38" l="1"/>
  <c r="I17" i="38"/>
  <c r="J17" i="38" s="1"/>
  <c r="R17" i="38" s="1"/>
  <c r="U17" i="38" s="1"/>
  <c r="V14" i="38"/>
  <c r="AE13" i="38"/>
  <c r="AU13" i="38"/>
  <c r="Q42" i="50"/>
  <c r="Q35" i="50"/>
  <c r="Q40" i="50"/>
  <c r="Q45" i="50"/>
  <c r="Q48" i="50"/>
  <c r="Q39" i="50"/>
  <c r="Q54" i="50"/>
  <c r="Q38" i="50"/>
  <c r="Q56" i="50"/>
  <c r="Q52" i="50"/>
  <c r="Q44" i="50"/>
  <c r="Q37" i="50"/>
  <c r="Q47" i="50"/>
  <c r="Q43" i="50"/>
  <c r="Q53" i="50"/>
  <c r="Q50" i="50"/>
  <c r="Q36" i="50"/>
  <c r="Q41" i="50"/>
  <c r="Q51" i="50"/>
  <c r="Q49" i="50"/>
  <c r="Q55" i="50"/>
  <c r="Q46" i="50"/>
  <c r="P58" i="50"/>
  <c r="P59" i="50" s="1"/>
  <c r="AU15" i="38"/>
  <c r="AI15" i="3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X24"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AI14" i="38" l="1"/>
  <c r="E125" i="7"/>
  <c r="F125" i="7" s="1"/>
  <c r="B21" i="48"/>
  <c r="T16" i="38" l="1"/>
  <c r="U16" i="38" s="1"/>
  <c r="V16" i="38" s="1"/>
  <c r="I18" i="38"/>
  <c r="J18" i="38" s="1"/>
  <c r="R18" i="38" s="1"/>
  <c r="AU14" i="38"/>
  <c r="E13" i="7"/>
  <c r="F13" i="7" s="1"/>
  <c r="Q58" i="50"/>
  <c r="Q59" i="50" s="1"/>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X29" i="50"/>
  <c r="X30" i="50" s="1"/>
  <c r="Y14" i="50"/>
  <c r="Y12" i="50"/>
  <c r="Y10" i="50"/>
  <c r="Y23" i="50"/>
  <c r="Y9" i="50"/>
  <c r="Y20" i="50"/>
  <c r="Y24" i="50"/>
  <c r="Y15" i="50"/>
  <c r="Y22" i="50"/>
  <c r="Y6" i="50"/>
  <c r="Y25" i="50"/>
  <c r="Y17" i="50"/>
  <c r="Y16" i="50"/>
  <c r="Y18" i="50"/>
  <c r="Y26" i="50"/>
  <c r="Y13" i="50"/>
  <c r="Y21" i="50"/>
  <c r="Y27" i="50"/>
  <c r="Y19" i="50"/>
  <c r="Y8" i="50"/>
  <c r="Y7" i="50"/>
  <c r="Y11" i="50"/>
  <c r="W400" i="24"/>
  <c r="W401" i="24"/>
  <c r="X23" i="24"/>
  <c r="B22" i="48"/>
  <c r="I19" i="38" l="1"/>
  <c r="J19" i="38" s="1"/>
  <c r="R19" i="38" l="1"/>
  <c r="U19" i="38" s="1"/>
  <c r="AD16" i="38" l="1"/>
  <c r="AU16" i="38" s="1"/>
  <c r="AI16" i="38"/>
  <c r="E15" i="7"/>
  <c r="F15" i="7" s="1"/>
  <c r="U18" i="38"/>
  <c r="AD18" i="38" s="1"/>
  <c r="AE14" i="38"/>
  <c r="AE15" i="38" s="1"/>
  <c r="AE16" i="38" s="1"/>
  <c r="V17" i="38"/>
  <c r="E128" i="7" s="1"/>
  <c r="F128" i="7" s="1"/>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Y29" i="50"/>
  <c r="Y30" i="50" s="1"/>
  <c r="Z8" i="50"/>
  <c r="Z16" i="50"/>
  <c r="Z20" i="50"/>
  <c r="Z6" i="50"/>
  <c r="Z7" i="50"/>
  <c r="Z15" i="50"/>
  <c r="Z24" i="50"/>
  <c r="Z26" i="50"/>
  <c r="Z18" i="50"/>
  <c r="Z12" i="50"/>
  <c r="Z14" i="50"/>
  <c r="Z25" i="50"/>
  <c r="Z17" i="50"/>
  <c r="Z21" i="50"/>
  <c r="Z9" i="50"/>
  <c r="Z22" i="50"/>
  <c r="Z10" i="50"/>
  <c r="Z13" i="50"/>
  <c r="Z19" i="50"/>
  <c r="Z11" i="50"/>
  <c r="Z27" i="50"/>
  <c r="Z23" i="50"/>
  <c r="Y23" i="24"/>
  <c r="X401" i="24"/>
  <c r="X400" i="24"/>
  <c r="B23" i="48"/>
  <c r="AD17" i="38" l="1"/>
  <c r="AI17" i="38"/>
  <c r="V18" i="3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AA7" i="50"/>
  <c r="AA26" i="50"/>
  <c r="AA13" i="50"/>
  <c r="AA16" i="50"/>
  <c r="AA18" i="50"/>
  <c r="AA9" i="50"/>
  <c r="AA12" i="50"/>
  <c r="AA15" i="50"/>
  <c r="AA20" i="50"/>
  <c r="AA11" i="50"/>
  <c r="AA17" i="50"/>
  <c r="AA21" i="50"/>
  <c r="AA14" i="50"/>
  <c r="AA19" i="50"/>
  <c r="AA24" i="50"/>
  <c r="AA6" i="50"/>
  <c r="AA27" i="50"/>
  <c r="AA25" i="50"/>
  <c r="AA23" i="50"/>
  <c r="AA10" i="50"/>
  <c r="AA22" i="50"/>
  <c r="AA8" i="50"/>
  <c r="Z29" i="50"/>
  <c r="Z30" i="50" s="1"/>
  <c r="Z23" i="24"/>
  <c r="Y400" i="24"/>
  <c r="Y401" i="24"/>
  <c r="B24" i="48"/>
  <c r="E129" i="7" l="1"/>
  <c r="F129" i="7" s="1"/>
  <c r="AE17" i="38" l="1"/>
  <c r="AD20" i="38"/>
  <c r="AD21" i="38"/>
  <c r="V21" i="38"/>
  <c r="AD19" i="38"/>
  <c r="AU17" i="38"/>
  <c r="V19" i="38"/>
  <c r="AU18" i="38"/>
  <c r="AI18"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AA29" i="50"/>
  <c r="AA30" i="50" s="1"/>
  <c r="AB8" i="50"/>
  <c r="AB16" i="50"/>
  <c r="AB22" i="50"/>
  <c r="AB15" i="50"/>
  <c r="AB9" i="50"/>
  <c r="AB12" i="50"/>
  <c r="AB6" i="50"/>
  <c r="AB13" i="50"/>
  <c r="AB19" i="50"/>
  <c r="AB25" i="50"/>
  <c r="AB10" i="50"/>
  <c r="AB7" i="50"/>
  <c r="AB18" i="50"/>
  <c r="AB23" i="50"/>
  <c r="AB26" i="50"/>
  <c r="AB27" i="50"/>
  <c r="AB17" i="50"/>
  <c r="AB11" i="50"/>
  <c r="AB14" i="50"/>
  <c r="AB21" i="50"/>
  <c r="AB24" i="50"/>
  <c r="AB20" i="50"/>
  <c r="Z400" i="24"/>
  <c r="AA23" i="24"/>
  <c r="Z401" i="24"/>
  <c r="B25" i="48"/>
  <c r="E8" i="7" l="1"/>
  <c r="F8" i="7" s="1"/>
  <c r="E130" i="7"/>
  <c r="F130" i="7" s="1"/>
  <c r="AE18" i="38" l="1"/>
  <c r="V20" i="38"/>
  <c r="AI21" i="38"/>
  <c r="AU21" i="38"/>
  <c r="AU19" i="38"/>
  <c r="AI19"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AC21" i="50"/>
  <c r="AC26" i="50"/>
  <c r="AC19" i="50"/>
  <c r="AC12" i="50"/>
  <c r="AC7" i="50"/>
  <c r="AC24" i="50"/>
  <c r="AC13" i="50"/>
  <c r="AC10" i="50"/>
  <c r="AC22" i="50"/>
  <c r="AC6" i="50"/>
  <c r="AC17" i="50"/>
  <c r="AC20" i="50"/>
  <c r="AC9" i="50"/>
  <c r="AC11" i="50"/>
  <c r="AC16" i="50"/>
  <c r="AC14" i="50"/>
  <c r="AC15" i="50"/>
  <c r="AC25" i="50"/>
  <c r="AC23" i="50"/>
  <c r="AC8" i="50"/>
  <c r="AC27" i="50"/>
  <c r="AC18" i="50"/>
  <c r="AB29" i="50"/>
  <c r="AB30" i="50" s="1"/>
  <c r="AA401" i="24"/>
  <c r="AA400" i="24"/>
  <c r="F400" i="24"/>
  <c r="B26" i="48"/>
  <c r="E9" i="7" l="1"/>
  <c r="F9" i="7" s="1"/>
  <c r="AE19" i="38" l="1"/>
  <c r="AI20" i="38"/>
  <c r="AU20"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C29" i="50"/>
  <c r="AC30" i="50" s="1"/>
  <c r="AD9" i="50"/>
  <c r="AD12" i="50"/>
  <c r="AD18" i="50"/>
  <c r="AD23" i="50"/>
  <c r="AD20" i="50"/>
  <c r="AD14" i="50"/>
  <c r="AD13" i="50"/>
  <c r="AD24" i="50"/>
  <c r="AD25" i="50"/>
  <c r="AD7" i="50"/>
  <c r="AD21" i="50"/>
  <c r="AD26" i="50"/>
  <c r="AD6" i="50"/>
  <c r="AD8" i="50"/>
  <c r="AD11" i="50"/>
  <c r="AD10" i="50"/>
  <c r="AD27" i="50"/>
  <c r="AD15" i="50"/>
  <c r="AD17" i="50"/>
  <c r="AD16" i="50"/>
  <c r="AD22" i="50"/>
  <c r="AD19" i="50"/>
  <c r="B27" i="48"/>
  <c r="V23" i="38" l="1"/>
  <c r="AD23"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AD29" i="50"/>
  <c r="AD30" i="50" s="1"/>
  <c r="AE8" i="50"/>
  <c r="AE18" i="50"/>
  <c r="AE10" i="50"/>
  <c r="AE6" i="50"/>
  <c r="AE19" i="50"/>
  <c r="AE20" i="50"/>
  <c r="AE13" i="50"/>
  <c r="AE16" i="50"/>
  <c r="AE15" i="50"/>
  <c r="AE22" i="50"/>
  <c r="AE11" i="50"/>
  <c r="AE9" i="50"/>
  <c r="AE26" i="50"/>
  <c r="AE24" i="50"/>
  <c r="AE25" i="50"/>
  <c r="AE17" i="50"/>
  <c r="AE27" i="50"/>
  <c r="AE12" i="50"/>
  <c r="AE21" i="50"/>
  <c r="AE7" i="50"/>
  <c r="AE23" i="50"/>
  <c r="AE14" i="50"/>
  <c r="B28" i="48"/>
  <c r="AU23" i="38" l="1"/>
  <c r="AD24" i="38"/>
  <c r="V24" i="38"/>
  <c r="AI24" i="38" s="1"/>
  <c r="AI23"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F27" i="50"/>
  <c r="AF23" i="50"/>
  <c r="AF16" i="50"/>
  <c r="AF19" i="50"/>
  <c r="AF26" i="50"/>
  <c r="AF14" i="50"/>
  <c r="AF18" i="50"/>
  <c r="AF7" i="50"/>
  <c r="AF12" i="50"/>
  <c r="AF10" i="50"/>
  <c r="AF17" i="50"/>
  <c r="AF15" i="50"/>
  <c r="AF13" i="50"/>
  <c r="AF22" i="50"/>
  <c r="AF6" i="50"/>
  <c r="AF8" i="50"/>
  <c r="AF25" i="50"/>
  <c r="AF20" i="50"/>
  <c r="AF11" i="50"/>
  <c r="AF21" i="50"/>
  <c r="AF9" i="50"/>
  <c r="AF24" i="50"/>
  <c r="AE29" i="50"/>
  <c r="AE30" i="50" s="1"/>
  <c r="B29" i="48"/>
  <c r="AU24" i="38" l="1"/>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A30" i="48"/>
  <c r="V29" i="48"/>
  <c r="Z58" i="50"/>
  <c r="Z59" i="50" s="1"/>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B30" i="48"/>
  <c r="AI15" i="50" l="1"/>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AI22" i="50"/>
  <c r="AI16" i="50"/>
  <c r="AH18" i="50"/>
  <c r="AH11" i="50"/>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32" i="48" l="1"/>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AH29" i="50"/>
  <c r="B32" i="48"/>
  <c r="AC58" i="50" l="1"/>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33" i="48"/>
  <c r="AD58" i="50" l="1"/>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B34" i="48"/>
  <c r="V31" i="38" l="1"/>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B35" i="48"/>
  <c r="AD31" i="38" l="1"/>
  <c r="AI31" i="38"/>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V35" i="48"/>
  <c r="AF58" i="50"/>
  <c r="AF59" i="50" s="1"/>
  <c r="AI41" i="50" l="1"/>
  <c r="AU31" i="3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AJ35" i="50" l="1"/>
  <c r="AJ58" i="50" s="1"/>
  <c r="AH58"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E19" i="7" l="1"/>
  <c r="F19" i="7" s="1"/>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E20" i="7" s="1"/>
  <c r="F20" i="7" s="1"/>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E22" i="7" s="1"/>
  <c r="F22" i="7" s="1"/>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E27" i="7" s="1"/>
  <c r="F27" i="7" s="1"/>
  <c r="V82" i="38"/>
  <c r="E26" i="7" s="1"/>
  <c r="F26" i="7" s="1"/>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49" i="7" s="1"/>
  <c r="F349" i="7" s="1"/>
  <c r="E337" i="7" l="1"/>
  <c r="F337" i="7" s="1"/>
  <c r="AI338" i="38"/>
  <c r="AU338" i="38"/>
  <c r="AD341" i="38" l="1"/>
  <c r="V341" i="38"/>
  <c r="E108" i="7" s="1"/>
  <c r="F108" i="7" s="1"/>
  <c r="E340" i="7" l="1"/>
  <c r="F340" i="7" s="1"/>
  <c r="AI341" i="38"/>
  <c r="AU341" i="38"/>
  <c r="R369" i="38" l="1"/>
  <c r="U369" i="38" l="1"/>
  <c r="V369" i="38" s="1"/>
  <c r="E118" i="7" s="1"/>
  <c r="F118" i="7" s="1"/>
  <c r="AD369" i="38" l="1"/>
  <c r="E368" i="7"/>
  <c r="AI369" i="38"/>
  <c r="AU369" i="38" l="1"/>
  <c r="F368" i="7"/>
  <c r="E31" i="23" l="1"/>
  <c r="D31" i="23" s="1"/>
  <c r="AD5" i="38"/>
  <c r="I7" i="38"/>
  <c r="J7" i="38" s="1"/>
  <c r="R7" i="38" s="1"/>
  <c r="U22" i="38"/>
  <c r="AD22" i="38" s="1"/>
  <c r="E131" i="7"/>
  <c r="F131" i="7" s="1"/>
  <c r="E121" i="7"/>
  <c r="F121" i="7" s="1"/>
  <c r="V22" i="38" l="1"/>
  <c r="AI22" i="38" s="1"/>
  <c r="V7" i="38"/>
  <c r="AD7" i="38"/>
  <c r="AD374" i="38" s="1"/>
  <c r="AN88" i="38"/>
  <c r="D88" i="6" s="1"/>
  <c r="AN165" i="38"/>
  <c r="D165" i="6" s="1"/>
  <c r="AN172" i="38"/>
  <c r="D172" i="6" s="1"/>
  <c r="AN318" i="38"/>
  <c r="D318" i="6" s="1"/>
  <c r="AN304" i="38"/>
  <c r="D304" i="6" s="1"/>
  <c r="AN121" i="38"/>
  <c r="D121" i="6" s="1"/>
  <c r="AN84" i="38"/>
  <c r="D84" i="6" s="1"/>
  <c r="AN175" i="38"/>
  <c r="D175" i="6" s="1"/>
  <c r="AN273" i="38"/>
  <c r="D273" i="6" s="1"/>
  <c r="AN191" i="38"/>
  <c r="D191" i="6" s="1"/>
  <c r="AN221" i="38"/>
  <c r="D221" i="6" s="1"/>
  <c r="AN309" i="38"/>
  <c r="D309" i="6" s="1"/>
  <c r="AN227" i="38"/>
  <c r="D227" i="6" s="1"/>
  <c r="AN319" i="38"/>
  <c r="D319" i="6" s="1"/>
  <c r="AN366" i="38"/>
  <c r="D366" i="6" s="1"/>
  <c r="AN274" i="38"/>
  <c r="D274" i="6" s="1"/>
  <c r="AN337" i="38"/>
  <c r="D337" i="6" s="1"/>
  <c r="AN368" i="38"/>
  <c r="D368" i="6" s="1"/>
  <c r="AN275" i="38"/>
  <c r="D275" i="6" s="1"/>
  <c r="AN317" i="38"/>
  <c r="D317" i="6" s="1"/>
  <c r="AN141" i="38"/>
  <c r="D141" i="6" s="1"/>
  <c r="AN289" i="38"/>
  <c r="D289" i="6" s="1"/>
  <c r="AN359" i="38"/>
  <c r="D359" i="6" s="1"/>
  <c r="AN214" i="38"/>
  <c r="D214" i="6" s="1"/>
  <c r="AN245" i="38"/>
  <c r="D245" i="6" s="1"/>
  <c r="AN280" i="38"/>
  <c r="D280" i="6" s="1"/>
  <c r="AN316" i="38"/>
  <c r="D316" i="6" s="1"/>
  <c r="AN177" i="38"/>
  <c r="D177" i="6" s="1"/>
  <c r="AN190" i="38"/>
  <c r="D190" i="6" s="1"/>
  <c r="AN242" i="38"/>
  <c r="D242" i="6" s="1"/>
  <c r="AN347" i="38"/>
  <c r="D347" i="6" s="1"/>
  <c r="AN303" i="38"/>
  <c r="D303" i="6" s="1"/>
  <c r="AN323" i="38"/>
  <c r="D323" i="6" s="1"/>
  <c r="AN59" i="38"/>
  <c r="D59" i="6" s="1"/>
  <c r="AN38" i="38"/>
  <c r="D38" i="6" s="1"/>
  <c r="AN95" i="38"/>
  <c r="D95" i="6" s="1"/>
  <c r="AN147" i="38"/>
  <c r="D147" i="6" s="1"/>
  <c r="AN246" i="38"/>
  <c r="D246" i="6" s="1"/>
  <c r="AN284" i="38"/>
  <c r="D284" i="6" s="1"/>
  <c r="AN357" i="38"/>
  <c r="D357" i="6" s="1"/>
  <c r="AN326" i="38"/>
  <c r="D326" i="6" s="1"/>
  <c r="AN298" i="38"/>
  <c r="D298" i="6" s="1"/>
  <c r="AN91" i="38"/>
  <c r="D91" i="6" s="1"/>
  <c r="AN144" i="38"/>
  <c r="D144" i="6" s="1"/>
  <c r="AN185" i="38"/>
  <c r="D185" i="6" s="1"/>
  <c r="AN217" i="38"/>
  <c r="D217" i="6" s="1"/>
  <c r="AN200" i="38"/>
  <c r="D200" i="6" s="1"/>
  <c r="AN247" i="38"/>
  <c r="D247" i="6" s="1"/>
  <c r="AN332" i="38"/>
  <c r="D332" i="6" s="1"/>
  <c r="AN350" i="38"/>
  <c r="D350" i="6" s="1"/>
  <c r="AN308" i="38"/>
  <c r="D308" i="6" s="1"/>
  <c r="AN324" i="38"/>
  <c r="D324" i="6" s="1"/>
  <c r="AN22" i="38"/>
  <c r="D22" i="6" s="1"/>
  <c r="AN60" i="38"/>
  <c r="D60" i="6" s="1"/>
  <c r="AN53" i="38"/>
  <c r="D53" i="6" s="1"/>
  <c r="AN98" i="38"/>
  <c r="D98" i="6" s="1"/>
  <c r="AN158" i="38"/>
  <c r="D158" i="6" s="1"/>
  <c r="AN254" i="38"/>
  <c r="D254" i="6" s="1"/>
  <c r="AN287" i="38"/>
  <c r="D287" i="6" s="1"/>
  <c r="AN346" i="38"/>
  <c r="D346" i="6" s="1"/>
  <c r="AN358" i="38"/>
  <c r="D358" i="6" s="1"/>
  <c r="AN30" i="38"/>
  <c r="D30" i="6" s="1"/>
  <c r="AN66" i="38"/>
  <c r="D66" i="6" s="1"/>
  <c r="AN112" i="38"/>
  <c r="D112" i="6" s="1"/>
  <c r="AN155" i="38"/>
  <c r="D155" i="6" s="1"/>
  <c r="AN186" i="38"/>
  <c r="D186" i="6" s="1"/>
  <c r="AN225" i="38"/>
  <c r="D225" i="6" s="1"/>
  <c r="AN203" i="38"/>
  <c r="D203" i="6" s="1"/>
  <c r="AN259" i="38"/>
  <c r="D259" i="6" s="1"/>
  <c r="E21" i="7"/>
  <c r="F21" i="7" s="1"/>
  <c r="AU22" i="38"/>
  <c r="AN11" i="38"/>
  <c r="D11" i="6" s="1"/>
  <c r="AN12" i="38"/>
  <c r="D12" i="6" s="1"/>
  <c r="AN13" i="38"/>
  <c r="D13" i="6" s="1"/>
  <c r="AN20" i="38"/>
  <c r="D20" i="6" s="1"/>
  <c r="AN19" i="38"/>
  <c r="D19" i="6" s="1"/>
  <c r="AN26" i="38"/>
  <c r="D26" i="6" s="1"/>
  <c r="AN27" i="38"/>
  <c r="D27" i="6" s="1"/>
  <c r="AN33" i="38"/>
  <c r="D33" i="6" s="1"/>
  <c r="AN34" i="38"/>
  <c r="D34" i="6" s="1"/>
  <c r="AN40" i="38"/>
  <c r="D40" i="6" s="1"/>
  <c r="AN41" i="38"/>
  <c r="D41" i="6" s="1"/>
  <c r="AN47" i="38"/>
  <c r="D47" i="6" s="1"/>
  <c r="AN48" i="38"/>
  <c r="D48" i="6" s="1"/>
  <c r="AN54" i="38"/>
  <c r="D54" i="6" s="1"/>
  <c r="AN55" i="38"/>
  <c r="D55" i="6" s="1"/>
  <c r="AN61" i="38"/>
  <c r="D61" i="6" s="1"/>
  <c r="AN62" i="38"/>
  <c r="D62" i="6" s="1"/>
  <c r="AN68" i="38"/>
  <c r="D68" i="6" s="1"/>
  <c r="AN69" i="38"/>
  <c r="D69" i="6" s="1"/>
  <c r="AN75" i="38"/>
  <c r="D75" i="6" s="1"/>
  <c r="AN76" i="38"/>
  <c r="D76" i="6" s="1"/>
  <c r="AN82" i="38"/>
  <c r="D82" i="6" s="1"/>
  <c r="AN83" i="38"/>
  <c r="D83" i="6" s="1"/>
  <c r="AN89" i="38"/>
  <c r="D89" i="6" s="1"/>
  <c r="AN90" i="38"/>
  <c r="D90" i="6" s="1"/>
  <c r="AN96" i="38"/>
  <c r="D96" i="6" s="1"/>
  <c r="AN97" i="38"/>
  <c r="D97" i="6" s="1"/>
  <c r="AN102" i="38"/>
  <c r="D102" i="6" s="1"/>
  <c r="AN103" i="38"/>
  <c r="D103" i="6" s="1"/>
  <c r="AN104" i="38"/>
  <c r="D104" i="6" s="1"/>
  <c r="AN105" i="38"/>
  <c r="D105" i="6" s="1"/>
  <c r="AN110" i="38"/>
  <c r="D110" i="6" s="1"/>
  <c r="AN111" i="38"/>
  <c r="D111" i="6" s="1"/>
  <c r="AN117" i="38"/>
  <c r="D117" i="6" s="1"/>
  <c r="AN118" i="38"/>
  <c r="D118" i="6" s="1"/>
  <c r="AN125" i="38"/>
  <c r="D125" i="6" s="1"/>
  <c r="AN126" i="38"/>
  <c r="D126" i="6" s="1"/>
  <c r="AN124" i="38"/>
  <c r="D124" i="6" s="1"/>
  <c r="AN131" i="38"/>
  <c r="D131" i="6" s="1"/>
  <c r="AN132" i="38"/>
  <c r="D132" i="6" s="1"/>
  <c r="AN138" i="38"/>
  <c r="D138" i="6" s="1"/>
  <c r="AN139" i="38"/>
  <c r="D139" i="6" s="1"/>
  <c r="AN143" i="38"/>
  <c r="D143" i="6" s="1"/>
  <c r="AN145" i="38"/>
  <c r="D145" i="6" s="1"/>
  <c r="AN146" i="38"/>
  <c r="D146" i="6" s="1"/>
  <c r="AN152" i="38"/>
  <c r="D152" i="6" s="1"/>
  <c r="AN153" i="38"/>
  <c r="D153" i="6" s="1"/>
  <c r="AN154" i="38"/>
  <c r="D154" i="6" s="1"/>
  <c r="AN159" i="38"/>
  <c r="D159" i="6" s="1"/>
  <c r="AN160" i="38"/>
  <c r="D160" i="6" s="1"/>
  <c r="AN166" i="38"/>
  <c r="D166" i="6" s="1"/>
  <c r="AN164" i="38"/>
  <c r="D164" i="6" s="1"/>
  <c r="AN167" i="38"/>
  <c r="D167" i="6" s="1"/>
  <c r="AN173" i="38"/>
  <c r="D173" i="6" s="1"/>
  <c r="AN174" i="38"/>
  <c r="D174" i="6" s="1"/>
  <c r="AN180" i="38"/>
  <c r="D180" i="6" s="1"/>
  <c r="AN188" i="38"/>
  <c r="D188" i="6" s="1"/>
  <c r="AN181" i="38"/>
  <c r="D181" i="6" s="1"/>
  <c r="AN187" i="38"/>
  <c r="D187" i="6" s="1"/>
  <c r="AN194" i="38"/>
  <c r="D194" i="6" s="1"/>
  <c r="AN195" i="38"/>
  <c r="D195" i="6" s="1"/>
  <c r="AN201" i="38"/>
  <c r="D201" i="6" s="1"/>
  <c r="AN202" i="38"/>
  <c r="D202" i="6" s="1"/>
  <c r="AN208" i="38"/>
  <c r="D208" i="6" s="1"/>
  <c r="AN209" i="38"/>
  <c r="D209" i="6" s="1"/>
  <c r="AN215" i="38"/>
  <c r="D215" i="6" s="1"/>
  <c r="AN216" i="38"/>
  <c r="D216" i="6" s="1"/>
  <c r="AN222" i="38"/>
  <c r="D222" i="6" s="1"/>
  <c r="AN223" i="38"/>
  <c r="D223" i="6" s="1"/>
  <c r="AN229" i="38"/>
  <c r="D229" i="6" s="1"/>
  <c r="AN230" i="38"/>
  <c r="D230" i="6" s="1"/>
  <c r="AN236" i="38"/>
  <c r="D236" i="6" s="1"/>
  <c r="AN237" i="38"/>
  <c r="D237" i="6" s="1"/>
  <c r="AN243" i="38"/>
  <c r="D243" i="6" s="1"/>
  <c r="AN244" i="38"/>
  <c r="D244" i="6" s="1"/>
  <c r="AN250" i="38"/>
  <c r="D250" i="6" s="1"/>
  <c r="AN251" i="38"/>
  <c r="D251" i="6" s="1"/>
  <c r="AN257" i="38"/>
  <c r="D257" i="6" s="1"/>
  <c r="AN258" i="38"/>
  <c r="D258" i="6" s="1"/>
  <c r="AN264" i="38"/>
  <c r="D264" i="6" s="1"/>
  <c r="AN265" i="38"/>
  <c r="D265" i="6" s="1"/>
  <c r="AN271" i="38"/>
  <c r="D271" i="6" s="1"/>
  <c r="AN272" i="38"/>
  <c r="D272" i="6" s="1"/>
  <c r="AN278" i="38"/>
  <c r="D278" i="6" s="1"/>
  <c r="AN279" i="38"/>
  <c r="D279" i="6" s="1"/>
  <c r="AN281" i="38"/>
  <c r="D281" i="6" s="1"/>
  <c r="AN285" i="38"/>
  <c r="D285" i="6" s="1"/>
  <c r="AN286" i="38"/>
  <c r="D286" i="6" s="1"/>
  <c r="AN292" i="38"/>
  <c r="D292" i="6" s="1"/>
  <c r="AN293" i="38"/>
  <c r="D293" i="6" s="1"/>
  <c r="AN299" i="38"/>
  <c r="D299" i="6" s="1"/>
  <c r="AN300" i="38"/>
  <c r="D300" i="6" s="1"/>
  <c r="AN306" i="38"/>
  <c r="D306" i="6" s="1"/>
  <c r="AN307" i="38"/>
  <c r="D307" i="6" s="1"/>
  <c r="AN310" i="38"/>
  <c r="D310" i="6" s="1"/>
  <c r="AN313" i="38"/>
  <c r="D313" i="6" s="1"/>
  <c r="AN314" i="38"/>
  <c r="D314" i="6" s="1"/>
  <c r="AN320" i="38"/>
  <c r="D320" i="6" s="1"/>
  <c r="AN321" i="38"/>
  <c r="D321" i="6" s="1"/>
  <c r="AN327" i="38"/>
  <c r="D327" i="6" s="1"/>
  <c r="AN328" i="38"/>
  <c r="D328" i="6" s="1"/>
  <c r="AN334" i="38"/>
  <c r="D334" i="6" s="1"/>
  <c r="AN335" i="38"/>
  <c r="D335" i="6" s="1"/>
  <c r="AN348" i="38"/>
  <c r="D348" i="6" s="1"/>
  <c r="AN341" i="38"/>
  <c r="D341" i="6" s="1"/>
  <c r="AN355" i="38"/>
  <c r="D355" i="6" s="1"/>
  <c r="AN362" i="38"/>
  <c r="D362" i="6" s="1"/>
  <c r="AN364" i="38"/>
  <c r="D364" i="6" s="1"/>
  <c r="AN342" i="38"/>
  <c r="D342" i="6" s="1"/>
  <c r="AN363" i="38"/>
  <c r="D363" i="6" s="1"/>
  <c r="AN365" i="38"/>
  <c r="D365" i="6" s="1"/>
  <c r="AN356" i="38"/>
  <c r="D356" i="6" s="1"/>
  <c r="AN349" i="38"/>
  <c r="D349" i="6" s="1"/>
  <c r="AN370" i="38"/>
  <c r="D370" i="6" s="1"/>
  <c r="AN369" i="38"/>
  <c r="D369" i="6" s="1"/>
  <c r="AN6" i="38"/>
  <c r="D6" i="6" s="1"/>
  <c r="V374" i="38"/>
  <c r="E9" i="49"/>
  <c r="E15" i="49"/>
  <c r="E11" i="49"/>
  <c r="E13" i="49"/>
  <c r="E5" i="49"/>
  <c r="E10" i="49"/>
  <c r="E24" i="49"/>
  <c r="E16" i="49"/>
  <c r="E17" i="49"/>
  <c r="E22" i="49"/>
  <c r="E19" i="49"/>
  <c r="E23" i="49"/>
  <c r="E6" i="49"/>
  <c r="E12" i="49"/>
  <c r="E21" i="49"/>
  <c r="E8" i="49"/>
  <c r="E18" i="49"/>
  <c r="E25" i="49"/>
  <c r="E14" i="49"/>
  <c r="E20" i="49"/>
  <c r="AN196" i="38" l="1"/>
  <c r="D196" i="6" s="1"/>
  <c r="AN142" i="38"/>
  <c r="D142" i="6" s="1"/>
  <c r="AN133" i="38"/>
  <c r="D133" i="6" s="1"/>
  <c r="AN70" i="38"/>
  <c r="D70" i="6" s="1"/>
  <c r="AN276" i="38"/>
  <c r="D276" i="6" s="1"/>
  <c r="AN233" i="38"/>
  <c r="D233" i="6" s="1"/>
  <c r="AN114" i="38"/>
  <c r="D114" i="6" s="1"/>
  <c r="AN238" i="38"/>
  <c r="D238" i="6" s="1"/>
  <c r="AN23" i="38"/>
  <c r="D23" i="6" s="1"/>
  <c r="AN189" i="38"/>
  <c r="D189" i="6" s="1"/>
  <c r="AN268" i="38"/>
  <c r="D268" i="6" s="1"/>
  <c r="AN367" i="38"/>
  <c r="D367" i="6" s="1"/>
  <c r="AN192" i="38"/>
  <c r="D192" i="6" s="1"/>
  <c r="AN151" i="38"/>
  <c r="D151" i="6" s="1"/>
  <c r="AN74" i="38"/>
  <c r="D74" i="6" s="1"/>
  <c r="AN305" i="38"/>
  <c r="D305" i="6" s="1"/>
  <c r="AN336" i="38"/>
  <c r="D336" i="6" s="1"/>
  <c r="AN28" i="38"/>
  <c r="D28" i="6" s="1"/>
  <c r="AN179" i="38"/>
  <c r="D179" i="6" s="1"/>
  <c r="AN345" i="38"/>
  <c r="D345" i="6" s="1"/>
  <c r="AN85" i="38"/>
  <c r="D85" i="6" s="1"/>
  <c r="AN122" i="38"/>
  <c r="D122" i="6" s="1"/>
  <c r="AN51" i="38"/>
  <c r="D51" i="6" s="1"/>
  <c r="AN354" i="38"/>
  <c r="D354" i="6" s="1"/>
  <c r="AN331" i="38"/>
  <c r="D331" i="6" s="1"/>
  <c r="AN267" i="38"/>
  <c r="D267" i="6" s="1"/>
  <c r="AN351" i="38"/>
  <c r="D351" i="6" s="1"/>
  <c r="AN239" i="38"/>
  <c r="D239" i="6" s="1"/>
  <c r="AN193" i="38"/>
  <c r="D193" i="6" s="1"/>
  <c r="AN52" i="38"/>
  <c r="D52" i="6" s="1"/>
  <c r="AN290" i="38"/>
  <c r="D290" i="6" s="1"/>
  <c r="AN10" i="38"/>
  <c r="D10" i="6" s="1"/>
  <c r="AN269" i="38"/>
  <c r="D269" i="6" s="1"/>
  <c r="AN235" i="38"/>
  <c r="D235" i="6" s="1"/>
  <c r="AN176" i="38"/>
  <c r="D176" i="6" s="1"/>
  <c r="AN7" i="38"/>
  <c r="D7" i="6" s="1"/>
  <c r="AN50" i="38"/>
  <c r="D50" i="6" s="1"/>
  <c r="AN296" i="38"/>
  <c r="D296" i="6" s="1"/>
  <c r="AN260" i="38"/>
  <c r="D260" i="6" s="1"/>
  <c r="AN115" i="38"/>
  <c r="D115" i="6" s="1"/>
  <c r="AN71" i="38"/>
  <c r="D71" i="6" s="1"/>
  <c r="AN315" i="38"/>
  <c r="D315" i="6" s="1"/>
  <c r="AN232" i="38"/>
  <c r="D232" i="6" s="1"/>
  <c r="AN171" i="38"/>
  <c r="D171" i="6" s="1"/>
  <c r="AN123" i="38"/>
  <c r="D123" i="6" s="1"/>
  <c r="AN87" i="38"/>
  <c r="D87" i="6" s="1"/>
  <c r="AN17" i="38"/>
  <c r="D17" i="6" s="1"/>
  <c r="AN352" i="38"/>
  <c r="D352" i="6" s="1"/>
  <c r="AN107" i="38"/>
  <c r="D107" i="6" s="1"/>
  <c r="AN338" i="38"/>
  <c r="D338" i="6" s="1"/>
  <c r="AN212" i="38"/>
  <c r="D212" i="6" s="1"/>
  <c r="AN162" i="38"/>
  <c r="D162" i="6" s="1"/>
  <c r="AN49" i="38"/>
  <c r="D49" i="6" s="1"/>
  <c r="AN372" i="38"/>
  <c r="D372" i="6" s="1"/>
  <c r="AN199" i="38"/>
  <c r="D199" i="6" s="1"/>
  <c r="AN29" i="38"/>
  <c r="D29" i="6" s="1"/>
  <c r="AN78" i="38"/>
  <c r="D78" i="6" s="1"/>
  <c r="AN94" i="38"/>
  <c r="D94" i="6" s="1"/>
  <c r="AN295" i="38"/>
  <c r="D295" i="6" s="1"/>
  <c r="AN168" i="38"/>
  <c r="D168" i="6" s="1"/>
  <c r="AN42" i="38"/>
  <c r="D42" i="6" s="1"/>
  <c r="AN294" i="38"/>
  <c r="D294" i="6" s="1"/>
  <c r="AN224" i="38"/>
  <c r="D224" i="6" s="1"/>
  <c r="AN169" i="38"/>
  <c r="D169" i="6" s="1"/>
  <c r="AN116" i="38"/>
  <c r="D116" i="6" s="1"/>
  <c r="AN65" i="38"/>
  <c r="D65" i="6" s="1"/>
  <c r="AN340" i="38"/>
  <c r="D340" i="6" s="1"/>
  <c r="AN8" i="38"/>
  <c r="AN373" i="38"/>
  <c r="D373" i="6" s="1"/>
  <c r="AN21" i="38"/>
  <c r="D21" i="6" s="1"/>
  <c r="AN150" i="38"/>
  <c r="D150" i="6" s="1"/>
  <c r="AN136" i="38"/>
  <c r="D136" i="6" s="1"/>
  <c r="AN343" i="38"/>
  <c r="D343" i="6" s="1"/>
  <c r="AN73" i="38"/>
  <c r="D73" i="6" s="1"/>
  <c r="AN311" i="38"/>
  <c r="D311" i="6" s="1"/>
  <c r="AN100" i="38"/>
  <c r="D100" i="6" s="1"/>
  <c r="AN231" i="38"/>
  <c r="D231" i="6" s="1"/>
  <c r="AN72" i="38"/>
  <c r="D72" i="6" s="1"/>
  <c r="AN39" i="38"/>
  <c r="D39" i="6" s="1"/>
  <c r="AN291" i="38"/>
  <c r="D291" i="6" s="1"/>
  <c r="AN219" i="38"/>
  <c r="D219" i="6" s="1"/>
  <c r="AN119" i="38"/>
  <c r="D119" i="6" s="1"/>
  <c r="AN63" i="38"/>
  <c r="D63" i="6" s="1"/>
  <c r="AN18" i="38"/>
  <c r="D18" i="6" s="1"/>
  <c r="AN228" i="38"/>
  <c r="D228" i="6" s="1"/>
  <c r="AN67" i="38"/>
  <c r="D67" i="6" s="1"/>
  <c r="AN37" i="38"/>
  <c r="D37" i="6" s="1"/>
  <c r="AN283" i="38"/>
  <c r="D283" i="6" s="1"/>
  <c r="AN220" i="38"/>
  <c r="D220" i="6" s="1"/>
  <c r="AN163" i="38"/>
  <c r="D163" i="6" s="1"/>
  <c r="AN120" i="38"/>
  <c r="D120" i="6" s="1"/>
  <c r="AN64" i="38"/>
  <c r="D64" i="6" s="1"/>
  <c r="AN15" i="38"/>
  <c r="D15" i="6" s="1"/>
  <c r="AN256" i="38"/>
  <c r="D256" i="6" s="1"/>
  <c r="AN371" i="38"/>
  <c r="D371" i="6" s="1"/>
  <c r="AN253" i="38"/>
  <c r="D253" i="6" s="1"/>
  <c r="AN249" i="38"/>
  <c r="D249" i="6" s="1"/>
  <c r="AN80" i="38"/>
  <c r="D80" i="6" s="1"/>
  <c r="AN266" i="38"/>
  <c r="D266" i="6" s="1"/>
  <c r="AN156" i="38"/>
  <c r="D156" i="6" s="1"/>
  <c r="AN312" i="38"/>
  <c r="D312" i="6" s="1"/>
  <c r="AN211" i="38"/>
  <c r="D211" i="6" s="1"/>
  <c r="AN58" i="38"/>
  <c r="D58" i="6" s="1"/>
  <c r="AN108" i="38"/>
  <c r="D108" i="6" s="1"/>
  <c r="AN44" i="38"/>
  <c r="D44" i="6" s="1"/>
  <c r="AN218" i="38"/>
  <c r="D218" i="6" s="1"/>
  <c r="AN56" i="38"/>
  <c r="D56" i="6" s="1"/>
  <c r="AN31" i="38"/>
  <c r="D31" i="6" s="1"/>
  <c r="AN277" i="38"/>
  <c r="D277" i="6" s="1"/>
  <c r="AN207" i="38"/>
  <c r="D207" i="6" s="1"/>
  <c r="AN157" i="38"/>
  <c r="D157" i="6" s="1"/>
  <c r="AN109" i="38"/>
  <c r="D109" i="6" s="1"/>
  <c r="AN57" i="38"/>
  <c r="D57" i="6" s="1"/>
  <c r="AN45" i="38"/>
  <c r="D45" i="6" s="1"/>
  <c r="AN198" i="38"/>
  <c r="D198" i="6" s="1"/>
  <c r="AN43" i="38"/>
  <c r="D43" i="6" s="1"/>
  <c r="AN182" i="38"/>
  <c r="D182" i="6" s="1"/>
  <c r="AN353" i="38"/>
  <c r="D353" i="6" s="1"/>
  <c r="AN322" i="38"/>
  <c r="D322" i="6" s="1"/>
  <c r="AN339" i="38"/>
  <c r="D339" i="6" s="1"/>
  <c r="AN170" i="38"/>
  <c r="D170" i="6" s="1"/>
  <c r="AN263" i="38"/>
  <c r="D263" i="6" s="1"/>
  <c r="AN282" i="38"/>
  <c r="D282" i="6" s="1"/>
  <c r="AD377" i="38"/>
  <c r="G16" i="24" s="1"/>
  <c r="AN204" i="38"/>
  <c r="D204" i="6" s="1"/>
  <c r="AN135" i="38"/>
  <c r="D135" i="6" s="1"/>
  <c r="AN325" i="38"/>
  <c r="D325" i="6" s="1"/>
  <c r="AN288" i="38"/>
  <c r="D288" i="6" s="1"/>
  <c r="AN213" i="38"/>
  <c r="D213" i="6" s="1"/>
  <c r="AN36" i="38"/>
  <c r="D36" i="6" s="1"/>
  <c r="AN261" i="38"/>
  <c r="D261" i="6" s="1"/>
  <c r="AN210" i="38"/>
  <c r="D210" i="6" s="1"/>
  <c r="AN148" i="38"/>
  <c r="D148" i="6" s="1"/>
  <c r="AN106" i="38"/>
  <c r="D106" i="6" s="1"/>
  <c r="AN46" i="38"/>
  <c r="D46" i="6" s="1"/>
  <c r="AN329" i="38"/>
  <c r="D329" i="6" s="1"/>
  <c r="AN86" i="38"/>
  <c r="D86" i="6" s="1"/>
  <c r="AN137" i="38"/>
  <c r="D137" i="6" s="1"/>
  <c r="AN32" i="38"/>
  <c r="D32" i="6" s="1"/>
  <c r="AN205" i="38"/>
  <c r="D205" i="6" s="1"/>
  <c r="AN127" i="38"/>
  <c r="D127" i="6" s="1"/>
  <c r="AN234" i="38"/>
  <c r="D234" i="6" s="1"/>
  <c r="AN134" i="38"/>
  <c r="D134" i="6" s="1"/>
  <c r="AN9" i="38"/>
  <c r="D9" i="6" s="1"/>
  <c r="AN262" i="38"/>
  <c r="D262" i="6" s="1"/>
  <c r="AN101" i="38"/>
  <c r="D101" i="6" s="1"/>
  <c r="AN35" i="38"/>
  <c r="D35" i="6" s="1"/>
  <c r="AN183" i="38"/>
  <c r="D183" i="6" s="1"/>
  <c r="AN25" i="38"/>
  <c r="D25" i="6" s="1"/>
  <c r="AN361" i="38"/>
  <c r="D361" i="6" s="1"/>
  <c r="AN226" i="38"/>
  <c r="D226" i="6" s="1"/>
  <c r="AN24" i="38"/>
  <c r="D24" i="6" s="1"/>
  <c r="AN161" i="38"/>
  <c r="D161" i="6" s="1"/>
  <c r="AN113" i="38"/>
  <c r="D113" i="6" s="1"/>
  <c r="AN14" i="38"/>
  <c r="D14" i="6" s="1"/>
  <c r="AN252" i="38"/>
  <c r="D252" i="6" s="1"/>
  <c r="AN178" i="38"/>
  <c r="D178" i="6" s="1"/>
  <c r="AN270" i="38"/>
  <c r="D270" i="6" s="1"/>
  <c r="AN333" i="38"/>
  <c r="D333" i="6" s="1"/>
  <c r="AN206" i="38"/>
  <c r="D206" i="6" s="1"/>
  <c r="AN81" i="38"/>
  <c r="D81" i="6" s="1"/>
  <c r="AN92" i="38"/>
  <c r="D92" i="6" s="1"/>
  <c r="AN197" i="38"/>
  <c r="D197" i="6" s="1"/>
  <c r="AN344" i="38"/>
  <c r="D344" i="6" s="1"/>
  <c r="AN129" i="38"/>
  <c r="D129" i="6" s="1"/>
  <c r="AN99" i="38"/>
  <c r="D99" i="6" s="1"/>
  <c r="AN297" i="38"/>
  <c r="D297" i="6" s="1"/>
  <c r="AN248" i="38"/>
  <c r="D248" i="6" s="1"/>
  <c r="AN184" i="38"/>
  <c r="D184" i="6" s="1"/>
  <c r="AN140" i="38"/>
  <c r="D140" i="6" s="1"/>
  <c r="AN93" i="38"/>
  <c r="D93" i="6" s="1"/>
  <c r="AN360" i="38"/>
  <c r="D360" i="6" s="1"/>
  <c r="AN149" i="38"/>
  <c r="D149" i="6" s="1"/>
  <c r="AN16" i="38"/>
  <c r="D16" i="6" s="1"/>
  <c r="AN241" i="38"/>
  <c r="D241" i="6" s="1"/>
  <c r="AN302" i="38"/>
  <c r="D302" i="6" s="1"/>
  <c r="AN128" i="38"/>
  <c r="D128" i="6" s="1"/>
  <c r="AN79" i="38"/>
  <c r="D79" i="6" s="1"/>
  <c r="AN301" i="38"/>
  <c r="D301" i="6" s="1"/>
  <c r="AN240" i="38"/>
  <c r="D240" i="6" s="1"/>
  <c r="AN130" i="38"/>
  <c r="D130" i="6" s="1"/>
  <c r="AN255" i="38"/>
  <c r="D255" i="6" s="1"/>
  <c r="AN77" i="38"/>
  <c r="D77" i="6" s="1"/>
  <c r="AN330" i="38"/>
  <c r="D330" i="6" s="1"/>
  <c r="E6" i="7"/>
  <c r="F6" i="7" s="1"/>
  <c r="AU7" i="38"/>
  <c r="AI7" i="38"/>
  <c r="AI374" i="38" s="1"/>
  <c r="E7" i="49"/>
  <c r="E28" i="49" s="1"/>
  <c r="E4" i="49"/>
  <c r="E120" i="7"/>
  <c r="F120" i="7" s="1"/>
  <c r="V377" i="38"/>
  <c r="G10" i="24" s="1"/>
  <c r="A7" i="38"/>
  <c r="A5" i="38"/>
  <c r="A39" i="48" s="1"/>
  <c r="C7" i="38"/>
  <c r="F374" i="7" l="1"/>
  <c r="E374" i="7"/>
  <c r="E27" i="49"/>
  <c r="D8" i="6"/>
  <c r="D5" i="6"/>
  <c r="AM5" i="38"/>
  <c r="A8" i="38"/>
  <c r="A382" i="38"/>
  <c r="G18" i="24" s="1"/>
  <c r="A38" i="48"/>
  <c r="D5" i="38"/>
  <c r="I5" i="48"/>
  <c r="F5" i="48"/>
  <c r="Q5" i="48"/>
  <c r="H5" i="48"/>
  <c r="L5" i="48"/>
  <c r="D5" i="48"/>
  <c r="E5" i="48" s="1"/>
  <c r="X5" i="48"/>
  <c r="N5" i="48"/>
  <c r="M5" i="48"/>
  <c r="G5" i="48"/>
  <c r="I6" i="48"/>
  <c r="Q6" i="48"/>
  <c r="F6" i="48"/>
  <c r="X6" i="48"/>
  <c r="D6" i="48"/>
  <c r="E6" i="48" s="1"/>
  <c r="L6" i="48"/>
  <c r="H6" i="48"/>
  <c r="G6" i="48"/>
  <c r="X7" i="48"/>
  <c r="I7" i="48"/>
  <c r="D7" i="48"/>
  <c r="F7" i="48"/>
  <c r="L7" i="48"/>
  <c r="Q7" i="48"/>
  <c r="J5" i="48"/>
  <c r="R5" i="48"/>
  <c r="J6" i="48"/>
  <c r="C5" i="48"/>
  <c r="C3" i="23"/>
  <c r="B3" i="23" s="1"/>
  <c r="R6" i="48"/>
  <c r="G7" i="48"/>
  <c r="R7" i="48"/>
  <c r="J7" i="48"/>
  <c r="H7" i="48"/>
  <c r="A29" i="24"/>
  <c r="A6" i="7"/>
  <c r="B7" i="38"/>
  <c r="AS7" i="38"/>
  <c r="D7" i="38"/>
  <c r="AM7" i="38"/>
  <c r="AX7" i="38"/>
  <c r="AZ6" i="7"/>
  <c r="C6" i="7"/>
  <c r="AX5" i="38"/>
  <c r="E7" i="48" l="1"/>
  <c r="AT6" i="38"/>
  <c r="AT7" i="38" s="1"/>
  <c r="AO6" i="38"/>
  <c r="AO7" i="38" s="1"/>
  <c r="W5" i="48"/>
  <c r="A7" i="7"/>
  <c r="A30" i="24"/>
  <c r="AS8" i="38"/>
  <c r="B8" i="38"/>
  <c r="AM8" i="38"/>
  <c r="D8" i="38"/>
  <c r="A9" i="38"/>
  <c r="V5" i="38"/>
  <c r="B6" i="7"/>
  <c r="D6" i="7"/>
  <c r="Y7" i="38"/>
  <c r="Z7" i="38"/>
  <c r="U5" i="48"/>
  <c r="T5" i="48"/>
  <c r="S5" i="48"/>
  <c r="C7" i="7"/>
  <c r="C8" i="38"/>
  <c r="AX8" i="38"/>
  <c r="AZ7" i="7"/>
  <c r="AJ5" i="38" l="1"/>
  <c r="AK5" i="38"/>
  <c r="AL5" i="38"/>
  <c r="AB5" i="38"/>
  <c r="A8" i="7"/>
  <c r="A31" i="24"/>
  <c r="AS9" i="38"/>
  <c r="B9" i="38"/>
  <c r="D9" i="38"/>
  <c r="AM9" i="38"/>
  <c r="A10" i="38"/>
  <c r="D9" i="48" s="1"/>
  <c r="L8" i="48"/>
  <c r="X8" i="48"/>
  <c r="H8" i="48"/>
  <c r="J8" i="48"/>
  <c r="Q8" i="48"/>
  <c r="D8" i="48"/>
  <c r="F8" i="48"/>
  <c r="I8" i="48"/>
  <c r="G8" i="48"/>
  <c r="R8" i="48"/>
  <c r="AO8" i="38"/>
  <c r="Z8" i="38"/>
  <c r="AY8" i="38" s="1"/>
  <c r="Y8" i="38"/>
  <c r="AT8" i="38"/>
  <c r="AK7" i="38"/>
  <c r="AB7" i="38"/>
  <c r="AJ7" i="38"/>
  <c r="AL7" i="38"/>
  <c r="AA7" i="38"/>
  <c r="B7" i="7"/>
  <c r="D7" i="7"/>
  <c r="AY7" i="38"/>
  <c r="N6" i="48"/>
  <c r="AX9" i="38"/>
  <c r="AZ8" i="7"/>
  <c r="C8" i="7"/>
  <c r="C9" i="38"/>
  <c r="H9" i="48" l="1"/>
  <c r="F9" i="48"/>
  <c r="R9" i="48"/>
  <c r="J9" i="48"/>
  <c r="G9" i="48"/>
  <c r="I9" i="48"/>
  <c r="Q9" i="48"/>
  <c r="L9" i="48"/>
  <c r="X9" i="48"/>
  <c r="AT9" i="38"/>
  <c r="E8" i="48"/>
  <c r="D8" i="7"/>
  <c r="B8" i="7"/>
  <c r="E9" i="48"/>
  <c r="AJ8" i="38"/>
  <c r="AA8" i="38"/>
  <c r="AV8" i="38" s="1"/>
  <c r="E8" i="38" s="1"/>
  <c r="C7" i="48" s="1"/>
  <c r="AK8" i="38"/>
  <c r="AB8" i="38"/>
  <c r="AL8" i="38"/>
  <c r="M7" i="48"/>
  <c r="AZ8" i="38"/>
  <c r="AZ7" i="38"/>
  <c r="A11" i="38"/>
  <c r="A9" i="7"/>
  <c r="A32" i="24"/>
  <c r="B10" i="38"/>
  <c r="AS10" i="38"/>
  <c r="D10" i="38"/>
  <c r="AM10" i="38"/>
  <c r="AV7" i="38"/>
  <c r="Z9" i="38"/>
  <c r="Y9" i="38"/>
  <c r="AO9" i="38"/>
  <c r="C10" i="38"/>
  <c r="AX10" i="38"/>
  <c r="AZ9" i="7"/>
  <c r="C11" i="38"/>
  <c r="C9" i="7"/>
  <c r="B9" i="7" l="1"/>
  <c r="D9" i="7"/>
  <c r="AS11" i="38"/>
  <c r="AM11" i="38"/>
  <c r="B11" i="38"/>
  <c r="A12" i="38"/>
  <c r="Q11" i="48" s="1"/>
  <c r="D11" i="38"/>
  <c r="A10" i="7"/>
  <c r="A33" i="24"/>
  <c r="F10" i="48"/>
  <c r="L11" i="48"/>
  <c r="H11" i="48"/>
  <c r="G10" i="48"/>
  <c r="D10" i="48"/>
  <c r="E10" i="48" s="1"/>
  <c r="Q10" i="48"/>
  <c r="I11" i="48"/>
  <c r="X10" i="48"/>
  <c r="I10" i="48"/>
  <c r="H10" i="48"/>
  <c r="L10" i="48"/>
  <c r="J10" i="48"/>
  <c r="R10" i="48"/>
  <c r="S7" i="48"/>
  <c r="T7" i="48"/>
  <c r="U7" i="48"/>
  <c r="P7" i="48"/>
  <c r="O7" i="48"/>
  <c r="AK9" i="38"/>
  <c r="AJ9" i="38"/>
  <c r="AB9" i="38"/>
  <c r="AL9" i="38"/>
  <c r="AA9" i="38"/>
  <c r="AY9" i="38"/>
  <c r="N8" i="48"/>
  <c r="E7" i="38"/>
  <c r="C6" i="48" s="1"/>
  <c r="C4" i="23"/>
  <c r="B4" i="23" s="1"/>
  <c r="Z10" i="38"/>
  <c r="AY10" i="38" s="1"/>
  <c r="Y10" i="38"/>
  <c r="AO10" i="38"/>
  <c r="AT10" i="38"/>
  <c r="AT11" i="38" s="1"/>
  <c r="AZ10" i="7"/>
  <c r="AX11" i="38"/>
  <c r="C12" i="38"/>
  <c r="C10" i="7"/>
  <c r="G11" i="48" l="1"/>
  <c r="F11" i="48"/>
  <c r="J11" i="48"/>
  <c r="D11" i="48"/>
  <c r="E11" i="48" s="1"/>
  <c r="X11" i="48"/>
  <c r="R11" i="48"/>
  <c r="B10" i="7"/>
  <c r="D10" i="7"/>
  <c r="AZ9" i="38"/>
  <c r="AZ10" i="38"/>
  <c r="AO11" i="38"/>
  <c r="AJ10" i="38"/>
  <c r="AL10" i="38"/>
  <c r="AK10" i="38"/>
  <c r="AB10" i="38"/>
  <c r="AA10" i="38"/>
  <c r="AV10" i="38" s="1"/>
  <c r="M9" i="48"/>
  <c r="AM12" i="38"/>
  <c r="AS12" i="38"/>
  <c r="A13" i="38"/>
  <c r="D12" i="38"/>
  <c r="AT12" i="38" s="1"/>
  <c r="B12" i="38"/>
  <c r="A11" i="7"/>
  <c r="A34" i="24"/>
  <c r="AV9" i="38"/>
  <c r="Y11" i="38"/>
  <c r="Z11" i="38"/>
  <c r="AY11" i="38" s="1"/>
  <c r="AZ11" i="7"/>
  <c r="AX12" i="38"/>
  <c r="C13" i="38"/>
  <c r="C11" i="7"/>
  <c r="B11" i="7" l="1"/>
  <c r="D11" i="7"/>
  <c r="AO12" i="38"/>
  <c r="B13" i="38"/>
  <c r="AS13" i="38"/>
  <c r="D13" i="38"/>
  <c r="AM13" i="38"/>
  <c r="AT13" i="38"/>
  <c r="A35" i="24"/>
  <c r="A12" i="7"/>
  <c r="A14" i="38"/>
  <c r="F13" i="48" s="1"/>
  <c r="F12" i="48"/>
  <c r="Q12" i="48"/>
  <c r="I12" i="48"/>
  <c r="L12" i="48"/>
  <c r="H12" i="48"/>
  <c r="J12" i="48"/>
  <c r="D12" i="48"/>
  <c r="G12" i="48"/>
  <c r="R12" i="48"/>
  <c r="X12" i="48"/>
  <c r="Z12" i="38"/>
  <c r="Y12" i="38"/>
  <c r="AZ11" i="38"/>
  <c r="S9" i="48"/>
  <c r="O9" i="48"/>
  <c r="T9" i="48"/>
  <c r="U9" i="48"/>
  <c r="P9" i="48"/>
  <c r="E10" i="38"/>
  <c r="C9" i="48" s="1"/>
  <c r="C7" i="23"/>
  <c r="B7" i="23" s="1"/>
  <c r="E9" i="38"/>
  <c r="C8" i="48" s="1"/>
  <c r="C6" i="23"/>
  <c r="B6" i="23" s="1"/>
  <c r="M6" i="48"/>
  <c r="AL11" i="38"/>
  <c r="AA11" i="38"/>
  <c r="AB11" i="38"/>
  <c r="AJ11" i="38"/>
  <c r="AK11" i="38"/>
  <c r="AZ12" i="7"/>
  <c r="AX13" i="38"/>
  <c r="C12" i="7"/>
  <c r="L13" i="48" l="1"/>
  <c r="R13" i="48"/>
  <c r="D13" i="48"/>
  <c r="E13" i="48" s="1"/>
  <c r="J13" i="48"/>
  <c r="E12" i="48"/>
  <c r="H13" i="48"/>
  <c r="G13" i="48"/>
  <c r="Q13" i="48"/>
  <c r="AK12" i="38"/>
  <c r="AJ12" i="38"/>
  <c r="AB12" i="38"/>
  <c r="AL12" i="38"/>
  <c r="AA12" i="38"/>
  <c r="AV12" i="38" s="1"/>
  <c r="N7" i="48"/>
  <c r="AY12" i="38"/>
  <c r="N11" i="48"/>
  <c r="T6" i="48"/>
  <c r="S6" i="48"/>
  <c r="P6" i="48"/>
  <c r="U6" i="48"/>
  <c r="O6" i="48"/>
  <c r="B6" i="6"/>
  <c r="B7" i="6" s="1"/>
  <c r="B8" i="6" s="1"/>
  <c r="B9" i="6" s="1"/>
  <c r="AV11" i="38"/>
  <c r="A36" i="24"/>
  <c r="A13" i="7"/>
  <c r="B14" i="38"/>
  <c r="AS14" i="38"/>
  <c r="D14" i="38"/>
  <c r="AT14" i="38" s="1"/>
  <c r="AM14" i="38"/>
  <c r="A15" i="38"/>
  <c r="B12" i="7"/>
  <c r="D12" i="7"/>
  <c r="Z13" i="38"/>
  <c r="N12" i="48" s="1"/>
  <c r="Y13" i="38"/>
  <c r="X13" i="48"/>
  <c r="AO13" i="38"/>
  <c r="I13" i="48"/>
  <c r="C13" i="7"/>
  <c r="C14" i="38"/>
  <c r="AX14" i="38"/>
  <c r="AZ13" i="7"/>
  <c r="A14" i="7" l="1"/>
  <c r="A37" i="24"/>
  <c r="B15" i="38"/>
  <c r="AS15" i="38"/>
  <c r="D15" i="38"/>
  <c r="AM15" i="38"/>
  <c r="A16" i="38"/>
  <c r="H15" i="48" s="1"/>
  <c r="J14" i="48"/>
  <c r="R14" i="48"/>
  <c r="X14" i="48"/>
  <c r="R15" i="48"/>
  <c r="L14" i="48"/>
  <c r="F14" i="48"/>
  <c r="J15" i="48"/>
  <c r="G14" i="48"/>
  <c r="H14" i="48"/>
  <c r="I14" i="48"/>
  <c r="Q14" i="48"/>
  <c r="Z14" i="38"/>
  <c r="Y14" i="38"/>
  <c r="W6" i="48"/>
  <c r="W7" i="48" s="1"/>
  <c r="AO14" i="38"/>
  <c r="M8" i="48"/>
  <c r="AJ13" i="38"/>
  <c r="AB13" i="38"/>
  <c r="AA13" i="38"/>
  <c r="AL13" i="38"/>
  <c r="AK13" i="38"/>
  <c r="B13" i="7"/>
  <c r="D13" i="7"/>
  <c r="AZ12" i="38"/>
  <c r="C5" i="23"/>
  <c r="B5" i="23" s="1"/>
  <c r="E12" i="38"/>
  <c r="C11" i="48" s="1"/>
  <c r="E11" i="38"/>
  <c r="C10" i="48" s="1"/>
  <c r="C8" i="23"/>
  <c r="B8" i="23" s="1"/>
  <c r="C14" i="7"/>
  <c r="C15" i="38"/>
  <c r="AX15" i="38"/>
  <c r="AZ14" i="7"/>
  <c r="Q15" i="48" l="1"/>
  <c r="L15" i="48"/>
  <c r="F15" i="48"/>
  <c r="I15" i="48"/>
  <c r="D15" i="48"/>
  <c r="E15" i="48" s="1"/>
  <c r="X15" i="48"/>
  <c r="G15" i="48"/>
  <c r="A38" i="24"/>
  <c r="A15" i="7"/>
  <c r="AS16" i="38"/>
  <c r="B16" i="38"/>
  <c r="D16" i="38"/>
  <c r="AM16" i="38"/>
  <c r="A17" i="38"/>
  <c r="Z15" i="38"/>
  <c r="AY15" i="38" s="1"/>
  <c r="Y15" i="38"/>
  <c r="AY13" i="38"/>
  <c r="AV13" i="38"/>
  <c r="E13" i="38" s="1"/>
  <c r="C12" i="48" s="1"/>
  <c r="AO15" i="38"/>
  <c r="O8" i="48"/>
  <c r="U8" i="48"/>
  <c r="S8" i="48"/>
  <c r="T8" i="48"/>
  <c r="P8" i="48"/>
  <c r="AT15" i="38"/>
  <c r="AB14" i="38"/>
  <c r="AL14" i="38"/>
  <c r="AK14" i="38"/>
  <c r="AJ14" i="38"/>
  <c r="AA14" i="38"/>
  <c r="M13" i="48"/>
  <c r="AY14" i="38"/>
  <c r="N13" i="48"/>
  <c r="B14" i="7"/>
  <c r="D14" i="7"/>
  <c r="AX16" i="38"/>
  <c r="AZ15" i="7"/>
  <c r="C16" i="38"/>
  <c r="C15" i="7"/>
  <c r="AO16" i="38" l="1"/>
  <c r="AT16" i="38"/>
  <c r="B15" i="7"/>
  <c r="D15" i="7"/>
  <c r="A39" i="24"/>
  <c r="A16" i="7"/>
  <c r="B17" i="38"/>
  <c r="AS17" i="38"/>
  <c r="D17" i="38"/>
  <c r="AO17" i="38" s="1"/>
  <c r="AM17" i="38"/>
  <c r="A18" i="38"/>
  <c r="T13" i="48"/>
  <c r="O13" i="48"/>
  <c r="S13" i="48"/>
  <c r="U13" i="48"/>
  <c r="P13" i="48"/>
  <c r="AV14" i="38"/>
  <c r="E14" i="38" s="1"/>
  <c r="C13" i="48" s="1"/>
  <c r="AZ15" i="38"/>
  <c r="AZ13" i="38"/>
  <c r="AZ14" i="38"/>
  <c r="AJ15" i="38"/>
  <c r="AK15" i="38"/>
  <c r="AL15" i="38"/>
  <c r="AB15" i="38"/>
  <c r="AA15" i="38"/>
  <c r="AV15" i="38" s="1"/>
  <c r="E15" i="38" s="1"/>
  <c r="Z16" i="38"/>
  <c r="AY16" i="38" s="1"/>
  <c r="Y16" i="38"/>
  <c r="W8" i="48"/>
  <c r="W9" i="48" s="1"/>
  <c r="W10" i="48" s="1"/>
  <c r="C16" i="7"/>
  <c r="C17" i="38"/>
  <c r="AX17" i="38"/>
  <c r="AZ16" i="7"/>
  <c r="A19" i="38" l="1"/>
  <c r="A17" i="7"/>
  <c r="A40" i="24"/>
  <c r="AS18" i="38"/>
  <c r="B18" i="38"/>
  <c r="D18" i="38"/>
  <c r="AO18" i="38" s="1"/>
  <c r="AM18" i="38"/>
  <c r="Z17" i="38"/>
  <c r="AY17" i="38" s="1"/>
  <c r="AZ17" i="38" s="1"/>
  <c r="Y17" i="38"/>
  <c r="AT17" i="38"/>
  <c r="D16" i="7"/>
  <c r="B16" i="7"/>
  <c r="AL16" i="38"/>
  <c r="AJ16" i="38"/>
  <c r="AK16" i="38"/>
  <c r="AB16" i="38"/>
  <c r="AA16" i="38"/>
  <c r="AV16" i="38" s="1"/>
  <c r="E16" i="38" s="1"/>
  <c r="AZ16" i="38"/>
  <c r="AX18" i="38"/>
  <c r="AZ17" i="7"/>
  <c r="C18" i="38"/>
  <c r="C17" i="7"/>
  <c r="C19" i="38"/>
  <c r="D19" i="38" l="1"/>
  <c r="AO19" i="38" s="1"/>
  <c r="B19" i="38"/>
  <c r="A20" i="38"/>
  <c r="AS19" i="38"/>
  <c r="AM19" i="38"/>
  <c r="A41" i="24"/>
  <c r="A18" i="7"/>
  <c r="D17" i="7"/>
  <c r="B17" i="7"/>
  <c r="AL17" i="38"/>
  <c r="AK17" i="38"/>
  <c r="AJ17" i="38"/>
  <c r="AB17" i="38"/>
  <c r="AA17" i="38"/>
  <c r="AV17" i="38" s="1"/>
  <c r="E17" i="38" s="1"/>
  <c r="Z18" i="38"/>
  <c r="AY18" i="38" s="1"/>
  <c r="AZ18" i="38" s="1"/>
  <c r="Y18" i="38"/>
  <c r="AT18" i="38"/>
  <c r="AT19" i="38" s="1"/>
  <c r="AZ18" i="7"/>
  <c r="AX19" i="38"/>
  <c r="C20" i="38"/>
  <c r="C18" i="7"/>
  <c r="D18" i="7" l="1"/>
  <c r="B18" i="7"/>
  <c r="AM20" i="38"/>
  <c r="B20" i="38"/>
  <c r="AS20" i="38"/>
  <c r="D20" i="38"/>
  <c r="AO20" i="38" s="1"/>
  <c r="A19" i="7"/>
  <c r="A42" i="24"/>
  <c r="A21" i="38"/>
  <c r="Z19" i="38"/>
  <c r="Y19" i="38"/>
  <c r="AK18" i="38"/>
  <c r="AL18" i="38"/>
  <c r="AJ18" i="38"/>
  <c r="AB18" i="38"/>
  <c r="AA18" i="38"/>
  <c r="AV18" i="38" s="1"/>
  <c r="E18" i="38" s="1"/>
  <c r="C19" i="7"/>
  <c r="AZ19" i="7"/>
  <c r="AX20" i="38"/>
  <c r="AT20" i="38" l="1"/>
  <c r="AJ19" i="38"/>
  <c r="AL19" i="38"/>
  <c r="AK19" i="38"/>
  <c r="AB19" i="38"/>
  <c r="AA19" i="38"/>
  <c r="AV19" i="38" s="1"/>
  <c r="E19" i="38" s="1"/>
  <c r="A20" i="7"/>
  <c r="A43" i="24"/>
  <c r="B21" i="38"/>
  <c r="AS21" i="38"/>
  <c r="D21" i="38"/>
  <c r="AO21" i="38" s="1"/>
  <c r="AM21" i="38"/>
  <c r="A22" i="38"/>
  <c r="Z20" i="38"/>
  <c r="Y20" i="38"/>
  <c r="N9" i="48"/>
  <c r="AY19" i="38"/>
  <c r="AZ19" i="38" s="1"/>
  <c r="D19" i="7"/>
  <c r="B19" i="7"/>
  <c r="AX21" i="38"/>
  <c r="AZ20" i="7"/>
  <c r="C20" i="7"/>
  <c r="C21" i="38"/>
  <c r="A21" i="7" l="1"/>
  <c r="A44" i="24"/>
  <c r="B22" i="38"/>
  <c r="AS22" i="38"/>
  <c r="D22" i="38"/>
  <c r="AO22" i="38" s="1"/>
  <c r="AM22" i="38"/>
  <c r="A23" i="38"/>
  <c r="N10" i="48"/>
  <c r="AY20" i="38"/>
  <c r="AZ20" i="38" s="1"/>
  <c r="M10" i="48"/>
  <c r="AL20" i="38"/>
  <c r="AA20" i="38"/>
  <c r="AK20" i="38"/>
  <c r="AJ20" i="38"/>
  <c r="AB20" i="38"/>
  <c r="D20" i="7"/>
  <c r="B20" i="7"/>
  <c r="Z21" i="38"/>
  <c r="AY21" i="38" s="1"/>
  <c r="Y21" i="38"/>
  <c r="AT21" i="38"/>
  <c r="C21" i="7"/>
  <c r="C22" i="38"/>
  <c r="AX22" i="38"/>
  <c r="AZ21" i="7"/>
  <c r="AZ21" i="38" l="1"/>
  <c r="A45" i="24"/>
  <c r="A22" i="7"/>
  <c r="B23" i="38"/>
  <c r="AS23" i="38"/>
  <c r="D23" i="38"/>
  <c r="AO23" i="38" s="1"/>
  <c r="AM23" i="38"/>
  <c r="A24" i="38"/>
  <c r="S10" i="48"/>
  <c r="T10" i="48"/>
  <c r="U10" i="48"/>
  <c r="Z22" i="38"/>
  <c r="AY22" i="38" s="1"/>
  <c r="AZ22" i="38" s="1"/>
  <c r="Y22" i="38"/>
  <c r="AL21" i="38"/>
  <c r="AB21" i="38"/>
  <c r="AJ21" i="38"/>
  <c r="AK21" i="38"/>
  <c r="AA21" i="38"/>
  <c r="AV21" i="38" s="1"/>
  <c r="E21" i="38" s="1"/>
  <c r="B10" i="6"/>
  <c r="B11" i="6" s="1"/>
  <c r="B12" i="6" s="1"/>
  <c r="B13" i="6" s="1"/>
  <c r="B14" i="6" s="1"/>
  <c r="B15" i="6" s="1"/>
  <c r="B16" i="6" s="1"/>
  <c r="B17" i="6" s="1"/>
  <c r="B18" i="6" s="1"/>
  <c r="B19" i="6" s="1"/>
  <c r="B20" i="6" s="1"/>
  <c r="B21" i="6" s="1"/>
  <c r="AV20" i="38"/>
  <c r="E20" i="38" s="1"/>
  <c r="AT22" i="38"/>
  <c r="D21" i="7"/>
  <c r="B21" i="7"/>
  <c r="AX23" i="38"/>
  <c r="AZ22" i="7"/>
  <c r="C22" i="7"/>
  <c r="C23" i="38"/>
  <c r="A46" i="24" l="1"/>
  <c r="A23" i="7"/>
  <c r="AS24" i="38"/>
  <c r="B24" i="38"/>
  <c r="D24" i="38"/>
  <c r="AO24" i="38" s="1"/>
  <c r="AM24" i="38"/>
  <c r="A25" i="38"/>
  <c r="AT23" i="38"/>
  <c r="AA22" i="38"/>
  <c r="AV22" i="38" s="1"/>
  <c r="E22" i="38" s="1"/>
  <c r="AJ22" i="38"/>
  <c r="AB22" i="38"/>
  <c r="AL22" i="38"/>
  <c r="AK22" i="38"/>
  <c r="B22" i="6"/>
  <c r="D22" i="7"/>
  <c r="B22" i="7"/>
  <c r="Z23" i="38"/>
  <c r="AY23" i="38" s="1"/>
  <c r="AZ23" i="38" s="1"/>
  <c r="Y23" i="38"/>
  <c r="C23" i="7"/>
  <c r="C24" i="38"/>
  <c r="AX24" i="38"/>
  <c r="AZ23" i="7"/>
  <c r="Z24" i="38" l="1"/>
  <c r="AY24" i="38" s="1"/>
  <c r="AZ24" i="38" s="1"/>
  <c r="Y24" i="38"/>
  <c r="A26" i="38"/>
  <c r="A47" i="24"/>
  <c r="A24" i="7"/>
  <c r="B25" i="38"/>
  <c r="AS25" i="38"/>
  <c r="AM25" i="38"/>
  <c r="D25" i="38"/>
  <c r="AO25" i="38" s="1"/>
  <c r="AL23" i="38"/>
  <c r="AB23" i="38"/>
  <c r="AJ23" i="38"/>
  <c r="AK23" i="38"/>
  <c r="AA23" i="38"/>
  <c r="AV23" i="38" s="1"/>
  <c r="E23" i="38" s="1"/>
  <c r="AT24" i="38"/>
  <c r="B23" i="7"/>
  <c r="D23" i="7"/>
  <c r="C24" i="7"/>
  <c r="C25" i="38"/>
  <c r="C26" i="38"/>
  <c r="AX25" i="38"/>
  <c r="AZ24" i="7"/>
  <c r="Z25" i="38" l="1"/>
  <c r="AY25" i="38" s="1"/>
  <c r="AZ25" i="38" s="1"/>
  <c r="Y25" i="38"/>
  <c r="B26" i="38"/>
  <c r="AM26" i="38"/>
  <c r="A27" i="38"/>
  <c r="D26" i="38"/>
  <c r="AO26" i="38" s="1"/>
  <c r="AS26" i="38"/>
  <c r="A25" i="7"/>
  <c r="A48" i="24"/>
  <c r="AL24" i="38"/>
  <c r="AK24" i="38"/>
  <c r="AB24" i="38"/>
  <c r="AJ24" i="38"/>
  <c r="AA24" i="38"/>
  <c r="AV24" i="38" s="1"/>
  <c r="E24" i="38" s="1"/>
  <c r="AT25" i="38"/>
  <c r="AT26" i="38" s="1"/>
  <c r="B24" i="7"/>
  <c r="D24" i="7"/>
  <c r="B23" i="6"/>
  <c r="C27" i="38"/>
  <c r="C25" i="7"/>
  <c r="AZ25" i="7"/>
  <c r="AX26" i="38"/>
  <c r="Z26" i="38" l="1"/>
  <c r="AY26" i="38" s="1"/>
  <c r="AZ26" i="38" s="1"/>
  <c r="Y26" i="38"/>
  <c r="D25" i="7"/>
  <c r="B25" i="7"/>
  <c r="AS27" i="38"/>
  <c r="AM27" i="38"/>
  <c r="D27" i="38"/>
  <c r="AO27" i="38" s="1"/>
  <c r="B27" i="38"/>
  <c r="A26" i="7"/>
  <c r="A49" i="24"/>
  <c r="A28" i="38"/>
  <c r="B24" i="6"/>
  <c r="B25" i="6" s="1"/>
  <c r="AB25" i="38"/>
  <c r="AK25" i="38"/>
  <c r="AL25" i="38"/>
  <c r="AJ25" i="38"/>
  <c r="AA25" i="38"/>
  <c r="AV25" i="38" s="1"/>
  <c r="E25" i="38" s="1"/>
  <c r="C26" i="7"/>
  <c r="AZ26" i="7"/>
  <c r="AX27" i="38"/>
  <c r="Z27" i="38" l="1"/>
  <c r="AY27" i="38" s="1"/>
  <c r="AZ27" i="38" s="1"/>
  <c r="Y27" i="38"/>
  <c r="A27" i="7"/>
  <c r="A50" i="24"/>
  <c r="B28" i="38"/>
  <c r="AS28" i="38"/>
  <c r="D28" i="38"/>
  <c r="AO28" i="38" s="1"/>
  <c r="AM28" i="38"/>
  <c r="A29" i="38"/>
  <c r="M11" i="48"/>
  <c r="AB26" i="38"/>
  <c r="AA26" i="38"/>
  <c r="AV26" i="38" s="1"/>
  <c r="AL26" i="38"/>
  <c r="AK26" i="38"/>
  <c r="AJ26" i="38"/>
  <c r="D26" i="7"/>
  <c r="B26" i="7"/>
  <c r="AT27" i="38"/>
  <c r="AX28" i="38"/>
  <c r="AZ27" i="7"/>
  <c r="C27" i="7"/>
  <c r="C28" i="38"/>
  <c r="A51" i="24" l="1"/>
  <c r="A28" i="7"/>
  <c r="AS29" i="38"/>
  <c r="B29" i="38"/>
  <c r="D29" i="38"/>
  <c r="AO29" i="38" s="1"/>
  <c r="AM29" i="38"/>
  <c r="A30" i="38"/>
  <c r="AT28" i="38"/>
  <c r="O11" i="48"/>
  <c r="T11" i="48"/>
  <c r="P11" i="48"/>
  <c r="U11" i="48"/>
  <c r="S11" i="48"/>
  <c r="D27" i="7"/>
  <c r="B27" i="7"/>
  <c r="C9" i="23"/>
  <c r="B9" i="23" s="1"/>
  <c r="E26" i="38"/>
  <c r="B26" i="6"/>
  <c r="M12" i="48"/>
  <c r="AK27" i="38"/>
  <c r="AB27" i="38"/>
  <c r="AL27" i="38"/>
  <c r="AA27" i="38"/>
  <c r="AV27" i="38" s="1"/>
  <c r="AJ27" i="38"/>
  <c r="Z28" i="38"/>
  <c r="AY28" i="38" s="1"/>
  <c r="AZ28" i="38" s="1"/>
  <c r="Y28" i="38"/>
  <c r="C28" i="7"/>
  <c r="C29" i="38"/>
  <c r="AX29" i="38"/>
  <c r="AZ28" i="7"/>
  <c r="W11" i="48" l="1"/>
  <c r="Z29" i="38"/>
  <c r="AY29" i="38" s="1"/>
  <c r="AZ29" i="38" s="1"/>
  <c r="Y29" i="38"/>
  <c r="AL28" i="38"/>
  <c r="AB28" i="38"/>
  <c r="AK28" i="38"/>
  <c r="AJ28" i="38"/>
  <c r="AA28" i="38"/>
  <c r="AV28" i="38" s="1"/>
  <c r="E28" i="38" s="1"/>
  <c r="B27" i="6"/>
  <c r="B28" i="6" s="1"/>
  <c r="C10" i="23"/>
  <c r="B10" i="23" s="1"/>
  <c r="E27" i="38"/>
  <c r="P12" i="48"/>
  <c r="S12" i="48"/>
  <c r="O12" i="48"/>
  <c r="U12" i="48"/>
  <c r="T12" i="48"/>
  <c r="AT29" i="38"/>
  <c r="A29" i="7"/>
  <c r="A52" i="24"/>
  <c r="AS30" i="38"/>
  <c r="B30" i="38"/>
  <c r="D30" i="38"/>
  <c r="AO30" i="38" s="1"/>
  <c r="AM30" i="38"/>
  <c r="A31" i="38"/>
  <c r="B28" i="7"/>
  <c r="D28" i="7"/>
  <c r="C30" i="38"/>
  <c r="C29" i="7"/>
  <c r="AX30" i="38"/>
  <c r="AZ29" i="7"/>
  <c r="A53" i="24" l="1"/>
  <c r="A30" i="7"/>
  <c r="B31" i="38"/>
  <c r="AS31" i="38"/>
  <c r="D31" i="38"/>
  <c r="AO31" i="38" s="1"/>
  <c r="AM31" i="38"/>
  <c r="A32" i="38"/>
  <c r="AJ29" i="38"/>
  <c r="AK29" i="38"/>
  <c r="AB29" i="38"/>
  <c r="AL29" i="38"/>
  <c r="AA29" i="38"/>
  <c r="AV29" i="38" s="1"/>
  <c r="E29" i="38" s="1"/>
  <c r="Z30" i="38"/>
  <c r="AY30" i="38" s="1"/>
  <c r="AZ30" i="38" s="1"/>
  <c r="Y30" i="38"/>
  <c r="D29" i="7"/>
  <c r="B29" i="7"/>
  <c r="W12" i="48"/>
  <c r="W13" i="48" s="1"/>
  <c r="AT30" i="38"/>
  <c r="C30" i="7"/>
  <c r="AX31" i="38"/>
  <c r="AZ30" i="7"/>
  <c r="C31" i="38"/>
  <c r="B29" i="6" l="1"/>
  <c r="A33" i="38"/>
  <c r="A31" i="7"/>
  <c r="A54" i="24"/>
  <c r="AS32" i="38"/>
  <c r="B32" i="38"/>
  <c r="D32" i="38"/>
  <c r="AO32" i="38" s="1"/>
  <c r="AM32" i="38"/>
  <c r="Z31" i="38"/>
  <c r="AY31" i="38" s="1"/>
  <c r="AZ31" i="38" s="1"/>
  <c r="Y31" i="38"/>
  <c r="AT31" i="38"/>
  <c r="D30" i="7"/>
  <c r="B30" i="7"/>
  <c r="AK30" i="38"/>
  <c r="AL30" i="38"/>
  <c r="AJ30" i="38"/>
  <c r="AB30" i="38"/>
  <c r="AA30" i="38"/>
  <c r="AV30" i="38" s="1"/>
  <c r="E30" i="38" s="1"/>
  <c r="C33" i="38"/>
  <c r="AX32" i="38"/>
  <c r="AZ31" i="7"/>
  <c r="C31" i="7"/>
  <c r="C32" i="38"/>
  <c r="AK31" i="38" l="1"/>
  <c r="AL31" i="38"/>
  <c r="AB31" i="38"/>
  <c r="AJ31" i="38"/>
  <c r="AA31" i="38"/>
  <c r="AV31" i="38" s="1"/>
  <c r="E31" i="38" s="1"/>
  <c r="B31" i="7"/>
  <c r="D31" i="7"/>
  <c r="Z32" i="38"/>
  <c r="AY32" i="38" s="1"/>
  <c r="AZ32" i="38" s="1"/>
  <c r="Y32" i="38"/>
  <c r="AT32" i="38"/>
  <c r="AM33" i="38"/>
  <c r="AS33" i="38"/>
  <c r="B33" i="38"/>
  <c r="D33" i="38"/>
  <c r="AO33" i="38" s="1"/>
  <c r="A34" i="38"/>
  <c r="A32" i="7"/>
  <c r="A55" i="24"/>
  <c r="B30" i="6"/>
  <c r="C32" i="7"/>
  <c r="C34" i="38"/>
  <c r="AZ32" i="7"/>
  <c r="AX33" i="38"/>
  <c r="Z33" i="38" l="1"/>
  <c r="AY33" i="38" s="1"/>
  <c r="AZ33" i="38" s="1"/>
  <c r="Y33" i="38"/>
  <c r="AJ32" i="38"/>
  <c r="AK32" i="38"/>
  <c r="AA32" i="38"/>
  <c r="AV32" i="38" s="1"/>
  <c r="E32" i="38" s="1"/>
  <c r="AL32" i="38"/>
  <c r="AB32" i="38"/>
  <c r="AT33" i="38"/>
  <c r="B31" i="6"/>
  <c r="B32" i="6" s="1"/>
  <c r="D34" i="38"/>
  <c r="AO34" i="38" s="1"/>
  <c r="AS34" i="38"/>
  <c r="B34" i="38"/>
  <c r="AM34" i="38"/>
  <c r="A33" i="7"/>
  <c r="A56" i="24"/>
  <c r="A35" i="38"/>
  <c r="B32" i="7"/>
  <c r="D32" i="7"/>
  <c r="C33" i="7"/>
  <c r="AZ33" i="7"/>
  <c r="AX34" i="38"/>
  <c r="AT34" i="38" l="1"/>
  <c r="Z34" i="38"/>
  <c r="AY34" i="38" s="1"/>
  <c r="AZ34" i="38" s="1"/>
  <c r="Y34" i="38"/>
  <c r="D33" i="7"/>
  <c r="B33" i="7"/>
  <c r="AB33" i="38"/>
  <c r="AK33" i="38"/>
  <c r="AL33" i="38"/>
  <c r="AA33" i="38"/>
  <c r="AV33" i="38" s="1"/>
  <c r="AJ33" i="38"/>
  <c r="A57" i="24"/>
  <c r="A34" i="7"/>
  <c r="AS35" i="38"/>
  <c r="B35" i="38"/>
  <c r="D35" i="38"/>
  <c r="AO35" i="38" s="1"/>
  <c r="AM35" i="38"/>
  <c r="A36" i="38"/>
  <c r="AX35" i="38"/>
  <c r="AZ34" i="7"/>
  <c r="C34" i="7"/>
  <c r="C35" i="38"/>
  <c r="AT35" i="38" l="1"/>
  <c r="B33" i="6"/>
  <c r="D34" i="7"/>
  <c r="B34" i="7"/>
  <c r="A35" i="7"/>
  <c r="A58" i="24"/>
  <c r="AS36" i="38"/>
  <c r="B36" i="38"/>
  <c r="D36" i="38"/>
  <c r="AO36" i="38" s="1"/>
  <c r="AM36" i="38"/>
  <c r="A37" i="38"/>
  <c r="C11" i="23"/>
  <c r="B11" i="23" s="1"/>
  <c r="E33" i="38"/>
  <c r="Z35" i="38"/>
  <c r="AY35" i="38" s="1"/>
  <c r="AZ35" i="38" s="1"/>
  <c r="Y35" i="38"/>
  <c r="AJ34" i="38"/>
  <c r="AL34" i="38"/>
  <c r="AK34" i="38"/>
  <c r="AB34" i="38"/>
  <c r="AA34" i="38"/>
  <c r="AV34" i="38" s="1"/>
  <c r="C35" i="7"/>
  <c r="AX36" i="38"/>
  <c r="AZ35" i="7"/>
  <c r="C36" i="38"/>
  <c r="AK35" i="38" l="1"/>
  <c r="AL35" i="38"/>
  <c r="AB35" i="38"/>
  <c r="AJ35" i="38"/>
  <c r="AA35" i="38"/>
  <c r="AV35" i="38" s="1"/>
  <c r="E35" i="38" s="1"/>
  <c r="Z36" i="38"/>
  <c r="AY36" i="38" s="1"/>
  <c r="AZ36" i="38" s="1"/>
  <c r="Y36" i="38"/>
  <c r="AT36" i="38"/>
  <c r="A59" i="24"/>
  <c r="A36" i="7"/>
  <c r="AS37" i="38"/>
  <c r="B37" i="38"/>
  <c r="AM37" i="38"/>
  <c r="D37" i="38"/>
  <c r="AO37" i="38" s="1"/>
  <c r="A38" i="38"/>
  <c r="C12" i="23"/>
  <c r="B12" i="23" s="1"/>
  <c r="E34" i="38"/>
  <c r="D35" i="7"/>
  <c r="B35" i="7"/>
  <c r="B34" i="6"/>
  <c r="C36" i="7"/>
  <c r="AX37" i="38"/>
  <c r="AZ36" i="7"/>
  <c r="C37" i="38"/>
  <c r="B35" i="6" l="1"/>
  <c r="Z37" i="38"/>
  <c r="AY37" i="38" s="1"/>
  <c r="AZ37" i="38" s="1"/>
  <c r="Y37" i="38"/>
  <c r="AJ36" i="38"/>
  <c r="AA36" i="38"/>
  <c r="AV36" i="38" s="1"/>
  <c r="E36" i="38" s="1"/>
  <c r="AB36" i="38"/>
  <c r="AL36" i="38"/>
  <c r="AK36" i="38"/>
  <c r="B36" i="7"/>
  <c r="D36" i="7"/>
  <c r="B36" i="6"/>
  <c r="AT37" i="38"/>
  <c r="AT38" i="38" s="1"/>
  <c r="A37" i="7"/>
  <c r="A60" i="24"/>
  <c r="B38" i="38"/>
  <c r="AS38" i="38"/>
  <c r="D38" i="38"/>
  <c r="AO38" i="38" s="1"/>
  <c r="AM38" i="38"/>
  <c r="A39" i="38"/>
  <c r="C38" i="38"/>
  <c r="AX38" i="38"/>
  <c r="AZ37" i="7"/>
  <c r="C37" i="7"/>
  <c r="D37" i="7" l="1"/>
  <c r="B37" i="7"/>
  <c r="A40" i="38"/>
  <c r="A38" i="7"/>
  <c r="A61" i="24"/>
  <c r="B39" i="38"/>
  <c r="AS39" i="38"/>
  <c r="AM39" i="38"/>
  <c r="D39" i="38"/>
  <c r="AO39" i="38" s="1"/>
  <c r="Z38" i="38"/>
  <c r="AY38" i="38" s="1"/>
  <c r="AZ38" i="38" s="1"/>
  <c r="Y38" i="38"/>
  <c r="AJ37" i="38"/>
  <c r="AB37" i="38"/>
  <c r="AA37" i="38"/>
  <c r="AV37" i="38" s="1"/>
  <c r="E37" i="38" s="1"/>
  <c r="AL37" i="38"/>
  <c r="AK37" i="38"/>
  <c r="C40" i="38"/>
  <c r="AX39" i="38"/>
  <c r="AZ38" i="7"/>
  <c r="C38" i="7"/>
  <c r="C39" i="38"/>
  <c r="AB38" i="38" l="1"/>
  <c r="AJ38" i="38"/>
  <c r="AK38" i="38"/>
  <c r="AL38" i="38"/>
  <c r="AA38" i="38"/>
  <c r="AV38" i="38" s="1"/>
  <c r="E38" i="38" s="1"/>
  <c r="B38" i="7"/>
  <c r="D38" i="7"/>
  <c r="AT39" i="38"/>
  <c r="Z39" i="38"/>
  <c r="AY39" i="38" s="1"/>
  <c r="AZ39" i="38" s="1"/>
  <c r="Y39" i="38"/>
  <c r="AM40" i="38"/>
  <c r="A41" i="38"/>
  <c r="B40" i="38"/>
  <c r="D40" i="38"/>
  <c r="AO40" i="38" s="1"/>
  <c r="AS40" i="38"/>
  <c r="A39" i="7"/>
  <c r="A62" i="24"/>
  <c r="B37" i="6"/>
  <c r="C39" i="7"/>
  <c r="AZ39" i="7"/>
  <c r="AX40" i="38"/>
  <c r="C41" i="38"/>
  <c r="AB39" i="38" l="1"/>
  <c r="AL39" i="38"/>
  <c r="AA39" i="38"/>
  <c r="AV39" i="38" s="1"/>
  <c r="E39" i="38" s="1"/>
  <c r="AJ39" i="38"/>
  <c r="AK39" i="38"/>
  <c r="D41" i="38"/>
  <c r="AO41" i="38" s="1"/>
  <c r="AS41" i="38"/>
  <c r="AM41" i="38"/>
  <c r="B41" i="38"/>
  <c r="A63" i="24"/>
  <c r="A40" i="7"/>
  <c r="A42" i="38"/>
  <c r="AT40" i="38"/>
  <c r="AT41" i="38" s="1"/>
  <c r="Z40" i="38"/>
  <c r="AY40" i="38" s="1"/>
  <c r="AZ40" i="38" s="1"/>
  <c r="Y40" i="38"/>
  <c r="B38" i="6"/>
  <c r="B39" i="6" s="1"/>
  <c r="D39" i="7"/>
  <c r="B39" i="7"/>
  <c r="AZ40" i="7"/>
  <c r="AX41" i="38"/>
  <c r="C40" i="7"/>
  <c r="D40" i="7" l="1"/>
  <c r="B40" i="7"/>
  <c r="AL40" i="38"/>
  <c r="AJ40" i="38"/>
  <c r="AA40" i="38"/>
  <c r="AV40" i="38" s="1"/>
  <c r="E40" i="38" s="1"/>
  <c r="AB40" i="38"/>
  <c r="AK40" i="38"/>
  <c r="Z41" i="38"/>
  <c r="AY41" i="38" s="1"/>
  <c r="AZ41" i="38" s="1"/>
  <c r="Y41" i="38"/>
  <c r="A41" i="7"/>
  <c r="A64" i="24"/>
  <c r="B42" i="38"/>
  <c r="AS42" i="38"/>
  <c r="D42" i="38"/>
  <c r="AO42" i="38" s="1"/>
  <c r="AM42" i="38"/>
  <c r="A43" i="38"/>
  <c r="AX42" i="38"/>
  <c r="AZ41" i="7"/>
  <c r="C41" i="7"/>
  <c r="C42" i="38"/>
  <c r="AT42" i="38" l="1"/>
  <c r="B40" i="6"/>
  <c r="D41" i="7"/>
  <c r="B41" i="7"/>
  <c r="A65" i="24"/>
  <c r="A42" i="7"/>
  <c r="B43" i="38"/>
  <c r="AS43" i="38"/>
  <c r="D43" i="38"/>
  <c r="AO43" i="38" s="1"/>
  <c r="AM43" i="38"/>
  <c r="A44" i="38"/>
  <c r="AB41" i="38"/>
  <c r="AJ41" i="38"/>
  <c r="AA41" i="38"/>
  <c r="AV41" i="38" s="1"/>
  <c r="E41" i="38" s="1"/>
  <c r="AL41" i="38"/>
  <c r="AK41" i="38"/>
  <c r="Z42" i="38"/>
  <c r="AY42" i="38" s="1"/>
  <c r="AZ42" i="38" s="1"/>
  <c r="Y42" i="38"/>
  <c r="AX43" i="38"/>
  <c r="AZ42" i="7"/>
  <c r="C42" i="7"/>
  <c r="C43" i="38"/>
  <c r="A66" i="24" l="1"/>
  <c r="A43" i="7"/>
  <c r="AS44" i="38"/>
  <c r="B44" i="38"/>
  <c r="D44" i="38"/>
  <c r="AO44" i="38" s="1"/>
  <c r="AM44" i="38"/>
  <c r="A45" i="38"/>
  <c r="AT43" i="38"/>
  <c r="D42" i="7"/>
  <c r="B42" i="7"/>
  <c r="AB42" i="38"/>
  <c r="AJ42" i="38"/>
  <c r="AK42" i="38"/>
  <c r="AA42" i="38"/>
  <c r="AV42" i="38" s="1"/>
  <c r="E42" i="38" s="1"/>
  <c r="AL42" i="38"/>
  <c r="Z43" i="38"/>
  <c r="AY43" i="38" s="1"/>
  <c r="AZ43" i="38" s="1"/>
  <c r="Y43" i="38"/>
  <c r="B41" i="6"/>
  <c r="C43" i="7"/>
  <c r="C44" i="38"/>
  <c r="AX44" i="38"/>
  <c r="AZ43" i="7"/>
  <c r="Z44" i="38" l="1"/>
  <c r="AY44" i="38" s="1"/>
  <c r="AZ44" i="38" s="1"/>
  <c r="Y44" i="38"/>
  <c r="AT44" i="38"/>
  <c r="B42" i="6"/>
  <c r="B43" i="7"/>
  <c r="D43" i="7"/>
  <c r="A44" i="7"/>
  <c r="A67" i="24"/>
  <c r="B45" i="38"/>
  <c r="AS45" i="38"/>
  <c r="D45" i="38"/>
  <c r="AO45" i="38" s="1"/>
  <c r="AM45" i="38"/>
  <c r="A46" i="38"/>
  <c r="AK43" i="38"/>
  <c r="AB43" i="38"/>
  <c r="AJ43" i="38"/>
  <c r="AL43" i="38"/>
  <c r="AA43" i="38"/>
  <c r="AV43" i="38" s="1"/>
  <c r="E43" i="38" s="1"/>
  <c r="C45" i="38"/>
  <c r="C44" i="7"/>
  <c r="AX45" i="38"/>
  <c r="AZ44" i="7"/>
  <c r="Z45" i="38" l="1"/>
  <c r="AY45" i="38" s="1"/>
  <c r="AZ45" i="38" s="1"/>
  <c r="Y45" i="38"/>
  <c r="A47" i="38"/>
  <c r="A45" i="7"/>
  <c r="A68" i="24"/>
  <c r="B46" i="38"/>
  <c r="AS46" i="38"/>
  <c r="D46" i="38"/>
  <c r="AO46" i="38" s="1"/>
  <c r="AM46" i="38"/>
  <c r="B44" i="7"/>
  <c r="D44" i="7"/>
  <c r="B43" i="6"/>
  <c r="AB44" i="38"/>
  <c r="AL44" i="38"/>
  <c r="AK44" i="38"/>
  <c r="AA44" i="38"/>
  <c r="AV44" i="38" s="1"/>
  <c r="E44" i="38" s="1"/>
  <c r="AJ44" i="38"/>
  <c r="AT45" i="38"/>
  <c r="C46" i="38"/>
  <c r="C47" i="38"/>
  <c r="AX46" i="38"/>
  <c r="AZ45" i="7"/>
  <c r="C45" i="7"/>
  <c r="B44" i="6" l="1"/>
  <c r="D45" i="7"/>
  <c r="B45" i="7"/>
  <c r="Y46" i="38"/>
  <c r="Z46" i="38"/>
  <c r="AY46" i="38" s="1"/>
  <c r="AZ46" i="38" s="1"/>
  <c r="D47" i="38"/>
  <c r="AO47" i="38" s="1"/>
  <c r="AS47" i="38"/>
  <c r="A48" i="38"/>
  <c r="B47" i="38"/>
  <c r="AM47" i="38"/>
  <c r="A69" i="24"/>
  <c r="A46" i="7"/>
  <c r="AJ45" i="38"/>
  <c r="AL45" i="38"/>
  <c r="AB45" i="38"/>
  <c r="AK45" i="38"/>
  <c r="AA45" i="38"/>
  <c r="AV45" i="38" s="1"/>
  <c r="E45" i="38" s="1"/>
  <c r="AT46" i="38"/>
  <c r="C46" i="7"/>
  <c r="AZ46" i="7"/>
  <c r="AX47" i="38"/>
  <c r="C48" i="38"/>
  <c r="AT47" i="38" l="1"/>
  <c r="AS48" i="38"/>
  <c r="B48" i="38"/>
  <c r="D48" i="38"/>
  <c r="AO48" i="38" s="1"/>
  <c r="AM48" i="38"/>
  <c r="A47" i="7"/>
  <c r="A70" i="24"/>
  <c r="A49" i="38"/>
  <c r="AB46" i="38"/>
  <c r="AL46" i="38"/>
  <c r="AK46" i="38"/>
  <c r="AA46" i="38"/>
  <c r="AV46" i="38" s="1"/>
  <c r="E46" i="38" s="1"/>
  <c r="AJ46" i="38"/>
  <c r="Z47" i="38"/>
  <c r="AY47" i="38" s="1"/>
  <c r="AZ47" i="38" s="1"/>
  <c r="Y47" i="38"/>
  <c r="D46" i="7"/>
  <c r="B46" i="7"/>
  <c r="B45" i="6"/>
  <c r="AZ47" i="7"/>
  <c r="AX48" i="38"/>
  <c r="C47" i="7"/>
  <c r="AT48" i="38" l="1"/>
  <c r="B47" i="7"/>
  <c r="D47" i="7"/>
  <c r="Z48" i="38"/>
  <c r="AY48" i="38" s="1"/>
  <c r="AZ48" i="38" s="1"/>
  <c r="Y48" i="38"/>
  <c r="B46" i="6"/>
  <c r="AK47" i="38"/>
  <c r="AJ47" i="38"/>
  <c r="AL47" i="38"/>
  <c r="AB47" i="38"/>
  <c r="AA47" i="38"/>
  <c r="AV47" i="38" s="1"/>
  <c r="E47" i="38" s="1"/>
  <c r="A71" i="24"/>
  <c r="A48" i="7"/>
  <c r="AS49" i="38"/>
  <c r="D49" i="38"/>
  <c r="AO49" i="38" s="1"/>
  <c r="B49" i="38"/>
  <c r="AM49" i="38"/>
  <c r="A50" i="38"/>
  <c r="AX49" i="38"/>
  <c r="AZ48" i="7"/>
  <c r="C48" i="7"/>
  <c r="C49" i="38"/>
  <c r="AT49" i="38" l="1"/>
  <c r="AB48" i="38"/>
  <c r="AJ48" i="38"/>
  <c r="AA48" i="38"/>
  <c r="AV48" i="38" s="1"/>
  <c r="E48" i="38" s="1"/>
  <c r="AK48" i="38"/>
  <c r="AL48" i="38"/>
  <c r="A49" i="7"/>
  <c r="A72" i="24"/>
  <c r="AS50" i="38"/>
  <c r="B50" i="38"/>
  <c r="D50" i="38"/>
  <c r="AO50" i="38" s="1"/>
  <c r="AM50" i="38"/>
  <c r="A51" i="38"/>
  <c r="D48" i="7"/>
  <c r="B48" i="7"/>
  <c r="B47" i="6"/>
  <c r="Z49" i="38"/>
  <c r="AY49" i="38" s="1"/>
  <c r="AZ49" i="38" s="1"/>
  <c r="Y49" i="38"/>
  <c r="AX50" i="38"/>
  <c r="AZ49" i="7"/>
  <c r="C49" i="7"/>
  <c r="C50" i="38"/>
  <c r="A50" i="7" l="1"/>
  <c r="A73" i="24"/>
  <c r="B51" i="38"/>
  <c r="AS51" i="38"/>
  <c r="D51" i="38"/>
  <c r="AO51" i="38" s="1"/>
  <c r="AM51" i="38"/>
  <c r="A52" i="38"/>
  <c r="D49" i="7"/>
  <c r="B49" i="7"/>
  <c r="AL49" i="38"/>
  <c r="AJ49" i="38"/>
  <c r="AA49" i="38"/>
  <c r="AV49" i="38" s="1"/>
  <c r="E49" i="38" s="1"/>
  <c r="AB49" i="38"/>
  <c r="AK49" i="38"/>
  <c r="AT50" i="38"/>
  <c r="Z50" i="38"/>
  <c r="AY50" i="38" s="1"/>
  <c r="AZ50" i="38" s="1"/>
  <c r="Y50" i="38"/>
  <c r="B48" i="6"/>
  <c r="C50" i="7"/>
  <c r="AX51" i="38"/>
  <c r="AZ50" i="7"/>
  <c r="C51" i="38"/>
  <c r="A74" i="24" l="1"/>
  <c r="A51" i="7"/>
  <c r="B52" i="38"/>
  <c r="AS52" i="38"/>
  <c r="D52" i="38"/>
  <c r="AO52" i="38" s="1"/>
  <c r="AM52" i="38"/>
  <c r="A53" i="38"/>
  <c r="AL50" i="38"/>
  <c r="AJ50" i="38"/>
  <c r="AK50" i="38"/>
  <c r="AB50" i="38"/>
  <c r="AA50" i="38"/>
  <c r="AV50" i="38" s="1"/>
  <c r="E50" i="38" s="1"/>
  <c r="B49" i="6"/>
  <c r="B50" i="6" s="1"/>
  <c r="Z51" i="38"/>
  <c r="AY51" i="38" s="1"/>
  <c r="AZ51" i="38" s="1"/>
  <c r="Y51" i="38"/>
  <c r="AT51" i="38"/>
  <c r="B50" i="7"/>
  <c r="D50" i="7"/>
  <c r="C52" i="38"/>
  <c r="C51" i="7"/>
  <c r="AX52" i="38"/>
  <c r="AZ51" i="7"/>
  <c r="Z52" i="38" l="1"/>
  <c r="AY52" i="38" s="1"/>
  <c r="AZ52" i="38" s="1"/>
  <c r="Y52" i="38"/>
  <c r="A54" i="38"/>
  <c r="A75" i="24"/>
  <c r="A52" i="7"/>
  <c r="AS53" i="38"/>
  <c r="B53" i="38"/>
  <c r="D53" i="38"/>
  <c r="AO53" i="38" s="1"/>
  <c r="AM53" i="38"/>
  <c r="AT52" i="38"/>
  <c r="D51" i="7"/>
  <c r="B51" i="7"/>
  <c r="AA51" i="38"/>
  <c r="AV51" i="38" s="1"/>
  <c r="E51" i="38" s="1"/>
  <c r="AK51" i="38"/>
  <c r="AJ51" i="38"/>
  <c r="AL51" i="38"/>
  <c r="AB51" i="38"/>
  <c r="AX53" i="38"/>
  <c r="AZ52" i="7"/>
  <c r="C54" i="38"/>
  <c r="C52" i="7"/>
  <c r="C53" i="38"/>
  <c r="AT53" i="38" l="1"/>
  <c r="D52" i="7"/>
  <c r="B52" i="7"/>
  <c r="D54" i="38"/>
  <c r="AO54" i="38" s="1"/>
  <c r="AM54" i="38"/>
  <c r="A55" i="38"/>
  <c r="B54" i="38"/>
  <c r="AS54" i="38"/>
  <c r="AT54" i="38"/>
  <c r="A76" i="24"/>
  <c r="A53" i="7"/>
  <c r="Y53" i="38"/>
  <c r="Z53" i="38"/>
  <c r="AY53" i="38" s="1"/>
  <c r="AZ53" i="38" s="1"/>
  <c r="AB52" i="38"/>
  <c r="AL52" i="38"/>
  <c r="AA52" i="38"/>
  <c r="AV52" i="38" s="1"/>
  <c r="E52" i="38" s="1"/>
  <c r="AJ52" i="38"/>
  <c r="AK52" i="38"/>
  <c r="B51" i="6"/>
  <c r="AZ53" i="7"/>
  <c r="AX54" i="38"/>
  <c r="C55" i="38"/>
  <c r="C53" i="7"/>
  <c r="D53" i="7" l="1"/>
  <c r="B53" i="7"/>
  <c r="B55" i="38"/>
  <c r="AS55" i="38"/>
  <c r="D55" i="38"/>
  <c r="AO55" i="38" s="1"/>
  <c r="AM55" i="38"/>
  <c r="A54" i="7"/>
  <c r="A77" i="24"/>
  <c r="A56" i="38"/>
  <c r="AK53" i="38"/>
  <c r="AL53" i="38"/>
  <c r="AJ53" i="38"/>
  <c r="AA53" i="38"/>
  <c r="AV53" i="38" s="1"/>
  <c r="E53" i="38" s="1"/>
  <c r="AB53" i="38"/>
  <c r="Z54" i="38"/>
  <c r="AY54" i="38" s="1"/>
  <c r="AZ54" i="38" s="1"/>
  <c r="Y54" i="38"/>
  <c r="B52" i="6"/>
  <c r="AZ54" i="7"/>
  <c r="AX55" i="38"/>
  <c r="C54" i="7"/>
  <c r="AT55" i="38" l="1"/>
  <c r="A55" i="7"/>
  <c r="A78" i="24"/>
  <c r="AS56" i="38"/>
  <c r="B56" i="38"/>
  <c r="D56" i="38"/>
  <c r="AO56" i="38" s="1"/>
  <c r="AM56" i="38"/>
  <c r="A57" i="38"/>
  <c r="B54" i="7"/>
  <c r="D54" i="7"/>
  <c r="Z55" i="38"/>
  <c r="AY55" i="38" s="1"/>
  <c r="AZ55" i="38" s="1"/>
  <c r="Y55" i="38"/>
  <c r="B53" i="6"/>
  <c r="AJ54" i="38"/>
  <c r="AL54" i="38"/>
  <c r="AA54" i="38"/>
  <c r="AV54" i="38" s="1"/>
  <c r="E54" i="38" s="1"/>
  <c r="AK54" i="38"/>
  <c r="AB54" i="38"/>
  <c r="C55" i="7"/>
  <c r="C56" i="38"/>
  <c r="AX56" i="38"/>
  <c r="AZ55" i="7"/>
  <c r="B54" i="6" l="1"/>
  <c r="Z56" i="38"/>
  <c r="AY56" i="38" s="1"/>
  <c r="AZ56" i="38" s="1"/>
  <c r="Y56" i="38"/>
  <c r="AT56" i="38"/>
  <c r="D55" i="7"/>
  <c r="B55" i="7"/>
  <c r="AB55" i="38"/>
  <c r="AA55" i="38"/>
  <c r="AV55" i="38" s="1"/>
  <c r="E55" i="38" s="1"/>
  <c r="AK55" i="38"/>
  <c r="AL55" i="38"/>
  <c r="AJ55" i="38"/>
  <c r="A56" i="7"/>
  <c r="A79" i="24"/>
  <c r="AS57" i="38"/>
  <c r="B57" i="38"/>
  <c r="D57" i="38"/>
  <c r="AO57" i="38" s="1"/>
  <c r="AM57" i="38"/>
  <c r="A58" i="38"/>
  <c r="C56" i="7"/>
  <c r="AX57" i="38"/>
  <c r="AZ56" i="7"/>
  <c r="C57" i="38"/>
  <c r="Z57" i="38" l="1"/>
  <c r="AY57" i="38" s="1"/>
  <c r="AZ57" i="38" s="1"/>
  <c r="Y57" i="38"/>
  <c r="AB56" i="38"/>
  <c r="AA56" i="38"/>
  <c r="AV56" i="38" s="1"/>
  <c r="E56" i="38" s="1"/>
  <c r="AL56" i="38"/>
  <c r="AK56" i="38"/>
  <c r="AJ56" i="38"/>
  <c r="A80" i="24"/>
  <c r="A57" i="7"/>
  <c r="B58" i="38"/>
  <c r="AS58" i="38"/>
  <c r="D58" i="38"/>
  <c r="AO58" i="38" s="1"/>
  <c r="AM58" i="38"/>
  <c r="A59" i="38"/>
  <c r="B56" i="7"/>
  <c r="D56" i="7"/>
  <c r="AT57" i="38"/>
  <c r="B55" i="6"/>
  <c r="C57" i="7"/>
  <c r="C58" i="38"/>
  <c r="AX58" i="38"/>
  <c r="AZ57" i="7"/>
  <c r="B56" i="6" l="1"/>
  <c r="Z58" i="38"/>
  <c r="AY58" i="38" s="1"/>
  <c r="AZ58" i="38" s="1"/>
  <c r="Y58" i="38"/>
  <c r="AK57" i="38"/>
  <c r="AJ57" i="38"/>
  <c r="AB57" i="38"/>
  <c r="AL57" i="38"/>
  <c r="AA57" i="38"/>
  <c r="AV57" i="38" s="1"/>
  <c r="E57" i="38" s="1"/>
  <c r="A58" i="7"/>
  <c r="A81" i="24"/>
  <c r="AS59" i="38"/>
  <c r="B59" i="38"/>
  <c r="D59" i="38"/>
  <c r="AO59" i="38" s="1"/>
  <c r="AM59" i="38"/>
  <c r="A60" i="38"/>
  <c r="AT58" i="38"/>
  <c r="B57" i="7"/>
  <c r="D57" i="7"/>
  <c r="C58" i="7"/>
  <c r="C59" i="38"/>
  <c r="AX59" i="38"/>
  <c r="AZ58" i="7"/>
  <c r="Z59" i="38" l="1"/>
  <c r="AY59" i="38" s="1"/>
  <c r="AZ59" i="38" s="1"/>
  <c r="Y59" i="38"/>
  <c r="AT59" i="38"/>
  <c r="D58" i="7"/>
  <c r="B58" i="7"/>
  <c r="B57" i="6"/>
  <c r="AJ58" i="38"/>
  <c r="AL58" i="38"/>
  <c r="AB58" i="38"/>
  <c r="AK58" i="38"/>
  <c r="AA58" i="38"/>
  <c r="AV58" i="38" s="1"/>
  <c r="E58" i="38" s="1"/>
  <c r="A61" i="38"/>
  <c r="A82" i="24"/>
  <c r="A59" i="7"/>
  <c r="B60" i="38"/>
  <c r="AS60" i="38"/>
  <c r="D60" i="38"/>
  <c r="AO60" i="38" s="1"/>
  <c r="AM60" i="38"/>
  <c r="C59" i="7"/>
  <c r="C60" i="38"/>
  <c r="AX60" i="38"/>
  <c r="AZ59" i="7"/>
  <c r="C61" i="38"/>
  <c r="AS61" i="38" l="1"/>
  <c r="AM61" i="38"/>
  <c r="A62" i="38"/>
  <c r="D61" i="38"/>
  <c r="AO61" i="38" s="1"/>
  <c r="B61" i="38"/>
  <c r="A60" i="7"/>
  <c r="A83" i="24"/>
  <c r="Y60" i="38"/>
  <c r="Z60" i="38"/>
  <c r="AY60" i="38" s="1"/>
  <c r="AZ60" i="38" s="1"/>
  <c r="AT60" i="38"/>
  <c r="AT61" i="38" s="1"/>
  <c r="AB59" i="38"/>
  <c r="AK59" i="38"/>
  <c r="AA59" i="38"/>
  <c r="AV59" i="38" s="1"/>
  <c r="E59" i="38" s="1"/>
  <c r="AJ59" i="38"/>
  <c r="AL59" i="38"/>
  <c r="D59" i="7"/>
  <c r="B59" i="7"/>
  <c r="B58" i="6"/>
  <c r="AZ60" i="7"/>
  <c r="AX61" i="38"/>
  <c r="C62" i="38"/>
  <c r="C60" i="7"/>
  <c r="AJ60" i="38" l="1"/>
  <c r="AL60" i="38"/>
  <c r="AK60" i="38"/>
  <c r="AB60" i="38"/>
  <c r="AA60" i="38"/>
  <c r="AV60" i="38" s="1"/>
  <c r="E60" i="38" s="1"/>
  <c r="B60" i="7"/>
  <c r="D60" i="7"/>
  <c r="B62" i="38"/>
  <c r="AS62" i="38"/>
  <c r="D62" i="38"/>
  <c r="AO62" i="38" s="1"/>
  <c r="AM62" i="38"/>
  <c r="A84" i="24"/>
  <c r="A61" i="7"/>
  <c r="A63" i="38"/>
  <c r="Z61" i="38"/>
  <c r="AY61" i="38" s="1"/>
  <c r="AZ61" i="38" s="1"/>
  <c r="Y61" i="38"/>
  <c r="B59" i="6"/>
  <c r="C61" i="7"/>
  <c r="AZ61" i="7"/>
  <c r="AX62" i="38"/>
  <c r="Z62" i="38" l="1"/>
  <c r="AY62" i="38" s="1"/>
  <c r="AZ62" i="38" s="1"/>
  <c r="Y62" i="38"/>
  <c r="A85" i="24"/>
  <c r="A62" i="7"/>
  <c r="AS63" i="38"/>
  <c r="B63" i="38"/>
  <c r="D63" i="38"/>
  <c r="AO63" i="38" s="1"/>
  <c r="AM63" i="38"/>
  <c r="A64" i="38"/>
  <c r="AT62" i="38"/>
  <c r="B61" i="7"/>
  <c r="D61" i="7"/>
  <c r="B60" i="6"/>
  <c r="AL61" i="38"/>
  <c r="AK61" i="38"/>
  <c r="AA61" i="38"/>
  <c r="AV61" i="38" s="1"/>
  <c r="E61" i="38" s="1"/>
  <c r="AB61" i="38"/>
  <c r="AJ61" i="38"/>
  <c r="C63" i="38"/>
  <c r="C62" i="7"/>
  <c r="AX63" i="38"/>
  <c r="AZ62" i="7"/>
  <c r="B61" i="6" l="1"/>
  <c r="Z63" i="38"/>
  <c r="AY63" i="38" s="1"/>
  <c r="AZ63" i="38" s="1"/>
  <c r="Y63" i="38"/>
  <c r="D62" i="7"/>
  <c r="B62" i="7"/>
  <c r="A86" i="24"/>
  <c r="A63" i="7"/>
  <c r="B64" i="38"/>
  <c r="AS64" i="38"/>
  <c r="D64" i="38"/>
  <c r="AO64" i="38" s="1"/>
  <c r="AM64" i="38"/>
  <c r="A65" i="38"/>
  <c r="AT63" i="38"/>
  <c r="AL62" i="38"/>
  <c r="AA62" i="38"/>
  <c r="AV62" i="38" s="1"/>
  <c r="E62" i="38" s="1"/>
  <c r="AJ62" i="38"/>
  <c r="AK62" i="38"/>
  <c r="AB62" i="38"/>
  <c r="C63" i="7"/>
  <c r="AX64" i="38"/>
  <c r="AZ63" i="7"/>
  <c r="C64" i="38"/>
  <c r="Z64" i="38" l="1"/>
  <c r="AY64" i="38" s="1"/>
  <c r="AZ64" i="38" s="1"/>
  <c r="Y64" i="38"/>
  <c r="AT64" i="38"/>
  <c r="D63" i="7"/>
  <c r="B63" i="7"/>
  <c r="AJ63" i="38"/>
  <c r="AK63" i="38"/>
  <c r="AL63" i="38"/>
  <c r="AB63" i="38"/>
  <c r="AA63" i="38"/>
  <c r="AV63" i="38" s="1"/>
  <c r="E63" i="38" s="1"/>
  <c r="A87" i="24"/>
  <c r="A64" i="7"/>
  <c r="B65" i="38"/>
  <c r="AS65" i="38"/>
  <c r="AM65" i="38"/>
  <c r="D65" i="38"/>
  <c r="AO65" i="38" s="1"/>
  <c r="A66" i="38"/>
  <c r="B62" i="6"/>
  <c r="AX65" i="38"/>
  <c r="AZ64" i="7"/>
  <c r="C64" i="7"/>
  <c r="C65" i="38"/>
  <c r="AT65" i="38" l="1"/>
  <c r="B64" i="7"/>
  <c r="D64" i="7"/>
  <c r="A65" i="7"/>
  <c r="A88" i="24"/>
  <c r="B66" i="38"/>
  <c r="AS66" i="38"/>
  <c r="D66" i="38"/>
  <c r="AO66" i="38" s="1"/>
  <c r="AM66" i="38"/>
  <c r="A67" i="38"/>
  <c r="AK64" i="38"/>
  <c r="AB64" i="38"/>
  <c r="AL64" i="38"/>
  <c r="AJ64" i="38"/>
  <c r="AA64" i="38"/>
  <c r="AV64" i="38" s="1"/>
  <c r="E64" i="38" s="1"/>
  <c r="B63" i="6"/>
  <c r="Z65" i="38"/>
  <c r="AY65" i="38" s="1"/>
  <c r="AZ65" i="38" s="1"/>
  <c r="Y65" i="38"/>
  <c r="C65" i="7"/>
  <c r="AX66" i="38"/>
  <c r="AZ65" i="7"/>
  <c r="C66" i="38"/>
  <c r="AT66" i="38" l="1"/>
  <c r="Z66" i="38"/>
  <c r="AY66" i="38" s="1"/>
  <c r="AZ66" i="38" s="1"/>
  <c r="Y66" i="38"/>
  <c r="A68" i="38"/>
  <c r="A89" i="24"/>
  <c r="A66" i="7"/>
  <c r="B67" i="38"/>
  <c r="AS67" i="38"/>
  <c r="AM67" i="38"/>
  <c r="D67" i="38"/>
  <c r="AO67" i="38" s="1"/>
  <c r="AA65" i="38"/>
  <c r="AV65" i="38" s="1"/>
  <c r="E65" i="38" s="1"/>
  <c r="AK65" i="38"/>
  <c r="AJ65" i="38"/>
  <c r="AB65" i="38"/>
  <c r="AL65" i="38"/>
  <c r="D65" i="7"/>
  <c r="B65" i="7"/>
  <c r="B64" i="6"/>
  <c r="C68" i="38"/>
  <c r="C66" i="7"/>
  <c r="AX67" i="38"/>
  <c r="AZ66" i="7"/>
  <c r="C67" i="38"/>
  <c r="AT67" i="38" l="1"/>
  <c r="AA66" i="38"/>
  <c r="AV66" i="38" s="1"/>
  <c r="E66" i="38" s="1"/>
  <c r="AL66" i="38"/>
  <c r="AJ66" i="38"/>
  <c r="AK66" i="38"/>
  <c r="AB66" i="38"/>
  <c r="Z67" i="38"/>
  <c r="AY67" i="38" s="1"/>
  <c r="AZ67" i="38" s="1"/>
  <c r="Y67" i="38"/>
  <c r="B66" i="7"/>
  <c r="D66" i="7"/>
  <c r="B65" i="6"/>
  <c r="B66" i="6" s="1"/>
  <c r="A69" i="38"/>
  <c r="AM68" i="38"/>
  <c r="D68" i="38"/>
  <c r="AO68" i="38" s="1"/>
  <c r="AS68" i="38"/>
  <c r="B68" i="38"/>
  <c r="A67" i="7"/>
  <c r="A90" i="24"/>
  <c r="C67" i="7"/>
  <c r="C69" i="38"/>
  <c r="AZ67" i="7"/>
  <c r="AX68" i="38"/>
  <c r="Z68" i="38" l="1"/>
  <c r="AY68" i="38" s="1"/>
  <c r="AZ68" i="38" s="1"/>
  <c r="Y68" i="38"/>
  <c r="AS69" i="38"/>
  <c r="D69" i="38"/>
  <c r="AO69" i="38" s="1"/>
  <c r="B69" i="38"/>
  <c r="AM69" i="38"/>
  <c r="A91" i="24"/>
  <c r="A68" i="7"/>
  <c r="A70" i="38"/>
  <c r="AK67" i="38"/>
  <c r="AL67" i="38"/>
  <c r="AJ67" i="38"/>
  <c r="AA67" i="38"/>
  <c r="AV67" i="38" s="1"/>
  <c r="E67" i="38" s="1"/>
  <c r="AB67" i="38"/>
  <c r="B67" i="7"/>
  <c r="D67" i="7"/>
  <c r="AT68" i="38"/>
  <c r="AZ68" i="7"/>
  <c r="AX69" i="38"/>
  <c r="C68" i="7"/>
  <c r="A69" i="7" l="1"/>
  <c r="A92" i="24"/>
  <c r="B70" i="38"/>
  <c r="AS70" i="38"/>
  <c r="AM70" i="38"/>
  <c r="D70" i="38"/>
  <c r="AO70" i="38" s="1"/>
  <c r="A71" i="38"/>
  <c r="AT69" i="38"/>
  <c r="B67" i="6"/>
  <c r="D68" i="7"/>
  <c r="B68" i="7"/>
  <c r="AA68" i="38"/>
  <c r="AV68" i="38" s="1"/>
  <c r="E68" i="38" s="1"/>
  <c r="AJ68" i="38"/>
  <c r="AB68" i="38"/>
  <c r="AL68" i="38"/>
  <c r="AK68" i="38"/>
  <c r="Z69" i="38"/>
  <c r="AY69" i="38" s="1"/>
  <c r="AZ69" i="38" s="1"/>
  <c r="Y69" i="38"/>
  <c r="C69" i="7"/>
  <c r="C70" i="38"/>
  <c r="AX70" i="38"/>
  <c r="AZ69" i="7"/>
  <c r="Z70" i="38" l="1"/>
  <c r="AY70" i="38" s="1"/>
  <c r="AZ70" i="38" s="1"/>
  <c r="Y70" i="38"/>
  <c r="A93" i="24"/>
  <c r="A70" i="7"/>
  <c r="B71" i="38"/>
  <c r="AS71" i="38"/>
  <c r="D71" i="38"/>
  <c r="AO71" i="38" s="1"/>
  <c r="AM71" i="38"/>
  <c r="A72" i="38"/>
  <c r="B68" i="6"/>
  <c r="AJ69" i="38"/>
  <c r="AK69" i="38"/>
  <c r="AA69" i="38"/>
  <c r="AV69" i="38" s="1"/>
  <c r="E69" i="38" s="1"/>
  <c r="AB69" i="38"/>
  <c r="AL69" i="38"/>
  <c r="AT70" i="38"/>
  <c r="D69" i="7"/>
  <c r="B69" i="7"/>
  <c r="C70" i="7"/>
  <c r="C71" i="38"/>
  <c r="AX71" i="38"/>
  <c r="AZ70" i="7"/>
  <c r="B69" i="6" l="1"/>
  <c r="A71" i="7"/>
  <c r="A94" i="24"/>
  <c r="B72" i="38"/>
  <c r="AS72" i="38"/>
  <c r="D72" i="38"/>
  <c r="AO72" i="38" s="1"/>
  <c r="AM72" i="38"/>
  <c r="A73" i="38"/>
  <c r="AB70" i="38"/>
  <c r="AJ70" i="38"/>
  <c r="AL70" i="38"/>
  <c r="AA70" i="38"/>
  <c r="AV70" i="38" s="1"/>
  <c r="E70" i="38" s="1"/>
  <c r="AK70" i="38"/>
  <c r="Z71" i="38"/>
  <c r="AY71" i="38" s="1"/>
  <c r="AZ71" i="38" s="1"/>
  <c r="Y71" i="38"/>
  <c r="AT71" i="38"/>
  <c r="D70" i="7"/>
  <c r="B70" i="7"/>
  <c r="C72" i="38"/>
  <c r="C71" i="7"/>
  <c r="AX72" i="38"/>
  <c r="AZ71" i="7"/>
  <c r="A72" i="7" l="1"/>
  <c r="A95" i="24"/>
  <c r="B73" i="38"/>
  <c r="AS73" i="38"/>
  <c r="D73" i="38"/>
  <c r="AO73" i="38" s="1"/>
  <c r="AM73" i="38"/>
  <c r="A74" i="38"/>
  <c r="AT72" i="38"/>
  <c r="Z72" i="38"/>
  <c r="AY72" i="38" s="1"/>
  <c r="AZ72" i="38" s="1"/>
  <c r="Y72" i="38"/>
  <c r="D71" i="7"/>
  <c r="B71" i="7"/>
  <c r="AB71" i="38"/>
  <c r="AL71" i="38"/>
  <c r="AJ71" i="38"/>
  <c r="AA71" i="38"/>
  <c r="AV71" i="38" s="1"/>
  <c r="E71" i="38" s="1"/>
  <c r="AK71" i="38"/>
  <c r="B70" i="6"/>
  <c r="C72" i="7"/>
  <c r="AX73" i="38"/>
  <c r="AZ72" i="7"/>
  <c r="C73" i="38"/>
  <c r="B71" i="6" l="1"/>
  <c r="A75" i="38"/>
  <c r="A73" i="7"/>
  <c r="A96" i="24"/>
  <c r="AS74" i="38"/>
  <c r="B74" i="38"/>
  <c r="AM74" i="38"/>
  <c r="D74" i="38"/>
  <c r="AO74" i="38" s="1"/>
  <c r="Y73" i="38"/>
  <c r="Z73" i="38"/>
  <c r="AY73" i="38" s="1"/>
  <c r="AZ73" i="38" s="1"/>
  <c r="AT73" i="38"/>
  <c r="AK72" i="38"/>
  <c r="AL72" i="38"/>
  <c r="AA72" i="38"/>
  <c r="AV72" i="38" s="1"/>
  <c r="E72" i="38" s="1"/>
  <c r="AB72" i="38"/>
  <c r="AJ72" i="38"/>
  <c r="B72" i="7"/>
  <c r="D72" i="7"/>
  <c r="C75" i="38"/>
  <c r="C73" i="7"/>
  <c r="C74" i="38"/>
  <c r="AX74" i="38"/>
  <c r="AZ73" i="7"/>
  <c r="B72" i="6" l="1"/>
  <c r="AB73" i="38"/>
  <c r="AA73" i="38"/>
  <c r="AV73" i="38" s="1"/>
  <c r="E73" i="38" s="1"/>
  <c r="AL73" i="38"/>
  <c r="AJ73" i="38"/>
  <c r="AK73" i="38"/>
  <c r="Y74" i="38"/>
  <c r="Z74" i="38"/>
  <c r="AY74" i="38" s="1"/>
  <c r="AZ74" i="38" s="1"/>
  <c r="D73" i="7"/>
  <c r="B73" i="7"/>
  <c r="AT74" i="38"/>
  <c r="B75" i="38"/>
  <c r="A76" i="38"/>
  <c r="AS75" i="38"/>
  <c r="AM75" i="38"/>
  <c r="D75" i="38"/>
  <c r="AO75" i="38" s="1"/>
  <c r="A74" i="7"/>
  <c r="A97" i="24"/>
  <c r="C74" i="7"/>
  <c r="AZ74" i="7"/>
  <c r="AX75" i="38"/>
  <c r="C76" i="38"/>
  <c r="D76" i="38" l="1"/>
  <c r="AO76" i="38" s="1"/>
  <c r="AM76" i="38"/>
  <c r="AS76" i="38"/>
  <c r="B76" i="38"/>
  <c r="A98" i="24"/>
  <c r="A75" i="7"/>
  <c r="A77" i="38"/>
  <c r="AL74" i="38"/>
  <c r="AK74" i="38"/>
  <c r="AB74" i="38"/>
  <c r="AA74" i="38"/>
  <c r="AV74" i="38" s="1"/>
  <c r="E74" i="38" s="1"/>
  <c r="AJ74" i="38"/>
  <c r="Z75" i="38"/>
  <c r="AY75" i="38" s="1"/>
  <c r="AZ75" i="38" s="1"/>
  <c r="Y75" i="38"/>
  <c r="B74" i="7"/>
  <c r="D74" i="7"/>
  <c r="AT75" i="38"/>
  <c r="AT76" i="38" s="1"/>
  <c r="B73" i="6"/>
  <c r="AZ75" i="7"/>
  <c r="AX76" i="38"/>
  <c r="C75" i="7"/>
  <c r="AJ75" i="38" l="1"/>
  <c r="AK75" i="38"/>
  <c r="AA75" i="38"/>
  <c r="AV75" i="38" s="1"/>
  <c r="E75" i="38" s="1"/>
  <c r="AB75" i="38"/>
  <c r="AL75" i="38"/>
  <c r="D75" i="7"/>
  <c r="B75" i="7"/>
  <c r="B74" i="6"/>
  <c r="B75" i="6" s="1"/>
  <c r="Z76" i="38"/>
  <c r="AY76" i="38" s="1"/>
  <c r="AZ76" i="38" s="1"/>
  <c r="Y76" i="38"/>
  <c r="A99" i="24"/>
  <c r="A76" i="7"/>
  <c r="AS77" i="38"/>
  <c r="B77" i="38"/>
  <c r="D77" i="38"/>
  <c r="AO77" i="38" s="1"/>
  <c r="AM77" i="38"/>
  <c r="A78" i="38"/>
  <c r="AX77" i="38"/>
  <c r="AZ76" i="7"/>
  <c r="C77" i="38"/>
  <c r="C76" i="7"/>
  <c r="AT77" i="38" l="1"/>
  <c r="B76" i="7"/>
  <c r="D76" i="7"/>
  <c r="A100" i="24"/>
  <c r="A77" i="7"/>
  <c r="AS78" i="38"/>
  <c r="B78" i="38"/>
  <c r="D78" i="38"/>
  <c r="AO78" i="38" s="1"/>
  <c r="AM78" i="38"/>
  <c r="A79" i="38"/>
  <c r="AB76" i="38"/>
  <c r="AA76" i="38"/>
  <c r="AV76" i="38" s="1"/>
  <c r="E76" i="38" s="1"/>
  <c r="AJ76" i="38"/>
  <c r="AK76" i="38"/>
  <c r="AL76" i="38"/>
  <c r="Z77" i="38"/>
  <c r="AY77" i="38" s="1"/>
  <c r="AZ77" i="38" s="1"/>
  <c r="Y77" i="38"/>
  <c r="C78" i="38"/>
  <c r="C77" i="7"/>
  <c r="AX78" i="38"/>
  <c r="AZ77" i="7"/>
  <c r="Z78" i="38" l="1"/>
  <c r="AY78" i="38" s="1"/>
  <c r="AZ78" i="38" s="1"/>
  <c r="Y78" i="38"/>
  <c r="B77" i="7"/>
  <c r="D77" i="7"/>
  <c r="A78" i="7"/>
  <c r="A101" i="24"/>
  <c r="B79" i="38"/>
  <c r="AS79" i="38"/>
  <c r="D79" i="38"/>
  <c r="AO79" i="38" s="1"/>
  <c r="AM79" i="38"/>
  <c r="A80" i="38"/>
  <c r="AT78" i="38"/>
  <c r="B76" i="6"/>
  <c r="B77" i="6" s="1"/>
  <c r="AJ77" i="38"/>
  <c r="AB77" i="38"/>
  <c r="AL77" i="38"/>
  <c r="AK77" i="38"/>
  <c r="AA77" i="38"/>
  <c r="AV77" i="38" s="1"/>
  <c r="E77" i="38" s="1"/>
  <c r="C78" i="7"/>
  <c r="AX79" i="38"/>
  <c r="AZ78" i="7"/>
  <c r="C79" i="38"/>
  <c r="A79" i="7" l="1"/>
  <c r="A102" i="24"/>
  <c r="AS80" i="38"/>
  <c r="B80" i="38"/>
  <c r="D80" i="38"/>
  <c r="AO80" i="38" s="1"/>
  <c r="AM80" i="38"/>
  <c r="A81" i="38"/>
  <c r="AA78" i="38"/>
  <c r="AV78" i="38" s="1"/>
  <c r="E78" i="38" s="1"/>
  <c r="AJ78" i="38"/>
  <c r="AB78" i="38"/>
  <c r="AL78" i="38"/>
  <c r="AK78" i="38"/>
  <c r="Z79" i="38"/>
  <c r="AY79" i="38" s="1"/>
  <c r="AZ79" i="38" s="1"/>
  <c r="Y79" i="38"/>
  <c r="AT79" i="38"/>
  <c r="B78" i="7"/>
  <c r="D78" i="7"/>
  <c r="C79" i="7"/>
  <c r="C80" i="38"/>
  <c r="AX80" i="38"/>
  <c r="AZ79" i="7"/>
  <c r="Z80" i="38" l="1"/>
  <c r="AY80" i="38" s="1"/>
  <c r="AZ80" i="38" s="1"/>
  <c r="Y80" i="38"/>
  <c r="B78" i="6"/>
  <c r="A82" i="38"/>
  <c r="A80" i="7"/>
  <c r="A103" i="24"/>
  <c r="AS81" i="38"/>
  <c r="B81" i="38"/>
  <c r="D81" i="38"/>
  <c r="AO81" i="38" s="1"/>
  <c r="AM81" i="38"/>
  <c r="AT80" i="38"/>
  <c r="AK79" i="38"/>
  <c r="AB79" i="38"/>
  <c r="AL79" i="38"/>
  <c r="AA79" i="38"/>
  <c r="AV79" i="38" s="1"/>
  <c r="E79" i="38" s="1"/>
  <c r="AJ79" i="38"/>
  <c r="D79" i="7"/>
  <c r="B79" i="7"/>
  <c r="C80" i="7"/>
  <c r="C81" i="38"/>
  <c r="AX81" i="38"/>
  <c r="AZ80" i="7"/>
  <c r="C82" i="38"/>
  <c r="B79" i="6" l="1"/>
  <c r="AM82" i="38"/>
  <c r="AS82" i="38"/>
  <c r="A83" i="38"/>
  <c r="B82" i="38"/>
  <c r="D82" i="38"/>
  <c r="AO82" i="38" s="1"/>
  <c r="A104" i="24"/>
  <c r="A81" i="7"/>
  <c r="AT81" i="38"/>
  <c r="Y81" i="38"/>
  <c r="Z81" i="38"/>
  <c r="AY81" i="38" s="1"/>
  <c r="AZ81" i="38" s="1"/>
  <c r="D80" i="7"/>
  <c r="B80" i="7"/>
  <c r="AJ80" i="38"/>
  <c r="AA80" i="38"/>
  <c r="AV80" i="38" s="1"/>
  <c r="E80" i="38" s="1"/>
  <c r="AL80" i="38"/>
  <c r="AB80" i="38"/>
  <c r="AK80" i="38"/>
  <c r="AZ81" i="7"/>
  <c r="AX82" i="38"/>
  <c r="C83" i="38"/>
  <c r="C81" i="7"/>
  <c r="B81" i="7" l="1"/>
  <c r="D81" i="7"/>
  <c r="AS83" i="38"/>
  <c r="AM83" i="38"/>
  <c r="B83" i="38"/>
  <c r="D83" i="38"/>
  <c r="AO83" i="38" s="1"/>
  <c r="A105" i="24"/>
  <c r="A82" i="7"/>
  <c r="A84" i="38"/>
  <c r="B80" i="6"/>
  <c r="AA81" i="38"/>
  <c r="AV81" i="38" s="1"/>
  <c r="E81" i="38" s="1"/>
  <c r="AB81" i="38"/>
  <c r="AL81" i="38"/>
  <c r="AK81" i="38"/>
  <c r="AJ81" i="38"/>
  <c r="AT82" i="38"/>
  <c r="Z82" i="38"/>
  <c r="AY82" i="38" s="1"/>
  <c r="AZ82" i="38" s="1"/>
  <c r="Y82" i="38"/>
  <c r="C82" i="7"/>
  <c r="AZ82" i="7"/>
  <c r="AX83" i="38"/>
  <c r="Z83" i="38" l="1"/>
  <c r="AY83" i="38" s="1"/>
  <c r="AZ83" i="38" s="1"/>
  <c r="Y83" i="38"/>
  <c r="A106" i="24"/>
  <c r="A83" i="7"/>
  <c r="B84" i="38"/>
  <c r="AS84" i="38"/>
  <c r="D84" i="38"/>
  <c r="AO84" i="38" s="1"/>
  <c r="AM84" i="38"/>
  <c r="A85" i="38"/>
  <c r="AK82" i="38"/>
  <c r="AA82" i="38"/>
  <c r="AV82" i="38" s="1"/>
  <c r="E82" i="38" s="1"/>
  <c r="AL82" i="38"/>
  <c r="AB82" i="38"/>
  <c r="AJ82" i="38"/>
  <c r="B81" i="6"/>
  <c r="D82" i="7"/>
  <c r="B82" i="7"/>
  <c r="AT83" i="38"/>
  <c r="AX84" i="38"/>
  <c r="AZ83" i="7"/>
  <c r="C83" i="7"/>
  <c r="C84" i="38"/>
  <c r="A84" i="7" l="1"/>
  <c r="A107" i="24"/>
  <c r="AS85" i="38"/>
  <c r="B85" i="38"/>
  <c r="D85" i="38"/>
  <c r="AO85" i="38" s="1"/>
  <c r="AM85" i="38"/>
  <c r="A86" i="38"/>
  <c r="D83" i="7"/>
  <c r="B83" i="7"/>
  <c r="AT84" i="38"/>
  <c r="Z84" i="38"/>
  <c r="AY84" i="38" s="1"/>
  <c r="AZ84" i="38" s="1"/>
  <c r="Y84" i="38"/>
  <c r="AK83" i="38"/>
  <c r="AJ83" i="38"/>
  <c r="AL83" i="38"/>
  <c r="AB83" i="38"/>
  <c r="AA83" i="38"/>
  <c r="AV83" i="38" s="1"/>
  <c r="E83" i="38" s="1"/>
  <c r="B82" i="6"/>
  <c r="C84" i="7"/>
  <c r="AX85" i="38"/>
  <c r="AZ84" i="7"/>
  <c r="C85" i="38"/>
  <c r="B83" i="6" l="1"/>
  <c r="A85" i="7"/>
  <c r="A108" i="24"/>
  <c r="B86" i="38"/>
  <c r="AS86" i="38"/>
  <c r="D86" i="38"/>
  <c r="AO86" i="38" s="1"/>
  <c r="AM86" i="38"/>
  <c r="A87" i="38"/>
  <c r="AB84" i="38"/>
  <c r="AJ84" i="38"/>
  <c r="AL84" i="38"/>
  <c r="AA84" i="38"/>
  <c r="AV84" i="38" s="1"/>
  <c r="E84" i="38" s="1"/>
  <c r="AK84" i="38"/>
  <c r="Z85" i="38"/>
  <c r="AY85" i="38" s="1"/>
  <c r="AZ85" i="38" s="1"/>
  <c r="Y85" i="38"/>
  <c r="AT85" i="38"/>
  <c r="B84" i="7"/>
  <c r="D84" i="7"/>
  <c r="C85" i="7"/>
  <c r="C86" i="38"/>
  <c r="AX86" i="38"/>
  <c r="AZ85" i="7"/>
  <c r="AA85" i="38" l="1"/>
  <c r="AV85" i="38" s="1"/>
  <c r="E85" i="38" s="1"/>
  <c r="AL85" i="38"/>
  <c r="AK85" i="38"/>
  <c r="AB85" i="38"/>
  <c r="AJ85" i="38"/>
  <c r="A86" i="7"/>
  <c r="A109" i="24"/>
  <c r="AS87" i="38"/>
  <c r="B87" i="38"/>
  <c r="D87" i="38"/>
  <c r="AO87" i="38" s="1"/>
  <c r="AM87" i="38"/>
  <c r="A88" i="38"/>
  <c r="B84" i="6"/>
  <c r="Y86" i="38"/>
  <c r="Z86" i="38"/>
  <c r="AY86" i="38" s="1"/>
  <c r="AZ86" i="38" s="1"/>
  <c r="AT86" i="38"/>
  <c r="B85" i="7"/>
  <c r="D85" i="7"/>
  <c r="C86" i="7"/>
  <c r="C87" i="38"/>
  <c r="AX87" i="38"/>
  <c r="AZ86" i="7"/>
  <c r="B85" i="6" l="1"/>
  <c r="Z87" i="38"/>
  <c r="AY87" i="38" s="1"/>
  <c r="AZ87" i="38" s="1"/>
  <c r="Y87" i="38"/>
  <c r="A89" i="38"/>
  <c r="A87" i="7"/>
  <c r="A110" i="24"/>
  <c r="AS88" i="38"/>
  <c r="B88" i="38"/>
  <c r="AM88" i="38"/>
  <c r="D88" i="38"/>
  <c r="AO88" i="38" s="1"/>
  <c r="AT87" i="38"/>
  <c r="B86" i="6"/>
  <c r="D86" i="7"/>
  <c r="B86" i="7"/>
  <c r="AL86" i="38"/>
  <c r="AB86" i="38"/>
  <c r="AK86" i="38"/>
  <c r="AJ86" i="38"/>
  <c r="AA86" i="38"/>
  <c r="AV86" i="38" s="1"/>
  <c r="E86" i="38" s="1"/>
  <c r="C89" i="38"/>
  <c r="C87" i="7"/>
  <c r="C88" i="38"/>
  <c r="AX88" i="38"/>
  <c r="AZ87" i="7"/>
  <c r="Y88" i="38" l="1"/>
  <c r="Z88" i="38"/>
  <c r="AY88" i="38" s="1"/>
  <c r="AZ88" i="38" s="1"/>
  <c r="B87" i="7"/>
  <c r="D87" i="7"/>
  <c r="AT88" i="38"/>
  <c r="A90" i="38"/>
  <c r="B89" i="38"/>
  <c r="AM89" i="38"/>
  <c r="D89" i="38"/>
  <c r="AO89" i="38" s="1"/>
  <c r="AS89" i="38"/>
  <c r="A111" i="24"/>
  <c r="A88" i="7"/>
  <c r="AA87" i="38"/>
  <c r="AV87" i="38" s="1"/>
  <c r="E87" i="38" s="1"/>
  <c r="AB87" i="38"/>
  <c r="AK87" i="38"/>
  <c r="AJ87" i="38"/>
  <c r="AL87" i="38"/>
  <c r="C90" i="38"/>
  <c r="C88" i="7"/>
  <c r="AZ88" i="7"/>
  <c r="AX89" i="38"/>
  <c r="Z89" i="38" l="1"/>
  <c r="AY89" i="38" s="1"/>
  <c r="AZ89" i="38" s="1"/>
  <c r="Y89" i="38"/>
  <c r="B88" i="7"/>
  <c r="D88" i="7"/>
  <c r="AT89" i="38"/>
  <c r="AS90" i="38"/>
  <c r="B90" i="38"/>
  <c r="D90" i="38"/>
  <c r="AO90" i="38" s="1"/>
  <c r="AM90" i="38"/>
  <c r="A112" i="24"/>
  <c r="A89" i="7"/>
  <c r="A91" i="38"/>
  <c r="AB88" i="38"/>
  <c r="AK88" i="38"/>
  <c r="AA88" i="38"/>
  <c r="AV88" i="38" s="1"/>
  <c r="E88" i="38" s="1"/>
  <c r="AL88" i="38"/>
  <c r="AJ88" i="38"/>
  <c r="B87" i="6"/>
  <c r="C89" i="7"/>
  <c r="AZ89" i="7"/>
  <c r="AX90" i="38"/>
  <c r="Z90" i="38" l="1"/>
  <c r="AY90" i="38" s="1"/>
  <c r="AZ90" i="38" s="1"/>
  <c r="Y90" i="38"/>
  <c r="B88" i="6"/>
  <c r="AB89" i="38"/>
  <c r="AL89" i="38"/>
  <c r="AA89" i="38"/>
  <c r="AV89" i="38" s="1"/>
  <c r="E89" i="38" s="1"/>
  <c r="AJ89" i="38"/>
  <c r="AK89" i="38"/>
  <c r="A90" i="7"/>
  <c r="A113" i="24"/>
  <c r="D91" i="38"/>
  <c r="AO91" i="38" s="1"/>
  <c r="AS91" i="38"/>
  <c r="B91" i="38"/>
  <c r="AM91" i="38"/>
  <c r="A92" i="38"/>
  <c r="B89" i="7"/>
  <c r="D89" i="7"/>
  <c r="AT90" i="38"/>
  <c r="C91" i="38"/>
  <c r="AX91" i="38"/>
  <c r="AZ90" i="7"/>
  <c r="C90" i="7"/>
  <c r="B90" i="7" l="1"/>
  <c r="D90" i="7"/>
  <c r="B89" i="6"/>
  <c r="Z91" i="38"/>
  <c r="AY91" i="38" s="1"/>
  <c r="AZ91" i="38" s="1"/>
  <c r="Y91" i="38"/>
  <c r="AT91" i="38"/>
  <c r="AK90" i="38"/>
  <c r="AL90" i="38"/>
  <c r="AA90" i="38"/>
  <c r="AV90" i="38" s="1"/>
  <c r="E90" i="38" s="1"/>
  <c r="AB90" i="38"/>
  <c r="AJ90" i="38"/>
  <c r="A91" i="7"/>
  <c r="A114" i="24"/>
  <c r="B92" i="38"/>
  <c r="AS92" i="38"/>
  <c r="D92" i="38"/>
  <c r="AO92" i="38" s="1"/>
  <c r="AM92" i="38"/>
  <c r="A93" i="38"/>
  <c r="AX92" i="38"/>
  <c r="AZ91" i="7"/>
  <c r="C91" i="7"/>
  <c r="C92" i="38"/>
  <c r="AT92" i="38" l="1"/>
  <c r="B91" i="7"/>
  <c r="D91" i="7"/>
  <c r="A115" i="24"/>
  <c r="A92" i="7"/>
  <c r="AS93" i="38"/>
  <c r="B93" i="38"/>
  <c r="D93" i="38"/>
  <c r="AO93" i="38" s="1"/>
  <c r="AM93" i="38"/>
  <c r="A94" i="38"/>
  <c r="B90" i="6"/>
  <c r="AJ91" i="38"/>
  <c r="AK91" i="38"/>
  <c r="AL91" i="38"/>
  <c r="AB91" i="38"/>
  <c r="AA91" i="38"/>
  <c r="AV91" i="38" s="1"/>
  <c r="E91" i="38" s="1"/>
  <c r="Z92" i="38"/>
  <c r="AY92" i="38" s="1"/>
  <c r="AZ92" i="38" s="1"/>
  <c r="Y92" i="38"/>
  <c r="C92" i="7"/>
  <c r="C93" i="38"/>
  <c r="AX93" i="38"/>
  <c r="AZ92" i="7"/>
  <c r="B91" i="6" l="1"/>
  <c r="A116" i="24"/>
  <c r="A93" i="7"/>
  <c r="B94" i="38"/>
  <c r="AS94" i="38"/>
  <c r="D94" i="38"/>
  <c r="AO94" i="38" s="1"/>
  <c r="AM94" i="38"/>
  <c r="A95" i="38"/>
  <c r="AT93" i="38"/>
  <c r="Y93" i="38"/>
  <c r="Z93" i="38"/>
  <c r="AY93" i="38" s="1"/>
  <c r="AZ93" i="38" s="1"/>
  <c r="B92" i="7"/>
  <c r="D92" i="7"/>
  <c r="AL92" i="38"/>
  <c r="AB92" i="38"/>
  <c r="AJ92" i="38"/>
  <c r="AK92" i="38"/>
  <c r="AA92" i="38"/>
  <c r="AV92" i="38" s="1"/>
  <c r="E92" i="38" s="1"/>
  <c r="C93" i="7"/>
  <c r="C94" i="38"/>
  <c r="AX94" i="38"/>
  <c r="AZ93" i="7"/>
  <c r="A96" i="38" l="1"/>
  <c r="A117" i="24"/>
  <c r="A94" i="7"/>
  <c r="AS95" i="38"/>
  <c r="B95" i="38"/>
  <c r="AM95" i="38"/>
  <c r="D95" i="38"/>
  <c r="AO95" i="38" s="1"/>
  <c r="AK93" i="38"/>
  <c r="AA93" i="38"/>
  <c r="AV93" i="38" s="1"/>
  <c r="E93" i="38" s="1"/>
  <c r="AL93" i="38"/>
  <c r="AB93" i="38"/>
  <c r="AJ93" i="38"/>
  <c r="Y94" i="38"/>
  <c r="Z94" i="38"/>
  <c r="AY94" i="38" s="1"/>
  <c r="AZ94" i="38" s="1"/>
  <c r="AT94" i="38"/>
  <c r="D93" i="7"/>
  <c r="B93" i="7"/>
  <c r="B92" i="6"/>
  <c r="C96" i="38"/>
  <c r="C94" i="7"/>
  <c r="C95" i="38"/>
  <c r="AX95" i="38"/>
  <c r="AZ94" i="7"/>
  <c r="B93" i="6" l="1"/>
  <c r="Z95" i="38"/>
  <c r="AY95" i="38" s="1"/>
  <c r="AZ95" i="38" s="1"/>
  <c r="Y95" i="38"/>
  <c r="AJ94" i="38"/>
  <c r="AL94" i="38"/>
  <c r="AB94" i="38"/>
  <c r="AK94" i="38"/>
  <c r="AA94" i="38"/>
  <c r="AV94" i="38" s="1"/>
  <c r="E94" i="38" s="1"/>
  <c r="AT95" i="38"/>
  <c r="B94" i="7"/>
  <c r="D94" i="7"/>
  <c r="A97" i="38"/>
  <c r="AM96" i="38"/>
  <c r="D96" i="38"/>
  <c r="AO96" i="38" s="1"/>
  <c r="B96" i="38"/>
  <c r="AS96" i="38"/>
  <c r="A95" i="7"/>
  <c r="A118" i="24"/>
  <c r="C95" i="7"/>
  <c r="C97" i="38"/>
  <c r="AZ95" i="7"/>
  <c r="AX96" i="38"/>
  <c r="Z96" i="38" l="1"/>
  <c r="AY96" i="38" s="1"/>
  <c r="AZ96" i="38" s="1"/>
  <c r="Y96" i="38"/>
  <c r="B97" i="38"/>
  <c r="AM97" i="38"/>
  <c r="AS97" i="38"/>
  <c r="D97" i="38"/>
  <c r="AO97" i="38" s="1"/>
  <c r="A119" i="24"/>
  <c r="A96" i="7"/>
  <c r="A98" i="38"/>
  <c r="AA95" i="38"/>
  <c r="AV95" i="38" s="1"/>
  <c r="E95" i="38" s="1"/>
  <c r="AK95" i="38"/>
  <c r="AL95" i="38"/>
  <c r="AB95" i="38"/>
  <c r="AJ95" i="38"/>
  <c r="D95" i="7"/>
  <c r="B95" i="7"/>
  <c r="AT96" i="38"/>
  <c r="B94" i="6"/>
  <c r="AZ96" i="7"/>
  <c r="AX97" i="38"/>
  <c r="C96" i="7"/>
  <c r="B95" i="6" l="1"/>
  <c r="B96" i="7"/>
  <c r="D96" i="7"/>
  <c r="AJ96" i="38"/>
  <c r="AL96" i="38"/>
  <c r="AB96" i="38"/>
  <c r="AA96" i="38"/>
  <c r="AV96" i="38" s="1"/>
  <c r="E96" i="38" s="1"/>
  <c r="AK96" i="38"/>
  <c r="A120" i="24"/>
  <c r="A97" i="7"/>
  <c r="B98" i="38"/>
  <c r="AS98" i="38"/>
  <c r="AM98" i="38"/>
  <c r="D98" i="38"/>
  <c r="AO98" i="38" s="1"/>
  <c r="A99" i="38"/>
  <c r="AT97" i="38"/>
  <c r="Z97" i="38"/>
  <c r="AY97" i="38" s="1"/>
  <c r="AZ97" i="38" s="1"/>
  <c r="Y97" i="38"/>
  <c r="C98" i="38"/>
  <c r="C97" i="7"/>
  <c r="AX98" i="38"/>
  <c r="AZ97" i="7"/>
  <c r="Z98" i="38" l="1"/>
  <c r="AY98" i="38" s="1"/>
  <c r="AZ98" i="38" s="1"/>
  <c r="Y98" i="38"/>
  <c r="B97" i="7"/>
  <c r="D97" i="7"/>
  <c r="AK97" i="38"/>
  <c r="AJ97" i="38"/>
  <c r="AA97" i="38"/>
  <c r="AV97" i="38" s="1"/>
  <c r="E97" i="38" s="1"/>
  <c r="AB97" i="38"/>
  <c r="AL97" i="38"/>
  <c r="AT98" i="38"/>
  <c r="A121" i="24"/>
  <c r="A98" i="7"/>
  <c r="B99" i="38"/>
  <c r="AS99" i="38"/>
  <c r="D99" i="38"/>
  <c r="AO99" i="38" s="1"/>
  <c r="AM99" i="38"/>
  <c r="A100" i="38"/>
  <c r="B96" i="6"/>
  <c r="C98" i="7"/>
  <c r="AX99" i="38"/>
  <c r="AZ98" i="7"/>
  <c r="C99" i="38"/>
  <c r="AT99" i="38" l="1"/>
  <c r="A122" i="24"/>
  <c r="A99" i="7"/>
  <c r="B100" i="38"/>
  <c r="AS100" i="38"/>
  <c r="AM100" i="38"/>
  <c r="D100" i="38"/>
  <c r="AO100" i="38" s="1"/>
  <c r="A101" i="38"/>
  <c r="Z99" i="38"/>
  <c r="AY99" i="38" s="1"/>
  <c r="AZ99" i="38" s="1"/>
  <c r="Y99" i="38"/>
  <c r="AJ98" i="38"/>
  <c r="AK98" i="38"/>
  <c r="AB98" i="38"/>
  <c r="AL98" i="38"/>
  <c r="AA98" i="38"/>
  <c r="AV98" i="38" s="1"/>
  <c r="E98" i="38" s="1"/>
  <c r="D98" i="7"/>
  <c r="B98" i="7"/>
  <c r="B97" i="6"/>
  <c r="C99" i="7"/>
  <c r="C100" i="38"/>
  <c r="AX100" i="38"/>
  <c r="AZ99" i="7"/>
  <c r="AT100" i="38" l="1"/>
  <c r="AA99" i="38"/>
  <c r="AV99" i="38" s="1"/>
  <c r="E99" i="38" s="1"/>
  <c r="AK99" i="38"/>
  <c r="AB99" i="38"/>
  <c r="AJ99" i="38"/>
  <c r="AL99" i="38"/>
  <c r="Z100" i="38"/>
  <c r="AY100" i="38" s="1"/>
  <c r="AZ100" i="38" s="1"/>
  <c r="Y100" i="38"/>
  <c r="D99" i="7"/>
  <c r="B99" i="7"/>
  <c r="A102" i="38"/>
  <c r="A100" i="7"/>
  <c r="A123" i="24"/>
  <c r="B101" i="38"/>
  <c r="AS101" i="38"/>
  <c r="D101" i="38"/>
  <c r="AO101" i="38" s="1"/>
  <c r="AM101" i="38"/>
  <c r="B98" i="6"/>
  <c r="B99" i="6" s="1"/>
  <c r="C101" i="38"/>
  <c r="AX101" i="38"/>
  <c r="AZ100" i="7"/>
  <c r="C100" i="7"/>
  <c r="C102" i="38"/>
  <c r="AM102" i="38" l="1"/>
  <c r="AS102" i="38"/>
  <c r="A103" i="38"/>
  <c r="D102" i="38"/>
  <c r="AO102" i="38" s="1"/>
  <c r="B102" i="38"/>
  <c r="A101" i="7"/>
  <c r="A124" i="24"/>
  <c r="B100" i="7"/>
  <c r="D100" i="7"/>
  <c r="AK100" i="38"/>
  <c r="AJ100" i="38"/>
  <c r="AL100" i="38"/>
  <c r="AB100" i="38"/>
  <c r="AA100" i="38"/>
  <c r="AV100" i="38" s="1"/>
  <c r="E100" i="38" s="1"/>
  <c r="Z101" i="38"/>
  <c r="AY101" i="38" s="1"/>
  <c r="AZ101" i="38" s="1"/>
  <c r="Y101" i="38"/>
  <c r="AT101" i="38"/>
  <c r="AZ101" i="7"/>
  <c r="AX102" i="38"/>
  <c r="C103" i="38"/>
  <c r="C101" i="7"/>
  <c r="B100" i="6" l="1"/>
  <c r="D101" i="7"/>
  <c r="B101" i="7"/>
  <c r="AS103" i="38"/>
  <c r="A104" i="38"/>
  <c r="AM103" i="38"/>
  <c r="D103" i="38"/>
  <c r="AO103" i="38" s="1"/>
  <c r="B103" i="38"/>
  <c r="A102" i="7"/>
  <c r="A125" i="24"/>
  <c r="AK101" i="38"/>
  <c r="AA101" i="38"/>
  <c r="AV101" i="38" s="1"/>
  <c r="E101" i="38" s="1"/>
  <c r="AB101" i="38"/>
  <c r="AJ101" i="38"/>
  <c r="AL101" i="38"/>
  <c r="AT102" i="38"/>
  <c r="Y102" i="38"/>
  <c r="Z102" i="38"/>
  <c r="AY102" i="38" s="1"/>
  <c r="AZ102" i="38" s="1"/>
  <c r="C104" i="38"/>
  <c r="C102" i="7"/>
  <c r="AZ102" i="7"/>
  <c r="AX103" i="38"/>
  <c r="AT103" i="38" l="1"/>
  <c r="Z103" i="38"/>
  <c r="AY103" i="38" s="1"/>
  <c r="AZ103" i="38" s="1"/>
  <c r="Y103" i="38"/>
  <c r="B102" i="7"/>
  <c r="D102" i="7"/>
  <c r="AM104" i="38"/>
  <c r="B104" i="38"/>
  <c r="AS104" i="38"/>
  <c r="D104" i="38"/>
  <c r="AO104" i="38" s="1"/>
  <c r="A105" i="38"/>
  <c r="A126" i="24"/>
  <c r="A103" i="7"/>
  <c r="AB102" i="38"/>
  <c r="AA102" i="38"/>
  <c r="AV102" i="38" s="1"/>
  <c r="E102" i="38" s="1"/>
  <c r="AJ102" i="38"/>
  <c r="AL102" i="38"/>
  <c r="AK102" i="38"/>
  <c r="B101" i="6"/>
  <c r="C105" i="38"/>
  <c r="C103" i="7"/>
  <c r="AZ103" i="7"/>
  <c r="AX104" i="38"/>
  <c r="AT104" i="38" l="1"/>
  <c r="Z104" i="38"/>
  <c r="AY104" i="38" s="1"/>
  <c r="AZ104" i="38" s="1"/>
  <c r="Y104" i="38"/>
  <c r="B103" i="7"/>
  <c r="D103" i="7"/>
  <c r="B102" i="6"/>
  <c r="AL103" i="38"/>
  <c r="AK103" i="38"/>
  <c r="AB103" i="38"/>
  <c r="AJ103" i="38"/>
  <c r="AA103" i="38"/>
  <c r="AV103" i="38" s="1"/>
  <c r="E103" i="38" s="1"/>
  <c r="AS105" i="38"/>
  <c r="AM105" i="38"/>
  <c r="B105" i="38"/>
  <c r="D105" i="38"/>
  <c r="AO105" i="38" s="1"/>
  <c r="A127" i="24"/>
  <c r="A104" i="7"/>
  <c r="A106" i="38"/>
  <c r="C104" i="7"/>
  <c r="AZ104" i="7"/>
  <c r="AX105" i="38"/>
  <c r="AT105" i="38" l="1"/>
  <c r="Z105" i="38"/>
  <c r="AY105" i="38" s="1"/>
  <c r="AZ105" i="38" s="1"/>
  <c r="Y105" i="38"/>
  <c r="B103" i="6"/>
  <c r="A105" i="7"/>
  <c r="A128" i="24"/>
  <c r="AS106" i="38"/>
  <c r="B106" i="38"/>
  <c r="D106" i="38"/>
  <c r="AO106" i="38" s="1"/>
  <c r="AM106" i="38"/>
  <c r="A107" i="38"/>
  <c r="AJ104" i="38"/>
  <c r="AK104" i="38"/>
  <c r="AL104" i="38"/>
  <c r="AA104" i="38"/>
  <c r="AV104" i="38" s="1"/>
  <c r="E104" i="38" s="1"/>
  <c r="AB104" i="38"/>
  <c r="D104" i="7"/>
  <c r="B104" i="7"/>
  <c r="AX106" i="38"/>
  <c r="AZ105" i="7"/>
  <c r="C106" i="38"/>
  <c r="C105" i="7"/>
  <c r="D105" i="7" l="1"/>
  <c r="B105" i="7"/>
  <c r="B104" i="6"/>
  <c r="A129" i="24"/>
  <c r="A106" i="7"/>
  <c r="AS107" i="38"/>
  <c r="B107" i="38"/>
  <c r="D107" i="38"/>
  <c r="AO107" i="38" s="1"/>
  <c r="AM107" i="38"/>
  <c r="A108" i="38"/>
  <c r="AB105" i="38"/>
  <c r="AL105" i="38"/>
  <c r="AJ105" i="38"/>
  <c r="AA105" i="38"/>
  <c r="AV105" i="38" s="1"/>
  <c r="E105" i="38" s="1"/>
  <c r="AK105" i="38"/>
  <c r="Z106" i="38"/>
  <c r="AY106" i="38" s="1"/>
  <c r="AZ106" i="38" s="1"/>
  <c r="Y106" i="38"/>
  <c r="AT106" i="38"/>
  <c r="C107" i="38"/>
  <c r="AX107" i="38"/>
  <c r="AZ106" i="7"/>
  <c r="C106" i="7"/>
  <c r="D106" i="7" l="1"/>
  <c r="B106" i="7"/>
  <c r="Z107" i="38"/>
  <c r="AY107" i="38" s="1"/>
  <c r="AZ107" i="38" s="1"/>
  <c r="Y107" i="38"/>
  <c r="AJ106" i="38"/>
  <c r="AA106" i="38"/>
  <c r="AV106" i="38" s="1"/>
  <c r="E106" i="38" s="1"/>
  <c r="AL106" i="38"/>
  <c r="AB106" i="38"/>
  <c r="AK106" i="38"/>
  <c r="A107" i="7"/>
  <c r="A130" i="24"/>
  <c r="AS108" i="38"/>
  <c r="B108" i="38"/>
  <c r="D108" i="38"/>
  <c r="AO108" i="38" s="1"/>
  <c r="AM108" i="38"/>
  <c r="A109" i="38"/>
  <c r="AT107" i="38"/>
  <c r="B105" i="6"/>
  <c r="AX108" i="38"/>
  <c r="AZ107" i="7"/>
  <c r="C107" i="7"/>
  <c r="C108" i="38"/>
  <c r="AT108" i="38" l="1"/>
  <c r="B107" i="7"/>
  <c r="D107" i="7"/>
  <c r="AJ107" i="38"/>
  <c r="AL107" i="38"/>
  <c r="AK107" i="38"/>
  <c r="AA107" i="38"/>
  <c r="AV107" i="38" s="1"/>
  <c r="E107" i="38" s="1"/>
  <c r="AB107" i="38"/>
  <c r="A110" i="38"/>
  <c r="A108" i="7"/>
  <c r="A131" i="24"/>
  <c r="AS109" i="38"/>
  <c r="B109" i="38"/>
  <c r="AM109" i="38"/>
  <c r="D109" i="38"/>
  <c r="AO109" i="38" s="1"/>
  <c r="B106" i="6"/>
  <c r="Z108" i="38"/>
  <c r="AY108" i="38" s="1"/>
  <c r="AZ108" i="38" s="1"/>
  <c r="Y108" i="38"/>
  <c r="C108" i="7"/>
  <c r="C109" i="38"/>
  <c r="AX109" i="38"/>
  <c r="AZ108" i="7"/>
  <c r="C110" i="38"/>
  <c r="AT109" i="38" l="1"/>
  <c r="B110" i="38"/>
  <c r="AM110" i="38"/>
  <c r="D110" i="38"/>
  <c r="AO110" i="38" s="1"/>
  <c r="A111" i="38"/>
  <c r="AS110" i="38"/>
  <c r="AT110" i="38"/>
  <c r="A109" i="7"/>
  <c r="A132" i="24"/>
  <c r="Y109" i="38"/>
  <c r="Z109" i="38"/>
  <c r="AY109" i="38" s="1"/>
  <c r="AZ109" i="38" s="1"/>
  <c r="B107" i="6"/>
  <c r="B108" i="6" s="1"/>
  <c r="D108" i="7"/>
  <c r="B108" i="7"/>
  <c r="AJ108" i="38"/>
  <c r="AL108" i="38"/>
  <c r="AK108" i="38"/>
  <c r="AB108" i="38"/>
  <c r="AA108" i="38"/>
  <c r="AV108" i="38" s="1"/>
  <c r="E108" i="38" s="1"/>
  <c r="C109" i="7"/>
  <c r="AZ109" i="7"/>
  <c r="AX110" i="38"/>
  <c r="C111" i="38"/>
  <c r="AS111" i="38" l="1"/>
  <c r="AM111" i="38"/>
  <c r="B111" i="38"/>
  <c r="D111" i="38"/>
  <c r="AO111" i="38" s="1"/>
  <c r="A110" i="7"/>
  <c r="A133" i="24"/>
  <c r="A112" i="38"/>
  <c r="Z110" i="38"/>
  <c r="AY110" i="38" s="1"/>
  <c r="AZ110" i="38" s="1"/>
  <c r="Y110" i="38"/>
  <c r="AK109" i="38"/>
  <c r="AJ109" i="38"/>
  <c r="AA109" i="38"/>
  <c r="AV109" i="38" s="1"/>
  <c r="E109" i="38" s="1"/>
  <c r="AL109" i="38"/>
  <c r="AB109" i="38"/>
  <c r="D109" i="7"/>
  <c r="B109" i="7"/>
  <c r="AZ110" i="7"/>
  <c r="AX111" i="38"/>
  <c r="C110" i="7"/>
  <c r="AT111" i="38" l="1"/>
  <c r="AB110" i="38"/>
  <c r="AL110" i="38"/>
  <c r="AK110" i="38"/>
  <c r="AA110" i="38"/>
  <c r="AV110" i="38" s="1"/>
  <c r="E110" i="38" s="1"/>
  <c r="AJ110" i="38"/>
  <c r="A134" i="24"/>
  <c r="A111" i="7"/>
  <c r="D112" i="38"/>
  <c r="AO112" i="38" s="1"/>
  <c r="AS112" i="38"/>
  <c r="B112" i="38"/>
  <c r="AM112" i="38"/>
  <c r="A113" i="38"/>
  <c r="D110" i="7"/>
  <c r="B110" i="7"/>
  <c r="Z111" i="38"/>
  <c r="AY111" i="38" s="1"/>
  <c r="AZ111" i="38" s="1"/>
  <c r="Y111" i="38"/>
  <c r="B109" i="6"/>
  <c r="C111" i="7"/>
  <c r="C112" i="38"/>
  <c r="AX112" i="38"/>
  <c r="AZ111" i="7"/>
  <c r="A135" i="24"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3" i="38"/>
  <c r="C112" i="7"/>
  <c r="AX113" i="38"/>
  <c r="AZ112" i="7"/>
  <c r="AB112" i="38" l="1"/>
  <c r="AJ112" i="38"/>
  <c r="AK112" i="38"/>
  <c r="AL112" i="38"/>
  <c r="AA112" i="38"/>
  <c r="AV112" i="38" s="1"/>
  <c r="E112" i="38" s="1"/>
  <c r="Z113" i="38"/>
  <c r="AY113" i="38" s="1"/>
  <c r="AZ113" i="38" s="1"/>
  <c r="Y113" i="38"/>
  <c r="B112" i="7"/>
  <c r="D112" i="7"/>
  <c r="A113" i="7"/>
  <c r="A136" i="24"/>
  <c r="B114" i="38"/>
  <c r="AS114" i="38"/>
  <c r="D114" i="38"/>
  <c r="AO114" i="38" s="1"/>
  <c r="AM114" i="38"/>
  <c r="A115" i="38"/>
  <c r="B111" i="6"/>
  <c r="AT113" i="38"/>
  <c r="AX114" i="38"/>
  <c r="AZ113" i="7"/>
  <c r="C113" i="7"/>
  <c r="C114" i="38"/>
  <c r="D113" i="7" l="1"/>
  <c r="B113" i="7"/>
  <c r="A137" i="24"/>
  <c r="A114" i="7"/>
  <c r="B115" i="38"/>
  <c r="AS115" i="38"/>
  <c r="D115" i="38"/>
  <c r="AO115" i="38" s="1"/>
  <c r="AM115" i="38"/>
  <c r="A116" i="38"/>
  <c r="AT114" i="38"/>
  <c r="AJ113" i="38"/>
  <c r="AB113" i="38"/>
  <c r="AL113" i="38"/>
  <c r="AK113" i="38"/>
  <c r="AA113" i="38"/>
  <c r="AV113" i="38" s="1"/>
  <c r="E113" i="38" s="1"/>
  <c r="B112" i="6"/>
  <c r="B113" i="6" s="1"/>
  <c r="Z114" i="38"/>
  <c r="AY114" i="38" s="1"/>
  <c r="AZ114" i="38" s="1"/>
  <c r="Y114" i="38"/>
  <c r="AX115" i="38"/>
  <c r="AZ114" i="7"/>
  <c r="C114" i="7"/>
  <c r="C115" i="38"/>
  <c r="A117" i="38" l="1"/>
  <c r="A115" i="7"/>
  <c r="A138" i="24"/>
  <c r="B116" i="38"/>
  <c r="AS116" i="38"/>
  <c r="AM116" i="38"/>
  <c r="D116" i="38"/>
  <c r="AO116" i="38" s="1"/>
  <c r="AT115" i="38"/>
  <c r="D114" i="7"/>
  <c r="B114" i="7"/>
  <c r="Z115" i="38"/>
  <c r="AY115" i="38" s="1"/>
  <c r="AZ115" i="38" s="1"/>
  <c r="Y115" i="38"/>
  <c r="AB114" i="38"/>
  <c r="AK114" i="38"/>
  <c r="AA114" i="38"/>
  <c r="AV114" i="38" s="1"/>
  <c r="E114" i="38" s="1"/>
  <c r="AJ114" i="38"/>
  <c r="AL114" i="38"/>
  <c r="C117" i="38"/>
  <c r="C115" i="7"/>
  <c r="C116" i="38"/>
  <c r="AX116" i="38"/>
  <c r="AZ115" i="7"/>
  <c r="B114" i="6" l="1"/>
  <c r="Y116" i="38"/>
  <c r="Z116" i="38"/>
  <c r="AY116" i="38" s="1"/>
  <c r="AZ116" i="38" s="1"/>
  <c r="AB115" i="38"/>
  <c r="AA115" i="38"/>
  <c r="AV115" i="38" s="1"/>
  <c r="E115" i="38" s="1"/>
  <c r="AK115" i="38"/>
  <c r="AL115" i="38"/>
  <c r="AJ115" i="38"/>
  <c r="D115" i="7"/>
  <c r="B115" i="7"/>
  <c r="AT116" i="38"/>
  <c r="AM117" i="38"/>
  <c r="B117" i="38"/>
  <c r="A118" i="38"/>
  <c r="D117" i="38"/>
  <c r="AO117" i="38" s="1"/>
  <c r="AS117" i="38"/>
  <c r="A139" i="24"/>
  <c r="A116" i="7"/>
  <c r="AZ116" i="7"/>
  <c r="AX117" i="38"/>
  <c r="C116" i="7"/>
  <c r="C118" i="38"/>
  <c r="AS118" i="38" l="1"/>
  <c r="B118" i="38"/>
  <c r="D118" i="38"/>
  <c r="AO118" i="38" s="1"/>
  <c r="AM118" i="38"/>
  <c r="A117" i="7"/>
  <c r="A140" i="24"/>
  <c r="A119" i="38"/>
  <c r="D116" i="7"/>
  <c r="B116" i="7"/>
  <c r="AL116" i="38"/>
  <c r="AB116" i="38"/>
  <c r="AJ116" i="38"/>
  <c r="AK116" i="38"/>
  <c r="AA116" i="38"/>
  <c r="AV116" i="38" s="1"/>
  <c r="E116" i="38" s="1"/>
  <c r="Z117" i="38"/>
  <c r="AY117" i="38" s="1"/>
  <c r="AZ117" i="38" s="1"/>
  <c r="Y117" i="38"/>
  <c r="AT117" i="38"/>
  <c r="B115" i="6"/>
  <c r="AZ117" i="7"/>
  <c r="AX118" i="38"/>
  <c r="C117" i="7"/>
  <c r="AT118" i="38" l="1"/>
  <c r="A141" i="24"/>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9" i="38"/>
  <c r="C118" i="7"/>
  <c r="AX119" i="38"/>
  <c r="AZ118" i="7"/>
  <c r="B117" i="6" l="1"/>
  <c r="A142" i="24"/>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AX120" i="38"/>
  <c r="AZ119" i="7"/>
  <c r="C119" i="7"/>
  <c r="C120" i="38"/>
  <c r="A143" i="24"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AX121" i="38"/>
  <c r="AZ120" i="7"/>
  <c r="C121" i="38"/>
  <c r="C120" i="7"/>
  <c r="D120" i="7" l="1"/>
  <c r="B120" i="7"/>
  <c r="A144" i="24"/>
  <c r="AS122" i="38"/>
  <c r="B122" i="38"/>
  <c r="A121" i="7"/>
  <c r="D122" i="38"/>
  <c r="AO122" i="38" s="1"/>
  <c r="AM122" i="38"/>
  <c r="A123" i="38"/>
  <c r="B119" i="6"/>
  <c r="AB120" i="38"/>
  <c r="AK120" i="38"/>
  <c r="AJ120" i="38"/>
  <c r="AA120" i="38"/>
  <c r="AV120" i="38" s="1"/>
  <c r="E120" i="38" s="1"/>
  <c r="AL120" i="38"/>
  <c r="Z121" i="38"/>
  <c r="AY121" i="38" s="1"/>
  <c r="AZ121" i="38" s="1"/>
  <c r="Y121" i="38"/>
  <c r="AT121" i="38"/>
  <c r="AX122" i="38"/>
  <c r="AZ121" i="7"/>
  <c r="C122" i="38"/>
  <c r="C121" i="7"/>
  <c r="B120" i="6" l="1"/>
  <c r="A124" i="38"/>
  <c r="A145" i="24"/>
  <c r="B123" i="38"/>
  <c r="AS123" i="38"/>
  <c r="A122" i="7"/>
  <c r="D123" i="38"/>
  <c r="AO123" i="38" s="1"/>
  <c r="AM123" i="38"/>
  <c r="D121" i="7"/>
  <c r="B121" i="7"/>
  <c r="Z122" i="38"/>
  <c r="AY122" i="38" s="1"/>
  <c r="AZ122" i="38" s="1"/>
  <c r="Y122" i="38"/>
  <c r="AT122" i="38"/>
  <c r="AL121" i="38"/>
  <c r="AB121" i="38"/>
  <c r="AJ121" i="38"/>
  <c r="AK121" i="38"/>
  <c r="AA121" i="38"/>
  <c r="AV121" i="38" s="1"/>
  <c r="E121" i="38" s="1"/>
  <c r="C124" i="38"/>
  <c r="C123" i="38"/>
  <c r="C122" i="7"/>
  <c r="AX123" i="38"/>
  <c r="AZ122" i="7"/>
  <c r="Y123" i="38" l="1"/>
  <c r="Z123" i="38"/>
  <c r="AY123" i="38" s="1"/>
  <c r="AZ123" i="38" s="1"/>
  <c r="B122" i="7"/>
  <c r="D122" i="7"/>
  <c r="AA122" i="38"/>
  <c r="AV122" i="38" s="1"/>
  <c r="E122" i="38" s="1"/>
  <c r="AB122" i="38"/>
  <c r="AJ122" i="38"/>
  <c r="AL122" i="38"/>
  <c r="AK122" i="38"/>
  <c r="AT123" i="38"/>
  <c r="D124" i="38"/>
  <c r="AO124" i="38" s="1"/>
  <c r="B124" i="38"/>
  <c r="AS124" i="38"/>
  <c r="AM124" i="38"/>
  <c r="A125" i="38"/>
  <c r="A146" i="24"/>
  <c r="A123" i="7"/>
  <c r="B121" i="6"/>
  <c r="C123" i="7"/>
  <c r="C125" i="38"/>
  <c r="AZ123" i="7"/>
  <c r="AX124" i="38"/>
  <c r="AT124" i="38" l="1"/>
  <c r="Z124" i="38"/>
  <c r="AY124" i="38" s="1"/>
  <c r="AZ124" i="38" s="1"/>
  <c r="Y124" i="38"/>
  <c r="D125" i="38"/>
  <c r="AO125" i="38" s="1"/>
  <c r="AM125" i="38"/>
  <c r="B125" i="38"/>
  <c r="AS125" i="38"/>
  <c r="A126" i="38"/>
  <c r="AT125" i="38"/>
  <c r="A147" i="24"/>
  <c r="A124" i="7"/>
  <c r="B122" i="6"/>
  <c r="D123" i="7"/>
  <c r="B123" i="7"/>
  <c r="AA123" i="38"/>
  <c r="AV123" i="38" s="1"/>
  <c r="E123" i="38" s="1"/>
  <c r="AL123" i="38"/>
  <c r="AK123" i="38"/>
  <c r="AB123" i="38"/>
  <c r="AJ123" i="38"/>
  <c r="C126" i="38"/>
  <c r="C124" i="7"/>
  <c r="AZ124" i="7"/>
  <c r="AX125" i="38"/>
  <c r="Z125" i="38" l="1"/>
  <c r="AY125" i="38" s="1"/>
  <c r="AZ125" i="38" s="1"/>
  <c r="Y125" i="38"/>
  <c r="B123" i="6"/>
  <c r="B124" i="7"/>
  <c r="D124" i="7"/>
  <c r="AB124" i="38"/>
  <c r="AJ124" i="38"/>
  <c r="AA124" i="38"/>
  <c r="AV124" i="38" s="1"/>
  <c r="E124" i="38" s="1"/>
  <c r="AL124" i="38"/>
  <c r="AK124" i="38"/>
  <c r="AS126" i="38"/>
  <c r="B126" i="38"/>
  <c r="D126" i="38"/>
  <c r="AO126" i="38" s="1"/>
  <c r="AM126" i="38"/>
  <c r="A148" i="24"/>
  <c r="A125" i="7"/>
  <c r="A127" i="38"/>
  <c r="C125" i="7"/>
  <c r="AZ125" i="7"/>
  <c r="AX126" i="38"/>
  <c r="AT126" i="38" l="1"/>
  <c r="Z126" i="38"/>
  <c r="AY126" i="38" s="1"/>
  <c r="AZ126" i="38" s="1"/>
  <c r="Y126" i="38"/>
  <c r="A149" i="24"/>
  <c r="AS127" i="38"/>
  <c r="B127" i="38"/>
  <c r="A126" i="7"/>
  <c r="D127" i="38"/>
  <c r="AO127" i="38" s="1"/>
  <c r="AM127" i="38"/>
  <c r="A128" i="38"/>
  <c r="AL125" i="38"/>
  <c r="AJ125" i="38"/>
  <c r="AK125" i="38"/>
  <c r="AB125" i="38"/>
  <c r="AA125" i="38"/>
  <c r="AV125" i="38" s="1"/>
  <c r="E125" i="38" s="1"/>
  <c r="B124" i="6"/>
  <c r="D125" i="7"/>
  <c r="B125" i="7"/>
  <c r="AX127" i="38"/>
  <c r="AZ126" i="7"/>
  <c r="C126" i="7"/>
  <c r="C127" i="38"/>
  <c r="A150" i="24" l="1"/>
  <c r="B128" i="38"/>
  <c r="AS128" i="38"/>
  <c r="A127" i="7"/>
  <c r="D128" i="38"/>
  <c r="AO128" i="38" s="1"/>
  <c r="AM128" i="38"/>
  <c r="A129" i="38"/>
  <c r="D126" i="7"/>
  <c r="B126" i="7"/>
  <c r="AJ126" i="38"/>
  <c r="AL126" i="38"/>
  <c r="AB126" i="38"/>
  <c r="AA126" i="38"/>
  <c r="AV126" i="38" s="1"/>
  <c r="E126" i="38" s="1"/>
  <c r="AK126" i="38"/>
  <c r="Z127" i="38"/>
  <c r="AY127" i="38" s="1"/>
  <c r="AZ127" i="38" s="1"/>
  <c r="Y127" i="38"/>
  <c r="AT127" i="38"/>
  <c r="B125" i="6"/>
  <c r="C128" i="38"/>
  <c r="C127" i="7"/>
  <c r="AX128" i="38"/>
  <c r="AZ127" i="7"/>
  <c r="Z128" i="38" l="1"/>
  <c r="AY128" i="38" s="1"/>
  <c r="AZ128" i="38" s="1"/>
  <c r="Y128" i="38"/>
  <c r="A151" i="24"/>
  <c r="B129" i="38"/>
  <c r="AS129" i="38"/>
  <c r="A128" i="7"/>
  <c r="D129" i="38"/>
  <c r="AO129" i="38" s="1"/>
  <c r="AM129" i="38"/>
  <c r="A130" i="38"/>
  <c r="B127" i="7"/>
  <c r="D127" i="7"/>
  <c r="AT128" i="38"/>
  <c r="AB127" i="38"/>
  <c r="AJ127" i="38"/>
  <c r="AK127" i="38"/>
  <c r="AL127" i="38"/>
  <c r="AA127" i="38"/>
  <c r="AV127" i="38" s="1"/>
  <c r="E127" i="38" s="1"/>
  <c r="B126" i="6"/>
  <c r="C128" i="7"/>
  <c r="C129" i="38"/>
  <c r="AX129" i="38"/>
  <c r="AZ128" i="7"/>
  <c r="B127" i="6" l="1"/>
  <c r="A131" i="38"/>
  <c r="A152" i="24"/>
  <c r="AS130" i="38"/>
  <c r="B130" i="38"/>
  <c r="A129" i="7"/>
  <c r="D130" i="38"/>
  <c r="AO130" i="38" s="1"/>
  <c r="AM130" i="38"/>
  <c r="Y129" i="38"/>
  <c r="Z129" i="38"/>
  <c r="AY129" i="38" s="1"/>
  <c r="AZ129" i="38" s="1"/>
  <c r="AT129" i="38"/>
  <c r="AB128" i="38"/>
  <c r="AL128" i="38"/>
  <c r="AJ128" i="38"/>
  <c r="AK128" i="38"/>
  <c r="AA128" i="38"/>
  <c r="AV128" i="38" s="1"/>
  <c r="E128" i="38" s="1"/>
  <c r="B128" i="7"/>
  <c r="D128" i="7"/>
  <c r="C131" i="38"/>
  <c r="C130" i="38"/>
  <c r="C129" i="7"/>
  <c r="AX130" i="38"/>
  <c r="AZ129" i="7"/>
  <c r="B128" i="6" l="1"/>
  <c r="AJ129" i="38"/>
  <c r="AK129" i="38"/>
  <c r="AA129" i="38"/>
  <c r="AV129" i="38" s="1"/>
  <c r="E129" i="38" s="1"/>
  <c r="AB129" i="38"/>
  <c r="AL129" i="38"/>
  <c r="B129" i="6"/>
  <c r="Y130" i="38"/>
  <c r="Z130" i="38"/>
  <c r="AY130" i="38" s="1"/>
  <c r="AZ130" i="38" s="1"/>
  <c r="B129" i="7"/>
  <c r="D129" i="7"/>
  <c r="AT130" i="38"/>
  <c r="AS131" i="38"/>
  <c r="A132" i="38"/>
  <c r="AM131" i="38"/>
  <c r="D131" i="38"/>
  <c r="AO131" i="38" s="1"/>
  <c r="B131" i="38"/>
  <c r="A153" i="24"/>
  <c r="A130" i="7"/>
  <c r="AZ130" i="7"/>
  <c r="AX131" i="38"/>
  <c r="C130" i="7"/>
  <c r="C132" i="38"/>
  <c r="AS132" i="38" l="1"/>
  <c r="AM132" i="38"/>
  <c r="D132" i="38"/>
  <c r="AO132" i="38" s="1"/>
  <c r="B132" i="38"/>
  <c r="A154" i="24"/>
  <c r="A131" i="7"/>
  <c r="A133" i="38"/>
  <c r="AA130" i="38"/>
  <c r="AV130" i="38" s="1"/>
  <c r="E130" i="38" s="1"/>
  <c r="AK130" i="38"/>
  <c r="AB130" i="38"/>
  <c r="AL130" i="38"/>
  <c r="AJ130" i="38"/>
  <c r="D130" i="7"/>
  <c r="B130" i="7"/>
  <c r="Z131" i="38"/>
  <c r="AY131" i="38" s="1"/>
  <c r="AZ131" i="38" s="1"/>
  <c r="Y131" i="38"/>
  <c r="AT131" i="38"/>
  <c r="AZ131" i="7"/>
  <c r="AX132" i="38"/>
  <c r="C131" i="7"/>
  <c r="AT132" i="38" l="1"/>
  <c r="B131" i="7"/>
  <c r="D131" i="7"/>
  <c r="Z132" i="38"/>
  <c r="AY132" i="38" s="1"/>
  <c r="AZ132" i="38" s="1"/>
  <c r="Y132" i="38"/>
  <c r="A155" i="24"/>
  <c r="B133" i="38"/>
  <c r="AS133" i="38"/>
  <c r="A132" i="7"/>
  <c r="D133" i="38"/>
  <c r="AO133" i="38" s="1"/>
  <c r="AM133" i="38"/>
  <c r="A134" i="38"/>
  <c r="B130" i="6"/>
  <c r="AK131" i="38"/>
  <c r="AA131" i="38"/>
  <c r="AV131" i="38" s="1"/>
  <c r="E131" i="38" s="1"/>
  <c r="AB131" i="38"/>
  <c r="AJ131" i="38"/>
  <c r="AL131" i="38"/>
  <c r="AX133" i="38"/>
  <c r="AZ132" i="7"/>
  <c r="C132" i="7"/>
  <c r="C133" i="38"/>
  <c r="B131" i="6" l="1"/>
  <c r="A156" i="24"/>
  <c r="B134" i="38"/>
  <c r="AS134" i="38"/>
  <c r="A133" i="7"/>
  <c r="D134" i="38"/>
  <c r="AO134" i="38" s="1"/>
  <c r="AM134" i="38"/>
  <c r="A135" i="38"/>
  <c r="D132" i="7"/>
  <c r="B132" i="7"/>
  <c r="AA132" i="38"/>
  <c r="AV132" i="38" s="1"/>
  <c r="E132" i="38" s="1"/>
  <c r="AJ132" i="38"/>
  <c r="AK132" i="38"/>
  <c r="AB132" i="38"/>
  <c r="AL132" i="38"/>
  <c r="Z133" i="38"/>
  <c r="AY133" i="38" s="1"/>
  <c r="AZ133" i="38" s="1"/>
  <c r="Y133" i="38"/>
  <c r="AT133" i="38"/>
  <c r="C134" i="38"/>
  <c r="C133" i="7"/>
  <c r="AX134" i="38"/>
  <c r="AZ133" i="7"/>
  <c r="Z134" i="38" l="1"/>
  <c r="AY134" i="38" s="1"/>
  <c r="AZ134" i="38" s="1"/>
  <c r="Y134" i="38"/>
  <c r="A157" i="24"/>
  <c r="AS135" i="38"/>
  <c r="B135" i="38"/>
  <c r="A134" i="7"/>
  <c r="D135" i="38"/>
  <c r="AO135" i="38" s="1"/>
  <c r="AM135" i="38"/>
  <c r="A136" i="38"/>
  <c r="AL133" i="38"/>
  <c r="AK133" i="38"/>
  <c r="AJ133" i="38"/>
  <c r="AB133" i="38"/>
  <c r="AA133" i="38"/>
  <c r="AV133" i="38" s="1"/>
  <c r="E133" i="38" s="1"/>
  <c r="B133" i="7"/>
  <c r="D133" i="7"/>
  <c r="AT134" i="38"/>
  <c r="B132" i="6"/>
  <c r="AX135" i="38"/>
  <c r="AZ134" i="7"/>
  <c r="C134" i="7"/>
  <c r="C135" i="38"/>
  <c r="A158" i="24" l="1"/>
  <c r="B136" i="38"/>
  <c r="AS136" i="38"/>
  <c r="A135" i="7"/>
  <c r="D136" i="38"/>
  <c r="AO136" i="38" s="1"/>
  <c r="AM136" i="38"/>
  <c r="A137" i="38"/>
  <c r="D134" i="7"/>
  <c r="B134" i="7"/>
  <c r="AT135" i="38"/>
  <c r="B133" i="6"/>
  <c r="AJ134" i="38"/>
  <c r="AA134" i="38"/>
  <c r="AV134" i="38" s="1"/>
  <c r="E134" i="38" s="1"/>
  <c r="AK134" i="38"/>
  <c r="AB134" i="38"/>
  <c r="AL134" i="38"/>
  <c r="Z135" i="38"/>
  <c r="AY135" i="38" s="1"/>
  <c r="AZ135" i="38" s="1"/>
  <c r="Y135" i="38"/>
  <c r="C136" i="38"/>
  <c r="C135" i="7"/>
  <c r="AX136" i="38"/>
  <c r="AZ135" i="7"/>
  <c r="Y136" i="38" l="1"/>
  <c r="Z136" i="38"/>
  <c r="AY136" i="38" s="1"/>
  <c r="AZ136" i="38" s="1"/>
  <c r="D135" i="7"/>
  <c r="B135" i="7"/>
  <c r="B134" i="6"/>
  <c r="A138" i="38"/>
  <c r="A159" i="24"/>
  <c r="B137" i="38"/>
  <c r="AS137" i="38"/>
  <c r="A136" i="7"/>
  <c r="D137" i="38"/>
  <c r="AO137" i="38" s="1"/>
  <c r="AM137" i="38"/>
  <c r="AT136" i="38"/>
  <c r="AK135" i="38"/>
  <c r="AA135" i="38"/>
  <c r="AV135" i="38" s="1"/>
  <c r="E135" i="38" s="1"/>
  <c r="AJ135" i="38"/>
  <c r="AB135" i="38"/>
  <c r="AL135" i="38"/>
  <c r="C137" i="38"/>
  <c r="C138" i="38"/>
  <c r="AX137" i="38"/>
  <c r="AZ136" i="7"/>
  <c r="C136" i="7"/>
  <c r="B135" i="6" l="1"/>
  <c r="D136" i="7"/>
  <c r="B136" i="7"/>
  <c r="Z137" i="38"/>
  <c r="AY137" i="38" s="1"/>
  <c r="AZ137" i="38" s="1"/>
  <c r="Y137" i="38"/>
  <c r="AM138" i="38"/>
  <c r="B138" i="38"/>
  <c r="AS138" i="38"/>
  <c r="A139" i="38"/>
  <c r="D138" i="38"/>
  <c r="AO138" i="38" s="1"/>
  <c r="A160" i="24"/>
  <c r="A137" i="7"/>
  <c r="AT137" i="38"/>
  <c r="AT138" i="38" s="1"/>
  <c r="AA136" i="38"/>
  <c r="AV136" i="38" s="1"/>
  <c r="E136" i="38" s="1"/>
  <c r="AK136" i="38"/>
  <c r="AL136" i="38"/>
  <c r="AB136" i="38"/>
  <c r="AJ136" i="38"/>
  <c r="AZ137" i="7"/>
  <c r="AX138" i="38"/>
  <c r="C139" i="38"/>
  <c r="C137" i="7"/>
  <c r="D137" i="7" l="1"/>
  <c r="B137" i="7"/>
  <c r="D139" i="38"/>
  <c r="AO139" i="38" s="1"/>
  <c r="B139" i="38"/>
  <c r="AS139" i="38"/>
  <c r="AM139" i="38"/>
  <c r="AT139" i="38"/>
  <c r="A161" i="24"/>
  <c r="A138" i="7"/>
  <c r="A140" i="38"/>
  <c r="AL137" i="38"/>
  <c r="AK137" i="38"/>
  <c r="AJ137" i="38"/>
  <c r="AB137" i="38"/>
  <c r="AA137" i="38"/>
  <c r="AV137" i="38" s="1"/>
  <c r="E137" i="38" s="1"/>
  <c r="B136" i="6"/>
  <c r="B137" i="6" s="1"/>
  <c r="Z138" i="38"/>
  <c r="AY138" i="38" s="1"/>
  <c r="AZ138" i="38" s="1"/>
  <c r="Y138" i="38"/>
  <c r="C138" i="7"/>
  <c r="AZ138" i="7"/>
  <c r="AX139" i="38"/>
  <c r="Z139" i="38" l="1"/>
  <c r="AY139" i="38" s="1"/>
  <c r="AZ139" i="38" s="1"/>
  <c r="Y139" i="38"/>
  <c r="AL138" i="38"/>
  <c r="AA138" i="38"/>
  <c r="AV138" i="38" s="1"/>
  <c r="E138" i="38" s="1"/>
  <c r="AJ138" i="38"/>
  <c r="AB138" i="38"/>
  <c r="AK138" i="38"/>
  <c r="B138" i="6"/>
  <c r="A162" i="24"/>
  <c r="B140" i="38"/>
  <c r="AS140" i="38"/>
  <c r="A139" i="7"/>
  <c r="D140" i="38"/>
  <c r="AO140" i="38" s="1"/>
  <c r="AM140" i="38"/>
  <c r="A141" i="38"/>
  <c r="B138" i="7"/>
  <c r="D138" i="7"/>
  <c r="C139" i="7"/>
  <c r="AX140" i="38"/>
  <c r="AZ139" i="7"/>
  <c r="C140" i="38"/>
  <c r="AT140" i="38" l="1"/>
  <c r="Z140" i="38"/>
  <c r="AY140" i="38" s="1"/>
  <c r="AZ140" i="38" s="1"/>
  <c r="Y140" i="38"/>
  <c r="B139" i="7"/>
  <c r="D139" i="7"/>
  <c r="AJ139" i="38"/>
  <c r="AA139" i="38"/>
  <c r="AV139" i="38" s="1"/>
  <c r="E139" i="38" s="1"/>
  <c r="AB139" i="38"/>
  <c r="AK139" i="38"/>
  <c r="AL139" i="38"/>
  <c r="A163" i="24"/>
  <c r="B141" i="38"/>
  <c r="AS141" i="38"/>
  <c r="A140" i="7"/>
  <c r="D141" i="38"/>
  <c r="AO141" i="38" s="1"/>
  <c r="AM141" i="38"/>
  <c r="A142" i="38"/>
  <c r="C140" i="7"/>
  <c r="C141" i="38"/>
  <c r="AX141" i="38"/>
  <c r="AZ140" i="7"/>
  <c r="AT141" i="38" l="1"/>
  <c r="Z141" i="38"/>
  <c r="AY141" i="38" s="1"/>
  <c r="AZ141" i="38" s="1"/>
  <c r="Y141" i="38"/>
  <c r="B139" i="6"/>
  <c r="A143" i="38"/>
  <c r="A164" i="24"/>
  <c r="B142" i="38"/>
  <c r="AS142" i="38"/>
  <c r="A141" i="7"/>
  <c r="D142" i="38"/>
  <c r="AO142" i="38" s="1"/>
  <c r="AM142" i="38"/>
  <c r="AB140" i="38"/>
  <c r="AJ140" i="38"/>
  <c r="AK140" i="38"/>
  <c r="AL140" i="38"/>
  <c r="AA140" i="38"/>
  <c r="AV140" i="38" s="1"/>
  <c r="E140" i="38" s="1"/>
  <c r="D140" i="7"/>
  <c r="B140" i="7"/>
  <c r="C142" i="38"/>
  <c r="AX142" i="38"/>
  <c r="AZ141" i="7"/>
  <c r="C143" i="38"/>
  <c r="C141" i="7"/>
  <c r="B140" i="6" l="1"/>
  <c r="B141" i="7"/>
  <c r="D141" i="7"/>
  <c r="D143" i="38"/>
  <c r="AO143" i="38" s="1"/>
  <c r="B143" i="38"/>
  <c r="AS143" i="38"/>
  <c r="AM143" i="38"/>
  <c r="A165" i="24"/>
  <c r="A142" i="7"/>
  <c r="A144" i="38"/>
  <c r="Z142" i="38"/>
  <c r="AY142" i="38" s="1"/>
  <c r="AZ142" i="38" s="1"/>
  <c r="Y142" i="38"/>
  <c r="AT142" i="38"/>
  <c r="AT143" i="38" s="1"/>
  <c r="B141" i="6"/>
  <c r="AL141" i="38"/>
  <c r="AK141" i="38"/>
  <c r="AJ141" i="38"/>
  <c r="AB141" i="38"/>
  <c r="AA141" i="38"/>
  <c r="AV141" i="38" s="1"/>
  <c r="E141" i="38" s="1"/>
  <c r="C142" i="7"/>
  <c r="AZ142" i="7"/>
  <c r="AX143" i="38"/>
  <c r="AL142" i="38" l="1"/>
  <c r="AA142" i="38"/>
  <c r="AV142" i="38" s="1"/>
  <c r="E142" i="38" s="1"/>
  <c r="AK142" i="38"/>
  <c r="AJ142" i="38"/>
  <c r="AB142" i="38"/>
  <c r="Y143" i="38"/>
  <c r="Z143" i="38"/>
  <c r="AY143" i="38" s="1"/>
  <c r="AZ143" i="38" s="1"/>
  <c r="A145" i="38"/>
  <c r="A166" i="24"/>
  <c r="AS144" i="38"/>
  <c r="B144" i="38"/>
  <c r="A143" i="7"/>
  <c r="D144" i="38"/>
  <c r="AO144" i="38" s="1"/>
  <c r="AM144" i="38"/>
  <c r="D142" i="7"/>
  <c r="B142" i="7"/>
  <c r="AX144" i="38"/>
  <c r="AZ143" i="7"/>
  <c r="C145" i="38"/>
  <c r="C143" i="7"/>
  <c r="C144" i="38"/>
  <c r="B143" i="7" l="1"/>
  <c r="D143" i="7"/>
  <c r="AT144" i="38"/>
  <c r="A146" i="38"/>
  <c r="AM145" i="38"/>
  <c r="D145" i="38"/>
  <c r="AO145" i="38" s="1"/>
  <c r="B145" i="38"/>
  <c r="AS145" i="38"/>
  <c r="A167" i="24"/>
  <c r="A144" i="7"/>
  <c r="AB143" i="38"/>
  <c r="AK143" i="38"/>
  <c r="AL143" i="38"/>
  <c r="AA143" i="38"/>
  <c r="AV143" i="38" s="1"/>
  <c r="E143" i="38" s="1"/>
  <c r="AJ143" i="38"/>
  <c r="Z144" i="38"/>
  <c r="AY144" i="38" s="1"/>
  <c r="AZ144" i="38" s="1"/>
  <c r="Y144" i="38"/>
  <c r="B142" i="6"/>
  <c r="AZ144" i="7"/>
  <c r="AX145" i="38"/>
  <c r="C144" i="7"/>
  <c r="C146" i="38"/>
  <c r="AT145" i="38" l="1"/>
  <c r="AM146" i="38"/>
  <c r="D146" i="38"/>
  <c r="AO146" i="38" s="1"/>
  <c r="AS146" i="38"/>
  <c r="B146" i="38"/>
  <c r="A168" i="24"/>
  <c r="A145" i="7"/>
  <c r="A147" i="38"/>
  <c r="B143" i="6"/>
  <c r="AA144" i="38"/>
  <c r="AV144" i="38" s="1"/>
  <c r="E144" i="38" s="1"/>
  <c r="AB144" i="38"/>
  <c r="AJ144" i="38"/>
  <c r="AK144" i="38"/>
  <c r="AL144" i="38"/>
  <c r="B144" i="7"/>
  <c r="D144" i="7"/>
  <c r="Z145" i="38"/>
  <c r="AY145" i="38" s="1"/>
  <c r="AZ145" i="38" s="1"/>
  <c r="Y145" i="38"/>
  <c r="AZ145" i="7"/>
  <c r="AX146" i="38"/>
  <c r="C145" i="7"/>
  <c r="AT146" i="38" l="1"/>
  <c r="B144" i="6"/>
  <c r="D145" i="7"/>
  <c r="B145" i="7"/>
  <c r="AK145" i="38"/>
  <c r="AJ145" i="38"/>
  <c r="AA145" i="38"/>
  <c r="AV145" i="38" s="1"/>
  <c r="E145" i="38" s="1"/>
  <c r="AB145" i="38"/>
  <c r="AL145" i="38"/>
  <c r="A169" i="24"/>
  <c r="AS147" i="38"/>
  <c r="B147" i="38"/>
  <c r="A146" i="7"/>
  <c r="D147" i="38"/>
  <c r="AO147" i="38" s="1"/>
  <c r="AM147" i="38"/>
  <c r="A148" i="38"/>
  <c r="Z146" i="38"/>
  <c r="AY146" i="38" s="1"/>
  <c r="AZ146" i="38" s="1"/>
  <c r="Y146" i="38"/>
  <c r="C147" i="38"/>
  <c r="AX147" i="38"/>
  <c r="AZ146" i="7"/>
  <c r="C146" i="7"/>
  <c r="B146" i="7" l="1"/>
  <c r="D146" i="7"/>
  <c r="Z147" i="38"/>
  <c r="AY147" i="38" s="1"/>
  <c r="AZ147" i="38" s="1"/>
  <c r="Y147" i="38"/>
  <c r="AT147" i="38"/>
  <c r="AK146" i="38"/>
  <c r="AJ146" i="38"/>
  <c r="AA146" i="38"/>
  <c r="AV146" i="38" s="1"/>
  <c r="E146" i="38" s="1"/>
  <c r="AL146" i="38"/>
  <c r="AB146" i="38"/>
  <c r="B145" i="6"/>
  <c r="B146" i="6" s="1"/>
  <c r="A170" i="24"/>
  <c r="AS148" i="38"/>
  <c r="B148" i="38"/>
  <c r="AT148" i="38"/>
  <c r="A147" i="7"/>
  <c r="D148" i="38"/>
  <c r="AO148" i="38" s="1"/>
  <c r="AM148" i="38"/>
  <c r="A149" i="38"/>
  <c r="C147" i="7"/>
  <c r="AX148" i="38"/>
  <c r="AZ147" i="7"/>
  <c r="C148" i="38"/>
  <c r="A171" i="24" l="1"/>
  <c r="AS149" i="38"/>
  <c r="B149" i="38"/>
  <c r="A148" i="7"/>
  <c r="D149" i="38"/>
  <c r="AO149" i="38" s="1"/>
  <c r="AM149" i="38"/>
  <c r="A150" i="38"/>
  <c r="AK147" i="38"/>
  <c r="AJ147" i="38"/>
  <c r="AB147" i="38"/>
  <c r="AL147" i="38"/>
  <c r="AA147" i="38"/>
  <c r="AV147" i="38" s="1"/>
  <c r="E147" i="38" s="1"/>
  <c r="Z148" i="38"/>
  <c r="AY148" i="38" s="1"/>
  <c r="AZ148" i="38" s="1"/>
  <c r="Y148" i="38"/>
  <c r="B147" i="7"/>
  <c r="D147" i="7"/>
  <c r="C148" i="7"/>
  <c r="C149" i="38"/>
  <c r="AX149" i="38"/>
  <c r="AZ148" i="7"/>
  <c r="A172" i="24"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B148" i="6" s="1"/>
  <c r="C150" i="38"/>
  <c r="C149" i="7"/>
  <c r="AX150" i="38"/>
  <c r="AZ149" i="7"/>
  <c r="Z150" i="38" l="1"/>
  <c r="AY150" i="38" s="1"/>
  <c r="AZ150" i="38" s="1"/>
  <c r="Y150" i="38"/>
  <c r="D149" i="7"/>
  <c r="B149" i="7"/>
  <c r="AL149" i="38"/>
  <c r="AA149" i="38"/>
  <c r="AV149" i="38" s="1"/>
  <c r="E149" i="38" s="1"/>
  <c r="AB149" i="38"/>
  <c r="AJ149" i="38"/>
  <c r="AK149" i="38"/>
  <c r="A152" i="38"/>
  <c r="A173" i="24"/>
  <c r="B151" i="38"/>
  <c r="AS151" i="38"/>
  <c r="A150" i="7"/>
  <c r="D151" i="38"/>
  <c r="AO151" i="38" s="1"/>
  <c r="AM151" i="38"/>
  <c r="AT150" i="38"/>
  <c r="C150" i="7"/>
  <c r="AX151" i="38"/>
  <c r="AZ150" i="7"/>
  <c r="C152" i="38"/>
  <c r="C151" i="38"/>
  <c r="AT151" i="38" l="1"/>
  <c r="D152" i="38"/>
  <c r="AO152" i="38" s="1"/>
  <c r="A153" i="38"/>
  <c r="AM152" i="38"/>
  <c r="B152" i="38"/>
  <c r="AS152" i="38"/>
  <c r="AT152" i="38"/>
  <c r="A174" i="24"/>
  <c r="A151" i="7"/>
  <c r="B149" i="6"/>
  <c r="AB150" i="38"/>
  <c r="AJ150" i="38"/>
  <c r="AL150" i="38"/>
  <c r="AA150" i="38"/>
  <c r="AV150" i="38" s="1"/>
  <c r="E150" i="38" s="1"/>
  <c r="AK150" i="38"/>
  <c r="Y151" i="38"/>
  <c r="Z151" i="38"/>
  <c r="AY151" i="38" s="1"/>
  <c r="AZ151" i="38" s="1"/>
  <c r="D150" i="7"/>
  <c r="B150" i="7"/>
  <c r="C151" i="7"/>
  <c r="C153" i="38"/>
  <c r="AZ151" i="7"/>
  <c r="AX152" i="38"/>
  <c r="AL151" i="38" l="1"/>
  <c r="AA151" i="38"/>
  <c r="AV151" i="38" s="1"/>
  <c r="E151" i="38" s="1"/>
  <c r="AB151" i="38"/>
  <c r="AJ151" i="38"/>
  <c r="AK151" i="38"/>
  <c r="Z152" i="38"/>
  <c r="AY152" i="38" s="1"/>
  <c r="AZ152" i="38" s="1"/>
  <c r="Y152" i="38"/>
  <c r="AS153" i="38"/>
  <c r="AM153" i="38"/>
  <c r="D153" i="38"/>
  <c r="AO153" i="38" s="1"/>
  <c r="B153" i="38"/>
  <c r="A154" i="38"/>
  <c r="A175" i="24"/>
  <c r="A152" i="7"/>
  <c r="B150" i="6"/>
  <c r="B151" i="6" s="1"/>
  <c r="B151" i="7"/>
  <c r="D151" i="7"/>
  <c r="C154" i="38"/>
  <c r="AZ152" i="7"/>
  <c r="AX153" i="38"/>
  <c r="C152" i="7"/>
  <c r="AT153" i="38" l="1"/>
  <c r="D152" i="7"/>
  <c r="B152" i="7"/>
  <c r="Z153" i="38"/>
  <c r="AY153" i="38" s="1"/>
  <c r="AZ153" i="38" s="1"/>
  <c r="Y153" i="38"/>
  <c r="AS154" i="38"/>
  <c r="AM154" i="38"/>
  <c r="B154" i="38"/>
  <c r="D154" i="38"/>
  <c r="AO154" i="38" s="1"/>
  <c r="A176" i="24"/>
  <c r="A153" i="7"/>
  <c r="A155" i="38"/>
  <c r="AK152" i="38"/>
  <c r="AL152" i="38"/>
  <c r="AB152" i="38"/>
  <c r="AA152" i="38"/>
  <c r="AV152" i="38" s="1"/>
  <c r="E152" i="38" s="1"/>
  <c r="AJ152" i="38"/>
  <c r="AZ153" i="7"/>
  <c r="AX154" i="38"/>
  <c r="C153" i="7"/>
  <c r="AT154" i="38" l="1"/>
  <c r="AK153" i="38"/>
  <c r="AL153" i="38"/>
  <c r="AJ153" i="38"/>
  <c r="AB153" i="38"/>
  <c r="AA153" i="38"/>
  <c r="AV153" i="38" s="1"/>
  <c r="E153" i="38" s="1"/>
  <c r="A177" i="24"/>
  <c r="AS155" i="38"/>
  <c r="B155" i="38"/>
  <c r="A154" i="7"/>
  <c r="D155" i="38"/>
  <c r="AO155" i="38" s="1"/>
  <c r="AM155" i="38"/>
  <c r="A156" i="38"/>
  <c r="D153" i="7"/>
  <c r="B153" i="7"/>
  <c r="Z154" i="38"/>
  <c r="AY154" i="38" s="1"/>
  <c r="AZ154" i="38" s="1"/>
  <c r="Y154" i="38"/>
  <c r="B152" i="6"/>
  <c r="C154" i="7"/>
  <c r="AX155" i="38"/>
  <c r="AZ154" i="7"/>
  <c r="C155" i="38"/>
  <c r="A178" i="24" l="1"/>
  <c r="B156" i="38"/>
  <c r="AS156" i="38"/>
  <c r="A155" i="7"/>
  <c r="D156" i="38"/>
  <c r="AO156" i="38" s="1"/>
  <c r="AM156" i="38"/>
  <c r="A157" i="38"/>
  <c r="AT155" i="38"/>
  <c r="B153" i="6"/>
  <c r="B154" i="6" s="1"/>
  <c r="Z155" i="38"/>
  <c r="AY155" i="38" s="1"/>
  <c r="AZ155" i="38" s="1"/>
  <c r="Y155" i="38"/>
  <c r="D154" i="7"/>
  <c r="B154" i="7"/>
  <c r="AJ154" i="38"/>
  <c r="AK154" i="38"/>
  <c r="AB154" i="38"/>
  <c r="AL154" i="38"/>
  <c r="AA154" i="38"/>
  <c r="AV154" i="38" s="1"/>
  <c r="E154" i="38" s="1"/>
  <c r="C156" i="38"/>
  <c r="C155" i="7"/>
  <c r="AX156" i="38"/>
  <c r="AZ155" i="7"/>
  <c r="AB155" i="38" l="1"/>
  <c r="AL155" i="38"/>
  <c r="AJ155" i="38"/>
  <c r="AK155" i="38"/>
  <c r="AA155" i="38"/>
  <c r="AV155" i="38" s="1"/>
  <c r="E155" i="38" s="1"/>
  <c r="Z156" i="38"/>
  <c r="AY156" i="38" s="1"/>
  <c r="AZ156" i="38" s="1"/>
  <c r="Y156" i="38"/>
  <c r="B155" i="6"/>
  <c r="B155" i="7"/>
  <c r="D155" i="7"/>
  <c r="AT156" i="38"/>
  <c r="A179" i="24"/>
  <c r="AS157" i="38"/>
  <c r="B157" i="38"/>
  <c r="AT157" i="38"/>
  <c r="A156" i="7"/>
  <c r="AM157" i="38"/>
  <c r="D157" i="38"/>
  <c r="AO157" i="38" s="1"/>
  <c r="A158" i="38"/>
  <c r="C156" i="7"/>
  <c r="AX157" i="38"/>
  <c r="AZ156" i="7"/>
  <c r="C157" i="38"/>
  <c r="A159" i="38" l="1"/>
  <c r="A180" i="24"/>
  <c r="B158" i="38"/>
  <c r="AS158" i="38"/>
  <c r="A157" i="7"/>
  <c r="AM158" i="38"/>
  <c r="D158" i="38"/>
  <c r="AO158" i="38" s="1"/>
  <c r="AL156" i="38"/>
  <c r="AJ156" i="38"/>
  <c r="AK156" i="38"/>
  <c r="AB156" i="38"/>
  <c r="AA156" i="38"/>
  <c r="AV156" i="38" s="1"/>
  <c r="E156" i="38" s="1"/>
  <c r="Z157" i="38"/>
  <c r="AY157" i="38" s="1"/>
  <c r="AZ157" i="38" s="1"/>
  <c r="Y157" i="38"/>
  <c r="D156" i="7"/>
  <c r="B156" i="7"/>
  <c r="C159" i="38"/>
  <c r="C158" i="38"/>
  <c r="AX158" i="38"/>
  <c r="AZ157" i="7"/>
  <c r="C157" i="7"/>
  <c r="B157" i="7" l="1"/>
  <c r="D157" i="7"/>
  <c r="Y158" i="38"/>
  <c r="Z158" i="38"/>
  <c r="AY158" i="38" s="1"/>
  <c r="AZ158" i="38" s="1"/>
  <c r="AS159" i="38"/>
  <c r="D159" i="38"/>
  <c r="AO159" i="38" s="1"/>
  <c r="B159" i="38"/>
  <c r="A160" i="38"/>
  <c r="AM159" i="38"/>
  <c r="A181" i="24"/>
  <c r="A158" i="7"/>
  <c r="AT158" i="38"/>
  <c r="AT159" i="38" s="1"/>
  <c r="AJ157" i="38"/>
  <c r="AK157" i="38"/>
  <c r="AA157" i="38"/>
  <c r="AV157" i="38" s="1"/>
  <c r="E157" i="38" s="1"/>
  <c r="AB157" i="38"/>
  <c r="AL157" i="38"/>
  <c r="B156" i="6"/>
  <c r="C160" i="38"/>
  <c r="C158" i="7"/>
  <c r="AZ158" i="7"/>
  <c r="AX159" i="38"/>
  <c r="Z159" i="38" l="1"/>
  <c r="AY159" i="38" s="1"/>
  <c r="AZ159" i="38" s="1"/>
  <c r="Y159" i="38"/>
  <c r="B157" i="6"/>
  <c r="D158" i="7"/>
  <c r="B158" i="7"/>
  <c r="D160" i="38"/>
  <c r="AO160" i="38" s="1"/>
  <c r="B160" i="38"/>
  <c r="AS160" i="38"/>
  <c r="AM160" i="38"/>
  <c r="A182" i="24"/>
  <c r="A159" i="7"/>
  <c r="A161" i="38"/>
  <c r="AA158" i="38"/>
  <c r="AV158" i="38" s="1"/>
  <c r="E158" i="38" s="1"/>
  <c r="AK158" i="38"/>
  <c r="AJ158" i="38"/>
  <c r="AL158" i="38"/>
  <c r="AB158" i="38"/>
  <c r="C159" i="7"/>
  <c r="AZ159" i="7"/>
  <c r="AX160" i="38"/>
  <c r="AT160" i="38" l="1"/>
  <c r="Z160" i="38"/>
  <c r="AY160" i="38" s="1"/>
  <c r="AZ160" i="38" s="1"/>
  <c r="Y160" i="38"/>
  <c r="A183" i="24"/>
  <c r="AS161" i="38"/>
  <c r="B161" i="38"/>
  <c r="A160" i="7"/>
  <c r="D161" i="38"/>
  <c r="AO161" i="38" s="1"/>
  <c r="AM161" i="38"/>
  <c r="A162" i="38"/>
  <c r="D159" i="7"/>
  <c r="B159" i="7"/>
  <c r="B158" i="6"/>
  <c r="AB159" i="38"/>
  <c r="AA159" i="38"/>
  <c r="AV159" i="38" s="1"/>
  <c r="E159" i="38" s="1"/>
  <c r="AL159" i="38"/>
  <c r="AK159" i="38"/>
  <c r="AJ159" i="38"/>
  <c r="C160" i="7"/>
  <c r="C161" i="38"/>
  <c r="AX161" i="38"/>
  <c r="AZ160" i="7"/>
  <c r="B159" i="6" l="1"/>
  <c r="Z161" i="38"/>
  <c r="AY161" i="38" s="1"/>
  <c r="AZ161" i="38" s="1"/>
  <c r="Y161" i="38"/>
  <c r="AT161" i="38"/>
  <c r="AK160" i="38"/>
  <c r="AA160" i="38"/>
  <c r="AV160" i="38" s="1"/>
  <c r="E160" i="38" s="1"/>
  <c r="AB160" i="38"/>
  <c r="AJ160" i="38"/>
  <c r="AL160" i="38"/>
  <c r="A184" i="24"/>
  <c r="AS162" i="38"/>
  <c r="B162" i="38"/>
  <c r="A161" i="7"/>
  <c r="D162" i="38"/>
  <c r="AO162" i="38" s="1"/>
  <c r="AM162" i="38"/>
  <c r="A163" i="38"/>
  <c r="D160" i="7"/>
  <c r="B160" i="7"/>
  <c r="AX162" i="38"/>
  <c r="AZ161" i="7"/>
  <c r="C162" i="38"/>
  <c r="C161" i="7"/>
  <c r="D161" i="7" l="1"/>
  <c r="B161" i="7"/>
  <c r="AB161" i="38"/>
  <c r="AJ161" i="38"/>
  <c r="AL161" i="38"/>
  <c r="AK161" i="38"/>
  <c r="AA161" i="38"/>
  <c r="AV161" i="38" s="1"/>
  <c r="E161" i="38" s="1"/>
  <c r="AT162" i="38"/>
  <c r="A164" i="38"/>
  <c r="A185" i="24"/>
  <c r="AS163" i="38"/>
  <c r="B163" i="38"/>
  <c r="A162" i="7"/>
  <c r="D163" i="38"/>
  <c r="AO163" i="38" s="1"/>
  <c r="AM163" i="38"/>
  <c r="Z162" i="38"/>
  <c r="AY162" i="38" s="1"/>
  <c r="AZ162" i="38" s="1"/>
  <c r="Y162" i="38"/>
  <c r="B160" i="6"/>
  <c r="AX163" i="38"/>
  <c r="AZ162" i="7"/>
  <c r="C163" i="38"/>
  <c r="C162" i="7"/>
  <c r="C164" i="38"/>
  <c r="AT163" i="38" l="1"/>
  <c r="AS164" i="38"/>
  <c r="B164" i="38"/>
  <c r="D164" i="38"/>
  <c r="AO164" i="38" s="1"/>
  <c r="AM164" i="38"/>
  <c r="A186" i="24"/>
  <c r="A163" i="7"/>
  <c r="A165" i="38"/>
  <c r="D162" i="7"/>
  <c r="B162" i="7"/>
  <c r="B161" i="6"/>
  <c r="AK162" i="38"/>
  <c r="AA162" i="38"/>
  <c r="AV162" i="38" s="1"/>
  <c r="E162" i="38" s="1"/>
  <c r="AL162" i="38"/>
  <c r="AB162" i="38"/>
  <c r="AJ162" i="38"/>
  <c r="Z163" i="38"/>
  <c r="AY163" i="38" s="1"/>
  <c r="AZ163" i="38" s="1"/>
  <c r="Y163" i="38"/>
  <c r="C163" i="7"/>
  <c r="AZ163" i="7"/>
  <c r="AX164" i="38"/>
  <c r="B162" i="6" l="1"/>
  <c r="AT164" i="38"/>
  <c r="Z164" i="38"/>
  <c r="AY164" i="38" s="1"/>
  <c r="AZ164" i="38" s="1"/>
  <c r="Y164" i="38"/>
  <c r="AJ163" i="38"/>
  <c r="AL163" i="38"/>
  <c r="AK163" i="38"/>
  <c r="AA163" i="38"/>
  <c r="AV163" i="38" s="1"/>
  <c r="E163" i="38" s="1"/>
  <c r="AB163" i="38"/>
  <c r="B163" i="7"/>
  <c r="D163" i="7"/>
  <c r="A166" i="38"/>
  <c r="A187" i="24"/>
  <c r="AS165" i="38"/>
  <c r="AT165" i="38"/>
  <c r="B165" i="38"/>
  <c r="A164" i="7"/>
  <c r="D165" i="38"/>
  <c r="AO165" i="38" s="1"/>
  <c r="AM165" i="38"/>
  <c r="C164" i="7"/>
  <c r="C165" i="38"/>
  <c r="C166" i="38"/>
  <c r="AX165" i="38"/>
  <c r="AZ164" i="7"/>
  <c r="Z165" i="38" l="1"/>
  <c r="AY165" i="38" s="1"/>
  <c r="AZ165" i="38" s="1"/>
  <c r="Y165" i="38"/>
  <c r="AL164" i="38"/>
  <c r="AJ164" i="38"/>
  <c r="AA164" i="38"/>
  <c r="AV164" i="38" s="1"/>
  <c r="E164" i="38" s="1"/>
  <c r="AB164" i="38"/>
  <c r="AK164" i="38"/>
  <c r="B166" i="38"/>
  <c r="AS166" i="38"/>
  <c r="D166" i="38"/>
  <c r="AO166" i="38" s="1"/>
  <c r="A167" i="38"/>
  <c r="AM166" i="38"/>
  <c r="A188" i="24"/>
  <c r="A165" i="7"/>
  <c r="D164" i="7"/>
  <c r="B164" i="7"/>
  <c r="B163" i="6"/>
  <c r="C167" i="38"/>
  <c r="C165" i="7"/>
  <c r="AZ165" i="7"/>
  <c r="AX166" i="38"/>
  <c r="AT166" i="38" l="1"/>
  <c r="Y166" i="38"/>
  <c r="Z166" i="38"/>
  <c r="AY166" i="38" s="1"/>
  <c r="AZ166" i="38" s="1"/>
  <c r="B165" i="7"/>
  <c r="D165" i="7"/>
  <c r="B164" i="6"/>
  <c r="AK165" i="38"/>
  <c r="AA165" i="38"/>
  <c r="AV165" i="38" s="1"/>
  <c r="E165" i="38" s="1"/>
  <c r="AB165" i="38"/>
  <c r="AJ165" i="38"/>
  <c r="AL165" i="38"/>
  <c r="D167" i="38"/>
  <c r="AO167" i="38" s="1"/>
  <c r="B167" i="38"/>
  <c r="AM167" i="38"/>
  <c r="AS167" i="38"/>
  <c r="A189" i="24"/>
  <c r="A166" i="7"/>
  <c r="A168" i="38"/>
  <c r="C166" i="7"/>
  <c r="AZ166" i="7"/>
  <c r="AX167" i="38"/>
  <c r="AT167" i="38" l="1"/>
  <c r="B165" i="6"/>
  <c r="Z167" i="38"/>
  <c r="AY167" i="38" s="1"/>
  <c r="AZ167" i="38" s="1"/>
  <c r="Y167" i="38"/>
  <c r="A190" i="24"/>
  <c r="AS168" i="38"/>
  <c r="B168" i="38"/>
  <c r="A167" i="7"/>
  <c r="D168" i="38"/>
  <c r="AO168" i="38" s="1"/>
  <c r="AM168" i="38"/>
  <c r="A169" i="38"/>
  <c r="D166" i="7"/>
  <c r="B166" i="7"/>
  <c r="AA166" i="38"/>
  <c r="AV166" i="38" s="1"/>
  <c r="E166" i="38" s="1"/>
  <c r="AK166" i="38"/>
  <c r="AL166" i="38"/>
  <c r="AB166" i="38"/>
  <c r="AJ166" i="38"/>
  <c r="C168" i="38"/>
  <c r="AX168" i="38"/>
  <c r="AZ167" i="7"/>
  <c r="C167" i="7"/>
  <c r="AT168" i="38" l="1"/>
  <c r="A191" i="24"/>
  <c r="B169" i="38"/>
  <c r="AS169" i="38"/>
  <c r="D169" i="38"/>
  <c r="AO169" i="38" s="1"/>
  <c r="A168" i="7"/>
  <c r="AM169" i="38"/>
  <c r="A170" i="38"/>
  <c r="B167" i="7"/>
  <c r="D167" i="7"/>
  <c r="AK167" i="38"/>
  <c r="AJ167" i="38"/>
  <c r="AL167" i="38"/>
  <c r="AA167" i="38"/>
  <c r="AV167" i="38" s="1"/>
  <c r="E167" i="38" s="1"/>
  <c r="AB167" i="38"/>
  <c r="Z168" i="38"/>
  <c r="AY168" i="38" s="1"/>
  <c r="AZ168" i="38" s="1"/>
  <c r="Y168" i="38"/>
  <c r="B166" i="6"/>
  <c r="AX169" i="38"/>
  <c r="AZ168" i="7"/>
  <c r="C169" i="38"/>
  <c r="C168" i="7"/>
  <c r="A192" i="24"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AX170" i="38"/>
  <c r="AZ169" i="7"/>
  <c r="C170" i="38"/>
  <c r="C169" i="7"/>
  <c r="B168" i="6" l="1"/>
  <c r="A193" i="24"/>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AX171" i="38"/>
  <c r="AZ170" i="7"/>
  <c r="C171" i="38"/>
  <c r="C170" i="7"/>
  <c r="AK170" i="38" l="1"/>
  <c r="AJ170" i="38"/>
  <c r="AL170" i="38"/>
  <c r="AB170" i="38"/>
  <c r="AA170" i="38"/>
  <c r="AV170" i="38" s="1"/>
  <c r="E170" i="38" s="1"/>
  <c r="A173" i="38"/>
  <c r="A194" i="24"/>
  <c r="AS172" i="38"/>
  <c r="B172" i="38"/>
  <c r="A171" i="7"/>
  <c r="D172" i="38"/>
  <c r="AO172" i="38" s="1"/>
  <c r="AM172" i="38"/>
  <c r="D170" i="7"/>
  <c r="B170" i="7"/>
  <c r="Z171" i="38"/>
  <c r="AY171" i="38" s="1"/>
  <c r="AZ171" i="38" s="1"/>
  <c r="Y171" i="38"/>
  <c r="AT171" i="38"/>
  <c r="B169" i="6"/>
  <c r="C173" i="38"/>
  <c r="C172" i="38"/>
  <c r="C171" i="7"/>
  <c r="AX172" i="38"/>
  <c r="AZ171" i="7"/>
  <c r="Y172" i="38" l="1"/>
  <c r="Z172" i="38"/>
  <c r="AY172" i="38" s="1"/>
  <c r="AZ172" i="38" s="1"/>
  <c r="D171" i="7"/>
  <c r="B171" i="7"/>
  <c r="B170" i="6"/>
  <c r="B171" i="6" s="1"/>
  <c r="AT172" i="38"/>
  <c r="B173" i="38"/>
  <c r="AS173" i="38"/>
  <c r="A174" i="38"/>
  <c r="AM173" i="38"/>
  <c r="D173" i="38"/>
  <c r="AO173" i="38" s="1"/>
  <c r="A195" i="24"/>
  <c r="A172" i="7"/>
  <c r="AB171" i="38"/>
  <c r="AL171" i="38"/>
  <c r="AJ171" i="38"/>
  <c r="AK171" i="38"/>
  <c r="AA171" i="38"/>
  <c r="AV171" i="38" s="1"/>
  <c r="E171" i="38" s="1"/>
  <c r="C172" i="7"/>
  <c r="AZ172" i="7"/>
  <c r="AX173" i="38"/>
  <c r="C174" i="38"/>
  <c r="AT173" i="38" l="1"/>
  <c r="AM174" i="38"/>
  <c r="B174" i="38"/>
  <c r="AS174" i="38"/>
  <c r="D174" i="38"/>
  <c r="AO174" i="38" s="1"/>
  <c r="A196" i="24"/>
  <c r="A173" i="7"/>
  <c r="A175" i="38"/>
  <c r="B172" i="6"/>
  <c r="Z173" i="38"/>
  <c r="AY173" i="38" s="1"/>
  <c r="AZ173" i="38" s="1"/>
  <c r="Y173" i="38"/>
  <c r="D172" i="7"/>
  <c r="B172" i="7"/>
  <c r="AJ172" i="38"/>
  <c r="AB172" i="38"/>
  <c r="AL172" i="38"/>
  <c r="AK172" i="38"/>
  <c r="AA172" i="38"/>
  <c r="AV172" i="38" s="1"/>
  <c r="E172" i="38" s="1"/>
  <c r="AZ173" i="7"/>
  <c r="AX174" i="38"/>
  <c r="C173" i="7"/>
  <c r="AL173" i="38" l="1"/>
  <c r="AK173" i="38"/>
  <c r="AJ173" i="38"/>
  <c r="AA173" i="38"/>
  <c r="AV173" i="38" s="1"/>
  <c r="E173" i="38" s="1"/>
  <c r="AB173" i="38"/>
  <c r="A197" i="24"/>
  <c r="AS175" i="38"/>
  <c r="B175" i="38"/>
  <c r="A174" i="7"/>
  <c r="D175" i="38"/>
  <c r="AO175" i="38" s="1"/>
  <c r="AM175" i="38"/>
  <c r="A176" i="38"/>
  <c r="D173" i="7"/>
  <c r="B173" i="7"/>
  <c r="AT174" i="38"/>
  <c r="Z174" i="38"/>
  <c r="AY174" i="38" s="1"/>
  <c r="AZ174" i="38" s="1"/>
  <c r="Y174" i="38"/>
  <c r="C175" i="38"/>
  <c r="C174" i="7"/>
  <c r="AX175" i="38"/>
  <c r="AZ174" i="7"/>
  <c r="B173" i="6" l="1"/>
  <c r="A198" i="24"/>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AX176" i="38"/>
  <c r="AZ175" i="7"/>
  <c r="C175" i="7"/>
  <c r="B174" i="6" l="1"/>
  <c r="AK175" i="38"/>
  <c r="AL175" i="38"/>
  <c r="AB175" i="38"/>
  <c r="AJ175" i="38"/>
  <c r="AA175" i="38"/>
  <c r="AV175" i="38" s="1"/>
  <c r="E175" i="38" s="1"/>
  <c r="B175" i="7"/>
  <c r="D175" i="7"/>
  <c r="AT176" i="38"/>
  <c r="A199" i="24"/>
  <c r="B177" i="38"/>
  <c r="AS177" i="38"/>
  <c r="A176" i="7"/>
  <c r="D177" i="38"/>
  <c r="AO177" i="38" s="1"/>
  <c r="AM177" i="38"/>
  <c r="A178" i="38"/>
  <c r="Y176" i="38"/>
  <c r="Z176" i="38"/>
  <c r="AY176" i="38" s="1"/>
  <c r="AZ176" i="38" s="1"/>
  <c r="C177" i="38"/>
  <c r="AX177" i="38"/>
  <c r="AZ176" i="7"/>
  <c r="C176" i="7"/>
  <c r="D176" i="7" l="1"/>
  <c r="B176" i="7"/>
  <c r="Z177" i="38"/>
  <c r="AY177" i="38" s="1"/>
  <c r="AZ177" i="38" s="1"/>
  <c r="Y177" i="38"/>
  <c r="AT177" i="38"/>
  <c r="B175" i="6"/>
  <c r="AA176" i="38"/>
  <c r="AV176" i="38" s="1"/>
  <c r="E176" i="38" s="1"/>
  <c r="AJ176" i="38"/>
  <c r="AB176" i="38"/>
  <c r="AL176" i="38"/>
  <c r="AK176" i="38"/>
  <c r="A200" i="24"/>
  <c r="AS178" i="38"/>
  <c r="B178" i="38"/>
  <c r="A177" i="7"/>
  <c r="D178" i="38"/>
  <c r="AO178" i="38" s="1"/>
  <c r="AM178" i="38"/>
  <c r="A179" i="38"/>
  <c r="C177" i="7"/>
  <c r="AX178" i="38"/>
  <c r="AZ177" i="7"/>
  <c r="C178" i="38"/>
  <c r="AT178" i="38" l="1"/>
  <c r="B176" i="6"/>
  <c r="AL177" i="38"/>
  <c r="AJ177" i="38"/>
  <c r="AB177" i="38"/>
  <c r="AK177" i="38"/>
  <c r="AA177" i="38"/>
  <c r="AV177" i="38" s="1"/>
  <c r="E177" i="38" s="1"/>
  <c r="Z178" i="38"/>
  <c r="AY178" i="38" s="1"/>
  <c r="AZ178" i="38" s="1"/>
  <c r="Y178" i="38"/>
  <c r="A180" i="38"/>
  <c r="A201" i="24"/>
  <c r="B179" i="38"/>
  <c r="AS179" i="38"/>
  <c r="A178" i="7"/>
  <c r="D179" i="38"/>
  <c r="AO179" i="38" s="1"/>
  <c r="AM179" i="38"/>
  <c r="D177" i="7"/>
  <c r="B177" i="7"/>
  <c r="AX179" i="38"/>
  <c r="AZ178" i="7"/>
  <c r="C180" i="38"/>
  <c r="C179" i="38"/>
  <c r="C178" i="7"/>
  <c r="AT179" i="38" l="1"/>
  <c r="D178" i="7"/>
  <c r="B178" i="7"/>
  <c r="B180" i="38"/>
  <c r="AS180" i="38"/>
  <c r="A181" i="38"/>
  <c r="AM180" i="38"/>
  <c r="D180" i="38"/>
  <c r="AO180" i="38" s="1"/>
  <c r="A202" i="24"/>
  <c r="A179" i="7"/>
  <c r="AJ178" i="38"/>
  <c r="AA178" i="38"/>
  <c r="AV178" i="38" s="1"/>
  <c r="E178" i="38" s="1"/>
  <c r="AL178" i="38"/>
  <c r="AB178" i="38"/>
  <c r="AK178" i="38"/>
  <c r="Y179" i="38"/>
  <c r="Z179" i="38"/>
  <c r="AY179" i="38" s="1"/>
  <c r="AZ179" i="38" s="1"/>
  <c r="B177" i="6"/>
  <c r="C181" i="38"/>
  <c r="C179" i="7"/>
  <c r="AZ179" i="7"/>
  <c r="AX180" i="38"/>
  <c r="Y180" i="38" l="1"/>
  <c r="Z180" i="38"/>
  <c r="AY180" i="38" s="1"/>
  <c r="AZ180" i="38" s="1"/>
  <c r="D179" i="7"/>
  <c r="B179" i="7"/>
  <c r="B181" i="38"/>
  <c r="AM181" i="38"/>
  <c r="AS181" i="38"/>
  <c r="D181" i="38"/>
  <c r="AO181" i="38" s="1"/>
  <c r="A203" i="24"/>
  <c r="A180" i="7"/>
  <c r="A182" i="38"/>
  <c r="B178" i="6"/>
  <c r="B179" i="6" s="1"/>
  <c r="AT180" i="38"/>
  <c r="AK179" i="38"/>
  <c r="AJ179" i="38"/>
  <c r="AL179" i="38"/>
  <c r="AA179" i="38"/>
  <c r="AV179" i="38" s="1"/>
  <c r="E179" i="38" s="1"/>
  <c r="AB179" i="38"/>
  <c r="C180" i="7"/>
  <c r="AZ180" i="7"/>
  <c r="AX181" i="38"/>
  <c r="Y181" i="38" l="1"/>
  <c r="Z181" i="38"/>
  <c r="AY181" i="38" s="1"/>
  <c r="AZ181" i="38" s="1"/>
  <c r="A204" i="24"/>
  <c r="B182" i="38"/>
  <c r="AS182" i="38"/>
  <c r="A181" i="7"/>
  <c r="D182" i="38"/>
  <c r="AO182" i="38" s="1"/>
  <c r="AM182" i="38"/>
  <c r="A183" i="38"/>
  <c r="B180" i="7"/>
  <c r="D180" i="7"/>
  <c r="AT181" i="38"/>
  <c r="AB180" i="38"/>
  <c r="AL180" i="38"/>
  <c r="AK180" i="38"/>
  <c r="AA180" i="38"/>
  <c r="AV180" i="38" s="1"/>
  <c r="E180" i="38" s="1"/>
  <c r="AJ180" i="38"/>
  <c r="C181" i="7"/>
  <c r="C182" i="38"/>
  <c r="AX182" i="38"/>
  <c r="AZ181" i="7"/>
  <c r="Y182" i="38" l="1"/>
  <c r="Z182" i="38"/>
  <c r="AY182" i="38" s="1"/>
  <c r="AZ182" i="38" s="1"/>
  <c r="AT182" i="38"/>
  <c r="A205" i="24"/>
  <c r="AS183" i="38"/>
  <c r="B183" i="38"/>
  <c r="A182" i="7"/>
  <c r="D183" i="38"/>
  <c r="AO183" i="38" s="1"/>
  <c r="AM183" i="38"/>
  <c r="A184" i="38"/>
  <c r="AA181" i="38"/>
  <c r="AV181" i="38" s="1"/>
  <c r="E181" i="38" s="1"/>
  <c r="AB181" i="38"/>
  <c r="AK181" i="38"/>
  <c r="AL181" i="38"/>
  <c r="AJ181" i="38"/>
  <c r="D181" i="7"/>
  <c r="B181" i="7"/>
  <c r="B180" i="6"/>
  <c r="C183" i="38"/>
  <c r="C182" i="7"/>
  <c r="AX183" i="38"/>
  <c r="AZ182" i="7"/>
  <c r="AT183" i="38" l="1"/>
  <c r="A206" i="24"/>
  <c r="B184" i="38"/>
  <c r="AS184" i="38"/>
  <c r="A183" i="7"/>
  <c r="D184" i="38"/>
  <c r="AO184" i="38" s="1"/>
  <c r="AM184" i="38"/>
  <c r="A185" i="38"/>
  <c r="Y183" i="38"/>
  <c r="Z183" i="38"/>
  <c r="AY183" i="38" s="1"/>
  <c r="AZ183" i="38" s="1"/>
  <c r="B181" i="6"/>
  <c r="B182" i="6" s="1"/>
  <c r="D182" i="7"/>
  <c r="B182" i="7"/>
  <c r="AB182" i="38"/>
  <c r="AJ182" i="38"/>
  <c r="AK182" i="38"/>
  <c r="AA182" i="38"/>
  <c r="AV182" i="38" s="1"/>
  <c r="E182" i="38" s="1"/>
  <c r="AL182" i="38"/>
  <c r="C184" i="38"/>
  <c r="C183" i="7"/>
  <c r="AX184" i="38"/>
  <c r="AZ183" i="7"/>
  <c r="A207" i="24" l="1"/>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4" i="7"/>
  <c r="C185" i="38"/>
  <c r="AX185" i="38"/>
  <c r="AZ184" i="7"/>
  <c r="B183" i="6" l="1"/>
  <c r="AK184" i="38"/>
  <c r="AJ184" i="38"/>
  <c r="AB184" i="38"/>
  <c r="AL184" i="38"/>
  <c r="AA184" i="38"/>
  <c r="AV184" i="38" s="1"/>
  <c r="E184" i="38" s="1"/>
  <c r="Z185" i="38"/>
  <c r="AY185" i="38" s="1"/>
  <c r="AZ185" i="38" s="1"/>
  <c r="Y185" i="38"/>
  <c r="A187" i="38"/>
  <c r="A208" i="24"/>
  <c r="B186" i="38"/>
  <c r="AS186" i="38"/>
  <c r="A185" i="7"/>
  <c r="D186" i="38"/>
  <c r="AO186" i="38" s="1"/>
  <c r="AM186" i="38"/>
  <c r="D184" i="7"/>
  <c r="B184" i="7"/>
  <c r="AT185" i="38"/>
  <c r="AX186" i="38"/>
  <c r="AZ185" i="7"/>
  <c r="C187" i="38"/>
  <c r="C185" i="7"/>
  <c r="C186" i="38"/>
  <c r="D185" i="7" l="1"/>
  <c r="B185" i="7"/>
  <c r="AT186" i="38"/>
  <c r="D187" i="38"/>
  <c r="AO187" i="38" s="1"/>
  <c r="B187" i="38"/>
  <c r="A188" i="38"/>
  <c r="AM187" i="38"/>
  <c r="AS187" i="38"/>
  <c r="AT187" i="38"/>
  <c r="A209" i="24"/>
  <c r="A186" i="7"/>
  <c r="AL185" i="38"/>
  <c r="AK185" i="38"/>
  <c r="AA185" i="38"/>
  <c r="AV185" i="38" s="1"/>
  <c r="E185" i="38" s="1"/>
  <c r="AJ185" i="38"/>
  <c r="AB185" i="38"/>
  <c r="Z186" i="38"/>
  <c r="AY186" i="38" s="1"/>
  <c r="AZ186" i="38" s="1"/>
  <c r="Y186" i="38"/>
  <c r="B184" i="6"/>
  <c r="C186" i="7"/>
  <c r="C188" i="38"/>
  <c r="AZ186" i="7"/>
  <c r="AX187" i="38"/>
  <c r="Z187" i="38" l="1"/>
  <c r="AY187" i="38" s="1"/>
  <c r="AZ187" i="38" s="1"/>
  <c r="Y187" i="38"/>
  <c r="D188" i="38"/>
  <c r="AO188" i="38" s="1"/>
  <c r="AM188" i="38"/>
  <c r="B188" i="38"/>
  <c r="AS188" i="38"/>
  <c r="A210" i="24"/>
  <c r="A187" i="7"/>
  <c r="A189" i="38"/>
  <c r="B185" i="6"/>
  <c r="AL186" i="38"/>
  <c r="AK186" i="38"/>
  <c r="AJ186" i="38"/>
  <c r="AA186" i="38"/>
  <c r="AV186" i="38" s="1"/>
  <c r="E186" i="38" s="1"/>
  <c r="AB186" i="38"/>
  <c r="B186" i="7"/>
  <c r="D186" i="7"/>
  <c r="C187" i="7"/>
  <c r="AZ187" i="7"/>
  <c r="AX188" i="38"/>
  <c r="AT188" i="38" l="1"/>
  <c r="Y188" i="38"/>
  <c r="Z188" i="38"/>
  <c r="AY188" i="38" s="1"/>
  <c r="AZ188" i="38" s="1"/>
  <c r="A211" i="24"/>
  <c r="AS189" i="38"/>
  <c r="B189" i="38"/>
  <c r="A188" i="7"/>
  <c r="D189" i="38"/>
  <c r="AO189" i="38" s="1"/>
  <c r="AM189" i="38"/>
  <c r="A190" i="38"/>
  <c r="B187" i="7"/>
  <c r="D187" i="7"/>
  <c r="AJ187" i="38"/>
  <c r="AA187" i="38"/>
  <c r="AV187" i="38" s="1"/>
  <c r="E187" i="38" s="1"/>
  <c r="AL187" i="38"/>
  <c r="AB187" i="38"/>
  <c r="AK187" i="38"/>
  <c r="B186" i="6"/>
  <c r="C189" i="38"/>
  <c r="AX189" i="38"/>
  <c r="AZ188" i="7"/>
  <c r="C188" i="7"/>
  <c r="A212" i="24" l="1"/>
  <c r="AS190" i="38"/>
  <c r="B190" i="38"/>
  <c r="A189" i="7"/>
  <c r="D190" i="38"/>
  <c r="AO190" i="38" s="1"/>
  <c r="AM190" i="38"/>
  <c r="A191" i="38"/>
  <c r="D188" i="7"/>
  <c r="B188" i="7"/>
  <c r="AT189" i="38"/>
  <c r="Z189" i="38"/>
  <c r="AY189" i="38" s="1"/>
  <c r="AZ189" i="38" s="1"/>
  <c r="Y189" i="38"/>
  <c r="B187" i="6"/>
  <c r="AK188" i="38"/>
  <c r="AL188" i="38"/>
  <c r="AA188" i="38"/>
  <c r="AV188" i="38" s="1"/>
  <c r="E188" i="38" s="1"/>
  <c r="AB188" i="38"/>
  <c r="AJ188" i="38"/>
  <c r="C190" i="38"/>
  <c r="C189" i="7"/>
  <c r="AX190" i="38"/>
  <c r="AZ189" i="7"/>
  <c r="B188" i="6" l="1"/>
  <c r="AL189" i="38"/>
  <c r="AK189" i="38"/>
  <c r="AA189" i="38"/>
  <c r="AV189" i="38" s="1"/>
  <c r="E189" i="38" s="1"/>
  <c r="AJ189" i="38"/>
  <c r="AB189" i="38"/>
  <c r="Z190" i="38"/>
  <c r="AY190" i="38" s="1"/>
  <c r="AZ190" i="38" s="1"/>
  <c r="Y190" i="38"/>
  <c r="AT190" i="38"/>
  <c r="B189" i="6"/>
  <c r="A213" i="24"/>
  <c r="AS191" i="38"/>
  <c r="B191" i="38"/>
  <c r="A190" i="7"/>
  <c r="D191" i="38"/>
  <c r="AO191" i="38" s="1"/>
  <c r="AM191" i="38"/>
  <c r="A192" i="38"/>
  <c r="B189" i="7"/>
  <c r="D189" i="7"/>
  <c r="AX191" i="38"/>
  <c r="AZ190" i="7"/>
  <c r="C191" i="38"/>
  <c r="C190" i="7"/>
  <c r="AT191" i="38" l="1"/>
  <c r="B190" i="7"/>
  <c r="D190" i="7"/>
  <c r="AK190" i="38"/>
  <c r="AL190" i="38"/>
  <c r="AA190" i="38"/>
  <c r="AV190" i="38" s="1"/>
  <c r="E190" i="38" s="1"/>
  <c r="AB190" i="38"/>
  <c r="AJ190" i="38"/>
  <c r="B190" i="6"/>
  <c r="A214" i="24"/>
  <c r="B192" i="38"/>
  <c r="AS192" i="38"/>
  <c r="A191" i="7"/>
  <c r="D192" i="38"/>
  <c r="AO192" i="38" s="1"/>
  <c r="AM192" i="38"/>
  <c r="A193" i="38"/>
  <c r="Z191" i="38"/>
  <c r="AY191" i="38" s="1"/>
  <c r="AZ191" i="38" s="1"/>
  <c r="Y191" i="38"/>
  <c r="AX192" i="38"/>
  <c r="AZ191" i="7"/>
  <c r="C191" i="7"/>
  <c r="C192" i="38"/>
  <c r="AT192" i="38" l="1"/>
  <c r="AL191" i="38"/>
  <c r="AB191" i="38"/>
  <c r="AJ191" i="38"/>
  <c r="AA191" i="38"/>
  <c r="AV191" i="38" s="1"/>
  <c r="E191" i="38" s="1"/>
  <c r="AK191" i="38"/>
  <c r="B191" i="6"/>
  <c r="A194" i="38"/>
  <c r="A215" i="24"/>
  <c r="AS193" i="38"/>
  <c r="B193" i="38"/>
  <c r="A192" i="7"/>
  <c r="D193" i="38"/>
  <c r="AO193" i="38" s="1"/>
  <c r="AM193" i="38"/>
  <c r="D191" i="7"/>
  <c r="B191" i="7"/>
  <c r="Z192" i="38"/>
  <c r="AY192" i="38" s="1"/>
  <c r="AZ192" i="38" s="1"/>
  <c r="Y192" i="38"/>
  <c r="C194" i="38"/>
  <c r="C192" i="7"/>
  <c r="AX193" i="38"/>
  <c r="AZ192" i="7"/>
  <c r="C193" i="38"/>
  <c r="Z193" i="38" l="1"/>
  <c r="AY193" i="38" s="1"/>
  <c r="AZ193" i="38" s="1"/>
  <c r="Y193" i="38"/>
  <c r="B192" i="7"/>
  <c r="D192" i="7"/>
  <c r="AT193" i="38"/>
  <c r="D194" i="38"/>
  <c r="AO194" i="38" s="1"/>
  <c r="AM194" i="38"/>
  <c r="A195" i="38"/>
  <c r="B194" i="38"/>
  <c r="AS194" i="38"/>
  <c r="A216" i="24"/>
  <c r="A193" i="7"/>
  <c r="B192" i="6"/>
  <c r="AK192" i="38"/>
  <c r="AB192" i="38"/>
  <c r="AL192" i="38"/>
  <c r="AA192" i="38"/>
  <c r="AV192" i="38" s="1"/>
  <c r="E192" i="38" s="1"/>
  <c r="AJ192" i="38"/>
  <c r="C195" i="38"/>
  <c r="AZ193" i="7"/>
  <c r="AX194" i="38"/>
  <c r="C193" i="7"/>
  <c r="AT194" i="38" l="1"/>
  <c r="D193" i="7"/>
  <c r="B193" i="7"/>
  <c r="Z194" i="38"/>
  <c r="AY194" i="38" s="1"/>
  <c r="AZ194" i="38" s="1"/>
  <c r="Y194" i="38"/>
  <c r="AL193" i="38"/>
  <c r="AA193" i="38"/>
  <c r="AV193" i="38" s="1"/>
  <c r="E193" i="38" s="1"/>
  <c r="AK193" i="38"/>
  <c r="AJ193" i="38"/>
  <c r="AB193" i="38"/>
  <c r="B195" i="38"/>
  <c r="AS195" i="38"/>
  <c r="D195" i="38"/>
  <c r="AO195" i="38" s="1"/>
  <c r="AM195" i="38"/>
  <c r="A217" i="24"/>
  <c r="A194" i="7"/>
  <c r="A196" i="38"/>
  <c r="C194" i="7"/>
  <c r="AZ194" i="7"/>
  <c r="AX195" i="38"/>
  <c r="AT195" i="38" l="1"/>
  <c r="Z195" i="38"/>
  <c r="AY195" i="38" s="1"/>
  <c r="AZ195" i="38" s="1"/>
  <c r="Y195" i="38"/>
  <c r="AJ194" i="38"/>
  <c r="AA194" i="38"/>
  <c r="AV194" i="38" s="1"/>
  <c r="E194" i="38" s="1"/>
  <c r="AB194" i="38"/>
  <c r="AK194" i="38"/>
  <c r="AL194" i="38"/>
  <c r="A218" i="24"/>
  <c r="AS196" i="38"/>
  <c r="B196" i="38"/>
  <c r="A195" i="7"/>
  <c r="D196" i="38"/>
  <c r="AO196" i="38" s="1"/>
  <c r="AM196" i="38"/>
  <c r="A197" i="38"/>
  <c r="D194" i="7"/>
  <c r="B194" i="7"/>
  <c r="B193" i="6"/>
  <c r="C196" i="38"/>
  <c r="AX196" i="38"/>
  <c r="AZ195" i="7"/>
  <c r="C195" i="7"/>
  <c r="D195" i="7" l="1"/>
  <c r="B195" i="7"/>
  <c r="Z196" i="38"/>
  <c r="AY196" i="38" s="1"/>
  <c r="AZ196" i="38" s="1"/>
  <c r="Y196" i="38"/>
  <c r="AT196" i="38"/>
  <c r="AA195" i="38"/>
  <c r="AV195" i="38" s="1"/>
  <c r="E195" i="38" s="1"/>
  <c r="AB195" i="38"/>
  <c r="AL195" i="38"/>
  <c r="AJ195" i="38"/>
  <c r="AK195" i="38"/>
  <c r="B194" i="6"/>
  <c r="B195" i="6" s="1"/>
  <c r="A219" i="24"/>
  <c r="B197" i="38"/>
  <c r="AS197" i="38"/>
  <c r="A196" i="7"/>
  <c r="D197" i="38"/>
  <c r="AO197" i="38" s="1"/>
  <c r="AM197" i="38"/>
  <c r="A198" i="38"/>
  <c r="C196" i="7"/>
  <c r="C197" i="38"/>
  <c r="AX197" i="38"/>
  <c r="AZ196" i="7"/>
  <c r="AT197" i="38" l="1"/>
  <c r="A220" i="24"/>
  <c r="B198" i="38"/>
  <c r="AS198" i="38"/>
  <c r="A197" i="7"/>
  <c r="D198" i="38"/>
  <c r="AO198" i="38" s="1"/>
  <c r="AM198" i="38"/>
  <c r="A199" i="38"/>
  <c r="Z197" i="38"/>
  <c r="AY197" i="38" s="1"/>
  <c r="AZ197" i="38" s="1"/>
  <c r="Y197" i="38"/>
  <c r="AK196" i="38"/>
  <c r="AA196" i="38"/>
  <c r="AV196" i="38" s="1"/>
  <c r="E196" i="38" s="1"/>
  <c r="AB196" i="38"/>
  <c r="AL196" i="38"/>
  <c r="AJ196" i="38"/>
  <c r="D196" i="7"/>
  <c r="B196" i="7"/>
  <c r="C198" i="38"/>
  <c r="C197" i="7"/>
  <c r="AX198" i="38"/>
  <c r="AZ197" i="7"/>
  <c r="Z198" i="38" l="1"/>
  <c r="AY198" i="38" s="1"/>
  <c r="AZ198" i="38" s="1"/>
  <c r="Y198" i="38"/>
  <c r="B197" i="7"/>
  <c r="D197" i="7"/>
  <c r="A221" i="24"/>
  <c r="AS199" i="38"/>
  <c r="B199" i="38"/>
  <c r="A198" i="7"/>
  <c r="D199" i="38"/>
  <c r="AO199" i="38" s="1"/>
  <c r="AM199" i="38"/>
  <c r="A200" i="38"/>
  <c r="AJ197" i="38"/>
  <c r="AB197" i="38"/>
  <c r="AK197" i="38"/>
  <c r="AL197" i="38"/>
  <c r="AA197" i="38"/>
  <c r="AV197" i="38" s="1"/>
  <c r="E197" i="38" s="1"/>
  <c r="AT198" i="38"/>
  <c r="B196" i="6"/>
  <c r="C199" i="38"/>
  <c r="AX199" i="38"/>
  <c r="AZ198" i="7"/>
  <c r="C198" i="7"/>
  <c r="B197" i="6" l="1"/>
  <c r="B198" i="7"/>
  <c r="D198" i="7"/>
  <c r="A201" i="38"/>
  <c r="A222" i="24"/>
  <c r="B200" i="38"/>
  <c r="AS200" i="38"/>
  <c r="A199" i="7"/>
  <c r="D200" i="38"/>
  <c r="AO200" i="38" s="1"/>
  <c r="AM200" i="38"/>
  <c r="AT199" i="38"/>
  <c r="Z199" i="38"/>
  <c r="AY199" i="38" s="1"/>
  <c r="AZ199" i="38" s="1"/>
  <c r="Y199" i="38"/>
  <c r="AJ198" i="38"/>
  <c r="AA198" i="38"/>
  <c r="AV198" i="38" s="1"/>
  <c r="E198" i="38" s="1"/>
  <c r="AB198" i="38"/>
  <c r="AL198" i="38"/>
  <c r="AK198" i="38"/>
  <c r="C200" i="38"/>
  <c r="AX200" i="38"/>
  <c r="AZ199" i="7"/>
  <c r="C201" i="38"/>
  <c r="C199" i="7"/>
  <c r="B198" i="6" l="1"/>
  <c r="B199" i="7"/>
  <c r="D199" i="7"/>
  <c r="A202" i="38"/>
  <c r="D201" i="38"/>
  <c r="AO201" i="38" s="1"/>
  <c r="AS201" i="38"/>
  <c r="AM201" i="38"/>
  <c r="B201" i="38"/>
  <c r="A223" i="24"/>
  <c r="A200" i="7"/>
  <c r="AB199" i="38"/>
  <c r="AL199" i="38"/>
  <c r="AK199" i="38"/>
  <c r="AA199" i="38"/>
  <c r="AV199" i="38" s="1"/>
  <c r="E199" i="38" s="1"/>
  <c r="AJ199" i="38"/>
  <c r="Z200" i="38"/>
  <c r="AY200" i="38" s="1"/>
  <c r="AZ200" i="38" s="1"/>
  <c r="Y200" i="38"/>
  <c r="AT200" i="38"/>
  <c r="C200" i="7"/>
  <c r="C202" i="38"/>
  <c r="AZ200" i="7"/>
  <c r="AX201" i="38"/>
  <c r="AT201" i="38" l="1"/>
  <c r="Z201" i="38"/>
  <c r="AY201" i="38" s="1"/>
  <c r="AZ201" i="38" s="1"/>
  <c r="Y201" i="38"/>
  <c r="B202" i="38"/>
  <c r="D202" i="38"/>
  <c r="AO202" i="38" s="1"/>
  <c r="AM202" i="38"/>
  <c r="AS202" i="38"/>
  <c r="A224" i="24"/>
  <c r="A201" i="7"/>
  <c r="A203" i="38"/>
  <c r="B199" i="6"/>
  <c r="AB200" i="38"/>
  <c r="AA200" i="38"/>
  <c r="AV200" i="38" s="1"/>
  <c r="E200" i="38" s="1"/>
  <c r="AK200" i="38"/>
  <c r="AJ200" i="38"/>
  <c r="AL200" i="38"/>
  <c r="B200" i="7"/>
  <c r="D200" i="7"/>
  <c r="C201" i="7"/>
  <c r="AZ201" i="7"/>
  <c r="AX202" i="38"/>
  <c r="B200" i="6" l="1"/>
  <c r="AT202" i="38"/>
  <c r="AT203" i="38" s="1"/>
  <c r="Z202" i="38"/>
  <c r="AY202" i="38" s="1"/>
  <c r="AZ202" i="38" s="1"/>
  <c r="Y202" i="38"/>
  <c r="B201" i="7"/>
  <c r="D201" i="7"/>
  <c r="AJ201" i="38"/>
  <c r="AK201" i="38"/>
  <c r="AA201" i="38"/>
  <c r="AV201" i="38" s="1"/>
  <c r="E201" i="38" s="1"/>
  <c r="AL201" i="38"/>
  <c r="AB201" i="38"/>
  <c r="A225" i="24"/>
  <c r="B203" i="38"/>
  <c r="AS203" i="38"/>
  <c r="A202" i="7"/>
  <c r="D203" i="38"/>
  <c r="AO203" i="38" s="1"/>
  <c r="AM203" i="38"/>
  <c r="A204" i="38"/>
  <c r="AX203" i="38"/>
  <c r="AZ202" i="7"/>
  <c r="C203" i="38"/>
  <c r="C202" i="7"/>
  <c r="B202" i="7" l="1"/>
  <c r="D202" i="7"/>
  <c r="A226" i="24"/>
  <c r="B204" i="38"/>
  <c r="AS204" i="38"/>
  <c r="A203" i="7"/>
  <c r="D204" i="38"/>
  <c r="AO204" i="38" s="1"/>
  <c r="AM204" i="38"/>
  <c r="A205" i="38"/>
  <c r="AL202" i="38"/>
  <c r="AA202" i="38"/>
  <c r="AV202" i="38" s="1"/>
  <c r="E202" i="38" s="1"/>
  <c r="AB202" i="38"/>
  <c r="AJ202" i="38"/>
  <c r="AK202" i="38"/>
  <c r="Z203" i="38"/>
  <c r="AY203" i="38" s="1"/>
  <c r="AZ203" i="38" s="1"/>
  <c r="Y203" i="38"/>
  <c r="B201" i="6"/>
  <c r="C203" i="7"/>
  <c r="C204" i="38"/>
  <c r="AX204" i="38"/>
  <c r="AZ203" i="7"/>
  <c r="Z204" i="38" l="1"/>
  <c r="AY204" i="38" s="1"/>
  <c r="AZ204" i="38" s="1"/>
  <c r="Y204" i="38"/>
  <c r="AT204" i="38"/>
  <c r="B202" i="6"/>
  <c r="AJ203" i="38"/>
  <c r="AB203" i="38"/>
  <c r="AL203" i="38"/>
  <c r="AA203" i="38"/>
  <c r="AV203" i="38" s="1"/>
  <c r="E203" i="38" s="1"/>
  <c r="AK203" i="38"/>
  <c r="A227" i="24"/>
  <c r="B205" i="38"/>
  <c r="AS205" i="38"/>
  <c r="A204" i="7"/>
  <c r="D205" i="38"/>
  <c r="AO205" i="38" s="1"/>
  <c r="AM205" i="38"/>
  <c r="A206" i="38"/>
  <c r="B203" i="7"/>
  <c r="D203" i="7"/>
  <c r="AX205" i="38"/>
  <c r="AZ204" i="7"/>
  <c r="C205" i="38"/>
  <c r="C204" i="7"/>
  <c r="AT205" i="38" l="1"/>
  <c r="B203" i="6"/>
  <c r="D204" i="7"/>
  <c r="B204" i="7"/>
  <c r="A228" i="24"/>
  <c r="AS206" i="38"/>
  <c r="B206" i="38"/>
  <c r="A205" i="7"/>
  <c r="D206" i="38"/>
  <c r="AO206" i="38" s="1"/>
  <c r="AM206" i="38"/>
  <c r="A207" i="38"/>
  <c r="AJ204" i="38"/>
  <c r="AK204" i="38"/>
  <c r="AL204" i="38"/>
  <c r="AB204" i="38"/>
  <c r="AA204" i="38"/>
  <c r="AV204" i="38" s="1"/>
  <c r="E204" i="38" s="1"/>
  <c r="Z205" i="38"/>
  <c r="AY205" i="38" s="1"/>
  <c r="AZ205" i="38" s="1"/>
  <c r="Y205" i="38"/>
  <c r="C205" i="7"/>
  <c r="C206" i="38"/>
  <c r="AX206" i="38"/>
  <c r="AZ205" i="7"/>
  <c r="B204" i="6" l="1"/>
  <c r="Y206" i="38"/>
  <c r="Z206" i="38"/>
  <c r="AY206" i="38" s="1"/>
  <c r="AZ206" i="38" s="1"/>
  <c r="AT206" i="38"/>
  <c r="AL205" i="38"/>
  <c r="AK205" i="38"/>
  <c r="AJ205" i="38"/>
  <c r="AA205" i="38"/>
  <c r="AV205" i="38" s="1"/>
  <c r="E205" i="38" s="1"/>
  <c r="AB205" i="38"/>
  <c r="A208" i="38"/>
  <c r="A229" i="24"/>
  <c r="AS207" i="38"/>
  <c r="B207" i="38"/>
  <c r="A206" i="7"/>
  <c r="D207" i="38"/>
  <c r="AO207" i="38" s="1"/>
  <c r="AM207" i="38"/>
  <c r="B205" i="7"/>
  <c r="D205" i="7"/>
  <c r="AX207" i="38"/>
  <c r="AZ206" i="7"/>
  <c r="C208" i="38"/>
  <c r="C207" i="38"/>
  <c r="C206" i="7"/>
  <c r="D206" i="7" l="1"/>
  <c r="B206" i="7"/>
  <c r="AT207" i="38"/>
  <c r="AM208" i="38"/>
  <c r="B208" i="38"/>
  <c r="D208" i="38"/>
  <c r="AO208" i="38" s="1"/>
  <c r="AS208" i="38"/>
  <c r="A209" i="38"/>
  <c r="A230" i="24"/>
  <c r="A207" i="7"/>
  <c r="B205" i="6"/>
  <c r="Y207" i="38"/>
  <c r="Z207" i="38"/>
  <c r="AY207" i="38" s="1"/>
  <c r="AZ207" i="38" s="1"/>
  <c r="AK206" i="38"/>
  <c r="AJ206" i="38"/>
  <c r="AA206" i="38"/>
  <c r="AV206" i="38" s="1"/>
  <c r="E206" i="38" s="1"/>
  <c r="AB206" i="38"/>
  <c r="AL206" i="38"/>
  <c r="C207" i="7"/>
  <c r="C209" i="38"/>
  <c r="AZ207" i="7"/>
  <c r="AX208" i="38"/>
  <c r="B206" i="6" l="1"/>
  <c r="Z208" i="38"/>
  <c r="AY208" i="38" s="1"/>
  <c r="AZ208" i="38" s="1"/>
  <c r="Y208" i="38"/>
  <c r="AL207" i="38"/>
  <c r="AK207" i="38"/>
  <c r="AB207" i="38"/>
  <c r="AJ207" i="38"/>
  <c r="AA207" i="38"/>
  <c r="AV207" i="38" s="1"/>
  <c r="E207" i="38" s="1"/>
  <c r="B209" i="38"/>
  <c r="D209" i="38"/>
  <c r="AO209" i="38" s="1"/>
  <c r="AS209" i="38"/>
  <c r="AM209" i="38"/>
  <c r="A231" i="24"/>
  <c r="A208" i="7"/>
  <c r="A210" i="38"/>
  <c r="D207" i="7"/>
  <c r="B207" i="7"/>
  <c r="AT208" i="38"/>
  <c r="C208" i="7"/>
  <c r="AZ208" i="7"/>
  <c r="AX209" i="38"/>
  <c r="Z209" i="38" l="1"/>
  <c r="AY209" i="38" s="1"/>
  <c r="AZ209" i="38" s="1"/>
  <c r="Y209" i="38"/>
  <c r="A232" i="24"/>
  <c r="AS210" i="38"/>
  <c r="B210" i="38"/>
  <c r="A209" i="7"/>
  <c r="D210" i="38"/>
  <c r="AO210" i="38" s="1"/>
  <c r="AM210" i="38"/>
  <c r="A211" i="38"/>
  <c r="AT209" i="38"/>
  <c r="AA208" i="38"/>
  <c r="AV208" i="38" s="1"/>
  <c r="E208" i="38" s="1"/>
  <c r="AB208" i="38"/>
  <c r="AK208" i="38"/>
  <c r="AJ208" i="38"/>
  <c r="AL208" i="38"/>
  <c r="D208" i="7"/>
  <c r="B208" i="7"/>
  <c r="B207" i="6"/>
  <c r="AX210" i="38"/>
  <c r="AZ209" i="7"/>
  <c r="C209" i="7"/>
  <c r="C210" i="38"/>
  <c r="A233" i="24" l="1"/>
  <c r="AS211" i="38"/>
  <c r="B211" i="38"/>
  <c r="A210" i="7"/>
  <c r="D211" i="38"/>
  <c r="AO211" i="38" s="1"/>
  <c r="AM211" i="38"/>
  <c r="A212" i="38"/>
  <c r="B209" i="7"/>
  <c r="D209" i="7"/>
  <c r="B208" i="6"/>
  <c r="B209" i="6" s="1"/>
  <c r="Z210" i="38"/>
  <c r="AY210" i="38" s="1"/>
  <c r="AZ210" i="38" s="1"/>
  <c r="Y210" i="38"/>
  <c r="AT210" i="38"/>
  <c r="AK209" i="38"/>
  <c r="AJ209" i="38"/>
  <c r="AB209" i="38"/>
  <c r="AL209" i="38"/>
  <c r="AA209" i="38"/>
  <c r="AV209" i="38" s="1"/>
  <c r="E209" i="38" s="1"/>
  <c r="C211" i="38"/>
  <c r="C210" i="7"/>
  <c r="AX211" i="38"/>
  <c r="AZ210" i="7"/>
  <c r="AK210" i="38" l="1"/>
  <c r="AJ210" i="38"/>
  <c r="AA210" i="38"/>
  <c r="AV210" i="38" s="1"/>
  <c r="E210" i="38" s="1"/>
  <c r="AB210" i="38"/>
  <c r="AL210" i="38"/>
  <c r="B210" i="6"/>
  <c r="Z211" i="38"/>
  <c r="AY211" i="38" s="1"/>
  <c r="AZ211" i="38" s="1"/>
  <c r="Y211" i="38"/>
  <c r="A234" i="24"/>
  <c r="AS212" i="38"/>
  <c r="B212" i="38"/>
  <c r="A211" i="7"/>
  <c r="D212" i="38"/>
  <c r="AO212" i="38" s="1"/>
  <c r="AM212" i="38"/>
  <c r="A213" i="38"/>
  <c r="B210" i="7"/>
  <c r="D210" i="7"/>
  <c r="AT211" i="38"/>
  <c r="C212" i="38"/>
  <c r="C211" i="7"/>
  <c r="AX212" i="38"/>
  <c r="AZ211" i="7"/>
  <c r="Z212" i="38" l="1"/>
  <c r="AY212" i="38" s="1"/>
  <c r="AZ212" i="38" s="1"/>
  <c r="Y212" i="38"/>
  <c r="B211" i="7"/>
  <c r="D211" i="7"/>
  <c r="AT212" i="38"/>
  <c r="AL211" i="38"/>
  <c r="AJ211" i="38"/>
  <c r="AK211" i="38"/>
  <c r="AB211" i="38"/>
  <c r="AA211" i="38"/>
  <c r="AV211" i="38" s="1"/>
  <c r="E211" i="38" s="1"/>
  <c r="B211" i="6"/>
  <c r="A235" i="24"/>
  <c r="B213" i="38"/>
  <c r="AS213" i="38"/>
  <c r="A212" i="7"/>
  <c r="D213" i="38"/>
  <c r="AO213" i="38" s="1"/>
  <c r="AM213" i="38"/>
  <c r="A214" i="38"/>
  <c r="C212" i="7"/>
  <c r="AX213" i="38"/>
  <c r="AZ212" i="7"/>
  <c r="C213" i="38"/>
  <c r="AT213" i="38" l="1"/>
  <c r="Z213" i="38"/>
  <c r="AY213" i="38" s="1"/>
  <c r="AZ213" i="38" s="1"/>
  <c r="Y213" i="38"/>
  <c r="AA212" i="38"/>
  <c r="AV212" i="38" s="1"/>
  <c r="E212" i="38" s="1"/>
  <c r="AJ212" i="38"/>
  <c r="AK212" i="38"/>
  <c r="AB212" i="38"/>
  <c r="AL212" i="38"/>
  <c r="B212" i="6"/>
  <c r="A215" i="38"/>
  <c r="A236" i="24"/>
  <c r="AS214" i="38"/>
  <c r="B214" i="38"/>
  <c r="A213" i="7"/>
  <c r="D214" i="38"/>
  <c r="AO214" i="38" s="1"/>
  <c r="AM214" i="38"/>
  <c r="B212" i="7"/>
  <c r="D212" i="7"/>
  <c r="AX214" i="38"/>
  <c r="AZ213" i="7"/>
  <c r="C214" i="38"/>
  <c r="C213" i="7"/>
  <c r="C215" i="38"/>
  <c r="AT214" i="38" l="1"/>
  <c r="AS215" i="38"/>
  <c r="A216" i="38"/>
  <c r="D215" i="38"/>
  <c r="AO215" i="38" s="1"/>
  <c r="B215" i="38"/>
  <c r="AM215" i="38"/>
  <c r="A237" i="24"/>
  <c r="A214" i="7"/>
  <c r="D213" i="7"/>
  <c r="B213" i="7"/>
  <c r="AJ213" i="38"/>
  <c r="AA213" i="38"/>
  <c r="AV213" i="38" s="1"/>
  <c r="E213" i="38" s="1"/>
  <c r="AB213" i="38"/>
  <c r="AL213" i="38"/>
  <c r="AK213" i="38"/>
  <c r="Z214" i="38"/>
  <c r="AY214" i="38" s="1"/>
  <c r="AZ214" i="38" s="1"/>
  <c r="Y214" i="38"/>
  <c r="C216" i="38"/>
  <c r="AZ214" i="7"/>
  <c r="AX215" i="38"/>
  <c r="C214" i="7"/>
  <c r="B214" i="7" l="1"/>
  <c r="D214" i="7"/>
  <c r="AT215" i="38"/>
  <c r="B213" i="6"/>
  <c r="Z215" i="38"/>
  <c r="AY215" i="38" s="1"/>
  <c r="AZ215" i="38" s="1"/>
  <c r="Y215" i="38"/>
  <c r="D216" i="38"/>
  <c r="AO216" i="38" s="1"/>
  <c r="B216" i="38"/>
  <c r="AS216" i="38"/>
  <c r="AM216" i="38"/>
  <c r="A238" i="24"/>
  <c r="A215" i="7"/>
  <c r="A217" i="38"/>
  <c r="AB214" i="38"/>
  <c r="AL214" i="38"/>
  <c r="AA214" i="38"/>
  <c r="AV214" i="38" s="1"/>
  <c r="E214" i="38" s="1"/>
  <c r="AK214" i="38"/>
  <c r="AJ214" i="38"/>
  <c r="AZ215" i="7"/>
  <c r="AX216" i="38"/>
  <c r="C215" i="7"/>
  <c r="B214" i="6" l="1"/>
  <c r="B215" i="7"/>
  <c r="D215" i="7"/>
  <c r="A239" i="24"/>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AX217" i="38"/>
  <c r="AZ216" i="7"/>
  <c r="Z217" i="38" l="1"/>
  <c r="AY217" i="38" s="1"/>
  <c r="AZ217" i="38" s="1"/>
  <c r="Y217" i="38"/>
  <c r="B216" i="7"/>
  <c r="D216" i="7"/>
  <c r="AT217" i="38"/>
  <c r="B215" i="6"/>
  <c r="AK216" i="38"/>
  <c r="AA216" i="38"/>
  <c r="AV216" i="38" s="1"/>
  <c r="E216" i="38" s="1"/>
  <c r="AJ216" i="38"/>
  <c r="AB216" i="38"/>
  <c r="AL216" i="38"/>
  <c r="A240" i="24"/>
  <c r="B218" i="38"/>
  <c r="AS218" i="38"/>
  <c r="AT218" i="38"/>
  <c r="A217" i="7"/>
  <c r="D218" i="38"/>
  <c r="AO218" i="38" s="1"/>
  <c r="AM218" i="38"/>
  <c r="A219" i="38"/>
  <c r="C217" i="7"/>
  <c r="AX218" i="38"/>
  <c r="AZ217" i="7"/>
  <c r="C218" i="38"/>
  <c r="Z218" i="38" l="1"/>
  <c r="AY218" i="38" s="1"/>
  <c r="AZ218" i="38" s="1"/>
  <c r="Y218" i="38"/>
  <c r="B216" i="6"/>
  <c r="AK217" i="38"/>
  <c r="AA217" i="38"/>
  <c r="AV217" i="38" s="1"/>
  <c r="E217" i="38" s="1"/>
  <c r="AJ217" i="38"/>
  <c r="AL217" i="38"/>
  <c r="AB217" i="38"/>
  <c r="A241" i="24"/>
  <c r="AS219" i="38"/>
  <c r="B219" i="38"/>
  <c r="A218" i="7"/>
  <c r="D219" i="38"/>
  <c r="AO219" i="38" s="1"/>
  <c r="AM219" i="38"/>
  <c r="A220" i="38"/>
  <c r="D217" i="7"/>
  <c r="B217" i="7"/>
  <c r="C219" i="38"/>
  <c r="AX219" i="38"/>
  <c r="AZ218" i="7"/>
  <c r="C218" i="7"/>
  <c r="D218" i="7" l="1"/>
  <c r="B218" i="7"/>
  <c r="Z219" i="38"/>
  <c r="AY219" i="38" s="1"/>
  <c r="AZ219" i="38" s="1"/>
  <c r="Y219" i="38"/>
  <c r="B217" i="6"/>
  <c r="AB218" i="38"/>
  <c r="AJ218" i="38"/>
  <c r="AK218" i="38"/>
  <c r="AL218" i="38"/>
  <c r="AA218" i="38"/>
  <c r="AV218" i="38" s="1"/>
  <c r="E218" i="38" s="1"/>
  <c r="AT219" i="38"/>
  <c r="AT220" i="38" s="1"/>
  <c r="A242" i="24"/>
  <c r="AS220" i="38"/>
  <c r="B220" i="38"/>
  <c r="A219" i="7"/>
  <c r="AM220" i="38"/>
  <c r="D220" i="38"/>
  <c r="AO220" i="38" s="1"/>
  <c r="A221" i="38"/>
  <c r="C219" i="7"/>
  <c r="AX220" i="38"/>
  <c r="AZ219" i="7"/>
  <c r="C220" i="38"/>
  <c r="A222" i="38" l="1"/>
  <c r="A243" i="24"/>
  <c r="AS221" i="38"/>
  <c r="B221" i="38"/>
  <c r="A220" i="7"/>
  <c r="D221" i="38"/>
  <c r="AO221" i="38" s="1"/>
  <c r="AM221" i="38"/>
  <c r="Z220" i="38"/>
  <c r="AY220" i="38" s="1"/>
  <c r="AZ220" i="38" s="1"/>
  <c r="Y220" i="38"/>
  <c r="B218" i="6"/>
  <c r="AK219" i="38"/>
  <c r="AB219" i="38"/>
  <c r="AL219" i="38"/>
  <c r="AJ219" i="38"/>
  <c r="AA219" i="38"/>
  <c r="AV219" i="38" s="1"/>
  <c r="E219" i="38" s="1"/>
  <c r="B219" i="7"/>
  <c r="D219" i="7"/>
  <c r="C222" i="38"/>
  <c r="C221" i="38"/>
  <c r="C220" i="7"/>
  <c r="AX221" i="38"/>
  <c r="AZ220" i="7"/>
  <c r="B219" i="6" l="1"/>
  <c r="AK220" i="38"/>
  <c r="AJ220" i="38"/>
  <c r="AA220" i="38"/>
  <c r="AV220" i="38" s="1"/>
  <c r="E220" i="38" s="1"/>
  <c r="AB220" i="38"/>
  <c r="AL220" i="38"/>
  <c r="AT221" i="38"/>
  <c r="B220" i="6"/>
  <c r="Z221" i="38"/>
  <c r="AY221" i="38" s="1"/>
  <c r="AZ221" i="38" s="1"/>
  <c r="Y221" i="38"/>
  <c r="B220" i="7"/>
  <c r="D220" i="7"/>
  <c r="A223" i="38"/>
  <c r="B222" i="38"/>
  <c r="AS222" i="38"/>
  <c r="AM222" i="38"/>
  <c r="D222" i="38"/>
  <c r="AO222" i="38" s="1"/>
  <c r="A244" i="24"/>
  <c r="A221" i="7"/>
  <c r="C221" i="7"/>
  <c r="C223" i="38"/>
  <c r="AZ221" i="7"/>
  <c r="AX222" i="38"/>
  <c r="Z222" i="38" l="1"/>
  <c r="AY222" i="38" s="1"/>
  <c r="AZ222" i="38" s="1"/>
  <c r="Y222" i="38"/>
  <c r="B223" i="38"/>
  <c r="D223" i="38"/>
  <c r="AO223" i="38" s="1"/>
  <c r="AM223" i="38"/>
  <c r="AS223" i="38"/>
  <c r="A245" i="24"/>
  <c r="A222" i="7"/>
  <c r="A224" i="38"/>
  <c r="D221" i="7"/>
  <c r="B221" i="7"/>
  <c r="AL221" i="38"/>
  <c r="AK221" i="38"/>
  <c r="AB221" i="38"/>
  <c r="AA221" i="38"/>
  <c r="AV221" i="38" s="1"/>
  <c r="E221" i="38" s="1"/>
  <c r="AJ221" i="38"/>
  <c r="AT222" i="38"/>
  <c r="AT223" i="38" s="1"/>
  <c r="AZ222" i="7"/>
  <c r="AX223" i="38"/>
  <c r="C222" i="7"/>
  <c r="B221" i="6" l="1"/>
  <c r="A246" i="24"/>
  <c r="AS224" i="38"/>
  <c r="B224" i="38"/>
  <c r="A223" i="7"/>
  <c r="D224" i="38"/>
  <c r="AO224" i="38" s="1"/>
  <c r="AM224" i="38"/>
  <c r="A225" i="38"/>
  <c r="B222" i="7"/>
  <c r="D222" i="7"/>
  <c r="Z223" i="38"/>
  <c r="AY223" i="38" s="1"/>
  <c r="AZ223" i="38" s="1"/>
  <c r="Y223" i="38"/>
  <c r="AJ222" i="38"/>
  <c r="AK222" i="38"/>
  <c r="AA222" i="38"/>
  <c r="AV222" i="38" s="1"/>
  <c r="E222" i="38" s="1"/>
  <c r="AB222" i="38"/>
  <c r="AL222" i="38"/>
  <c r="C224" i="38"/>
  <c r="AX224" i="38"/>
  <c r="AZ223" i="7"/>
  <c r="C223" i="7"/>
  <c r="AK223" i="38" l="1"/>
  <c r="AJ223" i="38"/>
  <c r="AB223" i="38"/>
  <c r="AL223" i="38"/>
  <c r="AA223" i="38"/>
  <c r="AV223" i="38" s="1"/>
  <c r="E223" i="38" s="1"/>
  <c r="A247" i="24"/>
  <c r="AS225" i="38"/>
  <c r="B225" i="38"/>
  <c r="A224" i="7"/>
  <c r="D225" i="38"/>
  <c r="AO225" i="38" s="1"/>
  <c r="AM225" i="38"/>
  <c r="A226" i="38"/>
  <c r="D223" i="7"/>
  <c r="B223" i="7"/>
  <c r="Z224" i="38"/>
  <c r="AY224" i="38" s="1"/>
  <c r="AZ224" i="38" s="1"/>
  <c r="Y224" i="38"/>
  <c r="AT224" i="38"/>
  <c r="B222" i="6"/>
  <c r="C225" i="38"/>
  <c r="C224" i="7"/>
  <c r="AX225" i="38"/>
  <c r="AZ224" i="7"/>
  <c r="B223" i="6" l="1"/>
  <c r="Z225" i="38"/>
  <c r="AY225" i="38" s="1"/>
  <c r="AZ225" i="38" s="1"/>
  <c r="Y225" i="38"/>
  <c r="AT225" i="38"/>
  <c r="AJ224" i="38"/>
  <c r="AB224" i="38"/>
  <c r="AL224" i="38"/>
  <c r="AK224" i="38"/>
  <c r="AA224" i="38"/>
  <c r="AV224" i="38" s="1"/>
  <c r="E224" i="38" s="1"/>
  <c r="A248" i="24"/>
  <c r="AS226" i="38"/>
  <c r="B226" i="38"/>
  <c r="A225" i="7"/>
  <c r="D226" i="38"/>
  <c r="AO226" i="38" s="1"/>
  <c r="AM226" i="38"/>
  <c r="A227" i="38"/>
  <c r="B224" i="7"/>
  <c r="D224" i="7"/>
  <c r="AX226" i="38"/>
  <c r="AZ225" i="7"/>
  <c r="C226" i="38"/>
  <c r="C225" i="7"/>
  <c r="AT226" i="38" l="1"/>
  <c r="B224" i="6"/>
  <c r="A249" i="24"/>
  <c r="AS227" i="38"/>
  <c r="B227" i="38"/>
  <c r="A226" i="7"/>
  <c r="D227" i="38"/>
  <c r="AO227" i="38" s="1"/>
  <c r="AM227" i="38"/>
  <c r="A228" i="38"/>
  <c r="AJ225" i="38"/>
  <c r="AK225" i="38"/>
  <c r="AB225" i="38"/>
  <c r="AL225" i="38"/>
  <c r="AA225" i="38"/>
  <c r="AV225" i="38" s="1"/>
  <c r="E225" i="38" s="1"/>
  <c r="B225" i="7"/>
  <c r="D225" i="7"/>
  <c r="Z226" i="38"/>
  <c r="AY226" i="38" s="1"/>
  <c r="AZ226" i="38" s="1"/>
  <c r="Y226" i="38"/>
  <c r="C227" i="38"/>
  <c r="C226" i="7"/>
  <c r="AX227" i="38"/>
  <c r="AZ226" i="7"/>
  <c r="A229" i="38" l="1"/>
  <c r="A250" i="24"/>
  <c r="B228" i="38"/>
  <c r="AS228" i="38"/>
  <c r="A227" i="7"/>
  <c r="D228" i="38"/>
  <c r="AO228" i="38" s="1"/>
  <c r="AM228" i="38"/>
  <c r="AA226" i="38"/>
  <c r="AV226" i="38" s="1"/>
  <c r="E226" i="38" s="1"/>
  <c r="AK226" i="38"/>
  <c r="AJ226" i="38"/>
  <c r="AL226" i="38"/>
  <c r="AB226" i="38"/>
  <c r="AT227" i="38"/>
  <c r="B225" i="6"/>
  <c r="B226" i="6" s="1"/>
  <c r="Z227" i="38"/>
  <c r="AY227" i="38" s="1"/>
  <c r="AZ227" i="38" s="1"/>
  <c r="Y227" i="38"/>
  <c r="B226" i="7"/>
  <c r="D226" i="7"/>
  <c r="C229" i="38"/>
  <c r="AX228" i="38"/>
  <c r="AZ227" i="7"/>
  <c r="C228" i="38"/>
  <c r="C227" i="7"/>
  <c r="B227" i="7" l="1"/>
  <c r="D227" i="7"/>
  <c r="AT228" i="38"/>
  <c r="Z228" i="38"/>
  <c r="AY228" i="38" s="1"/>
  <c r="AZ228" i="38" s="1"/>
  <c r="Y228" i="38"/>
  <c r="AL227" i="38"/>
  <c r="AB227" i="38"/>
  <c r="AJ227" i="38"/>
  <c r="AA227" i="38"/>
  <c r="AV227" i="38" s="1"/>
  <c r="E227" i="38" s="1"/>
  <c r="AK227" i="38"/>
  <c r="B229" i="38"/>
  <c r="A230" i="38"/>
  <c r="D229" i="38"/>
  <c r="AO229" i="38" s="1"/>
  <c r="AM229" i="38"/>
  <c r="AS229" i="38"/>
  <c r="A251" i="24"/>
  <c r="A228" i="7"/>
  <c r="AZ228" i="7"/>
  <c r="AX229" i="38"/>
  <c r="C228" i="7"/>
  <c r="C230" i="38"/>
  <c r="AM230" i="38" l="1"/>
  <c r="D230" i="38"/>
  <c r="AO230" i="38" s="1"/>
  <c r="AS230" i="38"/>
  <c r="B230" i="38"/>
  <c r="A252" i="24"/>
  <c r="A229" i="7"/>
  <c r="A231" i="38"/>
  <c r="D228" i="7"/>
  <c r="B228" i="7"/>
  <c r="Z229" i="38"/>
  <c r="AY229" i="38" s="1"/>
  <c r="AZ229" i="38" s="1"/>
  <c r="Y229" i="38"/>
  <c r="AK228" i="38"/>
  <c r="AJ228" i="38"/>
  <c r="AB228" i="38"/>
  <c r="AL228" i="38"/>
  <c r="AA228" i="38"/>
  <c r="AV228" i="38" s="1"/>
  <c r="E228" i="38" s="1"/>
  <c r="AT229" i="38"/>
  <c r="AT230" i="38" s="1"/>
  <c r="B227" i="6"/>
  <c r="B228" i="6" s="1"/>
  <c r="AZ229" i="7"/>
  <c r="AX230" i="38"/>
  <c r="C229" i="7"/>
  <c r="D229" i="7" l="1"/>
  <c r="B229" i="7"/>
  <c r="A253" i="24"/>
  <c r="AS231" i="38"/>
  <c r="B231" i="38"/>
  <c r="A230" i="7"/>
  <c r="D231" i="38"/>
  <c r="AO231" i="38" s="1"/>
  <c r="AM231" i="38"/>
  <c r="A232" i="38"/>
  <c r="AJ229" i="38"/>
  <c r="AB229" i="38"/>
  <c r="AA229" i="38"/>
  <c r="AV229" i="38" s="1"/>
  <c r="E229" i="38" s="1"/>
  <c r="AL229" i="38"/>
  <c r="AK229" i="38"/>
  <c r="Z230" i="38"/>
  <c r="AY230" i="38" s="1"/>
  <c r="AZ230" i="38" s="1"/>
  <c r="Y230" i="38"/>
  <c r="C231" i="38"/>
  <c r="AX231" i="38"/>
  <c r="AZ230" i="7"/>
  <c r="C230" i="7"/>
  <c r="A254" i="24"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AX232" i="38"/>
  <c r="AZ231" i="7"/>
  <c r="C232" i="38"/>
  <c r="C231" i="7"/>
  <c r="B230" i="6" l="1"/>
  <c r="A255" i="24"/>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3" i="38"/>
  <c r="C232" i="7"/>
  <c r="AX233" i="38"/>
  <c r="AZ232" i="7"/>
  <c r="Z233" i="38" l="1"/>
  <c r="AY233" i="38" s="1"/>
  <c r="AZ233" i="38" s="1"/>
  <c r="Y233" i="38"/>
  <c r="A256" i="24"/>
  <c r="AS234" i="38"/>
  <c r="B234" i="38"/>
  <c r="A233" i="7"/>
  <c r="D234" i="38"/>
  <c r="AO234" i="38" s="1"/>
  <c r="AM234" i="38"/>
  <c r="A235" i="38"/>
  <c r="D232" i="7"/>
  <c r="B232" i="7"/>
  <c r="AT233" i="38"/>
  <c r="AL232" i="38"/>
  <c r="AJ232" i="38"/>
  <c r="AK232" i="38"/>
  <c r="AB232" i="38"/>
  <c r="AA232" i="38"/>
  <c r="AV232" i="38" s="1"/>
  <c r="E232" i="38" s="1"/>
  <c r="B231" i="6"/>
  <c r="AX234" i="38"/>
  <c r="AZ233" i="7"/>
  <c r="C234" i="38"/>
  <c r="C233" i="7"/>
  <c r="B232" i="6" l="1"/>
  <c r="B233" i="7"/>
  <c r="D233" i="7"/>
  <c r="A236" i="38"/>
  <c r="A257" i="24"/>
  <c r="B235" i="38"/>
  <c r="AS235" i="38"/>
  <c r="A234" i="7"/>
  <c r="D235" i="38"/>
  <c r="AO235" i="38" s="1"/>
  <c r="AM235" i="38"/>
  <c r="Z234" i="38"/>
  <c r="AY234" i="38" s="1"/>
  <c r="AZ234" i="38" s="1"/>
  <c r="Y234" i="38"/>
  <c r="AT234" i="38"/>
  <c r="AA233" i="38"/>
  <c r="AV233" i="38" s="1"/>
  <c r="E233" i="38" s="1"/>
  <c r="AB233" i="38"/>
  <c r="AK233" i="38"/>
  <c r="AL233" i="38"/>
  <c r="AJ233" i="38"/>
  <c r="C236" i="38"/>
  <c r="AX235" i="38"/>
  <c r="AZ234" i="7"/>
  <c r="C235" i="38"/>
  <c r="C234" i="7"/>
  <c r="AJ234" i="38" l="1"/>
  <c r="AB234" i="38"/>
  <c r="AK234" i="38"/>
  <c r="AL234" i="38"/>
  <c r="AA234" i="38"/>
  <c r="AV234" i="38" s="1"/>
  <c r="E234" i="38" s="1"/>
  <c r="B233" i="6"/>
  <c r="B234" i="6" s="1"/>
  <c r="D234" i="7"/>
  <c r="B234" i="7"/>
  <c r="Y235" i="38"/>
  <c r="Z235" i="38"/>
  <c r="AY235" i="38" s="1"/>
  <c r="AZ235" i="38" s="1"/>
  <c r="AT235" i="38"/>
  <c r="B236" i="38"/>
  <c r="AS236" i="38"/>
  <c r="D236" i="38"/>
  <c r="AO236" i="38" s="1"/>
  <c r="AM236" i="38"/>
  <c r="A237" i="38"/>
  <c r="A258" i="24"/>
  <c r="A235" i="7"/>
  <c r="C235" i="7"/>
  <c r="AZ235" i="7"/>
  <c r="AX236" i="38"/>
  <c r="C237" i="38"/>
  <c r="AK235" i="38" l="1"/>
  <c r="AL235" i="38"/>
  <c r="AB235" i="38"/>
  <c r="AJ235" i="38"/>
  <c r="AA235" i="38"/>
  <c r="AV235" i="38" s="1"/>
  <c r="E235" i="38" s="1"/>
  <c r="D237" i="38"/>
  <c r="AO237" i="38" s="1"/>
  <c r="AS237" i="38"/>
  <c r="B237" i="38"/>
  <c r="AM237" i="38"/>
  <c r="A259" i="24"/>
  <c r="A236" i="7"/>
  <c r="A238" i="38"/>
  <c r="Z236" i="38"/>
  <c r="AY236" i="38" s="1"/>
  <c r="AZ236" i="38" s="1"/>
  <c r="Y236" i="38"/>
  <c r="D235" i="7"/>
  <c r="B235" i="7"/>
  <c r="AT236" i="38"/>
  <c r="C236" i="7"/>
  <c r="AZ236" i="7"/>
  <c r="AX237" i="38"/>
  <c r="B235" i="6" l="1"/>
  <c r="AB236" i="38"/>
  <c r="AA236" i="38"/>
  <c r="AV236" i="38" s="1"/>
  <c r="E236" i="38" s="1"/>
  <c r="AL236" i="38"/>
  <c r="AK236" i="38"/>
  <c r="AJ236" i="38"/>
  <c r="Z237" i="38"/>
  <c r="AY237" i="38" s="1"/>
  <c r="AZ237" i="38" s="1"/>
  <c r="Y237" i="38"/>
  <c r="D236" i="7"/>
  <c r="B236" i="7"/>
  <c r="A260" i="24"/>
  <c r="B238" i="38"/>
  <c r="AS238" i="38"/>
  <c r="A237" i="7"/>
  <c r="D238" i="38"/>
  <c r="AO238" i="38" s="1"/>
  <c r="AM238" i="38"/>
  <c r="A239" i="38"/>
  <c r="AT237" i="38"/>
  <c r="AX238" i="38"/>
  <c r="AZ237" i="7"/>
  <c r="C237" i="7"/>
  <c r="C238" i="38"/>
  <c r="B236" i="6" l="1"/>
  <c r="AT238" i="38"/>
  <c r="A261" i="24"/>
  <c r="AS239" i="38"/>
  <c r="B239" i="38"/>
  <c r="A238" i="7"/>
  <c r="D239" i="38"/>
  <c r="AO239" i="38" s="1"/>
  <c r="AM239" i="38"/>
  <c r="A240" i="38"/>
  <c r="D237" i="7"/>
  <c r="B237" i="7"/>
  <c r="AA237" i="38"/>
  <c r="AV237" i="38" s="1"/>
  <c r="E237" i="38" s="1"/>
  <c r="AL237" i="38"/>
  <c r="AK237" i="38"/>
  <c r="AJ237" i="38"/>
  <c r="AB237" i="38"/>
  <c r="Z238" i="38"/>
  <c r="AY238" i="38" s="1"/>
  <c r="AZ238" i="38" s="1"/>
  <c r="Y238" i="38"/>
  <c r="C239" i="38"/>
  <c r="AX239" i="38"/>
  <c r="AZ238" i="7"/>
  <c r="C238" i="7"/>
  <c r="A262" i="24"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B238" i="6" s="1"/>
  <c r="C239" i="7"/>
  <c r="C240" i="38"/>
  <c r="AX240" i="38"/>
  <c r="AZ239" i="7"/>
  <c r="A263" i="24" l="1"/>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1" i="38"/>
  <c r="AX241" i="38"/>
  <c r="AZ240" i="7"/>
  <c r="C240" i="7"/>
  <c r="AK240" i="38" l="1"/>
  <c r="AB240" i="38"/>
  <c r="AL240" i="38"/>
  <c r="AJ240" i="38"/>
  <c r="AA240" i="38"/>
  <c r="AV240" i="38" s="1"/>
  <c r="E240" i="38" s="1"/>
  <c r="A243" i="38"/>
  <c r="A264" i="24"/>
  <c r="B242" i="38"/>
  <c r="AS242" i="38"/>
  <c r="A241" i="7"/>
  <c r="D242" i="38"/>
  <c r="AO242" i="38" s="1"/>
  <c r="AM242" i="38"/>
  <c r="B240" i="7"/>
  <c r="D240" i="7"/>
  <c r="Y241" i="38"/>
  <c r="Z241" i="38"/>
  <c r="AY241" i="38" s="1"/>
  <c r="AZ241" i="38" s="1"/>
  <c r="AT241" i="38"/>
  <c r="B239" i="6"/>
  <c r="AX242" i="38"/>
  <c r="AZ241" i="7"/>
  <c r="C242" i="38"/>
  <c r="C243" i="38"/>
  <c r="C241" i="7"/>
  <c r="D241" i="7" l="1"/>
  <c r="B241" i="7"/>
  <c r="D243" i="38"/>
  <c r="AO243" i="38" s="1"/>
  <c r="AS243" i="38"/>
  <c r="B243" i="38"/>
  <c r="AM243" i="38"/>
  <c r="A244" i="38"/>
  <c r="A265" i="24"/>
  <c r="A242" i="7"/>
  <c r="B240" i="6"/>
  <c r="Z242" i="38"/>
  <c r="AY242" i="38" s="1"/>
  <c r="AZ242" i="38" s="1"/>
  <c r="Y242" i="38"/>
  <c r="AT242" i="38"/>
  <c r="AT243" i="38" s="1"/>
  <c r="AA241" i="38"/>
  <c r="AV241" i="38" s="1"/>
  <c r="E241" i="38" s="1"/>
  <c r="AJ241" i="38"/>
  <c r="AK241" i="38"/>
  <c r="AB241" i="38"/>
  <c r="AL241" i="38"/>
  <c r="C244" i="38"/>
  <c r="C242" i="7"/>
  <c r="AZ242" i="7"/>
  <c r="AX243" i="38"/>
  <c r="Z243" i="38" l="1"/>
  <c r="AY243" i="38" s="1"/>
  <c r="AZ243" i="38" s="1"/>
  <c r="Y243" i="38"/>
  <c r="B241" i="6"/>
  <c r="D242" i="7"/>
  <c r="B242" i="7"/>
  <c r="AJ242" i="38"/>
  <c r="AB242" i="38"/>
  <c r="AK242" i="38"/>
  <c r="AL242" i="38"/>
  <c r="AA242" i="38"/>
  <c r="AV242" i="38" s="1"/>
  <c r="E242" i="38" s="1"/>
  <c r="AS244" i="38"/>
  <c r="AM244" i="38"/>
  <c r="D244" i="38"/>
  <c r="AO244" i="38" s="1"/>
  <c r="B244" i="38"/>
  <c r="A266" i="24"/>
  <c r="A243" i="7"/>
  <c r="A245" i="38"/>
  <c r="C243" i="7"/>
  <c r="AZ243" i="7"/>
  <c r="AX244" i="38"/>
  <c r="Z244" i="38" l="1"/>
  <c r="AY244" i="38" s="1"/>
  <c r="AZ244" i="38" s="1"/>
  <c r="Y244" i="38"/>
  <c r="B242" i="6"/>
  <c r="A267" i="24"/>
  <c r="AS245" i="38"/>
  <c r="B245" i="38"/>
  <c r="A244" i="7"/>
  <c r="D245" i="38"/>
  <c r="AO245" i="38" s="1"/>
  <c r="AM245" i="38"/>
  <c r="A246" i="38"/>
  <c r="AL243" i="38"/>
  <c r="AB243" i="38"/>
  <c r="AA243" i="38"/>
  <c r="AV243" i="38" s="1"/>
  <c r="E243" i="38" s="1"/>
  <c r="AJ243" i="38"/>
  <c r="AK243" i="38"/>
  <c r="AT244" i="38"/>
  <c r="B243" i="7"/>
  <c r="D243" i="7"/>
  <c r="C244" i="7"/>
  <c r="C245" i="38"/>
  <c r="AX245" i="38"/>
  <c r="AZ244" i="7"/>
  <c r="A268" i="24"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5" i="7"/>
  <c r="AX246" i="38"/>
  <c r="AZ245" i="7"/>
  <c r="C246" i="38"/>
  <c r="B244" i="6" l="1"/>
  <c r="AK245" i="38"/>
  <c r="AA245" i="38"/>
  <c r="AV245" i="38" s="1"/>
  <c r="E245" i="38" s="1"/>
  <c r="AL245" i="38"/>
  <c r="AJ245" i="38"/>
  <c r="AB245" i="38"/>
  <c r="A269" i="24"/>
  <c r="B247" i="38"/>
  <c r="AS247" i="38"/>
  <c r="A246" i="7"/>
  <c r="D247" i="38"/>
  <c r="AO247" i="38" s="1"/>
  <c r="AM247" i="38"/>
  <c r="A248" i="38"/>
  <c r="AT246" i="38"/>
  <c r="B245" i="6"/>
  <c r="Z246" i="38"/>
  <c r="AY246" i="38" s="1"/>
  <c r="AZ246" i="38" s="1"/>
  <c r="Y246" i="38"/>
  <c r="D245" i="7"/>
  <c r="B245" i="7"/>
  <c r="C247" i="38"/>
  <c r="C246" i="7"/>
  <c r="AX247" i="38"/>
  <c r="AZ246" i="7"/>
  <c r="A270" i="24" l="1"/>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AX248" i="38"/>
  <c r="AZ247" i="7"/>
  <c r="AA247" i="38" l="1"/>
  <c r="AV247" i="38" s="1"/>
  <c r="E247" i="38" s="1"/>
  <c r="AK247" i="38"/>
  <c r="AL247" i="38"/>
  <c r="AJ247" i="38"/>
  <c r="AB247" i="38"/>
  <c r="B246" i="6"/>
  <c r="B247" i="6" s="1"/>
  <c r="Z248" i="38"/>
  <c r="AY248" i="38" s="1"/>
  <c r="AZ248" i="38" s="1"/>
  <c r="Y248" i="38"/>
  <c r="A250" i="38"/>
  <c r="A271" i="24"/>
  <c r="AS249" i="38"/>
  <c r="B249" i="38"/>
  <c r="A248" i="7"/>
  <c r="AM249" i="38"/>
  <c r="D249" i="38"/>
  <c r="AO249" i="38" s="1"/>
  <c r="AT248" i="38"/>
  <c r="D247" i="7"/>
  <c r="B247" i="7"/>
  <c r="C250" i="38"/>
  <c r="AX249" i="38"/>
  <c r="AZ248" i="7"/>
  <c r="C249" i="38"/>
  <c r="C248" i="7"/>
  <c r="AT249" i="38" l="1"/>
  <c r="B248" i="7"/>
  <c r="D248" i="7"/>
  <c r="AA248" i="38"/>
  <c r="AV248" i="38" s="1"/>
  <c r="E248" i="38" s="1"/>
  <c r="AL248" i="38"/>
  <c r="AK248" i="38"/>
  <c r="AJ248" i="38"/>
  <c r="AB248" i="38"/>
  <c r="B248" i="6"/>
  <c r="Z249" i="38"/>
  <c r="AY249" i="38" s="1"/>
  <c r="AZ249" i="38" s="1"/>
  <c r="Y249" i="38"/>
  <c r="A251" i="38"/>
  <c r="D250" i="38"/>
  <c r="AO250" i="38" s="1"/>
  <c r="AS250" i="38"/>
  <c r="AM250" i="38"/>
  <c r="B250" i="38"/>
  <c r="A272" i="24"/>
  <c r="A249" i="7"/>
  <c r="C249" i="7"/>
  <c r="C251" i="38"/>
  <c r="AZ249" i="7"/>
  <c r="AX250" i="38"/>
  <c r="Z250" i="38" l="1"/>
  <c r="AY250" i="38" s="1"/>
  <c r="AZ250" i="38" s="1"/>
  <c r="Y250" i="38"/>
  <c r="AT250" i="38"/>
  <c r="AS251" i="38"/>
  <c r="D251" i="38"/>
  <c r="AO251" i="38" s="1"/>
  <c r="AM251" i="38"/>
  <c r="B251" i="38"/>
  <c r="A273" i="24"/>
  <c r="A250" i="7"/>
  <c r="A252" i="38"/>
  <c r="AB249" i="38"/>
  <c r="AL249" i="38"/>
  <c r="AJ249" i="38"/>
  <c r="AA249" i="38"/>
  <c r="AV249" i="38" s="1"/>
  <c r="E249" i="38" s="1"/>
  <c r="AK249" i="38"/>
  <c r="B249" i="7"/>
  <c r="D249" i="7"/>
  <c r="C250" i="7"/>
  <c r="AZ250" i="7"/>
  <c r="AX251" i="38"/>
  <c r="AT251" i="38" l="1"/>
  <c r="Z251" i="38"/>
  <c r="AY251" i="38" s="1"/>
  <c r="AZ251" i="38" s="1"/>
  <c r="Y251" i="38"/>
  <c r="D250" i="7"/>
  <c r="B250" i="7"/>
  <c r="B249" i="6"/>
  <c r="A274" i="24"/>
  <c r="B252" i="38"/>
  <c r="AS252" i="38"/>
  <c r="A251" i="7"/>
  <c r="AM252" i="38"/>
  <c r="D252" i="38"/>
  <c r="AO252" i="38" s="1"/>
  <c r="A253" i="38"/>
  <c r="AK250" i="38"/>
  <c r="AA250" i="38"/>
  <c r="AV250" i="38" s="1"/>
  <c r="E250" i="38" s="1"/>
  <c r="AB250" i="38"/>
  <c r="AJ250" i="38"/>
  <c r="AL250" i="38"/>
  <c r="C251" i="7"/>
  <c r="C252" i="38"/>
  <c r="AX252" i="38"/>
  <c r="AZ251" i="7"/>
  <c r="Z252" i="38" l="1"/>
  <c r="AY252" i="38" s="1"/>
  <c r="AZ252" i="38" s="1"/>
  <c r="Y252" i="38"/>
  <c r="A275" i="24"/>
  <c r="AS253" i="38"/>
  <c r="B253" i="38"/>
  <c r="A252" i="7"/>
  <c r="D253" i="38"/>
  <c r="AO253" i="38" s="1"/>
  <c r="AM253" i="38"/>
  <c r="A254" i="38"/>
  <c r="B251" i="7"/>
  <c r="D251" i="7"/>
  <c r="B250" i="6"/>
  <c r="AJ251" i="38"/>
  <c r="AA251" i="38"/>
  <c r="AV251" i="38" s="1"/>
  <c r="E251" i="38" s="1"/>
  <c r="AK251" i="38"/>
  <c r="AB251" i="38"/>
  <c r="AL251" i="38"/>
  <c r="AT252" i="38"/>
  <c r="C252" i="7"/>
  <c r="AX253" i="38"/>
  <c r="AZ252" i="7"/>
  <c r="C253" i="38"/>
  <c r="B251" i="6" l="1"/>
  <c r="Z253" i="38"/>
  <c r="AY253" i="38" s="1"/>
  <c r="AZ253" i="38" s="1"/>
  <c r="Y253" i="38"/>
  <c r="AB252" i="38"/>
  <c r="AL252" i="38"/>
  <c r="AJ252" i="38"/>
  <c r="AK252" i="38"/>
  <c r="AA252" i="38"/>
  <c r="AV252" i="38" s="1"/>
  <c r="E252" i="38" s="1"/>
  <c r="A276" i="24"/>
  <c r="B254" i="38"/>
  <c r="AS254" i="38"/>
  <c r="A253" i="7"/>
  <c r="D254" i="38"/>
  <c r="AO254" i="38" s="1"/>
  <c r="AM254" i="38"/>
  <c r="A255" i="38"/>
  <c r="B252" i="7"/>
  <c r="D252" i="7"/>
  <c r="AT253" i="38"/>
  <c r="C253" i="7"/>
  <c r="AX254" i="38"/>
  <c r="AZ253" i="7"/>
  <c r="C254" i="38"/>
  <c r="AK253" i="38" l="1"/>
  <c r="AJ253" i="38"/>
  <c r="AB253" i="38"/>
  <c r="AL253" i="38"/>
  <c r="AA253" i="38"/>
  <c r="AV253" i="38" s="1"/>
  <c r="E253" i="38" s="1"/>
  <c r="Z254" i="38"/>
  <c r="AY254" i="38" s="1"/>
  <c r="AZ254" i="38" s="1"/>
  <c r="Y254" i="38"/>
  <c r="D253" i="7"/>
  <c r="B253" i="7"/>
  <c r="AT254" i="38"/>
  <c r="A277" i="24"/>
  <c r="AS255" i="38"/>
  <c r="B255" i="38"/>
  <c r="A254" i="7"/>
  <c r="D255" i="38"/>
  <c r="AO255" i="38" s="1"/>
  <c r="AM255" i="38"/>
  <c r="A256" i="38"/>
  <c r="B252" i="6"/>
  <c r="AX255" i="38"/>
  <c r="AZ254" i="7"/>
  <c r="C255" i="38"/>
  <c r="C254" i="7"/>
  <c r="AT255" i="38" l="1"/>
  <c r="B254" i="7"/>
  <c r="D254" i="7"/>
  <c r="AA254" i="38"/>
  <c r="AV254" i="38" s="1"/>
  <c r="E254" i="38" s="1"/>
  <c r="AL254" i="38"/>
  <c r="AJ254" i="38"/>
  <c r="AB254" i="38"/>
  <c r="AK254" i="38"/>
  <c r="B253" i="6"/>
  <c r="B254" i="6" s="1"/>
  <c r="A257" i="38"/>
  <c r="A278" i="24"/>
  <c r="AS256" i="38"/>
  <c r="B256" i="38"/>
  <c r="A255" i="7"/>
  <c r="D256" i="38"/>
  <c r="AO256" i="38" s="1"/>
  <c r="AM256" i="38"/>
  <c r="Z255" i="38"/>
  <c r="AY255" i="38" s="1"/>
  <c r="AZ255" i="38" s="1"/>
  <c r="Y255" i="38"/>
  <c r="AX256" i="38"/>
  <c r="AZ255" i="7"/>
  <c r="C255" i="7"/>
  <c r="C257" i="38"/>
  <c r="C256" i="38"/>
  <c r="AT256" i="38" l="1"/>
  <c r="AM257" i="38"/>
  <c r="AS257" i="38"/>
  <c r="B257" i="38"/>
  <c r="A258" i="38"/>
  <c r="D257" i="38"/>
  <c r="AO257" i="38" s="1"/>
  <c r="A279" i="24"/>
  <c r="A256" i="7"/>
  <c r="AJ255" i="38"/>
  <c r="AL255" i="38"/>
  <c r="AK255" i="38"/>
  <c r="AA255" i="38"/>
  <c r="AV255" i="38" s="1"/>
  <c r="E255" i="38" s="1"/>
  <c r="AB255" i="38"/>
  <c r="B255" i="7"/>
  <c r="D255" i="7"/>
  <c r="Z256" i="38"/>
  <c r="AY256" i="38" s="1"/>
  <c r="AZ256" i="38" s="1"/>
  <c r="Y256" i="38"/>
  <c r="C256" i="7"/>
  <c r="AZ256" i="7"/>
  <c r="AX257" i="38"/>
  <c r="C258" i="38"/>
  <c r="AT257" i="38" l="1"/>
  <c r="B258" i="38"/>
  <c r="AM258" i="38"/>
  <c r="AS258" i="38"/>
  <c r="D258" i="38"/>
  <c r="AO258" i="38" s="1"/>
  <c r="A280" i="24"/>
  <c r="A257" i="7"/>
  <c r="A259" i="38"/>
  <c r="AJ256" i="38"/>
  <c r="AB256" i="38"/>
  <c r="AL256" i="38"/>
  <c r="AK256" i="38"/>
  <c r="AA256" i="38"/>
  <c r="AV256" i="38" s="1"/>
  <c r="E256" i="38" s="1"/>
  <c r="Z257" i="38"/>
  <c r="AY257" i="38" s="1"/>
  <c r="AZ257" i="38" s="1"/>
  <c r="Y257" i="38"/>
  <c r="D256" i="7"/>
  <c r="B256" i="7"/>
  <c r="B255" i="6"/>
  <c r="AZ257" i="7"/>
  <c r="AX258" i="38"/>
  <c r="C257" i="7"/>
  <c r="AL257" i="38" l="1"/>
  <c r="AB257" i="38"/>
  <c r="AJ257" i="38"/>
  <c r="AA257" i="38"/>
  <c r="AV257" i="38" s="1"/>
  <c r="E257" i="38" s="1"/>
  <c r="AK257" i="38"/>
  <c r="D257" i="7"/>
  <c r="B257" i="7"/>
  <c r="AT258" i="38"/>
  <c r="B256" i="6"/>
  <c r="B257" i="6" s="1"/>
  <c r="A281" i="24"/>
  <c r="AS259" i="38"/>
  <c r="B259" i="38"/>
  <c r="A258" i="7"/>
  <c r="D259" i="38"/>
  <c r="AO259" i="38" s="1"/>
  <c r="AM259" i="38"/>
  <c r="A260" i="38"/>
  <c r="Z258" i="38"/>
  <c r="AY258" i="38" s="1"/>
  <c r="AZ258" i="38" s="1"/>
  <c r="Y258" i="38"/>
  <c r="AX259" i="38"/>
  <c r="AZ258" i="7"/>
  <c r="C259" i="38"/>
  <c r="C258" i="7"/>
  <c r="B258" i="7" l="1"/>
  <c r="D258" i="7"/>
  <c r="AT259" i="38"/>
  <c r="AK258" i="38"/>
  <c r="AL258" i="38"/>
  <c r="AB258" i="38"/>
  <c r="AA258" i="38"/>
  <c r="AV258" i="38" s="1"/>
  <c r="E258" i="38" s="1"/>
  <c r="AJ258" i="38"/>
  <c r="A282" i="24"/>
  <c r="AS260" i="38"/>
  <c r="B260" i="38"/>
  <c r="A259" i="7"/>
  <c r="D260" i="38"/>
  <c r="AO260" i="38" s="1"/>
  <c r="AM260" i="38"/>
  <c r="A261" i="38"/>
  <c r="Z259" i="38"/>
  <c r="AY259" i="38" s="1"/>
  <c r="AZ259" i="38" s="1"/>
  <c r="Y259" i="38"/>
  <c r="C260" i="38"/>
  <c r="C259" i="7"/>
  <c r="AX260" i="38"/>
  <c r="AZ259" i="7"/>
  <c r="AB259" i="38" l="1"/>
  <c r="AL259" i="38"/>
  <c r="AK259" i="38"/>
  <c r="AJ259" i="38"/>
  <c r="AA259" i="38"/>
  <c r="AV259" i="38" s="1"/>
  <c r="E259" i="38" s="1"/>
  <c r="B258" i="6"/>
  <c r="B259" i="6" s="1"/>
  <c r="Z260" i="38"/>
  <c r="AY260" i="38" s="1"/>
  <c r="AZ260" i="38" s="1"/>
  <c r="Y260" i="38"/>
  <c r="B259" i="7"/>
  <c r="D259" i="7"/>
  <c r="AT260" i="38"/>
  <c r="A283" i="24"/>
  <c r="AS261" i="38"/>
  <c r="B261" i="38"/>
  <c r="A260" i="7"/>
  <c r="D261" i="38"/>
  <c r="AO261" i="38" s="1"/>
  <c r="AM261" i="38"/>
  <c r="A262" i="38"/>
  <c r="C260" i="7"/>
  <c r="AX261" i="38"/>
  <c r="AZ260" i="7"/>
  <c r="C261" i="38"/>
  <c r="AT261" i="38" l="1"/>
  <c r="AL260" i="38"/>
  <c r="AB260" i="38"/>
  <c r="AA260" i="38"/>
  <c r="AV260" i="38" s="1"/>
  <c r="E260" i="38" s="1"/>
  <c r="AK260" i="38"/>
  <c r="AJ260" i="38"/>
  <c r="A284" i="24"/>
  <c r="B262" i="38"/>
  <c r="AS262" i="38"/>
  <c r="A261" i="7"/>
  <c r="D262" i="38"/>
  <c r="AO262" i="38" s="1"/>
  <c r="AM262" i="38"/>
  <c r="A263" i="38"/>
  <c r="Z261" i="38"/>
  <c r="AY261" i="38" s="1"/>
  <c r="AZ261" i="38" s="1"/>
  <c r="Y261" i="38"/>
  <c r="B260" i="7"/>
  <c r="D260" i="7"/>
  <c r="C262" i="38"/>
  <c r="C261" i="7"/>
  <c r="AX262" i="38"/>
  <c r="AZ261" i="7"/>
  <c r="Z262" i="38" l="1"/>
  <c r="AY262" i="38" s="1"/>
  <c r="AZ262" i="38" s="1"/>
  <c r="Y262" i="38"/>
  <c r="D261" i="7"/>
  <c r="B261" i="7"/>
  <c r="AT262" i="38"/>
  <c r="A264" i="38"/>
  <c r="A285" i="24"/>
  <c r="B263" i="38"/>
  <c r="AS263" i="38"/>
  <c r="A262" i="7"/>
  <c r="D263" i="38"/>
  <c r="AO263" i="38" s="1"/>
  <c r="AM263" i="38"/>
  <c r="AJ261" i="38"/>
  <c r="AK261" i="38"/>
  <c r="AL261" i="38"/>
  <c r="AB261" i="38"/>
  <c r="AA261" i="38"/>
  <c r="AV261" i="38" s="1"/>
  <c r="E261" i="38" s="1"/>
  <c r="B260" i="6"/>
  <c r="AX263" i="38"/>
  <c r="AZ262" i="7"/>
  <c r="C264" i="38"/>
  <c r="C263" i="38"/>
  <c r="C262" i="7"/>
  <c r="B261" i="6" l="1"/>
  <c r="D262" i="7"/>
  <c r="B262" i="7"/>
  <c r="A265" i="38"/>
  <c r="AS264" i="38"/>
  <c r="AM264" i="38"/>
  <c r="D264" i="38"/>
  <c r="AO264" i="38" s="1"/>
  <c r="B264" i="38"/>
  <c r="A286" i="24"/>
  <c r="A263" i="7"/>
  <c r="Z263" i="38"/>
  <c r="AY263" i="38" s="1"/>
  <c r="AZ263" i="38" s="1"/>
  <c r="Y263" i="38"/>
  <c r="AT263" i="38"/>
  <c r="AJ262" i="38"/>
  <c r="AB262" i="38"/>
  <c r="AL262" i="38"/>
  <c r="AK262" i="38"/>
  <c r="AA262" i="38"/>
  <c r="AV262" i="38" s="1"/>
  <c r="E262" i="38" s="1"/>
  <c r="C265" i="38"/>
  <c r="AZ263" i="7"/>
  <c r="AX264" i="38"/>
  <c r="C263" i="7"/>
  <c r="B262" i="6" l="1"/>
  <c r="B263" i="7"/>
  <c r="D263" i="7"/>
  <c r="AB263" i="38"/>
  <c r="AJ263" i="38"/>
  <c r="AA263" i="38"/>
  <c r="AV263" i="38" s="1"/>
  <c r="E263" i="38" s="1"/>
  <c r="AL263" i="38"/>
  <c r="AK263" i="38"/>
  <c r="AT264" i="38"/>
  <c r="Z264" i="38"/>
  <c r="AY264" i="38" s="1"/>
  <c r="AZ264" i="38" s="1"/>
  <c r="Y264" i="38"/>
  <c r="D265" i="38"/>
  <c r="AO265" i="38" s="1"/>
  <c r="B265" i="38"/>
  <c r="AM265" i="38"/>
  <c r="AS265" i="38"/>
  <c r="A287" i="24"/>
  <c r="A264" i="7"/>
  <c r="A266" i="38"/>
  <c r="AZ264" i="7"/>
  <c r="AX265" i="38"/>
  <c r="C264" i="7"/>
  <c r="AT265" i="38" l="1"/>
  <c r="AL264" i="38"/>
  <c r="AJ264" i="38"/>
  <c r="AB264" i="38"/>
  <c r="AA264" i="38"/>
  <c r="AV264" i="38" s="1"/>
  <c r="E264" i="38" s="1"/>
  <c r="AK264" i="38"/>
  <c r="A288" i="24"/>
  <c r="B266" i="38"/>
  <c r="AS266" i="38"/>
  <c r="A265" i="7"/>
  <c r="D266" i="38"/>
  <c r="AO266" i="38" s="1"/>
  <c r="AM266" i="38"/>
  <c r="A267" i="38"/>
  <c r="B264" i="7"/>
  <c r="D264" i="7"/>
  <c r="Z265" i="38"/>
  <c r="AY265" i="38" s="1"/>
  <c r="AZ265" i="38" s="1"/>
  <c r="Y265" i="38"/>
  <c r="B263" i="6"/>
  <c r="C266" i="38"/>
  <c r="C265" i="7"/>
  <c r="AX266" i="38"/>
  <c r="AZ265" i="7"/>
  <c r="Z266" i="38" l="1"/>
  <c r="AY266" i="38" s="1"/>
  <c r="AZ266" i="38" s="1"/>
  <c r="Y266" i="38"/>
  <c r="B265" i="7"/>
  <c r="D265" i="7"/>
  <c r="AT266" i="38"/>
  <c r="B264" i="6"/>
  <c r="AB265" i="38"/>
  <c r="AK265" i="38"/>
  <c r="AL265" i="38"/>
  <c r="AA265" i="38"/>
  <c r="AV265" i="38" s="1"/>
  <c r="E265" i="38" s="1"/>
  <c r="AJ265" i="38"/>
  <c r="A289" i="24"/>
  <c r="B267" i="38"/>
  <c r="AS267" i="38"/>
  <c r="A266" i="7"/>
  <c r="D267" i="38"/>
  <c r="AO267" i="38" s="1"/>
  <c r="AM267" i="38"/>
  <c r="A268" i="38"/>
  <c r="C266" i="7"/>
  <c r="C267" i="38"/>
  <c r="AX267" i="38"/>
  <c r="AZ266" i="7"/>
  <c r="AT267" i="38" l="1"/>
  <c r="B265" i="6"/>
  <c r="Z267" i="38"/>
  <c r="AY267" i="38" s="1"/>
  <c r="AZ267" i="38" s="1"/>
  <c r="Y267" i="38"/>
  <c r="AJ266" i="38"/>
  <c r="AK266" i="38"/>
  <c r="AB266" i="38"/>
  <c r="AL266" i="38"/>
  <c r="AA266" i="38"/>
  <c r="AV266" i="38" s="1"/>
  <c r="E266" i="38" s="1"/>
  <c r="A290" i="24"/>
  <c r="B268" i="38"/>
  <c r="AS268" i="38"/>
  <c r="A267" i="7"/>
  <c r="D268" i="38"/>
  <c r="AO268" i="38" s="1"/>
  <c r="AM268" i="38"/>
  <c r="A269" i="38"/>
  <c r="D266" i="7"/>
  <c r="B266" i="7"/>
  <c r="C268" i="38"/>
  <c r="C267" i="7"/>
  <c r="AX268" i="38"/>
  <c r="AZ267" i="7"/>
  <c r="Z268" i="38" l="1"/>
  <c r="AY268" i="38" s="1"/>
  <c r="AZ268" i="38" s="1"/>
  <c r="Y268" i="38"/>
  <c r="D267" i="7"/>
  <c r="B267" i="7"/>
  <c r="AT268" i="38"/>
  <c r="AB267" i="38"/>
  <c r="AJ267" i="38"/>
  <c r="AL267" i="38"/>
  <c r="AA267" i="38"/>
  <c r="AV267" i="38" s="1"/>
  <c r="E267" i="38" s="1"/>
  <c r="AK267" i="38"/>
  <c r="A291" i="24"/>
  <c r="B269" i="38"/>
  <c r="AS269" i="38"/>
  <c r="A268" i="7"/>
  <c r="D269" i="38"/>
  <c r="AO269" i="38" s="1"/>
  <c r="AM269" i="38"/>
  <c r="A270" i="38"/>
  <c r="B266" i="6"/>
  <c r="AX269" i="38"/>
  <c r="AZ268" i="7"/>
  <c r="C269" i="38"/>
  <c r="C268" i="7"/>
  <c r="AT269" i="38" l="1"/>
  <c r="D268" i="7"/>
  <c r="B268" i="7"/>
  <c r="B267" i="6"/>
  <c r="A271" i="38"/>
  <c r="A292" i="24"/>
  <c r="AS270" i="38"/>
  <c r="B270" i="38"/>
  <c r="A269" i="7"/>
  <c r="D270" i="38"/>
  <c r="AO270" i="38" s="1"/>
  <c r="AM270" i="38"/>
  <c r="Z269" i="38"/>
  <c r="AY269" i="38" s="1"/>
  <c r="AZ269" i="38" s="1"/>
  <c r="Y269" i="38"/>
  <c r="AB268" i="38"/>
  <c r="AL268" i="38"/>
  <c r="AK268" i="38"/>
  <c r="AJ268" i="38"/>
  <c r="AA268" i="38"/>
  <c r="AV268" i="38" s="1"/>
  <c r="E268" i="38" s="1"/>
  <c r="C271" i="38"/>
  <c r="AX270" i="38"/>
  <c r="AZ269" i="7"/>
  <c r="C270" i="38"/>
  <c r="C269" i="7"/>
  <c r="B269" i="7" l="1"/>
  <c r="D269" i="7"/>
  <c r="AA269" i="38"/>
  <c r="AV269" i="38" s="1"/>
  <c r="E269" i="38" s="1"/>
  <c r="AJ269" i="38"/>
  <c r="AL269" i="38"/>
  <c r="AK269" i="38"/>
  <c r="AB269" i="38"/>
  <c r="Z270" i="38"/>
  <c r="AY270" i="38" s="1"/>
  <c r="AZ270" i="38" s="1"/>
  <c r="Y270" i="38"/>
  <c r="AT270" i="38"/>
  <c r="AS271" i="38"/>
  <c r="D271" i="38"/>
  <c r="AO271" i="38" s="1"/>
  <c r="B271" i="38"/>
  <c r="A272" i="38"/>
  <c r="AM271" i="38"/>
  <c r="A293" i="24"/>
  <c r="A270" i="7"/>
  <c r="B268" i="6"/>
  <c r="C270" i="7"/>
  <c r="C272" i="38"/>
  <c r="AZ270" i="7"/>
  <c r="AX271" i="38"/>
  <c r="B269" i="6" l="1"/>
  <c r="AT271" i="38"/>
  <c r="Z271" i="38"/>
  <c r="AY271" i="38" s="1"/>
  <c r="AZ271" i="38" s="1"/>
  <c r="Y271" i="38"/>
  <c r="AS272" i="38"/>
  <c r="AM272" i="38"/>
  <c r="D272" i="38"/>
  <c r="AO272" i="38" s="1"/>
  <c r="B272" i="38"/>
  <c r="A294" i="24"/>
  <c r="A271" i="7"/>
  <c r="A273" i="38"/>
  <c r="AK270" i="38"/>
  <c r="AJ270" i="38"/>
  <c r="AA270" i="38"/>
  <c r="AV270" i="38" s="1"/>
  <c r="E270" i="38" s="1"/>
  <c r="AL270" i="38"/>
  <c r="AB270" i="38"/>
  <c r="D270" i="7"/>
  <c r="B270" i="7"/>
  <c r="AZ271" i="7"/>
  <c r="AX272" i="38"/>
  <c r="C271" i="7"/>
  <c r="AT272" i="38" l="1"/>
  <c r="D271" i="7"/>
  <c r="B271" i="7"/>
  <c r="Z272" i="38"/>
  <c r="AY272" i="38" s="1"/>
  <c r="AZ272" i="38" s="1"/>
  <c r="Y272" i="38"/>
  <c r="A295" i="24"/>
  <c r="AS273" i="38"/>
  <c r="B273" i="38"/>
  <c r="A272" i="7"/>
  <c r="D273" i="38"/>
  <c r="AO273" i="38" s="1"/>
  <c r="AM273" i="38"/>
  <c r="A274" i="38"/>
  <c r="B270" i="6"/>
  <c r="AB271" i="38"/>
  <c r="AA271" i="38"/>
  <c r="AV271" i="38" s="1"/>
  <c r="E271" i="38" s="1"/>
  <c r="AJ271" i="38"/>
  <c r="AL271" i="38"/>
  <c r="AK271" i="38"/>
  <c r="C273" i="38"/>
  <c r="C272" i="7"/>
  <c r="AX273" i="38"/>
  <c r="AZ272" i="7"/>
  <c r="Z273" i="38" l="1"/>
  <c r="AY273" i="38" s="1"/>
  <c r="AZ273" i="38" s="1"/>
  <c r="Y273" i="38"/>
  <c r="A296" i="24"/>
  <c r="B274" i="38"/>
  <c r="AS274" i="38"/>
  <c r="A273" i="7"/>
  <c r="D274" i="38"/>
  <c r="AO274" i="38" s="1"/>
  <c r="AM274" i="38"/>
  <c r="A275" i="38"/>
  <c r="B272" i="7"/>
  <c r="D272" i="7"/>
  <c r="B271" i="6"/>
  <c r="AT273" i="38"/>
  <c r="AA272" i="38"/>
  <c r="AV272" i="38" s="1"/>
  <c r="E272" i="38" s="1"/>
  <c r="AL272" i="38"/>
  <c r="AK272" i="38"/>
  <c r="AB272" i="38"/>
  <c r="AJ272" i="38"/>
  <c r="C274" i="38"/>
  <c r="C273" i="7"/>
  <c r="AX274" i="38"/>
  <c r="AZ273" i="7"/>
  <c r="B272" i="6" l="1"/>
  <c r="Z274" i="38"/>
  <c r="AY274" i="38" s="1"/>
  <c r="AZ274" i="38" s="1"/>
  <c r="Y274" i="38"/>
  <c r="A297" i="24"/>
  <c r="B275" i="38"/>
  <c r="AS275" i="38"/>
  <c r="A274" i="7"/>
  <c r="D275" i="38"/>
  <c r="AO275" i="38" s="1"/>
  <c r="AM275" i="38"/>
  <c r="A276" i="38"/>
  <c r="D273" i="7"/>
  <c r="B273" i="7"/>
  <c r="AT274" i="38"/>
  <c r="AB273" i="38"/>
  <c r="AL273" i="38"/>
  <c r="AJ273" i="38"/>
  <c r="AK273" i="38"/>
  <c r="AA273" i="38"/>
  <c r="AV273" i="38" s="1"/>
  <c r="E273" i="38" s="1"/>
  <c r="C274" i="7"/>
  <c r="AX275" i="38"/>
  <c r="AZ274" i="7"/>
  <c r="C275" i="38"/>
  <c r="A298" i="24"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6" i="38"/>
  <c r="C275" i="7"/>
  <c r="AX276" i="38"/>
  <c r="AZ275" i="7"/>
  <c r="B274" i="6" l="1"/>
  <c r="Z276" i="38"/>
  <c r="AY276" i="38" s="1"/>
  <c r="AZ276" i="38" s="1"/>
  <c r="Y276" i="38"/>
  <c r="D275" i="7"/>
  <c r="B275" i="7"/>
  <c r="A278" i="38"/>
  <c r="A299" i="24"/>
  <c r="B277" i="38"/>
  <c r="AS277" i="38"/>
  <c r="A276" i="7"/>
  <c r="D277" i="38"/>
  <c r="AO277" i="38" s="1"/>
  <c r="AM277" i="38"/>
  <c r="AA275" i="38"/>
  <c r="AV275" i="38" s="1"/>
  <c r="E275" i="38" s="1"/>
  <c r="AJ275" i="38"/>
  <c r="AL275" i="38"/>
  <c r="AK275" i="38"/>
  <c r="AB275" i="38"/>
  <c r="AT276" i="38"/>
  <c r="C278" i="38"/>
  <c r="C277" i="38"/>
  <c r="AX277" i="38"/>
  <c r="AZ276" i="7"/>
  <c r="C276" i="7"/>
  <c r="D276" i="7" l="1"/>
  <c r="B276" i="7"/>
  <c r="Z277" i="38"/>
  <c r="AY277" i="38" s="1"/>
  <c r="AZ277" i="38" s="1"/>
  <c r="Y277" i="38"/>
  <c r="AT277" i="38"/>
  <c r="A279" i="38"/>
  <c r="AS278" i="38"/>
  <c r="D278" i="38"/>
  <c r="AO278" i="38" s="1"/>
  <c r="B278" i="38"/>
  <c r="AM278" i="38"/>
  <c r="A300" i="24"/>
  <c r="A277" i="7"/>
  <c r="AA276" i="38"/>
  <c r="AV276" i="38" s="1"/>
  <c r="E276" i="38" s="1"/>
  <c r="AJ276" i="38"/>
  <c r="AK276" i="38"/>
  <c r="AL276" i="38"/>
  <c r="AB276" i="38"/>
  <c r="B275" i="6"/>
  <c r="C277" i="7"/>
  <c r="C279" i="38"/>
  <c r="AZ277" i="7"/>
  <c r="AX278" i="38"/>
  <c r="AT278" i="38" l="1"/>
  <c r="Z278" i="38"/>
  <c r="AY278" i="38" s="1"/>
  <c r="AZ278" i="38" s="1"/>
  <c r="Y278" i="38"/>
  <c r="AS279" i="38"/>
  <c r="AM279" i="38"/>
  <c r="D279" i="38"/>
  <c r="AO279" i="38" s="1"/>
  <c r="B279" i="38"/>
  <c r="A301" i="24"/>
  <c r="A278" i="7"/>
  <c r="A280" i="38"/>
  <c r="AK277" i="38"/>
  <c r="AJ277" i="38"/>
  <c r="AB277" i="38"/>
  <c r="AL277" i="38"/>
  <c r="AA277" i="38"/>
  <c r="AV277" i="38" s="1"/>
  <c r="E277" i="38" s="1"/>
  <c r="B277" i="7"/>
  <c r="D277" i="7"/>
  <c r="B276" i="6"/>
  <c r="C278" i="7"/>
  <c r="AZ278" i="7"/>
  <c r="AX279" i="38"/>
  <c r="A281" i="38" l="1"/>
  <c r="A302" i="24"/>
  <c r="B280" i="38"/>
  <c r="AS280" i="38"/>
  <c r="A279" i="7"/>
  <c r="AM280" i="38"/>
  <c r="D280" i="38"/>
  <c r="AO280" i="38" s="1"/>
  <c r="AT279" i="38"/>
  <c r="Z279" i="38"/>
  <c r="AY279" i="38" s="1"/>
  <c r="AZ279" i="38" s="1"/>
  <c r="Y279" i="38"/>
  <c r="B277" i="6"/>
  <c r="AJ278" i="38"/>
  <c r="AB278" i="38"/>
  <c r="AL278" i="38"/>
  <c r="AK278" i="38"/>
  <c r="AA278" i="38"/>
  <c r="AV278" i="38" s="1"/>
  <c r="E278" i="38" s="1"/>
  <c r="B278" i="7"/>
  <c r="D278" i="7"/>
  <c r="C281" i="38"/>
  <c r="C280" i="38"/>
  <c r="AX280" i="38"/>
  <c r="AZ279" i="7"/>
  <c r="C279" i="7"/>
  <c r="B278" i="6" l="1"/>
  <c r="AL279" i="38"/>
  <c r="AB279" i="38"/>
  <c r="AK279" i="38"/>
  <c r="AA279" i="38"/>
  <c r="AV279" i="38" s="1"/>
  <c r="E279" i="38" s="1"/>
  <c r="AJ279" i="38"/>
  <c r="B279" i="7"/>
  <c r="D279" i="7"/>
  <c r="AT280" i="38"/>
  <c r="B279" i="6"/>
  <c r="Z280" i="38"/>
  <c r="AY280" i="38" s="1"/>
  <c r="AZ280" i="38" s="1"/>
  <c r="Y280" i="38"/>
  <c r="AS281" i="38"/>
  <c r="AM281" i="38"/>
  <c r="D281" i="38"/>
  <c r="AO281" i="38" s="1"/>
  <c r="B281" i="38"/>
  <c r="A303" i="24"/>
  <c r="A280" i="7"/>
  <c r="A282" i="38"/>
  <c r="C280" i="7"/>
  <c r="AZ280" i="7"/>
  <c r="AX281" i="38"/>
  <c r="Z281" i="38" l="1"/>
  <c r="AY281" i="38" s="1"/>
  <c r="AZ281" i="38" s="1"/>
  <c r="Y281" i="38"/>
  <c r="AT281" i="38"/>
  <c r="AK280" i="38"/>
  <c r="AB280" i="38"/>
  <c r="AA280" i="38"/>
  <c r="AV280" i="38" s="1"/>
  <c r="E280" i="38" s="1"/>
  <c r="AJ280" i="38"/>
  <c r="AL280" i="38"/>
  <c r="B280" i="6"/>
  <c r="A304" i="24"/>
  <c r="B282" i="38"/>
  <c r="AS282" i="38"/>
  <c r="A281" i="7"/>
  <c r="AM282" i="38"/>
  <c r="D282" i="38"/>
  <c r="AO282" i="38" s="1"/>
  <c r="A283" i="38"/>
  <c r="D280" i="7"/>
  <c r="B280" i="7"/>
  <c r="C282" i="38"/>
  <c r="C281" i="7"/>
  <c r="AX282" i="38"/>
  <c r="AZ281" i="7"/>
  <c r="AT282" i="38" l="1"/>
  <c r="Z282" i="38"/>
  <c r="AY282" i="38" s="1"/>
  <c r="AZ282" i="38" s="1"/>
  <c r="Y282" i="38"/>
  <c r="B281" i="7"/>
  <c r="D281" i="7"/>
  <c r="A305" i="24"/>
  <c r="AS283" i="38"/>
  <c r="B283" i="38"/>
  <c r="A282" i="7"/>
  <c r="AM283" i="38"/>
  <c r="D283" i="38"/>
  <c r="AO283" i="38" s="1"/>
  <c r="A284" i="38"/>
  <c r="AA281" i="38"/>
  <c r="AV281" i="38" s="1"/>
  <c r="E281" i="38" s="1"/>
  <c r="AL281" i="38"/>
  <c r="AK281" i="38"/>
  <c r="AJ281" i="38"/>
  <c r="AB281" i="38"/>
  <c r="C283" i="38"/>
  <c r="C282" i="7"/>
  <c r="AX283" i="38"/>
  <c r="AZ282" i="7"/>
  <c r="AT283" i="38" l="1"/>
  <c r="B281" i="6"/>
  <c r="Y283" i="38"/>
  <c r="Z283" i="38"/>
  <c r="AY283" i="38" s="1"/>
  <c r="AZ283" i="38" s="1"/>
  <c r="AJ282" i="38"/>
  <c r="AK282" i="38"/>
  <c r="AA282" i="38"/>
  <c r="AV282" i="38" s="1"/>
  <c r="E282" i="38" s="1"/>
  <c r="AB282" i="38"/>
  <c r="AL282" i="38"/>
  <c r="A285" i="38"/>
  <c r="A306" i="24"/>
  <c r="AS284" i="38"/>
  <c r="B284" i="38"/>
  <c r="A283" i="7"/>
  <c r="D284" i="38"/>
  <c r="AO284" i="38" s="1"/>
  <c r="AM284" i="38"/>
  <c r="B282" i="7"/>
  <c r="D282" i="7"/>
  <c r="AX284" i="38"/>
  <c r="AZ283" i="7"/>
  <c r="C285" i="38"/>
  <c r="C283" i="7"/>
  <c r="C284" i="38"/>
  <c r="AT284" i="38" l="1"/>
  <c r="B283" i="7"/>
  <c r="D283" i="7"/>
  <c r="D285" i="38"/>
  <c r="AO285" i="38" s="1"/>
  <c r="AM285" i="38"/>
  <c r="A286" i="38"/>
  <c r="B285" i="38"/>
  <c r="AS285" i="38"/>
  <c r="A307" i="24"/>
  <c r="A284" i="7"/>
  <c r="AB283" i="38"/>
  <c r="AJ283" i="38"/>
  <c r="AK283" i="38"/>
  <c r="AA283" i="38"/>
  <c r="AV283" i="38" s="1"/>
  <c r="E283" i="38" s="1"/>
  <c r="AL283" i="38"/>
  <c r="Z284" i="38"/>
  <c r="AY284" i="38" s="1"/>
  <c r="AZ284" i="38" s="1"/>
  <c r="Y284" i="38"/>
  <c r="B282" i="6"/>
  <c r="AZ284" i="7"/>
  <c r="AX285" i="38"/>
  <c r="C286" i="38"/>
  <c r="C284" i="7"/>
  <c r="AT285" i="38" l="1"/>
  <c r="D284" i="7"/>
  <c r="B284" i="7"/>
  <c r="B286" i="38"/>
  <c r="AS286" i="38"/>
  <c r="D286" i="38"/>
  <c r="AO286" i="38" s="1"/>
  <c r="AM286" i="38"/>
  <c r="A308" i="24"/>
  <c r="A285" i="7"/>
  <c r="A287" i="38"/>
  <c r="Z285" i="38"/>
  <c r="AY285" i="38" s="1"/>
  <c r="AZ285" i="38" s="1"/>
  <c r="Y285" i="38"/>
  <c r="B283" i="6"/>
  <c r="AJ284" i="38"/>
  <c r="AK284" i="38"/>
  <c r="AA284" i="38"/>
  <c r="AV284" i="38" s="1"/>
  <c r="E284" i="38" s="1"/>
  <c r="AL284" i="38"/>
  <c r="AB284" i="38"/>
  <c r="C285" i="7"/>
  <c r="AZ285" i="7"/>
  <c r="AX286" i="38"/>
  <c r="AT286" i="38" l="1"/>
  <c r="AB285" i="38"/>
  <c r="AK285" i="38"/>
  <c r="AJ285" i="38"/>
  <c r="AL285" i="38"/>
  <c r="AA285" i="38"/>
  <c r="AV285" i="38" s="1"/>
  <c r="E285" i="38" s="1"/>
  <c r="B284" i="6"/>
  <c r="Z286" i="38"/>
  <c r="AY286" i="38" s="1"/>
  <c r="AZ286" i="38" s="1"/>
  <c r="Y286" i="38"/>
  <c r="B285" i="7"/>
  <c r="D285" i="7"/>
  <c r="A309" i="24"/>
  <c r="AS287" i="38"/>
  <c r="B287" i="38"/>
  <c r="A286" i="7"/>
  <c r="D287" i="38"/>
  <c r="AO287" i="38" s="1"/>
  <c r="AM287" i="38"/>
  <c r="A288" i="38"/>
  <c r="AX287" i="38"/>
  <c r="AZ286" i="7"/>
  <c r="C286" i="7"/>
  <c r="C287" i="38"/>
  <c r="B285" i="6" l="1"/>
  <c r="AT287" i="38"/>
  <c r="B286" i="7"/>
  <c r="D286" i="7"/>
  <c r="AL286" i="38"/>
  <c r="AA286" i="38"/>
  <c r="AV286" i="38" s="1"/>
  <c r="E286" i="38" s="1"/>
  <c r="AJ286" i="38"/>
  <c r="AK286" i="38"/>
  <c r="AB286" i="38"/>
  <c r="B286" i="6"/>
  <c r="A310" i="24"/>
  <c r="AS288" i="38"/>
  <c r="B288" i="38"/>
  <c r="A287" i="7"/>
  <c r="D288" i="38"/>
  <c r="AO288" i="38" s="1"/>
  <c r="AM288" i="38"/>
  <c r="A289" i="38"/>
  <c r="Z287" i="38"/>
  <c r="AY287" i="38" s="1"/>
  <c r="AZ287" i="38" s="1"/>
  <c r="Y287" i="38"/>
  <c r="C288" i="38"/>
  <c r="C287" i="7"/>
  <c r="AX288" i="38"/>
  <c r="AZ287" i="7"/>
  <c r="Z288" i="38" l="1"/>
  <c r="AY288" i="38" s="1"/>
  <c r="AZ288" i="38" s="1"/>
  <c r="Y288" i="38"/>
  <c r="D287" i="7"/>
  <c r="B287" i="7"/>
  <c r="AT288" i="38"/>
  <c r="AL287" i="38"/>
  <c r="AK287" i="38"/>
  <c r="AB287" i="38"/>
  <c r="AA287" i="38"/>
  <c r="AV287" i="38" s="1"/>
  <c r="E287" i="38" s="1"/>
  <c r="AJ287" i="38"/>
  <c r="A311" i="24"/>
  <c r="AS289" i="38"/>
  <c r="B289" i="38"/>
  <c r="A288" i="7"/>
  <c r="D289" i="38"/>
  <c r="AO289" i="38" s="1"/>
  <c r="AM289" i="38"/>
  <c r="A290" i="38"/>
  <c r="C288" i="7"/>
  <c r="AX289" i="38"/>
  <c r="AZ288" i="7"/>
  <c r="C289" i="38"/>
  <c r="AT289" i="38" l="1"/>
  <c r="Z289" i="38"/>
  <c r="AY289" i="38" s="1"/>
  <c r="AZ289" i="38" s="1"/>
  <c r="Y289" i="38"/>
  <c r="B287" i="6"/>
  <c r="AK288" i="38"/>
  <c r="AB288" i="38"/>
  <c r="AL288" i="38"/>
  <c r="AJ288" i="38"/>
  <c r="AA288" i="38"/>
  <c r="AV288" i="38" s="1"/>
  <c r="E288" i="38" s="1"/>
  <c r="A312" i="24"/>
  <c r="B290" i="38"/>
  <c r="AS290" i="38"/>
  <c r="A289" i="7"/>
  <c r="D290" i="38"/>
  <c r="AO290" i="38" s="1"/>
  <c r="AM290" i="38"/>
  <c r="A291" i="38"/>
  <c r="B288" i="7"/>
  <c r="D288" i="7"/>
  <c r="C290" i="38"/>
  <c r="C289" i="7"/>
  <c r="AX290" i="38"/>
  <c r="AZ289" i="7"/>
  <c r="B288" i="6" l="1"/>
  <c r="AT290" i="38"/>
  <c r="AB289" i="38"/>
  <c r="AL289" i="38"/>
  <c r="AJ289" i="38"/>
  <c r="AK289" i="38"/>
  <c r="AA289" i="38"/>
  <c r="AV289" i="38" s="1"/>
  <c r="E289" i="38" s="1"/>
  <c r="Z290" i="38"/>
  <c r="AY290" i="38" s="1"/>
  <c r="AZ290" i="38" s="1"/>
  <c r="Y290" i="38"/>
  <c r="D289" i="7"/>
  <c r="B289" i="7"/>
  <c r="A292" i="38"/>
  <c r="A313" i="24"/>
  <c r="B291" i="38"/>
  <c r="AS291" i="38"/>
  <c r="A290" i="7"/>
  <c r="D291" i="38"/>
  <c r="AO291" i="38" s="1"/>
  <c r="AM291" i="38"/>
  <c r="AX291" i="38"/>
  <c r="AZ290" i="7"/>
  <c r="C291" i="38"/>
  <c r="C290" i="7"/>
  <c r="C292" i="38"/>
  <c r="A293" i="38" l="1"/>
  <c r="B292" i="38"/>
  <c r="AM292" i="38"/>
  <c r="AS292" i="38"/>
  <c r="D292" i="38"/>
  <c r="AO292" i="38" s="1"/>
  <c r="A314" i="24"/>
  <c r="A291" i="7"/>
  <c r="AA290" i="38"/>
  <c r="AV290" i="38" s="1"/>
  <c r="E290" i="38" s="1"/>
  <c r="AK290" i="38"/>
  <c r="AB290" i="38"/>
  <c r="AJ290" i="38"/>
  <c r="AL290" i="38"/>
  <c r="D290" i="7"/>
  <c r="B290" i="7"/>
  <c r="Y291" i="38"/>
  <c r="Z291" i="38"/>
  <c r="AY291" i="38" s="1"/>
  <c r="AZ291" i="38" s="1"/>
  <c r="AT291" i="38"/>
  <c r="B289" i="6"/>
  <c r="C293" i="38"/>
  <c r="AZ291" i="7"/>
  <c r="AX292" i="38"/>
  <c r="C291" i="7"/>
  <c r="AB291" i="38" l="1"/>
  <c r="AA291" i="38"/>
  <c r="AV291" i="38" s="1"/>
  <c r="E291" i="38" s="1"/>
  <c r="AL291" i="38"/>
  <c r="AK291" i="38"/>
  <c r="AJ291" i="38"/>
  <c r="B291" i="7"/>
  <c r="D291" i="7"/>
  <c r="B290" i="6"/>
  <c r="B291" i="6" s="1"/>
  <c r="Z292" i="38"/>
  <c r="AY292" i="38" s="1"/>
  <c r="AZ292" i="38" s="1"/>
  <c r="Y292" i="38"/>
  <c r="AT292" i="38"/>
  <c r="AM293" i="38"/>
  <c r="D293" i="38"/>
  <c r="AO293" i="38" s="1"/>
  <c r="AS293" i="38"/>
  <c r="B293" i="38"/>
  <c r="A315" i="24"/>
  <c r="A292" i="7"/>
  <c r="A294" i="38"/>
  <c r="C292" i="7"/>
  <c r="AZ292" i="7"/>
  <c r="AX293" i="38"/>
  <c r="AT293" i="38" l="1"/>
  <c r="AA292" i="38"/>
  <c r="AV292" i="38" s="1"/>
  <c r="E292" i="38" s="1"/>
  <c r="AL292" i="38"/>
  <c r="AK292" i="38"/>
  <c r="AB292" i="38"/>
  <c r="AJ292" i="38"/>
  <c r="A316" i="24"/>
  <c r="AS294" i="38"/>
  <c r="B294" i="38"/>
  <c r="A293" i="7"/>
  <c r="D294" i="38"/>
  <c r="AO294" i="38" s="1"/>
  <c r="AM294" i="38"/>
  <c r="A295" i="38"/>
  <c r="B292" i="6"/>
  <c r="Z293" i="38"/>
  <c r="AY293" i="38" s="1"/>
  <c r="AZ293" i="38" s="1"/>
  <c r="Y293" i="38"/>
  <c r="D292" i="7"/>
  <c r="B292" i="7"/>
  <c r="C293" i="7"/>
  <c r="AX294" i="38"/>
  <c r="AZ293" i="7"/>
  <c r="C294" i="38"/>
  <c r="A317" i="24" l="1"/>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5" i="38"/>
  <c r="C294" i="7"/>
  <c r="AX295" i="38"/>
  <c r="AZ294" i="7"/>
  <c r="Z295" i="38" l="1"/>
  <c r="AY295" i="38" s="1"/>
  <c r="AZ295" i="38" s="1"/>
  <c r="Y295" i="38"/>
  <c r="AB294" i="38"/>
  <c r="AJ294" i="38"/>
  <c r="AL294" i="38"/>
  <c r="AK294" i="38"/>
  <c r="AA294" i="38"/>
  <c r="AV294" i="38" s="1"/>
  <c r="E294" i="38" s="1"/>
  <c r="B294" i="7"/>
  <c r="D294" i="7"/>
  <c r="A318" i="24"/>
  <c r="B296" i="38"/>
  <c r="AS296" i="38"/>
  <c r="A295" i="7"/>
  <c r="D296" i="38"/>
  <c r="AO296" i="38" s="1"/>
  <c r="AM296" i="38"/>
  <c r="A297" i="38"/>
  <c r="AT295" i="38"/>
  <c r="B293" i="6"/>
  <c r="AX296" i="38"/>
  <c r="AZ295" i="7"/>
  <c r="C296" i="38"/>
  <c r="C295" i="7"/>
  <c r="AT296" i="38" l="1"/>
  <c r="B294" i="6"/>
  <c r="D295" i="7"/>
  <c r="B295" i="7"/>
  <c r="A319" i="24"/>
  <c r="AS297" i="38"/>
  <c r="B297" i="38"/>
  <c r="A296" i="7"/>
  <c r="D297" i="38"/>
  <c r="AO297" i="38" s="1"/>
  <c r="AM297" i="38"/>
  <c r="A298" i="38"/>
  <c r="AL295" i="38"/>
  <c r="AB295" i="38"/>
  <c r="AK295" i="38"/>
  <c r="AJ295" i="38"/>
  <c r="AA295" i="38"/>
  <c r="AV295" i="38" s="1"/>
  <c r="E295" i="38" s="1"/>
  <c r="Z296" i="38"/>
  <c r="AY296" i="38" s="1"/>
  <c r="AZ296" i="38" s="1"/>
  <c r="Y296" i="38"/>
  <c r="AX297" i="38"/>
  <c r="AZ296" i="7"/>
  <c r="C297" i="38"/>
  <c r="C296" i="7"/>
  <c r="B295" i="6" l="1"/>
  <c r="B296" i="7"/>
  <c r="D296" i="7"/>
  <c r="AT297" i="38"/>
  <c r="A299" i="38"/>
  <c r="A320" i="24"/>
  <c r="B298" i="38"/>
  <c r="AS298" i="38"/>
  <c r="A297" i="7"/>
  <c r="D298" i="38"/>
  <c r="AO298" i="38" s="1"/>
  <c r="AM298" i="38"/>
  <c r="AB296" i="38"/>
  <c r="AL296" i="38"/>
  <c r="AK296" i="38"/>
  <c r="AA296" i="38"/>
  <c r="AV296" i="38" s="1"/>
  <c r="E296" i="38" s="1"/>
  <c r="AJ296" i="38"/>
  <c r="Z297" i="38"/>
  <c r="AY297" i="38" s="1"/>
  <c r="AZ297" i="38" s="1"/>
  <c r="Y297" i="38"/>
  <c r="C298" i="38"/>
  <c r="C299" i="38"/>
  <c r="C297" i="7"/>
  <c r="AX298" i="38"/>
  <c r="AZ297" i="7"/>
  <c r="Z298" i="38" l="1"/>
  <c r="AY298" i="38" s="1"/>
  <c r="AZ298" i="38" s="1"/>
  <c r="Y298" i="38"/>
  <c r="B297" i="7"/>
  <c r="D297" i="7"/>
  <c r="AM299" i="38"/>
  <c r="B299" i="38"/>
  <c r="AS299" i="38"/>
  <c r="D299" i="38"/>
  <c r="AO299" i="38" s="1"/>
  <c r="A300" i="38"/>
  <c r="A321" i="24"/>
  <c r="A298" i="7"/>
  <c r="AK297" i="38"/>
  <c r="AA297" i="38"/>
  <c r="AV297" i="38" s="1"/>
  <c r="E297" i="38" s="1"/>
  <c r="AJ297" i="38"/>
  <c r="AL297" i="38"/>
  <c r="AB297" i="38"/>
  <c r="AT298" i="38"/>
  <c r="B296" i="6"/>
  <c r="C300" i="38"/>
  <c r="AZ298" i="7"/>
  <c r="AX299" i="38"/>
  <c r="C298" i="7"/>
  <c r="B298" i="7" l="1"/>
  <c r="D298" i="7"/>
  <c r="AT299" i="38"/>
  <c r="Z299" i="38"/>
  <c r="AY299" i="38" s="1"/>
  <c r="AZ299" i="38" s="1"/>
  <c r="Y299" i="38"/>
  <c r="B297" i="6"/>
  <c r="AA298" i="38"/>
  <c r="AV298" i="38" s="1"/>
  <c r="E298" i="38" s="1"/>
  <c r="AB298" i="38"/>
  <c r="AK298" i="38"/>
  <c r="AL298" i="38"/>
  <c r="AJ298" i="38"/>
  <c r="B300" i="38"/>
  <c r="AM300" i="38"/>
  <c r="D300" i="38"/>
  <c r="AO300" i="38" s="1"/>
  <c r="AS300" i="38"/>
  <c r="A322" i="24"/>
  <c r="A299" i="7"/>
  <c r="A301" i="38"/>
  <c r="C299" i="7"/>
  <c r="AZ299" i="7"/>
  <c r="AX300" i="38"/>
  <c r="B298" i="6" l="1"/>
  <c r="AT300" i="38"/>
  <c r="Z300" i="38"/>
  <c r="AY300" i="38" s="1"/>
  <c r="AZ300" i="38" s="1"/>
  <c r="Y300" i="38"/>
  <c r="A323" i="24"/>
  <c r="AS301" i="38"/>
  <c r="B301" i="38"/>
  <c r="A300" i="7"/>
  <c r="D301" i="38"/>
  <c r="AO301" i="38" s="1"/>
  <c r="AM301" i="38"/>
  <c r="A302" i="38"/>
  <c r="B299" i="7"/>
  <c r="D299" i="7"/>
  <c r="AJ299" i="38"/>
  <c r="AA299" i="38"/>
  <c r="AV299" i="38" s="1"/>
  <c r="E299" i="38" s="1"/>
  <c r="AB299" i="38"/>
  <c r="AK299" i="38"/>
  <c r="AL299" i="38"/>
  <c r="C301" i="38"/>
  <c r="AX301" i="38"/>
  <c r="AZ300" i="7"/>
  <c r="C300" i="7"/>
  <c r="B299" i="6" l="1"/>
  <c r="A324" i="24"/>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1" i="7"/>
  <c r="C302" i="38"/>
  <c r="AX302" i="38"/>
  <c r="AZ301" i="7"/>
  <c r="Z302" i="38" l="1"/>
  <c r="AY302" i="38" s="1"/>
  <c r="AZ302" i="38" s="1"/>
  <c r="Y302" i="38"/>
  <c r="B300" i="6"/>
  <c r="A325" i="24"/>
  <c r="AS303" i="38"/>
  <c r="B303" i="38"/>
  <c r="A302" i="7"/>
  <c r="D303" i="38"/>
  <c r="AO303" i="38" s="1"/>
  <c r="AM303" i="38"/>
  <c r="A304" i="38"/>
  <c r="D301" i="7"/>
  <c r="B301" i="7"/>
  <c r="AB301" i="38"/>
  <c r="AA301" i="38"/>
  <c r="AV301" i="38" s="1"/>
  <c r="E301" i="38" s="1"/>
  <c r="AK301" i="38"/>
  <c r="AL301" i="38"/>
  <c r="AJ301" i="38"/>
  <c r="AT302" i="38"/>
  <c r="AX303" i="38"/>
  <c r="AZ302" i="7"/>
  <c r="C302" i="7"/>
  <c r="C303" i="38"/>
  <c r="AT303" i="38" l="1"/>
  <c r="A326" i="24"/>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3" i="7"/>
  <c r="C304" i="38"/>
  <c r="AX304" i="38"/>
  <c r="AZ303" i="7"/>
  <c r="B302" i="6" l="1"/>
  <c r="Z304" i="38"/>
  <c r="AY304" i="38" s="1"/>
  <c r="AZ304" i="38" s="1"/>
  <c r="Y304" i="38"/>
  <c r="AL303" i="38"/>
  <c r="AB303" i="38"/>
  <c r="AK303" i="38"/>
  <c r="AJ303" i="38"/>
  <c r="AA303" i="38"/>
  <c r="AV303" i="38" s="1"/>
  <c r="E303" i="38" s="1"/>
  <c r="A306" i="38"/>
  <c r="A327" i="24"/>
  <c r="B305" i="38"/>
  <c r="AS305" i="38"/>
  <c r="A304" i="7"/>
  <c r="D305" i="38"/>
  <c r="AO305" i="38" s="1"/>
  <c r="AM305" i="38"/>
  <c r="AT304" i="38"/>
  <c r="D303" i="7"/>
  <c r="B303" i="7"/>
  <c r="C304" i="7"/>
  <c r="AX305" i="38"/>
  <c r="AZ304" i="7"/>
  <c r="C305" i="38"/>
  <c r="C306" i="38"/>
  <c r="D306" i="38" l="1"/>
  <c r="AO306" i="38" s="1"/>
  <c r="AM306" i="38"/>
  <c r="A307" i="38"/>
  <c r="B306" i="38"/>
  <c r="AS306" i="38"/>
  <c r="A328" i="24"/>
  <c r="A305" i="7"/>
  <c r="Y305" i="38"/>
  <c r="Z305" i="38"/>
  <c r="AY305" i="38" s="1"/>
  <c r="AZ305" i="38" s="1"/>
  <c r="B304" i="7"/>
  <c r="D304" i="7"/>
  <c r="B303" i="6"/>
  <c r="B304" i="6" s="1"/>
  <c r="AK304" i="38"/>
  <c r="AB304" i="38"/>
  <c r="AL304" i="38"/>
  <c r="AJ304" i="38"/>
  <c r="AA304" i="38"/>
  <c r="AV304" i="38" s="1"/>
  <c r="E304" i="38" s="1"/>
  <c r="AT305" i="38"/>
  <c r="AT306" i="38" s="1"/>
  <c r="AZ305" i="7"/>
  <c r="AX306" i="38"/>
  <c r="C307" i="38"/>
  <c r="C305" i="7"/>
  <c r="AA305" i="38" l="1"/>
  <c r="AV305" i="38" s="1"/>
  <c r="E305" i="38" s="1"/>
  <c r="AL305" i="38"/>
  <c r="AJ305" i="38"/>
  <c r="AK305" i="38"/>
  <c r="AB305" i="38"/>
  <c r="D305" i="7"/>
  <c r="B305" i="7"/>
  <c r="D307" i="38"/>
  <c r="AO307" i="38" s="1"/>
  <c r="B307" i="38"/>
  <c r="AM307" i="38"/>
  <c r="AS307" i="38"/>
  <c r="A329" i="24"/>
  <c r="A306" i="7"/>
  <c r="A308" i="38"/>
  <c r="B305" i="6"/>
  <c r="Z306" i="38"/>
  <c r="AY306" i="38" s="1"/>
  <c r="AZ306" i="38" s="1"/>
  <c r="Y306" i="38"/>
  <c r="C306" i="7"/>
  <c r="AZ306" i="7"/>
  <c r="AX307" i="38"/>
  <c r="AT307" i="38" l="1"/>
  <c r="Z307" i="38"/>
  <c r="AY307" i="38" s="1"/>
  <c r="AZ307" i="38" s="1"/>
  <c r="Y307" i="38"/>
  <c r="A330" i="24"/>
  <c r="AS308" i="38"/>
  <c r="B308" i="38"/>
  <c r="A307" i="7"/>
  <c r="D308" i="38"/>
  <c r="AO308" i="38" s="1"/>
  <c r="AM308" i="38"/>
  <c r="A309" i="38"/>
  <c r="B306" i="7"/>
  <c r="D306" i="7"/>
  <c r="AL306" i="38"/>
  <c r="AJ306" i="38"/>
  <c r="AA306" i="38"/>
  <c r="AV306" i="38" s="1"/>
  <c r="E306" i="38" s="1"/>
  <c r="AK306" i="38"/>
  <c r="AB306" i="38"/>
  <c r="C308" i="38"/>
  <c r="C307" i="7"/>
  <c r="AX308" i="38"/>
  <c r="AZ307" i="7"/>
  <c r="AT308" i="38" l="1"/>
  <c r="B306" i="6"/>
  <c r="Z308" i="38"/>
  <c r="AY308" i="38" s="1"/>
  <c r="AZ308" i="38" s="1"/>
  <c r="Y308" i="38"/>
  <c r="D307" i="7"/>
  <c r="B307" i="7"/>
  <c r="AA307" i="38"/>
  <c r="AV307" i="38" s="1"/>
  <c r="E307" i="38" s="1"/>
  <c r="AB307" i="38"/>
  <c r="AK307" i="38"/>
  <c r="AL307" i="38"/>
  <c r="AJ307" i="38"/>
  <c r="A310" i="38"/>
  <c r="A331" i="24"/>
  <c r="B309" i="38"/>
  <c r="AT309" i="38"/>
  <c r="AS309" i="38"/>
  <c r="A308" i="7"/>
  <c r="D309" i="38"/>
  <c r="AO309" i="38" s="1"/>
  <c r="AM309" i="38"/>
  <c r="AX309" i="38"/>
  <c r="AZ308" i="7"/>
  <c r="C310" i="38"/>
  <c r="C308" i="7"/>
  <c r="C309" i="38"/>
  <c r="D308" i="7" l="1"/>
  <c r="B308" i="7"/>
  <c r="B307" i="6"/>
  <c r="B310" i="38"/>
  <c r="AM310" i="38"/>
  <c r="D310" i="38"/>
  <c r="AO310" i="38" s="1"/>
  <c r="AS310" i="38"/>
  <c r="A332" i="24"/>
  <c r="A309" i="7"/>
  <c r="A311" i="38"/>
  <c r="Z309" i="38"/>
  <c r="AY309" i="38" s="1"/>
  <c r="AZ309" i="38" s="1"/>
  <c r="Y309" i="38"/>
  <c r="AL308" i="38"/>
  <c r="AK308" i="38"/>
  <c r="AB308" i="38"/>
  <c r="AA308" i="38"/>
  <c r="AV308" i="38" s="1"/>
  <c r="E308" i="38" s="1"/>
  <c r="AJ308" i="38"/>
  <c r="AZ309" i="7"/>
  <c r="AX310" i="38"/>
  <c r="C309" i="7"/>
  <c r="B308" i="6" l="1"/>
  <c r="A333" i="24"/>
  <c r="AS311" i="38"/>
  <c r="B311" i="38"/>
  <c r="A310" i="7"/>
  <c r="AM311" i="38"/>
  <c r="D311" i="38"/>
  <c r="AO311" i="38" s="1"/>
  <c r="A312" i="38"/>
  <c r="AT310" i="38"/>
  <c r="B309" i="6"/>
  <c r="B309" i="7"/>
  <c r="D309" i="7"/>
  <c r="Z310" i="38"/>
  <c r="AY310" i="38" s="1"/>
  <c r="AZ310" i="38" s="1"/>
  <c r="Y310" i="38"/>
  <c r="AB309" i="38"/>
  <c r="AK309" i="38"/>
  <c r="AL309" i="38"/>
  <c r="AJ309" i="38"/>
  <c r="AA309" i="38"/>
  <c r="AV309" i="38" s="1"/>
  <c r="E309" i="38" s="1"/>
  <c r="AX311" i="38"/>
  <c r="AZ310" i="7"/>
  <c r="C311" i="38"/>
  <c r="C310" i="7"/>
  <c r="AA310" i="38" l="1"/>
  <c r="AV310" i="38" s="1"/>
  <c r="E310" i="38" s="1"/>
  <c r="AJ310" i="38"/>
  <c r="AK310" i="38"/>
  <c r="AB310" i="38"/>
  <c r="AL310" i="38"/>
  <c r="A313" i="38"/>
  <c r="A334" i="24"/>
  <c r="B312" i="38"/>
  <c r="AS312" i="38"/>
  <c r="A311" i="7"/>
  <c r="AM312" i="38"/>
  <c r="D312" i="38"/>
  <c r="AO312" i="38" s="1"/>
  <c r="B310" i="7"/>
  <c r="D310" i="7"/>
  <c r="B310" i="6"/>
  <c r="Y311" i="38"/>
  <c r="Z311" i="38"/>
  <c r="AY311" i="38" s="1"/>
  <c r="AZ311" i="38" s="1"/>
  <c r="AT311" i="38"/>
  <c r="C312" i="38"/>
  <c r="C311" i="7"/>
  <c r="AX312" i="38"/>
  <c r="AZ311" i="7"/>
  <c r="C313" i="38"/>
  <c r="A314" i="38" l="1"/>
  <c r="AS313" i="38"/>
  <c r="AM313" i="38"/>
  <c r="B313" i="38"/>
  <c r="D313" i="38"/>
  <c r="AO313" i="38" s="1"/>
  <c r="A335" i="24"/>
  <c r="A312" i="7"/>
  <c r="Z312" i="38"/>
  <c r="AY312" i="38" s="1"/>
  <c r="AZ312" i="38" s="1"/>
  <c r="Y312" i="38"/>
  <c r="B311" i="7"/>
  <c r="D311" i="7"/>
  <c r="AL311" i="38"/>
  <c r="AB311" i="38"/>
  <c r="AJ311" i="38"/>
  <c r="AK311" i="38"/>
  <c r="AA311" i="38"/>
  <c r="AV311" i="38" s="1"/>
  <c r="E311" i="38" s="1"/>
  <c r="AT312" i="38"/>
  <c r="C314" i="38"/>
  <c r="C312" i="7"/>
  <c r="AZ312" i="7"/>
  <c r="AX313" i="38"/>
  <c r="B311" i="6" l="1"/>
  <c r="Z313" i="38"/>
  <c r="AY313" i="38" s="1"/>
  <c r="AZ313" i="38" s="1"/>
  <c r="Y313" i="38"/>
  <c r="AA312" i="38"/>
  <c r="AV312" i="38" s="1"/>
  <c r="E312" i="38" s="1"/>
  <c r="AJ312" i="38"/>
  <c r="AB312" i="38"/>
  <c r="AL312" i="38"/>
  <c r="AK312" i="38"/>
  <c r="D312" i="7"/>
  <c r="B312" i="7"/>
  <c r="AT313" i="38"/>
  <c r="B314" i="38"/>
  <c r="D314" i="38"/>
  <c r="AO314" i="38" s="1"/>
  <c r="AS314" i="38"/>
  <c r="AM314" i="38"/>
  <c r="A336" i="24"/>
  <c r="A313" i="7"/>
  <c r="A315" i="38"/>
  <c r="C313" i="7"/>
  <c r="AZ313" i="7"/>
  <c r="AX314" i="38"/>
  <c r="Z314" i="38" l="1"/>
  <c r="AY314" i="38" s="1"/>
  <c r="AZ314" i="38" s="1"/>
  <c r="Y314" i="38"/>
  <c r="AT314" i="38"/>
  <c r="AB313" i="38"/>
  <c r="AL313" i="38"/>
  <c r="AJ313" i="38"/>
  <c r="AA313" i="38"/>
  <c r="AV313" i="38" s="1"/>
  <c r="E313" i="38" s="1"/>
  <c r="AK313" i="38"/>
  <c r="A337" i="24"/>
  <c r="AS315" i="38"/>
  <c r="B315" i="38"/>
  <c r="A314" i="7"/>
  <c r="AM315" i="38"/>
  <c r="D315" i="38"/>
  <c r="AO315" i="38" s="1"/>
  <c r="A316" i="38"/>
  <c r="B313" i="7"/>
  <c r="D313" i="7"/>
  <c r="B312" i="6"/>
  <c r="C314" i="7"/>
  <c r="AX315" i="38"/>
  <c r="AZ314" i="7"/>
  <c r="C315" i="38"/>
  <c r="AT315" i="38" l="1"/>
  <c r="B313" i="6"/>
  <c r="AA314" i="38"/>
  <c r="AV314" i="38" s="1"/>
  <c r="E314" i="38" s="1"/>
  <c r="AB314" i="38"/>
  <c r="AK314" i="38"/>
  <c r="AL314" i="38"/>
  <c r="AJ314" i="38"/>
  <c r="Z315" i="38"/>
  <c r="AY315" i="38" s="1"/>
  <c r="AZ315" i="38" s="1"/>
  <c r="Y315" i="38"/>
  <c r="B314" i="7"/>
  <c r="D314" i="7"/>
  <c r="A338" i="24"/>
  <c r="B316" i="38"/>
  <c r="AS316" i="38"/>
  <c r="A315" i="7"/>
  <c r="D316" i="38"/>
  <c r="AO316" i="38" s="1"/>
  <c r="AM316" i="38"/>
  <c r="A317" i="38"/>
  <c r="C315" i="7"/>
  <c r="AX316" i="38"/>
  <c r="AZ315" i="7"/>
  <c r="C316" i="38"/>
  <c r="AT316" i="38" l="1"/>
  <c r="B314" i="6"/>
  <c r="A339" i="24"/>
  <c r="B317" i="38"/>
  <c r="AS317" i="38"/>
  <c r="A316" i="7"/>
  <c r="D317" i="38"/>
  <c r="AO317" i="38" s="1"/>
  <c r="AM317" i="38"/>
  <c r="A318" i="38"/>
  <c r="AK315" i="38"/>
  <c r="AJ315" i="38"/>
  <c r="AL315" i="38"/>
  <c r="AB315" i="38"/>
  <c r="AA315" i="38"/>
  <c r="AV315" i="38" s="1"/>
  <c r="E315" i="38" s="1"/>
  <c r="Z316" i="38"/>
  <c r="AY316" i="38" s="1"/>
  <c r="AZ316" i="38" s="1"/>
  <c r="Y316" i="38"/>
  <c r="D315" i="7"/>
  <c r="B315" i="7"/>
  <c r="C317" i="38"/>
  <c r="C316" i="7"/>
  <c r="AX317" i="38"/>
  <c r="AZ316" i="7"/>
  <c r="B315" i="6" l="1"/>
  <c r="Z317" i="38"/>
  <c r="AY317" i="38" s="1"/>
  <c r="AZ317" i="38" s="1"/>
  <c r="Y317" i="38"/>
  <c r="B316" i="7"/>
  <c r="D316" i="7"/>
  <c r="B316" i="6"/>
  <c r="AT317" i="38"/>
  <c r="A340" i="24"/>
  <c r="AS318" i="38"/>
  <c r="B318" i="38"/>
  <c r="A317" i="7"/>
  <c r="D318" i="38"/>
  <c r="AO318" i="38" s="1"/>
  <c r="AM318" i="38"/>
  <c r="A319" i="38"/>
  <c r="AL316" i="38"/>
  <c r="AB316" i="38"/>
  <c r="AJ316" i="38"/>
  <c r="AK316" i="38"/>
  <c r="AA316" i="38"/>
  <c r="AV316" i="38" s="1"/>
  <c r="E316" i="38" s="1"/>
  <c r="AX318" i="38"/>
  <c r="AZ317" i="7"/>
  <c r="C318" i="38"/>
  <c r="C317" i="7"/>
  <c r="A320" i="38" l="1"/>
  <c r="A341" i="24"/>
  <c r="AS319" i="38"/>
  <c r="B319" i="38"/>
  <c r="A318" i="7"/>
  <c r="D319" i="38"/>
  <c r="AO319" i="38" s="1"/>
  <c r="AM319" i="38"/>
  <c r="B317" i="6"/>
  <c r="B317" i="7"/>
  <c r="D317" i="7"/>
  <c r="AT318" i="38"/>
  <c r="Y318" i="38"/>
  <c r="Z318" i="38"/>
  <c r="AY318" i="38" s="1"/>
  <c r="AZ318" i="38" s="1"/>
  <c r="AB317" i="38"/>
  <c r="AL317" i="38"/>
  <c r="AJ317" i="38"/>
  <c r="AK317" i="38"/>
  <c r="AA317" i="38"/>
  <c r="AV317" i="38" s="1"/>
  <c r="E317" i="38" s="1"/>
  <c r="C320" i="38"/>
  <c r="AX319" i="38"/>
  <c r="AZ318" i="7"/>
  <c r="C319" i="38"/>
  <c r="C318" i="7"/>
  <c r="AL318" i="38" l="1"/>
  <c r="AJ318" i="38"/>
  <c r="AK318" i="38"/>
  <c r="AB318" i="38"/>
  <c r="AA318" i="38"/>
  <c r="AV318" i="38" s="1"/>
  <c r="E318" i="38" s="1"/>
  <c r="AT319" i="38"/>
  <c r="D318" i="7"/>
  <c r="B318" i="7"/>
  <c r="Z319" i="38"/>
  <c r="AY319" i="38" s="1"/>
  <c r="AZ319" i="38" s="1"/>
  <c r="Y319" i="38"/>
  <c r="A321" i="38"/>
  <c r="AM320" i="38"/>
  <c r="AS320" i="38"/>
  <c r="D320" i="38"/>
  <c r="AO320" i="38" s="1"/>
  <c r="B320" i="38"/>
  <c r="A342" i="24"/>
  <c r="A319" i="7"/>
  <c r="C319" i="7"/>
  <c r="C321" i="38"/>
  <c r="AZ319" i="7"/>
  <c r="AX320" i="38"/>
  <c r="Z320" i="38" l="1"/>
  <c r="AY320" i="38" s="1"/>
  <c r="AZ320" i="38" s="1"/>
  <c r="Y320" i="38"/>
  <c r="AJ319" i="38"/>
  <c r="AL319" i="38"/>
  <c r="AK319" i="38"/>
  <c r="AA319" i="38"/>
  <c r="AV319" i="38" s="1"/>
  <c r="E319" i="38" s="1"/>
  <c r="AB319" i="38"/>
  <c r="D321" i="38"/>
  <c r="AO321" i="38" s="1"/>
  <c r="AS321" i="38"/>
  <c r="B321" i="38"/>
  <c r="AM321" i="38"/>
  <c r="A343" i="24"/>
  <c r="A320" i="7"/>
  <c r="A322" i="38"/>
  <c r="B318" i="6"/>
  <c r="B319" i="6" s="1"/>
  <c r="B319" i="7"/>
  <c r="D319" i="7"/>
  <c r="AT320" i="38"/>
  <c r="AZ320" i="7"/>
  <c r="AX321" i="38"/>
  <c r="C320" i="7"/>
  <c r="B320" i="7" l="1"/>
  <c r="D320" i="7"/>
  <c r="A344" i="24"/>
  <c r="AS322" i="38"/>
  <c r="B322" i="38"/>
  <c r="A321" i="7"/>
  <c r="D322" i="38"/>
  <c r="AO322" i="38" s="1"/>
  <c r="AM322" i="38"/>
  <c r="A323" i="38"/>
  <c r="Z321" i="38"/>
  <c r="AY321" i="38" s="1"/>
  <c r="AZ321" i="38" s="1"/>
  <c r="Y321" i="38"/>
  <c r="AT321" i="38"/>
  <c r="AA320" i="38"/>
  <c r="AV320" i="38" s="1"/>
  <c r="E320" i="38" s="1"/>
  <c r="AK320" i="38"/>
  <c r="AB320" i="38"/>
  <c r="AJ320" i="38"/>
  <c r="AL320" i="38"/>
  <c r="C322" i="38"/>
  <c r="AX322" i="38"/>
  <c r="AZ321" i="7"/>
  <c r="C321" i="7"/>
  <c r="AJ321" i="38" l="1"/>
  <c r="AA321" i="38"/>
  <c r="AV321" i="38" s="1"/>
  <c r="E321" i="38" s="1"/>
  <c r="AK321" i="38"/>
  <c r="AL321" i="38"/>
  <c r="AB321" i="38"/>
  <c r="B321" i="7"/>
  <c r="D321" i="7"/>
  <c r="Z322" i="38"/>
  <c r="AY322" i="38" s="1"/>
  <c r="AZ322" i="38" s="1"/>
  <c r="Y322" i="38"/>
  <c r="A345" i="24"/>
  <c r="B323" i="38"/>
  <c r="AS323" i="38"/>
  <c r="A322" i="7"/>
  <c r="D323" i="38"/>
  <c r="AO323" i="38" s="1"/>
  <c r="AM323" i="38"/>
  <c r="A324" i="38"/>
  <c r="AT322" i="38"/>
  <c r="B320" i="6"/>
  <c r="B321" i="6" s="1"/>
  <c r="AX323" i="38"/>
  <c r="AZ322" i="7"/>
  <c r="C322" i="7"/>
  <c r="C323" i="38"/>
  <c r="B322" i="7" l="1"/>
  <c r="D322" i="7"/>
  <c r="AT323" i="38"/>
  <c r="AB322" i="38"/>
  <c r="AL322" i="38"/>
  <c r="AK322" i="38"/>
  <c r="AJ322" i="38"/>
  <c r="AA322" i="38"/>
  <c r="AV322" i="38" s="1"/>
  <c r="E322" i="38" s="1"/>
  <c r="B322" i="6"/>
  <c r="A346" i="24"/>
  <c r="AS324" i="38"/>
  <c r="B324" i="38"/>
  <c r="A323" i="7"/>
  <c r="D324" i="38"/>
  <c r="AO324" i="38" s="1"/>
  <c r="AM324" i="38"/>
  <c r="A325" i="38"/>
  <c r="Y323" i="38"/>
  <c r="Z323" i="38"/>
  <c r="AY323" i="38" s="1"/>
  <c r="AZ323" i="38" s="1"/>
  <c r="AX324" i="38"/>
  <c r="AZ323" i="7"/>
  <c r="C323" i="7"/>
  <c r="C324" i="38"/>
  <c r="AT324" i="38" l="1"/>
  <c r="D323" i="7"/>
  <c r="B323" i="7"/>
  <c r="AL323" i="38"/>
  <c r="AJ323" i="38"/>
  <c r="AA323" i="38"/>
  <c r="AV323" i="38" s="1"/>
  <c r="E323" i="38" s="1"/>
  <c r="AB323" i="38"/>
  <c r="AK323" i="38"/>
  <c r="A347" i="24"/>
  <c r="AS325" i="38"/>
  <c r="B325" i="38"/>
  <c r="A324" i="7"/>
  <c r="D325" i="38"/>
  <c r="AO325" i="38" s="1"/>
  <c r="AM325" i="38"/>
  <c r="A326" i="38"/>
  <c r="Z324" i="38"/>
  <c r="AY324" i="38" s="1"/>
  <c r="AZ324" i="38" s="1"/>
  <c r="Y324" i="38"/>
  <c r="AX325" i="38"/>
  <c r="AZ324" i="7"/>
  <c r="C325" i="38"/>
  <c r="C324" i="7"/>
  <c r="D324" i="7" l="1"/>
  <c r="B324" i="7"/>
  <c r="AJ324" i="38"/>
  <c r="AB324" i="38"/>
  <c r="AA324" i="38"/>
  <c r="AV324" i="38" s="1"/>
  <c r="E324" i="38" s="1"/>
  <c r="AK324" i="38"/>
  <c r="AL324" i="38"/>
  <c r="AT325" i="38"/>
  <c r="B323" i="6"/>
  <c r="B324" i="6" s="1"/>
  <c r="A327" i="38"/>
  <c r="A348" i="24"/>
  <c r="AS326" i="38"/>
  <c r="B326" i="38"/>
  <c r="A325" i="7"/>
  <c r="D326" i="38"/>
  <c r="AO326" i="38" s="1"/>
  <c r="AM326" i="38"/>
  <c r="Y325" i="38"/>
  <c r="Z325" i="38"/>
  <c r="AY325" i="38" s="1"/>
  <c r="AZ325" i="38" s="1"/>
  <c r="AX326" i="38"/>
  <c r="AZ325" i="7"/>
  <c r="C326" i="38"/>
  <c r="C327" i="38"/>
  <c r="C325" i="7"/>
  <c r="AT326" i="38" l="1"/>
  <c r="D325" i="7"/>
  <c r="B325" i="7"/>
  <c r="A328" i="38"/>
  <c r="B327" i="38"/>
  <c r="AM327" i="38"/>
  <c r="D327" i="38"/>
  <c r="AO327" i="38" s="1"/>
  <c r="AS327" i="38"/>
  <c r="A349" i="24"/>
  <c r="A326" i="7"/>
  <c r="B325" i="6"/>
  <c r="Z326" i="38"/>
  <c r="AY326" i="38" s="1"/>
  <c r="AZ326" i="38" s="1"/>
  <c r="Y326" i="38"/>
  <c r="AK325" i="38"/>
  <c r="AB325" i="38"/>
  <c r="AL325" i="38"/>
  <c r="AJ325" i="38"/>
  <c r="AA325" i="38"/>
  <c r="AV325" i="38" s="1"/>
  <c r="E325" i="38" s="1"/>
  <c r="C328" i="38"/>
  <c r="AZ326" i="7"/>
  <c r="AX327" i="38"/>
  <c r="C326" i="7"/>
  <c r="AT327" i="38" l="1"/>
  <c r="AA326" i="38"/>
  <c r="AV326" i="38" s="1"/>
  <c r="E326" i="38" s="1"/>
  <c r="AJ326" i="38"/>
  <c r="AK326" i="38"/>
  <c r="AL326" i="38"/>
  <c r="AB326" i="38"/>
  <c r="D326" i="7"/>
  <c r="B326" i="7"/>
  <c r="Z327" i="38"/>
  <c r="AY327" i="38" s="1"/>
  <c r="AZ327" i="38" s="1"/>
  <c r="Y327" i="38"/>
  <c r="AS328" i="38"/>
  <c r="AM328" i="38"/>
  <c r="D328" i="38"/>
  <c r="AO328" i="38" s="1"/>
  <c r="B328" i="38"/>
  <c r="A350" i="24"/>
  <c r="A327" i="7"/>
  <c r="A329" i="38"/>
  <c r="C327" i="7"/>
  <c r="AZ327" i="7"/>
  <c r="AX328" i="38"/>
  <c r="AT328" i="38" l="1"/>
  <c r="AB327" i="38"/>
  <c r="AA327" i="38"/>
  <c r="AV327" i="38" s="1"/>
  <c r="E327" i="38" s="1"/>
  <c r="AK327" i="38"/>
  <c r="AJ327" i="38"/>
  <c r="AL327" i="38"/>
  <c r="Z328" i="38"/>
  <c r="AY328" i="38" s="1"/>
  <c r="AZ328" i="38" s="1"/>
  <c r="Y328" i="38"/>
  <c r="B327" i="7"/>
  <c r="D327" i="7"/>
  <c r="A351" i="24"/>
  <c r="AS329" i="38"/>
  <c r="B329" i="38"/>
  <c r="A328" i="7"/>
  <c r="D329" i="38"/>
  <c r="AO329" i="38" s="1"/>
  <c r="AM329" i="38"/>
  <c r="A330" i="38"/>
  <c r="B326" i="6"/>
  <c r="AX329" i="38"/>
  <c r="AZ328" i="7"/>
  <c r="C329" i="38"/>
  <c r="C328" i="7"/>
  <c r="B327" i="6" l="1"/>
  <c r="AT329" i="38"/>
  <c r="AL328" i="38"/>
  <c r="AJ328" i="38"/>
  <c r="AA328" i="38"/>
  <c r="AV328" i="38" s="1"/>
  <c r="E328" i="38" s="1"/>
  <c r="AB328" i="38"/>
  <c r="AK328" i="38"/>
  <c r="D328" i="7"/>
  <c r="B328" i="7"/>
  <c r="A352" i="24"/>
  <c r="B330" i="38"/>
  <c r="AS330" i="38"/>
  <c r="A329" i="7"/>
  <c r="D330" i="38"/>
  <c r="AO330" i="38" s="1"/>
  <c r="AM330" i="38"/>
  <c r="A331" i="38"/>
  <c r="Z329" i="38"/>
  <c r="AY329" i="38" s="1"/>
  <c r="AZ329" i="38" s="1"/>
  <c r="Y329" i="38"/>
  <c r="C329" i="7"/>
  <c r="C330" i="38"/>
  <c r="AX330" i="38"/>
  <c r="AZ329" i="7"/>
  <c r="Z330" i="38" l="1"/>
  <c r="AY330" i="38" s="1"/>
  <c r="AZ330" i="38" s="1"/>
  <c r="Y330" i="38"/>
  <c r="AJ329" i="38"/>
  <c r="AA329" i="38"/>
  <c r="AV329" i="38" s="1"/>
  <c r="E329" i="38" s="1"/>
  <c r="AB329" i="38"/>
  <c r="AK329" i="38"/>
  <c r="AL329" i="38"/>
  <c r="B329" i="7"/>
  <c r="D329" i="7"/>
  <c r="A353" i="24"/>
  <c r="B331" i="38"/>
  <c r="AS331" i="38"/>
  <c r="A330" i="7"/>
  <c r="D331" i="38"/>
  <c r="AO331" i="38" s="1"/>
  <c r="AM331" i="38"/>
  <c r="A332" i="38"/>
  <c r="AT330" i="38"/>
  <c r="B328" i="6"/>
  <c r="AX331" i="38"/>
  <c r="AZ330" i="7"/>
  <c r="C331" i="38"/>
  <c r="C330" i="7"/>
  <c r="B329" i="6" l="1"/>
  <c r="B330" i="7"/>
  <c r="D330" i="7"/>
  <c r="AT331" i="38"/>
  <c r="B330" i="6"/>
  <c r="A354" i="24"/>
  <c r="AS332" i="38"/>
  <c r="B332" i="38"/>
  <c r="A331" i="7"/>
  <c r="D332" i="38"/>
  <c r="AO332" i="38" s="1"/>
  <c r="AM332" i="38"/>
  <c r="A333" i="38"/>
  <c r="AK330" i="38"/>
  <c r="AB330" i="38"/>
  <c r="AL330" i="38"/>
  <c r="AJ330" i="38"/>
  <c r="AA330" i="38"/>
  <c r="AV330" i="38" s="1"/>
  <c r="E330" i="38" s="1"/>
  <c r="Z331" i="38"/>
  <c r="AY331" i="38" s="1"/>
  <c r="AZ331" i="38" s="1"/>
  <c r="Y331" i="38"/>
  <c r="C332" i="38"/>
  <c r="AX332" i="38"/>
  <c r="AZ331" i="7"/>
  <c r="C331" i="7"/>
  <c r="B331" i="7" l="1"/>
  <c r="D331" i="7"/>
  <c r="A334" i="38"/>
  <c r="A355" i="24"/>
  <c r="AS333" i="38"/>
  <c r="B333" i="38"/>
  <c r="A332" i="7"/>
  <c r="D333" i="38"/>
  <c r="AO333" i="38" s="1"/>
  <c r="AM333" i="38"/>
  <c r="AT332" i="38"/>
  <c r="B331" i="6"/>
  <c r="Y332" i="38"/>
  <c r="Z332" i="38"/>
  <c r="AY332" i="38" s="1"/>
  <c r="AZ332" i="38" s="1"/>
  <c r="AJ331" i="38"/>
  <c r="AL331" i="38"/>
  <c r="AB331" i="38"/>
  <c r="AK331" i="38"/>
  <c r="AA331" i="38"/>
  <c r="AV331" i="38" s="1"/>
  <c r="E331" i="38" s="1"/>
  <c r="C334" i="38"/>
  <c r="C332" i="7"/>
  <c r="AX333" i="38"/>
  <c r="AZ332" i="7"/>
  <c r="C333" i="38"/>
  <c r="AL332" i="38" l="1"/>
  <c r="AB332" i="38"/>
  <c r="AA332" i="38"/>
  <c r="AV332" i="38" s="1"/>
  <c r="E332" i="38" s="1"/>
  <c r="AK332" i="38"/>
  <c r="AJ332" i="38"/>
  <c r="B332" i="6"/>
  <c r="Z333" i="38"/>
  <c r="AY333" i="38" s="1"/>
  <c r="AZ333" i="38" s="1"/>
  <c r="Y333" i="38"/>
  <c r="D332" i="7"/>
  <c r="B332" i="7"/>
  <c r="AT333" i="38"/>
  <c r="B334" i="38"/>
  <c r="AM334" i="38"/>
  <c r="D334" i="38"/>
  <c r="AO334" i="38" s="1"/>
  <c r="AS334" i="38"/>
  <c r="A335" i="38"/>
  <c r="A356" i="24"/>
  <c r="A333" i="7"/>
  <c r="C333" i="7"/>
  <c r="C335" i="38"/>
  <c r="AZ333" i="7"/>
  <c r="AX334" i="38"/>
  <c r="Z334" i="38" l="1"/>
  <c r="AY334" i="38" s="1"/>
  <c r="AZ334" i="38" s="1"/>
  <c r="Y334" i="38"/>
  <c r="B335" i="38"/>
  <c r="AS335" i="38"/>
  <c r="D335" i="38"/>
  <c r="AO335" i="38" s="1"/>
  <c r="AM335" i="38"/>
  <c r="A357" i="24"/>
  <c r="A334" i="7"/>
  <c r="A336" i="38"/>
  <c r="D333" i="7"/>
  <c r="B333" i="7"/>
  <c r="AB333" i="38"/>
  <c r="AJ333" i="38"/>
  <c r="AL333" i="38"/>
  <c r="AK333" i="38"/>
  <c r="AA333" i="38"/>
  <c r="AV333" i="38" s="1"/>
  <c r="E333" i="38" s="1"/>
  <c r="AT334" i="38"/>
  <c r="AZ334" i="7"/>
  <c r="AX335" i="38"/>
  <c r="C334" i="7"/>
  <c r="B333" i="6" l="1"/>
  <c r="AT335" i="38"/>
  <c r="D334" i="7"/>
  <c r="B334" i="7"/>
  <c r="A358" i="24"/>
  <c r="AS336" i="38"/>
  <c r="B336" i="38"/>
  <c r="A335" i="7"/>
  <c r="D336" i="38"/>
  <c r="AO336" i="38" s="1"/>
  <c r="AM336" i="38"/>
  <c r="A337" i="38"/>
  <c r="Z335" i="38"/>
  <c r="AY335" i="38" s="1"/>
  <c r="AZ335" i="38" s="1"/>
  <c r="Y335" i="38"/>
  <c r="B334" i="6"/>
  <c r="AJ334" i="38"/>
  <c r="AK334" i="38"/>
  <c r="AB334" i="38"/>
  <c r="AA334" i="38"/>
  <c r="AV334" i="38" s="1"/>
  <c r="E334" i="38" s="1"/>
  <c r="AL334" i="38"/>
  <c r="C335" i="7"/>
  <c r="C336" i="38"/>
  <c r="AX336" i="38"/>
  <c r="AZ335" i="7"/>
  <c r="A359" i="24" l="1"/>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6" i="7"/>
  <c r="AX337" i="38"/>
  <c r="AZ336" i="7"/>
  <c r="C337" i="38"/>
  <c r="B335" i="6" l="1"/>
  <c r="AL336" i="38"/>
  <c r="AJ336" i="38"/>
  <c r="AK336" i="38"/>
  <c r="AB336" i="38"/>
  <c r="AA336" i="38"/>
  <c r="AV336" i="38" s="1"/>
  <c r="E336" i="38" s="1"/>
  <c r="A360" i="24"/>
  <c r="AS338" i="38"/>
  <c r="B338" i="38"/>
  <c r="A337" i="7"/>
  <c r="D338" i="38"/>
  <c r="AO338" i="38" s="1"/>
  <c r="AM338" i="38"/>
  <c r="A339" i="38"/>
  <c r="B336" i="6"/>
  <c r="Z337" i="38"/>
  <c r="AY337" i="38" s="1"/>
  <c r="AZ337" i="38" s="1"/>
  <c r="Y337" i="38"/>
  <c r="D336" i="7"/>
  <c r="B336" i="7"/>
  <c r="AT337" i="38"/>
  <c r="C337" i="7"/>
  <c r="AX338" i="38"/>
  <c r="AZ337" i="7"/>
  <c r="C338" i="38"/>
  <c r="A361" i="24" l="1"/>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9" i="38"/>
  <c r="AX339" i="38"/>
  <c r="AZ338" i="7"/>
  <c r="C338" i="7"/>
  <c r="B337" i="6" l="1"/>
  <c r="AL338" i="38"/>
  <c r="AK338" i="38"/>
  <c r="AB338" i="38"/>
  <c r="AJ338" i="38"/>
  <c r="AA338" i="38"/>
  <c r="AV338" i="38" s="1"/>
  <c r="E338" i="38" s="1"/>
  <c r="D338" i="7"/>
  <c r="B338" i="7"/>
  <c r="A341" i="38"/>
  <c r="A362" i="24"/>
  <c r="AS340" i="38"/>
  <c r="B340" i="38"/>
  <c r="A339" i="7"/>
  <c r="AM340" i="38"/>
  <c r="D340" i="38"/>
  <c r="AO340" i="38" s="1"/>
  <c r="Y339" i="38"/>
  <c r="Z339" i="38"/>
  <c r="AY339" i="38" s="1"/>
  <c r="AZ339" i="38" s="1"/>
  <c r="AT339" i="38"/>
  <c r="C341" i="38"/>
  <c r="C340" i="38"/>
  <c r="C339" i="7"/>
  <c r="AX340" i="38"/>
  <c r="AZ339" i="7"/>
  <c r="Y340" i="38" l="1"/>
  <c r="Z340" i="38"/>
  <c r="AY340" i="38" s="1"/>
  <c r="AZ340" i="38" s="1"/>
  <c r="AT340" i="38"/>
  <c r="D339" i="7"/>
  <c r="B339" i="7"/>
  <c r="A342" i="38"/>
  <c r="B341" i="38"/>
  <c r="AS341" i="38"/>
  <c r="AM341" i="38"/>
  <c r="D341" i="38"/>
  <c r="AO341" i="38" s="1"/>
  <c r="A363" i="24"/>
  <c r="A340" i="7"/>
  <c r="AB339" i="38"/>
  <c r="AK339" i="38"/>
  <c r="AJ339" i="38"/>
  <c r="AA339" i="38"/>
  <c r="AV339" i="38" s="1"/>
  <c r="E339" i="38" s="1"/>
  <c r="AL339" i="38"/>
  <c r="B338" i="6"/>
  <c r="C342" i="38"/>
  <c r="C340" i="7"/>
  <c r="AZ340" i="7"/>
  <c r="AX341" i="38"/>
  <c r="B339" i="6" l="1"/>
  <c r="Z341" i="38"/>
  <c r="AY341" i="38" s="1"/>
  <c r="AZ341" i="38" s="1"/>
  <c r="Y341" i="38"/>
  <c r="D340" i="7"/>
  <c r="B340" i="7"/>
  <c r="AT341" i="38"/>
  <c r="B342" i="38"/>
  <c r="AM342" i="38"/>
  <c r="AS342" i="38"/>
  <c r="D342" i="38"/>
  <c r="AO342" i="38" s="1"/>
  <c r="A364" i="24"/>
  <c r="A341" i="7"/>
  <c r="A343" i="38"/>
  <c r="B340" i="6"/>
  <c r="AB340" i="38"/>
  <c r="AL340" i="38"/>
  <c r="AK340" i="38"/>
  <c r="AJ340" i="38"/>
  <c r="AA340" i="38"/>
  <c r="AV340" i="38" s="1"/>
  <c r="E340" i="38" s="1"/>
  <c r="C341" i="7"/>
  <c r="AZ341" i="7"/>
  <c r="AX342" i="38"/>
  <c r="Y342" i="38" l="1"/>
  <c r="Z342" i="38"/>
  <c r="AY342" i="38" s="1"/>
  <c r="AZ342" i="38" s="1"/>
  <c r="A365" i="24"/>
  <c r="AS343" i="38"/>
  <c r="B343" i="38"/>
  <c r="A342" i="7"/>
  <c r="AM343" i="38"/>
  <c r="D343" i="38"/>
  <c r="AO343" i="38" s="1"/>
  <c r="A344" i="38"/>
  <c r="AT342" i="38"/>
  <c r="AA341" i="38"/>
  <c r="AV341" i="38" s="1"/>
  <c r="E341" i="38" s="1"/>
  <c r="AB341" i="38"/>
  <c r="AJ341" i="38"/>
  <c r="AK341" i="38"/>
  <c r="AL341" i="38"/>
  <c r="B341" i="7"/>
  <c r="D341" i="7"/>
  <c r="C343" i="38"/>
  <c r="AX343" i="38"/>
  <c r="AZ342" i="7"/>
  <c r="C342" i="7"/>
  <c r="A366" i="24" l="1"/>
  <c r="B344" i="38"/>
  <c r="AS344" i="38"/>
  <c r="A343" i="7"/>
  <c r="AM344" i="38"/>
  <c r="D344" i="38"/>
  <c r="AO344" i="38" s="1"/>
  <c r="A345" i="38"/>
  <c r="B341" i="6"/>
  <c r="B342" i="6" s="1"/>
  <c r="D342" i="7"/>
  <c r="B342" i="7"/>
  <c r="AT343" i="38"/>
  <c r="Y343" i="38"/>
  <c r="Z343" i="38"/>
  <c r="AY343" i="38" s="1"/>
  <c r="AZ343" i="38" s="1"/>
  <c r="AB342" i="38"/>
  <c r="AL342" i="38"/>
  <c r="AK342" i="38"/>
  <c r="AJ342" i="38"/>
  <c r="AA342" i="38"/>
  <c r="AV342" i="38" s="1"/>
  <c r="E342" i="38" s="1"/>
  <c r="C344" i="38"/>
  <c r="C343" i="7"/>
  <c r="AX344" i="38"/>
  <c r="AZ343" i="7"/>
  <c r="AL343" i="38" l="1"/>
  <c r="AK343" i="38"/>
  <c r="AJ343" i="38"/>
  <c r="AB343" i="38"/>
  <c r="AA343" i="38"/>
  <c r="AV343" i="38" s="1"/>
  <c r="E343" i="38" s="1"/>
  <c r="A367" i="24"/>
  <c r="B345" i="38"/>
  <c r="AS345" i="38"/>
  <c r="A344" i="7"/>
  <c r="D345" i="38"/>
  <c r="AO345" i="38" s="1"/>
  <c r="AM345" i="38"/>
  <c r="A346" i="38"/>
  <c r="Z344" i="38"/>
  <c r="AY344" i="38" s="1"/>
  <c r="AZ344" i="38" s="1"/>
  <c r="Y344" i="38"/>
  <c r="B343" i="7"/>
  <c r="D343" i="7"/>
  <c r="AT344" i="38"/>
  <c r="C345" i="38"/>
  <c r="C344" i="7"/>
  <c r="AX345" i="38"/>
  <c r="AZ344" i="7"/>
  <c r="Y345" i="38" l="1"/>
  <c r="Z345" i="38"/>
  <c r="AY345" i="38" s="1"/>
  <c r="AZ345" i="38" s="1"/>
  <c r="B344" i="7"/>
  <c r="D344" i="7"/>
  <c r="AA344" i="38"/>
  <c r="AV344" i="38" s="1"/>
  <c r="E344" i="38" s="1"/>
  <c r="AK344" i="38"/>
  <c r="AJ344" i="38"/>
  <c r="AB344" i="38"/>
  <c r="AL344" i="38"/>
  <c r="A368" i="24"/>
  <c r="B346" i="38"/>
  <c r="AS346" i="38"/>
  <c r="D346" i="38"/>
  <c r="AO346" i="38" s="1"/>
  <c r="A345" i="7"/>
  <c r="AM346" i="38"/>
  <c r="A347" i="38"/>
  <c r="AT345" i="38"/>
  <c r="B343" i="6"/>
  <c r="AX346" i="38"/>
  <c r="AZ345" i="7"/>
  <c r="C345" i="7"/>
  <c r="C346" i="38"/>
  <c r="AT346" i="38" l="1"/>
  <c r="D345" i="7"/>
  <c r="B345" i="7"/>
  <c r="B344" i="6"/>
  <c r="A348" i="38"/>
  <c r="A369" i="24"/>
  <c r="AS347" i="38"/>
  <c r="B347" i="38"/>
  <c r="A346" i="7"/>
  <c r="D347" i="38"/>
  <c r="AO347" i="38" s="1"/>
  <c r="AM347" i="38"/>
  <c r="Z346" i="38"/>
  <c r="AY346" i="38" s="1"/>
  <c r="AZ346" i="38" s="1"/>
  <c r="Y346" i="38"/>
  <c r="AJ345" i="38"/>
  <c r="AA345" i="38"/>
  <c r="AV345" i="38" s="1"/>
  <c r="E345" i="38" s="1"/>
  <c r="AL345" i="38"/>
  <c r="AB345" i="38"/>
  <c r="AK345" i="38"/>
  <c r="C348" i="38"/>
  <c r="C347" i="38"/>
  <c r="C346" i="7"/>
  <c r="AX347" i="38"/>
  <c r="AZ346" i="7"/>
  <c r="B345" i="6" l="1"/>
  <c r="Y347" i="38"/>
  <c r="Z347" i="38"/>
  <c r="AY347" i="38" s="1"/>
  <c r="AZ347" i="38" s="1"/>
  <c r="D346" i="7"/>
  <c r="B346" i="7"/>
  <c r="AT347" i="38"/>
  <c r="AL346" i="38"/>
  <c r="AA346" i="38"/>
  <c r="AV346" i="38" s="1"/>
  <c r="E346" i="38" s="1"/>
  <c r="AK346" i="38"/>
  <c r="AB346" i="38"/>
  <c r="AJ346" i="38"/>
  <c r="B348" i="38"/>
  <c r="AS348" i="38"/>
  <c r="AM348" i="38"/>
  <c r="A349" i="38"/>
  <c r="D348" i="38"/>
  <c r="AO348" i="38" s="1"/>
  <c r="A370" i="24"/>
  <c r="A347" i="7"/>
  <c r="C347" i="7"/>
  <c r="AZ347" i="7"/>
  <c r="AX348" i="38"/>
  <c r="C349" i="38"/>
  <c r="AS349" i="38" l="1"/>
  <c r="D349" i="38"/>
  <c r="AO349" i="38" s="1"/>
  <c r="B349" i="38"/>
  <c r="AM349" i="38"/>
  <c r="A371" i="24"/>
  <c r="A348" i="7"/>
  <c r="A350" i="38"/>
  <c r="AT348" i="38"/>
  <c r="AT349" i="38" s="1"/>
  <c r="B346" i="6"/>
  <c r="Z348" i="38"/>
  <c r="AY348" i="38" s="1"/>
  <c r="AZ348" i="38" s="1"/>
  <c r="Y348" i="38"/>
  <c r="B347" i="7"/>
  <c r="D347" i="7"/>
  <c r="AL347" i="38"/>
  <c r="AK347" i="38"/>
  <c r="AA347" i="38"/>
  <c r="AV347" i="38" s="1"/>
  <c r="E347" i="38" s="1"/>
  <c r="AB347" i="38"/>
  <c r="AJ347" i="38"/>
  <c r="AZ348" i="7"/>
  <c r="AX349" i="38"/>
  <c r="C348" i="7"/>
  <c r="B347" i="6" l="1"/>
  <c r="B348" i="7"/>
  <c r="D348" i="7"/>
  <c r="AA348" i="38"/>
  <c r="AV348" i="38" s="1"/>
  <c r="E348" i="38" s="1"/>
  <c r="AL348" i="38"/>
  <c r="AK348" i="38"/>
  <c r="AJ348" i="38"/>
  <c r="AB348" i="38"/>
  <c r="A372" i="24"/>
  <c r="B350" i="38"/>
  <c r="AS350" i="38"/>
  <c r="A349" i="7"/>
  <c r="D350" i="38"/>
  <c r="AO350" i="38" s="1"/>
  <c r="AM350" i="38"/>
  <c r="A351" i="38"/>
  <c r="Y349" i="38"/>
  <c r="Z349" i="38"/>
  <c r="AY349" i="38" s="1"/>
  <c r="AZ349" i="38" s="1"/>
  <c r="C350" i="38"/>
  <c r="C349" i="7"/>
  <c r="AX350" i="38"/>
  <c r="AZ349" i="7"/>
  <c r="Z350" i="38" l="1"/>
  <c r="AY350" i="38" s="1"/>
  <c r="AZ350" i="38" s="1"/>
  <c r="Y350" i="38"/>
  <c r="B349" i="7"/>
  <c r="D349" i="7"/>
  <c r="AJ349" i="38"/>
  <c r="AK349" i="38"/>
  <c r="AB349" i="38"/>
  <c r="AL349" i="38"/>
  <c r="AA349" i="38"/>
  <c r="AV349" i="38" s="1"/>
  <c r="E349" i="38" s="1"/>
  <c r="AT350" i="38"/>
  <c r="A373" i="24"/>
  <c r="AS351" i="38"/>
  <c r="B351" i="38"/>
  <c r="A350" i="7"/>
  <c r="D351" i="38"/>
  <c r="AO351" i="38" s="1"/>
  <c r="AM351" i="38"/>
  <c r="A352" i="38"/>
  <c r="B348" i="6"/>
  <c r="C350" i="7"/>
  <c r="AX351" i="38"/>
  <c r="AZ350" i="7"/>
  <c r="C351" i="38"/>
  <c r="AT351" i="38" l="1"/>
  <c r="A374" i="24"/>
  <c r="AS352" i="38"/>
  <c r="B352" i="38"/>
  <c r="D352" i="38"/>
  <c r="AO352" i="38" s="1"/>
  <c r="A351" i="7"/>
  <c r="AM352" i="38"/>
  <c r="A353" i="38"/>
  <c r="B349" i="6"/>
  <c r="Y351" i="38"/>
  <c r="Z351" i="38"/>
  <c r="AY351" i="38" s="1"/>
  <c r="AZ351" i="38" s="1"/>
  <c r="AA350" i="38"/>
  <c r="AV350" i="38" s="1"/>
  <c r="E350" i="38" s="1"/>
  <c r="AK350" i="38"/>
  <c r="AJ350" i="38"/>
  <c r="AB350" i="38"/>
  <c r="AL350" i="38"/>
  <c r="D350" i="7"/>
  <c r="B350" i="7"/>
  <c r="C351" i="7"/>
  <c r="AX352" i="38"/>
  <c r="AZ351" i="7"/>
  <c r="C352" i="38"/>
  <c r="AJ351" i="38" l="1"/>
  <c r="AL351" i="38"/>
  <c r="AB351" i="38"/>
  <c r="AA351" i="38"/>
  <c r="AV351" i="38" s="1"/>
  <c r="E351" i="38" s="1"/>
  <c r="AK351" i="38"/>
  <c r="B350" i="6"/>
  <c r="B351" i="6" s="1"/>
  <c r="A375" i="24"/>
  <c r="B353" i="38"/>
  <c r="AS353" i="38"/>
  <c r="A352" i="7"/>
  <c r="D353" i="38"/>
  <c r="AO353" i="38" s="1"/>
  <c r="AM353" i="38"/>
  <c r="A354" i="38"/>
  <c r="Y352" i="38"/>
  <c r="Z352" i="38"/>
  <c r="AY352" i="38" s="1"/>
  <c r="AZ352" i="38" s="1"/>
  <c r="D351" i="7"/>
  <c r="B351" i="7"/>
  <c r="AT352" i="38"/>
  <c r="C353" i="38"/>
  <c r="C352" i="7"/>
  <c r="AX353" i="38"/>
  <c r="AZ352" i="7"/>
  <c r="A355" i="38" l="1"/>
  <c r="A376" i="24"/>
  <c r="B354" i="38"/>
  <c r="AS354" i="38"/>
  <c r="A353" i="7"/>
  <c r="D354" i="38"/>
  <c r="AO354" i="38" s="1"/>
  <c r="AM354" i="38"/>
  <c r="AT353" i="38"/>
  <c r="Z353" i="38"/>
  <c r="AY353" i="38" s="1"/>
  <c r="AZ353" i="38" s="1"/>
  <c r="Y353" i="38"/>
  <c r="AB352" i="38"/>
  <c r="AA352" i="38"/>
  <c r="AV352" i="38" s="1"/>
  <c r="E352" i="38" s="1"/>
  <c r="AJ352" i="38"/>
  <c r="AL352" i="38"/>
  <c r="AK352" i="38"/>
  <c r="B352" i="7"/>
  <c r="D352" i="7"/>
  <c r="C355" i="38"/>
  <c r="C353" i="7"/>
  <c r="AX354" i="38"/>
  <c r="AZ353" i="7"/>
  <c r="C354" i="38"/>
  <c r="B352" i="6" l="1"/>
  <c r="Z354" i="38"/>
  <c r="AY354" i="38" s="1"/>
  <c r="AZ354" i="38" s="1"/>
  <c r="Y354" i="38"/>
  <c r="D353" i="7"/>
  <c r="B353" i="7"/>
  <c r="AT354" i="38"/>
  <c r="AJ353" i="38"/>
  <c r="AA353" i="38"/>
  <c r="AV353" i="38" s="1"/>
  <c r="E353" i="38" s="1"/>
  <c r="AB353" i="38"/>
  <c r="AK353" i="38"/>
  <c r="AL353" i="38"/>
  <c r="D355" i="38"/>
  <c r="AO355" i="38" s="1"/>
  <c r="A356" i="38"/>
  <c r="AS355" i="38"/>
  <c r="AM355" i="38"/>
  <c r="B355" i="38"/>
  <c r="A377" i="24"/>
  <c r="A354" i="7"/>
  <c r="AZ354" i="7"/>
  <c r="AX355" i="38"/>
  <c r="C354" i="7"/>
  <c r="C356" i="38"/>
  <c r="B356" i="38" l="1"/>
  <c r="D356" i="38"/>
  <c r="AO356" i="38" s="1"/>
  <c r="AS356" i="38"/>
  <c r="AM356" i="38"/>
  <c r="A378" i="24"/>
  <c r="A355" i="7"/>
  <c r="A357" i="38"/>
  <c r="D354" i="7"/>
  <c r="B354" i="7"/>
  <c r="Z355" i="38"/>
  <c r="AY355" i="38" s="1"/>
  <c r="AZ355" i="38" s="1"/>
  <c r="Y355" i="38"/>
  <c r="AB354" i="38"/>
  <c r="AA354" i="38"/>
  <c r="AV354" i="38" s="1"/>
  <c r="E354" i="38" s="1"/>
  <c r="AJ354" i="38"/>
  <c r="AL354" i="38"/>
  <c r="AK354" i="38"/>
  <c r="AT355" i="38"/>
  <c r="B353" i="6"/>
  <c r="AZ355" i="7"/>
  <c r="AX356" i="38"/>
  <c r="C355" i="7"/>
  <c r="AT356" i="38" l="1"/>
  <c r="AL355" i="38"/>
  <c r="AJ355" i="38"/>
  <c r="AB355" i="38"/>
  <c r="AK355" i="38"/>
  <c r="AA355" i="38"/>
  <c r="AV355" i="38" s="1"/>
  <c r="E355" i="38" s="1"/>
  <c r="B355" i="7"/>
  <c r="D355" i="7"/>
  <c r="B354" i="6"/>
  <c r="B355" i="6" s="1"/>
  <c r="Y356" i="38"/>
  <c r="Z356" i="38"/>
  <c r="AY356" i="38" s="1"/>
  <c r="AZ356" i="38" s="1"/>
  <c r="A379" i="24"/>
  <c r="AS357" i="38"/>
  <c r="B357" i="38"/>
  <c r="A356" i="7"/>
  <c r="D357" i="38"/>
  <c r="AO357" i="38" s="1"/>
  <c r="AM357" i="38"/>
  <c r="A358" i="38"/>
  <c r="C357" i="38"/>
  <c r="AX357" i="38"/>
  <c r="AZ356" i="7"/>
  <c r="C356" i="7"/>
  <c r="AT357" i="38" l="1"/>
  <c r="B356" i="7"/>
  <c r="D356" i="7"/>
  <c r="Y357" i="38"/>
  <c r="Z357" i="38"/>
  <c r="AY357" i="38" s="1"/>
  <c r="AZ357" i="38" s="1"/>
  <c r="AJ356" i="38"/>
  <c r="AA356" i="38"/>
  <c r="AV356" i="38" s="1"/>
  <c r="E356" i="38" s="1"/>
  <c r="AK356" i="38"/>
  <c r="AL356" i="38"/>
  <c r="AB356" i="38"/>
  <c r="A380" i="24"/>
  <c r="B358" i="38"/>
  <c r="AS358" i="38"/>
  <c r="A357" i="7"/>
  <c r="D358" i="38"/>
  <c r="AO358" i="38" s="1"/>
  <c r="AM358" i="38"/>
  <c r="A359" i="38"/>
  <c r="AX358" i="38"/>
  <c r="AZ357" i="7"/>
  <c r="C358" i="38"/>
  <c r="C357" i="7"/>
  <c r="AT358" i="38" l="1"/>
  <c r="D357" i="7"/>
  <c r="B357" i="7"/>
  <c r="AA357" i="38"/>
  <c r="AV357" i="38" s="1"/>
  <c r="E357" i="38" s="1"/>
  <c r="AK357" i="38"/>
  <c r="AB357" i="38"/>
  <c r="AJ357" i="38"/>
  <c r="AL357" i="38"/>
  <c r="B356" i="6"/>
  <c r="B357" i="6" s="1"/>
  <c r="A381" i="24"/>
  <c r="AS359" i="38"/>
  <c r="B359" i="38"/>
  <c r="A358" i="7"/>
  <c r="D359" i="38"/>
  <c r="AO359" i="38" s="1"/>
  <c r="AM359" i="38"/>
  <c r="A360" i="38"/>
  <c r="Z358" i="38"/>
  <c r="AY358" i="38" s="1"/>
  <c r="AZ358" i="38" s="1"/>
  <c r="Y358" i="38"/>
  <c r="C359" i="38"/>
  <c r="C358" i="7"/>
  <c r="AX359" i="38"/>
  <c r="AZ358" i="7"/>
  <c r="Z359" i="38" l="1"/>
  <c r="AY359" i="38" s="1"/>
  <c r="AZ359" i="38" s="1"/>
  <c r="Y359" i="38"/>
  <c r="AT359" i="38"/>
  <c r="D358" i="7"/>
  <c r="B358" i="7"/>
  <c r="AB358" i="38"/>
  <c r="AJ358" i="38"/>
  <c r="AA358" i="38"/>
  <c r="AV358" i="38" s="1"/>
  <c r="E358" i="38" s="1"/>
  <c r="AK358" i="38"/>
  <c r="AL358" i="38"/>
  <c r="A382" i="24"/>
  <c r="AS360" i="38"/>
  <c r="B360" i="38"/>
  <c r="A359" i="7"/>
  <c r="D360" i="38"/>
  <c r="AO360" i="38" s="1"/>
  <c r="AM360" i="38"/>
  <c r="A361" i="38"/>
  <c r="C359" i="7"/>
  <c r="AX360" i="38"/>
  <c r="AZ359" i="7"/>
  <c r="C360" i="38"/>
  <c r="AT360" i="38" l="1"/>
  <c r="A362" i="38"/>
  <c r="A383" i="24"/>
  <c r="B361" i="38"/>
  <c r="AS361" i="38"/>
  <c r="A360" i="7"/>
  <c r="D361" i="38"/>
  <c r="AO361" i="38" s="1"/>
  <c r="AM361" i="38"/>
  <c r="B358" i="6"/>
  <c r="Z360" i="38"/>
  <c r="AY360" i="38" s="1"/>
  <c r="AZ360" i="38" s="1"/>
  <c r="Y360" i="38"/>
  <c r="AL359" i="38"/>
  <c r="AK359" i="38"/>
  <c r="AA359" i="38"/>
  <c r="AV359" i="38" s="1"/>
  <c r="E359" i="38" s="1"/>
  <c r="AJ359" i="38"/>
  <c r="AB359" i="38"/>
  <c r="D359" i="7"/>
  <c r="B359" i="7"/>
  <c r="C362" i="38"/>
  <c r="C360" i="7"/>
  <c r="C361" i="38"/>
  <c r="AX361" i="38"/>
  <c r="AZ360" i="7"/>
  <c r="Z361" i="38" l="1"/>
  <c r="AY361" i="38" s="1"/>
  <c r="AZ361" i="38" s="1"/>
  <c r="Y361" i="38"/>
  <c r="AT361" i="38"/>
  <c r="AL360" i="38"/>
  <c r="AA360" i="38"/>
  <c r="AV360" i="38" s="1"/>
  <c r="E360" i="38" s="1"/>
  <c r="AJ360" i="38"/>
  <c r="AB360" i="38"/>
  <c r="AK360" i="38"/>
  <c r="B359" i="6"/>
  <c r="B360" i="6" s="1"/>
  <c r="D360" i="7"/>
  <c r="B360" i="7"/>
  <c r="B362" i="38"/>
  <c r="A363" i="38"/>
  <c r="D362" i="38"/>
  <c r="AO362" i="38" s="1"/>
  <c r="AM362" i="38"/>
  <c r="AS362" i="38"/>
  <c r="A384" i="24"/>
  <c r="A361" i="7"/>
  <c r="C361" i="7"/>
  <c r="C363" i="38"/>
  <c r="AZ361" i="7"/>
  <c r="AX362" i="38"/>
  <c r="Y362" i="38" l="1"/>
  <c r="Z362" i="38"/>
  <c r="AY362" i="38" s="1"/>
  <c r="AZ362" i="38" s="1"/>
  <c r="D363" i="38"/>
  <c r="AO363" i="38" s="1"/>
  <c r="AS363" i="38"/>
  <c r="B363" i="38"/>
  <c r="A364" i="38"/>
  <c r="AM363" i="38"/>
  <c r="AT363" i="38"/>
  <c r="A385" i="24"/>
  <c r="A362" i="7"/>
  <c r="D361" i="7"/>
  <c r="B361" i="7"/>
  <c r="AA361" i="38"/>
  <c r="AV361" i="38" s="1"/>
  <c r="E361" i="38" s="1"/>
  <c r="AJ361" i="38"/>
  <c r="AB361" i="38"/>
  <c r="AL361" i="38"/>
  <c r="AK361" i="38"/>
  <c r="AT362" i="38"/>
  <c r="AZ362" i="7"/>
  <c r="AX363" i="38"/>
  <c r="C364" i="38"/>
  <c r="C362" i="7"/>
  <c r="D362" i="7" l="1"/>
  <c r="B362" i="7"/>
  <c r="B364" i="38"/>
  <c r="AM364" i="38"/>
  <c r="D364" i="38"/>
  <c r="AO364" i="38" s="1"/>
  <c r="AS364" i="38"/>
  <c r="A365" i="38"/>
  <c r="A386" i="24"/>
  <c r="A363" i="7"/>
  <c r="B361" i="6"/>
  <c r="Y363" i="38"/>
  <c r="Z363" i="38"/>
  <c r="AY363" i="38" s="1"/>
  <c r="AZ363" i="38" s="1"/>
  <c r="AJ362" i="38"/>
  <c r="AA362" i="38"/>
  <c r="AV362" i="38" s="1"/>
  <c r="E362" i="38" s="1"/>
  <c r="AK362" i="38"/>
  <c r="AB362" i="38"/>
  <c r="AL362" i="38"/>
  <c r="AZ363" i="7"/>
  <c r="AX364" i="38"/>
  <c r="C363" i="7"/>
  <c r="C365" i="38"/>
  <c r="AT364" i="38" l="1"/>
  <c r="AS365" i="38"/>
  <c r="AM365" i="38"/>
  <c r="D365" i="38"/>
  <c r="AO365" i="38" s="1"/>
  <c r="B365" i="38"/>
  <c r="A387" i="24"/>
  <c r="A364" i="7"/>
  <c r="A366" i="38"/>
  <c r="AA363" i="38"/>
  <c r="AV363" i="38" s="1"/>
  <c r="E363" i="38" s="1"/>
  <c r="AJ363" i="38"/>
  <c r="AL363" i="38"/>
  <c r="AB363" i="38"/>
  <c r="AK363" i="38"/>
  <c r="B363" i="7"/>
  <c r="D363" i="7"/>
  <c r="B362" i="6"/>
  <c r="Z364" i="38"/>
  <c r="AY364" i="38" s="1"/>
  <c r="AZ364" i="38" s="1"/>
  <c r="Y364" i="38"/>
  <c r="AZ364" i="7"/>
  <c r="AX365" i="38"/>
  <c r="C364" i="7"/>
  <c r="AT365" i="38" l="1"/>
  <c r="B363" i="6"/>
  <c r="D364" i="7"/>
  <c r="B364" i="7"/>
  <c r="A388" i="24"/>
  <c r="B366" i="38"/>
  <c r="AS366" i="38"/>
  <c r="A365" i="7"/>
  <c r="D366" i="38"/>
  <c r="AO366" i="38" s="1"/>
  <c r="AM366" i="38"/>
  <c r="A367" i="38"/>
  <c r="AB364" i="38"/>
  <c r="AL364" i="38"/>
  <c r="AK364" i="38"/>
  <c r="AA364" i="38"/>
  <c r="AV364" i="38" s="1"/>
  <c r="E364" i="38" s="1"/>
  <c r="AJ364" i="38"/>
  <c r="Z365" i="38"/>
  <c r="AY365" i="38" s="1"/>
  <c r="AZ365" i="38" s="1"/>
  <c r="Y365" i="38"/>
  <c r="C366" i="38"/>
  <c r="C365" i="7"/>
  <c r="AX366" i="38"/>
  <c r="AZ365" i="7"/>
  <c r="B364" i="6" l="1"/>
  <c r="Z366" i="38"/>
  <c r="AY366" i="38" s="1"/>
  <c r="AZ366" i="38" s="1"/>
  <c r="Y366" i="38"/>
  <c r="D365" i="7"/>
  <c r="B365" i="7"/>
  <c r="A389" i="24"/>
  <c r="AS367" i="38"/>
  <c r="B367" i="38"/>
  <c r="A366" i="7"/>
  <c r="D367" i="38"/>
  <c r="AO367" i="38" s="1"/>
  <c r="AM367" i="38"/>
  <c r="A368" i="38"/>
  <c r="AT366" i="38"/>
  <c r="AA365" i="38"/>
  <c r="AV365" i="38" s="1"/>
  <c r="E365" i="38" s="1"/>
  <c r="AJ365" i="38"/>
  <c r="AB365" i="38"/>
  <c r="AL365" i="38"/>
  <c r="AK365" i="38"/>
  <c r="AX367" i="38"/>
  <c r="AZ366" i="7"/>
  <c r="C367" i="38"/>
  <c r="C366" i="7"/>
  <c r="A369" i="38" l="1"/>
  <c r="A390" i="24"/>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9" i="38"/>
  <c r="C368" i="38"/>
  <c r="C367" i="7"/>
  <c r="AX368" i="38"/>
  <c r="AZ367" i="7"/>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91" i="24"/>
  <c r="A368" i="7"/>
  <c r="C368" i="7"/>
  <c r="C370" i="38"/>
  <c r="AZ368" i="7"/>
  <c r="AX369" i="38"/>
  <c r="Y369" i="38" l="1"/>
  <c r="Z369" i="38"/>
  <c r="AY369" i="38" s="1"/>
  <c r="AZ369" i="38" s="1"/>
  <c r="B370" i="38"/>
  <c r="D370" i="38"/>
  <c r="AO370" i="38" s="1"/>
  <c r="AS370" i="38"/>
  <c r="AM370" i="38"/>
  <c r="A392" i="24"/>
  <c r="A369" i="7"/>
  <c r="A371" i="38"/>
  <c r="D368" i="7"/>
  <c r="B368" i="7"/>
  <c r="B367" i="6"/>
  <c r="B368" i="6" s="1"/>
  <c r="AT369" i="38"/>
  <c r="AT370" i="38" s="1"/>
  <c r="AL368" i="38"/>
  <c r="AJ368" i="38"/>
  <c r="AB368" i="38"/>
  <c r="AK368" i="38"/>
  <c r="AA368" i="38"/>
  <c r="AV368" i="38" s="1"/>
  <c r="E368" i="38" s="1"/>
  <c r="C369" i="7"/>
  <c r="AZ369" i="7"/>
  <c r="AX370" i="38"/>
  <c r="Y370" i="38" l="1"/>
  <c r="Z370" i="38"/>
  <c r="AY370" i="38" s="1"/>
  <c r="AZ370" i="38" s="1"/>
  <c r="B369" i="7"/>
  <c r="D369" i="7"/>
  <c r="AS371" i="38"/>
  <c r="C371" i="38"/>
  <c r="A393" i="24"/>
  <c r="B371" i="38"/>
  <c r="AT371" i="38"/>
  <c r="D371" i="38"/>
  <c r="AO371" i="38" s="1"/>
  <c r="A370" i="7"/>
  <c r="A372" i="38"/>
  <c r="AM371" i="38"/>
  <c r="AJ369" i="38"/>
  <c r="AK369" i="38"/>
  <c r="AL369" i="38"/>
  <c r="AA369" i="38"/>
  <c r="AV369" i="38" s="1"/>
  <c r="E369" i="38" s="1"/>
  <c r="AB369" i="38"/>
  <c r="AX371" i="38"/>
  <c r="AZ370" i="7"/>
  <c r="B369" i="6" l="1"/>
  <c r="Z371" i="38"/>
  <c r="AY371" i="38" s="1"/>
  <c r="AZ371" i="38" s="1"/>
  <c r="Y371" i="38"/>
  <c r="D370" i="7"/>
  <c r="C370" i="7"/>
  <c r="B370" i="7"/>
  <c r="B370" i="6"/>
  <c r="AT372" i="38"/>
  <c r="C372" i="38"/>
  <c r="B372" i="38"/>
  <c r="AS372" i="38"/>
  <c r="A371" i="7"/>
  <c r="D372" i="38"/>
  <c r="AO372" i="38" s="1"/>
  <c r="A373" i="38"/>
  <c r="AM372" i="38"/>
  <c r="AB370" i="38"/>
  <c r="AK370" i="38"/>
  <c r="AL370" i="38"/>
  <c r="AA370" i="38"/>
  <c r="AV370" i="38" s="1"/>
  <c r="E370" i="38" s="1"/>
  <c r="AJ370" i="38"/>
  <c r="AX372" i="38"/>
  <c r="AZ371" i="7"/>
  <c r="A372" i="7" l="1"/>
  <c r="B373" i="38"/>
  <c r="AS373" i="38"/>
  <c r="C373" i="38"/>
  <c r="AT373" i="38"/>
  <c r="AM373" i="38"/>
  <c r="D373" i="38"/>
  <c r="C3" i="38"/>
  <c r="Y372" i="38"/>
  <c r="Z372" i="38"/>
  <c r="AY372" i="38" s="1"/>
  <c r="AZ372" i="38" s="1"/>
  <c r="B371" i="7"/>
  <c r="D371" i="7"/>
  <c r="C371" i="7"/>
  <c r="AB371" i="38"/>
  <c r="AL371" i="38"/>
  <c r="AJ371" i="38"/>
  <c r="AK371" i="38"/>
  <c r="AA371" i="38"/>
  <c r="AV371" i="38" s="1"/>
  <c r="E371" i="38" s="1"/>
  <c r="B371" i="6"/>
  <c r="AX373" i="38"/>
  <c r="AZ372" i="7"/>
  <c r="AO373" i="38" l="1"/>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G14" i="24"/>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J25" i="49"/>
  <c r="O21" i="49"/>
  <c r="N15" i="49"/>
  <c r="M25" i="49"/>
  <c r="I17" i="49"/>
  <c r="N10" i="49"/>
  <c r="H7" i="49"/>
  <c r="J4" i="49"/>
  <c r="N24" i="49"/>
  <c r="L24" i="49"/>
  <c r="J14" i="49"/>
  <c r="I18" i="49"/>
  <c r="M11" i="49"/>
  <c r="N22" i="49"/>
  <c r="O18" i="49"/>
  <c r="I25" i="49"/>
  <c r="F11" i="49"/>
  <c r="H19" i="49"/>
  <c r="N6" i="49"/>
  <c r="L8" i="49"/>
  <c r="F14" i="49"/>
  <c r="L5" i="49"/>
  <c r="F15" i="49"/>
  <c r="K11" i="49"/>
  <c r="J23" i="49"/>
  <c r="H17" i="49"/>
  <c r="I6" i="49"/>
  <c r="O12" i="49"/>
  <c r="K25" i="49"/>
  <c r="K24" i="49"/>
  <c r="F13" i="49"/>
  <c r="I16" i="49"/>
  <c r="M15" i="49"/>
  <c r="P24" i="49"/>
  <c r="K16" i="49"/>
  <c r="H8" i="49"/>
  <c r="J16" i="49"/>
  <c r="O6" i="49"/>
  <c r="P13" i="49"/>
  <c r="H12" i="49"/>
  <c r="G20" i="49"/>
  <c r="G19" i="49"/>
  <c r="P25"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H2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L25" i="49"/>
  <c r="G24" i="49"/>
  <c r="L10" i="49"/>
  <c r="K12" i="49"/>
  <c r="K20" i="49"/>
  <c r="P12" i="49"/>
  <c r="O9" i="49"/>
  <c r="N13" i="49"/>
  <c r="F25" i="49"/>
  <c r="H21" i="49"/>
  <c r="O22" i="49"/>
  <c r="K14" i="49"/>
  <c r="L14" i="49"/>
  <c r="I14" i="49"/>
  <c r="M17" i="49"/>
  <c r="I9" i="49"/>
  <c r="M18" i="49"/>
  <c r="L9" i="49"/>
  <c r="J21" i="49"/>
  <c r="M7" i="49"/>
  <c r="J20" i="49"/>
  <c r="P20" i="49"/>
  <c r="G16" i="49"/>
  <c r="P7" i="49"/>
  <c r="F7" i="49"/>
  <c r="I24" i="49"/>
  <c r="F6" i="49"/>
  <c r="G25" i="49"/>
  <c r="H20" i="49"/>
  <c r="K21" i="49"/>
  <c r="L7" i="49"/>
  <c r="P6" i="49"/>
  <c r="N12" i="49"/>
  <c r="F8" i="49"/>
  <c r="H10" i="49"/>
  <c r="K13" i="49"/>
  <c r="G15" i="49"/>
  <c r="J17" i="49"/>
  <c r="M4" i="49"/>
  <c r="H22" i="49"/>
  <c r="N4" i="49"/>
  <c r="G17" i="49"/>
  <c r="G9" i="49"/>
  <c r="H11" i="49"/>
  <c r="G6" i="49"/>
  <c r="O25" i="49"/>
  <c r="O7" i="49"/>
  <c r="G10" i="49"/>
  <c r="P19" i="49"/>
  <c r="L20" i="49"/>
  <c r="O24" i="49"/>
  <c r="J19" i="49"/>
  <c r="M8" i="49"/>
  <c r="L16" i="49"/>
  <c r="I13" i="49"/>
  <c r="K15" i="49"/>
  <c r="M6" i="49"/>
  <c r="P21" i="49"/>
  <c r="O10" i="49"/>
  <c r="O17" i="49"/>
  <c r="M14" i="49"/>
  <c r="K7" i="49"/>
  <c r="P11" i="49"/>
  <c r="N25" i="49"/>
  <c r="P8" i="49"/>
  <c r="P9" i="49"/>
  <c r="L17" i="49"/>
  <c r="H16" i="49"/>
  <c r="O8" i="49"/>
  <c r="M21" i="49"/>
  <c r="K22" i="49"/>
  <c r="O19" i="49"/>
  <c r="K5" i="49"/>
  <c r="N7" i="49"/>
  <c r="F16" i="49"/>
  <c r="G12" i="49"/>
  <c r="H28" i="49" l="1"/>
  <c r="O28" i="49"/>
  <c r="L28" i="49"/>
  <c r="R15" i="49"/>
  <c r="K28" i="49"/>
  <c r="R21" i="49"/>
  <c r="B372" i="6"/>
  <c r="L14" i="47"/>
  <c r="H14" i="47"/>
  <c r="I14" i="47"/>
  <c r="I28" i="49"/>
  <c r="H15" i="47"/>
  <c r="L15" i="47"/>
  <c r="I15" i="47"/>
  <c r="R12" i="49"/>
  <c r="I11" i="47"/>
  <c r="H11" i="47"/>
  <c r="L11" i="47"/>
  <c r="R14" i="49"/>
  <c r="H27" i="49"/>
  <c r="P18" i="47"/>
  <c r="M29" i="47" s="1"/>
  <c r="R16" i="49"/>
  <c r="R6" i="49"/>
  <c r="R19" i="49"/>
  <c r="L9" i="47"/>
  <c r="H9" i="47"/>
  <c r="I9" i="47"/>
  <c r="D6" i="47"/>
  <c r="D18" i="47" s="1"/>
  <c r="E18" i="47"/>
  <c r="M21" i="47"/>
  <c r="A30" i="47"/>
  <c r="Q18" i="47"/>
  <c r="M30" i="47" s="1"/>
  <c r="M27" i="49"/>
  <c r="G28" i="49"/>
  <c r="R13" i="49"/>
  <c r="B9" i="47"/>
  <c r="G9" i="47"/>
  <c r="L13" i="47"/>
  <c r="I13" i="47"/>
  <c r="H13" i="47"/>
  <c r="L12" i="47"/>
  <c r="H12" i="47"/>
  <c r="I12" i="47"/>
  <c r="I27" i="49"/>
  <c r="B11" i="47"/>
  <c r="G11" i="47"/>
  <c r="P28" i="49"/>
  <c r="G27" i="49"/>
  <c r="H8" i="47"/>
  <c r="I8" i="47"/>
  <c r="L8" i="47"/>
  <c r="F27" i="49"/>
  <c r="R4" i="49"/>
  <c r="K27" i="49"/>
  <c r="P27" i="49"/>
  <c r="R20" i="49"/>
  <c r="I16" i="47"/>
  <c r="H16" i="47"/>
  <c r="L16" i="47"/>
  <c r="R18" i="49"/>
  <c r="G16" i="47"/>
  <c r="B16" i="47"/>
  <c r="G10" i="47"/>
  <c r="B10" i="47"/>
  <c r="G12" i="47"/>
  <c r="B12" i="47"/>
  <c r="R9" i="49"/>
  <c r="L27" i="49"/>
  <c r="G7" i="47"/>
  <c r="B7" i="47"/>
  <c r="M23" i="47"/>
  <c r="K18" i="47"/>
  <c r="N28" i="49"/>
  <c r="I10" i="47"/>
  <c r="L10" i="47"/>
  <c r="H10" i="47"/>
  <c r="B14" i="47"/>
  <c r="G14" i="47"/>
  <c r="N27" i="49"/>
  <c r="R25" i="49"/>
  <c r="B13" i="47"/>
  <c r="G13" i="47"/>
  <c r="M28" i="49"/>
  <c r="O23" i="47"/>
  <c r="J18" i="47"/>
  <c r="R24" i="49"/>
  <c r="AA373" i="38"/>
  <c r="AB373" i="38"/>
  <c r="AJ373" i="38"/>
  <c r="AK373" i="38"/>
  <c r="AL373" i="38"/>
  <c r="C6" i="47"/>
  <c r="V378" i="38"/>
  <c r="Y374" i="38"/>
  <c r="O18" i="47"/>
  <c r="M26" i="47"/>
  <c r="M27" i="47" s="1"/>
  <c r="J28" i="49"/>
  <c r="R10" i="49"/>
  <c r="R17" i="49"/>
  <c r="B17" i="47"/>
  <c r="G17" i="47"/>
  <c r="F28" i="49"/>
  <c r="R7" i="49"/>
  <c r="R11" i="49"/>
  <c r="R8" i="49"/>
  <c r="R5" i="49"/>
  <c r="R22" i="49"/>
  <c r="B8" i="47"/>
  <c r="G8" i="47"/>
  <c r="R18" i="47"/>
  <c r="J27" i="49"/>
  <c r="O27" i="49"/>
  <c r="R23" i="49"/>
  <c r="I17" i="47"/>
  <c r="H17" i="47"/>
  <c r="L17" i="47"/>
  <c r="M25" i="47"/>
  <c r="N18" i="47"/>
  <c r="B15" i="47"/>
  <c r="G15" i="47"/>
  <c r="H7" i="47"/>
  <c r="I7" i="47"/>
  <c r="L7" i="47"/>
  <c r="B373" i="6" l="1"/>
  <c r="R27" i="49"/>
  <c r="G11" i="24"/>
  <c r="V380" i="38"/>
  <c r="M22" i="47"/>
  <c r="O22" i="47" s="1"/>
  <c r="B6" i="47"/>
  <c r="G6" i="47"/>
  <c r="G18" i="47" s="1"/>
  <c r="C18" i="47"/>
  <c r="R28" i="49"/>
  <c r="AV373" i="38"/>
  <c r="F6" i="47"/>
  <c r="AA377" i="38"/>
  <c r="AA374" i="38"/>
  <c r="E373" i="38" l="1"/>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E27" i="48" s="1"/>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E17" i="48" s="1"/>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E21" i="48" s="1"/>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E19" i="48" s="1"/>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E34" i="48" s="1"/>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E30" i="48" s="1"/>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E24" i="48" s="1"/>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B18" i="47"/>
  <c r="Y380" i="38"/>
  <c r="G7" i="24"/>
  <c r="W380" i="38"/>
  <c r="E33" i="48" l="1"/>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H11" i="24"/>
  <c r="H7" i="24"/>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Alfred Huber</author>
    <author>Huber Alfred</author>
    <author xml:space="preserve"> </author>
  </authors>
  <commentList>
    <comment ref="R4" authorId="0"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0"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0"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0"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1"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0"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2" shapeId="0" xr:uid="{00000000-0006-0000-0400-000006000000}">
      <text>
        <r>
          <rPr>
            <b/>
            <sz val="8"/>
            <color indexed="81"/>
            <rFont val="Tahoma"/>
            <family val="2"/>
          </rPr>
          <t>V_SOLL :</t>
        </r>
        <r>
          <rPr>
            <sz val="8"/>
            <color indexed="81"/>
            <rFont val="Tahoma"/>
            <family val="2"/>
          </rPr>
          <t xml:space="preserve">
SOLL Vorgabe</t>
        </r>
      </text>
    </comment>
    <comment ref="AE4" authorId="2"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2"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2"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2"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2"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2" shapeId="0" xr:uid="{00000000-0006-0000-0400-00000C000000}">
      <text>
        <r>
          <rPr>
            <b/>
            <sz val="8"/>
            <color indexed="81"/>
            <rFont val="Tahoma"/>
            <family val="2"/>
          </rPr>
          <t>UrlR :</t>
        </r>
        <r>
          <rPr>
            <sz val="8"/>
            <color indexed="81"/>
            <rFont val="Tahoma"/>
            <family val="2"/>
          </rPr>
          <t xml:space="preserve">
Resturlaubssaldo</t>
        </r>
      </text>
    </comment>
    <comment ref="AT4" authorId="2"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2"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2"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2"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<sst xmlns="http://schemas.openxmlformats.org/spreadsheetml/2006/main" count="351" uniqueCount="252">
  <si>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</si>
  <si>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</si>
  <si>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</si>
  <si>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</si>
  <si>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</si>
  <si>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</si>
  <si>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</si>
  <si>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</si>
  <si>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</si>
  <si>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</si>
  <si>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</si>
  <si>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</si>
  <si>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</si>
  <si>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</si>
  <si>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</si>
  <si>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</si>
  <si>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</si>
  <si>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</si>
  <si>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</si>
  <si>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</si>
  <si>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</si>
  <si>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</si>
  <si>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</si>
  <si>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</si>
  <si>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</si>
  <si>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</si>
  <si>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</si>
  <si>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</si>
  <si>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</si>
  <si>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</si>
  <si>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</si>
  <si>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</si>
  <si>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</si>
  <si>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</si>
  <si>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</si>
  <si>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</si>
  <si>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</si>
  <si>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</si>
  <si>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</si>
  <si>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</si>
  <si>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</si>
  <si>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</si>
  <si>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</si>
  <si>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</si>
  <si>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</si>
  <si>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</si>
  <si>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</si>
  <si>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</si>
  <si>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</si>
  <si>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</si>
  <si>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</si>
  <si>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</si>
  <si>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</si>
  <si>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</si>
  <si>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</si>
  <si>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</si>
  <si>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</si>
  <si>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</si>
  <si>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</si>
  <si>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</si>
  <si>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</si>
  <si>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</si>
  <si>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</si>
  <si>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</si>
  <si>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</si>
  <si>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</si>
  <si>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</si>
  <si>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</si>
  <si>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</si>
  <si>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</si>
  <si>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</si>
  <si>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</si>
  <si>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</si>
  <si>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</si>
  <si>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</si>
  <si>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</si>
  <si>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</si>
  <si>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</si>
  <si>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Summe (verrechenbare Stunden 7-23)</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</si>
  <si>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</si>
  <si>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</si>
  <si>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</si>
  <si>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</si>
  <si>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</si>
  <si>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</si>
  <si>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</si>
  <si>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</si>
  <si>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</si>
  <si>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</si>
  <si>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</si>
  <si>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</si>
  <si>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</si>
  <si>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</si>
  <si>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</si>
  <si>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</si>
  <si>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</si>
  <si>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</si>
  <si>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</si>
  <si>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</si>
  <si>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</si>
  <si>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</si>
  <si>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</si>
  <si>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</si>
  <si>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</si>
  <si>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</si>
  <si>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</si>
  <si>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</si>
  <si>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</si>
  <si>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</si>
  <si>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</si>
  <si>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</si>
  <si>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</si>
  <si>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</si>
  <si>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</si>
  <si>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</si>
  <si>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</si>
  <si>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</si>
  <si>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</si>
  <si>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</si>
  <si>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</si>
  <si>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</si>
  <si>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</si>
  <si>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</si>
  <si>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</si>
  <si>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</si>
  <si>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</si>
  <si>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</si>
  <si>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</si>
  <si>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</si>
  <si>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</si>
  <si>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</si>
  <si>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</si>
  <si>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</si>
  <si>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</si>
  <si>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</si>
  <si>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</si>
  <si>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</si>
  <si>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</si>
  <si>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</si>
  <si>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</si>
  <si>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</si>
  <si>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</si>
  <si>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</si>
  <si>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</si>
  <si>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</si>
  <si>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</si>
  <si>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</si>
  <si>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</si>
  <si>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</si>
  <si>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</si>
  <si>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</si>
  <si>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</si>
  <si>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</si>
  <si>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</si>
  <si>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</si>
  <si>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</si>
  <si>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</si>
  <si>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</si>
  <si>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</si>
  <si>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</si>
  <si>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</si>
  <si>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</si>
  <si>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</si>
  <si>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</si>
  <si>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</si>
  <si>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</si>
  <si>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</si>
  <si>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</si>
  <si>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</si>
  <si>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</si>
  <si>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</si>
  <si>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</si>
  <si>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</si>
  <si>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</si>
  <si>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</si>
  <si>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</si>
  <si>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</si>
  <si>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</si>
  <si>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</si>
  <si>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</si>
  <si>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</si>
  <si>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</si>
  <si>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</si>
  <si>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</si>
  <si>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</si>
  <si>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</si>
  <si>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</si>
  <si>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</si>
  <si>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</si>
  <si>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</si>
  <si>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</si>
  <si>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</si>
  <si>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</si>
  <si>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</si>
  <si>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</si>
  <si>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</si>
  <si>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</si>
  <si>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</si>
  <si>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</si>
  <si>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</si>
  <si>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</si>
  <si>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</si>
  <si>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</si>
  <si>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</si>
  <si>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</si>
  <si>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</si>
  <si>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</si>
  <si>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</si>
  <si>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</si>
  <si>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</si>
  <si>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</si>
  <si>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</si>
  <si>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</si>
  <si>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</si>
  <si>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</si>
  <si>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</si>
  <si>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</si>
  <si>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</si>
  <si>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</si>
  <si>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</si>
  <si>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</si>
  <si>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</si>
  <si>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</si>
  <si>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</si>
  <si>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</si>
  <si>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</si>
  <si>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</si>
  <si>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</si>
  <si>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</si>
  <si>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</si>
  <si>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 xml:space="preserve"> U=Urlaub G/B=Gleittag K=Krank S=Sabbatical X=Sonstiges (Dienstreise, etc.)</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</si>
  <si>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</si>
  <si>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</si>
  <si>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</si>
  <si>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</si>
  <si>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</si>
  <si>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</si>
  <si>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</si>
  <si>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</si>
  <si>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</si>
  <si>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Herbst 2</t>
  </si>
  <si>
    <t>Infos von Thomas Gern (DI IT PA R&amp;D) &lt;thomas.gern@siemens.com&gt; zum neuen Feature Arbeitsort</t>
  </si>
  <si>
    <t>Kunde</t>
  </si>
  <si>
    <t>Dienstreise</t>
  </si>
  <si>
    <t>HomeOffice (Mobiles Arbeiten)</t>
  </si>
  <si>
    <t>Arbeitsort Index</t>
  </si>
  <si>
    <t>Arbeitsort Teilsummen (ausgewähler Bereich)</t>
  </si>
  <si>
    <r>
      <t>Teilsummen</t>
    </r>
    <r>
      <rPr>
        <sz val="8"/>
        <color rgb="FF0070C0"/>
        <rFont val="Helv"/>
      </rPr>
      <t xml:space="preserve"> (ausgewähler Bereich)</t>
    </r>
  </si>
  <si>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</si>
  <si>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Summe Tage mit gepflegtem Arbeitsort</t>
  </si>
  <si>
    <r>
      <t>Glaz V6.2d  12/2022</t>
    </r>
    <r>
      <rPr>
        <sz val="10"/>
        <rFont val="Arial"/>
        <family val="2"/>
      </rPr>
      <t xml:space="preserve">   </t>
    </r>
    <r>
      <rPr>
        <i/>
        <sz val="10"/>
        <rFont val="Arial"/>
        <family val="2"/>
      </rPr>
      <t>Excel-Sheet zum Verwalten der Arbeitszeit</t>
    </r>
  </si>
  <si>
    <t>(in Ruhestand)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</si>
</sst>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70">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s>
  <fills count="30">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13">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s>
  <cellStyleXfs count="4">
    <xf numFmtId="0" fontId="0" fillId="0" borderId="0"/>
    <xf numFmtId="0" fontId="1" fillId="0" borderId="0"/>
    <xf numFmtId="0" fontId="1" fillId="0" borderId="0"/>
    <xf numFmtId="9" fontId="63" fillId="0" borderId="0" applyFont="0" applyFill="0" applyBorder="0" applyAlignment="0" applyProtection="0"/>
  </cellStyleXfs>
  <cellXfs count="723">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0" fontId="12" fillId="7" borderId="0" xfId="0" applyFont="1" applyFill="1" applyAlignment="1" applyProtection="1">
      <alignment horizontal="center"/>
      <protection locked="0"/>
    </xf>
    <xf numFmtId="170" fontId="0" fillId="0" borderId="0" xfId="0" applyNumberForma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Alignment="1">
      <alignment vertical="center"/>
    </xf>
    <xf numFmtId="0" fontId="0" fillId="6" borderId="25" xfId="0"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Alignment="1" applyProtection="1">
      <alignment horizontal="center"/>
      <protection locked="0"/>
    </xf>
    <xf numFmtId="14" fontId="13" fillId="0" borderId="0" xfId="0" applyNumberFormat="1" applyFont="1" applyAlignment="1">
      <alignment vertical="center"/>
    </xf>
    <xf numFmtId="0" fontId="13" fillId="0" borderId="0" xfId="0" applyFont="1" applyAlignment="1">
      <alignment vertical="center"/>
    </xf>
    <xf numFmtId="14" fontId="0" fillId="0" borderId="0" xfId="0" applyNumberFormat="1" applyAlignment="1">
      <alignment vertical="center"/>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lignment horizontal="left"/>
    </xf>
    <xf numFmtId="175" fontId="0" fillId="3" borderId="21"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Alignment="1">
      <alignment horizontal="center"/>
    </xf>
    <xf numFmtId="175" fontId="2" fillId="0" borderId="18" xfId="0" applyNumberFormat="1" applyFont="1" applyBorder="1" applyAlignment="1">
      <alignment horizontal="right"/>
    </xf>
    <xf numFmtId="176" fontId="2" fillId="0" borderId="3" xfId="0" applyNumberFormat="1" applyFont="1" applyBorder="1" applyAlignment="1">
      <alignment horizontal="center"/>
    </xf>
    <xf numFmtId="175" fontId="15" fillId="0" borderId="3" xfId="0" applyNumberFormat="1" applyFont="1" applyBorder="1" applyAlignment="1">
      <alignment horizontal="right"/>
    </xf>
    <xf numFmtId="175" fontId="30" fillId="0" borderId="0" xfId="0" applyNumberFormat="1" applyFont="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5" fontId="15" fillId="0" borderId="3" xfId="0" applyNumberFormat="1" applyFont="1" applyBorder="1" applyAlignment="1">
      <alignment horizontal="center"/>
    </xf>
    <xf numFmtId="2" fontId="2" fillId="0" borderId="0" xfId="0" applyNumberFormat="1" applyFont="1" applyAlignment="1">
      <alignment horizontal="right"/>
    </xf>
    <xf numFmtId="175"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Border="1" applyAlignment="1">
      <alignment horizontal="center"/>
    </xf>
    <xf numFmtId="170" fontId="11" fillId="3" borderId="29" xfId="0" applyNumberFormat="1" applyFont="1" applyFill="1" applyBorder="1" applyAlignment="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80" fontId="30" fillId="0" borderId="0" xfId="0" applyNumberFormat="1" applyFont="1"/>
    <xf numFmtId="180" fontId="2" fillId="0" borderId="3" xfId="0" applyNumberFormat="1" applyFont="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5" borderId="29" xfId="0" applyFill="1" applyBorder="1"/>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Border="1" applyAlignment="1">
      <alignment horizontal="center"/>
    </xf>
    <xf numFmtId="0" fontId="0" fillId="0" borderId="31" xfId="0" applyBorder="1"/>
    <xf numFmtId="0" fontId="0" fillId="0" borderId="31" xfId="0" applyBorder="1" applyProtection="1">
      <protection locked="0"/>
    </xf>
    <xf numFmtId="170" fontId="0" fillId="0" borderId="31" xfId="0" applyNumberFormat="1" applyBorder="1"/>
    <xf numFmtId="0" fontId="0" fillId="0" borderId="32"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Alignment="1">
      <alignment horizontal="center"/>
    </xf>
    <xf numFmtId="0" fontId="11" fillId="6" borderId="33" xfId="0" applyFont="1" applyFill="1" applyBorder="1" applyAlignment="1">
      <alignment horizontal="center"/>
    </xf>
    <xf numFmtId="0" fontId="13" fillId="0" borderId="0" xfId="0" applyFont="1"/>
    <xf numFmtId="175" fontId="37"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5"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8" fillId="0" borderId="0" xfId="0" applyFont="1" applyProtection="1">
      <protection locked="0"/>
    </xf>
    <xf numFmtId="175" fontId="15" fillId="0" borderId="34" xfId="0" applyNumberFormat="1" applyFont="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Border="1" applyAlignment="1">
      <alignment horizontal="left"/>
    </xf>
    <xf numFmtId="20" fontId="2" fillId="0" borderId="35" xfId="0" applyNumberFormat="1" applyFont="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Alignment="1">
      <alignment horizontal="left"/>
    </xf>
    <xf numFmtId="175" fontId="12" fillId="0" borderId="6" xfId="0" applyNumberFormat="1" applyFont="1" applyBorder="1"/>
    <xf numFmtId="1" fontId="2" fillId="0" borderId="6" xfId="0" applyNumberFormat="1" applyFont="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Border="1" applyAlignment="1">
      <alignment horizontal="right"/>
    </xf>
    <xf numFmtId="0" fontId="8" fillId="0" borderId="43" xfId="0" applyFont="1" applyBorder="1"/>
    <xf numFmtId="0" fontId="8" fillId="0" borderId="7" xfId="0" applyFont="1" applyBorder="1"/>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5"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5"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40" fillId="8" borderId="0" xfId="0" applyFont="1" applyFill="1" applyAlignment="1">
      <alignment horizontal="center"/>
    </xf>
    <xf numFmtId="2" fontId="40" fillId="8" borderId="0" xfId="0" applyNumberFormat="1" applyFont="1" applyFill="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Alignment="1">
      <alignment horizontal="center"/>
    </xf>
    <xf numFmtId="175" fontId="2" fillId="0" borderId="45"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2" fillId="14" borderId="29" xfId="0" applyNumberFormat="1" applyFont="1" applyFill="1" applyBorder="1" applyAlignment="1">
      <alignment horizontal="center"/>
    </xf>
    <xf numFmtId="170" fontId="42" fillId="8" borderId="29" xfId="0" applyNumberFormat="1" applyFont="1" applyFill="1" applyBorder="1" applyAlignment="1">
      <alignment horizontal="center"/>
    </xf>
    <xf numFmtId="0" fontId="11" fillId="0" borderId="0" xfId="0" applyFont="1" applyAlignment="1">
      <alignment horizontal="left"/>
    </xf>
    <xf numFmtId="170" fontId="11" fillId="0" borderId="46" xfId="0" applyNumberFormat="1" applyFont="1" applyBorder="1" applyAlignment="1">
      <alignment horizontal="center"/>
    </xf>
    <xf numFmtId="17" fontId="22"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4" xfId="0" applyFont="1" applyBorder="1" applyAlignment="1">
      <alignment horizontal="center" vertical="top"/>
    </xf>
    <xf numFmtId="174" fontId="11" fillId="18" borderId="0" xfId="0" applyNumberFormat="1" applyFont="1" applyFill="1" applyAlignment="1">
      <alignment horizontal="center"/>
    </xf>
    <xf numFmtId="0" fontId="0" fillId="18" borderId="0" xfId="0" applyFill="1" applyAlignment="1">
      <alignment horizontal="center"/>
    </xf>
    <xf numFmtId="170" fontId="0" fillId="10" borderId="29" xfId="0" applyNumberFormat="1" applyFill="1" applyBorder="1" applyAlignment="1">
      <alignment horizontal="center"/>
    </xf>
    <xf numFmtId="0" fontId="11" fillId="0" borderId="47" xfId="0" applyFont="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Border="1" applyAlignment="1" applyProtection="1">
      <alignment horizontal="left"/>
      <protection locked="0"/>
    </xf>
    <xf numFmtId="0" fontId="0" fillId="0" borderId="0" xfId="0"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Border="1" applyAlignment="1">
      <alignment horizontal="center" wrapText="1"/>
    </xf>
    <xf numFmtId="20" fontId="15" fillId="0" borderId="49"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3" fillId="19" borderId="0" xfId="0" applyFont="1" applyFill="1" applyAlignment="1">
      <alignment horizontal="center"/>
    </xf>
    <xf numFmtId="0" fontId="44" fillId="19" borderId="0" xfId="0" applyFont="1" applyFill="1" applyAlignment="1">
      <alignment horizontal="left"/>
    </xf>
    <xf numFmtId="164" fontId="45"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3" fillId="0" borderId="0" xfId="0" applyFont="1" applyAlignment="1">
      <alignment horizontal="center" vertical="top"/>
    </xf>
    <xf numFmtId="0" fontId="19" fillId="0" borderId="0" xfId="0" applyFont="1" applyProtection="1">
      <protection locked="0"/>
    </xf>
    <xf numFmtId="1" fontId="12" fillId="3" borderId="50" xfId="0" applyNumberFormat="1" applyFont="1" applyFill="1" applyBorder="1" applyAlignment="1">
      <alignment horizontal="left" vertical="center"/>
    </xf>
    <xf numFmtId="0" fontId="0" fillId="0" borderId="51" xfId="0" applyBorder="1" applyAlignment="1">
      <alignment vertical="center"/>
    </xf>
    <xf numFmtId="0" fontId="47"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8"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9"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19" fillId="0" borderId="0" xfId="0" applyFont="1" applyAlignment="1">
      <alignment horizontal="center"/>
    </xf>
    <xf numFmtId="0" fontId="19" fillId="0" borderId="58" xfId="0" applyFont="1" applyBorder="1" applyAlignment="1" applyProtection="1">
      <alignment horizontal="center" vertical="top" wrapText="1"/>
      <protection locked="0"/>
    </xf>
    <xf numFmtId="0" fontId="51" fillId="0" borderId="0" xfId="0" applyFont="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2"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xf numFmtId="175" fontId="2" fillId="1" borderId="34" xfId="0" applyNumberFormat="1" applyFont="1" applyFill="1" applyBorder="1" applyAlignment="1">
      <alignment horizontal="center"/>
    </xf>
    <xf numFmtId="175" fontId="15" fillId="1" borderId="0" xfId="0" applyNumberFormat="1" applyFont="1" applyFill="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xf numFmtId="0" fontId="12" fillId="5" borderId="30" xfId="0" applyFont="1" applyFill="1" applyBorder="1"/>
    <xf numFmtId="0" fontId="12" fillId="7" borderId="30" xfId="0" applyFont="1" applyFill="1" applyBorder="1" applyProtection="1">
      <protection locked="0"/>
    </xf>
    <xf numFmtId="0" fontId="12" fillId="3" borderId="30" xfId="0" applyFont="1" applyFill="1" applyBorder="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Alignment="1" applyProtection="1">
      <alignment horizontal="left"/>
      <protection locked="0"/>
    </xf>
    <xf numFmtId="0" fontId="2" fillId="6" borderId="81"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3" fillId="0" borderId="76" xfId="0" applyFont="1" applyBorder="1" applyAlignment="1">
      <alignment wrapText="1"/>
    </xf>
    <xf numFmtId="21" fontId="0" fillId="0" borderId="0" xfId="0" applyNumberFormat="1"/>
    <xf numFmtId="0" fontId="51" fillId="0" borderId="0" xfId="0" applyFont="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3" fillId="0" borderId="85" xfId="0" applyNumberFormat="1" applyFont="1" applyBorder="1"/>
    <xf numFmtId="1" fontId="53" fillId="0" borderId="86" xfId="0" applyNumberFormat="1" applyFont="1" applyBorder="1"/>
    <xf numFmtId="1" fontId="53" fillId="0" borderId="87" xfId="0" applyNumberFormat="1" applyFont="1" applyBorder="1"/>
    <xf numFmtId="49" fontId="0" fillId="0" borderId="0" xfId="0" applyNumberFormat="1" applyProtection="1">
      <protection locked="0"/>
    </xf>
    <xf numFmtId="1" fontId="12" fillId="3" borderId="50" xfId="0" applyNumberFormat="1" applyFont="1" applyFill="1" applyBorder="1" applyAlignment="1">
      <alignment horizontal="center" vertical="center"/>
    </xf>
    <xf numFmtId="1" fontId="12" fillId="3" borderId="50" xfId="0" applyNumberFormat="1" applyFont="1" applyFill="1" applyBorder="1" applyAlignment="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Alignment="1">
      <alignment horizontal="center" textRotation="90"/>
    </xf>
    <xf numFmtId="0" fontId="24" fillId="3" borderId="30" xfId="0" applyFont="1" applyFill="1" applyBorder="1" applyAlignment="1">
      <alignment horizontal="center"/>
    </xf>
    <xf numFmtId="0" fontId="24" fillId="3" borderId="76" xfId="0" applyFont="1" applyFill="1" applyBorder="1" applyAlignment="1">
      <alignment horizontal="center"/>
    </xf>
    <xf numFmtId="170" fontId="11" fillId="3" borderId="93" xfId="0" applyNumberFormat="1" applyFont="1" applyFill="1" applyBorder="1" applyAlignment="1">
      <alignment horizontal="center" vertical="center"/>
    </xf>
    <xf numFmtId="0" fontId="24" fillId="12" borderId="76" xfId="0" applyFont="1" applyFill="1" applyBorder="1" applyAlignment="1">
      <alignment horizontal="center"/>
    </xf>
    <xf numFmtId="0" fontId="24" fillId="14" borderId="30" xfId="0" applyFont="1" applyFill="1" applyBorder="1" applyAlignment="1">
      <alignment horizontal="center"/>
    </xf>
    <xf numFmtId="0" fontId="1" fillId="16" borderId="0" xfId="0" applyFont="1" applyFill="1" applyProtection="1">
      <protection locked="0"/>
    </xf>
    <xf numFmtId="0" fontId="5" fillId="16" borderId="0" xfId="0" applyFont="1" applyFill="1" applyAlignment="1" applyProtection="1">
      <alignment horizontal="right"/>
      <protection locked="0"/>
    </xf>
    <xf numFmtId="0" fontId="5" fillId="16" borderId="0" xfId="0" applyFont="1" applyFill="1" applyAlignment="1" applyProtection="1">
      <alignment horizontal="left"/>
      <protection locked="0"/>
    </xf>
    <xf numFmtId="0" fontId="1" fillId="16" borderId="0" xfId="0" applyFont="1" applyFill="1" applyAlignment="1" applyProtection="1">
      <alignment horizontal="left"/>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Alignment="1">
      <alignment horizontal="right"/>
    </xf>
    <xf numFmtId="188" fontId="0" fillId="0" borderId="0" xfId="0" applyNumberFormat="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Font="1" applyBorder="1" applyAlignment="1">
      <alignment horizontal="center"/>
    </xf>
    <xf numFmtId="0" fontId="2" fillId="22" borderId="35" xfId="0" applyFont="1" applyFill="1" applyBorder="1" applyAlignment="1">
      <alignment horizontal="left" vertical="top"/>
    </xf>
    <xf numFmtId="170" fontId="11" fillId="12"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Font="1" applyFill="1" applyBorder="1" applyAlignment="1">
      <alignment horizontal="center"/>
    </xf>
    <xf numFmtId="0" fontId="5" fillId="3" borderId="14" xfId="0" applyFont="1" applyFill="1" applyBorder="1" applyAlignment="1" applyProtection="1">
      <alignment horizontal="right"/>
      <protection locked="0"/>
    </xf>
    <xf numFmtId="188" fontId="56" fillId="0" borderId="0" xfId="0" applyNumberFormat="1" applyFont="1" applyAlignment="1">
      <alignment horizontal="center"/>
    </xf>
    <xf numFmtId="188" fontId="55"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Border="1" applyAlignment="1" applyProtection="1">
      <alignment horizontal="center"/>
      <protection locked="0"/>
    </xf>
    <xf numFmtId="2" fontId="0" fillId="0" borderId="29" xfId="0" applyNumberFormat="1" applyBorder="1" applyProtection="1">
      <protection locked="0"/>
    </xf>
    <xf numFmtId="2" fontId="0" fillId="0" borderId="29" xfId="0" applyNumberFormat="1" applyBorder="1"/>
    <xf numFmtId="2" fontId="0" fillId="0" borderId="29" xfId="0" applyNumberFormat="1" applyBorder="1" applyAlignment="1">
      <alignment horizontal="center"/>
    </xf>
    <xf numFmtId="2" fontId="54" fillId="0" borderId="29" xfId="0" applyNumberFormat="1" applyFont="1" applyBorder="1" applyProtection="1">
      <protection locked="0"/>
    </xf>
    <xf numFmtId="2" fontId="38" fillId="0" borderId="29" xfId="0" applyNumberFormat="1" applyFont="1" applyBorder="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Border="1" applyAlignment="1">
      <alignment horizontal="center"/>
    </xf>
    <xf numFmtId="2" fontId="0" fillId="23" borderId="79" xfId="0" applyNumberFormat="1" applyFill="1" applyBorder="1" applyAlignment="1">
      <alignment horizontal="center"/>
    </xf>
    <xf numFmtId="2" fontId="0" fillId="0" borderId="100" xfId="0" applyNumberFormat="1" applyBorder="1"/>
    <xf numFmtId="2" fontId="0" fillId="3" borderId="101" xfId="0" applyNumberFormat="1" applyFill="1" applyBorder="1" applyAlignment="1">
      <alignment horizontal="center"/>
    </xf>
    <xf numFmtId="2" fontId="0" fillId="0" borderId="0" xfId="0" applyNumberFormat="1"/>
    <xf numFmtId="188" fontId="5" fillId="0" borderId="0" xfId="0" applyNumberFormat="1" applyFont="1" applyAlignment="1">
      <alignment horizontal="center"/>
    </xf>
    <xf numFmtId="0" fontId="5" fillId="0" borderId="0" xfId="0" applyFont="1" applyAlignment="1">
      <alignment horizontal="center"/>
    </xf>
    <xf numFmtId="2" fontId="0" fillId="26" borderId="29" xfId="0" applyNumberFormat="1" applyFill="1" applyBorder="1" applyAlignment="1" applyProtection="1">
      <alignment horizontal="center"/>
      <protection locked="0"/>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5" fillId="3" borderId="17" xfId="0" applyFont="1" applyFill="1" applyBorder="1" applyAlignment="1" applyProtection="1">
      <alignment horizontal="right"/>
      <protection locked="0"/>
    </xf>
    <xf numFmtId="0" fontId="24" fillId="14" borderId="29" xfId="0" applyFont="1" applyFill="1" applyBorder="1" applyAlignment="1">
      <alignment horizontal="center"/>
    </xf>
    <xf numFmtId="175"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4" fillId="0" borderId="76" xfId="0" applyFont="1" applyFill="1" applyBorder="1" applyAlignment="1">
      <alignment horizontal="center"/>
    </xf>
    <xf numFmtId="0" fontId="24" fillId="0" borderId="29" xfId="0" applyFont="1" applyFill="1" applyBorder="1" applyAlignment="1">
      <alignment horizontal="center"/>
    </xf>
    <xf numFmtId="170" fontId="11" fillId="0" borderId="29"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3" xfId="0" applyNumberFormat="1" applyFont="1" applyFill="1" applyBorder="1" applyAlignment="1">
      <alignment horizontal="center" vertical="center"/>
    </xf>
    <xf numFmtId="0" fontId="0" fillId="0" borderId="0" xfId="0" applyAlignment="1">
      <alignment horizontal="center"/>
    </xf>
    <xf numFmtId="0" fontId="24" fillId="0" borderId="30" xfId="0" applyFont="1" applyFill="1" applyBorder="1" applyAlignment="1">
      <alignment horizontal="center"/>
    </xf>
    <xf numFmtId="170" fontId="11" fillId="0" borderId="31" xfId="0" applyNumberFormat="1" applyFont="1" applyFill="1" applyBorder="1" applyAlignment="1">
      <alignment horizontal="center" vertical="center"/>
    </xf>
    <xf numFmtId="170" fontId="11" fillId="0" borderId="73" xfId="0" applyNumberFormat="1" applyFont="1" applyFill="1" applyBorder="1" applyAlignment="1">
      <alignment horizontal="center" vertical="center"/>
    </xf>
    <xf numFmtId="0" fontId="24" fillId="12" borderId="30" xfId="0"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11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5" fontId="61" fillId="3" borderId="16" xfId="0" applyNumberFormat="1" applyFont="1" applyFill="1" applyBorder="1" applyAlignment="1" applyProtection="1">
      <alignment horizontal="left"/>
      <protection locked="0"/>
    </xf>
    <xf numFmtId="170" fontId="11" fillId="12" borderId="31" xfId="0" applyNumberFormat="1" applyFont="1" applyFill="1" applyBorder="1" applyAlignment="1">
      <alignment horizontal="center" vertical="center"/>
    </xf>
    <xf numFmtId="170" fontId="11" fillId="3" borderId="31" xfId="0" applyNumberFormat="1" applyFont="1" applyFill="1" applyBorder="1" applyAlignment="1">
      <alignment horizontal="center" vertical="center"/>
    </xf>
    <xf numFmtId="170" fontId="11" fillId="3" borderId="73" xfId="0" applyNumberFormat="1" applyFont="1" applyFill="1" applyBorder="1" applyAlignment="1">
      <alignment horizontal="center" vertical="center"/>
    </xf>
    <xf numFmtId="0" fontId="0" fillId="0" borderId="0" xfId="0" applyAlignment="1">
      <alignment horizontal="center"/>
    </xf>
    <xf numFmtId="175" fontId="62" fillId="0" borderId="3" xfId="0" applyNumberFormat="1" applyFont="1" applyBorder="1" applyAlignment="1">
      <alignment horizontal="center"/>
    </xf>
    <xf numFmtId="175" fontId="2" fillId="26" borderId="3" xfId="0" applyNumberFormat="1" applyFont="1" applyFill="1" applyBorder="1" applyAlignment="1">
      <alignment horizontal="center"/>
    </xf>
    <xf numFmtId="0" fontId="2" fillId="26" borderId="35" xfId="0" applyFont="1" applyFill="1" applyBorder="1" applyAlignment="1">
      <alignment horizontal="left" vertical="top" wrapText="1"/>
    </xf>
    <xf numFmtId="175" fontId="15" fillId="26" borderId="0" xfId="0" applyNumberFormat="1" applyFont="1" applyFill="1" applyAlignment="1">
      <alignment horizontal="center"/>
    </xf>
    <xf numFmtId="0" fontId="49" fillId="21" borderId="54" xfId="0" applyFont="1" applyFill="1" applyBorder="1" applyAlignment="1" applyProtection="1">
      <alignment horizontal="center" vertical="center"/>
      <protection locked="0"/>
    </xf>
    <xf numFmtId="0" fontId="13" fillId="21" borderId="36"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7" borderId="8" xfId="0" applyNumberFormat="1" applyFont="1" applyFill="1" applyBorder="1" applyAlignment="1">
      <alignment horizontal="center"/>
    </xf>
    <xf numFmtId="0" fontId="22" fillId="6" borderId="6" xfId="0" applyFont="1" applyFill="1" applyBorder="1" applyAlignment="1" applyProtection="1">
      <alignment horizontal="left"/>
      <protection hidden="1"/>
    </xf>
    <xf numFmtId="0" fontId="22" fillId="6" borderId="5" xfId="0" applyFont="1" applyFill="1" applyBorder="1" applyProtection="1">
      <protection hidden="1"/>
    </xf>
    <xf numFmtId="0" fontId="22" fillId="6" borderId="5" xfId="0" applyFont="1" applyFill="1" applyBorder="1" applyAlignment="1" applyProtection="1">
      <alignment horizontal="center"/>
      <protection hidden="1"/>
    </xf>
    <xf numFmtId="1" fontId="22" fillId="0" borderId="6" xfId="0" applyNumberFormat="1" applyFont="1" applyBorder="1" applyAlignment="1" applyProtection="1">
      <alignment horizontal="right"/>
      <protection hidden="1"/>
    </xf>
    <xf numFmtId="0" fontId="64" fillId="0" borderId="7" xfId="0" applyFont="1" applyBorder="1" applyProtection="1">
      <protection hidden="1"/>
    </xf>
    <xf numFmtId="170" fontId="11" fillId="0" borderId="46" xfId="0" applyNumberFormat="1" applyFont="1" applyFill="1" applyBorder="1" applyAlignment="1">
      <alignment horizontal="center" vertical="center"/>
    </xf>
    <xf numFmtId="0" fontId="26" fillId="0" borderId="0" xfId="0" applyFont="1"/>
    <xf numFmtId="0" fontId="65" fillId="0" borderId="0" xfId="0" applyFont="1"/>
    <xf numFmtId="0" fontId="66" fillId="28" borderId="3" xfId="0" applyFont="1" applyFill="1" applyBorder="1"/>
    <xf numFmtId="0" fontId="66" fillId="0" borderId="0" xfId="0" applyFont="1"/>
    <xf numFmtId="0" fontId="12" fillId="0" borderId="0" xfId="0" applyFont="1" applyFill="1" applyBorder="1" applyAlignment="1" applyProtection="1">
      <alignment horizontal="right"/>
      <protection locked="0"/>
    </xf>
    <xf numFmtId="0" fontId="0" fillId="0" borderId="0" xfId="0" applyFill="1" applyBorder="1" applyProtection="1">
      <protection locked="0"/>
    </xf>
    <xf numFmtId="182" fontId="0" fillId="0" borderId="0" xfId="0" applyNumberFormat="1" applyFill="1" applyBorder="1" applyAlignment="1" applyProtection="1">
      <alignment horizontal="left"/>
      <protection locked="0"/>
    </xf>
    <xf numFmtId="175" fontId="61" fillId="0" borderId="0" xfId="0" applyNumberFormat="1" applyFont="1" applyFill="1" applyBorder="1" applyAlignment="1" applyProtection="1">
      <alignment horizontal="left"/>
      <protection locked="0"/>
    </xf>
    <xf numFmtId="0" fontId="1" fillId="29" borderId="14" xfId="0" applyFont="1" applyFill="1" applyBorder="1" applyAlignment="1" applyProtection="1">
      <alignment horizontal="left"/>
      <protection locked="0"/>
    </xf>
    <xf numFmtId="0" fontId="1" fillId="29" borderId="15" xfId="0" applyFont="1" applyFill="1" applyBorder="1" applyAlignment="1" applyProtection="1">
      <alignment horizontal="left"/>
      <protection locked="0"/>
    </xf>
    <xf numFmtId="0" fontId="1" fillId="29" borderId="16" xfId="0" applyFont="1" applyFill="1" applyBorder="1" applyAlignment="1" applyProtection="1">
      <alignment horizontal="left"/>
      <protection locked="0"/>
    </xf>
    <xf numFmtId="0" fontId="1" fillId="29" borderId="17" xfId="0" applyFont="1" applyFill="1" applyBorder="1" applyAlignment="1" applyProtection="1">
      <alignment horizontal="left"/>
      <protection locked="0"/>
    </xf>
    <xf numFmtId="0" fontId="1" fillId="29" borderId="0" xfId="0" applyFont="1" applyFill="1" applyBorder="1" applyAlignment="1" applyProtection="1">
      <alignment horizontal="left"/>
      <protection locked="0"/>
    </xf>
    <xf numFmtId="0" fontId="1" fillId="29" borderId="21" xfId="0" applyFont="1" applyFill="1" applyBorder="1" applyAlignment="1" applyProtection="1">
      <alignment horizontal="left"/>
      <protection locked="0"/>
    </xf>
    <xf numFmtId="0" fontId="1" fillId="29" borderId="111" xfId="0" applyFont="1" applyFill="1" applyBorder="1" applyAlignment="1" applyProtection="1">
      <alignment horizontal="left"/>
      <protection locked="0"/>
    </xf>
    <xf numFmtId="0" fontId="1" fillId="29" borderId="67" xfId="0" applyFont="1" applyFill="1" applyBorder="1" applyAlignment="1" applyProtection="1">
      <alignment horizontal="left"/>
      <protection locked="0"/>
    </xf>
    <xf numFmtId="0" fontId="1" fillId="29" borderId="112" xfId="0" applyFont="1" applyFill="1" applyBorder="1" applyAlignment="1" applyProtection="1">
      <alignment horizontal="left"/>
      <protection locked="0"/>
    </xf>
    <xf numFmtId="0" fontId="66" fillId="0" borderId="3" xfId="0" applyFont="1" applyFill="1" applyBorder="1"/>
    <xf numFmtId="0" fontId="56" fillId="0" borderId="0" xfId="0" applyFont="1"/>
    <xf numFmtId="0" fontId="67" fillId="4" borderId="0" xfId="0" applyFont="1" applyFill="1" applyAlignment="1">
      <alignment horizontal="left"/>
    </xf>
    <xf numFmtId="0" fontId="67" fillId="3" borderId="0" xfId="0" applyFont="1" applyFill="1" applyAlignment="1">
      <alignment horizontal="left"/>
    </xf>
    <xf numFmtId="1" fontId="67" fillId="0" borderId="8" xfId="0" applyNumberFormat="1" applyFont="1" applyBorder="1" applyAlignment="1">
      <alignment horizontal="center"/>
    </xf>
    <xf numFmtId="9" fontId="67" fillId="6" borderId="6" xfId="3" applyFont="1" applyFill="1" applyBorder="1" applyAlignment="1">
      <alignment horizontal="left"/>
    </xf>
    <xf numFmtId="0" fontId="67" fillId="6" borderId="6" xfId="0" applyFont="1" applyFill="1" applyBorder="1"/>
    <xf numFmtId="0" fontId="69" fillId="6" borderId="5" xfId="0" applyFont="1" applyFill="1" applyBorder="1"/>
    <xf numFmtId="0" fontId="69" fillId="6" borderId="7" xfId="0" applyFont="1" applyFill="1" applyBorder="1"/>
    <xf numFmtId="1" fontId="67" fillId="27" borderId="8" xfId="0" applyNumberFormat="1" applyFont="1" applyFill="1" applyBorder="1" applyAlignment="1">
      <alignment horizontal="center"/>
    </xf>
    <xf numFmtId="178" fontId="2" fillId="0" borderId="0" xfId="0" applyNumberFormat="1" applyFont="1" applyAlignment="1">
      <alignment horizontal="left"/>
    </xf>
    <xf numFmtId="0" fontId="46" fillId="10" borderId="0" xfId="0" applyFont="1" applyFill="1" applyAlignment="1">
      <alignment horizontal="center" vertical="center"/>
    </xf>
    <xf numFmtId="179" fontId="23" fillId="0" borderId="0" xfId="0" applyNumberFormat="1" applyFont="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15" fillId="0" borderId="11" xfId="0" applyFont="1" applyBorder="1" applyAlignment="1">
      <alignment horizontal="right"/>
    </xf>
    <xf numFmtId="0" fontId="2" fillId="0" borderId="37" xfId="0" applyFont="1" applyBorder="1" applyAlignment="1">
      <alignment horizontal="center" vertical="top"/>
    </xf>
    <xf numFmtId="0" fontId="2" fillId="0" borderId="39" xfId="0" applyFont="1" applyBorder="1" applyAlignment="1">
      <alignment horizontal="center" vertical="top"/>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9" fillId="21" borderId="54" xfId="0" applyFont="1" applyFill="1" applyBorder="1" applyAlignment="1" applyProtection="1">
      <alignment horizontal="center" vertical="center"/>
      <protection locked="0"/>
    </xf>
    <xf numFmtId="0" fontId="49"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xf numFmtId="20" fontId="0" fillId="0" borderId="0" xfId="0" applyNumberFormat="1" applyBorder="1"/>
    <xf numFmtId="0" fontId="0" fillId="0" borderId="0" xfId="0" applyBorder="1"/>
    <xf numFmtId="175" fontId="0" fillId="0" borderId="0" xfId="0" applyNumberFormat="1" applyBorder="1"/>
    <xf numFmtId="170" fontId="11" fillId="0" borderId="62" xfId="0" applyNumberFormat="1" applyFont="1" applyFill="1" applyBorder="1" applyAlignment="1">
      <alignment horizontal="center" vertical="center"/>
    </xf>
    <xf numFmtId="0" fontId="1" fillId="5" borderId="0" xfId="0" applyFont="1" applyFill="1" applyProtection="1">
      <protection locked="0"/>
    </xf>
  </cellXfs>
  <cellStyles count="4">
    <cellStyle name="Normal" xfId="0" builtinId="0"/>
    <cellStyle name="Normal 2" xfId="1" xr:uid="{9EF1560B-1553-4A06-AD26-451826D093D2}"/>
    <cellStyle name="Normal 5" xfId="2" xr:uid="{B0F5FC8D-FD0B-4C73-8843-083E99CE7040}"/>
    <cellStyle name="Percent" xfId="3" builtinId="5"/>
  </cellStyles>
  <dxfs count="42">
    <dxf>
      <fill>
        <patternFill patternType="lightGray"/>
      </fill>
    </dxf>
    <dxf>
      <font>
        <b/>
        <i val="0"/>
        <condense val="0"/>
        <extend val="0"/>
        <color indexed="10"/>
      </font>
    </dxf>
    <dxf>
      <font>
        <condense val="0"/>
        <extend val="0"/>
        <color indexed="10"/>
      </font>
    </dxf>
    <dxf>
      <font>
        <b val="0"/>
        <i val="0"/>
        <condense val="0"/>
        <extend val="0"/>
        <color indexed="10"/>
      </font>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43465</c:v>
                </c:pt>
                <c:pt idx="1">
                  <c:v>43466</c:v>
                </c:pt>
                <c:pt idx="2">
                  <c:v>43467</c:v>
                </c:pt>
                <c:pt idx="3">
                  <c:v>43468</c:v>
                </c:pt>
                <c:pt idx="4">
                  <c:v>43469</c:v>
                </c:pt>
                <c:pt idx="5">
                  <c:v>43470</c:v>
                </c:pt>
                <c:pt idx="6">
                  <c:v>43471</c:v>
                </c:pt>
                <c:pt idx="7">
                  <c:v>43472</c:v>
                </c:pt>
                <c:pt idx="8">
                  <c:v>43473</c:v>
                </c:pt>
                <c:pt idx="9">
                  <c:v>43474</c:v>
                </c:pt>
                <c:pt idx="10">
                  <c:v>43475</c:v>
                </c:pt>
                <c:pt idx="11">
                  <c:v>43476</c:v>
                </c:pt>
                <c:pt idx="12">
                  <c:v>43477</c:v>
                </c:pt>
                <c:pt idx="13">
                  <c:v>43478</c:v>
                </c:pt>
                <c:pt idx="14">
                  <c:v>43479</c:v>
                </c:pt>
                <c:pt idx="15">
                  <c:v>43480</c:v>
                </c:pt>
                <c:pt idx="16">
                  <c:v>43481</c:v>
                </c:pt>
                <c:pt idx="17">
                  <c:v>43482</c:v>
                </c:pt>
                <c:pt idx="18">
                  <c:v>43483</c:v>
                </c:pt>
                <c:pt idx="19">
                  <c:v>43484</c:v>
                </c:pt>
                <c:pt idx="20">
                  <c:v>43485</c:v>
                </c:pt>
                <c:pt idx="21">
                  <c:v>43486</c:v>
                </c:pt>
                <c:pt idx="22">
                  <c:v>43487</c:v>
                </c:pt>
                <c:pt idx="23">
                  <c:v>43488</c:v>
                </c:pt>
                <c:pt idx="24">
                  <c:v>43489</c:v>
                </c:pt>
                <c:pt idx="25">
                  <c:v>43490</c:v>
                </c:pt>
                <c:pt idx="26">
                  <c:v>43491</c:v>
                </c:pt>
                <c:pt idx="27">
                  <c:v>43492</c:v>
                </c:pt>
                <c:pt idx="28">
                  <c:v>43493</c:v>
                </c:pt>
                <c:pt idx="29">
                  <c:v>43494</c:v>
                </c:pt>
                <c:pt idx="30">
                  <c:v>43495</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43465</c:v>
                </c:pt>
                <c:pt idx="1">
                  <c:v>43466</c:v>
                </c:pt>
                <c:pt idx="2">
                  <c:v>43467</c:v>
                </c:pt>
                <c:pt idx="3">
                  <c:v>43468</c:v>
                </c:pt>
                <c:pt idx="4">
                  <c:v>43469</c:v>
                </c:pt>
                <c:pt idx="5">
                  <c:v>43470</c:v>
                </c:pt>
                <c:pt idx="6">
                  <c:v>43471</c:v>
                </c:pt>
                <c:pt idx="7">
                  <c:v>43472</c:v>
                </c:pt>
                <c:pt idx="8">
                  <c:v>43473</c:v>
                </c:pt>
                <c:pt idx="9">
                  <c:v>43474</c:v>
                </c:pt>
                <c:pt idx="10">
                  <c:v>43475</c:v>
                </c:pt>
                <c:pt idx="11">
                  <c:v>43476</c:v>
                </c:pt>
                <c:pt idx="12">
                  <c:v>43477</c:v>
                </c:pt>
                <c:pt idx="13">
                  <c:v>43478</c:v>
                </c:pt>
                <c:pt idx="14">
                  <c:v>43479</c:v>
                </c:pt>
                <c:pt idx="15">
                  <c:v>43480</c:v>
                </c:pt>
                <c:pt idx="16">
                  <c:v>43481</c:v>
                </c:pt>
                <c:pt idx="17">
                  <c:v>43482</c:v>
                </c:pt>
                <c:pt idx="18">
                  <c:v>43483</c:v>
                </c:pt>
                <c:pt idx="19">
                  <c:v>43484</c:v>
                </c:pt>
                <c:pt idx="20">
                  <c:v>43485</c:v>
                </c:pt>
                <c:pt idx="21">
                  <c:v>43486</c:v>
                </c:pt>
                <c:pt idx="22">
                  <c:v>43487</c:v>
                </c:pt>
                <c:pt idx="23">
                  <c:v>43488</c:v>
                </c:pt>
                <c:pt idx="24">
                  <c:v>43489</c:v>
                </c:pt>
                <c:pt idx="25">
                  <c:v>43490</c:v>
                </c:pt>
                <c:pt idx="26">
                  <c:v>43491</c:v>
                </c:pt>
                <c:pt idx="27">
                  <c:v>43492</c:v>
                </c:pt>
                <c:pt idx="28">
                  <c:v>43493</c:v>
                </c:pt>
                <c:pt idx="29">
                  <c:v>43494</c:v>
                </c:pt>
                <c:pt idx="30">
                  <c:v>43495</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43465</c:v>
                </c:pt>
                <c:pt idx="1">
                  <c:v>43466</c:v>
                </c:pt>
                <c:pt idx="2">
                  <c:v>43467</c:v>
                </c:pt>
                <c:pt idx="3">
                  <c:v>43468</c:v>
                </c:pt>
                <c:pt idx="4">
                  <c:v>43469</c:v>
                </c:pt>
                <c:pt idx="5">
                  <c:v>43470</c:v>
                </c:pt>
                <c:pt idx="6">
                  <c:v>43471</c:v>
                </c:pt>
                <c:pt idx="7">
                  <c:v>43472</c:v>
                </c:pt>
                <c:pt idx="8">
                  <c:v>43473</c:v>
                </c:pt>
                <c:pt idx="9">
                  <c:v>43474</c:v>
                </c:pt>
                <c:pt idx="10">
                  <c:v>43475</c:v>
                </c:pt>
                <c:pt idx="11">
                  <c:v>43476</c:v>
                </c:pt>
                <c:pt idx="12">
                  <c:v>43477</c:v>
                </c:pt>
                <c:pt idx="13">
                  <c:v>43478</c:v>
                </c:pt>
                <c:pt idx="14">
                  <c:v>43479</c:v>
                </c:pt>
                <c:pt idx="15">
                  <c:v>43480</c:v>
                </c:pt>
                <c:pt idx="16">
                  <c:v>43481</c:v>
                </c:pt>
                <c:pt idx="17">
                  <c:v>43482</c:v>
                </c:pt>
                <c:pt idx="18">
                  <c:v>43483</c:v>
                </c:pt>
                <c:pt idx="19">
                  <c:v>43484</c:v>
                </c:pt>
                <c:pt idx="20">
                  <c:v>43485</c:v>
                </c:pt>
                <c:pt idx="21">
                  <c:v>43486</c:v>
                </c:pt>
                <c:pt idx="22">
                  <c:v>43487</c:v>
                </c:pt>
                <c:pt idx="23">
                  <c:v>43488</c:v>
                </c:pt>
                <c:pt idx="24">
                  <c:v>43489</c:v>
                </c:pt>
                <c:pt idx="25">
                  <c:v>43490</c:v>
                </c:pt>
                <c:pt idx="26">
                  <c:v>43491</c:v>
                </c:pt>
                <c:pt idx="27">
                  <c:v>43492</c:v>
                </c:pt>
                <c:pt idx="28">
                  <c:v>43493</c:v>
                </c:pt>
                <c:pt idx="29">
                  <c:v>43494</c:v>
                </c:pt>
                <c:pt idx="30">
                  <c:v>43495</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43465</c:v>
                </c:pt>
                <c:pt idx="1">
                  <c:v>43466</c:v>
                </c:pt>
                <c:pt idx="2">
                  <c:v>43467</c:v>
                </c:pt>
                <c:pt idx="3">
                  <c:v>43468</c:v>
                </c:pt>
                <c:pt idx="4">
                  <c:v>43469</c:v>
                </c:pt>
                <c:pt idx="5">
                  <c:v>43470</c:v>
                </c:pt>
                <c:pt idx="6">
                  <c:v>43471</c:v>
                </c:pt>
                <c:pt idx="7">
                  <c:v>43472</c:v>
                </c:pt>
                <c:pt idx="8">
                  <c:v>43473</c:v>
                </c:pt>
                <c:pt idx="9">
                  <c:v>43474</c:v>
                </c:pt>
                <c:pt idx="10">
                  <c:v>43475</c:v>
                </c:pt>
                <c:pt idx="11">
                  <c:v>43476</c:v>
                </c:pt>
                <c:pt idx="12">
                  <c:v>43477</c:v>
                </c:pt>
                <c:pt idx="13">
                  <c:v>43478</c:v>
                </c:pt>
                <c:pt idx="14">
                  <c:v>43479</c:v>
                </c:pt>
                <c:pt idx="15">
                  <c:v>43480</c:v>
                </c:pt>
                <c:pt idx="16">
                  <c:v>43481</c:v>
                </c:pt>
                <c:pt idx="17">
                  <c:v>43482</c:v>
                </c:pt>
                <c:pt idx="18">
                  <c:v>43483</c:v>
                </c:pt>
                <c:pt idx="19">
                  <c:v>43484</c:v>
                </c:pt>
                <c:pt idx="20">
                  <c:v>43485</c:v>
                </c:pt>
                <c:pt idx="21">
                  <c:v>43486</c:v>
                </c:pt>
                <c:pt idx="22">
                  <c:v>43487</c:v>
                </c:pt>
                <c:pt idx="23">
                  <c:v>43488</c:v>
                </c:pt>
                <c:pt idx="24">
                  <c:v>43489</c:v>
                </c:pt>
                <c:pt idx="25">
                  <c:v>43490</c:v>
                </c:pt>
                <c:pt idx="26">
                  <c:v>43491</c:v>
                </c:pt>
                <c:pt idx="27">
                  <c:v>43492</c:v>
                </c:pt>
                <c:pt idx="28">
                  <c:v>43493</c:v>
                </c:pt>
                <c:pt idx="29">
                  <c:v>43494</c:v>
                </c:pt>
                <c:pt idx="30">
                  <c:v>43495</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23-Jan</c:v>
                </c:pt>
                <c:pt idx="1">
                  <c:v>23-Jan</c:v>
                </c:pt>
                <c:pt idx="2">
                  <c:v>23-Jan</c:v>
                </c:pt>
                <c:pt idx="3">
                  <c:v>23-Jan</c:v>
                </c:pt>
                <c:pt idx="4">
                  <c:v>23-Jan</c:v>
                </c:pt>
                <c:pt idx="5">
                  <c:v>23-Jan</c:v>
                </c:pt>
                <c:pt idx="6">
                  <c:v>23-Jan</c:v>
                </c:pt>
                <c:pt idx="7">
                  <c:v>23-Jan</c:v>
                </c:pt>
                <c:pt idx="8">
                  <c:v>23-Jan</c:v>
                </c:pt>
                <c:pt idx="9">
                  <c:v>23-Jan</c:v>
                </c:pt>
                <c:pt idx="10">
                  <c:v>23-Jan</c:v>
                </c:pt>
                <c:pt idx="11">
                  <c:v>23-Jan</c:v>
                </c:pt>
                <c:pt idx="12">
                  <c:v>23-Jan</c:v>
                </c:pt>
                <c:pt idx="13">
                  <c:v>23-Jan</c:v>
                </c:pt>
                <c:pt idx="14">
                  <c:v>23-Jan</c:v>
                </c:pt>
                <c:pt idx="15">
                  <c:v>23-Jan</c:v>
                </c:pt>
                <c:pt idx="16">
                  <c:v>23-Jan</c:v>
                </c:pt>
                <c:pt idx="17">
                  <c:v>23-Jan</c:v>
                </c:pt>
                <c:pt idx="18">
                  <c:v>23-Jan</c:v>
                </c:pt>
                <c:pt idx="19">
                  <c:v>23-Jan</c:v>
                </c:pt>
                <c:pt idx="20">
                  <c:v>23-Jan</c:v>
                </c:pt>
                <c:pt idx="21">
                  <c:v>23-Jan</c:v>
                </c:pt>
                <c:pt idx="22">
                  <c:v>23-Jan</c:v>
                </c:pt>
                <c:pt idx="23">
                  <c:v>23-Jan</c:v>
                </c:pt>
                <c:pt idx="24">
                  <c:v>23-Jan</c:v>
                </c:pt>
                <c:pt idx="25">
                  <c:v>23-Jan</c:v>
                </c:pt>
                <c:pt idx="26">
                  <c:v>23-Jan</c:v>
                </c:pt>
                <c:pt idx="27">
                  <c:v>23-Jan</c:v>
                </c:pt>
                <c:pt idx="28">
                  <c:v>23-Jan</c:v>
                </c:pt>
                <c:pt idx="29">
                  <c:v>23-Jan</c:v>
                </c:pt>
                <c:pt idx="30">
                  <c:v>23-Jan</c:v>
                </c:pt>
                <c:pt idx="31">
                  <c:v>23-Feb</c:v>
                </c:pt>
                <c:pt idx="32">
                  <c:v>23-Feb</c:v>
                </c:pt>
                <c:pt idx="33">
                  <c:v>23-Feb</c:v>
                </c:pt>
                <c:pt idx="34">
                  <c:v>23-Feb</c:v>
                </c:pt>
                <c:pt idx="35">
                  <c:v>23-Feb</c:v>
                </c:pt>
                <c:pt idx="36">
                  <c:v>23-Feb</c:v>
                </c:pt>
                <c:pt idx="37">
                  <c:v>23-Feb</c:v>
                </c:pt>
                <c:pt idx="38">
                  <c:v>23-Feb</c:v>
                </c:pt>
                <c:pt idx="39">
                  <c:v>23-Feb</c:v>
                </c:pt>
                <c:pt idx="40">
                  <c:v>23-Feb</c:v>
                </c:pt>
                <c:pt idx="41">
                  <c:v>23-Feb</c:v>
                </c:pt>
                <c:pt idx="42">
                  <c:v>23-Feb</c:v>
                </c:pt>
                <c:pt idx="43">
                  <c:v>23-Feb</c:v>
                </c:pt>
                <c:pt idx="44">
                  <c:v>23-Feb</c:v>
                </c:pt>
                <c:pt idx="45">
                  <c:v>23-Feb</c:v>
                </c:pt>
                <c:pt idx="46">
                  <c:v>23-Feb</c:v>
                </c:pt>
                <c:pt idx="47">
                  <c:v>23-Feb</c:v>
                </c:pt>
                <c:pt idx="48">
                  <c:v>23-Feb</c:v>
                </c:pt>
                <c:pt idx="49">
                  <c:v>23-Feb</c:v>
                </c:pt>
                <c:pt idx="50">
                  <c:v>23-Feb</c:v>
                </c:pt>
                <c:pt idx="51">
                  <c:v>23-Feb</c:v>
                </c:pt>
                <c:pt idx="52">
                  <c:v>23-Feb</c:v>
                </c:pt>
                <c:pt idx="53">
                  <c:v>23-Feb</c:v>
                </c:pt>
                <c:pt idx="54">
                  <c:v>23-Feb</c:v>
                </c:pt>
                <c:pt idx="55">
                  <c:v>23-Feb</c:v>
                </c:pt>
                <c:pt idx="56">
                  <c:v>23-Feb</c:v>
                </c:pt>
                <c:pt idx="57">
                  <c:v>23-Feb</c:v>
                </c:pt>
                <c:pt idx="58">
                  <c:v>23-Feb</c:v>
                </c:pt>
                <c:pt idx="59">
                  <c:v>23-Mar</c:v>
                </c:pt>
                <c:pt idx="60">
                  <c:v>23-Mar</c:v>
                </c:pt>
                <c:pt idx="61">
                  <c:v>23-Mar</c:v>
                </c:pt>
                <c:pt idx="62">
                  <c:v>23-Mar</c:v>
                </c:pt>
                <c:pt idx="63">
                  <c:v>23-Mar</c:v>
                </c:pt>
                <c:pt idx="64">
                  <c:v>23-Mar</c:v>
                </c:pt>
                <c:pt idx="65">
                  <c:v>23-Mar</c:v>
                </c:pt>
                <c:pt idx="66">
                  <c:v>23-Mar</c:v>
                </c:pt>
                <c:pt idx="67">
                  <c:v>23-Mar</c:v>
                </c:pt>
                <c:pt idx="68">
                  <c:v>23-Mar</c:v>
                </c:pt>
                <c:pt idx="69">
                  <c:v>23-Mar</c:v>
                </c:pt>
                <c:pt idx="70">
                  <c:v>23-Mar</c:v>
                </c:pt>
                <c:pt idx="71">
                  <c:v>23-Mar</c:v>
                </c:pt>
                <c:pt idx="72">
                  <c:v>23-Mar</c:v>
                </c:pt>
                <c:pt idx="73">
                  <c:v>23-Mar</c:v>
                </c:pt>
                <c:pt idx="74">
                  <c:v>23-Mar</c:v>
                </c:pt>
                <c:pt idx="75">
                  <c:v>23-Mar</c:v>
                </c:pt>
                <c:pt idx="76">
                  <c:v>23-Mar</c:v>
                </c:pt>
                <c:pt idx="77">
                  <c:v>23-Mar</c:v>
                </c:pt>
                <c:pt idx="78">
                  <c:v>23-Mar</c:v>
                </c:pt>
                <c:pt idx="79">
                  <c:v>23-Mar</c:v>
                </c:pt>
                <c:pt idx="80">
                  <c:v>23-Mar</c:v>
                </c:pt>
                <c:pt idx="81">
                  <c:v>23-Mar</c:v>
                </c:pt>
                <c:pt idx="82">
                  <c:v>23-Mar</c:v>
                </c:pt>
                <c:pt idx="83">
                  <c:v>23-Mar</c:v>
                </c:pt>
                <c:pt idx="84">
                  <c:v>23-Mar</c:v>
                </c:pt>
                <c:pt idx="85">
                  <c:v>23-Mar</c:v>
                </c:pt>
                <c:pt idx="86">
                  <c:v>23-Mar</c:v>
                </c:pt>
                <c:pt idx="87">
                  <c:v>23-Mar</c:v>
                </c:pt>
                <c:pt idx="88">
                  <c:v>23-Mar</c:v>
                </c:pt>
                <c:pt idx="89">
                  <c:v>23-Mar</c:v>
                </c:pt>
                <c:pt idx="90">
                  <c:v>23-Apr</c:v>
                </c:pt>
                <c:pt idx="91">
                  <c:v>23-Apr</c:v>
                </c:pt>
                <c:pt idx="92">
                  <c:v>23-Apr</c:v>
                </c:pt>
                <c:pt idx="93">
                  <c:v>23-Apr</c:v>
                </c:pt>
                <c:pt idx="94">
                  <c:v>23-Apr</c:v>
                </c:pt>
                <c:pt idx="95">
                  <c:v>23-Apr</c:v>
                </c:pt>
                <c:pt idx="96">
                  <c:v>23-Apr</c:v>
                </c:pt>
                <c:pt idx="97">
                  <c:v>23-Apr</c:v>
                </c:pt>
                <c:pt idx="98">
                  <c:v>23-Apr</c:v>
                </c:pt>
                <c:pt idx="99">
                  <c:v>23-Apr</c:v>
                </c:pt>
                <c:pt idx="100">
                  <c:v>23-Apr</c:v>
                </c:pt>
                <c:pt idx="101">
                  <c:v>23-Apr</c:v>
                </c:pt>
                <c:pt idx="102">
                  <c:v>23-Apr</c:v>
                </c:pt>
                <c:pt idx="103">
                  <c:v>23-Apr</c:v>
                </c:pt>
                <c:pt idx="104">
                  <c:v>23-Apr</c:v>
                </c:pt>
                <c:pt idx="105">
                  <c:v>23-Apr</c:v>
                </c:pt>
                <c:pt idx="106">
                  <c:v>23-Apr</c:v>
                </c:pt>
                <c:pt idx="107">
                  <c:v>23-Apr</c:v>
                </c:pt>
                <c:pt idx="108">
                  <c:v>23-Apr</c:v>
                </c:pt>
                <c:pt idx="109">
                  <c:v>23-Apr</c:v>
                </c:pt>
                <c:pt idx="110">
                  <c:v>23-Apr</c:v>
                </c:pt>
                <c:pt idx="111">
                  <c:v>23-Apr</c:v>
                </c:pt>
                <c:pt idx="112">
                  <c:v>23-Apr</c:v>
                </c:pt>
                <c:pt idx="113">
                  <c:v>23-Apr</c:v>
                </c:pt>
                <c:pt idx="114">
                  <c:v>23-Apr</c:v>
                </c:pt>
                <c:pt idx="115">
                  <c:v>23-Apr</c:v>
                </c:pt>
                <c:pt idx="116">
                  <c:v>23-Apr</c:v>
                </c:pt>
                <c:pt idx="117">
                  <c:v>23-Apr</c:v>
                </c:pt>
                <c:pt idx="118">
                  <c:v>23-Apr</c:v>
                </c:pt>
                <c:pt idx="119">
                  <c:v>23-Apr</c:v>
                </c:pt>
                <c:pt idx="120">
                  <c:v>23-May</c:v>
                </c:pt>
                <c:pt idx="121">
                  <c:v>23-May</c:v>
                </c:pt>
                <c:pt idx="122">
                  <c:v>23-May</c:v>
                </c:pt>
                <c:pt idx="123">
                  <c:v>23-May</c:v>
                </c:pt>
                <c:pt idx="124">
                  <c:v>23-May</c:v>
                </c:pt>
                <c:pt idx="125">
                  <c:v>23-May</c:v>
                </c:pt>
                <c:pt idx="126">
                  <c:v>23-May</c:v>
                </c:pt>
                <c:pt idx="127">
                  <c:v>23-May</c:v>
                </c:pt>
                <c:pt idx="128">
                  <c:v>23-May</c:v>
                </c:pt>
                <c:pt idx="129">
                  <c:v>23-May</c:v>
                </c:pt>
                <c:pt idx="130">
                  <c:v>23-May</c:v>
                </c:pt>
                <c:pt idx="131">
                  <c:v>23-May</c:v>
                </c:pt>
                <c:pt idx="132">
                  <c:v>23-May</c:v>
                </c:pt>
                <c:pt idx="133">
                  <c:v>23-May</c:v>
                </c:pt>
                <c:pt idx="134">
                  <c:v>23-May</c:v>
                </c:pt>
                <c:pt idx="135">
                  <c:v>23-May</c:v>
                </c:pt>
                <c:pt idx="136">
                  <c:v>23-May</c:v>
                </c:pt>
                <c:pt idx="137">
                  <c:v>23-May</c:v>
                </c:pt>
                <c:pt idx="138">
                  <c:v>23-May</c:v>
                </c:pt>
                <c:pt idx="139">
                  <c:v>23-May</c:v>
                </c:pt>
                <c:pt idx="140">
                  <c:v>23-May</c:v>
                </c:pt>
                <c:pt idx="141">
                  <c:v>23-May</c:v>
                </c:pt>
                <c:pt idx="142">
                  <c:v>23-May</c:v>
                </c:pt>
                <c:pt idx="143">
                  <c:v>23-May</c:v>
                </c:pt>
                <c:pt idx="144">
                  <c:v>23-May</c:v>
                </c:pt>
                <c:pt idx="145">
                  <c:v>23-May</c:v>
                </c:pt>
                <c:pt idx="146">
                  <c:v>23-May</c:v>
                </c:pt>
                <c:pt idx="147">
                  <c:v>23-May</c:v>
                </c:pt>
                <c:pt idx="148">
                  <c:v>23-May</c:v>
                </c:pt>
                <c:pt idx="149">
                  <c:v>23-May</c:v>
                </c:pt>
                <c:pt idx="150">
                  <c:v>23-May</c:v>
                </c:pt>
                <c:pt idx="151">
                  <c:v>23-Jun</c:v>
                </c:pt>
                <c:pt idx="152">
                  <c:v>23-Jun</c:v>
                </c:pt>
                <c:pt idx="153">
                  <c:v>23-Jun</c:v>
                </c:pt>
                <c:pt idx="154">
                  <c:v>23-Jun</c:v>
                </c:pt>
                <c:pt idx="155">
                  <c:v>23-Jun</c:v>
                </c:pt>
                <c:pt idx="156">
                  <c:v>23-Jun</c:v>
                </c:pt>
                <c:pt idx="157">
                  <c:v>23-Jun</c:v>
                </c:pt>
                <c:pt idx="158">
                  <c:v>23-Jun</c:v>
                </c:pt>
                <c:pt idx="159">
                  <c:v>23-Jun</c:v>
                </c:pt>
                <c:pt idx="160">
                  <c:v>23-Jun</c:v>
                </c:pt>
                <c:pt idx="161">
                  <c:v>23-Jun</c:v>
                </c:pt>
                <c:pt idx="162">
                  <c:v>23-Jun</c:v>
                </c:pt>
                <c:pt idx="163">
                  <c:v>23-Jun</c:v>
                </c:pt>
                <c:pt idx="164">
                  <c:v>23-Jun</c:v>
                </c:pt>
                <c:pt idx="165">
                  <c:v>23-Jun</c:v>
                </c:pt>
                <c:pt idx="166">
                  <c:v>23-Jun</c:v>
                </c:pt>
                <c:pt idx="167">
                  <c:v>23-Jun</c:v>
                </c:pt>
                <c:pt idx="168">
                  <c:v>23-Jun</c:v>
                </c:pt>
                <c:pt idx="169">
                  <c:v>23-Jun</c:v>
                </c:pt>
                <c:pt idx="170">
                  <c:v>23-Jun</c:v>
                </c:pt>
                <c:pt idx="171">
                  <c:v>23-Jun</c:v>
                </c:pt>
                <c:pt idx="172">
                  <c:v>23-Jun</c:v>
                </c:pt>
                <c:pt idx="173">
                  <c:v>23-Jun</c:v>
                </c:pt>
                <c:pt idx="174">
                  <c:v>23-Jun</c:v>
                </c:pt>
                <c:pt idx="175">
                  <c:v>23-Jun</c:v>
                </c:pt>
                <c:pt idx="176">
                  <c:v>23-Jun</c:v>
                </c:pt>
                <c:pt idx="177">
                  <c:v>23-Jun</c:v>
                </c:pt>
                <c:pt idx="178">
                  <c:v>23-Jun</c:v>
                </c:pt>
                <c:pt idx="179">
                  <c:v>23-Jun</c:v>
                </c:pt>
                <c:pt idx="180">
                  <c:v>23-Jun</c:v>
                </c:pt>
                <c:pt idx="181">
                  <c:v>23-Jul</c:v>
                </c:pt>
                <c:pt idx="182">
                  <c:v>23-Jul</c:v>
                </c:pt>
                <c:pt idx="183">
                  <c:v>23-Jul</c:v>
                </c:pt>
                <c:pt idx="184">
                  <c:v>23-Jul</c:v>
                </c:pt>
                <c:pt idx="185">
                  <c:v>23-Jul</c:v>
                </c:pt>
                <c:pt idx="186">
                  <c:v>23-Jul</c:v>
                </c:pt>
                <c:pt idx="187">
                  <c:v>23-Jul</c:v>
                </c:pt>
                <c:pt idx="188">
                  <c:v>23-Jul</c:v>
                </c:pt>
                <c:pt idx="189">
                  <c:v>23-Jul</c:v>
                </c:pt>
                <c:pt idx="190">
                  <c:v>23-Jul</c:v>
                </c:pt>
                <c:pt idx="191">
                  <c:v>23-Jul</c:v>
                </c:pt>
                <c:pt idx="192">
                  <c:v>23-Jul</c:v>
                </c:pt>
                <c:pt idx="193">
                  <c:v>23-Jul</c:v>
                </c:pt>
                <c:pt idx="194">
                  <c:v>23-Jul</c:v>
                </c:pt>
                <c:pt idx="195">
                  <c:v>23-Jul</c:v>
                </c:pt>
                <c:pt idx="196">
                  <c:v>23-Jul</c:v>
                </c:pt>
                <c:pt idx="197">
                  <c:v>23-Jul</c:v>
                </c:pt>
                <c:pt idx="198">
                  <c:v>23-Jul</c:v>
                </c:pt>
                <c:pt idx="199">
                  <c:v>23-Jul</c:v>
                </c:pt>
                <c:pt idx="200">
                  <c:v>23-Jul</c:v>
                </c:pt>
                <c:pt idx="201">
                  <c:v>23-Jul</c:v>
                </c:pt>
                <c:pt idx="202">
                  <c:v>23-Jul</c:v>
                </c:pt>
                <c:pt idx="203">
                  <c:v>23-Jul</c:v>
                </c:pt>
                <c:pt idx="204">
                  <c:v>23-Jul</c:v>
                </c:pt>
                <c:pt idx="205">
                  <c:v>23-Jul</c:v>
                </c:pt>
                <c:pt idx="206">
                  <c:v>23-Jul</c:v>
                </c:pt>
                <c:pt idx="207">
                  <c:v>23-Jul</c:v>
                </c:pt>
                <c:pt idx="208">
                  <c:v>23-Jul</c:v>
                </c:pt>
                <c:pt idx="209">
                  <c:v>23-Jul</c:v>
                </c:pt>
                <c:pt idx="210">
                  <c:v>23-Jul</c:v>
                </c:pt>
                <c:pt idx="211">
                  <c:v>23-Jul</c:v>
                </c:pt>
                <c:pt idx="212">
                  <c:v>23-Aug</c:v>
                </c:pt>
                <c:pt idx="213">
                  <c:v>23-Aug</c:v>
                </c:pt>
                <c:pt idx="214">
                  <c:v>23-Aug</c:v>
                </c:pt>
                <c:pt idx="215">
                  <c:v>23-Aug</c:v>
                </c:pt>
                <c:pt idx="216">
                  <c:v>23-Aug</c:v>
                </c:pt>
                <c:pt idx="217">
                  <c:v>23-Aug</c:v>
                </c:pt>
                <c:pt idx="218">
                  <c:v>23-Aug</c:v>
                </c:pt>
                <c:pt idx="219">
                  <c:v>23-Aug</c:v>
                </c:pt>
                <c:pt idx="220">
                  <c:v>23-Aug</c:v>
                </c:pt>
                <c:pt idx="221">
                  <c:v>23-Aug</c:v>
                </c:pt>
                <c:pt idx="222">
                  <c:v>23-Aug</c:v>
                </c:pt>
                <c:pt idx="223">
                  <c:v>23-Aug</c:v>
                </c:pt>
                <c:pt idx="224">
                  <c:v>23-Aug</c:v>
                </c:pt>
                <c:pt idx="225">
                  <c:v>23-Aug</c:v>
                </c:pt>
                <c:pt idx="226">
                  <c:v>23-Aug</c:v>
                </c:pt>
                <c:pt idx="227">
                  <c:v>23-Aug</c:v>
                </c:pt>
                <c:pt idx="228">
                  <c:v>23-Aug</c:v>
                </c:pt>
                <c:pt idx="229">
                  <c:v>23-Aug</c:v>
                </c:pt>
                <c:pt idx="230">
                  <c:v>23-Aug</c:v>
                </c:pt>
                <c:pt idx="231">
                  <c:v>23-Aug</c:v>
                </c:pt>
                <c:pt idx="232">
                  <c:v>23-Aug</c:v>
                </c:pt>
                <c:pt idx="233">
                  <c:v>23-Aug</c:v>
                </c:pt>
                <c:pt idx="234">
                  <c:v>23-Aug</c:v>
                </c:pt>
                <c:pt idx="235">
                  <c:v>23-Aug</c:v>
                </c:pt>
                <c:pt idx="236">
                  <c:v>23-Aug</c:v>
                </c:pt>
                <c:pt idx="237">
                  <c:v>23-Aug</c:v>
                </c:pt>
                <c:pt idx="238">
                  <c:v>23-Aug</c:v>
                </c:pt>
                <c:pt idx="239">
                  <c:v>23-Aug</c:v>
                </c:pt>
                <c:pt idx="240">
                  <c:v>23-Aug</c:v>
                </c:pt>
                <c:pt idx="241">
                  <c:v>23-Aug</c:v>
                </c:pt>
                <c:pt idx="242">
                  <c:v>23-Aug</c:v>
                </c:pt>
                <c:pt idx="243">
                  <c:v>23-Sep</c:v>
                </c:pt>
                <c:pt idx="244">
                  <c:v>23-Sep</c:v>
                </c:pt>
                <c:pt idx="245">
                  <c:v>23-Sep</c:v>
                </c:pt>
                <c:pt idx="246">
                  <c:v>23-Sep</c:v>
                </c:pt>
                <c:pt idx="247">
                  <c:v>23-Sep</c:v>
                </c:pt>
                <c:pt idx="248">
                  <c:v>23-Sep</c:v>
                </c:pt>
                <c:pt idx="249">
                  <c:v>23-Sep</c:v>
                </c:pt>
                <c:pt idx="250">
                  <c:v>23-Sep</c:v>
                </c:pt>
                <c:pt idx="251">
                  <c:v>23-Sep</c:v>
                </c:pt>
                <c:pt idx="252">
                  <c:v>23-Sep</c:v>
                </c:pt>
                <c:pt idx="253">
                  <c:v>23-Sep</c:v>
                </c:pt>
                <c:pt idx="254">
                  <c:v>23-Sep</c:v>
                </c:pt>
                <c:pt idx="255">
                  <c:v>23-Sep</c:v>
                </c:pt>
                <c:pt idx="256">
                  <c:v>23-Sep</c:v>
                </c:pt>
                <c:pt idx="257">
                  <c:v>23-Sep</c:v>
                </c:pt>
                <c:pt idx="258">
                  <c:v>23-Sep</c:v>
                </c:pt>
                <c:pt idx="259">
                  <c:v>23-Sep</c:v>
                </c:pt>
                <c:pt idx="260">
                  <c:v>23-Sep</c:v>
                </c:pt>
                <c:pt idx="261">
                  <c:v>23-Sep</c:v>
                </c:pt>
                <c:pt idx="262">
                  <c:v>23-Sep</c:v>
                </c:pt>
                <c:pt idx="263">
                  <c:v>23-Sep</c:v>
                </c:pt>
                <c:pt idx="264">
                  <c:v>23-Sep</c:v>
                </c:pt>
                <c:pt idx="265">
                  <c:v>23-Sep</c:v>
                </c:pt>
                <c:pt idx="266">
                  <c:v>23-Sep</c:v>
                </c:pt>
                <c:pt idx="267">
                  <c:v>23-Sep</c:v>
                </c:pt>
                <c:pt idx="268">
                  <c:v>23-Sep</c:v>
                </c:pt>
                <c:pt idx="269">
                  <c:v>23-Sep</c:v>
                </c:pt>
                <c:pt idx="270">
                  <c:v>23-Sep</c:v>
                </c:pt>
                <c:pt idx="271">
                  <c:v>23-Sep</c:v>
                </c:pt>
                <c:pt idx="272">
                  <c:v>23-Sep</c:v>
                </c:pt>
                <c:pt idx="273">
                  <c:v>23-Oct</c:v>
                </c:pt>
                <c:pt idx="274">
                  <c:v>23-Oct</c:v>
                </c:pt>
                <c:pt idx="275">
                  <c:v>23-Oct</c:v>
                </c:pt>
                <c:pt idx="276">
                  <c:v>23-Oct</c:v>
                </c:pt>
                <c:pt idx="277">
                  <c:v>23-Oct</c:v>
                </c:pt>
                <c:pt idx="278">
                  <c:v>23-Oct</c:v>
                </c:pt>
                <c:pt idx="279">
                  <c:v>23-Oct</c:v>
                </c:pt>
                <c:pt idx="280">
                  <c:v>23-Oct</c:v>
                </c:pt>
                <c:pt idx="281">
                  <c:v>23-Oct</c:v>
                </c:pt>
                <c:pt idx="282">
                  <c:v>23-Oct</c:v>
                </c:pt>
                <c:pt idx="283">
                  <c:v>23-Oct</c:v>
                </c:pt>
                <c:pt idx="284">
                  <c:v>23-Oct</c:v>
                </c:pt>
                <c:pt idx="285">
                  <c:v>23-Oct</c:v>
                </c:pt>
                <c:pt idx="286">
                  <c:v>23-Oct</c:v>
                </c:pt>
                <c:pt idx="287">
                  <c:v>23-Oct</c:v>
                </c:pt>
                <c:pt idx="288">
                  <c:v>23-Oct</c:v>
                </c:pt>
                <c:pt idx="289">
                  <c:v>23-Oct</c:v>
                </c:pt>
                <c:pt idx="290">
                  <c:v>23-Oct</c:v>
                </c:pt>
                <c:pt idx="291">
                  <c:v>23-Oct</c:v>
                </c:pt>
                <c:pt idx="292">
                  <c:v>23-Oct</c:v>
                </c:pt>
                <c:pt idx="293">
                  <c:v>23-Oct</c:v>
                </c:pt>
                <c:pt idx="294">
                  <c:v>23-Oct</c:v>
                </c:pt>
                <c:pt idx="295">
                  <c:v>23-Oct</c:v>
                </c:pt>
                <c:pt idx="296">
                  <c:v>23-Oct</c:v>
                </c:pt>
                <c:pt idx="297">
                  <c:v>23-Oct</c:v>
                </c:pt>
                <c:pt idx="298">
                  <c:v>23-Oct</c:v>
                </c:pt>
                <c:pt idx="299">
                  <c:v>23-Oct</c:v>
                </c:pt>
                <c:pt idx="300">
                  <c:v>23-Oct</c:v>
                </c:pt>
                <c:pt idx="301">
                  <c:v>23-Oct</c:v>
                </c:pt>
                <c:pt idx="302">
                  <c:v>23-Oct</c:v>
                </c:pt>
                <c:pt idx="303">
                  <c:v>23-Oct</c:v>
                </c:pt>
                <c:pt idx="304">
                  <c:v>23-Nov</c:v>
                </c:pt>
                <c:pt idx="305">
                  <c:v>23-Nov</c:v>
                </c:pt>
                <c:pt idx="306">
                  <c:v>23-Nov</c:v>
                </c:pt>
                <c:pt idx="307">
                  <c:v>23-Nov</c:v>
                </c:pt>
                <c:pt idx="308">
                  <c:v>23-Nov</c:v>
                </c:pt>
                <c:pt idx="309">
                  <c:v>23-Nov</c:v>
                </c:pt>
                <c:pt idx="310">
                  <c:v>23-Nov</c:v>
                </c:pt>
                <c:pt idx="311">
                  <c:v>23-Nov</c:v>
                </c:pt>
                <c:pt idx="312">
                  <c:v>23-Nov</c:v>
                </c:pt>
                <c:pt idx="313">
                  <c:v>23-Nov</c:v>
                </c:pt>
                <c:pt idx="314">
                  <c:v>23-Nov</c:v>
                </c:pt>
                <c:pt idx="315">
                  <c:v>23-Nov</c:v>
                </c:pt>
                <c:pt idx="316">
                  <c:v>23-Nov</c:v>
                </c:pt>
                <c:pt idx="317">
                  <c:v>23-Nov</c:v>
                </c:pt>
                <c:pt idx="318">
                  <c:v>23-Nov</c:v>
                </c:pt>
                <c:pt idx="319">
                  <c:v>23-Nov</c:v>
                </c:pt>
                <c:pt idx="320">
                  <c:v>23-Nov</c:v>
                </c:pt>
                <c:pt idx="321">
                  <c:v>23-Nov</c:v>
                </c:pt>
                <c:pt idx="322">
                  <c:v>23-Nov</c:v>
                </c:pt>
                <c:pt idx="323">
                  <c:v>23-Nov</c:v>
                </c:pt>
                <c:pt idx="324">
                  <c:v>23-Nov</c:v>
                </c:pt>
                <c:pt idx="325">
                  <c:v>23-Nov</c:v>
                </c:pt>
                <c:pt idx="326">
                  <c:v>23-Nov</c:v>
                </c:pt>
                <c:pt idx="327">
                  <c:v>23-Nov</c:v>
                </c:pt>
                <c:pt idx="328">
                  <c:v>23-Nov</c:v>
                </c:pt>
                <c:pt idx="329">
                  <c:v>23-Nov</c:v>
                </c:pt>
                <c:pt idx="330">
                  <c:v>23-Nov</c:v>
                </c:pt>
                <c:pt idx="331">
                  <c:v>23-Nov</c:v>
                </c:pt>
                <c:pt idx="332">
                  <c:v>23-Nov</c:v>
                </c:pt>
                <c:pt idx="333">
                  <c:v>23-Nov</c:v>
                </c:pt>
                <c:pt idx="334">
                  <c:v>23-Dec</c:v>
                </c:pt>
                <c:pt idx="335">
                  <c:v>23-Dec</c:v>
                </c:pt>
                <c:pt idx="336">
                  <c:v>23-Dec</c:v>
                </c:pt>
                <c:pt idx="337">
                  <c:v>23-Dec</c:v>
                </c:pt>
                <c:pt idx="338">
                  <c:v>23-Dec</c:v>
                </c:pt>
                <c:pt idx="339">
                  <c:v>23-Dec</c:v>
                </c:pt>
                <c:pt idx="340">
                  <c:v>23-Dec</c:v>
                </c:pt>
                <c:pt idx="341">
                  <c:v>23-Dec</c:v>
                </c:pt>
                <c:pt idx="342">
                  <c:v>23-Dec</c:v>
                </c:pt>
                <c:pt idx="343">
                  <c:v>23-Dec</c:v>
                </c:pt>
                <c:pt idx="344">
                  <c:v>23-Dec</c:v>
                </c:pt>
                <c:pt idx="345">
                  <c:v>23-Dec</c:v>
                </c:pt>
                <c:pt idx="346">
                  <c:v>23-Dec</c:v>
                </c:pt>
                <c:pt idx="347">
                  <c:v>23-Dec</c:v>
                </c:pt>
                <c:pt idx="348">
                  <c:v>23-Dec</c:v>
                </c:pt>
                <c:pt idx="349">
                  <c:v>23-Dec</c:v>
                </c:pt>
                <c:pt idx="350">
                  <c:v>23-Dec</c:v>
                </c:pt>
                <c:pt idx="351">
                  <c:v>23-Dec</c:v>
                </c:pt>
                <c:pt idx="352">
                  <c:v>23-Dec</c:v>
                </c:pt>
                <c:pt idx="353">
                  <c:v>23-Dec</c:v>
                </c:pt>
                <c:pt idx="354">
                  <c:v>23-Dec</c:v>
                </c:pt>
                <c:pt idx="355">
                  <c:v>23-Dec</c:v>
                </c:pt>
                <c:pt idx="356">
                  <c:v>23-Dec</c:v>
                </c:pt>
                <c:pt idx="357">
                  <c:v>23-Dec</c:v>
                </c:pt>
                <c:pt idx="358">
                  <c:v>23-Dec</c:v>
                </c:pt>
                <c:pt idx="359">
                  <c:v>23-Dec</c:v>
                </c:pt>
                <c:pt idx="360">
                  <c:v>23-Dec</c:v>
                </c:pt>
                <c:pt idx="361">
                  <c:v>23-Dec</c:v>
                </c:pt>
                <c:pt idx="362">
                  <c:v>23-Dec</c:v>
                </c:pt>
                <c:pt idx="363">
                  <c:v>23-Dec</c:v>
                </c:pt>
                <c:pt idx="364">
                  <c:v>23-Dec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23-Jan</c:v>
                </c:pt>
                <c:pt idx="1">
                  <c:v>23-Jan</c:v>
                </c:pt>
                <c:pt idx="2">
                  <c:v>23-Jan</c:v>
                </c:pt>
                <c:pt idx="3">
                  <c:v>23-Jan</c:v>
                </c:pt>
                <c:pt idx="4">
                  <c:v>23-Jan</c:v>
                </c:pt>
                <c:pt idx="5">
                  <c:v>23-Jan</c:v>
                </c:pt>
                <c:pt idx="6">
                  <c:v>23-Jan</c:v>
                </c:pt>
                <c:pt idx="7">
                  <c:v>23-Jan</c:v>
                </c:pt>
                <c:pt idx="8">
                  <c:v>23-Jan</c:v>
                </c:pt>
                <c:pt idx="9">
                  <c:v>23-Jan</c:v>
                </c:pt>
                <c:pt idx="10">
                  <c:v>23-Jan</c:v>
                </c:pt>
                <c:pt idx="11">
                  <c:v>23-Jan</c:v>
                </c:pt>
                <c:pt idx="12">
                  <c:v>23-Jan</c:v>
                </c:pt>
                <c:pt idx="13">
                  <c:v>23-Jan</c:v>
                </c:pt>
                <c:pt idx="14">
                  <c:v>23-Jan</c:v>
                </c:pt>
                <c:pt idx="15">
                  <c:v>23-Jan</c:v>
                </c:pt>
                <c:pt idx="16">
                  <c:v>23-Jan</c:v>
                </c:pt>
                <c:pt idx="17">
                  <c:v>23-Jan</c:v>
                </c:pt>
                <c:pt idx="18">
                  <c:v>23-Jan</c:v>
                </c:pt>
                <c:pt idx="19">
                  <c:v>23-Jan</c:v>
                </c:pt>
                <c:pt idx="20">
                  <c:v>23-Jan</c:v>
                </c:pt>
                <c:pt idx="21">
                  <c:v>23-Jan</c:v>
                </c:pt>
                <c:pt idx="22">
                  <c:v>23-Jan</c:v>
                </c:pt>
                <c:pt idx="23">
                  <c:v>23-Jan</c:v>
                </c:pt>
                <c:pt idx="24">
                  <c:v>23-Jan</c:v>
                </c:pt>
                <c:pt idx="25">
                  <c:v>23-Jan</c:v>
                </c:pt>
                <c:pt idx="26">
                  <c:v>23-Jan</c:v>
                </c:pt>
                <c:pt idx="27">
                  <c:v>23-Jan</c:v>
                </c:pt>
                <c:pt idx="28">
                  <c:v>23-Jan</c:v>
                </c:pt>
                <c:pt idx="29">
                  <c:v>23-Jan</c:v>
                </c:pt>
                <c:pt idx="30">
                  <c:v>23-Jan</c:v>
                </c:pt>
                <c:pt idx="31">
                  <c:v>23-Feb</c:v>
                </c:pt>
                <c:pt idx="32">
                  <c:v>23-Feb</c:v>
                </c:pt>
                <c:pt idx="33">
                  <c:v>23-Feb</c:v>
                </c:pt>
                <c:pt idx="34">
                  <c:v>23-Feb</c:v>
                </c:pt>
                <c:pt idx="35">
                  <c:v>23-Feb</c:v>
                </c:pt>
                <c:pt idx="36">
                  <c:v>23-Feb</c:v>
                </c:pt>
                <c:pt idx="37">
                  <c:v>23-Feb</c:v>
                </c:pt>
                <c:pt idx="38">
                  <c:v>23-Feb</c:v>
                </c:pt>
                <c:pt idx="39">
                  <c:v>23-Feb</c:v>
                </c:pt>
                <c:pt idx="40">
                  <c:v>23-Feb</c:v>
                </c:pt>
                <c:pt idx="41">
                  <c:v>23-Feb</c:v>
                </c:pt>
                <c:pt idx="42">
                  <c:v>23-Feb</c:v>
                </c:pt>
                <c:pt idx="43">
                  <c:v>23-Feb</c:v>
                </c:pt>
                <c:pt idx="44">
                  <c:v>23-Feb</c:v>
                </c:pt>
                <c:pt idx="45">
                  <c:v>23-Feb</c:v>
                </c:pt>
                <c:pt idx="46">
                  <c:v>23-Feb</c:v>
                </c:pt>
                <c:pt idx="47">
                  <c:v>23-Feb</c:v>
                </c:pt>
                <c:pt idx="48">
                  <c:v>23-Feb</c:v>
                </c:pt>
                <c:pt idx="49">
                  <c:v>23-Feb</c:v>
                </c:pt>
                <c:pt idx="50">
                  <c:v>23-Feb</c:v>
                </c:pt>
                <c:pt idx="51">
                  <c:v>23-Feb</c:v>
                </c:pt>
                <c:pt idx="52">
                  <c:v>23-Feb</c:v>
                </c:pt>
                <c:pt idx="53">
                  <c:v>23-Feb</c:v>
                </c:pt>
                <c:pt idx="54">
                  <c:v>23-Feb</c:v>
                </c:pt>
                <c:pt idx="55">
                  <c:v>23-Feb</c:v>
                </c:pt>
                <c:pt idx="56">
                  <c:v>23-Feb</c:v>
                </c:pt>
                <c:pt idx="57">
                  <c:v>23-Feb</c:v>
                </c:pt>
                <c:pt idx="58">
                  <c:v>23-Feb</c:v>
                </c:pt>
                <c:pt idx="59">
                  <c:v>23-Mar</c:v>
                </c:pt>
                <c:pt idx="60">
                  <c:v>23-Mar</c:v>
                </c:pt>
                <c:pt idx="61">
                  <c:v>23-Mar</c:v>
                </c:pt>
                <c:pt idx="62">
                  <c:v>23-Mar</c:v>
                </c:pt>
                <c:pt idx="63">
                  <c:v>23-Mar</c:v>
                </c:pt>
                <c:pt idx="64">
                  <c:v>23-Mar</c:v>
                </c:pt>
                <c:pt idx="65">
                  <c:v>23-Mar</c:v>
                </c:pt>
                <c:pt idx="66">
                  <c:v>23-Mar</c:v>
                </c:pt>
                <c:pt idx="67">
                  <c:v>23-Mar</c:v>
                </c:pt>
                <c:pt idx="68">
                  <c:v>23-Mar</c:v>
                </c:pt>
                <c:pt idx="69">
                  <c:v>23-Mar</c:v>
                </c:pt>
                <c:pt idx="70">
                  <c:v>23-Mar</c:v>
                </c:pt>
                <c:pt idx="71">
                  <c:v>23-Mar</c:v>
                </c:pt>
                <c:pt idx="72">
                  <c:v>23-Mar</c:v>
                </c:pt>
                <c:pt idx="73">
                  <c:v>23-Mar</c:v>
                </c:pt>
                <c:pt idx="74">
                  <c:v>23-Mar</c:v>
                </c:pt>
                <c:pt idx="75">
                  <c:v>23-Mar</c:v>
                </c:pt>
                <c:pt idx="76">
                  <c:v>23-Mar</c:v>
                </c:pt>
                <c:pt idx="77">
                  <c:v>23-Mar</c:v>
                </c:pt>
                <c:pt idx="78">
                  <c:v>23-Mar</c:v>
                </c:pt>
                <c:pt idx="79">
                  <c:v>23-Mar</c:v>
                </c:pt>
                <c:pt idx="80">
                  <c:v>23-Mar</c:v>
                </c:pt>
                <c:pt idx="81">
                  <c:v>23-Mar</c:v>
                </c:pt>
                <c:pt idx="82">
                  <c:v>23-Mar</c:v>
                </c:pt>
                <c:pt idx="83">
                  <c:v>23-Mar</c:v>
                </c:pt>
                <c:pt idx="84">
                  <c:v>23-Mar</c:v>
                </c:pt>
                <c:pt idx="85">
                  <c:v>23-Mar</c:v>
                </c:pt>
                <c:pt idx="86">
                  <c:v>23-Mar</c:v>
                </c:pt>
                <c:pt idx="87">
                  <c:v>23-Mar</c:v>
                </c:pt>
                <c:pt idx="88">
                  <c:v>23-Mar</c:v>
                </c:pt>
                <c:pt idx="89">
                  <c:v>23-Mar</c:v>
                </c:pt>
                <c:pt idx="90">
                  <c:v>23-Apr</c:v>
                </c:pt>
                <c:pt idx="91">
                  <c:v>23-Apr</c:v>
                </c:pt>
                <c:pt idx="92">
                  <c:v>23-Apr</c:v>
                </c:pt>
                <c:pt idx="93">
                  <c:v>23-Apr</c:v>
                </c:pt>
                <c:pt idx="94">
                  <c:v>23-Apr</c:v>
                </c:pt>
                <c:pt idx="95">
                  <c:v>23-Apr</c:v>
                </c:pt>
                <c:pt idx="96">
                  <c:v>23-Apr</c:v>
                </c:pt>
                <c:pt idx="97">
                  <c:v>23-Apr</c:v>
                </c:pt>
                <c:pt idx="98">
                  <c:v>23-Apr</c:v>
                </c:pt>
                <c:pt idx="99">
                  <c:v>23-Apr</c:v>
                </c:pt>
                <c:pt idx="100">
                  <c:v>23-Apr</c:v>
                </c:pt>
                <c:pt idx="101">
                  <c:v>23-Apr</c:v>
                </c:pt>
                <c:pt idx="102">
                  <c:v>23-Apr</c:v>
                </c:pt>
                <c:pt idx="103">
                  <c:v>23-Apr</c:v>
                </c:pt>
                <c:pt idx="104">
                  <c:v>23-Apr</c:v>
                </c:pt>
                <c:pt idx="105">
                  <c:v>23-Apr</c:v>
                </c:pt>
                <c:pt idx="106">
                  <c:v>23-Apr</c:v>
                </c:pt>
                <c:pt idx="107">
                  <c:v>23-Apr</c:v>
                </c:pt>
                <c:pt idx="108">
                  <c:v>23-Apr</c:v>
                </c:pt>
                <c:pt idx="109">
                  <c:v>23-Apr</c:v>
                </c:pt>
                <c:pt idx="110">
                  <c:v>23-Apr</c:v>
                </c:pt>
                <c:pt idx="111">
                  <c:v>23-Apr</c:v>
                </c:pt>
                <c:pt idx="112">
                  <c:v>23-Apr</c:v>
                </c:pt>
                <c:pt idx="113">
                  <c:v>23-Apr</c:v>
                </c:pt>
                <c:pt idx="114">
                  <c:v>23-Apr</c:v>
                </c:pt>
                <c:pt idx="115">
                  <c:v>23-Apr</c:v>
                </c:pt>
                <c:pt idx="116">
                  <c:v>23-Apr</c:v>
                </c:pt>
                <c:pt idx="117">
                  <c:v>23-Apr</c:v>
                </c:pt>
                <c:pt idx="118">
                  <c:v>23-Apr</c:v>
                </c:pt>
                <c:pt idx="119">
                  <c:v>23-Apr</c:v>
                </c:pt>
                <c:pt idx="120">
                  <c:v>23-May</c:v>
                </c:pt>
                <c:pt idx="121">
                  <c:v>23-May</c:v>
                </c:pt>
                <c:pt idx="122">
                  <c:v>23-May</c:v>
                </c:pt>
                <c:pt idx="123">
                  <c:v>23-May</c:v>
                </c:pt>
                <c:pt idx="124">
                  <c:v>23-May</c:v>
                </c:pt>
                <c:pt idx="125">
                  <c:v>23-May</c:v>
                </c:pt>
                <c:pt idx="126">
                  <c:v>23-May</c:v>
                </c:pt>
                <c:pt idx="127">
                  <c:v>23-May</c:v>
                </c:pt>
                <c:pt idx="128">
                  <c:v>23-May</c:v>
                </c:pt>
                <c:pt idx="129">
                  <c:v>23-May</c:v>
                </c:pt>
                <c:pt idx="130">
                  <c:v>23-May</c:v>
                </c:pt>
                <c:pt idx="131">
                  <c:v>23-May</c:v>
                </c:pt>
                <c:pt idx="132">
                  <c:v>23-May</c:v>
                </c:pt>
                <c:pt idx="133">
                  <c:v>23-May</c:v>
                </c:pt>
                <c:pt idx="134">
                  <c:v>23-May</c:v>
                </c:pt>
                <c:pt idx="135">
                  <c:v>23-May</c:v>
                </c:pt>
                <c:pt idx="136">
                  <c:v>23-May</c:v>
                </c:pt>
                <c:pt idx="137">
                  <c:v>23-May</c:v>
                </c:pt>
                <c:pt idx="138">
                  <c:v>23-May</c:v>
                </c:pt>
                <c:pt idx="139">
                  <c:v>23-May</c:v>
                </c:pt>
                <c:pt idx="140">
                  <c:v>23-May</c:v>
                </c:pt>
                <c:pt idx="141">
                  <c:v>23-May</c:v>
                </c:pt>
                <c:pt idx="142">
                  <c:v>23-May</c:v>
                </c:pt>
                <c:pt idx="143">
                  <c:v>23-May</c:v>
                </c:pt>
                <c:pt idx="144">
                  <c:v>23-May</c:v>
                </c:pt>
                <c:pt idx="145">
                  <c:v>23-May</c:v>
                </c:pt>
                <c:pt idx="146">
                  <c:v>23-May</c:v>
                </c:pt>
                <c:pt idx="147">
                  <c:v>23-May</c:v>
                </c:pt>
                <c:pt idx="148">
                  <c:v>23-May</c:v>
                </c:pt>
                <c:pt idx="149">
                  <c:v>23-May</c:v>
                </c:pt>
                <c:pt idx="150">
                  <c:v>23-May</c:v>
                </c:pt>
                <c:pt idx="151">
                  <c:v>23-Jun</c:v>
                </c:pt>
                <c:pt idx="152">
                  <c:v>23-Jun</c:v>
                </c:pt>
                <c:pt idx="153">
                  <c:v>23-Jun</c:v>
                </c:pt>
                <c:pt idx="154">
                  <c:v>23-Jun</c:v>
                </c:pt>
                <c:pt idx="155">
                  <c:v>23-Jun</c:v>
                </c:pt>
                <c:pt idx="156">
                  <c:v>23-Jun</c:v>
                </c:pt>
                <c:pt idx="157">
                  <c:v>23-Jun</c:v>
                </c:pt>
                <c:pt idx="158">
                  <c:v>23-Jun</c:v>
                </c:pt>
                <c:pt idx="159">
                  <c:v>23-Jun</c:v>
                </c:pt>
                <c:pt idx="160">
                  <c:v>23-Jun</c:v>
                </c:pt>
                <c:pt idx="161">
                  <c:v>23-Jun</c:v>
                </c:pt>
                <c:pt idx="162">
                  <c:v>23-Jun</c:v>
                </c:pt>
                <c:pt idx="163">
                  <c:v>23-Jun</c:v>
                </c:pt>
                <c:pt idx="164">
                  <c:v>23-Jun</c:v>
                </c:pt>
                <c:pt idx="165">
                  <c:v>23-Jun</c:v>
                </c:pt>
                <c:pt idx="166">
                  <c:v>23-Jun</c:v>
                </c:pt>
                <c:pt idx="167">
                  <c:v>23-Jun</c:v>
                </c:pt>
                <c:pt idx="168">
                  <c:v>23-Jun</c:v>
                </c:pt>
                <c:pt idx="169">
                  <c:v>23-Jun</c:v>
                </c:pt>
                <c:pt idx="170">
                  <c:v>23-Jun</c:v>
                </c:pt>
                <c:pt idx="171">
                  <c:v>23-Jun</c:v>
                </c:pt>
                <c:pt idx="172">
                  <c:v>23-Jun</c:v>
                </c:pt>
                <c:pt idx="173">
                  <c:v>23-Jun</c:v>
                </c:pt>
                <c:pt idx="174">
                  <c:v>23-Jun</c:v>
                </c:pt>
                <c:pt idx="175">
                  <c:v>23-Jun</c:v>
                </c:pt>
                <c:pt idx="176">
                  <c:v>23-Jun</c:v>
                </c:pt>
                <c:pt idx="177">
                  <c:v>23-Jun</c:v>
                </c:pt>
                <c:pt idx="178">
                  <c:v>23-Jun</c:v>
                </c:pt>
                <c:pt idx="179">
                  <c:v>23-Jun</c:v>
                </c:pt>
                <c:pt idx="180">
                  <c:v>23-Jun</c:v>
                </c:pt>
                <c:pt idx="181">
                  <c:v>23-Jul</c:v>
                </c:pt>
                <c:pt idx="182">
                  <c:v>23-Jul</c:v>
                </c:pt>
                <c:pt idx="183">
                  <c:v>23-Jul</c:v>
                </c:pt>
                <c:pt idx="184">
                  <c:v>23-Jul</c:v>
                </c:pt>
                <c:pt idx="185">
                  <c:v>23-Jul</c:v>
                </c:pt>
                <c:pt idx="186">
                  <c:v>23-Jul</c:v>
                </c:pt>
                <c:pt idx="187">
                  <c:v>23-Jul</c:v>
                </c:pt>
                <c:pt idx="188">
                  <c:v>23-Jul</c:v>
                </c:pt>
                <c:pt idx="189">
                  <c:v>23-Jul</c:v>
                </c:pt>
                <c:pt idx="190">
                  <c:v>23-Jul</c:v>
                </c:pt>
                <c:pt idx="191">
                  <c:v>23-Jul</c:v>
                </c:pt>
                <c:pt idx="192">
                  <c:v>23-Jul</c:v>
                </c:pt>
                <c:pt idx="193">
                  <c:v>23-Jul</c:v>
                </c:pt>
                <c:pt idx="194">
                  <c:v>23-Jul</c:v>
                </c:pt>
                <c:pt idx="195">
                  <c:v>23-Jul</c:v>
                </c:pt>
                <c:pt idx="196">
                  <c:v>23-Jul</c:v>
                </c:pt>
                <c:pt idx="197">
                  <c:v>23-Jul</c:v>
                </c:pt>
                <c:pt idx="198">
                  <c:v>23-Jul</c:v>
                </c:pt>
                <c:pt idx="199">
                  <c:v>23-Jul</c:v>
                </c:pt>
                <c:pt idx="200">
                  <c:v>23-Jul</c:v>
                </c:pt>
                <c:pt idx="201">
                  <c:v>23-Jul</c:v>
                </c:pt>
                <c:pt idx="202">
                  <c:v>23-Jul</c:v>
                </c:pt>
                <c:pt idx="203">
                  <c:v>23-Jul</c:v>
                </c:pt>
                <c:pt idx="204">
                  <c:v>23-Jul</c:v>
                </c:pt>
                <c:pt idx="205">
                  <c:v>23-Jul</c:v>
                </c:pt>
                <c:pt idx="206">
                  <c:v>23-Jul</c:v>
                </c:pt>
                <c:pt idx="207">
                  <c:v>23-Jul</c:v>
                </c:pt>
                <c:pt idx="208">
                  <c:v>23-Jul</c:v>
                </c:pt>
                <c:pt idx="209">
                  <c:v>23-Jul</c:v>
                </c:pt>
                <c:pt idx="210">
                  <c:v>23-Jul</c:v>
                </c:pt>
                <c:pt idx="211">
                  <c:v>23-Jul</c:v>
                </c:pt>
                <c:pt idx="212">
                  <c:v>23-Aug</c:v>
                </c:pt>
                <c:pt idx="213">
                  <c:v>23-Aug</c:v>
                </c:pt>
                <c:pt idx="214">
                  <c:v>23-Aug</c:v>
                </c:pt>
                <c:pt idx="215">
                  <c:v>23-Aug</c:v>
                </c:pt>
                <c:pt idx="216">
                  <c:v>23-Aug</c:v>
                </c:pt>
                <c:pt idx="217">
                  <c:v>23-Aug</c:v>
                </c:pt>
                <c:pt idx="218">
                  <c:v>23-Aug</c:v>
                </c:pt>
                <c:pt idx="219">
                  <c:v>23-Aug</c:v>
                </c:pt>
                <c:pt idx="220">
                  <c:v>23-Aug</c:v>
                </c:pt>
                <c:pt idx="221">
                  <c:v>23-Aug</c:v>
                </c:pt>
                <c:pt idx="222">
                  <c:v>23-Aug</c:v>
                </c:pt>
                <c:pt idx="223">
                  <c:v>23-Aug</c:v>
                </c:pt>
                <c:pt idx="224">
                  <c:v>23-Aug</c:v>
                </c:pt>
                <c:pt idx="225">
                  <c:v>23-Aug</c:v>
                </c:pt>
                <c:pt idx="226">
                  <c:v>23-Aug</c:v>
                </c:pt>
                <c:pt idx="227">
                  <c:v>23-Aug</c:v>
                </c:pt>
                <c:pt idx="228">
                  <c:v>23-Aug</c:v>
                </c:pt>
                <c:pt idx="229">
                  <c:v>23-Aug</c:v>
                </c:pt>
                <c:pt idx="230">
                  <c:v>23-Aug</c:v>
                </c:pt>
                <c:pt idx="231">
                  <c:v>23-Aug</c:v>
                </c:pt>
                <c:pt idx="232">
                  <c:v>23-Aug</c:v>
                </c:pt>
                <c:pt idx="233">
                  <c:v>23-Aug</c:v>
                </c:pt>
                <c:pt idx="234">
                  <c:v>23-Aug</c:v>
                </c:pt>
                <c:pt idx="235">
                  <c:v>23-Aug</c:v>
                </c:pt>
                <c:pt idx="236">
                  <c:v>23-Aug</c:v>
                </c:pt>
                <c:pt idx="237">
                  <c:v>23-Aug</c:v>
                </c:pt>
                <c:pt idx="238">
                  <c:v>23-Aug</c:v>
                </c:pt>
                <c:pt idx="239">
                  <c:v>23-Aug</c:v>
                </c:pt>
                <c:pt idx="240">
                  <c:v>23-Aug</c:v>
                </c:pt>
                <c:pt idx="241">
                  <c:v>23-Aug</c:v>
                </c:pt>
                <c:pt idx="242">
                  <c:v>23-Aug</c:v>
                </c:pt>
                <c:pt idx="243">
                  <c:v>23-Sep</c:v>
                </c:pt>
                <c:pt idx="244">
                  <c:v>23-Sep</c:v>
                </c:pt>
                <c:pt idx="245">
                  <c:v>23-Sep</c:v>
                </c:pt>
                <c:pt idx="246">
                  <c:v>23-Sep</c:v>
                </c:pt>
                <c:pt idx="247">
                  <c:v>23-Sep</c:v>
                </c:pt>
                <c:pt idx="248">
                  <c:v>23-Sep</c:v>
                </c:pt>
                <c:pt idx="249">
                  <c:v>23-Sep</c:v>
                </c:pt>
                <c:pt idx="250">
                  <c:v>23-Sep</c:v>
                </c:pt>
                <c:pt idx="251">
                  <c:v>23-Sep</c:v>
                </c:pt>
                <c:pt idx="252">
                  <c:v>23-Sep</c:v>
                </c:pt>
                <c:pt idx="253">
                  <c:v>23-Sep</c:v>
                </c:pt>
                <c:pt idx="254">
                  <c:v>23-Sep</c:v>
                </c:pt>
                <c:pt idx="255">
                  <c:v>23-Sep</c:v>
                </c:pt>
                <c:pt idx="256">
                  <c:v>23-Sep</c:v>
                </c:pt>
                <c:pt idx="257">
                  <c:v>23-Sep</c:v>
                </c:pt>
                <c:pt idx="258">
                  <c:v>23-Sep</c:v>
                </c:pt>
                <c:pt idx="259">
                  <c:v>23-Sep</c:v>
                </c:pt>
                <c:pt idx="260">
                  <c:v>23-Sep</c:v>
                </c:pt>
                <c:pt idx="261">
                  <c:v>23-Sep</c:v>
                </c:pt>
                <c:pt idx="262">
                  <c:v>23-Sep</c:v>
                </c:pt>
                <c:pt idx="263">
                  <c:v>23-Sep</c:v>
                </c:pt>
                <c:pt idx="264">
                  <c:v>23-Sep</c:v>
                </c:pt>
                <c:pt idx="265">
                  <c:v>23-Sep</c:v>
                </c:pt>
                <c:pt idx="266">
                  <c:v>23-Sep</c:v>
                </c:pt>
                <c:pt idx="267">
                  <c:v>23-Sep</c:v>
                </c:pt>
                <c:pt idx="268">
                  <c:v>23-Sep</c:v>
                </c:pt>
                <c:pt idx="269">
                  <c:v>23-Sep</c:v>
                </c:pt>
                <c:pt idx="270">
                  <c:v>23-Sep</c:v>
                </c:pt>
                <c:pt idx="271">
                  <c:v>23-Sep</c:v>
                </c:pt>
                <c:pt idx="272">
                  <c:v>23-Sep</c:v>
                </c:pt>
                <c:pt idx="273">
                  <c:v>23-Oct</c:v>
                </c:pt>
                <c:pt idx="274">
                  <c:v>23-Oct</c:v>
                </c:pt>
                <c:pt idx="275">
                  <c:v>23-Oct</c:v>
                </c:pt>
                <c:pt idx="276">
                  <c:v>23-Oct</c:v>
                </c:pt>
                <c:pt idx="277">
                  <c:v>23-Oct</c:v>
                </c:pt>
                <c:pt idx="278">
                  <c:v>23-Oct</c:v>
                </c:pt>
                <c:pt idx="279">
                  <c:v>23-Oct</c:v>
                </c:pt>
                <c:pt idx="280">
                  <c:v>23-Oct</c:v>
                </c:pt>
                <c:pt idx="281">
                  <c:v>23-Oct</c:v>
                </c:pt>
                <c:pt idx="282">
                  <c:v>23-Oct</c:v>
                </c:pt>
                <c:pt idx="283">
                  <c:v>23-Oct</c:v>
                </c:pt>
                <c:pt idx="284">
                  <c:v>23-Oct</c:v>
                </c:pt>
                <c:pt idx="285">
                  <c:v>23-Oct</c:v>
                </c:pt>
                <c:pt idx="286">
                  <c:v>23-Oct</c:v>
                </c:pt>
                <c:pt idx="287">
                  <c:v>23-Oct</c:v>
                </c:pt>
                <c:pt idx="288">
                  <c:v>23-Oct</c:v>
                </c:pt>
                <c:pt idx="289">
                  <c:v>23-Oct</c:v>
                </c:pt>
                <c:pt idx="290">
                  <c:v>23-Oct</c:v>
                </c:pt>
                <c:pt idx="291">
                  <c:v>23-Oct</c:v>
                </c:pt>
                <c:pt idx="292">
                  <c:v>23-Oct</c:v>
                </c:pt>
                <c:pt idx="293">
                  <c:v>23-Oct</c:v>
                </c:pt>
                <c:pt idx="294">
                  <c:v>23-Oct</c:v>
                </c:pt>
                <c:pt idx="295">
                  <c:v>23-Oct</c:v>
                </c:pt>
                <c:pt idx="296">
                  <c:v>23-Oct</c:v>
                </c:pt>
                <c:pt idx="297">
                  <c:v>23-Oct</c:v>
                </c:pt>
                <c:pt idx="298">
                  <c:v>23-Oct</c:v>
                </c:pt>
                <c:pt idx="299">
                  <c:v>23-Oct</c:v>
                </c:pt>
                <c:pt idx="300">
                  <c:v>23-Oct</c:v>
                </c:pt>
                <c:pt idx="301">
                  <c:v>23-Oct</c:v>
                </c:pt>
                <c:pt idx="302">
                  <c:v>23-Oct</c:v>
                </c:pt>
                <c:pt idx="303">
                  <c:v>23-Oct</c:v>
                </c:pt>
                <c:pt idx="304">
                  <c:v>23-Nov</c:v>
                </c:pt>
                <c:pt idx="305">
                  <c:v>23-Nov</c:v>
                </c:pt>
                <c:pt idx="306">
                  <c:v>23-Nov</c:v>
                </c:pt>
                <c:pt idx="307">
                  <c:v>23-Nov</c:v>
                </c:pt>
                <c:pt idx="308">
                  <c:v>23-Nov</c:v>
                </c:pt>
                <c:pt idx="309">
                  <c:v>23-Nov</c:v>
                </c:pt>
                <c:pt idx="310">
                  <c:v>23-Nov</c:v>
                </c:pt>
                <c:pt idx="311">
                  <c:v>23-Nov</c:v>
                </c:pt>
                <c:pt idx="312">
                  <c:v>23-Nov</c:v>
                </c:pt>
                <c:pt idx="313">
                  <c:v>23-Nov</c:v>
                </c:pt>
                <c:pt idx="314">
                  <c:v>23-Nov</c:v>
                </c:pt>
                <c:pt idx="315">
                  <c:v>23-Nov</c:v>
                </c:pt>
                <c:pt idx="316">
                  <c:v>23-Nov</c:v>
                </c:pt>
                <c:pt idx="317">
                  <c:v>23-Nov</c:v>
                </c:pt>
                <c:pt idx="318">
                  <c:v>23-Nov</c:v>
                </c:pt>
                <c:pt idx="319">
                  <c:v>23-Nov</c:v>
                </c:pt>
                <c:pt idx="320">
                  <c:v>23-Nov</c:v>
                </c:pt>
                <c:pt idx="321">
                  <c:v>23-Nov</c:v>
                </c:pt>
                <c:pt idx="322">
                  <c:v>23-Nov</c:v>
                </c:pt>
                <c:pt idx="323">
                  <c:v>23-Nov</c:v>
                </c:pt>
                <c:pt idx="324">
                  <c:v>23-Nov</c:v>
                </c:pt>
                <c:pt idx="325">
                  <c:v>23-Nov</c:v>
                </c:pt>
                <c:pt idx="326">
                  <c:v>23-Nov</c:v>
                </c:pt>
                <c:pt idx="327">
                  <c:v>23-Nov</c:v>
                </c:pt>
                <c:pt idx="328">
                  <c:v>23-Nov</c:v>
                </c:pt>
                <c:pt idx="329">
                  <c:v>23-Nov</c:v>
                </c:pt>
                <c:pt idx="330">
                  <c:v>23-Nov</c:v>
                </c:pt>
                <c:pt idx="331">
                  <c:v>23-Nov</c:v>
                </c:pt>
                <c:pt idx="332">
                  <c:v>23-Nov</c:v>
                </c:pt>
                <c:pt idx="333">
                  <c:v>23-Nov</c:v>
                </c:pt>
                <c:pt idx="334">
                  <c:v>23-Dec</c:v>
                </c:pt>
                <c:pt idx="335">
                  <c:v>23-Dec</c:v>
                </c:pt>
                <c:pt idx="336">
                  <c:v>23-Dec</c:v>
                </c:pt>
                <c:pt idx="337">
                  <c:v>23-Dec</c:v>
                </c:pt>
                <c:pt idx="338">
                  <c:v>23-Dec</c:v>
                </c:pt>
                <c:pt idx="339">
                  <c:v>23-Dec</c:v>
                </c:pt>
                <c:pt idx="340">
                  <c:v>23-Dec</c:v>
                </c:pt>
                <c:pt idx="341">
                  <c:v>23-Dec</c:v>
                </c:pt>
                <c:pt idx="342">
                  <c:v>23-Dec</c:v>
                </c:pt>
                <c:pt idx="343">
                  <c:v>23-Dec</c:v>
                </c:pt>
                <c:pt idx="344">
                  <c:v>23-Dec</c:v>
                </c:pt>
                <c:pt idx="345">
                  <c:v>23-Dec</c:v>
                </c:pt>
                <c:pt idx="346">
                  <c:v>23-Dec</c:v>
                </c:pt>
                <c:pt idx="347">
                  <c:v>23-Dec</c:v>
                </c:pt>
                <c:pt idx="348">
                  <c:v>23-Dec</c:v>
                </c:pt>
                <c:pt idx="349">
                  <c:v>23-Dec</c:v>
                </c:pt>
                <c:pt idx="350">
                  <c:v>23-Dec</c:v>
                </c:pt>
                <c:pt idx="351">
                  <c:v>23-Dec</c:v>
                </c:pt>
                <c:pt idx="352">
                  <c:v>23-Dec</c:v>
                </c:pt>
                <c:pt idx="353">
                  <c:v>23-Dec</c:v>
                </c:pt>
                <c:pt idx="354">
                  <c:v>23-Dec</c:v>
                </c:pt>
                <c:pt idx="355">
                  <c:v>23-Dec</c:v>
                </c:pt>
                <c:pt idx="356">
                  <c:v>23-Dec</c:v>
                </c:pt>
                <c:pt idx="357">
                  <c:v>23-Dec</c:v>
                </c:pt>
                <c:pt idx="358">
                  <c:v>23-Dec</c:v>
                </c:pt>
                <c:pt idx="359">
                  <c:v>23-Dec</c:v>
                </c:pt>
                <c:pt idx="360">
                  <c:v>23-Dec</c:v>
                </c:pt>
                <c:pt idx="361">
                  <c:v>23-Dec</c:v>
                </c:pt>
                <c:pt idx="362">
                  <c:v>23-Dec</c:v>
                </c:pt>
                <c:pt idx="363">
                  <c:v>23-Dec</c:v>
                </c:pt>
                <c:pt idx="364">
                  <c:v>23-Dec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2.3255583618085477E-3"/>
                  <c:y val="0.27955406824146967"/>
                </c:manualLayout>
              </c:layout>
              <c:spPr>
                <a:noFill/>
                <a:ln w="25400">
                  <a:noFill/>
                </a:ln>
              </c:spPr>
              <c:txPr>
                <a:bodyPr/>
                <a:lstStyle/>
                <a:p>
                  <a:pPr>
                    <a:defRPr sz="1100" b="0" i="0" u="none" strike="noStrike" baseline="0">
                      <a:solidFill>
                        <a:schemeClr val="bg1"/>
                      </a:solidFill>
                      <a:latin typeface="Arial"/>
                      <a:ea typeface="Arial"/>
                      <a:cs typeface="Arial"/>
                    </a:defRPr>
                  </a:pPr>
                  <a:endParaRPr lang="de-DE"/>
                </a:p>
              </c:txPr>
              <c:dLblPos val="ctr"/>
              <c:showLegendKey val="0"/>
              <c:showVal val="1"/>
              <c:showCatName val="0"/>
              <c:showSerName val="0"/>
              <c:showPercent val="0"/>
              <c:showBubbleSize val="0"/>
              <c:extLst>
                <c:ext xmlns:c15="http://schemas.microsoft.com/office/drawing/2012/chart" uri="{CE6537A1-D6FC-4f65-9D91-7224C49458BB}">
                  <c15:layout>
                    <c:manualLayout>
                      <c:w val="0.61786163522012583"/>
                      <c:h val="0.10633333333333331"/>
                    </c:manualLayout>
                  </c15:layout>
                </c:ext>
                <c:ext xmlns:c16="http://schemas.microsoft.com/office/drawing/2014/chart" uri="{C3380CC4-5D6E-409C-BE32-E72D297353CC}">
                  <c16:uniqueId val="{00000000-ADFE-4E32-8C63-943D59BE3770}"/>
                </c:ext>
              </c:extLst>
            </c:dLbl>
            <c:spPr>
              <a:noFill/>
              <a:ln w="25400">
                <a:noFill/>
              </a:ln>
            </c:spPr>
            <c:txPr>
              <a:bodyPr/>
              <a:lstStyle/>
              <a:p>
                <a:pPr>
                  <a:defRPr sz="1100"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0</c:v>
                </c:pt>
              </c:numCache>
            </c:numRef>
          </c:val>
          <c:extLst>
            <c:ext xmlns:c16="http://schemas.microsoft.com/office/drawing/2014/chart" uri="{C3380CC4-5D6E-409C-BE32-E72D297353CC}">
              <c16:uniqueId val="{00000001-ADFE-4E32-8C63-943D59BE3770}"/>
            </c:ext>
          </c:extLst>
        </c:ser>
        <c:ser>
          <c:idx val="1"/>
          <c:order val="1"/>
          <c:spPr>
            <a:solidFill>
              <a:srgbClr val="0000FF"/>
            </a:solidFill>
            <a:ln w="12700">
              <a:solidFill>
                <a:srgbClr val="000000"/>
              </a:solidFill>
              <a:prstDash val="solid"/>
            </a:ln>
          </c:spPr>
          <c:invertIfNegative val="0"/>
          <c:dLbls>
            <c:dLbl>
              <c:idx val="0"/>
              <c:layout>
                <c:manualLayout>
                  <c:x val="-1.7422869311147428E-2"/>
                  <c:y val="-8.0646194225721779E-2"/>
                </c:manualLayout>
              </c:layout>
              <c:spPr>
                <a:noFill/>
                <a:ln w="25400">
                  <a:noFill/>
                </a:ln>
              </c:spPr>
              <c:txPr>
                <a:bodyPr/>
                <a:lstStyle/>
                <a:p>
                  <a:pPr>
                    <a:defRPr sz="1100" b="0" i="0" u="none" strike="noStrike" baseline="0">
                      <a:solidFill>
                        <a:schemeClr val="bg1"/>
                      </a:solidFill>
                      <a:latin typeface="Arial"/>
                      <a:ea typeface="Arial"/>
                      <a:cs typeface="Arial"/>
                    </a:defRPr>
                  </a:pPr>
                  <a:endParaRPr lang="de-DE"/>
                </a:p>
              </c:txPr>
              <c:dLblPos val="ctr"/>
              <c:showLegendKey val="0"/>
              <c:showVal val="1"/>
              <c:showCatName val="0"/>
              <c:showSerName val="0"/>
              <c:showPercent val="0"/>
              <c:showBubbleSize val="0"/>
              <c:extLst>
                <c:ext xmlns:c15="http://schemas.microsoft.com/office/drawing/2012/chart" uri="{CE6537A1-D6FC-4f65-9D91-7224C49458BB}">
                  <c15:layout>
                    <c:manualLayout>
                      <c:w val="0.55320754716981135"/>
                      <c:h val="8.72E-2"/>
                    </c:manualLayout>
                  </c15:layout>
                </c:ext>
                <c:ext xmlns:c16="http://schemas.microsoft.com/office/drawing/2014/chart" uri="{C3380CC4-5D6E-409C-BE32-E72D297353CC}">
                  <c16:uniqueId val="{00000002-ADFE-4E32-8C63-943D59BE3770}"/>
                </c:ext>
              </c:extLst>
            </c:dLbl>
            <c:spPr>
              <a:noFill/>
              <a:ln w="25400">
                <a:noFill/>
              </a:ln>
            </c:spPr>
            <c:txPr>
              <a:bodyPr/>
              <a:lstStyle/>
              <a:p>
                <a:pPr>
                  <a:defRPr sz="1075"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366</c:v>
                </c:pt>
              </c:numCache>
            </c:numRef>
          </c:val>
          <c:extLst>
            <c:ext xmlns:c16="http://schemas.microsoft.com/office/drawing/2014/chart" uri="{C3380CC4-5D6E-409C-BE32-E72D297353CC}">
              <c16:uniqueId val="{00000003-ADFE-4E32-8C63-943D59BE3770}"/>
            </c:ext>
          </c:extLst>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61E7-43E1-8754-1851B2691BD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61E7-43E1-8754-1851B2691BD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61E7-43E1-8754-1851B2691BD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61E7-43E1-8754-1851B2691BD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61E7-43E1-8754-1851B2691BD4}"/>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61E7-43E1-8754-1851B2691BD4}"/>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61E7-43E1-8754-1851B2691BD4}"/>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61E7-43E1-8754-1851B2691BD4}"/>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0-61E7-43E1-8754-1851B2691BD4}"/>
              </c:ext>
            </c:extLst>
          </c:dPt>
          <c:dPt>
            <c:idx val="9"/>
            <c:bubble3D val="0"/>
            <c:spPr>
              <a:solidFill>
                <a:srgbClr val="FF00FF"/>
              </a:solidFill>
              <a:ln w="12700">
                <a:solidFill>
                  <a:srgbClr val="000000"/>
                </a:solidFill>
                <a:prstDash val="solid"/>
              </a:ln>
            </c:spPr>
            <c:extLst>
              <c:ext xmlns:c16="http://schemas.microsoft.com/office/drawing/2014/chart" uri="{C3380CC4-5D6E-409C-BE32-E72D297353CC}">
                <c16:uniqueId val="{00000012-61E7-43E1-8754-1851B2691BD4}"/>
              </c:ext>
            </c:extLst>
          </c:dPt>
          <c:dPt>
            <c:idx val="10"/>
            <c:bubble3D val="0"/>
            <c:spPr>
              <a:solidFill>
                <a:srgbClr val="FFFF00"/>
              </a:solidFill>
              <a:ln w="12700">
                <a:solidFill>
                  <a:srgbClr val="000000"/>
                </a:solidFill>
                <a:prstDash val="solid"/>
              </a:ln>
            </c:spPr>
            <c:extLst>
              <c:ext xmlns:c16="http://schemas.microsoft.com/office/drawing/2014/chart" uri="{C3380CC4-5D6E-409C-BE32-E72D297353CC}">
                <c16:uniqueId val="{00000014-61E7-43E1-8754-1851B2691BD4}"/>
              </c:ext>
            </c:extLst>
          </c:dPt>
          <c:dPt>
            <c:idx val="11"/>
            <c:bubble3D val="0"/>
            <c:spPr>
              <a:solidFill>
                <a:srgbClr val="00FFFF"/>
              </a:solidFill>
              <a:ln w="12700">
                <a:solidFill>
                  <a:srgbClr val="000000"/>
                </a:solidFill>
                <a:prstDash val="solid"/>
              </a:ln>
            </c:spPr>
            <c:extLst>
              <c:ext xmlns:c16="http://schemas.microsoft.com/office/drawing/2014/chart" uri="{C3380CC4-5D6E-409C-BE32-E72D297353CC}">
                <c16:uniqueId val="{00000016-61E7-43E1-8754-1851B2691BD4}"/>
              </c:ext>
            </c:extLst>
          </c:dPt>
          <c:dPt>
            <c:idx val="12"/>
            <c:bubble3D val="0"/>
            <c:spPr>
              <a:solidFill>
                <a:srgbClr val="800080"/>
              </a:solidFill>
              <a:ln w="12700">
                <a:solidFill>
                  <a:srgbClr val="000000"/>
                </a:solidFill>
                <a:prstDash val="solid"/>
              </a:ln>
            </c:spPr>
            <c:extLst>
              <c:ext xmlns:c16="http://schemas.microsoft.com/office/drawing/2014/chart" uri="{C3380CC4-5D6E-409C-BE32-E72D297353CC}">
                <c16:uniqueId val="{00000018-61E7-43E1-8754-1851B2691BD4}"/>
              </c:ext>
            </c:extLst>
          </c:dPt>
          <c:dPt>
            <c:idx val="13"/>
            <c:bubble3D val="0"/>
            <c:spPr>
              <a:solidFill>
                <a:srgbClr val="800000"/>
              </a:solidFill>
              <a:ln w="12700">
                <a:solidFill>
                  <a:srgbClr val="000000"/>
                </a:solidFill>
                <a:prstDash val="solid"/>
              </a:ln>
            </c:spPr>
            <c:extLst>
              <c:ext xmlns:c16="http://schemas.microsoft.com/office/drawing/2014/chart" uri="{C3380CC4-5D6E-409C-BE32-E72D297353CC}">
                <c16:uniqueId val="{0000001A-61E7-43E1-8754-1851B2691BD4}"/>
              </c:ext>
            </c:extLst>
          </c:dPt>
          <c:dPt>
            <c:idx val="14"/>
            <c:bubble3D val="0"/>
            <c:spPr>
              <a:solidFill>
                <a:srgbClr val="008080"/>
              </a:solidFill>
              <a:ln w="12700">
                <a:solidFill>
                  <a:srgbClr val="000000"/>
                </a:solidFill>
                <a:prstDash val="solid"/>
              </a:ln>
            </c:spPr>
            <c:extLst>
              <c:ext xmlns:c16="http://schemas.microsoft.com/office/drawing/2014/chart" uri="{C3380CC4-5D6E-409C-BE32-E72D297353CC}">
                <c16:uniqueId val="{0000001C-61E7-43E1-8754-1851B2691BD4}"/>
              </c:ext>
            </c:extLst>
          </c:dPt>
          <c:dPt>
            <c:idx val="15"/>
            <c:bubble3D val="0"/>
            <c:spPr>
              <a:solidFill>
                <a:srgbClr val="0000FF"/>
              </a:solidFill>
              <a:ln w="12700">
                <a:solidFill>
                  <a:srgbClr val="000000"/>
                </a:solidFill>
                <a:prstDash val="solid"/>
              </a:ln>
            </c:spPr>
            <c:extLst>
              <c:ext xmlns:c16="http://schemas.microsoft.com/office/drawing/2014/chart" uri="{C3380CC4-5D6E-409C-BE32-E72D297353CC}">
                <c16:uniqueId val="{0000001E-61E7-43E1-8754-1851B2691BD4}"/>
              </c:ext>
            </c:extLst>
          </c:dPt>
          <c:dPt>
            <c:idx val="16"/>
            <c:bubble3D val="0"/>
            <c:spPr>
              <a:solidFill>
                <a:srgbClr val="00CCFF"/>
              </a:solidFill>
              <a:ln w="12700">
                <a:solidFill>
                  <a:srgbClr val="000000"/>
                </a:solidFill>
                <a:prstDash val="solid"/>
              </a:ln>
            </c:spPr>
            <c:extLst>
              <c:ext xmlns:c16="http://schemas.microsoft.com/office/drawing/2014/chart" uri="{C3380CC4-5D6E-409C-BE32-E72D297353CC}">
                <c16:uniqueId val="{00000020-61E7-43E1-8754-1851B2691BD4}"/>
              </c:ext>
            </c:extLst>
          </c:dPt>
          <c:dPt>
            <c:idx val="17"/>
            <c:bubble3D val="0"/>
            <c:spPr>
              <a:solidFill>
                <a:srgbClr val="CCFFFF"/>
              </a:solidFill>
              <a:ln w="12700">
                <a:solidFill>
                  <a:srgbClr val="000000"/>
                </a:solidFill>
                <a:prstDash val="solid"/>
              </a:ln>
            </c:spPr>
            <c:extLst>
              <c:ext xmlns:c16="http://schemas.microsoft.com/office/drawing/2014/chart" uri="{C3380CC4-5D6E-409C-BE32-E72D297353CC}">
                <c16:uniqueId val="{00000022-61E7-43E1-8754-1851B2691BD4}"/>
              </c:ext>
            </c:extLst>
          </c:dPt>
          <c:dPt>
            <c:idx val="18"/>
            <c:bubble3D val="0"/>
            <c:spPr>
              <a:solidFill>
                <a:srgbClr val="CCFFCC"/>
              </a:solidFill>
              <a:ln w="12700">
                <a:solidFill>
                  <a:srgbClr val="000000"/>
                </a:solidFill>
                <a:prstDash val="solid"/>
              </a:ln>
            </c:spPr>
            <c:extLst>
              <c:ext xmlns:c16="http://schemas.microsoft.com/office/drawing/2014/chart" uri="{C3380CC4-5D6E-409C-BE32-E72D297353CC}">
                <c16:uniqueId val="{00000024-61E7-43E1-8754-1851B2691BD4}"/>
              </c:ext>
            </c:extLst>
          </c:dPt>
          <c:dPt>
            <c:idx val="19"/>
            <c:bubble3D val="0"/>
            <c:spPr>
              <a:solidFill>
                <a:srgbClr val="FFFF99"/>
              </a:solidFill>
              <a:ln w="12700">
                <a:solidFill>
                  <a:srgbClr val="000000"/>
                </a:solidFill>
                <a:prstDash val="solid"/>
              </a:ln>
            </c:spPr>
            <c:extLst>
              <c:ext xmlns:c16="http://schemas.microsoft.com/office/drawing/2014/chart" uri="{C3380CC4-5D6E-409C-BE32-E72D297353CC}">
                <c16:uniqueId val="{00000026-61E7-43E1-8754-1851B2691BD4}"/>
              </c:ext>
            </c:extLst>
          </c:dPt>
          <c:dPt>
            <c:idx val="20"/>
            <c:bubble3D val="0"/>
            <c:extLst>
              <c:ext xmlns:c16="http://schemas.microsoft.com/office/drawing/2014/chart" uri="{C3380CC4-5D6E-409C-BE32-E72D297353CC}">
                <c16:uniqueId val="{00000027-61E7-43E1-8754-1851B2691BD4}"/>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de-DE"/>
              </a:p>
            </c:txPr>
            <c:showLegendKey val="0"/>
            <c:showVal val="0"/>
            <c:showCatName val="0"/>
            <c:showSerName val="0"/>
            <c:showPercent val="1"/>
            <c:showBubbleSize val="0"/>
            <c:showLeaderLines val="1"/>
            <c:extLst>
              <c:ext xmlns:c15="http://schemas.microsoft.com/office/drawing/2012/chart" uri="{CE6537A1-D6FC-4f65-9D91-7224C49458BB}"/>
            </c:extLst>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8-61E7-43E1-8754-1851B2691BD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de-DE"/>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43465</c:v>
                </c:pt>
                <c:pt idx="1">
                  <c:v>43496</c:v>
                </c:pt>
                <c:pt idx="2">
                  <c:v>43524</c:v>
                </c:pt>
                <c:pt idx="3">
                  <c:v>43555</c:v>
                </c:pt>
                <c:pt idx="4">
                  <c:v>43585</c:v>
                </c:pt>
                <c:pt idx="5">
                  <c:v>43616</c:v>
                </c:pt>
                <c:pt idx="6">
                  <c:v>43646</c:v>
                </c:pt>
                <c:pt idx="7">
                  <c:v>43677</c:v>
                </c:pt>
                <c:pt idx="8">
                  <c:v>43708</c:v>
                </c:pt>
                <c:pt idx="9">
                  <c:v>43738</c:v>
                </c:pt>
                <c:pt idx="10">
                  <c:v>43769</c:v>
                </c:pt>
                <c:pt idx="11">
                  <c:v>43799</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43465</c:v>
                </c:pt>
                <c:pt idx="1">
                  <c:v>43496</c:v>
                </c:pt>
                <c:pt idx="2">
                  <c:v>43524</c:v>
                </c:pt>
                <c:pt idx="3">
                  <c:v>43555</c:v>
                </c:pt>
                <c:pt idx="4">
                  <c:v>43585</c:v>
                </c:pt>
                <c:pt idx="5">
                  <c:v>43616</c:v>
                </c:pt>
                <c:pt idx="6">
                  <c:v>43646</c:v>
                </c:pt>
                <c:pt idx="7">
                  <c:v>43677</c:v>
                </c:pt>
                <c:pt idx="8">
                  <c:v>43708</c:v>
                </c:pt>
                <c:pt idx="9">
                  <c:v>43738</c:v>
                </c:pt>
                <c:pt idx="10">
                  <c:v>43769</c:v>
                </c:pt>
                <c:pt idx="11">
                  <c:v>43799</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43465</c:v>
                </c:pt>
                <c:pt idx="1">
                  <c:v>43496</c:v>
                </c:pt>
                <c:pt idx="2">
                  <c:v>43524</c:v>
                </c:pt>
                <c:pt idx="3">
                  <c:v>43555</c:v>
                </c:pt>
                <c:pt idx="4">
                  <c:v>43585</c:v>
                </c:pt>
                <c:pt idx="5">
                  <c:v>43616</c:v>
                </c:pt>
                <c:pt idx="6">
                  <c:v>43646</c:v>
                </c:pt>
                <c:pt idx="7">
                  <c:v>43677</c:v>
                </c:pt>
                <c:pt idx="8">
                  <c:v>43708</c:v>
                </c:pt>
                <c:pt idx="9">
                  <c:v>43738</c:v>
                </c:pt>
                <c:pt idx="10">
                  <c:v>43769</c:v>
                </c:pt>
                <c:pt idx="11">
                  <c:v>43799</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43465</c:v>
                </c:pt>
                <c:pt idx="1">
                  <c:v>43496</c:v>
                </c:pt>
                <c:pt idx="2">
                  <c:v>43524</c:v>
                </c:pt>
                <c:pt idx="3">
                  <c:v>43555</c:v>
                </c:pt>
                <c:pt idx="4">
                  <c:v>43585</c:v>
                </c:pt>
                <c:pt idx="5">
                  <c:v>43616</c:v>
                </c:pt>
                <c:pt idx="6">
                  <c:v>43646</c:v>
                </c:pt>
                <c:pt idx="7">
                  <c:v>43677</c:v>
                </c:pt>
                <c:pt idx="8">
                  <c:v>43708</c:v>
                </c:pt>
                <c:pt idx="9">
                  <c:v>43738</c:v>
                </c:pt>
                <c:pt idx="10">
                  <c:v>43769</c:v>
                </c:pt>
                <c:pt idx="11">
                  <c:v>43799</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Drop" dropStyle="combo" dx="16" fmlaLink="C29" fmlaRange="db_ZeitTTMMM" sel="1"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sel="1"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2023</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a:extLst>
            <a:ext uri="{FF2B5EF4-FFF2-40B4-BE49-F238E27FC236}">
              <a16:creationId xmlns:a16="http://schemas.microsoft.com/office/drawing/2014/main" id="{00000000-0008-0000-0700-0000A3A11500}"/>
            </a:ext>
          </a:extLst>
        </xdr:cNvPr>
        <xdr:cNvGrpSpPr>
          <a:grpSpLocks/>
        </xdr:cNvGrpSpPr>
      </xdr:nvGrpSpPr>
      <xdr:grpSpPr bwMode="auto">
        <a:xfrm>
          <a:off x="276225" y="876300"/>
          <a:ext cx="3028950" cy="257175"/>
          <a:chOff x="33" y="761"/>
          <a:chExt cx="332" cy="27"/>
        </a:xfrm>
      </xdr:grpSpPr>
      <xdr:sp macro="" textlink="">
        <xdr:nvSpPr>
          <xdr:cNvPr id="1417643" name="Rectangle 52">
            <a:extLst>
              <a:ext uri="{FF2B5EF4-FFF2-40B4-BE49-F238E27FC236}">
                <a16:creationId xmlns:a16="http://schemas.microsoft.com/office/drawing/2014/main" id="{00000000-0008-0000-0700-0000ABA11500}"/>
              </a:ext>
            </a:extLst>
          </xdr:cNvPr>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a:extLst>
              <a:ext uri="{FF2B5EF4-FFF2-40B4-BE49-F238E27FC236}">
                <a16:creationId xmlns:a16="http://schemas.microsoft.com/office/drawing/2014/main" id="{00000000-0008-0000-0700-0000ACA11500}"/>
              </a:ext>
            </a:extLst>
          </xdr:cNvPr>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a:extLst>
              <a:ext uri="{FF2B5EF4-FFF2-40B4-BE49-F238E27FC236}">
                <a16:creationId xmlns:a16="http://schemas.microsoft.com/office/drawing/2014/main" id="{00000000-0008-0000-0700-0000ADA11500}"/>
              </a:ext>
            </a:extLst>
          </xdr:cNvPr>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a:extLst>
              <a:ext uri="{FF2B5EF4-FFF2-40B4-BE49-F238E27FC236}">
                <a16:creationId xmlns:a16="http://schemas.microsoft.com/office/drawing/2014/main" id="{00000000-0008-0000-0700-0000AEA11500}"/>
              </a:ext>
            </a:extLst>
          </xdr:cNvPr>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a:extLst>
              <a:ext uri="{FF2B5EF4-FFF2-40B4-BE49-F238E27FC236}">
                <a16:creationId xmlns:a16="http://schemas.microsoft.com/office/drawing/2014/main" id="{00000000-0008-0000-0700-0000AFA11500}"/>
              </a:ext>
            </a:extLst>
          </xdr:cNvPr>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a:extLst>
              <a:ext uri="{FF2B5EF4-FFF2-40B4-BE49-F238E27FC236}">
                <a16:creationId xmlns:a16="http://schemas.microsoft.com/office/drawing/2014/main" id="{00000000-0008-0000-0700-0000B0A11500}"/>
              </a:ext>
            </a:extLst>
          </xdr:cNvPr>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a:extLst>
              <a:ext uri="{FF2B5EF4-FFF2-40B4-BE49-F238E27FC236}">
                <a16:creationId xmlns:a16="http://schemas.microsoft.com/office/drawing/2014/main" id="{00000000-0008-0000-0700-000042540000}"/>
              </a:ext>
            </a:extLst>
          </xdr:cNvPr>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a:extLst>
              <a:ext uri="{FF2B5EF4-FFF2-40B4-BE49-F238E27FC236}">
                <a16:creationId xmlns:a16="http://schemas.microsoft.com/office/drawing/2014/main" id="{00000000-0008-0000-0700-000043540000}"/>
              </a:ext>
            </a:extLst>
          </xdr:cNvPr>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a:extLst>
              <a:ext uri="{FF2B5EF4-FFF2-40B4-BE49-F238E27FC236}">
                <a16:creationId xmlns:a16="http://schemas.microsoft.com/office/drawing/2014/main" id="{00000000-0008-0000-0700-000044540000}"/>
              </a:ext>
            </a:extLst>
          </xdr:cNvPr>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a:extLst>
              <a:ext uri="{FF2B5EF4-FFF2-40B4-BE49-F238E27FC236}">
                <a16:creationId xmlns:a16="http://schemas.microsoft.com/office/drawing/2014/main" id="{00000000-0008-0000-0700-000048540000}"/>
              </a:ext>
            </a:extLst>
          </xdr:cNvPr>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a:extLst>
              <a:ext uri="{FF2B5EF4-FFF2-40B4-BE49-F238E27FC236}">
                <a16:creationId xmlns:a16="http://schemas.microsoft.com/office/drawing/2014/main" id="{00000000-0008-0000-0700-000049540000}"/>
              </a:ext>
            </a:extLst>
          </xdr:cNvPr>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a:extLst>
            <a:ext uri="{FF2B5EF4-FFF2-40B4-BE49-F238E27FC236}">
              <a16:creationId xmlns:a16="http://schemas.microsoft.com/office/drawing/2014/main" id="{00000000-0008-0000-0700-00003F540000}"/>
            </a:ext>
          </a:extLst>
        </xdr:cNvPr>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a:extLst>
            <a:ext uri="{FF2B5EF4-FFF2-40B4-BE49-F238E27FC236}">
              <a16:creationId xmlns:a16="http://schemas.microsoft.com/office/drawing/2014/main" id="{00000000-0008-0000-0700-0000A5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a:extLst>
            <a:ext uri="{FF2B5EF4-FFF2-40B4-BE49-F238E27FC236}">
              <a16:creationId xmlns:a16="http://schemas.microsoft.com/office/drawing/2014/main" id="{00000000-0008-0000-0700-0000A6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a:extLst>
            <a:ext uri="{FF2B5EF4-FFF2-40B4-BE49-F238E27FC236}">
              <a16:creationId xmlns:a16="http://schemas.microsoft.com/office/drawing/2014/main" id="{00000000-0008-0000-0700-0000A7A11500}"/>
            </a:ext>
          </a:extLst>
        </xdr:cNvPr>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a:extLst>
            <a:ext uri="{FF2B5EF4-FFF2-40B4-BE49-F238E27FC236}">
              <a16:creationId xmlns:a16="http://schemas.microsoft.com/office/drawing/2014/main" id="{00000000-0008-0000-0700-0000A8A11500}"/>
            </a:ext>
          </a:extLst>
        </xdr:cNvPr>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a:extLst>
            <a:ext uri="{FF2B5EF4-FFF2-40B4-BE49-F238E27FC236}">
              <a16:creationId xmlns:a16="http://schemas.microsoft.com/office/drawing/2014/main" id="{00000000-0008-0000-0700-0000A9A11500}"/>
            </a:ext>
          </a:extLst>
        </xdr:cNvPr>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a:extLst>
            <a:ext uri="{FF2B5EF4-FFF2-40B4-BE49-F238E27FC236}">
              <a16:creationId xmlns:a16="http://schemas.microsoft.com/office/drawing/2014/main" id="{00000000-0008-0000-0700-0000AAA11500}"/>
            </a:ext>
          </a:extLst>
        </xdr:cNvPr>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7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 uri="{FF2B5EF4-FFF2-40B4-BE49-F238E27FC236}">
                  <a16:creationId xmlns:a16="http://schemas.microsoft.com/office/drawing/2014/main" id="{00000000-0008-0000-07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 uri="{FF2B5EF4-FFF2-40B4-BE49-F238E27FC236}">
                  <a16:creationId xmlns:a16="http://schemas.microsoft.com/office/drawing/2014/main" id="{00000000-0008-0000-07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7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 uri="{FF2B5EF4-FFF2-40B4-BE49-F238E27FC236}">
                  <a16:creationId xmlns:a16="http://schemas.microsoft.com/office/drawing/2014/main" id="{00000000-0008-0000-07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7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 uri="{FF2B5EF4-FFF2-40B4-BE49-F238E27FC236}">
                  <a16:creationId xmlns:a16="http://schemas.microsoft.com/office/drawing/2014/main" id="{00000000-0008-0000-07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 uri="{FF2B5EF4-FFF2-40B4-BE49-F238E27FC236}">
                  <a16:creationId xmlns:a16="http://schemas.microsoft.com/office/drawing/2014/main" id="{00000000-0008-0000-07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 uri="{FF2B5EF4-FFF2-40B4-BE49-F238E27FC236}">
                  <a16:creationId xmlns:a16="http://schemas.microsoft.com/office/drawing/2014/main" id="{00000000-0008-0000-07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 uri="{FF2B5EF4-FFF2-40B4-BE49-F238E27FC236}">
                  <a16:creationId xmlns:a16="http://schemas.microsoft.com/office/drawing/2014/main" id="{00000000-0008-0000-07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 uri="{FF2B5EF4-FFF2-40B4-BE49-F238E27FC236}">
                  <a16:creationId xmlns:a16="http://schemas.microsoft.com/office/drawing/2014/main" id="{00000000-0008-0000-07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 uri="{FF2B5EF4-FFF2-40B4-BE49-F238E27FC236}">
                  <a16:creationId xmlns:a16="http://schemas.microsoft.com/office/drawing/2014/main" id="{00000000-0008-0000-07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 uri="{FF2B5EF4-FFF2-40B4-BE49-F238E27FC236}">
                  <a16:creationId xmlns:a16="http://schemas.microsoft.com/office/drawing/2014/main" id="{00000000-0008-0000-07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 uri="{FF2B5EF4-FFF2-40B4-BE49-F238E27FC236}">
                  <a16:creationId xmlns:a16="http://schemas.microsoft.com/office/drawing/2014/main" id="{00000000-0008-0000-07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 uri="{FF2B5EF4-FFF2-40B4-BE49-F238E27FC236}">
                  <a16:creationId xmlns:a16="http://schemas.microsoft.com/office/drawing/2014/main" id="{00000000-0008-0000-07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 uri="{FF2B5EF4-FFF2-40B4-BE49-F238E27FC236}">
                  <a16:creationId xmlns:a16="http://schemas.microsoft.com/office/drawing/2014/main" id="{00000000-0008-0000-07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 uri="{FF2B5EF4-FFF2-40B4-BE49-F238E27FC236}">
                  <a16:creationId xmlns:a16="http://schemas.microsoft.com/office/drawing/2014/main" id="{00000000-0008-0000-07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 uri="{FF2B5EF4-FFF2-40B4-BE49-F238E27FC236}">
                  <a16:creationId xmlns:a16="http://schemas.microsoft.com/office/drawing/2014/main" id="{00000000-0008-0000-07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 uri="{FF2B5EF4-FFF2-40B4-BE49-F238E27FC236}">
                  <a16:creationId xmlns:a16="http://schemas.microsoft.com/office/drawing/2014/main" id="{00000000-0008-0000-07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 uri="{FF2B5EF4-FFF2-40B4-BE49-F238E27FC236}">
                  <a16:creationId xmlns:a16="http://schemas.microsoft.com/office/drawing/2014/main" id="{00000000-0008-0000-07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07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 uri="{FF2B5EF4-FFF2-40B4-BE49-F238E27FC236}">
                  <a16:creationId xmlns:a16="http://schemas.microsoft.com/office/drawing/2014/main" id="{00000000-0008-0000-07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07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 uri="{FF2B5EF4-FFF2-40B4-BE49-F238E27FC236}">
                  <a16:creationId xmlns:a16="http://schemas.microsoft.com/office/drawing/2014/main" id="{00000000-0008-0000-07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 uri="{FF2B5EF4-FFF2-40B4-BE49-F238E27FC236}">
                  <a16:creationId xmlns:a16="http://schemas.microsoft.com/office/drawing/2014/main" id="{00000000-0008-0000-07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07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07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07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07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07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07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07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07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07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07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07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07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07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07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07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07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07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07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07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07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07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07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A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9525</xdr:rowOff>
        </xdr:from>
        <xdr:to>
          <xdr:col>9</xdr:col>
          <xdr:colOff>600075</xdr:colOff>
          <xdr:row>57</xdr:row>
          <xdr:rowOff>95250</xdr:rowOff>
        </xdr:to>
        <xdr:sp macro="" textlink="">
          <xdr:nvSpPr>
            <xdr:cNvPr id="57355" name="Object 11" hidden="1">
              <a:extLst>
                <a:ext uri="{63B3BB69-23CF-44E3-9099-C40C66FF867C}">
                  <a14:compatExt spid="_x0000_s57355"/>
                </a:ext>
                <a:ext uri="{FF2B5EF4-FFF2-40B4-BE49-F238E27FC236}">
                  <a16:creationId xmlns:a16="http://schemas.microsoft.com/office/drawing/2014/main" id="{00000000-0008-0000-0B00-00000BE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703125" defaultRowHeight="12.75"/>
  <cols>
    <col min="1" max="1" width="7.5703125" customWidth="1"/>
    <col min="2" max="2" width="4.42578125" customWidth="1"/>
    <col min="3" max="3" width="18.28515625" style="314"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95</v>
      </c>
      <c r="B1" s="2" t="str">
        <f>B_PersonName</f>
        <v>Mustermann</v>
      </c>
      <c r="C1" s="328"/>
      <c r="D1" s="3"/>
      <c r="F1" s="4" t="s">
        <v>96</v>
      </c>
      <c r="G1" t="str">
        <f>B_Department</f>
        <v>Siemens</v>
      </c>
    </row>
    <row r="2" spans="1:24">
      <c r="A2" s="309" t="str">
        <f ca="1">CELL("filename",A2)</f>
        <v>D:\_pdata\GLAZ\andi\[vGlaz2023.xlsm]Classic</v>
      </c>
      <c r="B2" s="141"/>
      <c r="C2" s="328"/>
      <c r="D2" s="3"/>
    </row>
    <row r="3" spans="1:24" ht="21" customHeight="1">
      <c r="A3" s="372">
        <v>1</v>
      </c>
      <c r="B3" s="373"/>
      <c r="C3" s="374">
        <f>DATE(YEAR(B_Year),MONTH(B_Year)-1+$A$3,1)</f>
        <v>43465</v>
      </c>
      <c r="D3" s="375" t="s">
        <v>48</v>
      </c>
      <c r="I3" s="669" t="s">
        <v>49</v>
      </c>
      <c r="J3" s="669"/>
      <c r="K3" s="669"/>
      <c r="L3" s="669"/>
      <c r="M3" s="669"/>
      <c r="N3" s="669"/>
      <c r="O3" s="669"/>
      <c r="P3" s="669"/>
      <c r="R3" s="371">
        <f>Arbeitszeit!XWorkTimeMax</f>
        <v>0.41666666666666669</v>
      </c>
    </row>
    <row r="4" spans="1:24" ht="21.75">
      <c r="A4" s="360" t="s">
        <v>176</v>
      </c>
      <c r="B4" s="361" t="s">
        <v>22</v>
      </c>
      <c r="C4" s="363" t="s">
        <v>97</v>
      </c>
      <c r="D4" s="246" t="s">
        <v>98</v>
      </c>
      <c r="F4" s="363" t="s">
        <v>99</v>
      </c>
      <c r="G4" s="363" t="s">
        <v>100</v>
      </c>
      <c r="H4" s="363" t="s">
        <v>99</v>
      </c>
      <c r="I4" s="363" t="s">
        <v>100</v>
      </c>
      <c r="J4" s="364" t="s">
        <v>101</v>
      </c>
      <c r="K4" s="364" t="s">
        <v>134</v>
      </c>
      <c r="L4" s="365" t="s">
        <v>26</v>
      </c>
      <c r="M4" s="364" t="s">
        <v>102</v>
      </c>
      <c r="N4" s="366" t="s">
        <v>13</v>
      </c>
      <c r="O4" s="367" t="s">
        <v>103</v>
      </c>
      <c r="P4" s="368"/>
      <c r="Q4" s="8"/>
      <c r="R4" s="364" t="str">
        <f>Arbeitszeit!AD4</f>
        <v>&gt; 10 Std</v>
      </c>
      <c r="S4" s="369" t="s">
        <v>104</v>
      </c>
      <c r="T4" s="370" t="s">
        <v>105</v>
      </c>
      <c r="U4" s="370" t="s">
        <v>106</v>
      </c>
      <c r="V4" s="10" t="s">
        <v>165</v>
      </c>
      <c r="W4" s="364" t="s">
        <v>127</v>
      </c>
      <c r="X4" s="364" t="s">
        <v>25</v>
      </c>
    </row>
    <row r="5" spans="1:24">
      <c r="A5" s="187">
        <f>IF(MONTH(C3)&lt;&gt;MONTH($C$3),"",C3)</f>
        <v>43465</v>
      </c>
      <c r="B5" s="143">
        <f>IF(A5="","",NumberOfWeek(A5))</f>
        <v>52</v>
      </c>
      <c r="C5" s="318" t="str">
        <f t="shared" ref="C5:C35" si="0">VLOOKUP(A5,db_Jahr,5,FALSE)</f>
        <v>Neujahr</v>
      </c>
      <c r="D5" s="5" t="str">
        <f t="shared" ref="D5:D35" si="1">IF(ISBLANK(VLOOKUP($A5,db_Jahr,gSP_G_Kennung,FALSE)),"",VLOOKUP($A5,db_Jahr,gSP_G_Kennung,FALSE))</f>
        <v/>
      </c>
      <c r="E5" s="6" t="str">
        <f>IF(D5="",IF(F5="","",0),CODE(UPPER(D5)))</f>
        <v/>
      </c>
      <c r="F5" s="113" t="str">
        <f t="shared" ref="F5:F20" si="2">IF(ISNUMBER(VLOOKUP($A5,db_Jahr,gSP_Kom1,FALSE)),VLOOKUP($A5,db_Jahr,gSP_Kom1,FALSE),"")</f>
        <v/>
      </c>
      <c r="G5" s="113">
        <f t="shared" ref="G5:G35" si="3">VLOOKUP($A5,db_Jahr,gSP_Geh1,FALSE)</f>
        <v>0</v>
      </c>
      <c r="H5" s="113" t="str">
        <f t="shared" ref="H5:H35" si="4">IF(ISNUMBER(VLOOKUP($A5,db_Jahr,gSP_Kom2,FALSE)),VLOOKUP($A5,db_Jahr,gSP_Kom2,FALSE),"")</f>
        <v/>
      </c>
      <c r="I5" s="113">
        <f t="shared" ref="I5:I35" si="5">VLOOKUP($A5,db_Jahr,gSP_Geh2,FALSE)</f>
        <v>0</v>
      </c>
      <c r="J5" s="113">
        <f t="shared" ref="J5:J35" si="6">VLOOKUP($A5,db_Jahr,gSP_Ist,FALSE)</f>
        <v>0</v>
      </c>
      <c r="K5" s="66"/>
      <c r="L5" s="115">
        <f>VLOOKUP($A5,db_Jahr,gSP_Abzug,FALSE)</f>
        <v>4.027777777777778E-2</v>
      </c>
      <c r="M5" s="113">
        <f>VLOOKUP($A5,db_Jahr,gSP_Soll,FALSE)</f>
        <v>0</v>
      </c>
      <c r="N5" s="145" t="str">
        <f>VLOOKUP($A5,db_Jahr,gSP_V_Soll,FALSE)</f>
        <v/>
      </c>
      <c r="O5" s="112" t="str">
        <f t="shared" ref="O5:O35" si="7">IF(V5&lt;Feiertag,J5-M5,"")</f>
        <v/>
      </c>
      <c r="P5" s="67" t="str">
        <f t="shared" ref="P5:P35" si="8">IF(V5=Feiertag,"",IF((J5-M5)&lt;0,"*",""))</f>
        <v/>
      </c>
      <c r="Q5" s="145">
        <f>VLOOKUP($A5,db_Jahr,gSP_V_Overtime,FALSE)</f>
        <v>0</v>
      </c>
      <c r="R5" s="113" t="str">
        <f>VLOOKUP($A5,db_Jahr,gSP_MaxOvertime,FALSE)</f>
        <v/>
      </c>
      <c r="S5" s="68">
        <f t="shared" ref="S5:S35" si="9">IF(ISNUMBER(J5 ), IF( J5 &gt;= M5, M5, J5 ),"")</f>
        <v>0</v>
      </c>
      <c r="T5" s="68">
        <f t="shared" ref="T5:T35" si="10">IF( ISNUMBER( J5 ), IF( J5 &gt;= M5, J5 - M5, "" ), "" )</f>
        <v>0</v>
      </c>
      <c r="U5" s="68" t="str">
        <f t="shared" ref="U5:U35" si="11">IF( ISNUMBER( J5 ), IF( J5 &gt;= M5, "", M5 - J5 ), "" )</f>
        <v/>
      </c>
      <c r="V5">
        <f t="shared" ref="V5:V35" si="12">IF(A5="",0,IF(ISERROR(VLOOKUP(A5,db_Feiertag,2,FALSE)),WEEKDAY(A5,2),Feiertag))</f>
        <v>8</v>
      </c>
      <c r="W5" s="114">
        <f>$A$38+SUM(O5)-X5</f>
        <v>0</v>
      </c>
      <c r="X5" s="114">
        <f>VLOOKUP($A5,db_Jahr,gSP_Korr,FALSE)</f>
        <v>0</v>
      </c>
    </row>
    <row r="6" spans="1:24">
      <c r="A6" s="187">
        <f>IF(A5="","",IF(MONTH(A5+1)&lt;&gt;MONTH($C$3),"",A5+1))</f>
        <v>43466</v>
      </c>
      <c r="B6" s="143">
        <f t="shared" ref="B6:B35" si="13">IF(A6="","",NumberOfWeek(A6))</f>
        <v>1</v>
      </c>
      <c r="C6" s="318" t="str">
        <f t="shared" si="0"/>
        <v/>
      </c>
      <c r="D6" s="5" t="str">
        <f t="shared" si="1"/>
        <v/>
      </c>
      <c r="E6" s="6" t="str">
        <f t="shared" ref="E6:E35" si="14">IF(D6="",IF(F6="","",0),CODE(UPPER(D6)))</f>
        <v/>
      </c>
      <c r="F6" s="113" t="str">
        <f t="shared" si="2"/>
        <v/>
      </c>
      <c r="G6" s="113">
        <f t="shared" si="3"/>
        <v>0</v>
      </c>
      <c r="H6" s="113" t="str">
        <f t="shared" si="4"/>
        <v/>
      </c>
      <c r="I6" s="113">
        <f t="shared" si="5"/>
        <v>0</v>
      </c>
      <c r="J6" s="113">
        <f t="shared" si="6"/>
        <v>0</v>
      </c>
      <c r="K6" s="66"/>
      <c r="L6" s="115">
        <f t="shared" ref="L6:L35" si="15">VLOOKUP($A6,db_Jahr,gSP_Abzug,FALSE)</f>
        <v>4.027777777777778E-2</v>
      </c>
      <c r="M6" s="113">
        <f t="shared" ref="M6:M35" si="16">VLOOKUP($A6,db_Jahr,gSP_Soll,FALSE)</f>
        <v>0</v>
      </c>
      <c r="N6" s="145">
        <f t="shared" ref="N6:N35" si="17">VLOOKUP($A6,db_Jahr,gSP_V_Soll,FALSE)</f>
        <v>0.29166666666666669</v>
      </c>
      <c r="O6" s="112">
        <f t="shared" si="7"/>
        <v>0</v>
      </c>
      <c r="P6" s="67" t="str">
        <f t="shared" si="8"/>
        <v/>
      </c>
      <c r="Q6" s="145">
        <f t="shared" ref="Q6:Q35" si="18">VLOOKUP($A6,db_Jahr,gSP_V_Overtime,FALSE)</f>
        <v>0</v>
      </c>
      <c r="R6" s="113" t="str">
        <f t="shared" ref="R6:R35" si="19">VLOOKUP($A6,db_Jahr,gSP_MaxOvertime,FALSE)</f>
        <v/>
      </c>
      <c r="S6" s="68">
        <f t="shared" si="9"/>
        <v>0</v>
      </c>
      <c r="T6" s="68">
        <f t="shared" si="10"/>
        <v>0</v>
      </c>
      <c r="U6" s="68" t="str">
        <f t="shared" si="11"/>
        <v/>
      </c>
      <c r="V6">
        <f t="shared" si="12"/>
        <v>1</v>
      </c>
      <c r="W6" s="114">
        <f>W5+SUM(O6)-X6</f>
        <v>0</v>
      </c>
      <c r="X6" s="114">
        <f t="shared" ref="X6:X35" si="20">VLOOKUP($A6,db_Jahr,gSP_Korr,FALSE)</f>
        <v>0</v>
      </c>
    </row>
    <row r="7" spans="1:24">
      <c r="A7" s="187">
        <f t="shared" ref="A7:A35" si="21">IF(A6="","",IF(MONTH(A6+1)&lt;&gt;MONTH($C$3),"",A6+1))</f>
        <v>43467</v>
      </c>
      <c r="B7" s="143">
        <f t="shared" si="13"/>
        <v>1</v>
      </c>
      <c r="C7" s="318" t="str">
        <f t="shared" si="0"/>
        <v/>
      </c>
      <c r="D7" s="5" t="str">
        <f t="shared" si="1"/>
        <v/>
      </c>
      <c r="E7" s="6" t="str">
        <f t="shared" si="14"/>
        <v/>
      </c>
      <c r="F7" s="113" t="str">
        <f t="shared" si="2"/>
        <v/>
      </c>
      <c r="G7" s="113">
        <f t="shared" si="3"/>
        <v>0</v>
      </c>
      <c r="H7" s="113" t="str">
        <f t="shared" si="4"/>
        <v/>
      </c>
      <c r="I7" s="113">
        <f t="shared" si="5"/>
        <v>0</v>
      </c>
      <c r="J7" s="113">
        <f t="shared" si="6"/>
        <v>0</v>
      </c>
      <c r="K7" s="66"/>
      <c r="L7" s="115">
        <f t="shared" si="15"/>
        <v>4.027777777777778E-2</v>
      </c>
      <c r="M7" s="113">
        <f t="shared" si="16"/>
        <v>0</v>
      </c>
      <c r="N7" s="145">
        <f t="shared" si="17"/>
        <v>0.29166666666666669</v>
      </c>
      <c r="O7" s="112">
        <f t="shared" si="7"/>
        <v>0</v>
      </c>
      <c r="P7" s="67" t="str">
        <f t="shared" si="8"/>
        <v/>
      </c>
      <c r="Q7" s="145">
        <f t="shared" si="18"/>
        <v>0</v>
      </c>
      <c r="R7" s="113" t="str">
        <f t="shared" si="19"/>
        <v/>
      </c>
      <c r="S7" s="68">
        <f t="shared" si="9"/>
        <v>0</v>
      </c>
      <c r="T7" s="68">
        <f t="shared" si="10"/>
        <v>0</v>
      </c>
      <c r="U7" s="68" t="str">
        <f t="shared" si="11"/>
        <v/>
      </c>
      <c r="V7">
        <f t="shared" si="12"/>
        <v>2</v>
      </c>
      <c r="W7" s="114">
        <f t="shared" ref="W7:W35" si="22">W6+SUM(O7)-X7</f>
        <v>0</v>
      </c>
      <c r="X7" s="114">
        <f t="shared" si="20"/>
        <v>0</v>
      </c>
    </row>
    <row r="8" spans="1:24">
      <c r="A8" s="187">
        <f t="shared" si="21"/>
        <v>43468</v>
      </c>
      <c r="B8" s="143">
        <f t="shared" si="13"/>
        <v>1</v>
      </c>
      <c r="C8" s="318" t="str">
        <f t="shared" si="0"/>
        <v/>
      </c>
      <c r="D8" s="5" t="str">
        <f t="shared" si="1"/>
        <v/>
      </c>
      <c r="E8" s="6" t="str">
        <f t="shared" si="14"/>
        <v/>
      </c>
      <c r="F8" s="113" t="str">
        <f t="shared" si="2"/>
        <v/>
      </c>
      <c r="G8" s="113">
        <f t="shared" si="3"/>
        <v>0</v>
      </c>
      <c r="H8" s="113" t="str">
        <f t="shared" si="4"/>
        <v/>
      </c>
      <c r="I8" s="113">
        <f t="shared" si="5"/>
        <v>0</v>
      </c>
      <c r="J8" s="113">
        <f t="shared" si="6"/>
        <v>0</v>
      </c>
      <c r="K8" s="66"/>
      <c r="L8" s="115">
        <f t="shared" si="15"/>
        <v>4.027777777777778E-2</v>
      </c>
      <c r="M8" s="113">
        <f t="shared" si="16"/>
        <v>0</v>
      </c>
      <c r="N8" s="145">
        <f t="shared" si="17"/>
        <v>0.29166666666666669</v>
      </c>
      <c r="O8" s="112">
        <f t="shared" si="7"/>
        <v>0</v>
      </c>
      <c r="P8" s="67" t="str">
        <f t="shared" si="8"/>
        <v/>
      </c>
      <c r="Q8" s="145">
        <f t="shared" si="18"/>
        <v>0</v>
      </c>
      <c r="R8" s="113" t="str">
        <f t="shared" si="19"/>
        <v/>
      </c>
      <c r="S8" s="68">
        <f t="shared" si="9"/>
        <v>0</v>
      </c>
      <c r="T8" s="68">
        <f t="shared" si="10"/>
        <v>0</v>
      </c>
      <c r="U8" s="68" t="str">
        <f t="shared" si="11"/>
        <v/>
      </c>
      <c r="V8">
        <f t="shared" si="12"/>
        <v>3</v>
      </c>
      <c r="W8" s="114">
        <f t="shared" si="22"/>
        <v>0</v>
      </c>
      <c r="X8" s="114">
        <f t="shared" si="20"/>
        <v>0</v>
      </c>
    </row>
    <row r="9" spans="1:24">
      <c r="A9" s="187">
        <f t="shared" si="21"/>
        <v>43469</v>
      </c>
      <c r="B9" s="143">
        <f t="shared" si="13"/>
        <v>1</v>
      </c>
      <c r="C9" s="318" t="str">
        <f t="shared" si="0"/>
        <v/>
      </c>
      <c r="D9" s="5" t="str">
        <f t="shared" si="1"/>
        <v/>
      </c>
      <c r="E9" s="6" t="str">
        <f t="shared" si="14"/>
        <v/>
      </c>
      <c r="F9" s="113" t="str">
        <f t="shared" si="2"/>
        <v/>
      </c>
      <c r="G9" s="113">
        <f t="shared" si="3"/>
        <v>0</v>
      </c>
      <c r="H9" s="113" t="str">
        <f t="shared" si="4"/>
        <v/>
      </c>
      <c r="I9" s="113">
        <f t="shared" si="5"/>
        <v>0</v>
      </c>
      <c r="J9" s="113">
        <f t="shared" si="6"/>
        <v>0</v>
      </c>
      <c r="K9" s="66"/>
      <c r="L9" s="115">
        <f t="shared" si="15"/>
        <v>4.027777777777778E-2</v>
      </c>
      <c r="M9" s="113">
        <f t="shared" si="16"/>
        <v>0</v>
      </c>
      <c r="N9" s="145">
        <f t="shared" si="17"/>
        <v>0.29166666666666669</v>
      </c>
      <c r="O9" s="112">
        <f t="shared" si="7"/>
        <v>0</v>
      </c>
      <c r="P9" s="67" t="str">
        <f t="shared" si="8"/>
        <v/>
      </c>
      <c r="Q9" s="145">
        <f t="shared" si="18"/>
        <v>0</v>
      </c>
      <c r="R9" s="113" t="str">
        <f t="shared" si="19"/>
        <v/>
      </c>
      <c r="S9" s="68">
        <f t="shared" si="9"/>
        <v>0</v>
      </c>
      <c r="T9" s="68">
        <f t="shared" si="10"/>
        <v>0</v>
      </c>
      <c r="U9" s="68" t="str">
        <f t="shared" si="11"/>
        <v/>
      </c>
      <c r="V9">
        <f t="shared" si="12"/>
        <v>4</v>
      </c>
      <c r="W9" s="114">
        <f t="shared" si="22"/>
        <v>0</v>
      </c>
      <c r="X9" s="114">
        <f t="shared" si="20"/>
        <v>0</v>
      </c>
    </row>
    <row r="10" spans="1:24">
      <c r="A10" s="187">
        <f t="shared" si="21"/>
        <v>43470</v>
      </c>
      <c r="B10" s="143">
        <f t="shared" si="13"/>
        <v>1</v>
      </c>
      <c r="C10" s="318" t="str">
        <f t="shared" si="0"/>
        <v>hl. Dreikönig</v>
      </c>
      <c r="D10" s="5" t="str">
        <f t="shared" si="1"/>
        <v/>
      </c>
      <c r="E10" s="6" t="str">
        <f t="shared" si="14"/>
        <v/>
      </c>
      <c r="F10" s="113" t="str">
        <f t="shared" si="2"/>
        <v/>
      </c>
      <c r="G10" s="113">
        <f t="shared" si="3"/>
        <v>0</v>
      </c>
      <c r="H10" s="113" t="str">
        <f t="shared" si="4"/>
        <v/>
      </c>
      <c r="I10" s="113">
        <f t="shared" si="5"/>
        <v>0</v>
      </c>
      <c r="J10" s="113">
        <f t="shared" si="6"/>
        <v>0</v>
      </c>
      <c r="K10" s="66"/>
      <c r="L10" s="115">
        <f t="shared" si="15"/>
        <v>4.027777777777778E-2</v>
      </c>
      <c r="M10" s="113">
        <f t="shared" si="16"/>
        <v>0</v>
      </c>
      <c r="N10" s="145" t="str">
        <f t="shared" si="17"/>
        <v/>
      </c>
      <c r="O10" s="112" t="str">
        <f t="shared" si="7"/>
        <v/>
      </c>
      <c r="P10" s="67" t="str">
        <f t="shared" si="8"/>
        <v/>
      </c>
      <c r="Q10" s="145">
        <f t="shared" si="18"/>
        <v>0</v>
      </c>
      <c r="R10" s="113" t="str">
        <f t="shared" si="19"/>
        <v/>
      </c>
      <c r="S10" s="68">
        <f t="shared" si="9"/>
        <v>0</v>
      </c>
      <c r="T10" s="68">
        <f t="shared" si="10"/>
        <v>0</v>
      </c>
      <c r="U10" s="68" t="str">
        <f t="shared" si="11"/>
        <v/>
      </c>
      <c r="V10">
        <f t="shared" si="12"/>
        <v>8</v>
      </c>
      <c r="W10" s="114">
        <f t="shared" si="22"/>
        <v>0</v>
      </c>
      <c r="X10" s="114">
        <f t="shared" si="20"/>
        <v>0</v>
      </c>
    </row>
    <row r="11" spans="1:24">
      <c r="A11" s="187">
        <f t="shared" si="21"/>
        <v>43471</v>
      </c>
      <c r="B11" s="143">
        <f t="shared" si="13"/>
        <v>1</v>
      </c>
      <c r="C11" s="318" t="str">
        <f t="shared" si="0"/>
        <v/>
      </c>
      <c r="D11" s="5" t="str">
        <f t="shared" si="1"/>
        <v/>
      </c>
      <c r="E11" s="6" t="str">
        <f t="shared" si="14"/>
        <v/>
      </c>
      <c r="F11" s="113" t="str">
        <f t="shared" si="2"/>
        <v/>
      </c>
      <c r="G11" s="113">
        <f t="shared" si="3"/>
        <v>0</v>
      </c>
      <c r="H11" s="113" t="str">
        <f t="shared" si="4"/>
        <v/>
      </c>
      <c r="I11" s="113">
        <f t="shared" si="5"/>
        <v>0</v>
      </c>
      <c r="J11" s="113">
        <f t="shared" si="6"/>
        <v>0</v>
      </c>
      <c r="K11" s="66"/>
      <c r="L11" s="115">
        <f t="shared" si="15"/>
        <v>4.027777777777778E-2</v>
      </c>
      <c r="M11" s="113">
        <f t="shared" si="16"/>
        <v>0</v>
      </c>
      <c r="N11" s="145">
        <f t="shared" si="17"/>
        <v>0</v>
      </c>
      <c r="O11" s="112">
        <f t="shared" si="7"/>
        <v>0</v>
      </c>
      <c r="P11" s="67" t="str">
        <f t="shared" si="8"/>
        <v/>
      </c>
      <c r="Q11" s="145">
        <f t="shared" si="18"/>
        <v>0</v>
      </c>
      <c r="R11" s="113" t="str">
        <f t="shared" si="19"/>
        <v/>
      </c>
      <c r="S11" s="68">
        <f t="shared" si="9"/>
        <v>0</v>
      </c>
      <c r="T11" s="68">
        <f t="shared" si="10"/>
        <v>0</v>
      </c>
      <c r="U11" s="68" t="str">
        <f t="shared" si="11"/>
        <v/>
      </c>
      <c r="V11">
        <f t="shared" si="12"/>
        <v>6</v>
      </c>
      <c r="W11" s="114">
        <f t="shared" si="22"/>
        <v>0</v>
      </c>
      <c r="X11" s="114">
        <f t="shared" si="20"/>
        <v>0</v>
      </c>
    </row>
    <row r="12" spans="1:24">
      <c r="A12" s="187">
        <f t="shared" si="21"/>
        <v>43472</v>
      </c>
      <c r="B12" s="143">
        <f t="shared" si="13"/>
        <v>1</v>
      </c>
      <c r="C12" s="318" t="str">
        <f t="shared" si="0"/>
        <v/>
      </c>
      <c r="D12" s="5" t="str">
        <f t="shared" si="1"/>
        <v/>
      </c>
      <c r="E12" s="6" t="str">
        <f t="shared" si="14"/>
        <v/>
      </c>
      <c r="F12" s="113" t="str">
        <f t="shared" si="2"/>
        <v/>
      </c>
      <c r="G12" s="113">
        <f t="shared" si="3"/>
        <v>0</v>
      </c>
      <c r="H12" s="113" t="str">
        <f t="shared" si="4"/>
        <v/>
      </c>
      <c r="I12" s="113">
        <f t="shared" si="5"/>
        <v>0</v>
      </c>
      <c r="J12" s="113">
        <f t="shared" si="6"/>
        <v>0</v>
      </c>
      <c r="K12" s="66"/>
      <c r="L12" s="115">
        <f t="shared" si="15"/>
        <v>4.027777777777778E-2</v>
      </c>
      <c r="M12" s="113">
        <f t="shared" si="16"/>
        <v>0</v>
      </c>
      <c r="N12" s="145">
        <f t="shared" si="17"/>
        <v>0</v>
      </c>
      <c r="O12" s="112">
        <f t="shared" si="7"/>
        <v>0</v>
      </c>
      <c r="P12" s="67" t="str">
        <f t="shared" si="8"/>
        <v/>
      </c>
      <c r="Q12" s="145">
        <f t="shared" si="18"/>
        <v>0</v>
      </c>
      <c r="R12" s="113" t="str">
        <f t="shared" si="19"/>
        <v/>
      </c>
      <c r="S12" s="68">
        <f t="shared" si="9"/>
        <v>0</v>
      </c>
      <c r="T12" s="68">
        <f t="shared" si="10"/>
        <v>0</v>
      </c>
      <c r="U12" s="68" t="str">
        <f t="shared" si="11"/>
        <v/>
      </c>
      <c r="V12">
        <f t="shared" si="12"/>
        <v>7</v>
      </c>
      <c r="W12" s="114">
        <f t="shared" si="22"/>
        <v>0</v>
      </c>
      <c r="X12" s="114">
        <f t="shared" si="20"/>
        <v>0</v>
      </c>
    </row>
    <row r="13" spans="1:24">
      <c r="A13" s="187">
        <f t="shared" si="21"/>
        <v>43473</v>
      </c>
      <c r="B13" s="143">
        <f t="shared" si="13"/>
        <v>2</v>
      </c>
      <c r="C13" s="318" t="str">
        <f t="shared" si="0"/>
        <v/>
      </c>
      <c r="D13" s="5" t="str">
        <f t="shared" si="1"/>
        <v/>
      </c>
      <c r="E13" s="6" t="str">
        <f t="shared" si="14"/>
        <v/>
      </c>
      <c r="F13" s="113" t="str">
        <f t="shared" si="2"/>
        <v/>
      </c>
      <c r="G13" s="113">
        <f t="shared" si="3"/>
        <v>0</v>
      </c>
      <c r="H13" s="113" t="str">
        <f t="shared" si="4"/>
        <v/>
      </c>
      <c r="I13" s="113">
        <f t="shared" si="5"/>
        <v>0</v>
      </c>
      <c r="J13" s="113">
        <f t="shared" si="6"/>
        <v>0</v>
      </c>
      <c r="K13" s="66"/>
      <c r="L13" s="115">
        <f t="shared" si="15"/>
        <v>4.027777777777778E-2</v>
      </c>
      <c r="M13" s="113">
        <f t="shared" si="16"/>
        <v>0</v>
      </c>
      <c r="N13" s="145">
        <f t="shared" si="17"/>
        <v>0.29166666666666669</v>
      </c>
      <c r="O13" s="112">
        <f t="shared" si="7"/>
        <v>0</v>
      </c>
      <c r="P13" s="67" t="str">
        <f t="shared" si="8"/>
        <v/>
      </c>
      <c r="Q13" s="145">
        <f t="shared" si="18"/>
        <v>0</v>
      </c>
      <c r="R13" s="113" t="str">
        <f t="shared" si="19"/>
        <v/>
      </c>
      <c r="S13" s="68">
        <f t="shared" si="9"/>
        <v>0</v>
      </c>
      <c r="T13" s="68">
        <f t="shared" si="10"/>
        <v>0</v>
      </c>
      <c r="U13" s="68" t="str">
        <f t="shared" si="11"/>
        <v/>
      </c>
      <c r="V13">
        <f t="shared" si="12"/>
        <v>1</v>
      </c>
      <c r="W13" s="114">
        <f t="shared" si="22"/>
        <v>0</v>
      </c>
      <c r="X13" s="114">
        <f t="shared" si="20"/>
        <v>0</v>
      </c>
    </row>
    <row r="14" spans="1:24">
      <c r="A14" s="187">
        <f t="shared" si="21"/>
        <v>43474</v>
      </c>
      <c r="B14" s="143">
        <f t="shared" si="13"/>
        <v>2</v>
      </c>
      <c r="C14" s="318" t="str">
        <f t="shared" si="0"/>
        <v/>
      </c>
      <c r="D14" s="5" t="str">
        <f t="shared" si="1"/>
        <v/>
      </c>
      <c r="E14" s="6" t="str">
        <f t="shared" si="14"/>
        <v/>
      </c>
      <c r="F14" s="113" t="str">
        <f t="shared" si="2"/>
        <v/>
      </c>
      <c r="G14" s="113">
        <f t="shared" si="3"/>
        <v>0</v>
      </c>
      <c r="H14" s="113" t="str">
        <f t="shared" si="4"/>
        <v/>
      </c>
      <c r="I14" s="113">
        <f t="shared" si="5"/>
        <v>0</v>
      </c>
      <c r="J14" s="113">
        <f t="shared" si="6"/>
        <v>0</v>
      </c>
      <c r="K14" s="66"/>
      <c r="L14" s="115">
        <f t="shared" si="15"/>
        <v>4.027777777777778E-2</v>
      </c>
      <c r="M14" s="113">
        <f t="shared" si="16"/>
        <v>0</v>
      </c>
      <c r="N14" s="145">
        <f t="shared" si="17"/>
        <v>0.29166666666666669</v>
      </c>
      <c r="O14" s="112">
        <f t="shared" si="7"/>
        <v>0</v>
      </c>
      <c r="P14" s="67" t="str">
        <f t="shared" si="8"/>
        <v/>
      </c>
      <c r="Q14" s="145">
        <f t="shared" si="18"/>
        <v>0</v>
      </c>
      <c r="R14" s="113" t="str">
        <f t="shared" si="19"/>
        <v/>
      </c>
      <c r="S14" s="68">
        <f t="shared" si="9"/>
        <v>0</v>
      </c>
      <c r="T14" s="68">
        <f t="shared" si="10"/>
        <v>0</v>
      </c>
      <c r="U14" s="68" t="str">
        <f t="shared" si="11"/>
        <v/>
      </c>
      <c r="V14">
        <f t="shared" si="12"/>
        <v>2</v>
      </c>
      <c r="W14" s="114">
        <f t="shared" si="22"/>
        <v>0</v>
      </c>
      <c r="X14" s="114">
        <f t="shared" si="20"/>
        <v>0</v>
      </c>
    </row>
    <row r="15" spans="1:24">
      <c r="A15" s="187">
        <f t="shared" si="21"/>
        <v>43475</v>
      </c>
      <c r="B15" s="143">
        <f t="shared" si="13"/>
        <v>2</v>
      </c>
      <c r="C15" s="318" t="str">
        <f t="shared" si="0"/>
        <v/>
      </c>
      <c r="D15" s="5" t="str">
        <f t="shared" si="1"/>
        <v/>
      </c>
      <c r="E15" s="6" t="str">
        <f t="shared" si="14"/>
        <v/>
      </c>
      <c r="F15" s="113" t="str">
        <f t="shared" si="2"/>
        <v/>
      </c>
      <c r="G15" s="113">
        <f t="shared" si="3"/>
        <v>0</v>
      </c>
      <c r="H15" s="113" t="str">
        <f t="shared" si="4"/>
        <v/>
      </c>
      <c r="I15" s="113">
        <f t="shared" si="5"/>
        <v>0</v>
      </c>
      <c r="J15" s="113">
        <f t="shared" si="6"/>
        <v>0</v>
      </c>
      <c r="K15" s="66"/>
      <c r="L15" s="115">
        <f t="shared" si="15"/>
        <v>4.027777777777778E-2</v>
      </c>
      <c r="M15" s="113">
        <f t="shared" si="16"/>
        <v>0</v>
      </c>
      <c r="N15" s="145">
        <f t="shared" si="17"/>
        <v>0.29166666666666669</v>
      </c>
      <c r="O15" s="112">
        <f t="shared" si="7"/>
        <v>0</v>
      </c>
      <c r="P15" s="67" t="str">
        <f t="shared" si="8"/>
        <v/>
      </c>
      <c r="Q15" s="145">
        <f t="shared" si="18"/>
        <v>0</v>
      </c>
      <c r="R15" s="113" t="str">
        <f t="shared" si="19"/>
        <v/>
      </c>
      <c r="S15" s="68">
        <f t="shared" si="9"/>
        <v>0</v>
      </c>
      <c r="T15" s="68">
        <f t="shared" si="10"/>
        <v>0</v>
      </c>
      <c r="U15" s="68" t="str">
        <f t="shared" si="11"/>
        <v/>
      </c>
      <c r="V15">
        <f t="shared" si="12"/>
        <v>3</v>
      </c>
      <c r="W15" s="114">
        <f t="shared" si="22"/>
        <v>0</v>
      </c>
      <c r="X15" s="114">
        <f t="shared" si="20"/>
        <v>0</v>
      </c>
    </row>
    <row r="16" spans="1:24">
      <c r="A16" s="187">
        <f t="shared" si="21"/>
        <v>43476</v>
      </c>
      <c r="B16" s="143">
        <f t="shared" si="13"/>
        <v>2</v>
      </c>
      <c r="C16" s="318" t="str">
        <f t="shared" si="0"/>
        <v/>
      </c>
      <c r="D16" s="5" t="str">
        <f t="shared" si="1"/>
        <v/>
      </c>
      <c r="E16" s="6" t="str">
        <f t="shared" si="14"/>
        <v/>
      </c>
      <c r="F16" s="113" t="str">
        <f t="shared" si="2"/>
        <v/>
      </c>
      <c r="G16" s="113">
        <f t="shared" si="3"/>
        <v>0</v>
      </c>
      <c r="H16" s="113" t="str">
        <f t="shared" si="4"/>
        <v/>
      </c>
      <c r="I16" s="113">
        <f t="shared" si="5"/>
        <v>0</v>
      </c>
      <c r="J16" s="113">
        <f t="shared" si="6"/>
        <v>0</v>
      </c>
      <c r="K16" s="66"/>
      <c r="L16" s="115">
        <f t="shared" si="15"/>
        <v>4.027777777777778E-2</v>
      </c>
      <c r="M16" s="113">
        <f t="shared" si="16"/>
        <v>0</v>
      </c>
      <c r="N16" s="145">
        <f t="shared" si="17"/>
        <v>0.29166666666666669</v>
      </c>
      <c r="O16" s="112">
        <f t="shared" si="7"/>
        <v>0</v>
      </c>
      <c r="P16" s="67" t="str">
        <f t="shared" si="8"/>
        <v/>
      </c>
      <c r="Q16" s="145">
        <f t="shared" si="18"/>
        <v>0</v>
      </c>
      <c r="R16" s="113" t="str">
        <f t="shared" si="19"/>
        <v/>
      </c>
      <c r="S16" s="68">
        <f t="shared" si="9"/>
        <v>0</v>
      </c>
      <c r="T16" s="68">
        <f t="shared" si="10"/>
        <v>0</v>
      </c>
      <c r="U16" s="68" t="str">
        <f t="shared" si="11"/>
        <v/>
      </c>
      <c r="V16">
        <f t="shared" si="12"/>
        <v>4</v>
      </c>
      <c r="W16" s="114">
        <f t="shared" si="22"/>
        <v>0</v>
      </c>
      <c r="X16" s="114">
        <f t="shared" si="20"/>
        <v>0</v>
      </c>
    </row>
    <row r="17" spans="1:24">
      <c r="A17" s="187">
        <f t="shared" si="21"/>
        <v>43477</v>
      </c>
      <c r="B17" s="143">
        <f t="shared" si="13"/>
        <v>2</v>
      </c>
      <c r="C17" s="318" t="str">
        <f t="shared" si="0"/>
        <v/>
      </c>
      <c r="D17" s="5" t="str">
        <f t="shared" si="1"/>
        <v/>
      </c>
      <c r="E17" s="6" t="str">
        <f t="shared" si="14"/>
        <v/>
      </c>
      <c r="F17" s="113" t="str">
        <f t="shared" si="2"/>
        <v/>
      </c>
      <c r="G17" s="113">
        <f t="shared" si="3"/>
        <v>0</v>
      </c>
      <c r="H17" s="113" t="str">
        <f t="shared" si="4"/>
        <v/>
      </c>
      <c r="I17" s="113">
        <f t="shared" si="5"/>
        <v>0</v>
      </c>
      <c r="J17" s="113">
        <f t="shared" si="6"/>
        <v>0</v>
      </c>
      <c r="K17" s="66"/>
      <c r="L17" s="115">
        <f t="shared" si="15"/>
        <v>4.027777777777778E-2</v>
      </c>
      <c r="M17" s="113">
        <f t="shared" si="16"/>
        <v>0</v>
      </c>
      <c r="N17" s="145">
        <f t="shared" si="17"/>
        <v>0.29166666666666669</v>
      </c>
      <c r="O17" s="112">
        <f t="shared" si="7"/>
        <v>0</v>
      </c>
      <c r="P17" s="67" t="str">
        <f t="shared" si="8"/>
        <v/>
      </c>
      <c r="Q17" s="145">
        <f t="shared" si="18"/>
        <v>0</v>
      </c>
      <c r="R17" s="113" t="str">
        <f t="shared" si="19"/>
        <v/>
      </c>
      <c r="S17" s="68">
        <f t="shared" si="9"/>
        <v>0</v>
      </c>
      <c r="T17" s="68">
        <f t="shared" si="10"/>
        <v>0</v>
      </c>
      <c r="U17" s="68" t="str">
        <f t="shared" si="11"/>
        <v/>
      </c>
      <c r="V17">
        <f t="shared" si="12"/>
        <v>5</v>
      </c>
      <c r="W17" s="114">
        <f t="shared" si="22"/>
        <v>0</v>
      </c>
      <c r="X17" s="114">
        <f t="shared" si="20"/>
        <v>0</v>
      </c>
    </row>
    <row r="18" spans="1:24">
      <c r="A18" s="187">
        <f t="shared" si="21"/>
        <v>43478</v>
      </c>
      <c r="B18" s="143">
        <f t="shared" si="13"/>
        <v>2</v>
      </c>
      <c r="C18" s="318" t="str">
        <f t="shared" si="0"/>
        <v/>
      </c>
      <c r="D18" s="5" t="str">
        <f t="shared" si="1"/>
        <v/>
      </c>
      <c r="E18" s="6" t="str">
        <f t="shared" si="14"/>
        <v/>
      </c>
      <c r="F18" s="113" t="str">
        <f t="shared" si="2"/>
        <v/>
      </c>
      <c r="G18" s="113">
        <f t="shared" si="3"/>
        <v>0</v>
      </c>
      <c r="H18" s="113" t="str">
        <f t="shared" si="4"/>
        <v/>
      </c>
      <c r="I18" s="113">
        <f t="shared" si="5"/>
        <v>0</v>
      </c>
      <c r="J18" s="113">
        <f t="shared" si="6"/>
        <v>0</v>
      </c>
      <c r="K18" s="66"/>
      <c r="L18" s="115">
        <f t="shared" si="15"/>
        <v>4.027777777777778E-2</v>
      </c>
      <c r="M18" s="113">
        <f t="shared" si="16"/>
        <v>0</v>
      </c>
      <c r="N18" s="145">
        <f t="shared" si="17"/>
        <v>0</v>
      </c>
      <c r="O18" s="112">
        <f t="shared" si="7"/>
        <v>0</v>
      </c>
      <c r="P18" s="67" t="str">
        <f t="shared" si="8"/>
        <v/>
      </c>
      <c r="Q18" s="145">
        <f t="shared" si="18"/>
        <v>0</v>
      </c>
      <c r="R18" s="113" t="str">
        <f t="shared" si="19"/>
        <v/>
      </c>
      <c r="S18" s="68">
        <f t="shared" si="9"/>
        <v>0</v>
      </c>
      <c r="T18" s="68">
        <f t="shared" si="10"/>
        <v>0</v>
      </c>
      <c r="U18" s="68" t="str">
        <f t="shared" si="11"/>
        <v/>
      </c>
      <c r="V18">
        <f t="shared" si="12"/>
        <v>6</v>
      </c>
      <c r="W18" s="114">
        <f t="shared" si="22"/>
        <v>0</v>
      </c>
      <c r="X18" s="114">
        <f t="shared" si="20"/>
        <v>0</v>
      </c>
    </row>
    <row r="19" spans="1:24">
      <c r="A19" s="187">
        <f t="shared" si="21"/>
        <v>43479</v>
      </c>
      <c r="B19" s="143">
        <f t="shared" si="13"/>
        <v>2</v>
      </c>
      <c r="C19" s="318" t="str">
        <f t="shared" si="0"/>
        <v/>
      </c>
      <c r="D19" s="5" t="str">
        <f t="shared" si="1"/>
        <v/>
      </c>
      <c r="E19" s="6" t="str">
        <f t="shared" si="14"/>
        <v/>
      </c>
      <c r="F19" s="113" t="str">
        <f t="shared" si="2"/>
        <v/>
      </c>
      <c r="G19" s="113">
        <f t="shared" si="3"/>
        <v>0</v>
      </c>
      <c r="H19" s="113" t="str">
        <f t="shared" si="4"/>
        <v/>
      </c>
      <c r="I19" s="113">
        <f t="shared" si="5"/>
        <v>0</v>
      </c>
      <c r="J19" s="113">
        <f t="shared" si="6"/>
        <v>0</v>
      </c>
      <c r="K19" s="66"/>
      <c r="L19" s="115">
        <f t="shared" si="15"/>
        <v>4.027777777777778E-2</v>
      </c>
      <c r="M19" s="113">
        <f t="shared" si="16"/>
        <v>0</v>
      </c>
      <c r="N19" s="145">
        <f t="shared" si="17"/>
        <v>0</v>
      </c>
      <c r="O19" s="112">
        <f t="shared" si="7"/>
        <v>0</v>
      </c>
      <c r="P19" s="67" t="str">
        <f t="shared" si="8"/>
        <v/>
      </c>
      <c r="Q19" s="145">
        <f t="shared" si="18"/>
        <v>0</v>
      </c>
      <c r="R19" s="113" t="str">
        <f t="shared" si="19"/>
        <v/>
      </c>
      <c r="S19" s="68">
        <f t="shared" si="9"/>
        <v>0</v>
      </c>
      <c r="T19" s="68">
        <f t="shared" si="10"/>
        <v>0</v>
      </c>
      <c r="U19" s="68" t="str">
        <f t="shared" si="11"/>
        <v/>
      </c>
      <c r="V19">
        <f t="shared" si="12"/>
        <v>7</v>
      </c>
      <c r="W19" s="114">
        <f t="shared" si="22"/>
        <v>0</v>
      </c>
      <c r="X19" s="114">
        <f t="shared" si="20"/>
        <v>0</v>
      </c>
    </row>
    <row r="20" spans="1:24">
      <c r="A20" s="187">
        <f t="shared" si="21"/>
        <v>43480</v>
      </c>
      <c r="B20" s="143">
        <f t="shared" si="13"/>
        <v>3</v>
      </c>
      <c r="C20" s="318" t="str">
        <f t="shared" si="0"/>
        <v/>
      </c>
      <c r="D20" s="5" t="str">
        <f t="shared" si="1"/>
        <v/>
      </c>
      <c r="E20" s="6" t="str">
        <f t="shared" si="14"/>
        <v/>
      </c>
      <c r="F20" s="113" t="str">
        <f t="shared" si="2"/>
        <v/>
      </c>
      <c r="G20" s="113">
        <f t="shared" si="3"/>
        <v>0</v>
      </c>
      <c r="H20" s="113" t="str">
        <f t="shared" si="4"/>
        <v/>
      </c>
      <c r="I20" s="113">
        <f t="shared" si="5"/>
        <v>0</v>
      </c>
      <c r="J20" s="113">
        <f t="shared" si="6"/>
        <v>0</v>
      </c>
      <c r="K20" s="66"/>
      <c r="L20" s="115">
        <f t="shared" si="15"/>
        <v>4.027777777777778E-2</v>
      </c>
      <c r="M20" s="113">
        <f t="shared" si="16"/>
        <v>0</v>
      </c>
      <c r="N20" s="145">
        <f t="shared" si="17"/>
        <v>0.29166666666666669</v>
      </c>
      <c r="O20" s="112">
        <f t="shared" si="7"/>
        <v>0</v>
      </c>
      <c r="P20" s="67" t="str">
        <f t="shared" si="8"/>
        <v/>
      </c>
      <c r="Q20" s="145">
        <f t="shared" si="18"/>
        <v>0</v>
      </c>
      <c r="R20" s="113" t="str">
        <f t="shared" si="19"/>
        <v/>
      </c>
      <c r="S20" s="68">
        <f t="shared" si="9"/>
        <v>0</v>
      </c>
      <c r="T20" s="68">
        <f t="shared" si="10"/>
        <v>0</v>
      </c>
      <c r="U20" s="68" t="str">
        <f t="shared" si="11"/>
        <v/>
      </c>
      <c r="V20">
        <f t="shared" si="12"/>
        <v>1</v>
      </c>
      <c r="W20" s="114">
        <f t="shared" si="22"/>
        <v>0</v>
      </c>
      <c r="X20" s="114">
        <f t="shared" si="20"/>
        <v>0</v>
      </c>
    </row>
    <row r="21" spans="1:24">
      <c r="A21" s="187">
        <f t="shared" si="21"/>
        <v>43481</v>
      </c>
      <c r="B21" s="143">
        <f t="shared" si="13"/>
        <v>3</v>
      </c>
      <c r="C21" s="318" t="str">
        <f t="shared" si="0"/>
        <v/>
      </c>
      <c r="D21" s="5" t="str">
        <f t="shared" si="1"/>
        <v/>
      </c>
      <c r="E21" s="6" t="str">
        <f t="shared" si="14"/>
        <v/>
      </c>
      <c r="F21" s="113" t="str">
        <f t="shared" ref="F21:F35" si="23">IF(ISNUMBER(VLOOKUP($A21,db_Jahr,gSP_Kom1,FALSE)),VLOOKUP($A21,db_Jahr,gSP_Kom1,FALSE),"")</f>
        <v/>
      </c>
      <c r="G21" s="113">
        <f t="shared" si="3"/>
        <v>0</v>
      </c>
      <c r="H21" s="113" t="str">
        <f t="shared" si="4"/>
        <v/>
      </c>
      <c r="I21" s="113">
        <f t="shared" si="5"/>
        <v>0</v>
      </c>
      <c r="J21" s="113">
        <f t="shared" si="6"/>
        <v>0</v>
      </c>
      <c r="K21" s="66"/>
      <c r="L21" s="115">
        <f t="shared" si="15"/>
        <v>4.027777777777778E-2</v>
      </c>
      <c r="M21" s="113">
        <f t="shared" si="16"/>
        <v>0</v>
      </c>
      <c r="N21" s="145">
        <f t="shared" si="17"/>
        <v>0.29166666666666669</v>
      </c>
      <c r="O21" s="112">
        <f t="shared" si="7"/>
        <v>0</v>
      </c>
      <c r="P21" s="67" t="str">
        <f t="shared" si="8"/>
        <v/>
      </c>
      <c r="Q21" s="145">
        <f t="shared" si="18"/>
        <v>0</v>
      </c>
      <c r="R21" s="113" t="str">
        <f t="shared" si="19"/>
        <v/>
      </c>
      <c r="S21" s="68">
        <f t="shared" si="9"/>
        <v>0</v>
      </c>
      <c r="T21" s="68">
        <f t="shared" si="10"/>
        <v>0</v>
      </c>
      <c r="U21" s="68" t="str">
        <f t="shared" si="11"/>
        <v/>
      </c>
      <c r="V21">
        <f t="shared" si="12"/>
        <v>2</v>
      </c>
      <c r="W21" s="114">
        <f t="shared" si="22"/>
        <v>0</v>
      </c>
      <c r="X21" s="114">
        <f t="shared" si="20"/>
        <v>0</v>
      </c>
    </row>
    <row r="22" spans="1:24">
      <c r="A22" s="187">
        <f t="shared" si="21"/>
        <v>43482</v>
      </c>
      <c r="B22" s="143">
        <f t="shared" si="13"/>
        <v>3</v>
      </c>
      <c r="C22" s="318" t="str">
        <f t="shared" si="0"/>
        <v/>
      </c>
      <c r="D22" s="5" t="str">
        <f t="shared" si="1"/>
        <v/>
      </c>
      <c r="E22" s="6" t="str">
        <f t="shared" si="14"/>
        <v/>
      </c>
      <c r="F22" s="113" t="str">
        <f t="shared" si="23"/>
        <v/>
      </c>
      <c r="G22" s="113">
        <f t="shared" si="3"/>
        <v>0</v>
      </c>
      <c r="H22" s="113" t="str">
        <f t="shared" si="4"/>
        <v/>
      </c>
      <c r="I22" s="113">
        <f t="shared" si="5"/>
        <v>0</v>
      </c>
      <c r="J22" s="113">
        <f t="shared" si="6"/>
        <v>0</v>
      </c>
      <c r="K22" s="66"/>
      <c r="L22" s="115">
        <f t="shared" si="15"/>
        <v>4.027777777777778E-2</v>
      </c>
      <c r="M22" s="113">
        <f t="shared" si="16"/>
        <v>0</v>
      </c>
      <c r="N22" s="145">
        <f t="shared" si="17"/>
        <v>0.29166666666666669</v>
      </c>
      <c r="O22" s="112">
        <f t="shared" si="7"/>
        <v>0</v>
      </c>
      <c r="P22" s="67" t="str">
        <f t="shared" si="8"/>
        <v/>
      </c>
      <c r="Q22" s="145">
        <f t="shared" si="18"/>
        <v>0</v>
      </c>
      <c r="R22" s="113" t="str">
        <f t="shared" si="19"/>
        <v/>
      </c>
      <c r="S22" s="68">
        <f t="shared" si="9"/>
        <v>0</v>
      </c>
      <c r="T22" s="68">
        <f t="shared" si="10"/>
        <v>0</v>
      </c>
      <c r="U22" s="68" t="str">
        <f t="shared" si="11"/>
        <v/>
      </c>
      <c r="V22">
        <f t="shared" si="12"/>
        <v>3</v>
      </c>
      <c r="W22" s="114">
        <f t="shared" si="22"/>
        <v>0</v>
      </c>
      <c r="X22" s="114">
        <f t="shared" si="20"/>
        <v>0</v>
      </c>
    </row>
    <row r="23" spans="1:24">
      <c r="A23" s="187">
        <f t="shared" si="21"/>
        <v>43483</v>
      </c>
      <c r="B23" s="143">
        <f t="shared" si="13"/>
        <v>3</v>
      </c>
      <c r="C23" s="318" t="str">
        <f t="shared" si="0"/>
        <v/>
      </c>
      <c r="D23" s="5" t="str">
        <f t="shared" si="1"/>
        <v/>
      </c>
      <c r="E23" s="6" t="str">
        <f t="shared" si="14"/>
        <v/>
      </c>
      <c r="F23" s="113" t="str">
        <f t="shared" si="23"/>
        <v/>
      </c>
      <c r="G23" s="113">
        <f t="shared" si="3"/>
        <v>0</v>
      </c>
      <c r="H23" s="113" t="str">
        <f t="shared" si="4"/>
        <v/>
      </c>
      <c r="I23" s="113">
        <f t="shared" si="5"/>
        <v>0</v>
      </c>
      <c r="J23" s="113">
        <f t="shared" si="6"/>
        <v>0</v>
      </c>
      <c r="K23" s="66"/>
      <c r="L23" s="115">
        <f t="shared" si="15"/>
        <v>4.027777777777778E-2</v>
      </c>
      <c r="M23" s="113">
        <f t="shared" si="16"/>
        <v>0</v>
      </c>
      <c r="N23" s="145">
        <f t="shared" si="17"/>
        <v>0.29166666666666669</v>
      </c>
      <c r="O23" s="112">
        <f t="shared" si="7"/>
        <v>0</v>
      </c>
      <c r="P23" s="67" t="str">
        <f t="shared" si="8"/>
        <v/>
      </c>
      <c r="Q23" s="145">
        <f t="shared" si="18"/>
        <v>0</v>
      </c>
      <c r="R23" s="113" t="str">
        <f t="shared" si="19"/>
        <v/>
      </c>
      <c r="S23" s="68">
        <f t="shared" si="9"/>
        <v>0</v>
      </c>
      <c r="T23" s="68">
        <f t="shared" si="10"/>
        <v>0</v>
      </c>
      <c r="U23" s="68" t="str">
        <f t="shared" si="11"/>
        <v/>
      </c>
      <c r="V23">
        <f t="shared" si="12"/>
        <v>4</v>
      </c>
      <c r="W23" s="114">
        <f t="shared" si="22"/>
        <v>0</v>
      </c>
      <c r="X23" s="114">
        <f t="shared" si="20"/>
        <v>0</v>
      </c>
    </row>
    <row r="24" spans="1:24">
      <c r="A24" s="187">
        <f t="shared" si="21"/>
        <v>43484</v>
      </c>
      <c r="B24" s="143">
        <f t="shared" si="13"/>
        <v>3</v>
      </c>
      <c r="C24" s="318" t="str">
        <f t="shared" si="0"/>
        <v/>
      </c>
      <c r="D24" s="5" t="str">
        <f t="shared" si="1"/>
        <v/>
      </c>
      <c r="E24" s="6" t="str">
        <f t="shared" si="14"/>
        <v/>
      </c>
      <c r="F24" s="113" t="str">
        <f t="shared" si="23"/>
        <v/>
      </c>
      <c r="G24" s="113">
        <f t="shared" si="3"/>
        <v>0</v>
      </c>
      <c r="H24" s="113" t="str">
        <f t="shared" si="4"/>
        <v/>
      </c>
      <c r="I24" s="113">
        <f t="shared" si="5"/>
        <v>0</v>
      </c>
      <c r="J24" s="113">
        <f t="shared" si="6"/>
        <v>0</v>
      </c>
      <c r="K24" s="66"/>
      <c r="L24" s="115">
        <f>VLOOKUP($A24,db_Jahr,gSP_Abzug,FALSE)</f>
        <v>4.027777777777778E-2</v>
      </c>
      <c r="M24" s="113">
        <f t="shared" si="16"/>
        <v>0</v>
      </c>
      <c r="N24" s="145">
        <f t="shared" si="17"/>
        <v>0.29166666666666669</v>
      </c>
      <c r="O24" s="112">
        <f t="shared" si="7"/>
        <v>0</v>
      </c>
      <c r="P24" s="67" t="str">
        <f t="shared" si="8"/>
        <v/>
      </c>
      <c r="Q24" s="145">
        <f t="shared" si="18"/>
        <v>0</v>
      </c>
      <c r="R24" s="113" t="str">
        <f t="shared" si="19"/>
        <v/>
      </c>
      <c r="S24" s="68">
        <f t="shared" si="9"/>
        <v>0</v>
      </c>
      <c r="T24" s="68">
        <f t="shared" si="10"/>
        <v>0</v>
      </c>
      <c r="U24" s="68" t="str">
        <f t="shared" si="11"/>
        <v/>
      </c>
      <c r="V24">
        <f t="shared" si="12"/>
        <v>5</v>
      </c>
      <c r="W24" s="114">
        <f t="shared" si="22"/>
        <v>0</v>
      </c>
      <c r="X24" s="114">
        <f t="shared" si="20"/>
        <v>0</v>
      </c>
    </row>
    <row r="25" spans="1:24">
      <c r="A25" s="187">
        <f t="shared" si="21"/>
        <v>43485</v>
      </c>
      <c r="B25" s="143">
        <f t="shared" si="13"/>
        <v>3</v>
      </c>
      <c r="C25" s="318" t="str">
        <f t="shared" si="0"/>
        <v/>
      </c>
      <c r="D25" s="5" t="str">
        <f t="shared" si="1"/>
        <v/>
      </c>
      <c r="E25" s="6" t="str">
        <f t="shared" si="14"/>
        <v/>
      </c>
      <c r="F25" s="113" t="str">
        <f t="shared" si="23"/>
        <v/>
      </c>
      <c r="G25" s="113">
        <f t="shared" si="3"/>
        <v>0</v>
      </c>
      <c r="H25" s="113" t="str">
        <f t="shared" si="4"/>
        <v/>
      </c>
      <c r="I25" s="113">
        <f t="shared" si="5"/>
        <v>0</v>
      </c>
      <c r="J25" s="113">
        <f t="shared" si="6"/>
        <v>0</v>
      </c>
      <c r="K25" s="66"/>
      <c r="L25" s="115">
        <f t="shared" si="15"/>
        <v>4.027777777777778E-2</v>
      </c>
      <c r="M25" s="113">
        <f t="shared" si="16"/>
        <v>0</v>
      </c>
      <c r="N25" s="145">
        <f t="shared" si="17"/>
        <v>0</v>
      </c>
      <c r="O25" s="112">
        <f t="shared" si="7"/>
        <v>0</v>
      </c>
      <c r="P25" s="67" t="str">
        <f t="shared" si="8"/>
        <v/>
      </c>
      <c r="Q25" s="145">
        <f t="shared" si="18"/>
        <v>0</v>
      </c>
      <c r="R25" s="113" t="str">
        <f t="shared" si="19"/>
        <v/>
      </c>
      <c r="S25" s="68">
        <f t="shared" si="9"/>
        <v>0</v>
      </c>
      <c r="T25" s="68">
        <f t="shared" si="10"/>
        <v>0</v>
      </c>
      <c r="U25" s="68" t="str">
        <f t="shared" si="11"/>
        <v/>
      </c>
      <c r="V25">
        <f t="shared" si="12"/>
        <v>6</v>
      </c>
      <c r="W25" s="114">
        <f t="shared" si="22"/>
        <v>0</v>
      </c>
      <c r="X25" s="114">
        <f t="shared" si="20"/>
        <v>0</v>
      </c>
    </row>
    <row r="26" spans="1:24">
      <c r="A26" s="187">
        <f t="shared" si="21"/>
        <v>43486</v>
      </c>
      <c r="B26" s="143">
        <f t="shared" si="13"/>
        <v>3</v>
      </c>
      <c r="C26" s="318" t="str">
        <f t="shared" si="0"/>
        <v/>
      </c>
      <c r="D26" s="5" t="str">
        <f t="shared" si="1"/>
        <v/>
      </c>
      <c r="E26" s="6" t="str">
        <f t="shared" si="14"/>
        <v/>
      </c>
      <c r="F26" s="113" t="str">
        <f t="shared" si="23"/>
        <v/>
      </c>
      <c r="G26" s="113">
        <f t="shared" si="3"/>
        <v>0</v>
      </c>
      <c r="H26" s="113" t="str">
        <f t="shared" si="4"/>
        <v/>
      </c>
      <c r="I26" s="113">
        <f t="shared" si="5"/>
        <v>0</v>
      </c>
      <c r="J26" s="113">
        <f t="shared" si="6"/>
        <v>0</v>
      </c>
      <c r="K26" s="66"/>
      <c r="L26" s="115">
        <f t="shared" si="15"/>
        <v>4.027777777777778E-2</v>
      </c>
      <c r="M26" s="113">
        <f t="shared" si="16"/>
        <v>0</v>
      </c>
      <c r="N26" s="145">
        <f t="shared" si="17"/>
        <v>0</v>
      </c>
      <c r="O26" s="112">
        <f t="shared" si="7"/>
        <v>0</v>
      </c>
      <c r="P26" s="67" t="str">
        <f t="shared" si="8"/>
        <v/>
      </c>
      <c r="Q26" s="145">
        <f t="shared" si="18"/>
        <v>0</v>
      </c>
      <c r="R26" s="113" t="str">
        <f t="shared" si="19"/>
        <v/>
      </c>
      <c r="S26" s="68">
        <f t="shared" si="9"/>
        <v>0</v>
      </c>
      <c r="T26" s="68">
        <f t="shared" si="10"/>
        <v>0</v>
      </c>
      <c r="U26" s="68" t="str">
        <f t="shared" si="11"/>
        <v/>
      </c>
      <c r="V26">
        <f t="shared" si="12"/>
        <v>7</v>
      </c>
      <c r="W26" s="114">
        <f t="shared" si="22"/>
        <v>0</v>
      </c>
      <c r="X26" s="114">
        <f t="shared" si="20"/>
        <v>0</v>
      </c>
    </row>
    <row r="27" spans="1:24">
      <c r="A27" s="187">
        <f t="shared" si="21"/>
        <v>43487</v>
      </c>
      <c r="B27" s="143">
        <f t="shared" si="13"/>
        <v>4</v>
      </c>
      <c r="C27" s="318" t="str">
        <f t="shared" si="0"/>
        <v/>
      </c>
      <c r="D27" s="5" t="str">
        <f t="shared" si="1"/>
        <v/>
      </c>
      <c r="E27" s="6" t="str">
        <f t="shared" si="14"/>
        <v/>
      </c>
      <c r="F27" s="113" t="str">
        <f t="shared" si="23"/>
        <v/>
      </c>
      <c r="G27" s="113">
        <f t="shared" si="3"/>
        <v>0</v>
      </c>
      <c r="H27" s="113" t="str">
        <f t="shared" si="4"/>
        <v/>
      </c>
      <c r="I27" s="113">
        <f t="shared" si="5"/>
        <v>0</v>
      </c>
      <c r="J27" s="113">
        <f t="shared" si="6"/>
        <v>0</v>
      </c>
      <c r="K27" s="66"/>
      <c r="L27" s="115">
        <f t="shared" si="15"/>
        <v>4.027777777777778E-2</v>
      </c>
      <c r="M27" s="113">
        <f t="shared" si="16"/>
        <v>0</v>
      </c>
      <c r="N27" s="145">
        <f t="shared" si="17"/>
        <v>0.29166666666666669</v>
      </c>
      <c r="O27" s="112">
        <f t="shared" si="7"/>
        <v>0</v>
      </c>
      <c r="P27" s="67" t="str">
        <f t="shared" si="8"/>
        <v/>
      </c>
      <c r="Q27" s="145">
        <f t="shared" si="18"/>
        <v>0</v>
      </c>
      <c r="R27" s="113" t="str">
        <f t="shared" si="19"/>
        <v/>
      </c>
      <c r="S27" s="68">
        <f t="shared" si="9"/>
        <v>0</v>
      </c>
      <c r="T27" s="68">
        <f t="shared" si="10"/>
        <v>0</v>
      </c>
      <c r="U27" s="68" t="str">
        <f t="shared" si="11"/>
        <v/>
      </c>
      <c r="V27">
        <f t="shared" si="12"/>
        <v>1</v>
      </c>
      <c r="W27" s="114">
        <f t="shared" si="22"/>
        <v>0</v>
      </c>
      <c r="X27" s="114">
        <f t="shared" si="20"/>
        <v>0</v>
      </c>
    </row>
    <row r="28" spans="1:24">
      <c r="A28" s="187">
        <f t="shared" si="21"/>
        <v>43488</v>
      </c>
      <c r="B28" s="143">
        <f t="shared" si="13"/>
        <v>4</v>
      </c>
      <c r="C28" s="318" t="str">
        <f t="shared" si="0"/>
        <v/>
      </c>
      <c r="D28" s="5" t="str">
        <f t="shared" si="1"/>
        <v/>
      </c>
      <c r="E28" s="6" t="str">
        <f t="shared" si="14"/>
        <v/>
      </c>
      <c r="F28" s="113" t="str">
        <f t="shared" si="23"/>
        <v/>
      </c>
      <c r="G28" s="113">
        <f t="shared" si="3"/>
        <v>0</v>
      </c>
      <c r="H28" s="113" t="str">
        <f t="shared" si="4"/>
        <v/>
      </c>
      <c r="I28" s="113">
        <f t="shared" si="5"/>
        <v>0</v>
      </c>
      <c r="J28" s="113">
        <f t="shared" si="6"/>
        <v>0</v>
      </c>
      <c r="K28" s="66"/>
      <c r="L28" s="115">
        <f t="shared" si="15"/>
        <v>4.027777777777778E-2</v>
      </c>
      <c r="M28" s="113">
        <f t="shared" si="16"/>
        <v>0</v>
      </c>
      <c r="N28" s="145">
        <f t="shared" si="17"/>
        <v>0.29166666666666669</v>
      </c>
      <c r="O28" s="112">
        <f t="shared" si="7"/>
        <v>0</v>
      </c>
      <c r="P28" s="67" t="str">
        <f t="shared" si="8"/>
        <v/>
      </c>
      <c r="Q28" s="145">
        <f t="shared" si="18"/>
        <v>0</v>
      </c>
      <c r="R28" s="113" t="str">
        <f t="shared" si="19"/>
        <v/>
      </c>
      <c r="S28" s="68">
        <f t="shared" si="9"/>
        <v>0</v>
      </c>
      <c r="T28" s="68">
        <f t="shared" si="10"/>
        <v>0</v>
      </c>
      <c r="U28" s="68" t="str">
        <f t="shared" si="11"/>
        <v/>
      </c>
      <c r="V28">
        <f t="shared" si="12"/>
        <v>2</v>
      </c>
      <c r="W28" s="114">
        <f t="shared" si="22"/>
        <v>0</v>
      </c>
      <c r="X28" s="114">
        <f t="shared" si="20"/>
        <v>0</v>
      </c>
    </row>
    <row r="29" spans="1:24">
      <c r="A29" s="187">
        <f t="shared" si="21"/>
        <v>43489</v>
      </c>
      <c r="B29" s="143">
        <f t="shared" si="13"/>
        <v>4</v>
      </c>
      <c r="C29" s="318" t="str">
        <f t="shared" si="0"/>
        <v/>
      </c>
      <c r="D29" s="5" t="str">
        <f t="shared" si="1"/>
        <v/>
      </c>
      <c r="E29" s="6" t="str">
        <f t="shared" si="14"/>
        <v/>
      </c>
      <c r="F29" s="113" t="str">
        <f t="shared" si="23"/>
        <v/>
      </c>
      <c r="G29" s="113">
        <f t="shared" si="3"/>
        <v>0</v>
      </c>
      <c r="H29" s="113" t="str">
        <f t="shared" si="4"/>
        <v/>
      </c>
      <c r="I29" s="113">
        <f t="shared" si="5"/>
        <v>0</v>
      </c>
      <c r="J29" s="113">
        <f t="shared" si="6"/>
        <v>0</v>
      </c>
      <c r="K29" s="66"/>
      <c r="L29" s="115">
        <f t="shared" si="15"/>
        <v>4.027777777777778E-2</v>
      </c>
      <c r="M29" s="113">
        <f t="shared" si="16"/>
        <v>0</v>
      </c>
      <c r="N29" s="145">
        <f t="shared" si="17"/>
        <v>0.29166666666666669</v>
      </c>
      <c r="O29" s="112">
        <f t="shared" si="7"/>
        <v>0</v>
      </c>
      <c r="P29" s="67" t="str">
        <f t="shared" si="8"/>
        <v/>
      </c>
      <c r="Q29" s="145">
        <f t="shared" si="18"/>
        <v>0</v>
      </c>
      <c r="R29" s="113" t="str">
        <f t="shared" si="19"/>
        <v/>
      </c>
      <c r="S29" s="68">
        <f t="shared" si="9"/>
        <v>0</v>
      </c>
      <c r="T29" s="68">
        <f t="shared" si="10"/>
        <v>0</v>
      </c>
      <c r="U29" s="68" t="str">
        <f t="shared" si="11"/>
        <v/>
      </c>
      <c r="V29">
        <f t="shared" si="12"/>
        <v>3</v>
      </c>
      <c r="W29" s="114">
        <f t="shared" si="22"/>
        <v>0</v>
      </c>
      <c r="X29" s="114">
        <f t="shared" si="20"/>
        <v>0</v>
      </c>
    </row>
    <row r="30" spans="1:24">
      <c r="A30" s="187">
        <f t="shared" si="21"/>
        <v>43490</v>
      </c>
      <c r="B30" s="143">
        <f t="shared" si="13"/>
        <v>4</v>
      </c>
      <c r="C30" s="318" t="str">
        <f t="shared" si="0"/>
        <v/>
      </c>
      <c r="D30" s="5" t="str">
        <f t="shared" si="1"/>
        <v/>
      </c>
      <c r="E30" s="6" t="str">
        <f t="shared" si="14"/>
        <v/>
      </c>
      <c r="F30" s="113" t="str">
        <f t="shared" si="23"/>
        <v/>
      </c>
      <c r="G30" s="113">
        <f t="shared" si="3"/>
        <v>0</v>
      </c>
      <c r="H30" s="113" t="str">
        <f t="shared" si="4"/>
        <v/>
      </c>
      <c r="I30" s="113">
        <f t="shared" si="5"/>
        <v>0</v>
      </c>
      <c r="J30" s="113">
        <f t="shared" si="6"/>
        <v>0</v>
      </c>
      <c r="K30" s="66"/>
      <c r="L30" s="115">
        <f t="shared" si="15"/>
        <v>4.027777777777778E-2</v>
      </c>
      <c r="M30" s="113">
        <f t="shared" si="16"/>
        <v>0</v>
      </c>
      <c r="N30" s="145">
        <f t="shared" si="17"/>
        <v>0.29166666666666669</v>
      </c>
      <c r="O30" s="112">
        <f t="shared" si="7"/>
        <v>0</v>
      </c>
      <c r="P30" s="67" t="str">
        <f t="shared" si="8"/>
        <v/>
      </c>
      <c r="Q30" s="145">
        <f t="shared" si="18"/>
        <v>0</v>
      </c>
      <c r="R30" s="113" t="str">
        <f t="shared" si="19"/>
        <v/>
      </c>
      <c r="S30" s="68">
        <f t="shared" si="9"/>
        <v>0</v>
      </c>
      <c r="T30" s="68">
        <f t="shared" si="10"/>
        <v>0</v>
      </c>
      <c r="U30" s="68" t="str">
        <f t="shared" si="11"/>
        <v/>
      </c>
      <c r="V30">
        <f t="shared" si="12"/>
        <v>4</v>
      </c>
      <c r="W30" s="114">
        <f t="shared" si="22"/>
        <v>0</v>
      </c>
      <c r="X30" s="114">
        <f t="shared" si="20"/>
        <v>0</v>
      </c>
    </row>
    <row r="31" spans="1:24">
      <c r="A31" s="187">
        <f t="shared" si="21"/>
        <v>43491</v>
      </c>
      <c r="B31" s="143">
        <f t="shared" si="13"/>
        <v>4</v>
      </c>
      <c r="C31" s="318" t="str">
        <f t="shared" si="0"/>
        <v/>
      </c>
      <c r="D31" s="5" t="str">
        <f t="shared" si="1"/>
        <v/>
      </c>
      <c r="E31" s="6" t="str">
        <f t="shared" si="14"/>
        <v/>
      </c>
      <c r="F31" s="113" t="str">
        <f t="shared" si="23"/>
        <v/>
      </c>
      <c r="G31" s="113">
        <f t="shared" si="3"/>
        <v>0</v>
      </c>
      <c r="H31" s="113" t="str">
        <f t="shared" si="4"/>
        <v/>
      </c>
      <c r="I31" s="113">
        <f t="shared" si="5"/>
        <v>0</v>
      </c>
      <c r="J31" s="113">
        <f t="shared" si="6"/>
        <v>0</v>
      </c>
      <c r="K31" s="66"/>
      <c r="L31" s="115">
        <f t="shared" si="15"/>
        <v>4.027777777777778E-2</v>
      </c>
      <c r="M31" s="113">
        <f t="shared" si="16"/>
        <v>0</v>
      </c>
      <c r="N31" s="145">
        <f t="shared" si="17"/>
        <v>0.29166666666666669</v>
      </c>
      <c r="O31" s="112">
        <f t="shared" si="7"/>
        <v>0</v>
      </c>
      <c r="P31" s="67" t="str">
        <f t="shared" si="8"/>
        <v/>
      </c>
      <c r="Q31" s="145">
        <f t="shared" si="18"/>
        <v>0</v>
      </c>
      <c r="R31" s="113" t="str">
        <f t="shared" si="19"/>
        <v/>
      </c>
      <c r="S31" s="68">
        <f t="shared" si="9"/>
        <v>0</v>
      </c>
      <c r="T31" s="68">
        <f t="shared" si="10"/>
        <v>0</v>
      </c>
      <c r="U31" s="68" t="str">
        <f t="shared" si="11"/>
        <v/>
      </c>
      <c r="V31">
        <f t="shared" si="12"/>
        <v>5</v>
      </c>
      <c r="W31" s="114">
        <f t="shared" si="22"/>
        <v>0</v>
      </c>
      <c r="X31" s="114">
        <f t="shared" si="20"/>
        <v>0</v>
      </c>
    </row>
    <row r="32" spans="1:24">
      <c r="A32" s="187">
        <f t="shared" si="21"/>
        <v>43492</v>
      </c>
      <c r="B32" s="143">
        <f t="shared" si="13"/>
        <v>4</v>
      </c>
      <c r="C32" s="318" t="str">
        <f t="shared" si="0"/>
        <v/>
      </c>
      <c r="D32" s="5" t="str">
        <f t="shared" si="1"/>
        <v/>
      </c>
      <c r="E32" s="6" t="str">
        <f t="shared" si="14"/>
        <v/>
      </c>
      <c r="F32" s="113" t="str">
        <f t="shared" si="23"/>
        <v/>
      </c>
      <c r="G32" s="113">
        <f t="shared" si="3"/>
        <v>0</v>
      </c>
      <c r="H32" s="113" t="str">
        <f t="shared" si="4"/>
        <v/>
      </c>
      <c r="I32" s="113">
        <f t="shared" si="5"/>
        <v>0</v>
      </c>
      <c r="J32" s="113">
        <f t="shared" si="6"/>
        <v>0</v>
      </c>
      <c r="K32" s="66"/>
      <c r="L32" s="115">
        <f t="shared" si="15"/>
        <v>4.027777777777778E-2</v>
      </c>
      <c r="M32" s="113">
        <f t="shared" si="16"/>
        <v>0</v>
      </c>
      <c r="N32" s="145">
        <f t="shared" si="17"/>
        <v>0</v>
      </c>
      <c r="O32" s="112">
        <f t="shared" si="7"/>
        <v>0</v>
      </c>
      <c r="P32" s="67" t="str">
        <f t="shared" si="8"/>
        <v/>
      </c>
      <c r="Q32" s="145">
        <f t="shared" si="18"/>
        <v>0</v>
      </c>
      <c r="R32" s="113" t="str">
        <f t="shared" si="19"/>
        <v/>
      </c>
      <c r="S32" s="68">
        <f t="shared" si="9"/>
        <v>0</v>
      </c>
      <c r="T32" s="68">
        <f t="shared" si="10"/>
        <v>0</v>
      </c>
      <c r="U32" s="68" t="str">
        <f t="shared" si="11"/>
        <v/>
      </c>
      <c r="V32">
        <f t="shared" si="12"/>
        <v>6</v>
      </c>
      <c r="W32" s="114">
        <f t="shared" si="22"/>
        <v>0</v>
      </c>
      <c r="X32" s="114">
        <f t="shared" si="20"/>
        <v>0</v>
      </c>
    </row>
    <row r="33" spans="1:24">
      <c r="A33" s="187">
        <f t="shared" si="21"/>
        <v>43493</v>
      </c>
      <c r="B33" s="143">
        <f t="shared" si="13"/>
        <v>4</v>
      </c>
      <c r="C33" s="318" t="str">
        <f t="shared" si="0"/>
        <v/>
      </c>
      <c r="D33" s="5" t="str">
        <f t="shared" si="1"/>
        <v/>
      </c>
      <c r="E33" s="6" t="str">
        <f t="shared" si="14"/>
        <v/>
      </c>
      <c r="F33" s="113" t="str">
        <f t="shared" si="23"/>
        <v/>
      </c>
      <c r="G33" s="113">
        <f t="shared" si="3"/>
        <v>0</v>
      </c>
      <c r="H33" s="113" t="str">
        <f t="shared" si="4"/>
        <v/>
      </c>
      <c r="I33" s="113">
        <f t="shared" si="5"/>
        <v>0</v>
      </c>
      <c r="J33" s="113">
        <f t="shared" si="6"/>
        <v>0</v>
      </c>
      <c r="K33" s="66"/>
      <c r="L33" s="115">
        <f t="shared" si="15"/>
        <v>4.027777777777778E-2</v>
      </c>
      <c r="M33" s="113">
        <f t="shared" si="16"/>
        <v>0</v>
      </c>
      <c r="N33" s="145">
        <f t="shared" si="17"/>
        <v>0</v>
      </c>
      <c r="O33" s="112">
        <f t="shared" si="7"/>
        <v>0</v>
      </c>
      <c r="P33" s="67" t="str">
        <f t="shared" si="8"/>
        <v/>
      </c>
      <c r="Q33" s="145">
        <f t="shared" si="18"/>
        <v>0</v>
      </c>
      <c r="R33" s="113" t="str">
        <f t="shared" si="19"/>
        <v/>
      </c>
      <c r="S33" s="68">
        <f t="shared" si="9"/>
        <v>0</v>
      </c>
      <c r="T33" s="68">
        <f t="shared" si="10"/>
        <v>0</v>
      </c>
      <c r="U33" s="68" t="str">
        <f t="shared" si="11"/>
        <v/>
      </c>
      <c r="V33">
        <f t="shared" si="12"/>
        <v>7</v>
      </c>
      <c r="W33" s="114">
        <f t="shared" si="22"/>
        <v>0</v>
      </c>
      <c r="X33" s="114">
        <f t="shared" si="20"/>
        <v>0</v>
      </c>
    </row>
    <row r="34" spans="1:24">
      <c r="A34" s="187">
        <f t="shared" si="21"/>
        <v>43494</v>
      </c>
      <c r="B34" s="143">
        <f t="shared" si="13"/>
        <v>5</v>
      </c>
      <c r="C34" s="318" t="str">
        <f t="shared" si="0"/>
        <v/>
      </c>
      <c r="D34" s="5" t="str">
        <f t="shared" si="1"/>
        <v/>
      </c>
      <c r="E34" s="6" t="str">
        <f t="shared" si="14"/>
        <v/>
      </c>
      <c r="F34" s="113" t="str">
        <f t="shared" si="23"/>
        <v/>
      </c>
      <c r="G34" s="113">
        <f t="shared" si="3"/>
        <v>0</v>
      </c>
      <c r="H34" s="113" t="str">
        <f t="shared" si="4"/>
        <v/>
      </c>
      <c r="I34" s="113">
        <f t="shared" si="5"/>
        <v>0</v>
      </c>
      <c r="J34" s="113">
        <f t="shared" si="6"/>
        <v>0</v>
      </c>
      <c r="K34" s="66"/>
      <c r="L34" s="115">
        <f t="shared" si="15"/>
        <v>4.027777777777778E-2</v>
      </c>
      <c r="M34" s="113">
        <f t="shared" si="16"/>
        <v>0</v>
      </c>
      <c r="N34" s="145">
        <f t="shared" si="17"/>
        <v>0.29166666666666669</v>
      </c>
      <c r="O34" s="112">
        <f t="shared" si="7"/>
        <v>0</v>
      </c>
      <c r="P34" s="67" t="str">
        <f t="shared" si="8"/>
        <v/>
      </c>
      <c r="Q34" s="145">
        <f t="shared" si="18"/>
        <v>0</v>
      </c>
      <c r="R34" s="113" t="str">
        <f t="shared" si="19"/>
        <v/>
      </c>
      <c r="S34" s="68">
        <f t="shared" si="9"/>
        <v>0</v>
      </c>
      <c r="T34" s="68">
        <f t="shared" si="10"/>
        <v>0</v>
      </c>
      <c r="U34" s="68" t="str">
        <f t="shared" si="11"/>
        <v/>
      </c>
      <c r="V34">
        <f t="shared" si="12"/>
        <v>1</v>
      </c>
      <c r="W34" s="114">
        <f t="shared" si="22"/>
        <v>0</v>
      </c>
      <c r="X34" s="114">
        <f t="shared" si="20"/>
        <v>0</v>
      </c>
    </row>
    <row r="35" spans="1:24">
      <c r="A35" s="187">
        <f t="shared" si="21"/>
        <v>43495</v>
      </c>
      <c r="B35" s="143">
        <f t="shared" si="13"/>
        <v>5</v>
      </c>
      <c r="C35" s="318" t="str">
        <f t="shared" si="0"/>
        <v/>
      </c>
      <c r="D35" s="5" t="str">
        <f t="shared" si="1"/>
        <v/>
      </c>
      <c r="E35" s="6" t="str">
        <f t="shared" si="14"/>
        <v/>
      </c>
      <c r="F35" s="113" t="str">
        <f t="shared" si="23"/>
        <v/>
      </c>
      <c r="G35" s="113">
        <f t="shared" si="3"/>
        <v>0</v>
      </c>
      <c r="H35" s="113" t="str">
        <f t="shared" si="4"/>
        <v/>
      </c>
      <c r="I35" s="113">
        <f t="shared" si="5"/>
        <v>0</v>
      </c>
      <c r="J35" s="113">
        <f t="shared" si="6"/>
        <v>0</v>
      </c>
      <c r="K35" s="66"/>
      <c r="L35" s="115">
        <f t="shared" si="15"/>
        <v>4.027777777777778E-2</v>
      </c>
      <c r="M35" s="113">
        <f t="shared" si="16"/>
        <v>0</v>
      </c>
      <c r="N35" s="145">
        <f t="shared" si="17"/>
        <v>0.29166666666666669</v>
      </c>
      <c r="O35" s="112">
        <f t="shared" si="7"/>
        <v>0</v>
      </c>
      <c r="P35" s="67" t="str">
        <f t="shared" si="8"/>
        <v/>
      </c>
      <c r="Q35" s="145">
        <f t="shared" si="18"/>
        <v>0</v>
      </c>
      <c r="R35" s="113" t="str">
        <f t="shared" si="19"/>
        <v/>
      </c>
      <c r="S35" s="68">
        <f t="shared" si="9"/>
        <v>0</v>
      </c>
      <c r="T35" s="68">
        <f t="shared" si="10"/>
        <v>0</v>
      </c>
      <c r="U35" s="68" t="str">
        <f t="shared" si="11"/>
        <v/>
      </c>
      <c r="V35">
        <f t="shared" si="12"/>
        <v>2</v>
      </c>
      <c r="W35" s="114">
        <f t="shared" si="22"/>
        <v>0</v>
      </c>
      <c r="X35" s="114">
        <f t="shared" si="20"/>
        <v>0</v>
      </c>
    </row>
    <row r="36" spans="1:24">
      <c r="A36" s="8"/>
      <c r="B36" s="8"/>
      <c r="C36" s="9" t="s">
        <v>125</v>
      </c>
      <c r="D36" s="3"/>
      <c r="F36" s="8"/>
      <c r="G36" s="8"/>
      <c r="H36" s="8"/>
      <c r="I36" s="8"/>
      <c r="J36" s="10"/>
      <c r="K36" s="10"/>
      <c r="M36" s="10"/>
      <c r="O36" s="123"/>
      <c r="P36" s="11"/>
      <c r="Q36" s="1"/>
      <c r="R36" s="12"/>
    </row>
    <row r="37" spans="1:24">
      <c r="A37" s="298" t="s">
        <v>40</v>
      </c>
      <c r="B37" s="258"/>
      <c r="C37" s="270"/>
      <c r="D37" s="3"/>
      <c r="F37" s="298" t="s">
        <v>39</v>
      </c>
      <c r="G37" s="258"/>
      <c r="H37" s="270"/>
      <c r="I37" s="298"/>
      <c r="J37" s="258"/>
      <c r="K37" s="270"/>
      <c r="M37" s="10"/>
      <c r="O37" s="123"/>
      <c r="P37" s="11"/>
      <c r="Q37" s="1"/>
      <c r="R37" s="12"/>
    </row>
    <row r="38" spans="1:24">
      <c r="A38" s="264">
        <f>VLOOKUP($A$5-1,db_Jahr,gSP_SaldoGes,FALSE)</f>
        <v>0</v>
      </c>
      <c r="B38" s="296" t="s">
        <v>107</v>
      </c>
      <c r="C38" s="297"/>
      <c r="D38" s="4"/>
      <c r="E38" s="3"/>
      <c r="F38" s="259" t="s">
        <v>108</v>
      </c>
      <c r="G38" s="260"/>
      <c r="H38" s="261"/>
      <c r="I38" s="261"/>
      <c r="J38" s="15">
        <f>SUM(J5:J35)</f>
        <v>0</v>
      </c>
      <c r="K38" s="16"/>
      <c r="L38" s="1"/>
      <c r="O38" s="299">
        <f>SUM(O5:O35)</f>
        <v>0</v>
      </c>
      <c r="P38" s="300" t="str">
        <f>IF(O38&lt;0,"*","")</f>
        <v/>
      </c>
      <c r="R38" s="17">
        <f>SUM(R5:R35)</f>
        <v>0</v>
      </c>
    </row>
    <row r="39" spans="1:24">
      <c r="A39" s="265">
        <f>VLOOKUP($A$5-1,db_Jahr,gSP_UrlR,FALSE)</f>
        <v>0</v>
      </c>
      <c r="B39" s="296" t="s">
        <v>109</v>
      </c>
      <c r="C39" s="362"/>
      <c r="F39" s="262" t="s">
        <v>110</v>
      </c>
      <c r="G39" s="263"/>
      <c r="H39" s="260"/>
      <c r="I39" s="260"/>
      <c r="J39" s="15">
        <f>SUM(M5:M35)</f>
        <v>0</v>
      </c>
      <c r="K39" s="16"/>
      <c r="L39" s="1"/>
    </row>
    <row r="40" spans="1:24">
      <c r="A40" s="265">
        <f>IF(MONTH($A$5)=1,B_UrlaubNeu,0)</f>
        <v>30</v>
      </c>
      <c r="B40" s="296" t="s">
        <v>19</v>
      </c>
      <c r="C40" s="362"/>
      <c r="D40" s="70"/>
      <c r="E40" s="3"/>
      <c r="F40" s="262" t="s">
        <v>38</v>
      </c>
      <c r="G40" s="263"/>
      <c r="H40" s="260"/>
      <c r="I40" s="260"/>
      <c r="J40" s="15">
        <f>SUMIF(R_Monat,$C$3,R_Korrekt)</f>
        <v>0</v>
      </c>
      <c r="K40" s="16"/>
      <c r="L40" s="1"/>
    </row>
    <row r="41" spans="1:24">
      <c r="A41" s="265">
        <f>SUMIF(R_Monat,$C$3,R_Krank)</f>
        <v>0</v>
      </c>
      <c r="B41" s="296" t="s">
        <v>171</v>
      </c>
      <c r="C41" s="297"/>
      <c r="D41" s="294"/>
      <c r="E41" s="3"/>
      <c r="F41" s="262" t="s">
        <v>113</v>
      </c>
      <c r="G41" s="263"/>
      <c r="H41" s="261"/>
      <c r="I41" s="261"/>
      <c r="J41" s="15">
        <f>A38+J38-J39-J40</f>
        <v>0</v>
      </c>
      <c r="K41" s="16" t="str">
        <f>IF(J41&lt;0,"*","")</f>
        <v/>
      </c>
      <c r="M41" s="668">
        <f>J41/B_WorkTime</f>
        <v>0</v>
      </c>
      <c r="N41" s="668"/>
      <c r="O41" s="668"/>
      <c r="P41" s="668"/>
    </row>
    <row r="42" spans="1:24">
      <c r="A42" s="265">
        <f>(FREQUENCY(E5:E35,0)-FREQUENCY(E5:E35,-1))+(FREQUENCY(E5:E35,83)-FREQUENCY(E5:E35,82))</f>
        <v>0</v>
      </c>
      <c r="B42" s="296" t="s">
        <v>29</v>
      </c>
      <c r="C42" s="362"/>
      <c r="E42" s="3"/>
      <c r="F42" s="262" t="s">
        <v>33</v>
      </c>
      <c r="G42" s="263"/>
      <c r="H42" s="260"/>
      <c r="I42" s="260"/>
      <c r="J42" s="250">
        <f>SUMIF(R_Monat,$C$3,R_Urlaub)</f>
        <v>0</v>
      </c>
      <c r="K42" s="16"/>
    </row>
    <row r="43" spans="1:24">
      <c r="A43" s="295">
        <f>IF(J38&gt;0,J38 / A42,0)</f>
        <v>0</v>
      </c>
      <c r="B43" s="296" t="s">
        <v>30</v>
      </c>
      <c r="C43" s="297"/>
      <c r="F43" s="262" t="s">
        <v>112</v>
      </c>
      <c r="G43" s="263"/>
      <c r="H43" s="260"/>
      <c r="I43" s="260"/>
      <c r="J43" s="250">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9" customFormat="1" ht="39.950000000000003" customHeight="1" thickBot="1">
      <c r="A2" s="142">
        <f>B_Year</f>
        <v>43465</v>
      </c>
      <c r="B2" s="333">
        <f>B_Year</f>
        <v>43465</v>
      </c>
      <c r="C2" s="333">
        <f>B2</f>
        <v>43465</v>
      </c>
      <c r="D2" s="333">
        <f>DATE(YEAR(B2),MONTH(B2)+1,1)</f>
        <v>43496</v>
      </c>
      <c r="E2" s="333">
        <f>D2</f>
        <v>43496</v>
      </c>
      <c r="F2" s="333">
        <f>DATE(YEAR(D2),MONTH(D2)+1,1)</f>
        <v>43524</v>
      </c>
      <c r="G2" s="333">
        <f>F2</f>
        <v>43524</v>
      </c>
      <c r="H2" s="333">
        <f>DATE(YEAR(F2),MONTH(F2)+1,1)</f>
        <v>43555</v>
      </c>
      <c r="I2" s="333">
        <f>H2</f>
        <v>43555</v>
      </c>
      <c r="J2" s="333">
        <f>DATE(YEAR(H2),MONTH(H2)+1,1)</f>
        <v>43585</v>
      </c>
      <c r="K2" s="333">
        <f>J2</f>
        <v>43585</v>
      </c>
      <c r="L2" s="333">
        <f>DATE(YEAR(J2),MONTH(J2)+1,1)</f>
        <v>43616</v>
      </c>
      <c r="M2" s="333">
        <f>L2</f>
        <v>43616</v>
      </c>
      <c r="N2" s="333">
        <f>DATE(YEAR(L2),MONTH(L2)+1,1)</f>
        <v>43646</v>
      </c>
      <c r="O2" s="333">
        <f>N2</f>
        <v>43646</v>
      </c>
      <c r="P2" s="333">
        <f>DATE(YEAR(N2),MONTH(N2)+1,1)</f>
        <v>43677</v>
      </c>
      <c r="Q2" s="333">
        <f>P2</f>
        <v>43677</v>
      </c>
      <c r="R2" s="333">
        <f>DATE(YEAR(P2),MONTH(P2)+1,1)</f>
        <v>43708</v>
      </c>
      <c r="S2" s="333">
        <f>R2</f>
        <v>43708</v>
      </c>
      <c r="T2" s="333">
        <f>DATE(YEAR(R2),MONTH(R2)+1,1)</f>
        <v>43738</v>
      </c>
      <c r="U2" s="333">
        <f>T2</f>
        <v>43738</v>
      </c>
      <c r="V2" s="333">
        <f>DATE(YEAR(T2),MONTH(T2)+1,1)</f>
        <v>43769</v>
      </c>
      <c r="W2" s="333">
        <f>V2</f>
        <v>43769</v>
      </c>
      <c r="X2" s="333">
        <f>DATE(YEAR(V2),MONTH(V2)+1,1)</f>
        <v>43799</v>
      </c>
      <c r="Y2" s="530">
        <f>X2</f>
        <v>43799</v>
      </c>
    </row>
    <row r="3" spans="1:27" s="49" customFormat="1" ht="11.25">
      <c r="A3" s="50">
        <v>1</v>
      </c>
      <c r="B3" s="556" t="str">
        <f t="shared" ref="B3:B9" si="0">IF(OR(ISERROR(C3),C3=""),"-",IF(OR(C3=K_ArbeitNormal,C3=K_ArbeitOverTime,C3=K_ArbeitOverMax),VLOOKUP(DATE(YEAR(C$2),MONTH(C$2),$A3),db_Jahr,gSP_KalZeit,FALSE),""))</f>
        <v/>
      </c>
      <c r="C3" s="534">
        <f t="shared" ref="C3:G32" si="1">IF(MONTH(DATE(YEAR(C$2),MONTH(C$2),$A3))=MONTH(C$2),VLOOKUP(DATE(YEAR(C$2),MONTH(C$2),$A3),db_Jahr,gSP_KalTyp,FALSE),"")</f>
        <v>8</v>
      </c>
      <c r="D3" s="607" t="str">
        <f t="shared" ref="D3:D33" si="2">IF(OR(ISERROR(E3),E3=""),"-",IF(OR(E3=K_ArbeitNormal,E3=K_ArbeitOverTime,E3=K_ArbeitOverMax),VLOOKUP(DATE(YEAR(E$2),MONTH(E$2),$A3),db_Jahr,gSP_KalZeit,FALSE),""))</f>
        <v/>
      </c>
      <c r="E3" s="606">
        <f t="shared" si="1"/>
        <v>0</v>
      </c>
      <c r="F3" s="607" t="str">
        <f t="shared" ref="F3:F33" si="3">IF(OR(ISERROR(G3),G3=""),"-",IF(OR(G3=K_ArbeitNormal,G3=K_ArbeitOverTime,G3=K_ArbeitOverMax),VLOOKUP(DATE(YEAR(G$2),MONTH(G$2),$A3),db_Jahr,gSP_KalZeit,FALSE),""))</f>
        <v/>
      </c>
      <c r="G3" s="606">
        <f t="shared" si="1"/>
        <v>0</v>
      </c>
      <c r="H3" s="139" t="str">
        <f t="shared" ref="H3:H33" si="4">IF(OR(ISERROR(I3),I3=""),"-",IF(OR(I3=K_ArbeitNormal,I3=K_ArbeitOverTime,I3=K_ArbeitOverMax),VLOOKUP(DATE(YEAR(I$2),MONTH(I$2),$A3),db_Jahr,gSP_KalZeit,FALSE),""))</f>
        <v/>
      </c>
      <c r="I3" s="140">
        <f t="shared" ref="I3:I32" si="5">IF(MONTH(DATE(YEAR(I$2),MONTH(I$2),$A3))=MONTH(I$2),VLOOKUP(DATE(YEAR(I$2),MONTH(I$2),$A3),db_Jahr,gSP_KalTyp,FALSE),"")</f>
        <v>7</v>
      </c>
      <c r="J3" s="137" t="str">
        <f t="shared" ref="J3:J33" si="6">IF(OR(ISERROR(K3),K3=""),"-",IF(OR(K3=K_ArbeitNormal,K3=K_ArbeitOverTime,K3=K_ArbeitOverMax),VLOOKUP(DATE(YEAR(K$2),MONTH(K$2),$A3),db_Jahr,gSP_KalZeit,FALSE),""))</f>
        <v/>
      </c>
      <c r="K3" s="615">
        <f t="shared" ref="K3:K32" si="7">IF(MONTH(DATE(YEAR(K$2),MONTH(K$2),$A3))=MONTH(K$2),VLOOKUP(DATE(YEAR(K$2),MONTH(K$2),$A3),db_Jahr,gSP_KalTyp,FALSE),"")</f>
        <v>8</v>
      </c>
      <c r="L3" s="608" t="str">
        <f t="shared" ref="L3:L33" si="8">IF(OR(ISERROR(M3),M3=""),"-",IF(OR(M3=K_ArbeitNormal,M3=K_ArbeitOverTime,M3=K_ArbeitOverMax),VLOOKUP(DATE(YEAR(M$2),MONTH(M$2),$A3),db_Jahr,gSP_KalZeit,FALSE),""))</f>
        <v/>
      </c>
      <c r="M3" s="605">
        <f t="shared" ref="M3:M32" si="9">IF(MONTH(DATE(YEAR(M$2),MONTH(M$2),$A3))=MONTH(M$2),VLOOKUP(DATE(YEAR(M$2),MONTH(M$2),$A3),db_Jahr,gSP_KalTyp,FALSE),"")</f>
        <v>0</v>
      </c>
      <c r="N3" s="139" t="str">
        <f t="shared" ref="N3:N33" si="10">IF(OR(ISERROR(O3),O3=""),"-",IF(OR(O3=K_ArbeitNormal,O3=K_ArbeitOverTime,O3=K_ArbeitOverMax),VLOOKUP(DATE(YEAR(O$2),MONTH(O$2),$A3),db_Jahr,gSP_KalZeit,FALSE),""))</f>
        <v/>
      </c>
      <c r="O3" s="531">
        <f t="shared" ref="O3:O32" si="11">IF(MONTH(DATE(YEAR(O$2),MONTH(O$2),$A3))=MONTH(O$2),VLOOKUP(DATE(YEAR(O$2),MONTH(O$2),$A3),db_Jahr,gSP_KalTyp,FALSE),"")</f>
        <v>7</v>
      </c>
      <c r="P3" s="616" t="str">
        <f t="shared" ref="P3:P33" si="12">IF(OR(ISERROR(Q3),Q3=""),"-",IF(OR(Q3=K_ArbeitNormal,Q3=K_ArbeitOverTime,Q3=K_ArbeitOverMax),VLOOKUP(DATE(YEAR(Q$2),MONTH(Q$2),$A3),db_Jahr,gSP_KalZeit,FALSE),""))</f>
        <v/>
      </c>
      <c r="Q3" s="617">
        <f t="shared" ref="Q3:Q32" si="13">IF(MONTH(DATE(YEAR(Q$2),MONTH(Q$2),$A3))=MONTH(Q$2),VLOOKUP(DATE(YEAR(Q$2),MONTH(Q$2),$A3),db_Jahr,gSP_KalTyp,FALSE),"")</f>
        <v>0</v>
      </c>
      <c r="R3" s="620" t="str">
        <f t="shared" ref="R3:R33" si="14">IF(OR(ISERROR(S3),S3=""),"-",IF(OR(S3=K_ArbeitNormal,S3=K_ArbeitOverTime,S3=K_ArbeitOverMax),VLOOKUP(DATE(YEAR(S$2),MONTH(S$2),$A3),db_Jahr,gSP_KalZeit,FALSE),""))</f>
        <v/>
      </c>
      <c r="S3" s="605">
        <f t="shared" ref="S3:S32" si="15">IF(MONTH(DATE(YEAR(S$2),MONTH(S$2),$A3))=MONTH(S$2),VLOOKUP(DATE(YEAR(S$2),MONTH(S$2),$A3),db_Jahr,gSP_KalTyp,FALSE),"")</f>
        <v>0</v>
      </c>
      <c r="T3" s="139" t="str">
        <f t="shared" ref="T3:T33" si="16">IF(OR(ISERROR(U3),U3=""),"-",IF(OR(U3=K_ArbeitNormal,U3=K_ArbeitOverTime,U3=K_ArbeitOverMax),VLOOKUP(DATE(YEAR(U$2),MONTH(U$2),$A3),db_Jahr,gSP_KalZeit,FALSE),""))</f>
        <v/>
      </c>
      <c r="U3" s="531">
        <f t="shared" ref="U3:U32" si="17">IF(MONTH(DATE(YEAR(U$2),MONTH(U$2),$A3))=MONTH(U$2),VLOOKUP(DATE(YEAR(U$2),MONTH(U$2),$A3),db_Jahr,gSP_KalTyp,FALSE),"")</f>
        <v>7</v>
      </c>
      <c r="V3" s="556" t="str">
        <f t="shared" ref="V3:V33" si="18">IF(OR(ISERROR(W3),W3=""),"-",IF(OR(W3=K_ArbeitNormal,W3=K_ArbeitOverTime,W3=K_ArbeitOverMax),VLOOKUP(DATE(YEAR(W$2),MONTH(W$2),$A3),db_Jahr,gSP_KalZeit,FALSE),""))</f>
        <v/>
      </c>
      <c r="W3" s="534">
        <f t="shared" ref="W3:W32" si="19">IF(MONTH(DATE(YEAR(W$2),MONTH(W$2),$A3))=MONTH(W$2),VLOOKUP(DATE(YEAR(W$2),MONTH(W$2),$A3),db_Jahr,gSP_KalTyp,FALSE),"")</f>
        <v>8</v>
      </c>
      <c r="X3" s="607" t="str">
        <f t="shared" ref="X3:X33" si="20">IF(OR(ISERROR(Y3),Y3=""),"-",IF(OR(Y3=K_ArbeitNormal,Y3=K_ArbeitOverTime,Y3=K_ArbeitOverMax),VLOOKUP(DATE(YEAR(Y$2),MONTH(Y$2),$A3),db_Jahr,gSP_KalZeit,FALSE),""))</f>
        <v/>
      </c>
      <c r="Y3" s="606">
        <f t="shared" ref="Y3:Y32" si="21">IF(MONTH(DATE(YEAR(Y$2),MONTH(Y$2),$A3))=MONTH(Y$2),VLOOKUP(DATE(YEAR(Y$2),MONTH(Y$2),$A3),db_Jahr,gSP_KalTyp,FALSE),"")</f>
        <v>0</v>
      </c>
    </row>
    <row r="4" spans="1:27" s="49" customFormat="1" ht="12" thickBot="1">
      <c r="A4" s="50">
        <f t="shared" ref="A4:A33" si="22">A3+1</f>
        <v>2</v>
      </c>
      <c r="B4" s="609" t="str">
        <f t="shared" si="0"/>
        <v/>
      </c>
      <c r="C4" s="605">
        <f t="shared" si="1"/>
        <v>0</v>
      </c>
      <c r="D4" s="607" t="str">
        <f t="shared" si="2"/>
        <v/>
      </c>
      <c r="E4" s="606">
        <f t="shared" si="1"/>
        <v>0</v>
      </c>
      <c r="F4" s="607" t="str">
        <f t="shared" si="3"/>
        <v/>
      </c>
      <c r="G4" s="606">
        <f t="shared" si="1"/>
        <v>0</v>
      </c>
      <c r="H4" s="624" t="str">
        <f t="shared" si="4"/>
        <v/>
      </c>
      <c r="I4" s="140">
        <f t="shared" si="5"/>
        <v>7</v>
      </c>
      <c r="J4" s="607" t="str">
        <f t="shared" si="6"/>
        <v/>
      </c>
      <c r="K4" s="612">
        <f t="shared" si="7"/>
        <v>0</v>
      </c>
      <c r="L4" s="609" t="str">
        <f t="shared" si="8"/>
        <v/>
      </c>
      <c r="M4" s="605">
        <f t="shared" si="9"/>
        <v>0</v>
      </c>
      <c r="N4" s="139" t="str">
        <f t="shared" si="10"/>
        <v/>
      </c>
      <c r="O4" s="531">
        <f t="shared" si="11"/>
        <v>7</v>
      </c>
      <c r="P4" s="618" t="str">
        <f t="shared" si="12"/>
        <v/>
      </c>
      <c r="Q4" s="617">
        <f t="shared" si="13"/>
        <v>0</v>
      </c>
      <c r="R4" s="560" t="str">
        <f t="shared" si="14"/>
        <v/>
      </c>
      <c r="S4" s="532">
        <f t="shared" si="15"/>
        <v>7</v>
      </c>
      <c r="T4" s="607" t="str">
        <f t="shared" si="16"/>
        <v/>
      </c>
      <c r="U4" s="612">
        <f t="shared" si="17"/>
        <v>0</v>
      </c>
      <c r="V4" s="609" t="str">
        <f t="shared" si="18"/>
        <v/>
      </c>
      <c r="W4" s="605">
        <f t="shared" si="19"/>
        <v>0</v>
      </c>
      <c r="X4" s="139" t="str">
        <f t="shared" si="20"/>
        <v/>
      </c>
      <c r="Y4" s="140">
        <f t="shared" si="21"/>
        <v>7</v>
      </c>
      <c r="AA4" s="186" t="s">
        <v>95</v>
      </c>
    </row>
    <row r="5" spans="1:27" s="49" customFormat="1" ht="12" thickBot="1">
      <c r="A5" s="50">
        <f t="shared" si="22"/>
        <v>3</v>
      </c>
      <c r="B5" s="609" t="str">
        <f t="shared" si="0"/>
        <v/>
      </c>
      <c r="C5" s="605">
        <f t="shared" si="1"/>
        <v>0</v>
      </c>
      <c r="D5" s="607" t="str">
        <f t="shared" si="2"/>
        <v/>
      </c>
      <c r="E5" s="606">
        <f t="shared" si="1"/>
        <v>0</v>
      </c>
      <c r="F5" s="607" t="str">
        <f t="shared" si="3"/>
        <v/>
      </c>
      <c r="G5" s="612">
        <f t="shared" si="1"/>
        <v>0</v>
      </c>
      <c r="H5" s="608" t="str">
        <f t="shared" si="4"/>
        <v/>
      </c>
      <c r="I5" s="605">
        <f t="shared" si="5"/>
        <v>0</v>
      </c>
      <c r="J5" s="607" t="str">
        <f t="shared" si="6"/>
        <v/>
      </c>
      <c r="K5" s="612">
        <f t="shared" si="7"/>
        <v>0</v>
      </c>
      <c r="L5" s="558" t="str">
        <f t="shared" si="8"/>
        <v/>
      </c>
      <c r="M5" s="532">
        <f t="shared" si="9"/>
        <v>7</v>
      </c>
      <c r="N5" s="607" t="str">
        <f t="shared" si="10"/>
        <v/>
      </c>
      <c r="O5" s="612">
        <f t="shared" si="11"/>
        <v>0</v>
      </c>
      <c r="P5" s="618" t="str">
        <f t="shared" si="12"/>
        <v/>
      </c>
      <c r="Q5" s="617">
        <f t="shared" si="13"/>
        <v>0</v>
      </c>
      <c r="R5" s="560" t="str">
        <f t="shared" si="14"/>
        <v/>
      </c>
      <c r="S5" s="532">
        <f t="shared" si="15"/>
        <v>7</v>
      </c>
      <c r="T5" s="137" t="str">
        <f t="shared" si="16"/>
        <v/>
      </c>
      <c r="U5" s="615">
        <f t="shared" si="17"/>
        <v>8</v>
      </c>
      <c r="V5" s="610" t="str">
        <f t="shared" si="18"/>
        <v/>
      </c>
      <c r="W5" s="605">
        <f t="shared" si="19"/>
        <v>0</v>
      </c>
      <c r="X5" s="139" t="str">
        <f t="shared" si="20"/>
        <v/>
      </c>
      <c r="Y5" s="140">
        <f t="shared" si="21"/>
        <v>7</v>
      </c>
      <c r="AA5" s="331" t="str">
        <f>B_PersonName</f>
        <v>Mustermann</v>
      </c>
    </row>
    <row r="6" spans="1:27" s="49" customFormat="1" ht="11.25">
      <c r="A6" s="50">
        <f t="shared" si="22"/>
        <v>4</v>
      </c>
      <c r="B6" s="609" t="str">
        <f t="shared" si="0"/>
        <v/>
      </c>
      <c r="C6" s="605">
        <f t="shared" si="1"/>
        <v>0</v>
      </c>
      <c r="D6" s="139" t="str">
        <f t="shared" si="2"/>
        <v/>
      </c>
      <c r="E6" s="140">
        <f t="shared" si="1"/>
        <v>7</v>
      </c>
      <c r="F6" s="139" t="str">
        <f t="shared" si="3"/>
        <v/>
      </c>
      <c r="G6" s="531">
        <f t="shared" si="1"/>
        <v>7</v>
      </c>
      <c r="H6" s="609" t="str">
        <f t="shared" si="4"/>
        <v/>
      </c>
      <c r="I6" s="605">
        <f t="shared" si="5"/>
        <v>0</v>
      </c>
      <c r="J6" s="607" t="str">
        <f t="shared" si="6"/>
        <v/>
      </c>
      <c r="K6" s="612">
        <f t="shared" si="7"/>
        <v>0</v>
      </c>
      <c r="L6" s="558" t="str">
        <f t="shared" si="8"/>
        <v/>
      </c>
      <c r="M6" s="532">
        <f t="shared" si="9"/>
        <v>7</v>
      </c>
      <c r="N6" s="607" t="str">
        <f t="shared" si="10"/>
        <v/>
      </c>
      <c r="O6" s="612">
        <f t="shared" si="11"/>
        <v>0</v>
      </c>
      <c r="P6" s="618" t="str">
        <f t="shared" si="12"/>
        <v/>
      </c>
      <c r="Q6" s="617">
        <f t="shared" si="13"/>
        <v>0</v>
      </c>
      <c r="R6" s="621" t="str">
        <f t="shared" si="14"/>
        <v/>
      </c>
      <c r="S6" s="605">
        <f t="shared" si="15"/>
        <v>0</v>
      </c>
      <c r="T6" s="607" t="str">
        <f t="shared" si="16"/>
        <v/>
      </c>
      <c r="U6" s="606">
        <f t="shared" si="17"/>
        <v>0</v>
      </c>
      <c r="V6" s="625" t="str">
        <f t="shared" si="18"/>
        <v/>
      </c>
      <c r="W6" s="140">
        <f t="shared" si="19"/>
        <v>7</v>
      </c>
      <c r="X6" s="607" t="str">
        <f t="shared" si="20"/>
        <v/>
      </c>
      <c r="Y6" s="606">
        <f t="shared" si="21"/>
        <v>0</v>
      </c>
    </row>
    <row r="7" spans="1:27" s="49" customFormat="1" ht="11.25">
      <c r="A7" s="50">
        <f t="shared" si="22"/>
        <v>5</v>
      </c>
      <c r="B7" s="609" t="str">
        <f t="shared" si="0"/>
        <v/>
      </c>
      <c r="C7" s="605">
        <f t="shared" si="1"/>
        <v>0</v>
      </c>
      <c r="D7" s="139" t="str">
        <f t="shared" si="2"/>
        <v/>
      </c>
      <c r="E7" s="140">
        <f t="shared" si="1"/>
        <v>7</v>
      </c>
      <c r="F7" s="139" t="str">
        <f t="shared" si="3"/>
        <v/>
      </c>
      <c r="G7" s="531">
        <f t="shared" si="1"/>
        <v>7</v>
      </c>
      <c r="H7" s="609" t="str">
        <f t="shared" si="4"/>
        <v/>
      </c>
      <c r="I7" s="605">
        <f t="shared" si="5"/>
        <v>0</v>
      </c>
      <c r="J7" s="607" t="str">
        <f t="shared" si="6"/>
        <v/>
      </c>
      <c r="K7" s="612">
        <f t="shared" si="7"/>
        <v>0</v>
      </c>
      <c r="L7" s="609" t="str">
        <f t="shared" si="8"/>
        <v/>
      </c>
      <c r="M7" s="605">
        <f t="shared" si="9"/>
        <v>0</v>
      </c>
      <c r="N7" s="607" t="str">
        <f t="shared" si="10"/>
        <v/>
      </c>
      <c r="O7" s="612">
        <f t="shared" si="11"/>
        <v>0</v>
      </c>
      <c r="P7" s="559" t="str">
        <f t="shared" si="12"/>
        <v/>
      </c>
      <c r="Q7" s="561">
        <f t="shared" si="13"/>
        <v>7</v>
      </c>
      <c r="R7" s="621" t="str">
        <f t="shared" si="14"/>
        <v/>
      </c>
      <c r="S7" s="605">
        <f t="shared" si="15"/>
        <v>0</v>
      </c>
      <c r="T7" s="607" t="str">
        <f t="shared" si="16"/>
        <v/>
      </c>
      <c r="U7" s="606">
        <f t="shared" si="17"/>
        <v>0</v>
      </c>
      <c r="V7" s="139" t="str">
        <f t="shared" si="18"/>
        <v/>
      </c>
      <c r="W7" s="140">
        <f t="shared" si="19"/>
        <v>7</v>
      </c>
      <c r="X7" s="607" t="str">
        <f t="shared" si="20"/>
        <v/>
      </c>
      <c r="Y7" s="606">
        <f t="shared" si="21"/>
        <v>0</v>
      </c>
      <c r="AA7" s="186" t="s">
        <v>96</v>
      </c>
    </row>
    <row r="8" spans="1:27" s="49" customFormat="1" ht="11.25">
      <c r="A8" s="50">
        <f t="shared" si="22"/>
        <v>6</v>
      </c>
      <c r="B8" s="557" t="str">
        <f t="shared" si="0"/>
        <v/>
      </c>
      <c r="C8" s="534">
        <f t="shared" si="1"/>
        <v>8</v>
      </c>
      <c r="D8" s="607" t="str">
        <f t="shared" si="2"/>
        <v/>
      </c>
      <c r="E8" s="606">
        <f t="shared" si="1"/>
        <v>0</v>
      </c>
      <c r="F8" s="607" t="str">
        <f t="shared" si="3"/>
        <v/>
      </c>
      <c r="G8" s="612">
        <f t="shared" si="1"/>
        <v>0</v>
      </c>
      <c r="H8" s="609" t="str">
        <f t="shared" si="4"/>
        <v/>
      </c>
      <c r="I8" s="605">
        <f t="shared" si="5"/>
        <v>0</v>
      </c>
      <c r="J8" s="139" t="str">
        <f t="shared" si="6"/>
        <v/>
      </c>
      <c r="K8" s="531">
        <f t="shared" si="7"/>
        <v>7</v>
      </c>
      <c r="L8" s="609" t="str">
        <f t="shared" si="8"/>
        <v/>
      </c>
      <c r="M8" s="605">
        <f t="shared" si="9"/>
        <v>0</v>
      </c>
      <c r="N8" s="607" t="str">
        <f t="shared" si="10"/>
        <v/>
      </c>
      <c r="O8" s="612">
        <f t="shared" si="11"/>
        <v>0</v>
      </c>
      <c r="P8" s="559" t="str">
        <f t="shared" si="12"/>
        <v/>
      </c>
      <c r="Q8" s="561">
        <f t="shared" si="13"/>
        <v>7</v>
      </c>
      <c r="R8" s="621" t="str">
        <f t="shared" si="14"/>
        <v/>
      </c>
      <c r="S8" s="605">
        <f t="shared" si="15"/>
        <v>0</v>
      </c>
      <c r="T8" s="607" t="str">
        <f t="shared" si="16"/>
        <v/>
      </c>
      <c r="U8" s="606">
        <f t="shared" si="17"/>
        <v>0</v>
      </c>
      <c r="V8" s="607" t="str">
        <f t="shared" si="18"/>
        <v/>
      </c>
      <c r="W8" s="606">
        <f t="shared" si="19"/>
        <v>0</v>
      </c>
      <c r="X8" s="607" t="str">
        <f t="shared" si="20"/>
        <v/>
      </c>
      <c r="Y8" s="606">
        <f t="shared" si="21"/>
        <v>0</v>
      </c>
      <c r="AA8" s="49" t="str">
        <f>B_Department</f>
        <v>Siemens</v>
      </c>
    </row>
    <row r="9" spans="1:27" s="49" customFormat="1" ht="12" thickBot="1">
      <c r="A9" s="50">
        <f t="shared" si="22"/>
        <v>7</v>
      </c>
      <c r="B9" s="533" t="str">
        <f t="shared" si="0"/>
        <v/>
      </c>
      <c r="C9" s="532">
        <f t="shared" si="1"/>
        <v>7</v>
      </c>
      <c r="D9" s="607" t="str">
        <f t="shared" si="2"/>
        <v/>
      </c>
      <c r="E9" s="606">
        <f t="shared" si="1"/>
        <v>0</v>
      </c>
      <c r="F9" s="607" t="str">
        <f t="shared" si="3"/>
        <v/>
      </c>
      <c r="G9" s="612">
        <f t="shared" si="1"/>
        <v>0</v>
      </c>
      <c r="H9" s="557" t="str">
        <f t="shared" si="4"/>
        <v/>
      </c>
      <c r="I9" s="534">
        <f t="shared" si="5"/>
        <v>8</v>
      </c>
      <c r="J9" s="139" t="str">
        <f t="shared" si="6"/>
        <v/>
      </c>
      <c r="K9" s="531">
        <f t="shared" si="7"/>
        <v>7</v>
      </c>
      <c r="L9" s="609" t="str">
        <f t="shared" si="8"/>
        <v/>
      </c>
      <c r="M9" s="605">
        <f t="shared" si="9"/>
        <v>0</v>
      </c>
      <c r="N9" s="607" t="str">
        <f t="shared" si="10"/>
        <v/>
      </c>
      <c r="O9" s="612">
        <f t="shared" si="11"/>
        <v>0</v>
      </c>
      <c r="P9" s="618" t="str">
        <f t="shared" si="12"/>
        <v/>
      </c>
      <c r="Q9" s="617">
        <f t="shared" si="13"/>
        <v>0</v>
      </c>
      <c r="R9" s="621" t="str">
        <f t="shared" si="14"/>
        <v/>
      </c>
      <c r="S9" s="605">
        <f t="shared" si="15"/>
        <v>0</v>
      </c>
      <c r="T9" s="139" t="str">
        <f t="shared" si="16"/>
        <v/>
      </c>
      <c r="U9" s="140">
        <f t="shared" si="17"/>
        <v>7</v>
      </c>
      <c r="V9" s="607" t="str">
        <f t="shared" si="18"/>
        <v/>
      </c>
      <c r="W9" s="606">
        <f t="shared" si="19"/>
        <v>0</v>
      </c>
      <c r="X9" s="607" t="str">
        <f t="shared" si="20"/>
        <v/>
      </c>
      <c r="Y9" s="606">
        <f t="shared" si="21"/>
        <v>0</v>
      </c>
    </row>
    <row r="10" spans="1:27" s="49" customFormat="1" ht="11.25">
      <c r="A10" s="50">
        <f t="shared" si="22"/>
        <v>8</v>
      </c>
      <c r="B10" s="625" t="str">
        <f t="shared" ref="B10:B33" si="23">IF(OR(ISERROR(C10),C10=""),"-",IF(OR(C10=K_ArbeitNormal,C10=K_ArbeitOverTime,C10=K_ArbeitOverMax),VLOOKUP(DATE(YEAR(C$2),MONTH(C$2),$A10),db_Jahr,gSP_KalZeit,FALSE),""))</f>
        <v/>
      </c>
      <c r="C10" s="140">
        <f t="shared" si="1"/>
        <v>7</v>
      </c>
      <c r="D10" s="607" t="str">
        <f t="shared" si="2"/>
        <v/>
      </c>
      <c r="E10" s="606">
        <f t="shared" si="1"/>
        <v>0</v>
      </c>
      <c r="F10" s="607" t="str">
        <f t="shared" si="3"/>
        <v/>
      </c>
      <c r="G10" s="612">
        <f t="shared" si="1"/>
        <v>0</v>
      </c>
      <c r="H10" s="558" t="str">
        <f t="shared" si="4"/>
        <v/>
      </c>
      <c r="I10" s="532">
        <f t="shared" si="5"/>
        <v>7</v>
      </c>
      <c r="J10" s="607" t="str">
        <f t="shared" si="6"/>
        <v/>
      </c>
      <c r="K10" s="612">
        <f t="shared" si="7"/>
        <v>0</v>
      </c>
      <c r="L10" s="557" t="str">
        <f t="shared" si="8"/>
        <v/>
      </c>
      <c r="M10" s="534">
        <f t="shared" si="9"/>
        <v>8</v>
      </c>
      <c r="N10" s="139" t="str">
        <f t="shared" si="10"/>
        <v/>
      </c>
      <c r="O10" s="531">
        <f t="shared" si="11"/>
        <v>7</v>
      </c>
      <c r="P10" s="618" t="str">
        <f t="shared" si="12"/>
        <v/>
      </c>
      <c r="Q10" s="617">
        <f t="shared" si="13"/>
        <v>0</v>
      </c>
      <c r="R10" s="621" t="str">
        <f t="shared" si="14"/>
        <v/>
      </c>
      <c r="S10" s="605">
        <f t="shared" si="15"/>
        <v>0</v>
      </c>
      <c r="T10" s="139" t="str">
        <f t="shared" si="16"/>
        <v/>
      </c>
      <c r="U10" s="140">
        <f t="shared" si="17"/>
        <v>7</v>
      </c>
      <c r="V10" s="607" t="str">
        <f t="shared" si="18"/>
        <v/>
      </c>
      <c r="W10" s="606">
        <f t="shared" si="19"/>
        <v>0</v>
      </c>
      <c r="X10" s="607" t="str">
        <f t="shared" si="20"/>
        <v/>
      </c>
      <c r="Y10" s="606">
        <f t="shared" si="21"/>
        <v>0</v>
      </c>
    </row>
    <row r="11" spans="1:27" s="49" customFormat="1" ht="12" thickBot="1">
      <c r="A11" s="50">
        <f t="shared" si="22"/>
        <v>9</v>
      </c>
      <c r="B11" s="607" t="str">
        <f t="shared" si="23"/>
        <v/>
      </c>
      <c r="C11" s="606">
        <f t="shared" si="1"/>
        <v>0</v>
      </c>
      <c r="D11" s="607" t="str">
        <f t="shared" si="2"/>
        <v/>
      </c>
      <c r="E11" s="606">
        <f t="shared" si="1"/>
        <v>0</v>
      </c>
      <c r="F11" s="607" t="str">
        <f t="shared" si="3"/>
        <v/>
      </c>
      <c r="G11" s="612">
        <f t="shared" si="1"/>
        <v>0</v>
      </c>
      <c r="H11" s="557" t="str">
        <f t="shared" si="4"/>
        <v/>
      </c>
      <c r="I11" s="534">
        <f t="shared" si="5"/>
        <v>8</v>
      </c>
      <c r="J11" s="607" t="str">
        <f t="shared" si="6"/>
        <v/>
      </c>
      <c r="K11" s="612">
        <f t="shared" si="7"/>
        <v>0</v>
      </c>
      <c r="L11" s="610" t="str">
        <f t="shared" si="8"/>
        <v/>
      </c>
      <c r="M11" s="605">
        <f t="shared" si="9"/>
        <v>0</v>
      </c>
      <c r="N11" s="139" t="str">
        <f t="shared" si="10"/>
        <v/>
      </c>
      <c r="O11" s="531">
        <f t="shared" si="11"/>
        <v>7</v>
      </c>
      <c r="P11" s="618" t="str">
        <f t="shared" si="12"/>
        <v/>
      </c>
      <c r="Q11" s="617">
        <f t="shared" si="13"/>
        <v>0</v>
      </c>
      <c r="R11" s="560" t="str">
        <f t="shared" si="14"/>
        <v/>
      </c>
      <c r="S11" s="532">
        <f t="shared" si="15"/>
        <v>7</v>
      </c>
      <c r="T11" s="607" t="str">
        <f t="shared" si="16"/>
        <v/>
      </c>
      <c r="U11" s="606">
        <f t="shared" si="17"/>
        <v>0</v>
      </c>
      <c r="V11" s="607" t="str">
        <f t="shared" si="18"/>
        <v/>
      </c>
      <c r="W11" s="606">
        <f t="shared" si="19"/>
        <v>0</v>
      </c>
      <c r="X11" s="139" t="str">
        <f t="shared" si="20"/>
        <v/>
      </c>
      <c r="Y11" s="140">
        <f t="shared" si="21"/>
        <v>7</v>
      </c>
      <c r="AA11" s="130" t="s">
        <v>43</v>
      </c>
    </row>
    <row r="12" spans="1:27" s="49" customFormat="1" ht="11.25">
      <c r="A12" s="50">
        <f t="shared" si="22"/>
        <v>10</v>
      </c>
      <c r="B12" s="607" t="str">
        <f t="shared" si="23"/>
        <v/>
      </c>
      <c r="C12" s="606">
        <f t="shared" si="1"/>
        <v>0</v>
      </c>
      <c r="D12" s="607" t="str">
        <f t="shared" si="2"/>
        <v/>
      </c>
      <c r="E12" s="606">
        <f t="shared" si="1"/>
        <v>0</v>
      </c>
      <c r="F12" s="607" t="str">
        <f t="shared" si="3"/>
        <v/>
      </c>
      <c r="G12" s="612">
        <f t="shared" si="1"/>
        <v>0</v>
      </c>
      <c r="H12" s="557" t="str">
        <f t="shared" si="4"/>
        <v/>
      </c>
      <c r="I12" s="534">
        <f t="shared" si="5"/>
        <v>8</v>
      </c>
      <c r="J12" s="607" t="str">
        <f t="shared" si="6"/>
        <v/>
      </c>
      <c r="K12" s="606">
        <f t="shared" si="7"/>
        <v>0</v>
      </c>
      <c r="L12" s="625" t="str">
        <f t="shared" si="8"/>
        <v/>
      </c>
      <c r="M12" s="140">
        <f t="shared" si="9"/>
        <v>7</v>
      </c>
      <c r="N12" s="607" t="str">
        <f t="shared" si="10"/>
        <v/>
      </c>
      <c r="O12" s="612">
        <f t="shared" si="11"/>
        <v>0</v>
      </c>
      <c r="P12" s="618" t="str">
        <f t="shared" si="12"/>
        <v/>
      </c>
      <c r="Q12" s="617">
        <f t="shared" si="13"/>
        <v>0</v>
      </c>
      <c r="R12" s="560" t="str">
        <f t="shared" si="14"/>
        <v/>
      </c>
      <c r="S12" s="532">
        <f t="shared" si="15"/>
        <v>7</v>
      </c>
      <c r="T12" s="607" t="str">
        <f t="shared" si="16"/>
        <v/>
      </c>
      <c r="U12" s="606">
        <f t="shared" si="17"/>
        <v>0</v>
      </c>
      <c r="V12" s="607" t="str">
        <f t="shared" si="18"/>
        <v/>
      </c>
      <c r="W12" s="606">
        <f t="shared" si="19"/>
        <v>0</v>
      </c>
      <c r="X12" s="139" t="str">
        <f t="shared" si="20"/>
        <v/>
      </c>
      <c r="Y12" s="140">
        <f t="shared" si="21"/>
        <v>7</v>
      </c>
    </row>
    <row r="13" spans="1:27" s="49" customFormat="1" ht="12" thickBot="1">
      <c r="A13" s="50">
        <f t="shared" si="22"/>
        <v>11</v>
      </c>
      <c r="B13" s="607" t="str">
        <f t="shared" si="23"/>
        <v/>
      </c>
      <c r="C13" s="606">
        <f t="shared" si="1"/>
        <v>0</v>
      </c>
      <c r="D13" s="139" t="str">
        <f t="shared" si="2"/>
        <v/>
      </c>
      <c r="E13" s="140">
        <f t="shared" si="1"/>
        <v>7</v>
      </c>
      <c r="F13" s="139" t="str">
        <f t="shared" si="3"/>
        <v/>
      </c>
      <c r="G13" s="531">
        <f t="shared" si="1"/>
        <v>7</v>
      </c>
      <c r="H13" s="609" t="str">
        <f t="shared" si="4"/>
        <v/>
      </c>
      <c r="I13" s="605">
        <f t="shared" si="5"/>
        <v>0</v>
      </c>
      <c r="J13" s="607" t="str">
        <f t="shared" si="6"/>
        <v/>
      </c>
      <c r="K13" s="606">
        <f t="shared" si="7"/>
        <v>0</v>
      </c>
      <c r="L13" s="139" t="str">
        <f t="shared" si="8"/>
        <v/>
      </c>
      <c r="M13" s="140">
        <f t="shared" si="9"/>
        <v>7</v>
      </c>
      <c r="N13" s="607" t="str">
        <f t="shared" si="10"/>
        <v/>
      </c>
      <c r="O13" s="612">
        <f t="shared" si="11"/>
        <v>0</v>
      </c>
      <c r="P13" s="618" t="str">
        <f t="shared" si="12"/>
        <v/>
      </c>
      <c r="Q13" s="617">
        <f t="shared" si="13"/>
        <v>0</v>
      </c>
      <c r="R13" s="619" t="str">
        <f t="shared" si="14"/>
        <v/>
      </c>
      <c r="S13" s="605">
        <f t="shared" si="15"/>
        <v>0</v>
      </c>
      <c r="T13" s="607" t="str">
        <f t="shared" si="16"/>
        <v/>
      </c>
      <c r="U13" s="606">
        <f t="shared" si="17"/>
        <v>0</v>
      </c>
      <c r="V13" s="139" t="str">
        <f t="shared" si="18"/>
        <v/>
      </c>
      <c r="W13" s="140">
        <f t="shared" si="19"/>
        <v>7</v>
      </c>
      <c r="X13" s="607" t="str">
        <f t="shared" si="20"/>
        <v/>
      </c>
      <c r="Y13" s="606">
        <f t="shared" si="21"/>
        <v>0</v>
      </c>
      <c r="AA13" s="131" t="s">
        <v>191</v>
      </c>
    </row>
    <row r="14" spans="1:27" s="49" customFormat="1" ht="11.25">
      <c r="A14" s="50">
        <f t="shared" si="22"/>
        <v>12</v>
      </c>
      <c r="B14" s="607" t="str">
        <f t="shared" si="23"/>
        <v/>
      </c>
      <c r="C14" s="606">
        <f t="shared" si="1"/>
        <v>0</v>
      </c>
      <c r="D14" s="139" t="str">
        <f t="shared" si="2"/>
        <v/>
      </c>
      <c r="E14" s="140">
        <f t="shared" si="1"/>
        <v>7</v>
      </c>
      <c r="F14" s="139" t="str">
        <f t="shared" si="3"/>
        <v/>
      </c>
      <c r="G14" s="531">
        <f t="shared" si="1"/>
        <v>7</v>
      </c>
      <c r="H14" s="609" t="str">
        <f t="shared" si="4"/>
        <v/>
      </c>
      <c r="I14" s="605">
        <f t="shared" si="5"/>
        <v>0</v>
      </c>
      <c r="J14" s="607" t="str">
        <f t="shared" si="6"/>
        <v/>
      </c>
      <c r="K14" s="606">
        <f t="shared" si="7"/>
        <v>0</v>
      </c>
      <c r="L14" s="607" t="str">
        <f t="shared" si="8"/>
        <v/>
      </c>
      <c r="M14" s="606">
        <f t="shared" si="9"/>
        <v>0</v>
      </c>
      <c r="N14" s="607" t="str">
        <f t="shared" si="10"/>
        <v/>
      </c>
      <c r="O14" s="612">
        <f t="shared" si="11"/>
        <v>0</v>
      </c>
      <c r="P14" s="558" t="str">
        <f t="shared" si="12"/>
        <v/>
      </c>
      <c r="Q14" s="532">
        <f t="shared" si="13"/>
        <v>7</v>
      </c>
      <c r="R14" s="614" t="str">
        <f t="shared" si="14"/>
        <v/>
      </c>
      <c r="S14" s="606">
        <f t="shared" si="15"/>
        <v>0</v>
      </c>
      <c r="T14" s="607" t="str">
        <f t="shared" si="16"/>
        <v/>
      </c>
      <c r="U14" s="606">
        <f t="shared" si="17"/>
        <v>0</v>
      </c>
      <c r="V14" s="139" t="str">
        <f t="shared" si="18"/>
        <v/>
      </c>
      <c r="W14" s="140">
        <f t="shared" si="19"/>
        <v>7</v>
      </c>
      <c r="X14" s="607" t="str">
        <f t="shared" si="20"/>
        <v/>
      </c>
      <c r="Y14" s="606">
        <f t="shared" si="21"/>
        <v>0</v>
      </c>
      <c r="AA14" s="132" t="s">
        <v>189</v>
      </c>
    </row>
    <row r="15" spans="1:27" s="49" customFormat="1" ht="11.25">
      <c r="A15" s="50">
        <f t="shared" si="22"/>
        <v>13</v>
      </c>
      <c r="B15" s="607" t="str">
        <f t="shared" si="23"/>
        <v/>
      </c>
      <c r="C15" s="606">
        <f t="shared" si="1"/>
        <v>0</v>
      </c>
      <c r="D15" s="607" t="str">
        <f t="shared" si="2"/>
        <v/>
      </c>
      <c r="E15" s="606">
        <f t="shared" si="1"/>
        <v>0</v>
      </c>
      <c r="F15" s="607" t="str">
        <f t="shared" si="3"/>
        <v/>
      </c>
      <c r="G15" s="612">
        <f t="shared" si="1"/>
        <v>0</v>
      </c>
      <c r="H15" s="609" t="str">
        <f t="shared" si="4"/>
        <v/>
      </c>
      <c r="I15" s="605">
        <f t="shared" si="5"/>
        <v>0</v>
      </c>
      <c r="J15" s="139" t="str">
        <f t="shared" si="6"/>
        <v/>
      </c>
      <c r="K15" s="140">
        <f t="shared" si="7"/>
        <v>7</v>
      </c>
      <c r="L15" s="607" t="str">
        <f t="shared" si="8"/>
        <v/>
      </c>
      <c r="M15" s="606">
        <f t="shared" si="9"/>
        <v>0</v>
      </c>
      <c r="N15" s="607" t="str">
        <f t="shared" si="10"/>
        <v/>
      </c>
      <c r="O15" s="612">
        <f t="shared" si="11"/>
        <v>0</v>
      </c>
      <c r="P15" s="558" t="str">
        <f t="shared" si="12"/>
        <v/>
      </c>
      <c r="Q15" s="532">
        <f t="shared" si="13"/>
        <v>7</v>
      </c>
      <c r="R15" s="607" t="str">
        <f t="shared" si="14"/>
        <v/>
      </c>
      <c r="S15" s="606">
        <f t="shared" si="15"/>
        <v>0</v>
      </c>
      <c r="T15" s="607" t="str">
        <f t="shared" si="16"/>
        <v/>
      </c>
      <c r="U15" s="606">
        <f t="shared" si="17"/>
        <v>0</v>
      </c>
      <c r="V15" s="607" t="str">
        <f t="shared" si="18"/>
        <v/>
      </c>
      <c r="W15" s="606">
        <f t="shared" si="19"/>
        <v>0</v>
      </c>
      <c r="X15" s="607" t="str">
        <f t="shared" si="20"/>
        <v/>
      </c>
      <c r="Y15" s="606">
        <f t="shared" si="21"/>
        <v>0</v>
      </c>
    </row>
    <row r="16" spans="1:27" s="49" customFormat="1" ht="12" thickBot="1">
      <c r="A16" s="50">
        <f t="shared" si="22"/>
        <v>14</v>
      </c>
      <c r="B16" s="139" t="str">
        <f t="shared" si="23"/>
        <v/>
      </c>
      <c r="C16" s="140">
        <f t="shared" si="1"/>
        <v>7</v>
      </c>
      <c r="D16" s="607" t="str">
        <f t="shared" si="2"/>
        <v/>
      </c>
      <c r="E16" s="606">
        <f t="shared" si="1"/>
        <v>0</v>
      </c>
      <c r="F16" s="607" t="str">
        <f t="shared" si="3"/>
        <v/>
      </c>
      <c r="G16" s="612">
        <f t="shared" si="1"/>
        <v>0</v>
      </c>
      <c r="H16" s="610" t="str">
        <f t="shared" si="4"/>
        <v/>
      </c>
      <c r="I16" s="605">
        <f t="shared" si="5"/>
        <v>0</v>
      </c>
      <c r="J16" s="139" t="str">
        <f t="shared" si="6"/>
        <v/>
      </c>
      <c r="K16" s="140">
        <f t="shared" si="7"/>
        <v>7</v>
      </c>
      <c r="L16" s="607" t="str">
        <f t="shared" si="8"/>
        <v/>
      </c>
      <c r="M16" s="606">
        <f t="shared" si="9"/>
        <v>0</v>
      </c>
      <c r="N16" s="607" t="str">
        <f t="shared" si="10"/>
        <v/>
      </c>
      <c r="O16" s="612">
        <f t="shared" si="11"/>
        <v>0</v>
      </c>
      <c r="P16" s="609" t="str">
        <f t="shared" si="12"/>
        <v/>
      </c>
      <c r="Q16" s="605">
        <f t="shared" si="13"/>
        <v>0</v>
      </c>
      <c r="R16" s="607" t="str">
        <f t="shared" si="14"/>
        <v/>
      </c>
      <c r="S16" s="606">
        <f t="shared" si="15"/>
        <v>0</v>
      </c>
      <c r="T16" s="139" t="str">
        <f t="shared" si="16"/>
        <v/>
      </c>
      <c r="U16" s="140">
        <f t="shared" si="17"/>
        <v>7</v>
      </c>
      <c r="V16" s="607" t="str">
        <f t="shared" si="18"/>
        <v/>
      </c>
      <c r="W16" s="606">
        <f t="shared" si="19"/>
        <v>0</v>
      </c>
      <c r="X16" s="607" t="str">
        <f t="shared" si="20"/>
        <v/>
      </c>
      <c r="Y16" s="606">
        <f t="shared" si="21"/>
        <v>0</v>
      </c>
      <c r="AA16" s="127" t="s">
        <v>44</v>
      </c>
    </row>
    <row r="17" spans="1:27" s="49" customFormat="1" ht="11.25">
      <c r="A17" s="50">
        <f t="shared" si="22"/>
        <v>15</v>
      </c>
      <c r="B17" s="139" t="str">
        <f t="shared" si="23"/>
        <v/>
      </c>
      <c r="C17" s="140">
        <f t="shared" si="1"/>
        <v>7</v>
      </c>
      <c r="D17" s="607" t="str">
        <f t="shared" si="2"/>
        <v/>
      </c>
      <c r="E17" s="606">
        <f t="shared" si="1"/>
        <v>0</v>
      </c>
      <c r="F17" s="607" t="str">
        <f t="shared" si="3"/>
        <v/>
      </c>
      <c r="G17" s="606">
        <f t="shared" si="1"/>
        <v>0</v>
      </c>
      <c r="H17" s="625" t="str">
        <f t="shared" si="4"/>
        <v/>
      </c>
      <c r="I17" s="140">
        <f t="shared" si="5"/>
        <v>7</v>
      </c>
      <c r="J17" s="607" t="str">
        <f t="shared" si="6"/>
        <v/>
      </c>
      <c r="K17" s="606">
        <f t="shared" si="7"/>
        <v>0</v>
      </c>
      <c r="L17" s="607" t="str">
        <f t="shared" si="8"/>
        <v/>
      </c>
      <c r="M17" s="606">
        <f t="shared" si="9"/>
        <v>0</v>
      </c>
      <c r="N17" s="139" t="str">
        <f t="shared" si="10"/>
        <v/>
      </c>
      <c r="O17" s="531">
        <f t="shared" si="11"/>
        <v>7</v>
      </c>
      <c r="P17" s="609" t="str">
        <f t="shared" si="12"/>
        <v/>
      </c>
      <c r="Q17" s="605">
        <f t="shared" si="13"/>
        <v>0</v>
      </c>
      <c r="R17" s="607" t="str">
        <f t="shared" si="14"/>
        <v/>
      </c>
      <c r="S17" s="606">
        <f t="shared" si="15"/>
        <v>0</v>
      </c>
      <c r="T17" s="139" t="str">
        <f t="shared" si="16"/>
        <v/>
      </c>
      <c r="U17" s="140">
        <f t="shared" si="17"/>
        <v>7</v>
      </c>
      <c r="V17" s="607" t="str">
        <f t="shared" si="18"/>
        <v/>
      </c>
      <c r="W17" s="606">
        <f t="shared" si="19"/>
        <v>0</v>
      </c>
      <c r="X17" s="607" t="str">
        <f t="shared" si="20"/>
        <v/>
      </c>
      <c r="Y17" s="606">
        <f t="shared" si="21"/>
        <v>0</v>
      </c>
      <c r="AA17" s="128" t="s">
        <v>46</v>
      </c>
    </row>
    <row r="18" spans="1:27" s="49" customFormat="1" ht="11.25">
      <c r="A18" s="50">
        <f t="shared" si="22"/>
        <v>16</v>
      </c>
      <c r="B18" s="607" t="str">
        <f t="shared" si="23"/>
        <v/>
      </c>
      <c r="C18" s="606">
        <f t="shared" si="1"/>
        <v>0</v>
      </c>
      <c r="D18" s="607" t="str">
        <f t="shared" si="2"/>
        <v/>
      </c>
      <c r="E18" s="606">
        <f t="shared" si="1"/>
        <v>0</v>
      </c>
      <c r="F18" s="607" t="str">
        <f t="shared" si="3"/>
        <v/>
      </c>
      <c r="G18" s="606">
        <f t="shared" si="1"/>
        <v>0</v>
      </c>
      <c r="H18" s="139" t="str">
        <f t="shared" si="4"/>
        <v/>
      </c>
      <c r="I18" s="140">
        <f t="shared" si="5"/>
        <v>7</v>
      </c>
      <c r="J18" s="607" t="str">
        <f t="shared" si="6"/>
        <v/>
      </c>
      <c r="K18" s="606">
        <f t="shared" si="7"/>
        <v>0</v>
      </c>
      <c r="L18" s="607" t="str">
        <f t="shared" si="8"/>
        <v/>
      </c>
      <c r="M18" s="606">
        <f t="shared" si="9"/>
        <v>0</v>
      </c>
      <c r="N18" s="139" t="str">
        <f t="shared" si="10"/>
        <v/>
      </c>
      <c r="O18" s="531">
        <f t="shared" si="11"/>
        <v>7</v>
      </c>
      <c r="P18" s="609" t="str">
        <f t="shared" si="12"/>
        <v/>
      </c>
      <c r="Q18" s="605">
        <f t="shared" si="13"/>
        <v>0</v>
      </c>
      <c r="R18" s="139" t="str">
        <f t="shared" si="14"/>
        <v/>
      </c>
      <c r="S18" s="140">
        <f t="shared" si="15"/>
        <v>7</v>
      </c>
      <c r="T18" s="607" t="str">
        <f t="shared" si="16"/>
        <v/>
      </c>
      <c r="U18" s="606">
        <f t="shared" si="17"/>
        <v>0</v>
      </c>
      <c r="V18" s="607" t="str">
        <f t="shared" si="18"/>
        <v/>
      </c>
      <c r="W18" s="606">
        <f t="shared" si="19"/>
        <v>0</v>
      </c>
      <c r="X18" s="139" t="str">
        <f t="shared" si="20"/>
        <v/>
      </c>
      <c r="Y18" s="140">
        <f t="shared" si="21"/>
        <v>7</v>
      </c>
      <c r="AA18" s="129" t="s">
        <v>45</v>
      </c>
    </row>
    <row r="19" spans="1:27" s="49" customFormat="1" ht="11.25">
      <c r="A19" s="50">
        <f t="shared" si="22"/>
        <v>17</v>
      </c>
      <c r="B19" s="607" t="str">
        <f t="shared" si="23"/>
        <v/>
      </c>
      <c r="C19" s="606">
        <f t="shared" si="1"/>
        <v>0</v>
      </c>
      <c r="D19" s="607" t="str">
        <f t="shared" si="2"/>
        <v/>
      </c>
      <c r="E19" s="606">
        <f t="shared" si="1"/>
        <v>0</v>
      </c>
      <c r="F19" s="607" t="str">
        <f t="shared" si="3"/>
        <v/>
      </c>
      <c r="G19" s="606">
        <f t="shared" si="1"/>
        <v>0</v>
      </c>
      <c r="H19" s="607" t="str">
        <f t="shared" si="4"/>
        <v/>
      </c>
      <c r="I19" s="606">
        <f t="shared" si="5"/>
        <v>0</v>
      </c>
      <c r="J19" s="607" t="str">
        <f t="shared" si="6"/>
        <v/>
      </c>
      <c r="K19" s="606">
        <f t="shared" si="7"/>
        <v>0</v>
      </c>
      <c r="L19" s="139" t="str">
        <f t="shared" si="8"/>
        <v/>
      </c>
      <c r="M19" s="140">
        <f t="shared" si="9"/>
        <v>7</v>
      </c>
      <c r="N19" s="607" t="str">
        <f t="shared" si="10"/>
        <v/>
      </c>
      <c r="O19" s="612">
        <f t="shared" si="11"/>
        <v>0</v>
      </c>
      <c r="P19" s="609" t="str">
        <f t="shared" si="12"/>
        <v/>
      </c>
      <c r="Q19" s="605">
        <f t="shared" si="13"/>
        <v>0</v>
      </c>
      <c r="R19" s="139" t="str">
        <f t="shared" si="14"/>
        <v/>
      </c>
      <c r="S19" s="140">
        <f t="shared" si="15"/>
        <v>7</v>
      </c>
      <c r="T19" s="607" t="str">
        <f t="shared" si="16"/>
        <v/>
      </c>
      <c r="U19" s="606">
        <f t="shared" si="17"/>
        <v>0</v>
      </c>
      <c r="V19" s="607" t="str">
        <f t="shared" si="18"/>
        <v/>
      </c>
      <c r="W19" s="606">
        <f t="shared" si="19"/>
        <v>0</v>
      </c>
      <c r="X19" s="139" t="str">
        <f t="shared" si="20"/>
        <v/>
      </c>
      <c r="Y19" s="140">
        <f t="shared" si="21"/>
        <v>7</v>
      </c>
    </row>
    <row r="20" spans="1:27" s="49" customFormat="1" ht="11.25">
      <c r="A20" s="50">
        <f t="shared" si="22"/>
        <v>18</v>
      </c>
      <c r="B20" s="607" t="str">
        <f t="shared" si="23"/>
        <v/>
      </c>
      <c r="C20" s="606">
        <f t="shared" si="1"/>
        <v>0</v>
      </c>
      <c r="D20" s="139" t="str">
        <f t="shared" si="2"/>
        <v/>
      </c>
      <c r="E20" s="140">
        <f t="shared" si="1"/>
        <v>7</v>
      </c>
      <c r="F20" s="139" t="str">
        <f t="shared" si="3"/>
        <v/>
      </c>
      <c r="G20" s="140">
        <f t="shared" si="1"/>
        <v>7</v>
      </c>
      <c r="H20" s="607" t="str">
        <f t="shared" si="4"/>
        <v/>
      </c>
      <c r="I20" s="606">
        <f t="shared" si="5"/>
        <v>0</v>
      </c>
      <c r="J20" s="137" t="str">
        <f t="shared" si="6"/>
        <v/>
      </c>
      <c r="K20" s="138">
        <f t="shared" si="7"/>
        <v>8</v>
      </c>
      <c r="L20" s="139" t="str">
        <f t="shared" si="8"/>
        <v/>
      </c>
      <c r="M20" s="140">
        <f t="shared" si="9"/>
        <v>7</v>
      </c>
      <c r="N20" s="607" t="str">
        <f t="shared" si="10"/>
        <v/>
      </c>
      <c r="O20" s="612">
        <f t="shared" si="11"/>
        <v>0</v>
      </c>
      <c r="P20" s="609" t="str">
        <f t="shared" si="12"/>
        <v/>
      </c>
      <c r="Q20" s="605">
        <f t="shared" si="13"/>
        <v>0</v>
      </c>
      <c r="R20" s="607" t="str">
        <f t="shared" si="14"/>
        <v/>
      </c>
      <c r="S20" s="606">
        <f t="shared" si="15"/>
        <v>0</v>
      </c>
      <c r="T20" s="607" t="str">
        <f t="shared" si="16"/>
        <v/>
      </c>
      <c r="U20" s="606">
        <f t="shared" si="17"/>
        <v>0</v>
      </c>
      <c r="V20" s="139" t="str">
        <f t="shared" si="18"/>
        <v/>
      </c>
      <c r="W20" s="140">
        <f t="shared" si="19"/>
        <v>7</v>
      </c>
      <c r="X20" s="607" t="str">
        <f t="shared" si="20"/>
        <v/>
      </c>
      <c r="Y20" s="606">
        <f t="shared" si="21"/>
        <v>0</v>
      </c>
      <c r="AA20" s="184" t="s">
        <v>20</v>
      </c>
    </row>
    <row r="21" spans="1:27" s="49" customFormat="1" ht="12" thickBot="1">
      <c r="A21" s="50">
        <f t="shared" si="22"/>
        <v>19</v>
      </c>
      <c r="B21" s="607" t="str">
        <f t="shared" si="23"/>
        <v/>
      </c>
      <c r="C21" s="606">
        <f t="shared" si="1"/>
        <v>0</v>
      </c>
      <c r="D21" s="624" t="str">
        <f t="shared" si="2"/>
        <v/>
      </c>
      <c r="E21" s="140">
        <f t="shared" si="1"/>
        <v>7</v>
      </c>
      <c r="F21" s="139" t="str">
        <f t="shared" si="3"/>
        <v/>
      </c>
      <c r="G21" s="140">
        <f t="shared" si="1"/>
        <v>7</v>
      </c>
      <c r="H21" s="607" t="str">
        <f t="shared" si="4"/>
        <v/>
      </c>
      <c r="I21" s="606">
        <f t="shared" si="5"/>
        <v>0</v>
      </c>
      <c r="J21" s="607" t="str">
        <f t="shared" si="6"/>
        <v/>
      </c>
      <c r="K21" s="606">
        <f t="shared" si="7"/>
        <v>0</v>
      </c>
      <c r="L21" s="607" t="str">
        <f t="shared" si="8"/>
        <v/>
      </c>
      <c r="M21" s="606">
        <f t="shared" si="9"/>
        <v>0</v>
      </c>
      <c r="N21" s="607" t="str">
        <f t="shared" si="10"/>
        <v/>
      </c>
      <c r="O21" s="612">
        <f t="shared" si="11"/>
        <v>0</v>
      </c>
      <c r="P21" s="558" t="str">
        <f t="shared" si="12"/>
        <v/>
      </c>
      <c r="Q21" s="532">
        <f t="shared" si="13"/>
        <v>7</v>
      </c>
      <c r="R21" s="607" t="str">
        <f t="shared" si="14"/>
        <v/>
      </c>
      <c r="S21" s="606">
        <f t="shared" si="15"/>
        <v>0</v>
      </c>
      <c r="T21" s="607" t="str">
        <f t="shared" si="16"/>
        <v/>
      </c>
      <c r="U21" s="606">
        <f t="shared" si="17"/>
        <v>0</v>
      </c>
      <c r="V21" s="139" t="str">
        <f t="shared" si="18"/>
        <v/>
      </c>
      <c r="W21" s="140">
        <f t="shared" si="19"/>
        <v>7</v>
      </c>
      <c r="X21" s="607" t="str">
        <f t="shared" si="20"/>
        <v/>
      </c>
      <c r="Y21" s="606">
        <f t="shared" si="21"/>
        <v>0</v>
      </c>
      <c r="AA21" s="330" t="s">
        <v>114</v>
      </c>
    </row>
    <row r="22" spans="1:27" s="49" customFormat="1" ht="11.25">
      <c r="A22" s="50">
        <f t="shared" si="22"/>
        <v>20</v>
      </c>
      <c r="B22" s="607" t="str">
        <f t="shared" si="23"/>
        <v/>
      </c>
      <c r="C22" s="612">
        <f t="shared" si="1"/>
        <v>0</v>
      </c>
      <c r="D22" s="608" t="str">
        <f t="shared" si="2"/>
        <v/>
      </c>
      <c r="E22" s="605">
        <f t="shared" si="1"/>
        <v>0</v>
      </c>
      <c r="F22" s="607" t="str">
        <f t="shared" si="3"/>
        <v/>
      </c>
      <c r="G22" s="606">
        <f t="shared" si="1"/>
        <v>0</v>
      </c>
      <c r="H22" s="607" t="str">
        <f t="shared" si="4"/>
        <v/>
      </c>
      <c r="I22" s="606">
        <f t="shared" si="5"/>
        <v>0</v>
      </c>
      <c r="J22" s="139" t="str">
        <f t="shared" si="6"/>
        <v/>
      </c>
      <c r="K22" s="140">
        <f t="shared" si="7"/>
        <v>7</v>
      </c>
      <c r="L22" s="607" t="str">
        <f t="shared" si="8"/>
        <v/>
      </c>
      <c r="M22" s="606">
        <f t="shared" si="9"/>
        <v>0</v>
      </c>
      <c r="N22" s="607" t="str">
        <f t="shared" si="10"/>
        <v/>
      </c>
      <c r="O22" s="612">
        <f t="shared" si="11"/>
        <v>0</v>
      </c>
      <c r="P22" s="558" t="str">
        <f t="shared" si="12"/>
        <v/>
      </c>
      <c r="Q22" s="532">
        <f t="shared" si="13"/>
        <v>7</v>
      </c>
      <c r="R22" s="607" t="str">
        <f t="shared" si="14"/>
        <v/>
      </c>
      <c r="S22" s="606">
        <f t="shared" si="15"/>
        <v>0</v>
      </c>
      <c r="T22" s="607" t="str">
        <f t="shared" si="16"/>
        <v/>
      </c>
      <c r="U22" s="606">
        <f t="shared" si="17"/>
        <v>0</v>
      </c>
      <c r="V22" s="607" t="str">
        <f t="shared" si="18"/>
        <v/>
      </c>
      <c r="W22" s="606">
        <f t="shared" si="19"/>
        <v>0</v>
      </c>
      <c r="X22" s="607" t="str">
        <f t="shared" si="20"/>
        <v/>
      </c>
      <c r="Y22" s="606">
        <f t="shared" si="21"/>
        <v>0</v>
      </c>
      <c r="AA22" s="133" t="s">
        <v>115</v>
      </c>
    </row>
    <row r="23" spans="1:27" s="49" customFormat="1" ht="12" thickBot="1">
      <c r="A23" s="50">
        <f t="shared" si="22"/>
        <v>21</v>
      </c>
      <c r="B23" s="139" t="str">
        <f t="shared" si="23"/>
        <v/>
      </c>
      <c r="C23" s="531">
        <f t="shared" si="1"/>
        <v>7</v>
      </c>
      <c r="D23" s="609" t="str">
        <f t="shared" si="2"/>
        <v/>
      </c>
      <c r="E23" s="605">
        <f t="shared" si="1"/>
        <v>0</v>
      </c>
      <c r="F23" s="607" t="str">
        <f t="shared" si="3"/>
        <v/>
      </c>
      <c r="G23" s="606">
        <f t="shared" si="1"/>
        <v>0</v>
      </c>
      <c r="H23" s="607" t="str">
        <f t="shared" si="4"/>
        <v/>
      </c>
      <c r="I23" s="606">
        <f t="shared" si="5"/>
        <v>0</v>
      </c>
      <c r="J23" s="139" t="str">
        <f t="shared" si="6"/>
        <v/>
      </c>
      <c r="K23" s="140">
        <f t="shared" si="7"/>
        <v>7</v>
      </c>
      <c r="L23" s="607" t="str">
        <f t="shared" si="8"/>
        <v/>
      </c>
      <c r="M23" s="606">
        <f t="shared" si="9"/>
        <v>0</v>
      </c>
      <c r="N23" s="607" t="str">
        <f t="shared" si="10"/>
        <v/>
      </c>
      <c r="O23" s="612">
        <f t="shared" si="11"/>
        <v>0</v>
      </c>
      <c r="P23" s="609" t="str">
        <f t="shared" si="12"/>
        <v/>
      </c>
      <c r="Q23" s="605">
        <f t="shared" si="13"/>
        <v>0</v>
      </c>
      <c r="R23" s="607" t="str">
        <f t="shared" si="14"/>
        <v/>
      </c>
      <c r="S23" s="606">
        <f t="shared" si="15"/>
        <v>0</v>
      </c>
      <c r="T23" s="139" t="str">
        <f t="shared" si="16"/>
        <v/>
      </c>
      <c r="U23" s="140">
        <f t="shared" si="17"/>
        <v>7</v>
      </c>
      <c r="V23" s="613" t="str">
        <f t="shared" si="18"/>
        <v/>
      </c>
      <c r="W23" s="606">
        <f t="shared" si="19"/>
        <v>0</v>
      </c>
      <c r="X23" s="607" t="str">
        <f t="shared" si="20"/>
        <v/>
      </c>
      <c r="Y23" s="606">
        <f t="shared" si="21"/>
        <v>0</v>
      </c>
    </row>
    <row r="24" spans="1:27" s="49" customFormat="1" ht="12" thickBot="1">
      <c r="A24" s="50">
        <f t="shared" si="22"/>
        <v>22</v>
      </c>
      <c r="B24" s="139" t="str">
        <f t="shared" si="23"/>
        <v/>
      </c>
      <c r="C24" s="531">
        <f t="shared" si="1"/>
        <v>7</v>
      </c>
      <c r="D24" s="609" t="str">
        <f t="shared" si="2"/>
        <v/>
      </c>
      <c r="E24" s="605">
        <f t="shared" si="1"/>
        <v>0</v>
      </c>
      <c r="F24" s="607" t="str">
        <f t="shared" si="3"/>
        <v/>
      </c>
      <c r="G24" s="606">
        <f t="shared" si="1"/>
        <v>0</v>
      </c>
      <c r="H24" s="139" t="str">
        <f t="shared" si="4"/>
        <v/>
      </c>
      <c r="I24" s="140">
        <f t="shared" si="5"/>
        <v>7</v>
      </c>
      <c r="J24" s="607" t="str">
        <f t="shared" si="6"/>
        <v/>
      </c>
      <c r="K24" s="606">
        <f t="shared" si="7"/>
        <v>0</v>
      </c>
      <c r="L24" s="607" t="str">
        <f t="shared" si="8"/>
        <v/>
      </c>
      <c r="M24" s="606">
        <f t="shared" si="9"/>
        <v>0</v>
      </c>
      <c r="N24" s="139" t="str">
        <f t="shared" si="10"/>
        <v/>
      </c>
      <c r="O24" s="531">
        <f t="shared" si="11"/>
        <v>7</v>
      </c>
      <c r="P24" s="609" t="str">
        <f t="shared" si="12"/>
        <v/>
      </c>
      <c r="Q24" s="605">
        <f t="shared" si="13"/>
        <v>0</v>
      </c>
      <c r="R24" s="607" t="str">
        <f t="shared" si="14"/>
        <v/>
      </c>
      <c r="S24" s="606">
        <f t="shared" si="15"/>
        <v>0</v>
      </c>
      <c r="T24" s="139" t="str">
        <f t="shared" si="16"/>
        <v/>
      </c>
      <c r="U24" s="531">
        <f t="shared" si="17"/>
        <v>7</v>
      </c>
      <c r="V24" s="640" t="str">
        <f t="shared" si="18"/>
        <v/>
      </c>
      <c r="W24" s="605">
        <f t="shared" si="19"/>
        <v>0</v>
      </c>
      <c r="X24" s="607" t="str">
        <f t="shared" si="20"/>
        <v/>
      </c>
      <c r="Y24" s="606">
        <f t="shared" si="21"/>
        <v>0</v>
      </c>
      <c r="AA24" s="329" t="s">
        <v>47</v>
      </c>
    </row>
    <row r="25" spans="1:27" s="49" customFormat="1" ht="11.25">
      <c r="A25" s="50">
        <f t="shared" si="22"/>
        <v>23</v>
      </c>
      <c r="B25" s="607" t="str">
        <f t="shared" si="23"/>
        <v/>
      </c>
      <c r="C25" s="612">
        <f t="shared" si="1"/>
        <v>0</v>
      </c>
      <c r="D25" s="609" t="str">
        <f t="shared" si="2"/>
        <v/>
      </c>
      <c r="E25" s="605">
        <f t="shared" si="1"/>
        <v>0</v>
      </c>
      <c r="F25" s="607" t="str">
        <f t="shared" si="3"/>
        <v/>
      </c>
      <c r="G25" s="606">
        <f t="shared" si="1"/>
        <v>0</v>
      </c>
      <c r="H25" s="139" t="str">
        <f t="shared" si="4"/>
        <v/>
      </c>
      <c r="I25" s="140">
        <f t="shared" si="5"/>
        <v>7</v>
      </c>
      <c r="J25" s="607" t="str">
        <f t="shared" si="6"/>
        <v/>
      </c>
      <c r="K25" s="606">
        <f t="shared" si="7"/>
        <v>0</v>
      </c>
      <c r="L25" s="607" t="str">
        <f t="shared" si="8"/>
        <v/>
      </c>
      <c r="M25" s="606">
        <f t="shared" si="9"/>
        <v>0</v>
      </c>
      <c r="N25" s="139" t="str">
        <f t="shared" si="10"/>
        <v/>
      </c>
      <c r="O25" s="531">
        <f t="shared" si="11"/>
        <v>7</v>
      </c>
      <c r="P25" s="609" t="str">
        <f t="shared" si="12"/>
        <v/>
      </c>
      <c r="Q25" s="605">
        <f t="shared" si="13"/>
        <v>0</v>
      </c>
      <c r="R25" s="139" t="str">
        <f t="shared" si="14"/>
        <v/>
      </c>
      <c r="S25" s="140">
        <f t="shared" si="15"/>
        <v>7</v>
      </c>
      <c r="T25" s="607" t="str">
        <f t="shared" si="16"/>
        <v/>
      </c>
      <c r="U25" s="606">
        <f t="shared" si="17"/>
        <v>0</v>
      </c>
      <c r="V25" s="614" t="str">
        <f t="shared" si="18"/>
        <v/>
      </c>
      <c r="W25" s="606">
        <f t="shared" si="19"/>
        <v>0</v>
      </c>
      <c r="X25" s="139" t="str">
        <f t="shared" si="20"/>
        <v/>
      </c>
      <c r="Y25" s="140">
        <f t="shared" si="21"/>
        <v>7</v>
      </c>
    </row>
    <row r="26" spans="1:27" s="49" customFormat="1" ht="12" thickBot="1">
      <c r="A26" s="50">
        <f t="shared" si="22"/>
        <v>24</v>
      </c>
      <c r="B26" s="607" t="str">
        <f t="shared" si="23"/>
        <v/>
      </c>
      <c r="C26" s="612">
        <f t="shared" si="1"/>
        <v>0</v>
      </c>
      <c r="D26" s="610" t="str">
        <f t="shared" si="2"/>
        <v/>
      </c>
      <c r="E26" s="605">
        <f t="shared" si="1"/>
        <v>0</v>
      </c>
      <c r="F26" s="607" t="str">
        <f t="shared" si="3"/>
        <v/>
      </c>
      <c r="G26" s="606">
        <f t="shared" si="1"/>
        <v>0</v>
      </c>
      <c r="H26" s="607" t="str">
        <f t="shared" si="4"/>
        <v/>
      </c>
      <c r="I26" s="606">
        <f t="shared" si="5"/>
        <v>0</v>
      </c>
      <c r="J26" s="607" t="str">
        <f t="shared" si="6"/>
        <v/>
      </c>
      <c r="K26" s="606">
        <f t="shared" si="7"/>
        <v>0</v>
      </c>
      <c r="L26" s="139" t="str">
        <f t="shared" si="8"/>
        <v/>
      </c>
      <c r="M26" s="140">
        <f t="shared" si="9"/>
        <v>7</v>
      </c>
      <c r="N26" s="607" t="str">
        <f t="shared" si="10"/>
        <v/>
      </c>
      <c r="O26" s="612">
        <f t="shared" si="11"/>
        <v>0</v>
      </c>
      <c r="P26" s="609" t="str">
        <f t="shared" si="12"/>
        <v/>
      </c>
      <c r="Q26" s="605">
        <f t="shared" si="13"/>
        <v>0</v>
      </c>
      <c r="R26" s="139" t="str">
        <f t="shared" si="14"/>
        <v/>
      </c>
      <c r="S26" s="140">
        <f t="shared" si="15"/>
        <v>7</v>
      </c>
      <c r="T26" s="607" t="str">
        <f t="shared" si="16"/>
        <v/>
      </c>
      <c r="U26" s="606">
        <f t="shared" si="17"/>
        <v>0</v>
      </c>
      <c r="V26" s="607" t="str">
        <f t="shared" si="18"/>
        <v/>
      </c>
      <c r="W26" s="606">
        <f t="shared" si="19"/>
        <v>0</v>
      </c>
      <c r="X26" s="624" t="str">
        <f t="shared" si="20"/>
        <v/>
      </c>
      <c r="Y26" s="140">
        <f t="shared" si="21"/>
        <v>7</v>
      </c>
    </row>
    <row r="27" spans="1:27" s="49" customFormat="1" ht="12" thickBot="1">
      <c r="A27" s="50">
        <f t="shared" si="22"/>
        <v>25</v>
      </c>
      <c r="B27" s="607" t="str">
        <f t="shared" si="23"/>
        <v/>
      </c>
      <c r="C27" s="606">
        <f t="shared" si="1"/>
        <v>0</v>
      </c>
      <c r="D27" s="625" t="str">
        <f t="shared" si="2"/>
        <v/>
      </c>
      <c r="E27" s="140">
        <f t="shared" si="1"/>
        <v>7</v>
      </c>
      <c r="F27" s="139" t="str">
        <f t="shared" si="3"/>
        <v/>
      </c>
      <c r="G27" s="140">
        <f t="shared" si="1"/>
        <v>7</v>
      </c>
      <c r="H27" s="607" t="str">
        <f t="shared" si="4"/>
        <v/>
      </c>
      <c r="I27" s="606">
        <f t="shared" si="5"/>
        <v>0</v>
      </c>
      <c r="J27" s="607" t="str">
        <f t="shared" si="6"/>
        <v/>
      </c>
      <c r="K27" s="606">
        <f t="shared" si="7"/>
        <v>0</v>
      </c>
      <c r="L27" s="139" t="str">
        <f t="shared" si="8"/>
        <v/>
      </c>
      <c r="M27" s="140">
        <f t="shared" si="9"/>
        <v>7</v>
      </c>
      <c r="N27" s="607" t="str">
        <f t="shared" si="10"/>
        <v/>
      </c>
      <c r="O27" s="612">
        <f t="shared" si="11"/>
        <v>0</v>
      </c>
      <c r="P27" s="609" t="str">
        <f t="shared" si="12"/>
        <v/>
      </c>
      <c r="Q27" s="605">
        <f t="shared" si="13"/>
        <v>0</v>
      </c>
      <c r="R27" s="607" t="str">
        <f t="shared" si="14"/>
        <v/>
      </c>
      <c r="S27" s="606">
        <f t="shared" si="15"/>
        <v>0</v>
      </c>
      <c r="T27" s="607" t="str">
        <f t="shared" si="16"/>
        <v/>
      </c>
      <c r="U27" s="606">
        <f t="shared" si="17"/>
        <v>0</v>
      </c>
      <c r="V27" s="139" t="str">
        <f t="shared" si="18"/>
        <v/>
      </c>
      <c r="W27" s="531">
        <f t="shared" si="19"/>
        <v>7</v>
      </c>
      <c r="X27" s="556" t="str">
        <f t="shared" si="20"/>
        <v/>
      </c>
      <c r="Y27" s="534">
        <f t="shared" si="21"/>
        <v>8</v>
      </c>
      <c r="AA27" s="332" t="s">
        <v>2</v>
      </c>
    </row>
    <row r="28" spans="1:27" s="49" customFormat="1" ht="11.25">
      <c r="A28" s="50">
        <f t="shared" si="22"/>
        <v>26</v>
      </c>
      <c r="B28" s="607" t="str">
        <f t="shared" si="23"/>
        <v/>
      </c>
      <c r="C28" s="606">
        <f t="shared" si="1"/>
        <v>0</v>
      </c>
      <c r="D28" s="139" t="str">
        <f t="shared" si="2"/>
        <v/>
      </c>
      <c r="E28" s="140">
        <f t="shared" si="1"/>
        <v>7</v>
      </c>
      <c r="F28" s="139" t="str">
        <f t="shared" si="3"/>
        <v/>
      </c>
      <c r="G28" s="140">
        <f t="shared" si="1"/>
        <v>7</v>
      </c>
      <c r="H28" s="607" t="str">
        <f t="shared" si="4"/>
        <v/>
      </c>
      <c r="I28" s="606">
        <f t="shared" si="5"/>
        <v>0</v>
      </c>
      <c r="J28" s="607" t="str">
        <f t="shared" si="6"/>
        <v/>
      </c>
      <c r="K28" s="606">
        <f t="shared" si="7"/>
        <v>0</v>
      </c>
      <c r="L28" s="607" t="str">
        <f t="shared" si="8"/>
        <v/>
      </c>
      <c r="M28" s="606">
        <f t="shared" si="9"/>
        <v>0</v>
      </c>
      <c r="N28" s="607" t="str">
        <f t="shared" si="10"/>
        <v/>
      </c>
      <c r="O28" s="612">
        <f t="shared" si="11"/>
        <v>0</v>
      </c>
      <c r="P28" s="558" t="str">
        <f t="shared" si="12"/>
        <v/>
      </c>
      <c r="Q28" s="532">
        <f t="shared" si="13"/>
        <v>7</v>
      </c>
      <c r="R28" s="607" t="str">
        <f t="shared" si="14"/>
        <v/>
      </c>
      <c r="S28" s="606">
        <f t="shared" si="15"/>
        <v>0</v>
      </c>
      <c r="T28" s="607" t="str">
        <f t="shared" si="16"/>
        <v/>
      </c>
      <c r="U28" s="606">
        <f t="shared" si="17"/>
        <v>0</v>
      </c>
      <c r="V28" s="139" t="str">
        <f t="shared" si="18"/>
        <v/>
      </c>
      <c r="W28" s="531">
        <f t="shared" si="19"/>
        <v>7</v>
      </c>
      <c r="X28" s="557" t="str">
        <f t="shared" si="20"/>
        <v/>
      </c>
      <c r="Y28" s="534">
        <f t="shared" si="21"/>
        <v>8</v>
      </c>
    </row>
    <row r="29" spans="1:27" s="49" customFormat="1" ht="11.25">
      <c r="A29" s="50">
        <f t="shared" si="22"/>
        <v>27</v>
      </c>
      <c r="B29" s="607" t="str">
        <f t="shared" si="23"/>
        <v/>
      </c>
      <c r="C29" s="606">
        <f t="shared" si="1"/>
        <v>0</v>
      </c>
      <c r="D29" s="607" t="str">
        <f t="shared" si="2"/>
        <v/>
      </c>
      <c r="E29" s="606">
        <f t="shared" si="1"/>
        <v>0</v>
      </c>
      <c r="F29" s="607" t="str">
        <f t="shared" si="3"/>
        <v/>
      </c>
      <c r="G29" s="606">
        <f t="shared" si="1"/>
        <v>0</v>
      </c>
      <c r="H29" s="607" t="str">
        <f t="shared" si="4"/>
        <v/>
      </c>
      <c r="I29" s="606">
        <f t="shared" si="5"/>
        <v>0</v>
      </c>
      <c r="J29" s="139" t="str">
        <f t="shared" si="6"/>
        <v/>
      </c>
      <c r="K29" s="140">
        <f t="shared" si="7"/>
        <v>7</v>
      </c>
      <c r="L29" s="607" t="str">
        <f t="shared" si="8"/>
        <v/>
      </c>
      <c r="M29" s="606">
        <f t="shared" si="9"/>
        <v>0</v>
      </c>
      <c r="N29" s="607" t="str">
        <f t="shared" si="10"/>
        <v/>
      </c>
      <c r="O29" s="612">
        <f t="shared" si="11"/>
        <v>0</v>
      </c>
      <c r="P29" s="558" t="str">
        <f t="shared" si="12"/>
        <v/>
      </c>
      <c r="Q29" s="532">
        <f t="shared" si="13"/>
        <v>7</v>
      </c>
      <c r="R29" s="607" t="str">
        <f t="shared" si="14"/>
        <v/>
      </c>
      <c r="S29" s="606">
        <f t="shared" si="15"/>
        <v>0</v>
      </c>
      <c r="T29" s="607" t="str">
        <f t="shared" si="16"/>
        <v/>
      </c>
      <c r="U29" s="606">
        <f t="shared" si="17"/>
        <v>0</v>
      </c>
      <c r="V29" s="607" t="str">
        <f t="shared" si="18"/>
        <v/>
      </c>
      <c r="W29" s="612">
        <f t="shared" si="19"/>
        <v>0</v>
      </c>
      <c r="X29" s="609" t="str">
        <f t="shared" si="20"/>
        <v/>
      </c>
      <c r="Y29" s="605">
        <f t="shared" si="21"/>
        <v>0</v>
      </c>
    </row>
    <row r="30" spans="1:27" s="49" customFormat="1" ht="11.25">
      <c r="A30" s="50">
        <f t="shared" si="22"/>
        <v>28</v>
      </c>
      <c r="B30" s="139" t="str">
        <f t="shared" si="23"/>
        <v/>
      </c>
      <c r="C30" s="140">
        <f t="shared" si="1"/>
        <v>7</v>
      </c>
      <c r="D30" s="607" t="str">
        <f t="shared" si="2"/>
        <v/>
      </c>
      <c r="E30" s="606">
        <f t="shared" si="1"/>
        <v>0</v>
      </c>
      <c r="F30" s="607" t="str">
        <f t="shared" si="3"/>
        <v/>
      </c>
      <c r="G30" s="606">
        <f t="shared" si="1"/>
        <v>0</v>
      </c>
      <c r="H30" s="607" t="str">
        <f t="shared" si="4"/>
        <v/>
      </c>
      <c r="I30" s="606">
        <f t="shared" si="5"/>
        <v>0</v>
      </c>
      <c r="J30" s="137" t="str">
        <f t="shared" si="6"/>
        <v/>
      </c>
      <c r="K30" s="138">
        <f t="shared" si="7"/>
        <v>8</v>
      </c>
      <c r="L30" s="607" t="str">
        <f t="shared" si="8"/>
        <v/>
      </c>
      <c r="M30" s="606">
        <f t="shared" si="9"/>
        <v>0</v>
      </c>
      <c r="N30" s="607" t="str">
        <f t="shared" si="10"/>
        <v/>
      </c>
      <c r="O30" s="612">
        <f t="shared" si="11"/>
        <v>0</v>
      </c>
      <c r="P30" s="609" t="str">
        <f t="shared" si="12"/>
        <v/>
      </c>
      <c r="Q30" s="605">
        <f t="shared" si="13"/>
        <v>0</v>
      </c>
      <c r="R30" s="607" t="str">
        <f t="shared" si="14"/>
        <v/>
      </c>
      <c r="S30" s="606">
        <f t="shared" si="15"/>
        <v>0</v>
      </c>
      <c r="T30" s="139" t="str">
        <f t="shared" si="16"/>
        <v/>
      </c>
      <c r="U30" s="140">
        <f t="shared" si="17"/>
        <v>7</v>
      </c>
      <c r="V30" s="607" t="str">
        <f t="shared" si="18"/>
        <v/>
      </c>
      <c r="W30" s="612">
        <f t="shared" si="19"/>
        <v>0</v>
      </c>
      <c r="X30" s="609" t="str">
        <f t="shared" si="20"/>
        <v/>
      </c>
      <c r="Y30" s="605">
        <f t="shared" si="21"/>
        <v>0</v>
      </c>
    </row>
    <row r="31" spans="1:27" s="49" customFormat="1" ht="12" thickBot="1">
      <c r="A31" s="50">
        <f t="shared" si="22"/>
        <v>29</v>
      </c>
      <c r="B31" s="139" t="str">
        <f t="shared" si="23"/>
        <v/>
      </c>
      <c r="C31" s="140">
        <f t="shared" si="1"/>
        <v>7</v>
      </c>
      <c r="D31" s="136" t="str">
        <f t="shared" si="2"/>
        <v>-</v>
      </c>
      <c r="E31" s="599" t="str">
        <f t="shared" si="1"/>
        <v/>
      </c>
      <c r="F31" s="607" t="str">
        <f t="shared" si="3"/>
        <v/>
      </c>
      <c r="G31" s="606">
        <f t="shared" si="1"/>
        <v>0</v>
      </c>
      <c r="H31" s="139" t="str">
        <f t="shared" si="4"/>
        <v/>
      </c>
      <c r="I31" s="140">
        <f t="shared" si="5"/>
        <v>7</v>
      </c>
      <c r="J31" s="623" t="str">
        <f t="shared" si="6"/>
        <v/>
      </c>
      <c r="K31" s="138">
        <f t="shared" si="7"/>
        <v>8</v>
      </c>
      <c r="L31" s="607" t="str">
        <f t="shared" si="8"/>
        <v/>
      </c>
      <c r="M31" s="606">
        <f t="shared" si="9"/>
        <v>0</v>
      </c>
      <c r="N31" s="139" t="str">
        <f t="shared" si="10"/>
        <v/>
      </c>
      <c r="O31" s="531">
        <f t="shared" si="11"/>
        <v>7</v>
      </c>
      <c r="P31" s="609" t="str">
        <f t="shared" si="12"/>
        <v/>
      </c>
      <c r="Q31" s="605">
        <f t="shared" si="13"/>
        <v>0</v>
      </c>
      <c r="R31" s="607" t="str">
        <f t="shared" si="14"/>
        <v/>
      </c>
      <c r="S31" s="606">
        <f t="shared" si="15"/>
        <v>0</v>
      </c>
      <c r="T31" s="624" t="str">
        <f t="shared" si="16"/>
        <v/>
      </c>
      <c r="U31" s="140">
        <f t="shared" si="17"/>
        <v>7</v>
      </c>
      <c r="V31" s="607" t="str">
        <f t="shared" si="18"/>
        <v/>
      </c>
      <c r="W31" s="612">
        <f t="shared" si="19"/>
        <v>0</v>
      </c>
      <c r="X31" s="609" t="str">
        <f t="shared" si="20"/>
        <v/>
      </c>
      <c r="Y31" s="605">
        <f t="shared" si="21"/>
        <v>0</v>
      </c>
    </row>
    <row r="32" spans="1:27" s="49" customFormat="1" ht="12" thickBot="1">
      <c r="A32" s="50">
        <f t="shared" si="22"/>
        <v>30</v>
      </c>
      <c r="B32" s="607" t="str">
        <f t="shared" si="23"/>
        <v/>
      </c>
      <c r="C32" s="606">
        <f t="shared" si="1"/>
        <v>0</v>
      </c>
      <c r="D32" s="136" t="str">
        <f t="shared" si="2"/>
        <v>-</v>
      </c>
      <c r="E32" s="599" t="str">
        <f t="shared" si="1"/>
        <v/>
      </c>
      <c r="F32" s="607" t="str">
        <f t="shared" si="3"/>
        <v/>
      </c>
      <c r="G32" s="606">
        <f t="shared" si="1"/>
        <v>0</v>
      </c>
      <c r="H32" s="139" t="str">
        <f t="shared" si="4"/>
        <v/>
      </c>
      <c r="I32" s="531">
        <f t="shared" si="5"/>
        <v>7</v>
      </c>
      <c r="J32" s="608" t="str">
        <f t="shared" si="6"/>
        <v/>
      </c>
      <c r="K32" s="605">
        <f t="shared" si="7"/>
        <v>0</v>
      </c>
      <c r="L32" s="607" t="str">
        <f t="shared" si="8"/>
        <v/>
      </c>
      <c r="M32" s="606">
        <f t="shared" si="9"/>
        <v>0</v>
      </c>
      <c r="N32" s="624" t="str">
        <f t="shared" si="10"/>
        <v/>
      </c>
      <c r="O32" s="531">
        <f t="shared" si="11"/>
        <v>7</v>
      </c>
      <c r="P32" s="609" t="str">
        <f t="shared" si="12"/>
        <v/>
      </c>
      <c r="Q32" s="605">
        <f t="shared" si="13"/>
        <v>0</v>
      </c>
      <c r="R32" s="139" t="str">
        <f t="shared" si="14"/>
        <v/>
      </c>
      <c r="S32" s="531">
        <f t="shared" si="15"/>
        <v>7</v>
      </c>
      <c r="T32" s="608" t="str">
        <f t="shared" si="16"/>
        <v/>
      </c>
      <c r="U32" s="605">
        <f t="shared" si="17"/>
        <v>0</v>
      </c>
      <c r="V32" s="607" t="str">
        <f t="shared" si="18"/>
        <v/>
      </c>
      <c r="W32" s="612">
        <f t="shared" si="19"/>
        <v>0</v>
      </c>
      <c r="X32" s="558" t="str">
        <f t="shared" si="20"/>
        <v/>
      </c>
      <c r="Y32" s="532">
        <f t="shared" si="21"/>
        <v>7</v>
      </c>
    </row>
    <row r="33" spans="1:27" s="49" customFormat="1" ht="12" thickBot="1">
      <c r="A33" s="50">
        <f t="shared" si="22"/>
        <v>31</v>
      </c>
      <c r="B33" s="607" t="str">
        <f t="shared" si="23"/>
        <v/>
      </c>
      <c r="C33" s="606">
        <f>IF(MONTH(DATE(YEAR(C$2),MONTH(C$2),$A33))=MONTH(C$2),VLOOKUP(DATE(YEAR(C$2),MONTH(C$2),$A33),db_Jahr,gSP_KalTyp,FALSE),"")</f>
        <v>0</v>
      </c>
      <c r="D33" s="136" t="str">
        <f t="shared" si="2"/>
        <v>-</v>
      </c>
      <c r="E33" s="599" t="str">
        <f>IF(MONTH(DATE(YEAR(E$2),MONTH(E$2),$A33))=MONTH(E$2),VLOOKUP(DATE(YEAR(E$2),MONTH(E$2),$A33),db_Jahr,gSP_KalTyp,FALSE),"")</f>
        <v/>
      </c>
      <c r="F33" s="607" t="str">
        <f t="shared" si="3"/>
        <v/>
      </c>
      <c r="G33" s="606">
        <f>IF(MONTH(DATE(YEAR(G$2),MONTH(G$2),$A33))=MONTH(G$2),VLOOKUP(DATE(YEAR(G$2),MONTH(G$2),$A33),db_Jahr,gSP_KalTyp,FALSE),"")</f>
        <v>0</v>
      </c>
      <c r="H33" s="136" t="str">
        <f t="shared" si="4"/>
        <v>-</v>
      </c>
      <c r="I33" s="535" t="str">
        <f>IF(MONTH(DATE(YEAR(I$2),MONTH(I$2),$A33))=MONTH(I$2),VLOOKUP(DATE(YEAR(I$2),MONTH(I$2),$A33),db_Jahr,gSP_KalTyp,FALSE),"")</f>
        <v/>
      </c>
      <c r="J33" s="610" t="str">
        <f t="shared" si="6"/>
        <v/>
      </c>
      <c r="K33" s="605">
        <f>IF(MONTH(DATE(YEAR(K$2),MONTH(K$2),$A33))=MONTH(K$2),VLOOKUP(DATE(YEAR(K$2),MONTH(K$2),$A33),db_Jahr,gSP_KalTyp,FALSE),"")</f>
        <v>0</v>
      </c>
      <c r="L33" s="136" t="str">
        <f t="shared" si="8"/>
        <v>-</v>
      </c>
      <c r="M33" s="535" t="str">
        <f>IF(MONTH(DATE(YEAR(M$2),MONTH(M$2),$A33))=MONTH(M$2),VLOOKUP(DATE(YEAR(M$2),MONTH(M$2),$A33),db_Jahr,gSP_KalTyp,FALSE),"")</f>
        <v/>
      </c>
      <c r="N33" s="721" t="str">
        <f t="shared" si="10"/>
        <v/>
      </c>
      <c r="O33" s="617">
        <f>IF(MONTH(DATE(YEAR(O$2),MONTH(O$2),$A33))=MONTH(O$2),VLOOKUP(DATE(YEAR(O$2),MONTH(O$2),$A33),db_Jahr,gSP_KalTyp,FALSE),"")</f>
        <v>0</v>
      </c>
      <c r="P33" s="619" t="str">
        <f t="shared" si="12"/>
        <v/>
      </c>
      <c r="Q33" s="605">
        <f>IF(MONTH(DATE(YEAR(Q$2),MONTH(Q$2),$A33))=MONTH(Q$2),VLOOKUP(DATE(YEAR(Q$2),MONTH(Q$2),$A33),db_Jahr,gSP_KalTyp,FALSE),"")</f>
        <v>0</v>
      </c>
      <c r="R33" s="136" t="str">
        <f t="shared" si="14"/>
        <v>-</v>
      </c>
      <c r="S33" s="535" t="str">
        <f>IF(MONTH(DATE(YEAR(S$2),MONTH(S$2),$A33))=MONTH(S$2),VLOOKUP(DATE(YEAR(S$2),MONTH(S$2),$A33),db_Jahr,gSP_KalTyp,FALSE),"")</f>
        <v/>
      </c>
      <c r="T33" s="610" t="str">
        <f t="shared" si="16"/>
        <v/>
      </c>
      <c r="U33" s="605">
        <f>IF(MONTH(DATE(YEAR(U$2),MONTH(U$2),$A33))=MONTH(U$2),VLOOKUP(DATE(YEAR(U$2),MONTH(U$2),$A33),db_Jahr,gSP_KalTyp,FALSE),"")</f>
        <v>0</v>
      </c>
      <c r="V33" s="136" t="str">
        <f t="shared" si="18"/>
        <v>-</v>
      </c>
      <c r="W33" s="535" t="str">
        <f>IF(MONTH(DATE(YEAR(W$2),MONTH(W$2),$A33))=MONTH(W$2),VLOOKUP(DATE(YEAR(W$2),MONTH(W$2),$A33),db_Jahr,gSP_KalTyp,FALSE),"")</f>
        <v/>
      </c>
      <c r="X33" s="533" t="str">
        <f t="shared" si="20"/>
        <v/>
      </c>
      <c r="Y33" s="532">
        <f>IF(MONTH(DATE(YEAR(Y$2),MONTH(Y$2),$A33))=MONTH(Y$2),VLOOKUP(DATE(YEAR(Y$2),MONTH(Y$2),$A33),db_Jahr,gSP_KalTyp,FALSE),"")</f>
        <v>7</v>
      </c>
    </row>
    <row r="34" spans="1:27" ht="5.25" customHeight="1"/>
    <row r="35" spans="1:27">
      <c r="E35" s="10"/>
      <c r="G35" s="10"/>
      <c r="I35" s="10"/>
      <c r="K35" s="10"/>
      <c r="M35" s="10"/>
      <c r="O35" s="10"/>
      <c r="Q35" s="10"/>
      <c r="S35" s="10"/>
      <c r="U35" s="10"/>
      <c r="V35" s="10"/>
      <c r="W35" s="10"/>
      <c r="Y35" s="10"/>
      <c r="AA35" s="529" t="str">
        <f ca="1">CELL("filename",AA35)</f>
        <v>D:\_pdata\GLAZ\andi\[vGlaz2023.xlsm]Kalender</v>
      </c>
    </row>
    <row r="36" spans="1:27" hidden="1">
      <c r="B36" s="10">
        <v>0</v>
      </c>
      <c r="C36" s="134"/>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134"/>
      <c r="G40" s="134"/>
      <c r="I40" s="134"/>
      <c r="K40" s="134"/>
      <c r="M40" s="134"/>
      <c r="O40" s="134"/>
      <c r="Q40" s="134"/>
      <c r="S40" s="134"/>
      <c r="U40" s="134"/>
      <c r="W40" s="134"/>
      <c r="Y40" s="134"/>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2" sqref="C2"/>
    </sheetView>
  </sheetViews>
  <sheetFormatPr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549" t="s">
        <v>82</v>
      </c>
      <c r="C2" s="574">
        <v>43465</v>
      </c>
      <c r="D2" t="s">
        <v>83</v>
      </c>
      <c r="L2" s="134"/>
    </row>
    <row r="3" spans="1:37" ht="13.5" thickBot="1">
      <c r="B3" s="547" t="s">
        <v>202</v>
      </c>
      <c r="C3" s="546">
        <v>43495</v>
      </c>
      <c r="D3" t="s">
        <v>203</v>
      </c>
      <c r="L3" s="134"/>
    </row>
    <row r="4" spans="1:37" ht="5.0999999999999996" customHeight="1">
      <c r="B4" s="547"/>
      <c r="C4" s="563">
        <f>DATE(YEAR(A_Aufgabendatum),MONTH(A_Aufgabendatum)+1,1)</f>
        <v>43496</v>
      </c>
    </row>
    <row r="5" spans="1:37">
      <c r="B5" s="564"/>
      <c r="C5" s="564">
        <f>C2</f>
        <v>43465</v>
      </c>
      <c r="D5" s="564">
        <f t="shared" ref="D5:AG5" si="0">IF(AND(C5&gt;0,C5&lt;A_Aufgabenende),C5+1,0)</f>
        <v>43466</v>
      </c>
      <c r="E5" s="564">
        <f t="shared" si="0"/>
        <v>43467</v>
      </c>
      <c r="F5" s="564">
        <f t="shared" si="0"/>
        <v>43468</v>
      </c>
      <c r="G5" s="564">
        <f t="shared" si="0"/>
        <v>43469</v>
      </c>
      <c r="H5" s="564">
        <f t="shared" si="0"/>
        <v>43470</v>
      </c>
      <c r="I5" s="564">
        <f t="shared" si="0"/>
        <v>43471</v>
      </c>
      <c r="J5" s="564">
        <f t="shared" si="0"/>
        <v>43472</v>
      </c>
      <c r="K5" s="564">
        <f t="shared" si="0"/>
        <v>43473</v>
      </c>
      <c r="L5" s="564">
        <f t="shared" si="0"/>
        <v>43474</v>
      </c>
      <c r="M5" s="564">
        <f t="shared" si="0"/>
        <v>43475</v>
      </c>
      <c r="N5" s="564">
        <f t="shared" si="0"/>
        <v>43476</v>
      </c>
      <c r="O5" s="564">
        <f t="shared" si="0"/>
        <v>43477</v>
      </c>
      <c r="P5" s="564">
        <f t="shared" si="0"/>
        <v>43478</v>
      </c>
      <c r="Q5" s="564">
        <f t="shared" si="0"/>
        <v>43479</v>
      </c>
      <c r="R5" s="564">
        <f t="shared" si="0"/>
        <v>43480</v>
      </c>
      <c r="S5" s="564">
        <f t="shared" si="0"/>
        <v>43481</v>
      </c>
      <c r="T5" s="564">
        <f t="shared" si="0"/>
        <v>43482</v>
      </c>
      <c r="U5" s="564">
        <f t="shared" si="0"/>
        <v>43483</v>
      </c>
      <c r="V5" s="564">
        <f t="shared" si="0"/>
        <v>43484</v>
      </c>
      <c r="W5" s="564">
        <f t="shared" si="0"/>
        <v>43485</v>
      </c>
      <c r="X5" s="564">
        <f t="shared" si="0"/>
        <v>43486</v>
      </c>
      <c r="Y5" s="564">
        <f t="shared" si="0"/>
        <v>43487</v>
      </c>
      <c r="Z5" s="564">
        <f t="shared" si="0"/>
        <v>43488</v>
      </c>
      <c r="AA5" s="564">
        <f t="shared" si="0"/>
        <v>43489</v>
      </c>
      <c r="AB5" s="564">
        <f t="shared" si="0"/>
        <v>43490</v>
      </c>
      <c r="AC5" s="564">
        <f t="shared" si="0"/>
        <v>43491</v>
      </c>
      <c r="AD5" s="564">
        <f t="shared" si="0"/>
        <v>43492</v>
      </c>
      <c r="AE5" s="564">
        <f t="shared" si="0"/>
        <v>43493</v>
      </c>
      <c r="AF5" s="564">
        <f t="shared" si="0"/>
        <v>43494</v>
      </c>
      <c r="AG5" s="564">
        <f t="shared" si="0"/>
        <v>43495</v>
      </c>
      <c r="AH5" s="565" t="s">
        <v>85</v>
      </c>
      <c r="AI5" s="593"/>
    </row>
    <row r="6" spans="1:37">
      <c r="A6">
        <f>AK6</f>
        <v>0</v>
      </c>
      <c r="B6" s="540" t="str">
        <f>Aufgaben!G3</f>
        <v>Urlaub</v>
      </c>
      <c r="C6" s="543">
        <f>IF(C$5&gt;0,(INDEX(A_Aufgaben,(C$5-Arbeitszeit!$A$6+1),(2*(ROW()-ROW(A_Aufgabendatum))-1))),"")</f>
        <v>0</v>
      </c>
      <c r="D6" s="542">
        <f>IF(D$5&gt;0,(INDEX(A_Aufgaben,(D$5-Arbeitszeit!$A$6+1),(2*(ROW()-ROW(A_Aufgabendatum))-1))),"")</f>
        <v>0</v>
      </c>
      <c r="E6" s="541">
        <f>IF(E$5&gt;0,(INDEX(A_Aufgaben,(E$5-Arbeitszeit!$A$6+1),(2*(ROW()-ROW(A_Aufgabendatum))-1))),"")</f>
        <v>0</v>
      </c>
      <c r="F6" s="542">
        <f>IF(F$5&gt;0,(INDEX(A_Aufgaben,(F$5-Arbeitszeit!$A$6+1),(2*(ROW()-ROW(A_Aufgabendatum))-1))),"")</f>
        <v>0</v>
      </c>
      <c r="G6" s="541">
        <f>IF(G$5&gt;0,(INDEX(A_Aufgaben,(G$5-Arbeitszeit!$A$6+1),(2*(ROW()-ROW(A_Aufgabendatum))-1))),"")</f>
        <v>0</v>
      </c>
      <c r="H6" s="542">
        <f>IF(H$5&gt;0,(INDEX(A_Aufgaben,(H$5-Arbeitszeit!$A$6+1),(2*(ROW()-ROW(A_Aufgabendatum))-1))),"")</f>
        <v>0</v>
      </c>
      <c r="I6" s="541">
        <f>IF(I$5&gt;0,(INDEX(A_Aufgaben,(I$5-Arbeitszeit!$A$6+1),(2*(ROW()-ROW(A_Aufgabendatum))-1))),"")</f>
        <v>0</v>
      </c>
      <c r="J6" s="542">
        <f>IF(J$5&gt;0,(INDEX(A_Aufgaben,(J$5-Arbeitszeit!$A$6+1),(2*(ROW()-ROW(A_Aufgabendatum))-1))),"")</f>
        <v>0</v>
      </c>
      <c r="K6" s="541">
        <f>IF(K$5&gt;0,(INDEX(A_Aufgaben,(K$5-Arbeitszeit!$A$6+1),(2*(ROW()-ROW(A_Aufgabendatum))-1))),"")</f>
        <v>0</v>
      </c>
      <c r="L6" s="542">
        <f>IF(L$5&gt;0,(INDEX(A_Aufgaben,(L$5-Arbeitszeit!$A$6+1),(2*(ROW()-ROW(A_Aufgabendatum))-1))),"")</f>
        <v>0</v>
      </c>
      <c r="M6" s="541">
        <f>IF(M$5&gt;0,(INDEX(A_Aufgaben,(M$5-Arbeitszeit!$A$6+1),(2*(ROW()-ROW(A_Aufgabendatum))-1))),"")</f>
        <v>0</v>
      </c>
      <c r="N6" s="542">
        <f>IF(N$5&gt;0,(INDEX(A_Aufgaben,(N$5-Arbeitszeit!$A$6+1),(2*(ROW()-ROW(A_Aufgabendatum))-1))),"")</f>
        <v>0</v>
      </c>
      <c r="O6" s="541">
        <f>IF(O$5&gt;0,(INDEX(A_Aufgaben,(O$5-Arbeitszeit!$A$6+1),(2*(ROW()-ROW(A_Aufgabendatum))-1))),"")</f>
        <v>0</v>
      </c>
      <c r="P6" s="542">
        <f>IF(P$5&gt;0,(INDEX(A_Aufgaben,(P$5-Arbeitszeit!$A$6+1),(2*(ROW()-ROW(A_Aufgabendatum))-1))),"")</f>
        <v>0</v>
      </c>
      <c r="Q6" s="541">
        <f>IF(Q$5&gt;0,(INDEX(A_Aufgaben,(Q$5-Arbeitszeit!$A$6+1),(2*(ROW()-ROW(A_Aufgabendatum))-1))),"")</f>
        <v>0</v>
      </c>
      <c r="R6" s="542">
        <f>IF(R$5&gt;0,(INDEX(A_Aufgaben,(R$5-Arbeitszeit!$A$6+1),(2*(ROW()-ROW(A_Aufgabendatum))-1))),"")</f>
        <v>0</v>
      </c>
      <c r="S6" s="541">
        <f>IF(S$5&gt;0,(INDEX(A_Aufgaben,(S$5-Arbeitszeit!$A$6+1),(2*(ROW()-ROW(A_Aufgabendatum))-1))),"")</f>
        <v>0</v>
      </c>
      <c r="T6" s="542">
        <f>IF(T$5&gt;0,(INDEX(A_Aufgaben,(T$5-Arbeitszeit!$A$6+1),(2*(ROW()-ROW(A_Aufgabendatum))-1))),"")</f>
        <v>0</v>
      </c>
      <c r="U6" s="541">
        <f>IF(U$5&gt;0,(INDEX(A_Aufgaben,(U$5-Arbeitszeit!$A$6+1),(2*(ROW()-ROW(A_Aufgabendatum))-1))),"")</f>
        <v>0</v>
      </c>
      <c r="V6" s="542">
        <f>IF(V$5&gt;0,(INDEX(A_Aufgaben,(V$5-Arbeitszeit!$A$6+1),(2*(ROW()-ROW(A_Aufgabendatum))-1))),"")</f>
        <v>0</v>
      </c>
      <c r="W6" s="541">
        <f>IF(W$5&gt;0,(INDEX(A_Aufgaben,(W$5-Arbeitszeit!$A$6+1),(2*(ROW()-ROW(A_Aufgabendatum))-1))),"")</f>
        <v>0</v>
      </c>
      <c r="X6" s="542">
        <f>IF(X$5&gt;0,(INDEX(A_Aufgaben,(X$5-Arbeitszeit!$A$6+1),(2*(ROW()-ROW(A_Aufgabendatum))-1))),"")</f>
        <v>0</v>
      </c>
      <c r="Y6" s="541">
        <f>IF(Y$5&gt;0,(INDEX(A_Aufgaben,(Y$5-Arbeitszeit!$A$6+1),(2*(ROW()-ROW(A_Aufgabendatum))-1))),"")</f>
        <v>0</v>
      </c>
      <c r="Z6" s="542">
        <f>IF(Z$5&gt;0,(INDEX(A_Aufgaben,(Z$5-Arbeitszeit!$A$6+1),(2*(ROW()-ROW(A_Aufgabendatum))-1))),"")</f>
        <v>0</v>
      </c>
      <c r="AA6" s="541">
        <f>IF(AA$5&gt;0,(INDEX(A_Aufgaben,(AA$5-Arbeitszeit!$A$6+1),(2*(ROW()-ROW(A_Aufgabendatum))-1))),"")</f>
        <v>0</v>
      </c>
      <c r="AB6" s="542">
        <f>IF(AB$5&gt;0,(INDEX(A_Aufgaben,(AB$5-Arbeitszeit!$A$6+1),(2*(ROW()-ROW(A_Aufgabendatum))-1))),"")</f>
        <v>0</v>
      </c>
      <c r="AC6" s="541">
        <f>IF(AC$5&gt;0,(INDEX(A_Aufgaben,(AC$5-Arbeitszeit!$A$6+1),(2*(ROW()-ROW(A_Aufgabendatum))-1))),"")</f>
        <v>0</v>
      </c>
      <c r="AD6" s="542">
        <f>IF(AD$5&gt;0,(INDEX(A_Aufgaben,(AD$5-Arbeitszeit!$A$6+1),(2*(ROW()-ROW(A_Aufgabendatum))-1))),"")</f>
        <v>0</v>
      </c>
      <c r="AE6" s="541">
        <f>IF(AE$5&gt;0,(INDEX(A_Aufgaben,(AE$5-Arbeitszeit!$A$6+1),(2*(ROW()-ROW(A_Aufgabendatum))-1))),"")</f>
        <v>0</v>
      </c>
      <c r="AF6" s="542">
        <f>IF(AF$5&gt;0,(INDEX(A_Aufgaben,(AF$5-Arbeitszeit!$A$6+1),(2*(ROW()-ROW(A_Aufgabendatum))-1))),"")</f>
        <v>0</v>
      </c>
      <c r="AG6" s="541">
        <f>IF(AG$5&gt;0,(INDEX(A_Aufgaben,(AG$5-Arbeitszeit!$A$6+1),(2*(ROW()-ROW(A_Aufgabendatum))-1))),"")</f>
        <v>0</v>
      </c>
      <c r="AH6" s="550">
        <f t="shared" ref="AH6:AH27" si="1">SUM(C6:AG6)</f>
        <v>0</v>
      </c>
      <c r="AI6" s="3">
        <f>COUNTIF(C6:AG6,"&gt;0")</f>
        <v>0</v>
      </c>
    </row>
    <row r="7" spans="1:37">
      <c r="A7">
        <f>AK7</f>
        <v>0</v>
      </c>
      <c r="B7" s="540" t="str">
        <f>Aufgaben!I3</f>
        <v>Krank</v>
      </c>
      <c r="C7" s="541">
        <f>IF(C$5&gt;0,(INDEX(A_Aufgaben,(C$5-Arbeitszeit!$A$6+1),(2*(ROW()-ROW(A_Aufgabendatum))-1))),"")</f>
        <v>0</v>
      </c>
      <c r="D7" s="542">
        <f>IF(D$5&gt;0,(INDEX(A_Aufgaben,(D$5-Arbeitszeit!$A$6+1),(2*(ROW()-ROW(A_Aufgabendatum))-1))),"")</f>
        <v>0</v>
      </c>
      <c r="E7" s="541">
        <f>IF(E$5&gt;0,(INDEX(A_Aufgaben,(E$5-Arbeitszeit!$A$6+1),(2*(ROW()-ROW(A_Aufgabendatum))-1))),"")</f>
        <v>0</v>
      </c>
      <c r="F7" s="542">
        <f>IF(F$5&gt;0,(INDEX(A_Aufgaben,(F$5-Arbeitszeit!$A$6+1),(2*(ROW()-ROW(A_Aufgabendatum))-1))),"")</f>
        <v>0</v>
      </c>
      <c r="G7" s="541">
        <f>IF(G$5&gt;0,(INDEX(A_Aufgaben,(G$5-Arbeitszeit!$A$6+1),(2*(ROW()-ROW(A_Aufgabendatum))-1))),"")</f>
        <v>0</v>
      </c>
      <c r="H7" s="542">
        <f>IF(H$5&gt;0,(INDEX(A_Aufgaben,(H$5-Arbeitszeit!$A$6+1),(2*(ROW()-ROW(A_Aufgabendatum))-1))),"")</f>
        <v>0</v>
      </c>
      <c r="I7" s="541">
        <f>IF(I$5&gt;0,(INDEX(A_Aufgaben,(I$5-Arbeitszeit!$A$6+1),(2*(ROW()-ROW(A_Aufgabendatum))-1))),"")</f>
        <v>0</v>
      </c>
      <c r="J7" s="542">
        <f>IF(J$5&gt;0,(INDEX(A_Aufgaben,(J$5-Arbeitszeit!$A$6+1),(2*(ROW()-ROW(A_Aufgabendatum))-1))),"")</f>
        <v>0</v>
      </c>
      <c r="K7" s="541">
        <f>IF(K$5&gt;0,(INDEX(A_Aufgaben,(K$5-Arbeitszeit!$A$6+1),(2*(ROW()-ROW(A_Aufgabendatum))-1))),"")</f>
        <v>0</v>
      </c>
      <c r="L7" s="542">
        <f>IF(L$5&gt;0,(INDEX(A_Aufgaben,(L$5-Arbeitszeit!$A$6+1),(2*(ROW()-ROW(A_Aufgabendatum))-1))),"")</f>
        <v>0</v>
      </c>
      <c r="M7" s="541">
        <f>IF(M$5&gt;0,(INDEX(A_Aufgaben,(M$5-Arbeitszeit!$A$6+1),(2*(ROW()-ROW(A_Aufgabendatum))-1))),"")</f>
        <v>0</v>
      </c>
      <c r="N7" s="542">
        <f>IF(N$5&gt;0,(INDEX(A_Aufgaben,(N$5-Arbeitszeit!$A$6+1),(2*(ROW()-ROW(A_Aufgabendatum))-1))),"")</f>
        <v>0</v>
      </c>
      <c r="O7" s="541">
        <f>IF(O$5&gt;0,(INDEX(A_Aufgaben,(O$5-Arbeitszeit!$A$6+1),(2*(ROW()-ROW(A_Aufgabendatum))-1))),"")</f>
        <v>0</v>
      </c>
      <c r="P7" s="542">
        <f>IF(P$5&gt;0,(INDEX(A_Aufgaben,(P$5-Arbeitszeit!$A$6+1),(2*(ROW()-ROW(A_Aufgabendatum))-1))),"")</f>
        <v>0</v>
      </c>
      <c r="Q7" s="541">
        <f>IF(Q$5&gt;0,(INDEX(A_Aufgaben,(Q$5-Arbeitszeit!$A$6+1),(2*(ROW()-ROW(A_Aufgabendatum))-1))),"")</f>
        <v>0</v>
      </c>
      <c r="R7" s="542">
        <f>IF(R$5&gt;0,(INDEX(A_Aufgaben,(R$5-Arbeitszeit!$A$6+1),(2*(ROW()-ROW(A_Aufgabendatum))-1))),"")</f>
        <v>0</v>
      </c>
      <c r="S7" s="541">
        <f>IF(S$5&gt;0,(INDEX(A_Aufgaben,(S$5-Arbeitszeit!$A$6+1),(2*(ROW()-ROW(A_Aufgabendatum))-1))),"")</f>
        <v>0</v>
      </c>
      <c r="T7" s="542">
        <f>IF(T$5&gt;0,(INDEX(A_Aufgaben,(T$5-Arbeitszeit!$A$6+1),(2*(ROW()-ROW(A_Aufgabendatum))-1))),"")</f>
        <v>0</v>
      </c>
      <c r="U7" s="541">
        <f>IF(U$5&gt;0,(INDEX(A_Aufgaben,(U$5-Arbeitszeit!$A$6+1),(2*(ROW()-ROW(A_Aufgabendatum))-1))),"")</f>
        <v>0</v>
      </c>
      <c r="V7" s="542">
        <f>IF(V$5&gt;0,(INDEX(A_Aufgaben,(V$5-Arbeitszeit!$A$6+1),(2*(ROW()-ROW(A_Aufgabendatum))-1))),"")</f>
        <v>0</v>
      </c>
      <c r="W7" s="541">
        <f>IF(W$5&gt;0,(INDEX(A_Aufgaben,(W$5-Arbeitszeit!$A$6+1),(2*(ROW()-ROW(A_Aufgabendatum))-1))),"")</f>
        <v>0</v>
      </c>
      <c r="X7" s="542">
        <f>IF(X$5&gt;0,(INDEX(A_Aufgaben,(X$5-Arbeitszeit!$A$6+1),(2*(ROW()-ROW(A_Aufgabendatum))-1))),"")</f>
        <v>0</v>
      </c>
      <c r="Y7" s="541">
        <f>IF(Y$5&gt;0,(INDEX(A_Aufgaben,(Y$5-Arbeitszeit!$A$6+1),(2*(ROW()-ROW(A_Aufgabendatum))-1))),"")</f>
        <v>0</v>
      </c>
      <c r="Z7" s="542">
        <f>IF(Z$5&gt;0,(INDEX(A_Aufgaben,(Z$5-Arbeitszeit!$A$6+1),(2*(ROW()-ROW(A_Aufgabendatum))-1))),"")</f>
        <v>0</v>
      </c>
      <c r="AA7" s="541">
        <f>IF(AA$5&gt;0,(INDEX(A_Aufgaben,(AA$5-Arbeitszeit!$A$6+1),(2*(ROW()-ROW(A_Aufgabendatum))-1))),"")</f>
        <v>0</v>
      </c>
      <c r="AB7" s="542">
        <f>IF(AB$5&gt;0,(INDEX(A_Aufgaben,(AB$5-Arbeitszeit!$A$6+1),(2*(ROW()-ROW(A_Aufgabendatum))-1))),"")</f>
        <v>0</v>
      </c>
      <c r="AC7" s="541">
        <f>IF(AC$5&gt;0,(INDEX(A_Aufgaben,(AC$5-Arbeitszeit!$A$6+1),(2*(ROW()-ROW(A_Aufgabendatum))-1))),"")</f>
        <v>0</v>
      </c>
      <c r="AD7" s="542">
        <f>IF(AD$5&gt;0,(INDEX(A_Aufgaben,(AD$5-Arbeitszeit!$A$6+1),(2*(ROW()-ROW(A_Aufgabendatum))-1))),"")</f>
        <v>0</v>
      </c>
      <c r="AE7" s="541">
        <f>IF(AE$5&gt;0,(INDEX(A_Aufgaben,(AE$5-Arbeitszeit!$A$6+1),(2*(ROW()-ROW(A_Aufgabendatum))-1))),"")</f>
        <v>0</v>
      </c>
      <c r="AF7" s="542">
        <f>IF(AF$5&gt;0,(INDEX(A_Aufgaben,(AF$5-Arbeitszeit!$A$6+1),(2*(ROW()-ROW(A_Aufgabendatum))-1))),"")</f>
        <v>0</v>
      </c>
      <c r="AG7" s="541">
        <f>IF(AG$5&gt;0,(INDEX(A_Aufgaben,(AG$5-Arbeitszeit!$A$6+1),(2*(ROW()-ROW(A_Aufgabendatum))-1))),"")</f>
        <v>0</v>
      </c>
      <c r="AH7" s="550">
        <f t="shared" si="1"/>
        <v>0</v>
      </c>
      <c r="AI7" s="3">
        <f>COUNTIF(C7:AG7,"&gt;0")</f>
        <v>0</v>
      </c>
    </row>
    <row r="8" spans="1:37">
      <c r="A8">
        <f>AK8</f>
        <v>0</v>
      </c>
      <c r="B8" s="540" t="str">
        <f>Aufgaben!K3</f>
        <v>Allgemein</v>
      </c>
      <c r="C8" s="541">
        <f>IF(C$5&gt;0,(INDEX(A_Aufgaben,(C$5-Arbeitszeit!$A$6+1),(2*(ROW()-ROW(A_Aufgabendatum))-1))),"")</f>
        <v>0</v>
      </c>
      <c r="D8" s="542">
        <f>IF(D$5&gt;0,(INDEX(A_Aufgaben,(D$5-Arbeitszeit!$A$6+1),(2*(ROW()-ROW(A_Aufgabendatum))-1))),"")</f>
        <v>0</v>
      </c>
      <c r="E8" s="541">
        <f>IF(E$5&gt;0,(INDEX(A_Aufgaben,(E$5-Arbeitszeit!$A$6+1),(2*(ROW()-ROW(A_Aufgabendatum))-1))),"")</f>
        <v>0</v>
      </c>
      <c r="F8" s="542">
        <f>IF(F$5&gt;0,(INDEX(A_Aufgaben,(F$5-Arbeitszeit!$A$6+1),(2*(ROW()-ROW(A_Aufgabendatum))-1))),"")</f>
        <v>0</v>
      </c>
      <c r="G8" s="541">
        <f>IF(G$5&gt;0,(INDEX(A_Aufgaben,(G$5-Arbeitszeit!$A$6+1),(2*(ROW()-ROW(A_Aufgabendatum))-1))),"")</f>
        <v>0</v>
      </c>
      <c r="H8" s="542">
        <f>IF(H$5&gt;0,(INDEX(A_Aufgaben,(H$5-Arbeitszeit!$A$6+1),(2*(ROW()-ROW(A_Aufgabendatum))-1))),"")</f>
        <v>0</v>
      </c>
      <c r="I8" s="541">
        <f>IF(I$5&gt;0,(INDEX(A_Aufgaben,(I$5-Arbeitszeit!$A$6+1),(2*(ROW()-ROW(A_Aufgabendatum))-1))),"")</f>
        <v>0</v>
      </c>
      <c r="J8" s="542">
        <f>IF(J$5&gt;0,(INDEX(A_Aufgaben,(J$5-Arbeitszeit!$A$6+1),(2*(ROW()-ROW(A_Aufgabendatum))-1))),"")</f>
        <v>0</v>
      </c>
      <c r="K8" s="541">
        <f>IF(K$5&gt;0,(INDEX(A_Aufgaben,(K$5-Arbeitszeit!$A$6+1),(2*(ROW()-ROW(A_Aufgabendatum))-1))),"")</f>
        <v>0</v>
      </c>
      <c r="L8" s="542">
        <f>IF(L$5&gt;0,(INDEX(A_Aufgaben,(L$5-Arbeitszeit!$A$6+1),(2*(ROW()-ROW(A_Aufgabendatum))-1))),"")</f>
        <v>0</v>
      </c>
      <c r="M8" s="541">
        <f>IF(M$5&gt;0,(INDEX(A_Aufgaben,(M$5-Arbeitszeit!$A$6+1),(2*(ROW()-ROW(A_Aufgabendatum))-1))),"")</f>
        <v>0</v>
      </c>
      <c r="N8" s="542">
        <f>IF(N$5&gt;0,(INDEX(A_Aufgaben,(N$5-Arbeitszeit!$A$6+1),(2*(ROW()-ROW(A_Aufgabendatum))-1))),"")</f>
        <v>0</v>
      </c>
      <c r="O8" s="541">
        <f>IF(O$5&gt;0,(INDEX(A_Aufgaben,(O$5-Arbeitszeit!$A$6+1),(2*(ROW()-ROW(A_Aufgabendatum))-1))),"")</f>
        <v>0</v>
      </c>
      <c r="P8" s="542">
        <f>IF(P$5&gt;0,(INDEX(A_Aufgaben,(P$5-Arbeitszeit!$A$6+1),(2*(ROW()-ROW(A_Aufgabendatum))-1))),"")</f>
        <v>0</v>
      </c>
      <c r="Q8" s="541">
        <f>IF(Q$5&gt;0,(INDEX(A_Aufgaben,(Q$5-Arbeitszeit!$A$6+1),(2*(ROW()-ROW(A_Aufgabendatum))-1))),"")</f>
        <v>0</v>
      </c>
      <c r="R8" s="542">
        <f>IF(R$5&gt;0,(INDEX(A_Aufgaben,(R$5-Arbeitszeit!$A$6+1),(2*(ROW()-ROW(A_Aufgabendatum))-1))),"")</f>
        <v>0</v>
      </c>
      <c r="S8" s="541">
        <f>IF(S$5&gt;0,(INDEX(A_Aufgaben,(S$5-Arbeitszeit!$A$6+1),(2*(ROW()-ROW(A_Aufgabendatum))-1))),"")</f>
        <v>0</v>
      </c>
      <c r="T8" s="542">
        <f>IF(T$5&gt;0,(INDEX(A_Aufgaben,(T$5-Arbeitszeit!$A$6+1),(2*(ROW()-ROW(A_Aufgabendatum))-1))),"")</f>
        <v>0</v>
      </c>
      <c r="U8" s="541">
        <f>IF(U$5&gt;0,(INDEX(A_Aufgaben,(U$5-Arbeitszeit!$A$6+1),(2*(ROW()-ROW(A_Aufgabendatum))-1))),"")</f>
        <v>0</v>
      </c>
      <c r="V8" s="542">
        <f>IF(V$5&gt;0,(INDEX(A_Aufgaben,(V$5-Arbeitszeit!$A$6+1),(2*(ROW()-ROW(A_Aufgabendatum))-1))),"")</f>
        <v>0</v>
      </c>
      <c r="W8" s="541">
        <f>IF(W$5&gt;0,(INDEX(A_Aufgaben,(W$5-Arbeitszeit!$A$6+1),(2*(ROW()-ROW(A_Aufgabendatum))-1))),"")</f>
        <v>0</v>
      </c>
      <c r="X8" s="542">
        <f>IF(X$5&gt;0,(INDEX(A_Aufgaben,(X$5-Arbeitszeit!$A$6+1),(2*(ROW()-ROW(A_Aufgabendatum))-1))),"")</f>
        <v>0</v>
      </c>
      <c r="Y8" s="541">
        <f>IF(Y$5&gt;0,(INDEX(A_Aufgaben,(Y$5-Arbeitszeit!$A$6+1),(2*(ROW()-ROW(A_Aufgabendatum))-1))),"")</f>
        <v>0</v>
      </c>
      <c r="Z8" s="542">
        <f>IF(Z$5&gt;0,(INDEX(A_Aufgaben,(Z$5-Arbeitszeit!$A$6+1),(2*(ROW()-ROW(A_Aufgabendatum))-1))),"")</f>
        <v>0</v>
      </c>
      <c r="AA8" s="541">
        <f>IF(AA$5&gt;0,(INDEX(A_Aufgaben,(AA$5-Arbeitszeit!$A$6+1),(2*(ROW()-ROW(A_Aufgabendatum))-1))),"")</f>
        <v>0</v>
      </c>
      <c r="AB8" s="542">
        <f>IF(AB$5&gt;0,(INDEX(A_Aufgaben,(AB$5-Arbeitszeit!$A$6+1),(2*(ROW()-ROW(A_Aufgabendatum))-1))),"")</f>
        <v>0</v>
      </c>
      <c r="AC8" s="541">
        <f>IF(AC$5&gt;0,(INDEX(A_Aufgaben,(AC$5-Arbeitszeit!$A$6+1),(2*(ROW()-ROW(A_Aufgabendatum))-1))),"")</f>
        <v>0</v>
      </c>
      <c r="AD8" s="542">
        <f>IF(AD$5&gt;0,(INDEX(A_Aufgaben,(AD$5-Arbeitszeit!$A$6+1),(2*(ROW()-ROW(A_Aufgabendatum))-1))),"")</f>
        <v>0</v>
      </c>
      <c r="AE8" s="541">
        <f>IF(AE$5&gt;0,(INDEX(A_Aufgaben,(AE$5-Arbeitszeit!$A$6+1),(2*(ROW()-ROW(A_Aufgabendatum))-1))),"")</f>
        <v>0</v>
      </c>
      <c r="AF8" s="542">
        <f>IF(AF$5&gt;0,(INDEX(A_Aufgaben,(AF$5-Arbeitszeit!$A$6+1),(2*(ROW()-ROW(A_Aufgabendatum))-1))),"")</f>
        <v>0</v>
      </c>
      <c r="AG8" s="541">
        <f>IF(AG$5&gt;0,(INDEX(A_Aufgaben,(AG$5-Arbeitszeit!$A$6+1),(2*(ROW()-ROW(A_Aufgabendatum))-1))),"")</f>
        <v>0</v>
      </c>
      <c r="AH8" s="550">
        <f t="shared" si="1"/>
        <v>0</v>
      </c>
      <c r="AI8" s="3">
        <f>COUNTIF(C8:AG8,"&gt;0")</f>
        <v>0</v>
      </c>
    </row>
    <row r="9" spans="1:37">
      <c r="A9">
        <f>AK9</f>
        <v>0</v>
      </c>
      <c r="B9" s="540" t="str">
        <f>Aufgaben!M3</f>
        <v>Aufgabe 01</v>
      </c>
      <c r="C9" s="541">
        <f>IF(C$5&gt;0,(INDEX(A_Aufgaben,(C$5-Arbeitszeit!$A$6+1),(2*(ROW()-ROW(A_Aufgabendatum))-1))),"")</f>
        <v>0</v>
      </c>
      <c r="D9" s="542">
        <f>IF(D$5&gt;0,(INDEX(A_Aufgaben,(D$5-Arbeitszeit!$A$6+1),(2*(ROW()-ROW(A_Aufgabendatum))-1))),"")</f>
        <v>0</v>
      </c>
      <c r="E9" s="541">
        <f>IF(E$5&gt;0,(INDEX(A_Aufgaben,(E$5-Arbeitszeit!$A$6+1),(2*(ROW()-ROW(A_Aufgabendatum))-1))),"")</f>
        <v>0</v>
      </c>
      <c r="F9" s="542">
        <f>IF(F$5&gt;0,(INDEX(A_Aufgaben,(F$5-Arbeitszeit!$A$6+1),(2*(ROW()-ROW(A_Aufgabendatum))-1))),"")</f>
        <v>0</v>
      </c>
      <c r="G9" s="541">
        <f>IF(G$5&gt;0,(INDEX(A_Aufgaben,(G$5-Arbeitszeit!$A$6+1),(2*(ROW()-ROW(A_Aufgabendatum))-1))),"")</f>
        <v>0</v>
      </c>
      <c r="H9" s="542">
        <f>IF(H$5&gt;0,(INDEX(A_Aufgaben,(H$5-Arbeitszeit!$A$6+1),(2*(ROW()-ROW(A_Aufgabendatum))-1))),"")</f>
        <v>0</v>
      </c>
      <c r="I9" s="541">
        <f>IF(I$5&gt;0,(INDEX(A_Aufgaben,(I$5-Arbeitszeit!$A$6+1),(2*(ROW()-ROW(A_Aufgabendatum))-1))),"")</f>
        <v>0</v>
      </c>
      <c r="J9" s="542">
        <f>IF(J$5&gt;0,(INDEX(A_Aufgaben,(J$5-Arbeitszeit!$A$6+1),(2*(ROW()-ROW(A_Aufgabendatum))-1))),"")</f>
        <v>0</v>
      </c>
      <c r="K9" s="541">
        <f>IF(K$5&gt;0,(INDEX(A_Aufgaben,(K$5-Arbeitszeit!$A$6+1),(2*(ROW()-ROW(A_Aufgabendatum))-1))),"")</f>
        <v>0</v>
      </c>
      <c r="L9" s="542">
        <f>IF(L$5&gt;0,(INDEX(A_Aufgaben,(L$5-Arbeitszeit!$A$6+1),(2*(ROW()-ROW(A_Aufgabendatum))-1))),"")</f>
        <v>0</v>
      </c>
      <c r="M9" s="541">
        <f>IF(M$5&gt;0,(INDEX(A_Aufgaben,(M$5-Arbeitszeit!$A$6+1),(2*(ROW()-ROW(A_Aufgabendatum))-1))),"")</f>
        <v>0</v>
      </c>
      <c r="N9" s="542">
        <f>IF(N$5&gt;0,(INDEX(A_Aufgaben,(N$5-Arbeitszeit!$A$6+1),(2*(ROW()-ROW(A_Aufgabendatum))-1))),"")</f>
        <v>0</v>
      </c>
      <c r="O9" s="541">
        <f>IF(O$5&gt;0,(INDEX(A_Aufgaben,(O$5-Arbeitszeit!$A$6+1),(2*(ROW()-ROW(A_Aufgabendatum))-1))),"")</f>
        <v>0</v>
      </c>
      <c r="P9" s="542">
        <f>IF(P$5&gt;0,(INDEX(A_Aufgaben,(P$5-Arbeitszeit!$A$6+1),(2*(ROW()-ROW(A_Aufgabendatum))-1))),"")</f>
        <v>0</v>
      </c>
      <c r="Q9" s="541">
        <f>IF(Q$5&gt;0,(INDEX(A_Aufgaben,(Q$5-Arbeitszeit!$A$6+1),(2*(ROW()-ROW(A_Aufgabendatum))-1))),"")</f>
        <v>0</v>
      </c>
      <c r="R9" s="542">
        <f>IF(R$5&gt;0,(INDEX(A_Aufgaben,(R$5-Arbeitszeit!$A$6+1),(2*(ROW()-ROW(A_Aufgabendatum))-1))),"")</f>
        <v>0</v>
      </c>
      <c r="S9" s="541">
        <f>IF(S$5&gt;0,(INDEX(A_Aufgaben,(S$5-Arbeitszeit!$A$6+1),(2*(ROW()-ROW(A_Aufgabendatum))-1))),"")</f>
        <v>0</v>
      </c>
      <c r="T9" s="542">
        <f>IF(T$5&gt;0,(INDEX(A_Aufgaben,(T$5-Arbeitszeit!$A$6+1),(2*(ROW()-ROW(A_Aufgabendatum))-1))),"")</f>
        <v>0</v>
      </c>
      <c r="U9" s="541">
        <f>IF(U$5&gt;0,(INDEX(A_Aufgaben,(U$5-Arbeitszeit!$A$6+1),(2*(ROW()-ROW(A_Aufgabendatum))-1))),"")</f>
        <v>0</v>
      </c>
      <c r="V9" s="542">
        <f>IF(V$5&gt;0,(INDEX(A_Aufgaben,(V$5-Arbeitszeit!$A$6+1),(2*(ROW()-ROW(A_Aufgabendatum))-1))),"")</f>
        <v>0</v>
      </c>
      <c r="W9" s="541">
        <f>IF(W$5&gt;0,(INDEX(A_Aufgaben,(W$5-Arbeitszeit!$A$6+1),(2*(ROW()-ROW(A_Aufgabendatum))-1))),"")</f>
        <v>0</v>
      </c>
      <c r="X9" s="542">
        <f>IF(X$5&gt;0,(INDEX(A_Aufgaben,(X$5-Arbeitszeit!$A$6+1),(2*(ROW()-ROW(A_Aufgabendatum))-1))),"")</f>
        <v>0</v>
      </c>
      <c r="Y9" s="541">
        <f>IF(Y$5&gt;0,(INDEX(A_Aufgaben,(Y$5-Arbeitszeit!$A$6+1),(2*(ROW()-ROW(A_Aufgabendatum))-1))),"")</f>
        <v>0</v>
      </c>
      <c r="Z9" s="542">
        <f>IF(Z$5&gt;0,(INDEX(A_Aufgaben,(Z$5-Arbeitszeit!$A$6+1),(2*(ROW()-ROW(A_Aufgabendatum))-1))),"")</f>
        <v>0</v>
      </c>
      <c r="AA9" s="541">
        <f>IF(AA$5&gt;0,(INDEX(A_Aufgaben,(AA$5-Arbeitszeit!$A$6+1),(2*(ROW()-ROW(A_Aufgabendatum))-1))),"")</f>
        <v>0</v>
      </c>
      <c r="AB9" s="542">
        <f>IF(AB$5&gt;0,(INDEX(A_Aufgaben,(AB$5-Arbeitszeit!$A$6+1),(2*(ROW()-ROW(A_Aufgabendatum))-1))),"")</f>
        <v>0</v>
      </c>
      <c r="AC9" s="541">
        <f>IF(AC$5&gt;0,(INDEX(A_Aufgaben,(AC$5-Arbeitszeit!$A$6+1),(2*(ROW()-ROW(A_Aufgabendatum))-1))),"")</f>
        <v>0</v>
      </c>
      <c r="AD9" s="542">
        <f>IF(AD$5&gt;0,(INDEX(A_Aufgaben,(AD$5-Arbeitszeit!$A$6+1),(2*(ROW()-ROW(A_Aufgabendatum))-1))),"")</f>
        <v>0</v>
      </c>
      <c r="AE9" s="541">
        <f>IF(AE$5&gt;0,(INDEX(A_Aufgaben,(AE$5-Arbeitszeit!$A$6+1),(2*(ROW()-ROW(A_Aufgabendatum))-1))),"")</f>
        <v>0</v>
      </c>
      <c r="AF9" s="542">
        <f>IF(AF$5&gt;0,(INDEX(A_Aufgaben,(AF$5-Arbeitszeit!$A$6+1),(2*(ROW()-ROW(A_Aufgabendatum))-1))),"")</f>
        <v>0</v>
      </c>
      <c r="AG9" s="541">
        <f>IF(AG$5&gt;0,(INDEX(A_Aufgaben,(AG$5-Arbeitszeit!$A$6+1),(2*(ROW()-ROW(A_Aufgabendatum))-1))),"")</f>
        <v>0</v>
      </c>
      <c r="AH9" s="550">
        <f t="shared" si="1"/>
        <v>0</v>
      </c>
      <c r="AI9" s="3">
        <f>COUNTIF(C9:AG9,"&gt;0")</f>
        <v>0</v>
      </c>
    </row>
    <row r="10" spans="1:37">
      <c r="A10">
        <f>AK10</f>
        <v>0</v>
      </c>
      <c r="B10" s="540" t="str">
        <f>Aufgaben!O3</f>
        <v>Aufgabe 02</v>
      </c>
      <c r="C10" s="541">
        <f>IF(C$5&gt;0,(INDEX(A_Aufgaben,(C$5-Arbeitszeit!$A$6+1),(2*(ROW()-ROW(A_Aufgabendatum))-1))),"")</f>
        <v>0</v>
      </c>
      <c r="D10" s="542">
        <f>IF(D$5&gt;0,(INDEX(A_Aufgaben,(D$5-Arbeitszeit!$A$6+1),(2*(ROW()-ROW(A_Aufgabendatum))-1))),"")</f>
        <v>0</v>
      </c>
      <c r="E10" s="541">
        <f>IF(E$5&gt;0,(INDEX(A_Aufgaben,(E$5-Arbeitszeit!$A$6+1),(2*(ROW()-ROW(A_Aufgabendatum))-1))),"")</f>
        <v>0</v>
      </c>
      <c r="F10" s="542">
        <f>IF(F$5&gt;0,(INDEX(A_Aufgaben,(F$5-Arbeitszeit!$A$6+1),(2*(ROW()-ROW(A_Aufgabendatum))-1))),"")</f>
        <v>0</v>
      </c>
      <c r="G10" s="541">
        <f>IF(G$5&gt;0,(INDEX(A_Aufgaben,(G$5-Arbeitszeit!$A$6+1),(2*(ROW()-ROW(A_Aufgabendatum))-1))),"")</f>
        <v>0</v>
      </c>
      <c r="H10" s="542">
        <f>IF(H$5&gt;0,(INDEX(A_Aufgaben,(H$5-Arbeitszeit!$A$6+1),(2*(ROW()-ROW(A_Aufgabendatum))-1))),"")</f>
        <v>0</v>
      </c>
      <c r="I10" s="541">
        <f>IF(I$5&gt;0,(INDEX(A_Aufgaben,(I$5-Arbeitszeit!$A$6+1),(2*(ROW()-ROW(A_Aufgabendatum))-1))),"")</f>
        <v>0</v>
      </c>
      <c r="J10" s="542">
        <f>IF(J$5&gt;0,(INDEX(A_Aufgaben,(J$5-Arbeitszeit!$A$6+1),(2*(ROW()-ROW(A_Aufgabendatum))-1))),"")</f>
        <v>0</v>
      </c>
      <c r="K10" s="541">
        <f>IF(K$5&gt;0,(INDEX(A_Aufgaben,(K$5-Arbeitszeit!$A$6+1),(2*(ROW()-ROW(A_Aufgabendatum))-1))),"")</f>
        <v>0</v>
      </c>
      <c r="L10" s="542">
        <f>IF(L$5&gt;0,(INDEX(A_Aufgaben,(L$5-Arbeitszeit!$A$6+1),(2*(ROW()-ROW(A_Aufgabendatum))-1))),"")</f>
        <v>0</v>
      </c>
      <c r="M10" s="541">
        <f>IF(M$5&gt;0,(INDEX(A_Aufgaben,(M$5-Arbeitszeit!$A$6+1),(2*(ROW()-ROW(A_Aufgabendatum))-1))),"")</f>
        <v>0</v>
      </c>
      <c r="N10" s="542">
        <f>IF(N$5&gt;0,(INDEX(A_Aufgaben,(N$5-Arbeitszeit!$A$6+1),(2*(ROW()-ROW(A_Aufgabendatum))-1))),"")</f>
        <v>0</v>
      </c>
      <c r="O10" s="541">
        <f>IF(O$5&gt;0,(INDEX(A_Aufgaben,(O$5-Arbeitszeit!$A$6+1),(2*(ROW()-ROW(A_Aufgabendatum))-1))),"")</f>
        <v>0</v>
      </c>
      <c r="P10" s="542">
        <f>IF(P$5&gt;0,(INDEX(A_Aufgaben,(P$5-Arbeitszeit!$A$6+1),(2*(ROW()-ROW(A_Aufgabendatum))-1))),"")</f>
        <v>0</v>
      </c>
      <c r="Q10" s="541">
        <f>IF(Q$5&gt;0,(INDEX(A_Aufgaben,(Q$5-Arbeitszeit!$A$6+1),(2*(ROW()-ROW(A_Aufgabendatum))-1))),"")</f>
        <v>0</v>
      </c>
      <c r="R10" s="542">
        <f>IF(R$5&gt;0,(INDEX(A_Aufgaben,(R$5-Arbeitszeit!$A$6+1),(2*(ROW()-ROW(A_Aufgabendatum))-1))),"")</f>
        <v>0</v>
      </c>
      <c r="S10" s="541">
        <f>IF(S$5&gt;0,(INDEX(A_Aufgaben,(S$5-Arbeitszeit!$A$6+1),(2*(ROW()-ROW(A_Aufgabendatum))-1))),"")</f>
        <v>0</v>
      </c>
      <c r="T10" s="542">
        <f>IF(T$5&gt;0,(INDEX(A_Aufgaben,(T$5-Arbeitszeit!$A$6+1),(2*(ROW()-ROW(A_Aufgabendatum))-1))),"")</f>
        <v>0</v>
      </c>
      <c r="U10" s="541">
        <f>IF(U$5&gt;0,(INDEX(A_Aufgaben,(U$5-Arbeitszeit!$A$6+1),(2*(ROW()-ROW(A_Aufgabendatum))-1))),"")</f>
        <v>0</v>
      </c>
      <c r="V10" s="542">
        <f>IF(V$5&gt;0,(INDEX(A_Aufgaben,(V$5-Arbeitszeit!$A$6+1),(2*(ROW()-ROW(A_Aufgabendatum))-1))),"")</f>
        <v>0</v>
      </c>
      <c r="W10" s="541">
        <f>IF(W$5&gt;0,(INDEX(A_Aufgaben,(W$5-Arbeitszeit!$A$6+1),(2*(ROW()-ROW(A_Aufgabendatum))-1))),"")</f>
        <v>0</v>
      </c>
      <c r="X10" s="542">
        <f>IF(X$5&gt;0,(INDEX(A_Aufgaben,(X$5-Arbeitszeit!$A$6+1),(2*(ROW()-ROW(A_Aufgabendatum))-1))),"")</f>
        <v>0</v>
      </c>
      <c r="Y10" s="541">
        <f>IF(Y$5&gt;0,(INDEX(A_Aufgaben,(Y$5-Arbeitszeit!$A$6+1),(2*(ROW()-ROW(A_Aufgabendatum))-1))),"")</f>
        <v>0</v>
      </c>
      <c r="Z10" s="542">
        <f>IF(Z$5&gt;0,(INDEX(A_Aufgaben,(Z$5-Arbeitszeit!$A$6+1),(2*(ROW()-ROW(A_Aufgabendatum))-1))),"")</f>
        <v>0</v>
      </c>
      <c r="AA10" s="541">
        <f>IF(AA$5&gt;0,(INDEX(A_Aufgaben,(AA$5-Arbeitszeit!$A$6+1),(2*(ROW()-ROW(A_Aufgabendatum))-1))),"")</f>
        <v>0</v>
      </c>
      <c r="AB10" s="542">
        <f>IF(AB$5&gt;0,(INDEX(A_Aufgaben,(AB$5-Arbeitszeit!$A$6+1),(2*(ROW()-ROW(A_Aufgabendatum))-1))),"")</f>
        <v>0</v>
      </c>
      <c r="AC10" s="541">
        <f>IF(AC$5&gt;0,(INDEX(A_Aufgaben,(AC$5-Arbeitszeit!$A$6+1),(2*(ROW()-ROW(A_Aufgabendatum))-1))),"")</f>
        <v>0</v>
      </c>
      <c r="AD10" s="542">
        <f>IF(AD$5&gt;0,(INDEX(A_Aufgaben,(AD$5-Arbeitszeit!$A$6+1),(2*(ROW()-ROW(A_Aufgabendatum))-1))),"")</f>
        <v>0</v>
      </c>
      <c r="AE10" s="541">
        <f>IF(AE$5&gt;0,(INDEX(A_Aufgaben,(AE$5-Arbeitszeit!$A$6+1),(2*(ROW()-ROW(A_Aufgabendatum))-1))),"")</f>
        <v>0</v>
      </c>
      <c r="AF10" s="542">
        <f>IF(AF$5&gt;0,(INDEX(A_Aufgaben,(AF$5-Arbeitszeit!$A$6+1),(2*(ROW()-ROW(A_Aufgabendatum))-1))),"")</f>
        <v>0</v>
      </c>
      <c r="AG10" s="541">
        <f>IF(AG$5&gt;0,(INDEX(A_Aufgaben,(AG$5-Arbeitszeit!$A$6+1),(2*(ROW()-ROW(A_Aufgabendatum))-1))),"")</f>
        <v>0</v>
      </c>
      <c r="AH10" s="550">
        <f t="shared" si="1"/>
        <v>0</v>
      </c>
      <c r="AI10" s="3">
        <f t="shared" ref="AI10:AI27" si="2">COUNTIF(C10:AG10,"&gt;0")</f>
        <v>0</v>
      </c>
    </row>
    <row r="11" spans="1:37">
      <c r="A11">
        <f t="shared" ref="A11:A27" si="3">AK11</f>
        <v>0</v>
      </c>
      <c r="B11" s="540" t="str">
        <f>Aufgaben!Q3</f>
        <v>Aufgabe 03</v>
      </c>
      <c r="C11" s="541">
        <f>IF(C$5&gt;0,(INDEX(A_Aufgaben,(C$5-Arbeitszeit!$A$6+1),(2*(ROW()-ROW(A_Aufgabendatum))-1))),"")</f>
        <v>0</v>
      </c>
      <c r="D11" s="542">
        <f>IF(D$5&gt;0,(INDEX(A_Aufgaben,(D$5-Arbeitszeit!$A$6+1),(2*(ROW()-ROW(A_Aufgabendatum))-1))),"")</f>
        <v>0</v>
      </c>
      <c r="E11" s="541">
        <f>IF(E$5&gt;0,(INDEX(A_Aufgaben,(E$5-Arbeitszeit!$A$6+1),(2*(ROW()-ROW(A_Aufgabendatum))-1))),"")</f>
        <v>0</v>
      </c>
      <c r="F11" s="542">
        <f>IF(F$5&gt;0,(INDEX(A_Aufgaben,(F$5-Arbeitszeit!$A$6+1),(2*(ROW()-ROW(A_Aufgabendatum))-1))),"")</f>
        <v>0</v>
      </c>
      <c r="G11" s="541">
        <f>IF(G$5&gt;0,(INDEX(A_Aufgaben,(G$5-Arbeitszeit!$A$6+1),(2*(ROW()-ROW(A_Aufgabendatum))-1))),"")</f>
        <v>0</v>
      </c>
      <c r="H11" s="542">
        <f>IF(H$5&gt;0,(INDEX(A_Aufgaben,(H$5-Arbeitszeit!$A$6+1),(2*(ROW()-ROW(A_Aufgabendatum))-1))),"")</f>
        <v>0</v>
      </c>
      <c r="I11" s="541">
        <f>IF(I$5&gt;0,(INDEX(A_Aufgaben,(I$5-Arbeitszeit!$A$6+1),(2*(ROW()-ROW(A_Aufgabendatum))-1))),"")</f>
        <v>0</v>
      </c>
      <c r="J11" s="542">
        <f>IF(J$5&gt;0,(INDEX(A_Aufgaben,(J$5-Arbeitszeit!$A$6+1),(2*(ROW()-ROW(A_Aufgabendatum))-1))),"")</f>
        <v>0</v>
      </c>
      <c r="K11" s="541">
        <f>IF(K$5&gt;0,(INDEX(A_Aufgaben,(K$5-Arbeitszeit!$A$6+1),(2*(ROW()-ROW(A_Aufgabendatum))-1))),"")</f>
        <v>0</v>
      </c>
      <c r="L11" s="542">
        <f>IF(L$5&gt;0,(INDEX(A_Aufgaben,(L$5-Arbeitszeit!$A$6+1),(2*(ROW()-ROW(A_Aufgabendatum))-1))),"")</f>
        <v>0</v>
      </c>
      <c r="M11" s="541">
        <f>IF(M$5&gt;0,(INDEX(A_Aufgaben,(M$5-Arbeitszeit!$A$6+1),(2*(ROW()-ROW(A_Aufgabendatum))-1))),"")</f>
        <v>0</v>
      </c>
      <c r="N11" s="542">
        <f>IF(N$5&gt;0,(INDEX(A_Aufgaben,(N$5-Arbeitszeit!$A$6+1),(2*(ROW()-ROW(A_Aufgabendatum))-1))),"")</f>
        <v>0</v>
      </c>
      <c r="O11" s="541">
        <f>IF(O$5&gt;0,(INDEX(A_Aufgaben,(O$5-Arbeitszeit!$A$6+1),(2*(ROW()-ROW(A_Aufgabendatum))-1))),"")</f>
        <v>0</v>
      </c>
      <c r="P11" s="542">
        <f>IF(P$5&gt;0,(INDEX(A_Aufgaben,(P$5-Arbeitszeit!$A$6+1),(2*(ROW()-ROW(A_Aufgabendatum))-1))),"")</f>
        <v>0</v>
      </c>
      <c r="Q11" s="541">
        <f>IF(Q$5&gt;0,(INDEX(A_Aufgaben,(Q$5-Arbeitszeit!$A$6+1),(2*(ROW()-ROW(A_Aufgabendatum))-1))),"")</f>
        <v>0</v>
      </c>
      <c r="R11" s="542">
        <f>IF(R$5&gt;0,(INDEX(A_Aufgaben,(R$5-Arbeitszeit!$A$6+1),(2*(ROW()-ROW(A_Aufgabendatum))-1))),"")</f>
        <v>0</v>
      </c>
      <c r="S11" s="541">
        <f>IF(S$5&gt;0,(INDEX(A_Aufgaben,(S$5-Arbeitszeit!$A$6+1),(2*(ROW()-ROW(A_Aufgabendatum))-1))),"")</f>
        <v>0</v>
      </c>
      <c r="T11" s="542">
        <f>IF(T$5&gt;0,(INDEX(A_Aufgaben,(T$5-Arbeitszeit!$A$6+1),(2*(ROW()-ROW(A_Aufgabendatum))-1))),"")</f>
        <v>0</v>
      </c>
      <c r="U11" s="541">
        <f>IF(U$5&gt;0,(INDEX(A_Aufgaben,(U$5-Arbeitszeit!$A$6+1),(2*(ROW()-ROW(A_Aufgabendatum))-1))),"")</f>
        <v>0</v>
      </c>
      <c r="V11" s="542">
        <f>IF(V$5&gt;0,(INDEX(A_Aufgaben,(V$5-Arbeitszeit!$A$6+1),(2*(ROW()-ROW(A_Aufgabendatum))-1))),"")</f>
        <v>0</v>
      </c>
      <c r="W11" s="541">
        <f>IF(W$5&gt;0,(INDEX(A_Aufgaben,(W$5-Arbeitszeit!$A$6+1),(2*(ROW()-ROW(A_Aufgabendatum))-1))),"")</f>
        <v>0</v>
      </c>
      <c r="X11" s="542">
        <f>IF(X$5&gt;0,(INDEX(A_Aufgaben,(X$5-Arbeitszeit!$A$6+1),(2*(ROW()-ROW(A_Aufgabendatum))-1))),"")</f>
        <v>0</v>
      </c>
      <c r="Y11" s="541">
        <f>IF(Y$5&gt;0,(INDEX(A_Aufgaben,(Y$5-Arbeitszeit!$A$6+1),(2*(ROW()-ROW(A_Aufgabendatum))-1))),"")</f>
        <v>0</v>
      </c>
      <c r="Z11" s="542">
        <f>IF(Z$5&gt;0,(INDEX(A_Aufgaben,(Z$5-Arbeitszeit!$A$6+1),(2*(ROW()-ROW(A_Aufgabendatum))-1))),"")</f>
        <v>0</v>
      </c>
      <c r="AA11" s="541">
        <f>IF(AA$5&gt;0,(INDEX(A_Aufgaben,(AA$5-Arbeitszeit!$A$6+1),(2*(ROW()-ROW(A_Aufgabendatum))-1))),"")</f>
        <v>0</v>
      </c>
      <c r="AB11" s="542">
        <f>IF(AB$5&gt;0,(INDEX(A_Aufgaben,(AB$5-Arbeitszeit!$A$6+1),(2*(ROW()-ROW(A_Aufgabendatum))-1))),"")</f>
        <v>0</v>
      </c>
      <c r="AC11" s="541">
        <f>IF(AC$5&gt;0,(INDEX(A_Aufgaben,(AC$5-Arbeitszeit!$A$6+1),(2*(ROW()-ROW(A_Aufgabendatum))-1))),"")</f>
        <v>0</v>
      </c>
      <c r="AD11" s="542">
        <f>IF(AD$5&gt;0,(INDEX(A_Aufgaben,(AD$5-Arbeitszeit!$A$6+1),(2*(ROW()-ROW(A_Aufgabendatum))-1))),"")</f>
        <v>0</v>
      </c>
      <c r="AE11" s="541">
        <f>IF(AE$5&gt;0,(INDEX(A_Aufgaben,(AE$5-Arbeitszeit!$A$6+1),(2*(ROW()-ROW(A_Aufgabendatum))-1))),"")</f>
        <v>0</v>
      </c>
      <c r="AF11" s="542">
        <f>IF(AF$5&gt;0,(INDEX(A_Aufgaben,(AF$5-Arbeitszeit!$A$6+1),(2*(ROW()-ROW(A_Aufgabendatum))-1))),"")</f>
        <v>0</v>
      </c>
      <c r="AG11" s="541">
        <f>IF(AG$5&gt;0,(INDEX(A_Aufgaben,(AG$5-Arbeitszeit!$A$6+1),(2*(ROW()-ROW(A_Aufgabendatum))-1))),"")</f>
        <v>0</v>
      </c>
      <c r="AH11" s="550">
        <f t="shared" si="1"/>
        <v>0</v>
      </c>
      <c r="AI11" s="3">
        <f t="shared" si="2"/>
        <v>0</v>
      </c>
    </row>
    <row r="12" spans="1:37">
      <c r="A12">
        <f t="shared" si="3"/>
        <v>0</v>
      </c>
      <c r="B12" s="540" t="str">
        <f>Aufgaben!S3</f>
        <v>Aufgabe 04</v>
      </c>
      <c r="C12" s="541">
        <f>IF(C$5&gt;0,(INDEX(A_Aufgaben,(C$5-Arbeitszeit!$A$6+1),(2*(ROW()-ROW(A_Aufgabendatum))-1))),"")</f>
        <v>0</v>
      </c>
      <c r="D12" s="542">
        <f>IF(D$5&gt;0,(INDEX(A_Aufgaben,(D$5-Arbeitszeit!$A$6+1),(2*(ROW()-ROW(A_Aufgabendatum))-1))),"")</f>
        <v>0</v>
      </c>
      <c r="E12" s="541">
        <f>IF(E$5&gt;0,(INDEX(A_Aufgaben,(E$5-Arbeitszeit!$A$6+1),(2*(ROW()-ROW(A_Aufgabendatum))-1))),"")</f>
        <v>0</v>
      </c>
      <c r="F12" s="542">
        <f>IF(F$5&gt;0,(INDEX(A_Aufgaben,(F$5-Arbeitszeit!$A$6+1),(2*(ROW()-ROW(A_Aufgabendatum))-1))),"")</f>
        <v>0</v>
      </c>
      <c r="G12" s="541">
        <f>IF(G$5&gt;0,(INDEX(A_Aufgaben,(G$5-Arbeitszeit!$A$6+1),(2*(ROW()-ROW(A_Aufgabendatum))-1))),"")</f>
        <v>0</v>
      </c>
      <c r="H12" s="542">
        <f>IF(H$5&gt;0,(INDEX(A_Aufgaben,(H$5-Arbeitszeit!$A$6+1),(2*(ROW()-ROW(A_Aufgabendatum))-1))),"")</f>
        <v>0</v>
      </c>
      <c r="I12" s="541">
        <f>IF(I$5&gt;0,(INDEX(A_Aufgaben,(I$5-Arbeitszeit!$A$6+1),(2*(ROW()-ROW(A_Aufgabendatum))-1))),"")</f>
        <v>0</v>
      </c>
      <c r="J12" s="542">
        <f>IF(J$5&gt;0,(INDEX(A_Aufgaben,(J$5-Arbeitszeit!$A$6+1),(2*(ROW()-ROW(A_Aufgabendatum))-1))),"")</f>
        <v>0</v>
      </c>
      <c r="K12" s="541">
        <f>IF(K$5&gt;0,(INDEX(A_Aufgaben,(K$5-Arbeitszeit!$A$6+1),(2*(ROW()-ROW(A_Aufgabendatum))-1))),"")</f>
        <v>0</v>
      </c>
      <c r="L12" s="542">
        <f>IF(L$5&gt;0,(INDEX(A_Aufgaben,(L$5-Arbeitszeit!$A$6+1),(2*(ROW()-ROW(A_Aufgabendatum))-1))),"")</f>
        <v>0</v>
      </c>
      <c r="M12" s="541">
        <f>IF(M$5&gt;0,(INDEX(A_Aufgaben,(M$5-Arbeitszeit!$A$6+1),(2*(ROW()-ROW(A_Aufgabendatum))-1))),"")</f>
        <v>0</v>
      </c>
      <c r="N12" s="542">
        <f>IF(N$5&gt;0,(INDEX(A_Aufgaben,(N$5-Arbeitszeit!$A$6+1),(2*(ROW()-ROW(A_Aufgabendatum))-1))),"")</f>
        <v>0</v>
      </c>
      <c r="O12" s="541">
        <f>IF(O$5&gt;0,(INDEX(A_Aufgaben,(O$5-Arbeitszeit!$A$6+1),(2*(ROW()-ROW(A_Aufgabendatum))-1))),"")</f>
        <v>0</v>
      </c>
      <c r="P12" s="542">
        <f>IF(P$5&gt;0,(INDEX(A_Aufgaben,(P$5-Arbeitszeit!$A$6+1),(2*(ROW()-ROW(A_Aufgabendatum))-1))),"")</f>
        <v>0</v>
      </c>
      <c r="Q12" s="541">
        <f>IF(Q$5&gt;0,(INDEX(A_Aufgaben,(Q$5-Arbeitszeit!$A$6+1),(2*(ROW()-ROW(A_Aufgabendatum))-1))),"")</f>
        <v>0</v>
      </c>
      <c r="R12" s="542">
        <f>IF(R$5&gt;0,(INDEX(A_Aufgaben,(R$5-Arbeitszeit!$A$6+1),(2*(ROW()-ROW(A_Aufgabendatum))-1))),"")</f>
        <v>0</v>
      </c>
      <c r="S12" s="541">
        <f>IF(S$5&gt;0,(INDEX(A_Aufgaben,(S$5-Arbeitszeit!$A$6+1),(2*(ROW()-ROW(A_Aufgabendatum))-1))),"")</f>
        <v>0</v>
      </c>
      <c r="T12" s="542">
        <f>IF(T$5&gt;0,(INDEX(A_Aufgaben,(T$5-Arbeitszeit!$A$6+1),(2*(ROW()-ROW(A_Aufgabendatum))-1))),"")</f>
        <v>0</v>
      </c>
      <c r="U12" s="541">
        <f>IF(U$5&gt;0,(INDEX(A_Aufgaben,(U$5-Arbeitszeit!$A$6+1),(2*(ROW()-ROW(A_Aufgabendatum))-1))),"")</f>
        <v>0</v>
      </c>
      <c r="V12" s="542">
        <f>IF(V$5&gt;0,(INDEX(A_Aufgaben,(V$5-Arbeitszeit!$A$6+1),(2*(ROW()-ROW(A_Aufgabendatum))-1))),"")</f>
        <v>0</v>
      </c>
      <c r="W12" s="541">
        <f>IF(W$5&gt;0,(INDEX(A_Aufgaben,(W$5-Arbeitszeit!$A$6+1),(2*(ROW()-ROW(A_Aufgabendatum))-1))),"")</f>
        <v>0</v>
      </c>
      <c r="X12" s="542">
        <f>IF(X$5&gt;0,(INDEX(A_Aufgaben,(X$5-Arbeitszeit!$A$6+1),(2*(ROW()-ROW(A_Aufgabendatum))-1))),"")</f>
        <v>0</v>
      </c>
      <c r="Y12" s="541">
        <f>IF(Y$5&gt;0,(INDEX(A_Aufgaben,(Y$5-Arbeitszeit!$A$6+1),(2*(ROW()-ROW(A_Aufgabendatum))-1))),"")</f>
        <v>0</v>
      </c>
      <c r="Z12" s="542">
        <f>IF(Z$5&gt;0,(INDEX(A_Aufgaben,(Z$5-Arbeitszeit!$A$6+1),(2*(ROW()-ROW(A_Aufgabendatum))-1))),"")</f>
        <v>0</v>
      </c>
      <c r="AA12" s="541">
        <f>IF(AA$5&gt;0,(INDEX(A_Aufgaben,(AA$5-Arbeitszeit!$A$6+1),(2*(ROW()-ROW(A_Aufgabendatum))-1))),"")</f>
        <v>0</v>
      </c>
      <c r="AB12" s="542">
        <f>IF(AB$5&gt;0,(INDEX(A_Aufgaben,(AB$5-Arbeitszeit!$A$6+1),(2*(ROW()-ROW(A_Aufgabendatum))-1))),"")</f>
        <v>0</v>
      </c>
      <c r="AC12" s="541">
        <f>IF(AC$5&gt;0,(INDEX(A_Aufgaben,(AC$5-Arbeitszeit!$A$6+1),(2*(ROW()-ROW(A_Aufgabendatum))-1))),"")</f>
        <v>0</v>
      </c>
      <c r="AD12" s="542">
        <f>IF(AD$5&gt;0,(INDEX(A_Aufgaben,(AD$5-Arbeitszeit!$A$6+1),(2*(ROW()-ROW(A_Aufgabendatum))-1))),"")</f>
        <v>0</v>
      </c>
      <c r="AE12" s="541">
        <f>IF(AE$5&gt;0,(INDEX(A_Aufgaben,(AE$5-Arbeitszeit!$A$6+1),(2*(ROW()-ROW(A_Aufgabendatum))-1))),"")</f>
        <v>0</v>
      </c>
      <c r="AF12" s="542">
        <f>IF(AF$5&gt;0,(INDEX(A_Aufgaben,(AF$5-Arbeitszeit!$A$6+1),(2*(ROW()-ROW(A_Aufgabendatum))-1))),"")</f>
        <v>0</v>
      </c>
      <c r="AG12" s="541">
        <f>IF(AG$5&gt;0,(INDEX(A_Aufgaben,(AG$5-Arbeitszeit!$A$6+1),(2*(ROW()-ROW(A_Aufgabendatum))-1))),"")</f>
        <v>0</v>
      </c>
      <c r="AH12" s="550">
        <f t="shared" si="1"/>
        <v>0</v>
      </c>
      <c r="AI12" s="3">
        <f t="shared" si="2"/>
        <v>0</v>
      </c>
    </row>
    <row r="13" spans="1:37">
      <c r="A13">
        <f t="shared" si="3"/>
        <v>0</v>
      </c>
      <c r="B13" s="540" t="str">
        <f>Aufgaben!U3</f>
        <v>Aufgabe 05</v>
      </c>
      <c r="C13" s="541">
        <f>IF(C$5&gt;0,(INDEX(A_Aufgaben,(C$5-Arbeitszeit!$A$6+1),(2*(ROW()-ROW(A_Aufgabendatum))-1))),"")</f>
        <v>0</v>
      </c>
      <c r="D13" s="542">
        <f>IF(D$5&gt;0,(INDEX(A_Aufgaben,(D$5-Arbeitszeit!$A$6+1),(2*(ROW()-ROW(A_Aufgabendatum))-1))),"")</f>
        <v>0</v>
      </c>
      <c r="E13" s="541">
        <f>IF(E$5&gt;0,(INDEX(A_Aufgaben,(E$5-Arbeitszeit!$A$6+1),(2*(ROW()-ROW(A_Aufgabendatum))-1))),"")</f>
        <v>0</v>
      </c>
      <c r="F13" s="542">
        <f>IF(F$5&gt;0,(INDEX(A_Aufgaben,(F$5-Arbeitszeit!$A$6+1),(2*(ROW()-ROW(A_Aufgabendatum))-1))),"")</f>
        <v>0</v>
      </c>
      <c r="G13" s="541">
        <f>IF(G$5&gt;0,(INDEX(A_Aufgaben,(G$5-Arbeitszeit!$A$6+1),(2*(ROW()-ROW(A_Aufgabendatum))-1))),"")</f>
        <v>0</v>
      </c>
      <c r="H13" s="542">
        <f>IF(H$5&gt;0,(INDEX(A_Aufgaben,(H$5-Arbeitszeit!$A$6+1),(2*(ROW()-ROW(A_Aufgabendatum))-1))),"")</f>
        <v>0</v>
      </c>
      <c r="I13" s="541">
        <f>IF(I$5&gt;0,(INDEX(A_Aufgaben,(I$5-Arbeitszeit!$A$6+1),(2*(ROW()-ROW(A_Aufgabendatum))-1))),"")</f>
        <v>0</v>
      </c>
      <c r="J13" s="542">
        <f>IF(J$5&gt;0,(INDEX(A_Aufgaben,(J$5-Arbeitszeit!$A$6+1),(2*(ROW()-ROW(A_Aufgabendatum))-1))),"")</f>
        <v>0</v>
      </c>
      <c r="K13" s="541">
        <f>IF(K$5&gt;0,(INDEX(A_Aufgaben,(K$5-Arbeitszeit!$A$6+1),(2*(ROW()-ROW(A_Aufgabendatum))-1))),"")</f>
        <v>0</v>
      </c>
      <c r="L13" s="542">
        <f>IF(L$5&gt;0,(INDEX(A_Aufgaben,(L$5-Arbeitszeit!$A$6+1),(2*(ROW()-ROW(A_Aufgabendatum))-1))),"")</f>
        <v>0</v>
      </c>
      <c r="M13" s="541">
        <f>IF(M$5&gt;0,(INDEX(A_Aufgaben,(M$5-Arbeitszeit!$A$6+1),(2*(ROW()-ROW(A_Aufgabendatum))-1))),"")</f>
        <v>0</v>
      </c>
      <c r="N13" s="542">
        <f>IF(N$5&gt;0,(INDEX(A_Aufgaben,(N$5-Arbeitszeit!$A$6+1),(2*(ROW()-ROW(A_Aufgabendatum))-1))),"")</f>
        <v>0</v>
      </c>
      <c r="O13" s="541">
        <f>IF(O$5&gt;0,(INDEX(A_Aufgaben,(O$5-Arbeitszeit!$A$6+1),(2*(ROW()-ROW(A_Aufgabendatum))-1))),"")</f>
        <v>0</v>
      </c>
      <c r="P13" s="542">
        <f>IF(P$5&gt;0,(INDEX(A_Aufgaben,(P$5-Arbeitszeit!$A$6+1),(2*(ROW()-ROW(A_Aufgabendatum))-1))),"")</f>
        <v>0</v>
      </c>
      <c r="Q13" s="541">
        <f>IF(Q$5&gt;0,(INDEX(A_Aufgaben,(Q$5-Arbeitszeit!$A$6+1),(2*(ROW()-ROW(A_Aufgabendatum))-1))),"")</f>
        <v>0</v>
      </c>
      <c r="R13" s="542">
        <f>IF(R$5&gt;0,(INDEX(A_Aufgaben,(R$5-Arbeitszeit!$A$6+1),(2*(ROW()-ROW(A_Aufgabendatum))-1))),"")</f>
        <v>0</v>
      </c>
      <c r="S13" s="541">
        <f>IF(S$5&gt;0,(INDEX(A_Aufgaben,(S$5-Arbeitszeit!$A$6+1),(2*(ROW()-ROW(A_Aufgabendatum))-1))),"")</f>
        <v>0</v>
      </c>
      <c r="T13" s="542">
        <f>IF(T$5&gt;0,(INDEX(A_Aufgaben,(T$5-Arbeitszeit!$A$6+1),(2*(ROW()-ROW(A_Aufgabendatum))-1))),"")</f>
        <v>0</v>
      </c>
      <c r="U13" s="541">
        <f>IF(U$5&gt;0,(INDEX(A_Aufgaben,(U$5-Arbeitszeit!$A$6+1),(2*(ROW()-ROW(A_Aufgabendatum))-1))),"")</f>
        <v>0</v>
      </c>
      <c r="V13" s="542">
        <f>IF(V$5&gt;0,(INDEX(A_Aufgaben,(V$5-Arbeitszeit!$A$6+1),(2*(ROW()-ROW(A_Aufgabendatum))-1))),"")</f>
        <v>0</v>
      </c>
      <c r="W13" s="541">
        <f>IF(W$5&gt;0,(INDEX(A_Aufgaben,(W$5-Arbeitszeit!$A$6+1),(2*(ROW()-ROW(A_Aufgabendatum))-1))),"")</f>
        <v>0</v>
      </c>
      <c r="X13" s="542">
        <f>IF(X$5&gt;0,(INDEX(A_Aufgaben,(X$5-Arbeitszeit!$A$6+1),(2*(ROW()-ROW(A_Aufgabendatum))-1))),"")</f>
        <v>0</v>
      </c>
      <c r="Y13" s="541">
        <f>IF(Y$5&gt;0,(INDEX(A_Aufgaben,(Y$5-Arbeitszeit!$A$6+1),(2*(ROW()-ROW(A_Aufgabendatum))-1))),"")</f>
        <v>0</v>
      </c>
      <c r="Z13" s="542">
        <f>IF(Z$5&gt;0,(INDEX(A_Aufgaben,(Z$5-Arbeitszeit!$A$6+1),(2*(ROW()-ROW(A_Aufgabendatum))-1))),"")</f>
        <v>0</v>
      </c>
      <c r="AA13" s="541">
        <f>IF(AA$5&gt;0,(INDEX(A_Aufgaben,(AA$5-Arbeitszeit!$A$6+1),(2*(ROW()-ROW(A_Aufgabendatum))-1))),"")</f>
        <v>0</v>
      </c>
      <c r="AB13" s="542">
        <f>IF(AB$5&gt;0,(INDEX(A_Aufgaben,(AB$5-Arbeitszeit!$A$6+1),(2*(ROW()-ROW(A_Aufgabendatum))-1))),"")</f>
        <v>0</v>
      </c>
      <c r="AC13" s="541">
        <f>IF(AC$5&gt;0,(INDEX(A_Aufgaben,(AC$5-Arbeitszeit!$A$6+1),(2*(ROW()-ROW(A_Aufgabendatum))-1))),"")</f>
        <v>0</v>
      </c>
      <c r="AD13" s="542">
        <f>IF(AD$5&gt;0,(INDEX(A_Aufgaben,(AD$5-Arbeitszeit!$A$6+1),(2*(ROW()-ROW(A_Aufgabendatum))-1))),"")</f>
        <v>0</v>
      </c>
      <c r="AE13" s="541">
        <f>IF(AE$5&gt;0,(INDEX(A_Aufgaben,(AE$5-Arbeitszeit!$A$6+1),(2*(ROW()-ROW(A_Aufgabendatum))-1))),"")</f>
        <v>0</v>
      </c>
      <c r="AF13" s="542">
        <f>IF(AF$5&gt;0,(INDEX(A_Aufgaben,(AF$5-Arbeitszeit!$A$6+1),(2*(ROW()-ROW(A_Aufgabendatum))-1))),"")</f>
        <v>0</v>
      </c>
      <c r="AG13" s="541">
        <f>IF(AG$5&gt;0,(INDEX(A_Aufgaben,(AG$5-Arbeitszeit!$A$6+1),(2*(ROW()-ROW(A_Aufgabendatum))-1))),"")</f>
        <v>0</v>
      </c>
      <c r="AH13" s="550">
        <f t="shared" si="1"/>
        <v>0</v>
      </c>
      <c r="AI13" s="3">
        <f t="shared" si="2"/>
        <v>0</v>
      </c>
    </row>
    <row r="14" spans="1:37">
      <c r="A14">
        <f t="shared" si="3"/>
        <v>0</v>
      </c>
      <c r="B14" s="540" t="str">
        <f>Aufgaben!W3</f>
        <v>Aufgabe 06</v>
      </c>
      <c r="C14" s="541">
        <f>IF(C$5&gt;0,(INDEX(A_Aufgaben,(C$5-Arbeitszeit!$A$6+1),(2*(ROW()-ROW(A_Aufgabendatum))-1))),"")</f>
        <v>0</v>
      </c>
      <c r="D14" s="542">
        <f>IF(D$5&gt;0,(INDEX(A_Aufgaben,(D$5-Arbeitszeit!$A$6+1),(2*(ROW()-ROW(A_Aufgabendatum))-1))),"")</f>
        <v>0</v>
      </c>
      <c r="E14" s="541">
        <f>IF(E$5&gt;0,(INDEX(A_Aufgaben,(E$5-Arbeitszeit!$A$6+1),(2*(ROW()-ROW(A_Aufgabendatum))-1))),"")</f>
        <v>0</v>
      </c>
      <c r="F14" s="542">
        <f>IF(F$5&gt;0,(INDEX(A_Aufgaben,(F$5-Arbeitszeit!$A$6+1),(2*(ROW()-ROW(A_Aufgabendatum))-1))),"")</f>
        <v>0</v>
      </c>
      <c r="G14" s="541">
        <f>IF(G$5&gt;0,(INDEX(A_Aufgaben,(G$5-Arbeitszeit!$A$6+1),(2*(ROW()-ROW(A_Aufgabendatum))-1))),"")</f>
        <v>0</v>
      </c>
      <c r="H14" s="542">
        <f>IF(H$5&gt;0,(INDEX(A_Aufgaben,(H$5-Arbeitszeit!$A$6+1),(2*(ROW()-ROW(A_Aufgabendatum))-1))),"")</f>
        <v>0</v>
      </c>
      <c r="I14" s="541">
        <f>IF(I$5&gt;0,(INDEX(A_Aufgaben,(I$5-Arbeitszeit!$A$6+1),(2*(ROW()-ROW(A_Aufgabendatum))-1))),"")</f>
        <v>0</v>
      </c>
      <c r="J14" s="542">
        <f>IF(J$5&gt;0,(INDEX(A_Aufgaben,(J$5-Arbeitszeit!$A$6+1),(2*(ROW()-ROW(A_Aufgabendatum))-1))),"")</f>
        <v>0</v>
      </c>
      <c r="K14" s="541">
        <f>IF(K$5&gt;0,(INDEX(A_Aufgaben,(K$5-Arbeitszeit!$A$6+1),(2*(ROW()-ROW(A_Aufgabendatum))-1))),"")</f>
        <v>0</v>
      </c>
      <c r="L14" s="542">
        <f>IF(L$5&gt;0,(INDEX(A_Aufgaben,(L$5-Arbeitszeit!$A$6+1),(2*(ROW()-ROW(A_Aufgabendatum))-1))),"")</f>
        <v>0</v>
      </c>
      <c r="M14" s="541">
        <f>IF(M$5&gt;0,(INDEX(A_Aufgaben,(M$5-Arbeitszeit!$A$6+1),(2*(ROW()-ROW(A_Aufgabendatum))-1))),"")</f>
        <v>0</v>
      </c>
      <c r="N14" s="542">
        <f>IF(N$5&gt;0,(INDEX(A_Aufgaben,(N$5-Arbeitszeit!$A$6+1),(2*(ROW()-ROW(A_Aufgabendatum))-1))),"")</f>
        <v>0</v>
      </c>
      <c r="O14" s="541">
        <f>IF(O$5&gt;0,(INDEX(A_Aufgaben,(O$5-Arbeitszeit!$A$6+1),(2*(ROW()-ROW(A_Aufgabendatum))-1))),"")</f>
        <v>0</v>
      </c>
      <c r="P14" s="542">
        <f>IF(P$5&gt;0,(INDEX(A_Aufgaben,(P$5-Arbeitszeit!$A$6+1),(2*(ROW()-ROW(A_Aufgabendatum))-1))),"")</f>
        <v>0</v>
      </c>
      <c r="Q14" s="541">
        <f>IF(Q$5&gt;0,(INDEX(A_Aufgaben,(Q$5-Arbeitszeit!$A$6+1),(2*(ROW()-ROW(A_Aufgabendatum))-1))),"")</f>
        <v>0</v>
      </c>
      <c r="R14" s="542">
        <f>IF(R$5&gt;0,(INDEX(A_Aufgaben,(R$5-Arbeitszeit!$A$6+1),(2*(ROW()-ROW(A_Aufgabendatum))-1))),"")</f>
        <v>0</v>
      </c>
      <c r="S14" s="541">
        <f>IF(S$5&gt;0,(INDEX(A_Aufgaben,(S$5-Arbeitszeit!$A$6+1),(2*(ROW()-ROW(A_Aufgabendatum))-1))),"")</f>
        <v>0</v>
      </c>
      <c r="T14" s="542">
        <f>IF(T$5&gt;0,(INDEX(A_Aufgaben,(T$5-Arbeitszeit!$A$6+1),(2*(ROW()-ROW(A_Aufgabendatum))-1))),"")</f>
        <v>0</v>
      </c>
      <c r="U14" s="541">
        <f>IF(U$5&gt;0,(INDEX(A_Aufgaben,(U$5-Arbeitszeit!$A$6+1),(2*(ROW()-ROW(A_Aufgabendatum))-1))),"")</f>
        <v>0</v>
      </c>
      <c r="V14" s="542">
        <f>IF(V$5&gt;0,(INDEX(A_Aufgaben,(V$5-Arbeitszeit!$A$6+1),(2*(ROW()-ROW(A_Aufgabendatum))-1))),"")</f>
        <v>0</v>
      </c>
      <c r="W14" s="541">
        <f>IF(W$5&gt;0,(INDEX(A_Aufgaben,(W$5-Arbeitszeit!$A$6+1),(2*(ROW()-ROW(A_Aufgabendatum))-1))),"")</f>
        <v>0</v>
      </c>
      <c r="X14" s="542">
        <f>IF(X$5&gt;0,(INDEX(A_Aufgaben,(X$5-Arbeitszeit!$A$6+1),(2*(ROW()-ROW(A_Aufgabendatum))-1))),"")</f>
        <v>0</v>
      </c>
      <c r="Y14" s="541">
        <f>IF(Y$5&gt;0,(INDEX(A_Aufgaben,(Y$5-Arbeitszeit!$A$6+1),(2*(ROW()-ROW(A_Aufgabendatum))-1))),"")</f>
        <v>0</v>
      </c>
      <c r="Z14" s="542">
        <f>IF(Z$5&gt;0,(INDEX(A_Aufgaben,(Z$5-Arbeitszeit!$A$6+1),(2*(ROW()-ROW(A_Aufgabendatum))-1))),"")</f>
        <v>0</v>
      </c>
      <c r="AA14" s="541">
        <f>IF(AA$5&gt;0,(INDEX(A_Aufgaben,(AA$5-Arbeitszeit!$A$6+1),(2*(ROW()-ROW(A_Aufgabendatum))-1))),"")</f>
        <v>0</v>
      </c>
      <c r="AB14" s="542">
        <f>IF(AB$5&gt;0,(INDEX(A_Aufgaben,(AB$5-Arbeitszeit!$A$6+1),(2*(ROW()-ROW(A_Aufgabendatum))-1))),"")</f>
        <v>0</v>
      </c>
      <c r="AC14" s="541">
        <f>IF(AC$5&gt;0,(INDEX(A_Aufgaben,(AC$5-Arbeitszeit!$A$6+1),(2*(ROW()-ROW(A_Aufgabendatum))-1))),"")</f>
        <v>0</v>
      </c>
      <c r="AD14" s="542">
        <f>IF(AD$5&gt;0,(INDEX(A_Aufgaben,(AD$5-Arbeitszeit!$A$6+1),(2*(ROW()-ROW(A_Aufgabendatum))-1))),"")</f>
        <v>0</v>
      </c>
      <c r="AE14" s="541">
        <f>IF(AE$5&gt;0,(INDEX(A_Aufgaben,(AE$5-Arbeitszeit!$A$6+1),(2*(ROW()-ROW(A_Aufgabendatum))-1))),"")</f>
        <v>0</v>
      </c>
      <c r="AF14" s="542">
        <f>IF(AF$5&gt;0,(INDEX(A_Aufgaben,(AF$5-Arbeitszeit!$A$6+1),(2*(ROW()-ROW(A_Aufgabendatum))-1))),"")</f>
        <v>0</v>
      </c>
      <c r="AG14" s="541">
        <f>IF(AG$5&gt;0,(INDEX(A_Aufgaben,(AG$5-Arbeitszeit!$A$6+1),(2*(ROW()-ROW(A_Aufgabendatum))-1))),"")</f>
        <v>0</v>
      </c>
      <c r="AH14" s="550">
        <f t="shared" si="1"/>
        <v>0</v>
      </c>
      <c r="AI14" s="3">
        <f t="shared" si="2"/>
        <v>0</v>
      </c>
    </row>
    <row r="15" spans="1:37">
      <c r="A15">
        <f t="shared" si="3"/>
        <v>0</v>
      </c>
      <c r="B15" s="540" t="str">
        <f>Aufgaben!Y3</f>
        <v>Aufgabe 07</v>
      </c>
      <c r="C15" s="541">
        <f>IF(C$5&gt;0,(INDEX(A_Aufgaben,(C$5-Arbeitszeit!$A$6+1),(2*(ROW()-ROW(A_Aufgabendatum))-1))),"")</f>
        <v>0</v>
      </c>
      <c r="D15" s="542">
        <f>IF(D$5&gt;0,(INDEX(A_Aufgaben,(D$5-Arbeitszeit!$A$6+1),(2*(ROW()-ROW(A_Aufgabendatum))-1))),"")</f>
        <v>0</v>
      </c>
      <c r="E15" s="541">
        <f>IF(E$5&gt;0,(INDEX(A_Aufgaben,(E$5-Arbeitszeit!$A$6+1),(2*(ROW()-ROW(A_Aufgabendatum))-1))),"")</f>
        <v>0</v>
      </c>
      <c r="F15" s="542">
        <f>IF(F$5&gt;0,(INDEX(A_Aufgaben,(F$5-Arbeitszeit!$A$6+1),(2*(ROW()-ROW(A_Aufgabendatum))-1))),"")</f>
        <v>0</v>
      </c>
      <c r="G15" s="541">
        <f>IF(G$5&gt;0,(INDEX(A_Aufgaben,(G$5-Arbeitszeit!$A$6+1),(2*(ROW()-ROW(A_Aufgabendatum))-1))),"")</f>
        <v>0</v>
      </c>
      <c r="H15" s="542">
        <f>IF(H$5&gt;0,(INDEX(A_Aufgaben,(H$5-Arbeitszeit!$A$6+1),(2*(ROW()-ROW(A_Aufgabendatum))-1))),"")</f>
        <v>0</v>
      </c>
      <c r="I15" s="541">
        <f>IF(I$5&gt;0,(INDEX(A_Aufgaben,(I$5-Arbeitszeit!$A$6+1),(2*(ROW()-ROW(A_Aufgabendatum))-1))),"")</f>
        <v>0</v>
      </c>
      <c r="J15" s="542">
        <f>IF(J$5&gt;0,(INDEX(A_Aufgaben,(J$5-Arbeitszeit!$A$6+1),(2*(ROW()-ROW(A_Aufgabendatum))-1))),"")</f>
        <v>0</v>
      </c>
      <c r="K15" s="541">
        <f>IF(K$5&gt;0,(INDEX(A_Aufgaben,(K$5-Arbeitszeit!$A$6+1),(2*(ROW()-ROW(A_Aufgabendatum))-1))),"")</f>
        <v>0</v>
      </c>
      <c r="L15" s="542">
        <f>IF(L$5&gt;0,(INDEX(A_Aufgaben,(L$5-Arbeitszeit!$A$6+1),(2*(ROW()-ROW(A_Aufgabendatum))-1))),"")</f>
        <v>0</v>
      </c>
      <c r="M15" s="541">
        <f>IF(M$5&gt;0,(INDEX(A_Aufgaben,(M$5-Arbeitszeit!$A$6+1),(2*(ROW()-ROW(A_Aufgabendatum))-1))),"")</f>
        <v>0</v>
      </c>
      <c r="N15" s="542">
        <f>IF(N$5&gt;0,(INDEX(A_Aufgaben,(N$5-Arbeitszeit!$A$6+1),(2*(ROW()-ROW(A_Aufgabendatum))-1))),"")</f>
        <v>0</v>
      </c>
      <c r="O15" s="541">
        <f>IF(O$5&gt;0,(INDEX(A_Aufgaben,(O$5-Arbeitszeit!$A$6+1),(2*(ROW()-ROW(A_Aufgabendatum))-1))),"")</f>
        <v>0</v>
      </c>
      <c r="P15" s="542">
        <f>IF(P$5&gt;0,(INDEX(A_Aufgaben,(P$5-Arbeitszeit!$A$6+1),(2*(ROW()-ROW(A_Aufgabendatum))-1))),"")</f>
        <v>0</v>
      </c>
      <c r="Q15" s="541">
        <f>IF(Q$5&gt;0,(INDEX(A_Aufgaben,(Q$5-Arbeitszeit!$A$6+1),(2*(ROW()-ROW(A_Aufgabendatum))-1))),"")</f>
        <v>0</v>
      </c>
      <c r="R15" s="542">
        <f>IF(R$5&gt;0,(INDEX(A_Aufgaben,(R$5-Arbeitszeit!$A$6+1),(2*(ROW()-ROW(A_Aufgabendatum))-1))),"")</f>
        <v>0</v>
      </c>
      <c r="S15" s="541">
        <f>IF(S$5&gt;0,(INDEX(A_Aufgaben,(S$5-Arbeitszeit!$A$6+1),(2*(ROW()-ROW(A_Aufgabendatum))-1))),"")</f>
        <v>0</v>
      </c>
      <c r="T15" s="542">
        <f>IF(T$5&gt;0,(INDEX(A_Aufgaben,(T$5-Arbeitszeit!$A$6+1),(2*(ROW()-ROW(A_Aufgabendatum))-1))),"")</f>
        <v>0</v>
      </c>
      <c r="U15" s="541">
        <f>IF(U$5&gt;0,(INDEX(A_Aufgaben,(U$5-Arbeitszeit!$A$6+1),(2*(ROW()-ROW(A_Aufgabendatum))-1))),"")</f>
        <v>0</v>
      </c>
      <c r="V15" s="542">
        <f>IF(V$5&gt;0,(INDEX(A_Aufgaben,(V$5-Arbeitszeit!$A$6+1),(2*(ROW()-ROW(A_Aufgabendatum))-1))),"")</f>
        <v>0</v>
      </c>
      <c r="W15" s="541">
        <f>IF(W$5&gt;0,(INDEX(A_Aufgaben,(W$5-Arbeitszeit!$A$6+1),(2*(ROW()-ROW(A_Aufgabendatum))-1))),"")</f>
        <v>0</v>
      </c>
      <c r="X15" s="542">
        <f>IF(X$5&gt;0,(INDEX(A_Aufgaben,(X$5-Arbeitszeit!$A$6+1),(2*(ROW()-ROW(A_Aufgabendatum))-1))),"")</f>
        <v>0</v>
      </c>
      <c r="Y15" s="541">
        <f>IF(Y$5&gt;0,(INDEX(A_Aufgaben,(Y$5-Arbeitszeit!$A$6+1),(2*(ROW()-ROW(A_Aufgabendatum))-1))),"")</f>
        <v>0</v>
      </c>
      <c r="Z15" s="542">
        <f>IF(Z$5&gt;0,(INDEX(A_Aufgaben,(Z$5-Arbeitszeit!$A$6+1),(2*(ROW()-ROW(A_Aufgabendatum))-1))),"")</f>
        <v>0</v>
      </c>
      <c r="AA15" s="541">
        <f>IF(AA$5&gt;0,(INDEX(A_Aufgaben,(AA$5-Arbeitszeit!$A$6+1),(2*(ROW()-ROW(A_Aufgabendatum))-1))),"")</f>
        <v>0</v>
      </c>
      <c r="AB15" s="542">
        <f>IF(AB$5&gt;0,(INDEX(A_Aufgaben,(AB$5-Arbeitszeit!$A$6+1),(2*(ROW()-ROW(A_Aufgabendatum))-1))),"")</f>
        <v>0</v>
      </c>
      <c r="AC15" s="541">
        <f>IF(AC$5&gt;0,(INDEX(A_Aufgaben,(AC$5-Arbeitszeit!$A$6+1),(2*(ROW()-ROW(A_Aufgabendatum))-1))),"")</f>
        <v>0</v>
      </c>
      <c r="AD15" s="542">
        <f>IF(AD$5&gt;0,(INDEX(A_Aufgaben,(AD$5-Arbeitszeit!$A$6+1),(2*(ROW()-ROW(A_Aufgabendatum))-1))),"")</f>
        <v>0</v>
      </c>
      <c r="AE15" s="541">
        <f>IF(AE$5&gt;0,(INDEX(A_Aufgaben,(AE$5-Arbeitszeit!$A$6+1),(2*(ROW()-ROW(A_Aufgabendatum))-1))),"")</f>
        <v>0</v>
      </c>
      <c r="AF15" s="542">
        <f>IF(AF$5&gt;0,(INDEX(A_Aufgaben,(AF$5-Arbeitszeit!$A$6+1),(2*(ROW()-ROW(A_Aufgabendatum))-1))),"")</f>
        <v>0</v>
      </c>
      <c r="AG15" s="541">
        <f>IF(AG$5&gt;0,(INDEX(A_Aufgaben,(AG$5-Arbeitszeit!$A$6+1),(2*(ROW()-ROW(A_Aufgabendatum))-1))),"")</f>
        <v>0</v>
      </c>
      <c r="AH15" s="550">
        <f t="shared" si="1"/>
        <v>0</v>
      </c>
      <c r="AI15" s="3">
        <f t="shared" si="2"/>
        <v>0</v>
      </c>
      <c r="AK15" s="314"/>
    </row>
    <row r="16" spans="1:37">
      <c r="A16">
        <f t="shared" si="3"/>
        <v>0</v>
      </c>
      <c r="B16" s="540" t="str">
        <f>Aufgaben!AA3</f>
        <v>Aufgabe 08</v>
      </c>
      <c r="C16" s="541">
        <f>IF(C$5&gt;0,(INDEX(A_Aufgaben,(C$5-Arbeitszeit!$A$6+1),(2*(ROW()-ROW(A_Aufgabendatum))-1))),"")</f>
        <v>0</v>
      </c>
      <c r="D16" s="542">
        <f>IF(D$5&gt;0,(INDEX(A_Aufgaben,(D$5-Arbeitszeit!$A$6+1),(2*(ROW()-ROW(A_Aufgabendatum))-1))),"")</f>
        <v>0</v>
      </c>
      <c r="E16" s="541">
        <f>IF(E$5&gt;0,(INDEX(A_Aufgaben,(E$5-Arbeitszeit!$A$6+1),(2*(ROW()-ROW(A_Aufgabendatum))-1))),"")</f>
        <v>0</v>
      </c>
      <c r="F16" s="542">
        <f>IF(F$5&gt;0,(INDEX(A_Aufgaben,(F$5-Arbeitszeit!$A$6+1),(2*(ROW()-ROW(A_Aufgabendatum))-1))),"")</f>
        <v>0</v>
      </c>
      <c r="G16" s="541">
        <f>IF(G$5&gt;0,(INDEX(A_Aufgaben,(G$5-Arbeitszeit!$A$6+1),(2*(ROW()-ROW(A_Aufgabendatum))-1))),"")</f>
        <v>0</v>
      </c>
      <c r="H16" s="542">
        <f>IF(H$5&gt;0,(INDEX(A_Aufgaben,(H$5-Arbeitszeit!$A$6+1),(2*(ROW()-ROW(A_Aufgabendatum))-1))),"")</f>
        <v>0</v>
      </c>
      <c r="I16" s="541">
        <f>IF(I$5&gt;0,(INDEX(A_Aufgaben,(I$5-Arbeitszeit!$A$6+1),(2*(ROW()-ROW(A_Aufgabendatum))-1))),"")</f>
        <v>0</v>
      </c>
      <c r="J16" s="542">
        <f>IF(J$5&gt;0,(INDEX(A_Aufgaben,(J$5-Arbeitszeit!$A$6+1),(2*(ROW()-ROW(A_Aufgabendatum))-1))),"")</f>
        <v>0</v>
      </c>
      <c r="K16" s="541">
        <f>IF(K$5&gt;0,(INDEX(A_Aufgaben,(K$5-Arbeitszeit!$A$6+1),(2*(ROW()-ROW(A_Aufgabendatum))-1))),"")</f>
        <v>0</v>
      </c>
      <c r="L16" s="542">
        <f>IF(L$5&gt;0,(INDEX(A_Aufgaben,(L$5-Arbeitszeit!$A$6+1),(2*(ROW()-ROW(A_Aufgabendatum))-1))),"")</f>
        <v>0</v>
      </c>
      <c r="M16" s="541">
        <f>IF(M$5&gt;0,(INDEX(A_Aufgaben,(M$5-Arbeitszeit!$A$6+1),(2*(ROW()-ROW(A_Aufgabendatum))-1))),"")</f>
        <v>0</v>
      </c>
      <c r="N16" s="542">
        <f>IF(N$5&gt;0,(INDEX(A_Aufgaben,(N$5-Arbeitszeit!$A$6+1),(2*(ROW()-ROW(A_Aufgabendatum))-1))),"")</f>
        <v>0</v>
      </c>
      <c r="O16" s="541">
        <f>IF(O$5&gt;0,(INDEX(A_Aufgaben,(O$5-Arbeitszeit!$A$6+1),(2*(ROW()-ROW(A_Aufgabendatum))-1))),"")</f>
        <v>0</v>
      </c>
      <c r="P16" s="542">
        <f>IF(P$5&gt;0,(INDEX(A_Aufgaben,(P$5-Arbeitszeit!$A$6+1),(2*(ROW()-ROW(A_Aufgabendatum))-1))),"")</f>
        <v>0</v>
      </c>
      <c r="Q16" s="541">
        <f>IF(Q$5&gt;0,(INDEX(A_Aufgaben,(Q$5-Arbeitszeit!$A$6+1),(2*(ROW()-ROW(A_Aufgabendatum))-1))),"")</f>
        <v>0</v>
      </c>
      <c r="R16" s="542">
        <f>IF(R$5&gt;0,(INDEX(A_Aufgaben,(R$5-Arbeitszeit!$A$6+1),(2*(ROW()-ROW(A_Aufgabendatum))-1))),"")</f>
        <v>0</v>
      </c>
      <c r="S16" s="541">
        <f>IF(S$5&gt;0,(INDEX(A_Aufgaben,(S$5-Arbeitszeit!$A$6+1),(2*(ROW()-ROW(A_Aufgabendatum))-1))),"")</f>
        <v>0</v>
      </c>
      <c r="T16" s="542">
        <f>IF(T$5&gt;0,(INDEX(A_Aufgaben,(T$5-Arbeitszeit!$A$6+1),(2*(ROW()-ROW(A_Aufgabendatum))-1))),"")</f>
        <v>0</v>
      </c>
      <c r="U16" s="541">
        <f>IF(U$5&gt;0,(INDEX(A_Aufgaben,(U$5-Arbeitszeit!$A$6+1),(2*(ROW()-ROW(A_Aufgabendatum))-1))),"")</f>
        <v>0</v>
      </c>
      <c r="V16" s="542">
        <f>IF(V$5&gt;0,(INDEX(A_Aufgaben,(V$5-Arbeitszeit!$A$6+1),(2*(ROW()-ROW(A_Aufgabendatum))-1))),"")</f>
        <v>0</v>
      </c>
      <c r="W16" s="541">
        <f>IF(W$5&gt;0,(INDEX(A_Aufgaben,(W$5-Arbeitszeit!$A$6+1),(2*(ROW()-ROW(A_Aufgabendatum))-1))),"")</f>
        <v>0</v>
      </c>
      <c r="X16" s="542">
        <f>IF(X$5&gt;0,(INDEX(A_Aufgaben,(X$5-Arbeitszeit!$A$6+1),(2*(ROW()-ROW(A_Aufgabendatum))-1))),"")</f>
        <v>0</v>
      </c>
      <c r="Y16" s="541">
        <f>IF(Y$5&gt;0,(INDEX(A_Aufgaben,(Y$5-Arbeitszeit!$A$6+1),(2*(ROW()-ROW(A_Aufgabendatum))-1))),"")</f>
        <v>0</v>
      </c>
      <c r="Z16" s="542">
        <f>IF(Z$5&gt;0,(INDEX(A_Aufgaben,(Z$5-Arbeitszeit!$A$6+1),(2*(ROW()-ROW(A_Aufgabendatum))-1))),"")</f>
        <v>0</v>
      </c>
      <c r="AA16" s="541">
        <f>IF(AA$5&gt;0,(INDEX(A_Aufgaben,(AA$5-Arbeitszeit!$A$6+1),(2*(ROW()-ROW(A_Aufgabendatum))-1))),"")</f>
        <v>0</v>
      </c>
      <c r="AB16" s="542">
        <f>IF(AB$5&gt;0,(INDEX(A_Aufgaben,(AB$5-Arbeitszeit!$A$6+1),(2*(ROW()-ROW(A_Aufgabendatum))-1))),"")</f>
        <v>0</v>
      </c>
      <c r="AC16" s="541">
        <f>IF(AC$5&gt;0,(INDEX(A_Aufgaben,(AC$5-Arbeitszeit!$A$6+1),(2*(ROW()-ROW(A_Aufgabendatum))-1))),"")</f>
        <v>0</v>
      </c>
      <c r="AD16" s="542">
        <f>IF(AD$5&gt;0,(INDEX(A_Aufgaben,(AD$5-Arbeitszeit!$A$6+1),(2*(ROW()-ROW(A_Aufgabendatum))-1))),"")</f>
        <v>0</v>
      </c>
      <c r="AE16" s="541">
        <f>IF(AE$5&gt;0,(INDEX(A_Aufgaben,(AE$5-Arbeitszeit!$A$6+1),(2*(ROW()-ROW(A_Aufgabendatum))-1))),"")</f>
        <v>0</v>
      </c>
      <c r="AF16" s="542">
        <f>IF(AF$5&gt;0,(INDEX(A_Aufgaben,(AF$5-Arbeitszeit!$A$6+1),(2*(ROW()-ROW(A_Aufgabendatum))-1))),"")</f>
        <v>0</v>
      </c>
      <c r="AG16" s="541">
        <f>IF(AG$5&gt;0,(INDEX(A_Aufgaben,(AG$5-Arbeitszeit!$A$6+1),(2*(ROW()-ROW(A_Aufgabendatum))-1))),"")</f>
        <v>0</v>
      </c>
      <c r="AH16" s="550">
        <f t="shared" si="1"/>
        <v>0</v>
      </c>
      <c r="AI16" s="3">
        <f t="shared" si="2"/>
        <v>0</v>
      </c>
    </row>
    <row r="17" spans="1:35">
      <c r="A17">
        <f t="shared" si="3"/>
        <v>0</v>
      </c>
      <c r="B17" s="540" t="str">
        <f>Aufgaben!AC3</f>
        <v>Aufgabe 09</v>
      </c>
      <c r="C17" s="541">
        <f>IF(C$5&gt;0,(INDEX(A_Aufgaben,(C$5-Arbeitszeit!$A$6+1),(2*(ROW()-ROW(A_Aufgabendatum))-1))),"")</f>
        <v>0</v>
      </c>
      <c r="D17" s="542">
        <f>IF(D$5&gt;0,(INDEX(A_Aufgaben,(D$5-Arbeitszeit!$A$6+1),(2*(ROW()-ROW(A_Aufgabendatum))-1))),"")</f>
        <v>0</v>
      </c>
      <c r="E17" s="541">
        <f>IF(E$5&gt;0,(INDEX(A_Aufgaben,(E$5-Arbeitszeit!$A$6+1),(2*(ROW()-ROW(A_Aufgabendatum))-1))),"")</f>
        <v>0</v>
      </c>
      <c r="F17" s="542">
        <f>IF(F$5&gt;0,(INDEX(A_Aufgaben,(F$5-Arbeitszeit!$A$6+1),(2*(ROW()-ROW(A_Aufgabendatum))-1))),"")</f>
        <v>0</v>
      </c>
      <c r="G17" s="541">
        <f>IF(G$5&gt;0,(INDEX(A_Aufgaben,(G$5-Arbeitszeit!$A$6+1),(2*(ROW()-ROW(A_Aufgabendatum))-1))),"")</f>
        <v>0</v>
      </c>
      <c r="H17" s="542">
        <f>IF(H$5&gt;0,(INDEX(A_Aufgaben,(H$5-Arbeitszeit!$A$6+1),(2*(ROW()-ROW(A_Aufgabendatum))-1))),"")</f>
        <v>0</v>
      </c>
      <c r="I17" s="541">
        <f>IF(I$5&gt;0,(INDEX(A_Aufgaben,(I$5-Arbeitszeit!$A$6+1),(2*(ROW()-ROW(A_Aufgabendatum))-1))),"")</f>
        <v>0</v>
      </c>
      <c r="J17" s="542">
        <f>IF(J$5&gt;0,(INDEX(A_Aufgaben,(J$5-Arbeitszeit!$A$6+1),(2*(ROW()-ROW(A_Aufgabendatum))-1))),"")</f>
        <v>0</v>
      </c>
      <c r="K17" s="541">
        <f>IF(K$5&gt;0,(INDEX(A_Aufgaben,(K$5-Arbeitszeit!$A$6+1),(2*(ROW()-ROW(A_Aufgabendatum))-1))),"")</f>
        <v>0</v>
      </c>
      <c r="L17" s="542">
        <f>IF(L$5&gt;0,(INDEX(A_Aufgaben,(L$5-Arbeitszeit!$A$6+1),(2*(ROW()-ROW(A_Aufgabendatum))-1))),"")</f>
        <v>0</v>
      </c>
      <c r="M17" s="541">
        <f>IF(M$5&gt;0,(INDEX(A_Aufgaben,(M$5-Arbeitszeit!$A$6+1),(2*(ROW()-ROW(A_Aufgabendatum))-1))),"")</f>
        <v>0</v>
      </c>
      <c r="N17" s="542">
        <f>IF(N$5&gt;0,(INDEX(A_Aufgaben,(N$5-Arbeitszeit!$A$6+1),(2*(ROW()-ROW(A_Aufgabendatum))-1))),"")</f>
        <v>0</v>
      </c>
      <c r="O17" s="541">
        <f>IF(O$5&gt;0,(INDEX(A_Aufgaben,(O$5-Arbeitszeit!$A$6+1),(2*(ROW()-ROW(A_Aufgabendatum))-1))),"")</f>
        <v>0</v>
      </c>
      <c r="P17" s="542">
        <f>IF(P$5&gt;0,(INDEX(A_Aufgaben,(P$5-Arbeitszeit!$A$6+1),(2*(ROW()-ROW(A_Aufgabendatum))-1))),"")</f>
        <v>0</v>
      </c>
      <c r="Q17" s="541">
        <f>IF(Q$5&gt;0,(INDEX(A_Aufgaben,(Q$5-Arbeitszeit!$A$6+1),(2*(ROW()-ROW(A_Aufgabendatum))-1))),"")</f>
        <v>0</v>
      </c>
      <c r="R17" s="542">
        <f>IF(R$5&gt;0,(INDEX(A_Aufgaben,(R$5-Arbeitszeit!$A$6+1),(2*(ROW()-ROW(A_Aufgabendatum))-1))),"")</f>
        <v>0</v>
      </c>
      <c r="S17" s="541">
        <f>IF(S$5&gt;0,(INDEX(A_Aufgaben,(S$5-Arbeitszeit!$A$6+1),(2*(ROW()-ROW(A_Aufgabendatum))-1))),"")</f>
        <v>0</v>
      </c>
      <c r="T17" s="542">
        <f>IF(T$5&gt;0,(INDEX(A_Aufgaben,(T$5-Arbeitszeit!$A$6+1),(2*(ROW()-ROW(A_Aufgabendatum))-1))),"")</f>
        <v>0</v>
      </c>
      <c r="U17" s="541">
        <f>IF(U$5&gt;0,(INDEX(A_Aufgaben,(U$5-Arbeitszeit!$A$6+1),(2*(ROW()-ROW(A_Aufgabendatum))-1))),"")</f>
        <v>0</v>
      </c>
      <c r="V17" s="542">
        <f>IF(V$5&gt;0,(INDEX(A_Aufgaben,(V$5-Arbeitszeit!$A$6+1),(2*(ROW()-ROW(A_Aufgabendatum))-1))),"")</f>
        <v>0</v>
      </c>
      <c r="W17" s="541">
        <f>IF(W$5&gt;0,(INDEX(A_Aufgaben,(W$5-Arbeitszeit!$A$6+1),(2*(ROW()-ROW(A_Aufgabendatum))-1))),"")</f>
        <v>0</v>
      </c>
      <c r="X17" s="542">
        <f>IF(X$5&gt;0,(INDEX(A_Aufgaben,(X$5-Arbeitszeit!$A$6+1),(2*(ROW()-ROW(A_Aufgabendatum))-1))),"")</f>
        <v>0</v>
      </c>
      <c r="Y17" s="541">
        <f>IF(Y$5&gt;0,(INDEX(A_Aufgaben,(Y$5-Arbeitszeit!$A$6+1),(2*(ROW()-ROW(A_Aufgabendatum))-1))),"")</f>
        <v>0</v>
      </c>
      <c r="Z17" s="542">
        <f>IF(Z$5&gt;0,(INDEX(A_Aufgaben,(Z$5-Arbeitszeit!$A$6+1),(2*(ROW()-ROW(A_Aufgabendatum))-1))),"")</f>
        <v>0</v>
      </c>
      <c r="AA17" s="541">
        <f>IF(AA$5&gt;0,(INDEX(A_Aufgaben,(AA$5-Arbeitszeit!$A$6+1),(2*(ROW()-ROW(A_Aufgabendatum))-1))),"")</f>
        <v>0</v>
      </c>
      <c r="AB17" s="542">
        <f>IF(AB$5&gt;0,(INDEX(A_Aufgaben,(AB$5-Arbeitszeit!$A$6+1),(2*(ROW()-ROW(A_Aufgabendatum))-1))),"")</f>
        <v>0</v>
      </c>
      <c r="AC17" s="541">
        <f>IF(AC$5&gt;0,(INDEX(A_Aufgaben,(AC$5-Arbeitszeit!$A$6+1),(2*(ROW()-ROW(A_Aufgabendatum))-1))),"")</f>
        <v>0</v>
      </c>
      <c r="AD17" s="542">
        <f>IF(AD$5&gt;0,(INDEX(A_Aufgaben,(AD$5-Arbeitszeit!$A$6+1),(2*(ROW()-ROW(A_Aufgabendatum))-1))),"")</f>
        <v>0</v>
      </c>
      <c r="AE17" s="541">
        <f>IF(AE$5&gt;0,(INDEX(A_Aufgaben,(AE$5-Arbeitszeit!$A$6+1),(2*(ROW()-ROW(A_Aufgabendatum))-1))),"")</f>
        <v>0</v>
      </c>
      <c r="AF17" s="542">
        <f>IF(AF$5&gt;0,(INDEX(A_Aufgaben,(AF$5-Arbeitszeit!$A$6+1),(2*(ROW()-ROW(A_Aufgabendatum))-1))),"")</f>
        <v>0</v>
      </c>
      <c r="AG17" s="541">
        <f>IF(AG$5&gt;0,(INDEX(A_Aufgaben,(AG$5-Arbeitszeit!$A$6+1),(2*(ROW()-ROW(A_Aufgabendatum))-1))),"")</f>
        <v>0</v>
      </c>
      <c r="AH17" s="550">
        <f t="shared" si="1"/>
        <v>0</v>
      </c>
      <c r="AI17" s="3">
        <f t="shared" si="2"/>
        <v>0</v>
      </c>
    </row>
    <row r="18" spans="1:35">
      <c r="A18">
        <f t="shared" si="3"/>
        <v>0</v>
      </c>
      <c r="B18" s="540" t="str">
        <f>Aufgaben!AE3</f>
        <v>Aufgabe 10</v>
      </c>
      <c r="C18" s="541">
        <f>IF(C$5&gt;0,(INDEX(A_Aufgaben,(C$5-Arbeitszeit!$A$6+1),(2*(ROW()-ROW(A_Aufgabendatum))-1))),"")</f>
        <v>0</v>
      </c>
      <c r="D18" s="542">
        <f>IF(D$5&gt;0,(INDEX(A_Aufgaben,(D$5-Arbeitszeit!$A$6+1),(2*(ROW()-ROW(A_Aufgabendatum))-1))),"")</f>
        <v>0</v>
      </c>
      <c r="E18" s="541">
        <f>IF(E$5&gt;0,(INDEX(A_Aufgaben,(E$5-Arbeitszeit!$A$6+1),(2*(ROW()-ROW(A_Aufgabendatum))-1))),"")</f>
        <v>0</v>
      </c>
      <c r="F18" s="542">
        <f>IF(F$5&gt;0,(INDEX(A_Aufgaben,(F$5-Arbeitszeit!$A$6+1),(2*(ROW()-ROW(A_Aufgabendatum))-1))),"")</f>
        <v>0</v>
      </c>
      <c r="G18" s="541">
        <f>IF(G$5&gt;0,(INDEX(A_Aufgaben,(G$5-Arbeitszeit!$A$6+1),(2*(ROW()-ROW(A_Aufgabendatum))-1))),"")</f>
        <v>0</v>
      </c>
      <c r="H18" s="542">
        <f>IF(H$5&gt;0,(INDEX(A_Aufgaben,(H$5-Arbeitszeit!$A$6+1),(2*(ROW()-ROW(A_Aufgabendatum))-1))),"")</f>
        <v>0</v>
      </c>
      <c r="I18" s="541">
        <f>IF(I$5&gt;0,(INDEX(A_Aufgaben,(I$5-Arbeitszeit!$A$6+1),(2*(ROW()-ROW(A_Aufgabendatum))-1))),"")</f>
        <v>0</v>
      </c>
      <c r="J18" s="542">
        <f>IF(J$5&gt;0,(INDEX(A_Aufgaben,(J$5-Arbeitszeit!$A$6+1),(2*(ROW()-ROW(A_Aufgabendatum))-1))),"")</f>
        <v>0</v>
      </c>
      <c r="K18" s="541">
        <f>IF(K$5&gt;0,(INDEX(A_Aufgaben,(K$5-Arbeitszeit!$A$6+1),(2*(ROW()-ROW(A_Aufgabendatum))-1))),"")</f>
        <v>0</v>
      </c>
      <c r="L18" s="542">
        <f>IF(L$5&gt;0,(INDEX(A_Aufgaben,(L$5-Arbeitszeit!$A$6+1),(2*(ROW()-ROW(A_Aufgabendatum))-1))),"")</f>
        <v>0</v>
      </c>
      <c r="M18" s="541">
        <f>IF(M$5&gt;0,(INDEX(A_Aufgaben,(M$5-Arbeitszeit!$A$6+1),(2*(ROW()-ROW(A_Aufgabendatum))-1))),"")</f>
        <v>0</v>
      </c>
      <c r="N18" s="542">
        <f>IF(N$5&gt;0,(INDEX(A_Aufgaben,(N$5-Arbeitszeit!$A$6+1),(2*(ROW()-ROW(A_Aufgabendatum))-1))),"")</f>
        <v>0</v>
      </c>
      <c r="O18" s="541">
        <f>IF(O$5&gt;0,(INDEX(A_Aufgaben,(O$5-Arbeitszeit!$A$6+1),(2*(ROW()-ROW(A_Aufgabendatum))-1))),"")</f>
        <v>0</v>
      </c>
      <c r="P18" s="542">
        <f>IF(P$5&gt;0,(INDEX(A_Aufgaben,(P$5-Arbeitszeit!$A$6+1),(2*(ROW()-ROW(A_Aufgabendatum))-1))),"")</f>
        <v>0</v>
      </c>
      <c r="Q18" s="541">
        <f>IF(Q$5&gt;0,(INDEX(A_Aufgaben,(Q$5-Arbeitszeit!$A$6+1),(2*(ROW()-ROW(A_Aufgabendatum))-1))),"")</f>
        <v>0</v>
      </c>
      <c r="R18" s="542">
        <f>IF(R$5&gt;0,(INDEX(A_Aufgaben,(R$5-Arbeitszeit!$A$6+1),(2*(ROW()-ROW(A_Aufgabendatum))-1))),"")</f>
        <v>0</v>
      </c>
      <c r="S18" s="541">
        <f>IF(S$5&gt;0,(INDEX(A_Aufgaben,(S$5-Arbeitszeit!$A$6+1),(2*(ROW()-ROW(A_Aufgabendatum))-1))),"")</f>
        <v>0</v>
      </c>
      <c r="T18" s="542">
        <f>IF(T$5&gt;0,(INDEX(A_Aufgaben,(T$5-Arbeitszeit!$A$6+1),(2*(ROW()-ROW(A_Aufgabendatum))-1))),"")</f>
        <v>0</v>
      </c>
      <c r="U18" s="541">
        <f>IF(U$5&gt;0,(INDEX(A_Aufgaben,(U$5-Arbeitszeit!$A$6+1),(2*(ROW()-ROW(A_Aufgabendatum))-1))),"")</f>
        <v>0</v>
      </c>
      <c r="V18" s="542">
        <f>IF(V$5&gt;0,(INDEX(A_Aufgaben,(V$5-Arbeitszeit!$A$6+1),(2*(ROW()-ROW(A_Aufgabendatum))-1))),"")</f>
        <v>0</v>
      </c>
      <c r="W18" s="541">
        <f>IF(W$5&gt;0,(INDEX(A_Aufgaben,(W$5-Arbeitszeit!$A$6+1),(2*(ROW()-ROW(A_Aufgabendatum))-1))),"")</f>
        <v>0</v>
      </c>
      <c r="X18" s="542">
        <f>IF(X$5&gt;0,(INDEX(A_Aufgaben,(X$5-Arbeitszeit!$A$6+1),(2*(ROW()-ROW(A_Aufgabendatum))-1))),"")</f>
        <v>0</v>
      </c>
      <c r="Y18" s="541">
        <f>IF(Y$5&gt;0,(INDEX(A_Aufgaben,(Y$5-Arbeitszeit!$A$6+1),(2*(ROW()-ROW(A_Aufgabendatum))-1))),"")</f>
        <v>0</v>
      </c>
      <c r="Z18" s="542">
        <f>IF(Z$5&gt;0,(INDEX(A_Aufgaben,(Z$5-Arbeitszeit!$A$6+1),(2*(ROW()-ROW(A_Aufgabendatum))-1))),"")</f>
        <v>0</v>
      </c>
      <c r="AA18" s="541">
        <f>IF(AA$5&gt;0,(INDEX(A_Aufgaben,(AA$5-Arbeitszeit!$A$6+1),(2*(ROW()-ROW(A_Aufgabendatum))-1))),"")</f>
        <v>0</v>
      </c>
      <c r="AB18" s="542">
        <f>IF(AB$5&gt;0,(INDEX(A_Aufgaben,(AB$5-Arbeitszeit!$A$6+1),(2*(ROW()-ROW(A_Aufgabendatum))-1))),"")</f>
        <v>0</v>
      </c>
      <c r="AC18" s="541">
        <f>IF(AC$5&gt;0,(INDEX(A_Aufgaben,(AC$5-Arbeitszeit!$A$6+1),(2*(ROW()-ROW(A_Aufgabendatum))-1))),"")</f>
        <v>0</v>
      </c>
      <c r="AD18" s="542">
        <f>IF(AD$5&gt;0,(INDEX(A_Aufgaben,(AD$5-Arbeitszeit!$A$6+1),(2*(ROW()-ROW(A_Aufgabendatum))-1))),"")</f>
        <v>0</v>
      </c>
      <c r="AE18" s="541">
        <f>IF(AE$5&gt;0,(INDEX(A_Aufgaben,(AE$5-Arbeitszeit!$A$6+1),(2*(ROW()-ROW(A_Aufgabendatum))-1))),"")</f>
        <v>0</v>
      </c>
      <c r="AF18" s="542">
        <f>IF(AF$5&gt;0,(INDEX(A_Aufgaben,(AF$5-Arbeitszeit!$A$6+1),(2*(ROW()-ROW(A_Aufgabendatum))-1))),"")</f>
        <v>0</v>
      </c>
      <c r="AG18" s="541">
        <f>IF(AG$5&gt;0,(INDEX(A_Aufgaben,(AG$5-Arbeitszeit!$A$6+1),(2*(ROW()-ROW(A_Aufgabendatum))-1))),"")</f>
        <v>0</v>
      </c>
      <c r="AH18" s="550">
        <f t="shared" si="1"/>
        <v>0</v>
      </c>
      <c r="AI18" s="3">
        <f t="shared" si="2"/>
        <v>0</v>
      </c>
    </row>
    <row r="19" spans="1:35">
      <c r="A19">
        <f t="shared" si="3"/>
        <v>0</v>
      </c>
      <c r="B19" s="540" t="str">
        <f>Aufgaben!AG3</f>
        <v>Aufgabe 11</v>
      </c>
      <c r="C19" s="541">
        <f>IF(C$5&gt;0,(INDEX(A_Aufgaben,(C$5-Arbeitszeit!$A$6+1),(2*(ROW()-ROW(A_Aufgabendatum))-1))),"")</f>
        <v>0</v>
      </c>
      <c r="D19" s="542">
        <f>IF(D$5&gt;0,(INDEX(A_Aufgaben,(D$5-Arbeitszeit!$A$6+1),(2*(ROW()-ROW(A_Aufgabendatum))-1))),"")</f>
        <v>0</v>
      </c>
      <c r="E19" s="541">
        <f>IF(E$5&gt;0,(INDEX(A_Aufgaben,(E$5-Arbeitszeit!$A$6+1),(2*(ROW()-ROW(A_Aufgabendatum))-1))),"")</f>
        <v>0</v>
      </c>
      <c r="F19" s="542">
        <f>IF(F$5&gt;0,(INDEX(A_Aufgaben,(F$5-Arbeitszeit!$A$6+1),(2*(ROW()-ROW(A_Aufgabendatum))-1))),"")</f>
        <v>0</v>
      </c>
      <c r="G19" s="541">
        <f>IF(G$5&gt;0,(INDEX(A_Aufgaben,(G$5-Arbeitszeit!$A$6+1),(2*(ROW()-ROW(A_Aufgabendatum))-1))),"")</f>
        <v>0</v>
      </c>
      <c r="H19" s="542">
        <f>IF(H$5&gt;0,(INDEX(A_Aufgaben,(H$5-Arbeitszeit!$A$6+1),(2*(ROW()-ROW(A_Aufgabendatum))-1))),"")</f>
        <v>0</v>
      </c>
      <c r="I19" s="541">
        <f>IF(I$5&gt;0,(INDEX(A_Aufgaben,(I$5-Arbeitszeit!$A$6+1),(2*(ROW()-ROW(A_Aufgabendatum))-1))),"")</f>
        <v>0</v>
      </c>
      <c r="J19" s="542">
        <f>IF(J$5&gt;0,(INDEX(A_Aufgaben,(J$5-Arbeitszeit!$A$6+1),(2*(ROW()-ROW(A_Aufgabendatum))-1))),"")</f>
        <v>0</v>
      </c>
      <c r="K19" s="541">
        <f>IF(K$5&gt;0,(INDEX(A_Aufgaben,(K$5-Arbeitszeit!$A$6+1),(2*(ROW()-ROW(A_Aufgabendatum))-1))),"")</f>
        <v>0</v>
      </c>
      <c r="L19" s="542">
        <f>IF(L$5&gt;0,(INDEX(A_Aufgaben,(L$5-Arbeitszeit!$A$6+1),(2*(ROW()-ROW(A_Aufgabendatum))-1))),"")</f>
        <v>0</v>
      </c>
      <c r="M19" s="541">
        <f>IF(M$5&gt;0,(INDEX(A_Aufgaben,(M$5-Arbeitszeit!$A$6+1),(2*(ROW()-ROW(A_Aufgabendatum))-1))),"")</f>
        <v>0</v>
      </c>
      <c r="N19" s="542">
        <f>IF(N$5&gt;0,(INDEX(A_Aufgaben,(N$5-Arbeitszeit!$A$6+1),(2*(ROW()-ROW(A_Aufgabendatum))-1))),"")</f>
        <v>0</v>
      </c>
      <c r="O19" s="541">
        <f>IF(O$5&gt;0,(INDEX(A_Aufgaben,(O$5-Arbeitszeit!$A$6+1),(2*(ROW()-ROW(A_Aufgabendatum))-1))),"")</f>
        <v>0</v>
      </c>
      <c r="P19" s="542">
        <f>IF(P$5&gt;0,(INDEX(A_Aufgaben,(P$5-Arbeitszeit!$A$6+1),(2*(ROW()-ROW(A_Aufgabendatum))-1))),"")</f>
        <v>0</v>
      </c>
      <c r="Q19" s="541">
        <f>IF(Q$5&gt;0,(INDEX(A_Aufgaben,(Q$5-Arbeitszeit!$A$6+1),(2*(ROW()-ROW(A_Aufgabendatum))-1))),"")</f>
        <v>0</v>
      </c>
      <c r="R19" s="542">
        <f>IF(R$5&gt;0,(INDEX(A_Aufgaben,(R$5-Arbeitszeit!$A$6+1),(2*(ROW()-ROW(A_Aufgabendatum))-1))),"")</f>
        <v>0</v>
      </c>
      <c r="S19" s="541">
        <f>IF(S$5&gt;0,(INDEX(A_Aufgaben,(S$5-Arbeitszeit!$A$6+1),(2*(ROW()-ROW(A_Aufgabendatum))-1))),"")</f>
        <v>0</v>
      </c>
      <c r="T19" s="542">
        <f>IF(T$5&gt;0,(INDEX(A_Aufgaben,(T$5-Arbeitszeit!$A$6+1),(2*(ROW()-ROW(A_Aufgabendatum))-1))),"")</f>
        <v>0</v>
      </c>
      <c r="U19" s="541">
        <f>IF(U$5&gt;0,(INDEX(A_Aufgaben,(U$5-Arbeitszeit!$A$6+1),(2*(ROW()-ROW(A_Aufgabendatum))-1))),"")</f>
        <v>0</v>
      </c>
      <c r="V19" s="542">
        <f>IF(V$5&gt;0,(INDEX(A_Aufgaben,(V$5-Arbeitszeit!$A$6+1),(2*(ROW()-ROW(A_Aufgabendatum))-1))),"")</f>
        <v>0</v>
      </c>
      <c r="W19" s="541">
        <f>IF(W$5&gt;0,(INDEX(A_Aufgaben,(W$5-Arbeitszeit!$A$6+1),(2*(ROW()-ROW(A_Aufgabendatum))-1))),"")</f>
        <v>0</v>
      </c>
      <c r="X19" s="542">
        <f>IF(X$5&gt;0,(INDEX(A_Aufgaben,(X$5-Arbeitszeit!$A$6+1),(2*(ROW()-ROW(A_Aufgabendatum))-1))),"")</f>
        <v>0</v>
      </c>
      <c r="Y19" s="541">
        <f>IF(Y$5&gt;0,(INDEX(A_Aufgaben,(Y$5-Arbeitszeit!$A$6+1),(2*(ROW()-ROW(A_Aufgabendatum))-1))),"")</f>
        <v>0</v>
      </c>
      <c r="Z19" s="542">
        <f>IF(Z$5&gt;0,(INDEX(A_Aufgaben,(Z$5-Arbeitszeit!$A$6+1),(2*(ROW()-ROW(A_Aufgabendatum))-1))),"")</f>
        <v>0</v>
      </c>
      <c r="AA19" s="541">
        <f>IF(AA$5&gt;0,(INDEX(A_Aufgaben,(AA$5-Arbeitszeit!$A$6+1),(2*(ROW()-ROW(A_Aufgabendatum))-1))),"")</f>
        <v>0</v>
      </c>
      <c r="AB19" s="542">
        <f>IF(AB$5&gt;0,(INDEX(A_Aufgaben,(AB$5-Arbeitszeit!$A$6+1),(2*(ROW()-ROW(A_Aufgabendatum))-1))),"")</f>
        <v>0</v>
      </c>
      <c r="AC19" s="541">
        <f>IF(AC$5&gt;0,(INDEX(A_Aufgaben,(AC$5-Arbeitszeit!$A$6+1),(2*(ROW()-ROW(A_Aufgabendatum))-1))),"")</f>
        <v>0</v>
      </c>
      <c r="AD19" s="542">
        <f>IF(AD$5&gt;0,(INDEX(A_Aufgaben,(AD$5-Arbeitszeit!$A$6+1),(2*(ROW()-ROW(A_Aufgabendatum))-1))),"")</f>
        <v>0</v>
      </c>
      <c r="AE19" s="541">
        <f>IF(AE$5&gt;0,(INDEX(A_Aufgaben,(AE$5-Arbeitszeit!$A$6+1),(2*(ROW()-ROW(A_Aufgabendatum))-1))),"")</f>
        <v>0</v>
      </c>
      <c r="AF19" s="542">
        <f>IF(AF$5&gt;0,(INDEX(A_Aufgaben,(AF$5-Arbeitszeit!$A$6+1),(2*(ROW()-ROW(A_Aufgabendatum))-1))),"")</f>
        <v>0</v>
      </c>
      <c r="AG19" s="541">
        <f>IF(AG$5&gt;0,(INDEX(A_Aufgaben,(AG$5-Arbeitszeit!$A$6+1),(2*(ROW()-ROW(A_Aufgabendatum))-1))),"")</f>
        <v>0</v>
      </c>
      <c r="AH19" s="550">
        <f t="shared" si="1"/>
        <v>0</v>
      </c>
      <c r="AI19" s="3">
        <f t="shared" si="2"/>
        <v>0</v>
      </c>
    </row>
    <row r="20" spans="1:35">
      <c r="A20">
        <f t="shared" si="3"/>
        <v>0</v>
      </c>
      <c r="B20" s="540" t="str">
        <f>Aufgaben!AI3</f>
        <v>Aufgabe 12</v>
      </c>
      <c r="C20" s="541">
        <f>IF(C$5&gt;0,(INDEX(A_Aufgaben,(C$5-Arbeitszeit!$A$6+1),(2*(ROW()-ROW(A_Aufgabendatum))-1))),"")</f>
        <v>0</v>
      </c>
      <c r="D20" s="542">
        <f>IF(D$5&gt;0,(INDEX(A_Aufgaben,(D$5-Arbeitszeit!$A$6+1),(2*(ROW()-ROW(A_Aufgabendatum))-1))),"")</f>
        <v>0</v>
      </c>
      <c r="E20" s="541">
        <f>IF(E$5&gt;0,(INDEX(A_Aufgaben,(E$5-Arbeitszeit!$A$6+1),(2*(ROW()-ROW(A_Aufgabendatum))-1))),"")</f>
        <v>0</v>
      </c>
      <c r="F20" s="542">
        <f>IF(F$5&gt;0,(INDEX(A_Aufgaben,(F$5-Arbeitszeit!$A$6+1),(2*(ROW()-ROW(A_Aufgabendatum))-1))),"")</f>
        <v>0</v>
      </c>
      <c r="G20" s="541">
        <f>IF(G$5&gt;0,(INDEX(A_Aufgaben,(G$5-Arbeitszeit!$A$6+1),(2*(ROW()-ROW(A_Aufgabendatum))-1))),"")</f>
        <v>0</v>
      </c>
      <c r="H20" s="542">
        <f>IF(H$5&gt;0,(INDEX(A_Aufgaben,(H$5-Arbeitszeit!$A$6+1),(2*(ROW()-ROW(A_Aufgabendatum))-1))),"")</f>
        <v>0</v>
      </c>
      <c r="I20" s="541">
        <f>IF(I$5&gt;0,(INDEX(A_Aufgaben,(I$5-Arbeitszeit!$A$6+1),(2*(ROW()-ROW(A_Aufgabendatum))-1))),"")</f>
        <v>0</v>
      </c>
      <c r="J20" s="542">
        <f>IF(J$5&gt;0,(INDEX(A_Aufgaben,(J$5-Arbeitszeit!$A$6+1),(2*(ROW()-ROW(A_Aufgabendatum))-1))),"")</f>
        <v>0</v>
      </c>
      <c r="K20" s="541">
        <f>IF(K$5&gt;0,(INDEX(A_Aufgaben,(K$5-Arbeitszeit!$A$6+1),(2*(ROW()-ROW(A_Aufgabendatum))-1))),"")</f>
        <v>0</v>
      </c>
      <c r="L20" s="542">
        <f>IF(L$5&gt;0,(INDEX(A_Aufgaben,(L$5-Arbeitszeit!$A$6+1),(2*(ROW()-ROW(A_Aufgabendatum))-1))),"")</f>
        <v>0</v>
      </c>
      <c r="M20" s="541">
        <f>IF(M$5&gt;0,(INDEX(A_Aufgaben,(M$5-Arbeitszeit!$A$6+1),(2*(ROW()-ROW(A_Aufgabendatum))-1))),"")</f>
        <v>0</v>
      </c>
      <c r="N20" s="542">
        <f>IF(N$5&gt;0,(INDEX(A_Aufgaben,(N$5-Arbeitszeit!$A$6+1),(2*(ROW()-ROW(A_Aufgabendatum))-1))),"")</f>
        <v>0</v>
      </c>
      <c r="O20" s="541">
        <f>IF(O$5&gt;0,(INDEX(A_Aufgaben,(O$5-Arbeitszeit!$A$6+1),(2*(ROW()-ROW(A_Aufgabendatum))-1))),"")</f>
        <v>0</v>
      </c>
      <c r="P20" s="542">
        <f>IF(P$5&gt;0,(INDEX(A_Aufgaben,(P$5-Arbeitszeit!$A$6+1),(2*(ROW()-ROW(A_Aufgabendatum))-1))),"")</f>
        <v>0</v>
      </c>
      <c r="Q20" s="541">
        <f>IF(Q$5&gt;0,(INDEX(A_Aufgaben,(Q$5-Arbeitszeit!$A$6+1),(2*(ROW()-ROW(A_Aufgabendatum))-1))),"")</f>
        <v>0</v>
      </c>
      <c r="R20" s="542">
        <f>IF(R$5&gt;0,(INDEX(A_Aufgaben,(R$5-Arbeitszeit!$A$6+1),(2*(ROW()-ROW(A_Aufgabendatum))-1))),"")</f>
        <v>0</v>
      </c>
      <c r="S20" s="541">
        <f>IF(S$5&gt;0,(INDEX(A_Aufgaben,(S$5-Arbeitszeit!$A$6+1),(2*(ROW()-ROW(A_Aufgabendatum))-1))),"")</f>
        <v>0</v>
      </c>
      <c r="T20" s="542">
        <f>IF(T$5&gt;0,(INDEX(A_Aufgaben,(T$5-Arbeitszeit!$A$6+1),(2*(ROW()-ROW(A_Aufgabendatum))-1))),"")</f>
        <v>0</v>
      </c>
      <c r="U20" s="541">
        <f>IF(U$5&gt;0,(INDEX(A_Aufgaben,(U$5-Arbeitszeit!$A$6+1),(2*(ROW()-ROW(A_Aufgabendatum))-1))),"")</f>
        <v>0</v>
      </c>
      <c r="V20" s="542">
        <f>IF(V$5&gt;0,(INDEX(A_Aufgaben,(V$5-Arbeitszeit!$A$6+1),(2*(ROW()-ROW(A_Aufgabendatum))-1))),"")</f>
        <v>0</v>
      </c>
      <c r="W20" s="541">
        <f>IF(W$5&gt;0,(INDEX(A_Aufgaben,(W$5-Arbeitszeit!$A$6+1),(2*(ROW()-ROW(A_Aufgabendatum))-1))),"")</f>
        <v>0</v>
      </c>
      <c r="X20" s="542">
        <f>IF(X$5&gt;0,(INDEX(A_Aufgaben,(X$5-Arbeitszeit!$A$6+1),(2*(ROW()-ROW(A_Aufgabendatum))-1))),"")</f>
        <v>0</v>
      </c>
      <c r="Y20" s="541">
        <f>IF(Y$5&gt;0,(INDEX(A_Aufgaben,(Y$5-Arbeitszeit!$A$6+1),(2*(ROW()-ROW(A_Aufgabendatum))-1))),"")</f>
        <v>0</v>
      </c>
      <c r="Z20" s="542">
        <f>IF(Z$5&gt;0,(INDEX(A_Aufgaben,(Z$5-Arbeitszeit!$A$6+1),(2*(ROW()-ROW(A_Aufgabendatum))-1))),"")</f>
        <v>0</v>
      </c>
      <c r="AA20" s="541">
        <f>IF(AA$5&gt;0,(INDEX(A_Aufgaben,(AA$5-Arbeitszeit!$A$6+1),(2*(ROW()-ROW(A_Aufgabendatum))-1))),"")</f>
        <v>0</v>
      </c>
      <c r="AB20" s="542">
        <f>IF(AB$5&gt;0,(INDEX(A_Aufgaben,(AB$5-Arbeitszeit!$A$6+1),(2*(ROW()-ROW(A_Aufgabendatum))-1))),"")</f>
        <v>0</v>
      </c>
      <c r="AC20" s="541">
        <f>IF(AC$5&gt;0,(INDEX(A_Aufgaben,(AC$5-Arbeitszeit!$A$6+1),(2*(ROW()-ROW(A_Aufgabendatum))-1))),"")</f>
        <v>0</v>
      </c>
      <c r="AD20" s="542">
        <f>IF(AD$5&gt;0,(INDEX(A_Aufgaben,(AD$5-Arbeitszeit!$A$6+1),(2*(ROW()-ROW(A_Aufgabendatum))-1))),"")</f>
        <v>0</v>
      </c>
      <c r="AE20" s="541">
        <f>IF(AE$5&gt;0,(INDEX(A_Aufgaben,(AE$5-Arbeitszeit!$A$6+1),(2*(ROW()-ROW(A_Aufgabendatum))-1))),"")</f>
        <v>0</v>
      </c>
      <c r="AF20" s="542">
        <f>IF(AF$5&gt;0,(INDEX(A_Aufgaben,(AF$5-Arbeitszeit!$A$6+1),(2*(ROW()-ROW(A_Aufgabendatum))-1))),"")</f>
        <v>0</v>
      </c>
      <c r="AG20" s="541">
        <f>IF(AG$5&gt;0,(INDEX(A_Aufgaben,(AG$5-Arbeitszeit!$A$6+1),(2*(ROW()-ROW(A_Aufgabendatum))-1))),"")</f>
        <v>0</v>
      </c>
      <c r="AH20" s="550">
        <f t="shared" si="1"/>
        <v>0</v>
      </c>
      <c r="AI20" s="3">
        <f t="shared" si="2"/>
        <v>0</v>
      </c>
    </row>
    <row r="21" spans="1:35">
      <c r="A21">
        <f t="shared" si="3"/>
        <v>0</v>
      </c>
      <c r="B21" s="540" t="str">
        <f>Aufgaben!AK3</f>
        <v>Aufgabe 13</v>
      </c>
      <c r="C21" s="541">
        <f>IF(C$5&gt;0,(INDEX(A_Aufgaben,(C$5-Arbeitszeit!$A$6+1),(2*(ROW()-ROW(A_Aufgabendatum))-1))),"")</f>
        <v>0</v>
      </c>
      <c r="D21" s="542">
        <f>IF(D$5&gt;0,(INDEX(A_Aufgaben,(D$5-Arbeitszeit!$A$6+1),(2*(ROW()-ROW(A_Aufgabendatum))-1))),"")</f>
        <v>0</v>
      </c>
      <c r="E21" s="541">
        <f>IF(E$5&gt;0,(INDEX(A_Aufgaben,(E$5-Arbeitszeit!$A$6+1),(2*(ROW()-ROW(A_Aufgabendatum))-1))),"")</f>
        <v>0</v>
      </c>
      <c r="F21" s="542">
        <f>IF(F$5&gt;0,(INDEX(A_Aufgaben,(F$5-Arbeitszeit!$A$6+1),(2*(ROW()-ROW(A_Aufgabendatum))-1))),"")</f>
        <v>0</v>
      </c>
      <c r="G21" s="541">
        <f>IF(G$5&gt;0,(INDEX(A_Aufgaben,(G$5-Arbeitszeit!$A$6+1),(2*(ROW()-ROW(A_Aufgabendatum))-1))),"")</f>
        <v>0</v>
      </c>
      <c r="H21" s="542">
        <f>IF(H$5&gt;0,(INDEX(A_Aufgaben,(H$5-Arbeitszeit!$A$6+1),(2*(ROW()-ROW(A_Aufgabendatum))-1))),"")</f>
        <v>0</v>
      </c>
      <c r="I21" s="541">
        <f>IF(I$5&gt;0,(INDEX(A_Aufgaben,(I$5-Arbeitszeit!$A$6+1),(2*(ROW()-ROW(A_Aufgabendatum))-1))),"")</f>
        <v>0</v>
      </c>
      <c r="J21" s="542">
        <f>IF(J$5&gt;0,(INDEX(A_Aufgaben,(J$5-Arbeitszeit!$A$6+1),(2*(ROW()-ROW(A_Aufgabendatum))-1))),"")</f>
        <v>0</v>
      </c>
      <c r="K21" s="541">
        <f>IF(K$5&gt;0,(INDEX(A_Aufgaben,(K$5-Arbeitszeit!$A$6+1),(2*(ROW()-ROW(A_Aufgabendatum))-1))),"")</f>
        <v>0</v>
      </c>
      <c r="L21" s="542">
        <f>IF(L$5&gt;0,(INDEX(A_Aufgaben,(L$5-Arbeitszeit!$A$6+1),(2*(ROW()-ROW(A_Aufgabendatum))-1))),"")</f>
        <v>0</v>
      </c>
      <c r="M21" s="541">
        <f>IF(M$5&gt;0,(INDEX(A_Aufgaben,(M$5-Arbeitszeit!$A$6+1),(2*(ROW()-ROW(A_Aufgabendatum))-1))),"")</f>
        <v>0</v>
      </c>
      <c r="N21" s="542">
        <f>IF(N$5&gt;0,(INDEX(A_Aufgaben,(N$5-Arbeitszeit!$A$6+1),(2*(ROW()-ROW(A_Aufgabendatum))-1))),"")</f>
        <v>0</v>
      </c>
      <c r="O21" s="541">
        <f>IF(O$5&gt;0,(INDEX(A_Aufgaben,(O$5-Arbeitszeit!$A$6+1),(2*(ROW()-ROW(A_Aufgabendatum))-1))),"")</f>
        <v>0</v>
      </c>
      <c r="P21" s="542">
        <f>IF(P$5&gt;0,(INDEX(A_Aufgaben,(P$5-Arbeitszeit!$A$6+1),(2*(ROW()-ROW(A_Aufgabendatum))-1))),"")</f>
        <v>0</v>
      </c>
      <c r="Q21" s="541">
        <f>IF(Q$5&gt;0,(INDEX(A_Aufgaben,(Q$5-Arbeitszeit!$A$6+1),(2*(ROW()-ROW(A_Aufgabendatum))-1))),"")</f>
        <v>0</v>
      </c>
      <c r="R21" s="542">
        <f>IF(R$5&gt;0,(INDEX(A_Aufgaben,(R$5-Arbeitszeit!$A$6+1),(2*(ROW()-ROW(A_Aufgabendatum))-1))),"")</f>
        <v>0</v>
      </c>
      <c r="S21" s="541">
        <f>IF(S$5&gt;0,(INDEX(A_Aufgaben,(S$5-Arbeitszeit!$A$6+1),(2*(ROW()-ROW(A_Aufgabendatum))-1))),"")</f>
        <v>0</v>
      </c>
      <c r="T21" s="542">
        <f>IF(T$5&gt;0,(INDEX(A_Aufgaben,(T$5-Arbeitszeit!$A$6+1),(2*(ROW()-ROW(A_Aufgabendatum))-1))),"")</f>
        <v>0</v>
      </c>
      <c r="U21" s="541">
        <f>IF(U$5&gt;0,(INDEX(A_Aufgaben,(U$5-Arbeitszeit!$A$6+1),(2*(ROW()-ROW(A_Aufgabendatum))-1))),"")</f>
        <v>0</v>
      </c>
      <c r="V21" s="542">
        <f>IF(V$5&gt;0,(INDEX(A_Aufgaben,(V$5-Arbeitszeit!$A$6+1),(2*(ROW()-ROW(A_Aufgabendatum))-1))),"")</f>
        <v>0</v>
      </c>
      <c r="W21" s="541">
        <f>IF(W$5&gt;0,(INDEX(A_Aufgaben,(W$5-Arbeitszeit!$A$6+1),(2*(ROW()-ROW(A_Aufgabendatum))-1))),"")</f>
        <v>0</v>
      </c>
      <c r="X21" s="542">
        <f>IF(X$5&gt;0,(INDEX(A_Aufgaben,(X$5-Arbeitszeit!$A$6+1),(2*(ROW()-ROW(A_Aufgabendatum))-1))),"")</f>
        <v>0</v>
      </c>
      <c r="Y21" s="541">
        <f>IF(Y$5&gt;0,(INDEX(A_Aufgaben,(Y$5-Arbeitszeit!$A$6+1),(2*(ROW()-ROW(A_Aufgabendatum))-1))),"")</f>
        <v>0</v>
      </c>
      <c r="Z21" s="542">
        <f>IF(Z$5&gt;0,(INDEX(A_Aufgaben,(Z$5-Arbeitszeit!$A$6+1),(2*(ROW()-ROW(A_Aufgabendatum))-1))),"")</f>
        <v>0</v>
      </c>
      <c r="AA21" s="541">
        <f>IF(AA$5&gt;0,(INDEX(A_Aufgaben,(AA$5-Arbeitszeit!$A$6+1),(2*(ROW()-ROW(A_Aufgabendatum))-1))),"")</f>
        <v>0</v>
      </c>
      <c r="AB21" s="542">
        <f>IF(AB$5&gt;0,(INDEX(A_Aufgaben,(AB$5-Arbeitszeit!$A$6+1),(2*(ROW()-ROW(A_Aufgabendatum))-1))),"")</f>
        <v>0</v>
      </c>
      <c r="AC21" s="541">
        <f>IF(AC$5&gt;0,(INDEX(A_Aufgaben,(AC$5-Arbeitszeit!$A$6+1),(2*(ROW()-ROW(A_Aufgabendatum))-1))),"")</f>
        <v>0</v>
      </c>
      <c r="AD21" s="542">
        <f>IF(AD$5&gt;0,(INDEX(A_Aufgaben,(AD$5-Arbeitszeit!$A$6+1),(2*(ROW()-ROW(A_Aufgabendatum))-1))),"")</f>
        <v>0</v>
      </c>
      <c r="AE21" s="541">
        <f>IF(AE$5&gt;0,(INDEX(A_Aufgaben,(AE$5-Arbeitszeit!$A$6+1),(2*(ROW()-ROW(A_Aufgabendatum))-1))),"")</f>
        <v>0</v>
      </c>
      <c r="AF21" s="542">
        <f>IF(AF$5&gt;0,(INDEX(A_Aufgaben,(AF$5-Arbeitszeit!$A$6+1),(2*(ROW()-ROW(A_Aufgabendatum))-1))),"")</f>
        <v>0</v>
      </c>
      <c r="AG21" s="541">
        <f>IF(AG$5&gt;0,(INDEX(A_Aufgaben,(AG$5-Arbeitszeit!$A$6+1),(2*(ROW()-ROW(A_Aufgabendatum))-1))),"")</f>
        <v>0</v>
      </c>
      <c r="AH21" s="550">
        <f t="shared" si="1"/>
        <v>0</v>
      </c>
      <c r="AI21" s="3">
        <f t="shared" si="2"/>
        <v>0</v>
      </c>
    </row>
    <row r="22" spans="1:35">
      <c r="A22">
        <f t="shared" si="3"/>
        <v>0</v>
      </c>
      <c r="B22" s="540" t="str">
        <f>Aufgaben!AM3</f>
        <v>Aufgabe 14</v>
      </c>
      <c r="C22" s="541">
        <f>IF(C$5&gt;0,(INDEX(A_Aufgaben,(C$5-Arbeitszeit!$A$6+1),(2*(ROW()-ROW(A_Aufgabendatum))-1))),"")</f>
        <v>0</v>
      </c>
      <c r="D22" s="542">
        <f>IF(D$5&gt;0,(INDEX(A_Aufgaben,(D$5-Arbeitszeit!$A$6+1),(2*(ROW()-ROW(A_Aufgabendatum))-1))),"")</f>
        <v>0</v>
      </c>
      <c r="E22" s="541">
        <f>IF(E$5&gt;0,(INDEX(A_Aufgaben,(E$5-Arbeitszeit!$A$6+1),(2*(ROW()-ROW(A_Aufgabendatum))-1))),"")</f>
        <v>0</v>
      </c>
      <c r="F22" s="542">
        <f>IF(F$5&gt;0,(INDEX(A_Aufgaben,(F$5-Arbeitszeit!$A$6+1),(2*(ROW()-ROW(A_Aufgabendatum))-1))),"")</f>
        <v>0</v>
      </c>
      <c r="G22" s="541">
        <f>IF(G$5&gt;0,(INDEX(A_Aufgaben,(G$5-Arbeitszeit!$A$6+1),(2*(ROW()-ROW(A_Aufgabendatum))-1))),"")</f>
        <v>0</v>
      </c>
      <c r="H22" s="542">
        <f>IF(H$5&gt;0,(INDEX(A_Aufgaben,(H$5-Arbeitszeit!$A$6+1),(2*(ROW()-ROW(A_Aufgabendatum))-1))),"")</f>
        <v>0</v>
      </c>
      <c r="I22" s="541">
        <f>IF(I$5&gt;0,(INDEX(A_Aufgaben,(I$5-Arbeitszeit!$A$6+1),(2*(ROW()-ROW(A_Aufgabendatum))-1))),"")</f>
        <v>0</v>
      </c>
      <c r="J22" s="542">
        <f>IF(J$5&gt;0,(INDEX(A_Aufgaben,(J$5-Arbeitszeit!$A$6+1),(2*(ROW()-ROW(A_Aufgabendatum))-1))),"")</f>
        <v>0</v>
      </c>
      <c r="K22" s="541">
        <f>IF(K$5&gt;0,(INDEX(A_Aufgaben,(K$5-Arbeitszeit!$A$6+1),(2*(ROW()-ROW(A_Aufgabendatum))-1))),"")</f>
        <v>0</v>
      </c>
      <c r="L22" s="542">
        <f>IF(L$5&gt;0,(INDEX(A_Aufgaben,(L$5-Arbeitszeit!$A$6+1),(2*(ROW()-ROW(A_Aufgabendatum))-1))),"")</f>
        <v>0</v>
      </c>
      <c r="M22" s="541">
        <f>IF(M$5&gt;0,(INDEX(A_Aufgaben,(M$5-Arbeitszeit!$A$6+1),(2*(ROW()-ROW(A_Aufgabendatum))-1))),"")</f>
        <v>0</v>
      </c>
      <c r="N22" s="542">
        <f>IF(N$5&gt;0,(INDEX(A_Aufgaben,(N$5-Arbeitszeit!$A$6+1),(2*(ROW()-ROW(A_Aufgabendatum))-1))),"")</f>
        <v>0</v>
      </c>
      <c r="O22" s="541">
        <f>IF(O$5&gt;0,(INDEX(A_Aufgaben,(O$5-Arbeitszeit!$A$6+1),(2*(ROW()-ROW(A_Aufgabendatum))-1))),"")</f>
        <v>0</v>
      </c>
      <c r="P22" s="542">
        <f>IF(P$5&gt;0,(INDEX(A_Aufgaben,(P$5-Arbeitszeit!$A$6+1),(2*(ROW()-ROW(A_Aufgabendatum))-1))),"")</f>
        <v>0</v>
      </c>
      <c r="Q22" s="541">
        <f>IF(Q$5&gt;0,(INDEX(A_Aufgaben,(Q$5-Arbeitszeit!$A$6+1),(2*(ROW()-ROW(A_Aufgabendatum))-1))),"")</f>
        <v>0</v>
      </c>
      <c r="R22" s="542">
        <f>IF(R$5&gt;0,(INDEX(A_Aufgaben,(R$5-Arbeitszeit!$A$6+1),(2*(ROW()-ROW(A_Aufgabendatum))-1))),"")</f>
        <v>0</v>
      </c>
      <c r="S22" s="541">
        <f>IF(S$5&gt;0,(INDEX(A_Aufgaben,(S$5-Arbeitszeit!$A$6+1),(2*(ROW()-ROW(A_Aufgabendatum))-1))),"")</f>
        <v>0</v>
      </c>
      <c r="T22" s="542">
        <f>IF(T$5&gt;0,(INDEX(A_Aufgaben,(T$5-Arbeitszeit!$A$6+1),(2*(ROW()-ROW(A_Aufgabendatum))-1))),"")</f>
        <v>0</v>
      </c>
      <c r="U22" s="541">
        <f>IF(U$5&gt;0,(INDEX(A_Aufgaben,(U$5-Arbeitszeit!$A$6+1),(2*(ROW()-ROW(A_Aufgabendatum))-1))),"")</f>
        <v>0</v>
      </c>
      <c r="V22" s="542">
        <f>IF(V$5&gt;0,(INDEX(A_Aufgaben,(V$5-Arbeitszeit!$A$6+1),(2*(ROW()-ROW(A_Aufgabendatum))-1))),"")</f>
        <v>0</v>
      </c>
      <c r="W22" s="541">
        <f>IF(W$5&gt;0,(INDEX(A_Aufgaben,(W$5-Arbeitszeit!$A$6+1),(2*(ROW()-ROW(A_Aufgabendatum))-1))),"")</f>
        <v>0</v>
      </c>
      <c r="X22" s="542">
        <f>IF(X$5&gt;0,(INDEX(A_Aufgaben,(X$5-Arbeitszeit!$A$6+1),(2*(ROW()-ROW(A_Aufgabendatum))-1))),"")</f>
        <v>0</v>
      </c>
      <c r="Y22" s="541">
        <f>IF(Y$5&gt;0,(INDEX(A_Aufgaben,(Y$5-Arbeitszeit!$A$6+1),(2*(ROW()-ROW(A_Aufgabendatum))-1))),"")</f>
        <v>0</v>
      </c>
      <c r="Z22" s="542">
        <f>IF(Z$5&gt;0,(INDEX(A_Aufgaben,(Z$5-Arbeitszeit!$A$6+1),(2*(ROW()-ROW(A_Aufgabendatum))-1))),"")</f>
        <v>0</v>
      </c>
      <c r="AA22" s="541">
        <f>IF(AA$5&gt;0,(INDEX(A_Aufgaben,(AA$5-Arbeitszeit!$A$6+1),(2*(ROW()-ROW(A_Aufgabendatum))-1))),"")</f>
        <v>0</v>
      </c>
      <c r="AB22" s="542">
        <f>IF(AB$5&gt;0,(INDEX(A_Aufgaben,(AB$5-Arbeitszeit!$A$6+1),(2*(ROW()-ROW(A_Aufgabendatum))-1))),"")</f>
        <v>0</v>
      </c>
      <c r="AC22" s="541">
        <f>IF(AC$5&gt;0,(INDEX(A_Aufgaben,(AC$5-Arbeitszeit!$A$6+1),(2*(ROW()-ROW(A_Aufgabendatum))-1))),"")</f>
        <v>0</v>
      </c>
      <c r="AD22" s="542">
        <f>IF(AD$5&gt;0,(INDEX(A_Aufgaben,(AD$5-Arbeitszeit!$A$6+1),(2*(ROW()-ROW(A_Aufgabendatum))-1))),"")</f>
        <v>0</v>
      </c>
      <c r="AE22" s="541">
        <f>IF(AE$5&gt;0,(INDEX(A_Aufgaben,(AE$5-Arbeitszeit!$A$6+1),(2*(ROW()-ROW(A_Aufgabendatum))-1))),"")</f>
        <v>0</v>
      </c>
      <c r="AF22" s="542">
        <f>IF(AF$5&gt;0,(INDEX(A_Aufgaben,(AF$5-Arbeitszeit!$A$6+1),(2*(ROW()-ROW(A_Aufgabendatum))-1))),"")</f>
        <v>0</v>
      </c>
      <c r="AG22" s="541">
        <f>IF(AG$5&gt;0,(INDEX(A_Aufgaben,(AG$5-Arbeitszeit!$A$6+1),(2*(ROW()-ROW(A_Aufgabendatum))-1))),"")</f>
        <v>0</v>
      </c>
      <c r="AH22" s="550">
        <f t="shared" si="1"/>
        <v>0</v>
      </c>
      <c r="AI22" s="3">
        <f t="shared" si="2"/>
        <v>0</v>
      </c>
    </row>
    <row r="23" spans="1:35">
      <c r="A23">
        <f t="shared" si="3"/>
        <v>0</v>
      </c>
      <c r="B23" s="540" t="str">
        <f>Aufgaben!AO3</f>
        <v>Aufgabe 15</v>
      </c>
      <c r="C23" s="541">
        <f>IF(C$5&gt;0,(INDEX(A_Aufgaben,(C$5-Arbeitszeit!$A$6+1),(2*(ROW()-ROW(A_Aufgabendatum))-1))),"")</f>
        <v>0</v>
      </c>
      <c r="D23" s="542">
        <f>IF(D$5&gt;0,(INDEX(A_Aufgaben,(D$5-Arbeitszeit!$A$6+1),(2*(ROW()-ROW(A_Aufgabendatum))-1))),"")</f>
        <v>0</v>
      </c>
      <c r="E23" s="541">
        <f>IF(E$5&gt;0,(INDEX(A_Aufgaben,(E$5-Arbeitszeit!$A$6+1),(2*(ROW()-ROW(A_Aufgabendatum))-1))),"")</f>
        <v>0</v>
      </c>
      <c r="F23" s="542">
        <f>IF(F$5&gt;0,(INDEX(A_Aufgaben,(F$5-Arbeitszeit!$A$6+1),(2*(ROW()-ROW(A_Aufgabendatum))-1))),"")</f>
        <v>0</v>
      </c>
      <c r="G23" s="541">
        <f>IF(G$5&gt;0,(INDEX(A_Aufgaben,(G$5-Arbeitszeit!$A$6+1),(2*(ROW()-ROW(A_Aufgabendatum))-1))),"")</f>
        <v>0</v>
      </c>
      <c r="H23" s="542">
        <f>IF(H$5&gt;0,(INDEX(A_Aufgaben,(H$5-Arbeitszeit!$A$6+1),(2*(ROW()-ROW(A_Aufgabendatum))-1))),"")</f>
        <v>0</v>
      </c>
      <c r="I23" s="541">
        <f>IF(I$5&gt;0,(INDEX(A_Aufgaben,(I$5-Arbeitszeit!$A$6+1),(2*(ROW()-ROW(A_Aufgabendatum))-1))),"")</f>
        <v>0</v>
      </c>
      <c r="J23" s="542">
        <f>IF(J$5&gt;0,(INDEX(A_Aufgaben,(J$5-Arbeitszeit!$A$6+1),(2*(ROW()-ROW(A_Aufgabendatum))-1))),"")</f>
        <v>0</v>
      </c>
      <c r="K23" s="541">
        <f>IF(K$5&gt;0,(INDEX(A_Aufgaben,(K$5-Arbeitszeit!$A$6+1),(2*(ROW()-ROW(A_Aufgabendatum))-1))),"")</f>
        <v>0</v>
      </c>
      <c r="L23" s="542">
        <f>IF(L$5&gt;0,(INDEX(A_Aufgaben,(L$5-Arbeitszeit!$A$6+1),(2*(ROW()-ROW(A_Aufgabendatum))-1))),"")</f>
        <v>0</v>
      </c>
      <c r="M23" s="541">
        <f>IF(M$5&gt;0,(INDEX(A_Aufgaben,(M$5-Arbeitszeit!$A$6+1),(2*(ROW()-ROW(A_Aufgabendatum))-1))),"")</f>
        <v>0</v>
      </c>
      <c r="N23" s="542">
        <f>IF(N$5&gt;0,(INDEX(A_Aufgaben,(N$5-Arbeitszeit!$A$6+1),(2*(ROW()-ROW(A_Aufgabendatum))-1))),"")</f>
        <v>0</v>
      </c>
      <c r="O23" s="541">
        <f>IF(O$5&gt;0,(INDEX(A_Aufgaben,(O$5-Arbeitszeit!$A$6+1),(2*(ROW()-ROW(A_Aufgabendatum))-1))),"")</f>
        <v>0</v>
      </c>
      <c r="P23" s="542">
        <f>IF(P$5&gt;0,(INDEX(A_Aufgaben,(P$5-Arbeitszeit!$A$6+1),(2*(ROW()-ROW(A_Aufgabendatum))-1))),"")</f>
        <v>0</v>
      </c>
      <c r="Q23" s="541">
        <f>IF(Q$5&gt;0,(INDEX(A_Aufgaben,(Q$5-Arbeitszeit!$A$6+1),(2*(ROW()-ROW(A_Aufgabendatum))-1))),"")</f>
        <v>0</v>
      </c>
      <c r="R23" s="542">
        <f>IF(R$5&gt;0,(INDEX(A_Aufgaben,(R$5-Arbeitszeit!$A$6+1),(2*(ROW()-ROW(A_Aufgabendatum))-1))),"")</f>
        <v>0</v>
      </c>
      <c r="S23" s="541">
        <f>IF(S$5&gt;0,(INDEX(A_Aufgaben,(S$5-Arbeitszeit!$A$6+1),(2*(ROW()-ROW(A_Aufgabendatum))-1))),"")</f>
        <v>0</v>
      </c>
      <c r="T23" s="542">
        <f>IF(T$5&gt;0,(INDEX(A_Aufgaben,(T$5-Arbeitszeit!$A$6+1),(2*(ROW()-ROW(A_Aufgabendatum))-1))),"")</f>
        <v>0</v>
      </c>
      <c r="U23" s="541">
        <f>IF(U$5&gt;0,(INDEX(A_Aufgaben,(U$5-Arbeitszeit!$A$6+1),(2*(ROW()-ROW(A_Aufgabendatum))-1))),"")</f>
        <v>0</v>
      </c>
      <c r="V23" s="542">
        <f>IF(V$5&gt;0,(INDEX(A_Aufgaben,(V$5-Arbeitszeit!$A$6+1),(2*(ROW()-ROW(A_Aufgabendatum))-1))),"")</f>
        <v>0</v>
      </c>
      <c r="W23" s="541">
        <f>IF(W$5&gt;0,(INDEX(A_Aufgaben,(W$5-Arbeitszeit!$A$6+1),(2*(ROW()-ROW(A_Aufgabendatum))-1))),"")</f>
        <v>0</v>
      </c>
      <c r="X23" s="542">
        <f>IF(X$5&gt;0,(INDEX(A_Aufgaben,(X$5-Arbeitszeit!$A$6+1),(2*(ROW()-ROW(A_Aufgabendatum))-1))),"")</f>
        <v>0</v>
      </c>
      <c r="Y23" s="541">
        <f>IF(Y$5&gt;0,(INDEX(A_Aufgaben,(Y$5-Arbeitszeit!$A$6+1),(2*(ROW()-ROW(A_Aufgabendatum))-1))),"")</f>
        <v>0</v>
      </c>
      <c r="Z23" s="542">
        <f>IF(Z$5&gt;0,(INDEX(A_Aufgaben,(Z$5-Arbeitszeit!$A$6+1),(2*(ROW()-ROW(A_Aufgabendatum))-1))),"")</f>
        <v>0</v>
      </c>
      <c r="AA23" s="541">
        <f>IF(AA$5&gt;0,(INDEX(A_Aufgaben,(AA$5-Arbeitszeit!$A$6+1),(2*(ROW()-ROW(A_Aufgabendatum))-1))),"")</f>
        <v>0</v>
      </c>
      <c r="AB23" s="542">
        <f>IF(AB$5&gt;0,(INDEX(A_Aufgaben,(AB$5-Arbeitszeit!$A$6+1),(2*(ROW()-ROW(A_Aufgabendatum))-1))),"")</f>
        <v>0</v>
      </c>
      <c r="AC23" s="541">
        <f>IF(AC$5&gt;0,(INDEX(A_Aufgaben,(AC$5-Arbeitszeit!$A$6+1),(2*(ROW()-ROW(A_Aufgabendatum))-1))),"")</f>
        <v>0</v>
      </c>
      <c r="AD23" s="542">
        <f>IF(AD$5&gt;0,(INDEX(A_Aufgaben,(AD$5-Arbeitszeit!$A$6+1),(2*(ROW()-ROW(A_Aufgabendatum))-1))),"")</f>
        <v>0</v>
      </c>
      <c r="AE23" s="541">
        <f>IF(AE$5&gt;0,(INDEX(A_Aufgaben,(AE$5-Arbeitszeit!$A$6+1),(2*(ROW()-ROW(A_Aufgabendatum))-1))),"")</f>
        <v>0</v>
      </c>
      <c r="AF23" s="542">
        <f>IF(AF$5&gt;0,(INDEX(A_Aufgaben,(AF$5-Arbeitszeit!$A$6+1),(2*(ROW()-ROW(A_Aufgabendatum))-1))),"")</f>
        <v>0</v>
      </c>
      <c r="AG23" s="541">
        <f>IF(AG$5&gt;0,(INDEX(A_Aufgaben,(AG$5-Arbeitszeit!$A$6+1),(2*(ROW()-ROW(A_Aufgabendatum))-1))),"")</f>
        <v>0</v>
      </c>
      <c r="AH23" s="550">
        <f t="shared" si="1"/>
        <v>0</v>
      </c>
      <c r="AI23" s="3">
        <f t="shared" si="2"/>
        <v>0</v>
      </c>
    </row>
    <row r="24" spans="1:35">
      <c r="A24">
        <f t="shared" si="3"/>
        <v>0</v>
      </c>
      <c r="B24" s="540" t="str">
        <f>Aufgaben!AQ3</f>
        <v>Aufgabe 16</v>
      </c>
      <c r="C24" s="541">
        <f>IF(C$5&gt;0,(INDEX(A_Aufgaben,(C$5-Arbeitszeit!$A$6+1),(2*(ROW()-ROW(A_Aufgabendatum))-1))),"")</f>
        <v>0</v>
      </c>
      <c r="D24" s="542">
        <f>IF(D$5&gt;0,(INDEX(A_Aufgaben,(D$5-Arbeitszeit!$A$6+1),(2*(ROW()-ROW(A_Aufgabendatum))-1))),"")</f>
        <v>0</v>
      </c>
      <c r="E24" s="541">
        <f>IF(E$5&gt;0,(INDEX(A_Aufgaben,(E$5-Arbeitszeit!$A$6+1),(2*(ROW()-ROW(A_Aufgabendatum))-1))),"")</f>
        <v>0</v>
      </c>
      <c r="F24" s="542">
        <f>IF(F$5&gt;0,(INDEX(A_Aufgaben,(F$5-Arbeitszeit!$A$6+1),(2*(ROW()-ROW(A_Aufgabendatum))-1))),"")</f>
        <v>0</v>
      </c>
      <c r="G24" s="541">
        <f>IF(G$5&gt;0,(INDEX(A_Aufgaben,(G$5-Arbeitszeit!$A$6+1),(2*(ROW()-ROW(A_Aufgabendatum))-1))),"")</f>
        <v>0</v>
      </c>
      <c r="H24" s="542">
        <f>IF(H$5&gt;0,(INDEX(A_Aufgaben,(H$5-Arbeitszeit!$A$6+1),(2*(ROW()-ROW(A_Aufgabendatum))-1))),"")</f>
        <v>0</v>
      </c>
      <c r="I24" s="541">
        <f>IF(I$5&gt;0,(INDEX(A_Aufgaben,(I$5-Arbeitszeit!$A$6+1),(2*(ROW()-ROW(A_Aufgabendatum))-1))),"")</f>
        <v>0</v>
      </c>
      <c r="J24" s="542">
        <f>IF(J$5&gt;0,(INDEX(A_Aufgaben,(J$5-Arbeitszeit!$A$6+1),(2*(ROW()-ROW(A_Aufgabendatum))-1))),"")</f>
        <v>0</v>
      </c>
      <c r="K24" s="541">
        <f>IF(K$5&gt;0,(INDEX(A_Aufgaben,(K$5-Arbeitszeit!$A$6+1),(2*(ROW()-ROW(A_Aufgabendatum))-1))),"")</f>
        <v>0</v>
      </c>
      <c r="L24" s="542">
        <f>IF(L$5&gt;0,(INDEX(A_Aufgaben,(L$5-Arbeitszeit!$A$6+1),(2*(ROW()-ROW(A_Aufgabendatum))-1))),"")</f>
        <v>0</v>
      </c>
      <c r="M24" s="541">
        <f>IF(M$5&gt;0,(INDEX(A_Aufgaben,(M$5-Arbeitszeit!$A$6+1),(2*(ROW()-ROW(A_Aufgabendatum))-1))),"")</f>
        <v>0</v>
      </c>
      <c r="N24" s="542">
        <f>IF(N$5&gt;0,(INDEX(A_Aufgaben,(N$5-Arbeitszeit!$A$6+1),(2*(ROW()-ROW(A_Aufgabendatum))-1))),"")</f>
        <v>0</v>
      </c>
      <c r="O24" s="541">
        <f>IF(O$5&gt;0,(INDEX(A_Aufgaben,(O$5-Arbeitszeit!$A$6+1),(2*(ROW()-ROW(A_Aufgabendatum))-1))),"")</f>
        <v>0</v>
      </c>
      <c r="P24" s="542">
        <f>IF(P$5&gt;0,(INDEX(A_Aufgaben,(P$5-Arbeitszeit!$A$6+1),(2*(ROW()-ROW(A_Aufgabendatum))-1))),"")</f>
        <v>0</v>
      </c>
      <c r="Q24" s="541">
        <f>IF(Q$5&gt;0,(INDEX(A_Aufgaben,(Q$5-Arbeitszeit!$A$6+1),(2*(ROW()-ROW(A_Aufgabendatum))-1))),"")</f>
        <v>0</v>
      </c>
      <c r="R24" s="542">
        <f>IF(R$5&gt;0,(INDEX(A_Aufgaben,(R$5-Arbeitszeit!$A$6+1),(2*(ROW()-ROW(A_Aufgabendatum))-1))),"")</f>
        <v>0</v>
      </c>
      <c r="S24" s="541">
        <f>IF(S$5&gt;0,(INDEX(A_Aufgaben,(S$5-Arbeitszeit!$A$6+1),(2*(ROW()-ROW(A_Aufgabendatum))-1))),"")</f>
        <v>0</v>
      </c>
      <c r="T24" s="542">
        <f>IF(T$5&gt;0,(INDEX(A_Aufgaben,(T$5-Arbeitszeit!$A$6+1),(2*(ROW()-ROW(A_Aufgabendatum))-1))),"")</f>
        <v>0</v>
      </c>
      <c r="U24" s="541">
        <f>IF(U$5&gt;0,(INDEX(A_Aufgaben,(U$5-Arbeitszeit!$A$6+1),(2*(ROW()-ROW(A_Aufgabendatum))-1))),"")</f>
        <v>0</v>
      </c>
      <c r="V24" s="542">
        <f>IF(V$5&gt;0,(INDEX(A_Aufgaben,(V$5-Arbeitszeit!$A$6+1),(2*(ROW()-ROW(A_Aufgabendatum))-1))),"")</f>
        <v>0</v>
      </c>
      <c r="W24" s="541">
        <f>IF(W$5&gt;0,(INDEX(A_Aufgaben,(W$5-Arbeitszeit!$A$6+1),(2*(ROW()-ROW(A_Aufgabendatum))-1))),"")</f>
        <v>0</v>
      </c>
      <c r="X24" s="542">
        <f>IF(X$5&gt;0,(INDEX(A_Aufgaben,(X$5-Arbeitszeit!$A$6+1),(2*(ROW()-ROW(A_Aufgabendatum))-1))),"")</f>
        <v>0</v>
      </c>
      <c r="Y24" s="541">
        <f>IF(Y$5&gt;0,(INDEX(A_Aufgaben,(Y$5-Arbeitszeit!$A$6+1),(2*(ROW()-ROW(A_Aufgabendatum))-1))),"")</f>
        <v>0</v>
      </c>
      <c r="Z24" s="542">
        <f>IF(Z$5&gt;0,(INDEX(A_Aufgaben,(Z$5-Arbeitszeit!$A$6+1),(2*(ROW()-ROW(A_Aufgabendatum))-1))),"")</f>
        <v>0</v>
      </c>
      <c r="AA24" s="541">
        <f>IF(AA$5&gt;0,(INDEX(A_Aufgaben,(AA$5-Arbeitszeit!$A$6+1),(2*(ROW()-ROW(A_Aufgabendatum))-1))),"")</f>
        <v>0</v>
      </c>
      <c r="AB24" s="542">
        <f>IF(AB$5&gt;0,(INDEX(A_Aufgaben,(AB$5-Arbeitszeit!$A$6+1),(2*(ROW()-ROW(A_Aufgabendatum))-1))),"")</f>
        <v>0</v>
      </c>
      <c r="AC24" s="541">
        <f>IF(AC$5&gt;0,(INDEX(A_Aufgaben,(AC$5-Arbeitszeit!$A$6+1),(2*(ROW()-ROW(A_Aufgabendatum))-1))),"")</f>
        <v>0</v>
      </c>
      <c r="AD24" s="542">
        <f>IF(AD$5&gt;0,(INDEX(A_Aufgaben,(AD$5-Arbeitszeit!$A$6+1),(2*(ROW()-ROW(A_Aufgabendatum))-1))),"")</f>
        <v>0</v>
      </c>
      <c r="AE24" s="541">
        <f>IF(AE$5&gt;0,(INDEX(A_Aufgaben,(AE$5-Arbeitszeit!$A$6+1),(2*(ROW()-ROW(A_Aufgabendatum))-1))),"")</f>
        <v>0</v>
      </c>
      <c r="AF24" s="542">
        <f>IF(AF$5&gt;0,(INDEX(A_Aufgaben,(AF$5-Arbeitszeit!$A$6+1),(2*(ROW()-ROW(A_Aufgabendatum))-1))),"")</f>
        <v>0</v>
      </c>
      <c r="AG24" s="541">
        <f>IF(AG$5&gt;0,(INDEX(A_Aufgaben,(AG$5-Arbeitszeit!$A$6+1),(2*(ROW()-ROW(A_Aufgabendatum))-1))),"")</f>
        <v>0</v>
      </c>
      <c r="AH24" s="550">
        <f t="shared" si="1"/>
        <v>0</v>
      </c>
      <c r="AI24" s="3">
        <f t="shared" si="2"/>
        <v>0</v>
      </c>
    </row>
    <row r="25" spans="1:35">
      <c r="A25">
        <f t="shared" si="3"/>
        <v>0</v>
      </c>
      <c r="B25" s="540" t="str">
        <f>Aufgaben!AS3</f>
        <v>Aufgabe 17</v>
      </c>
      <c r="C25" s="541">
        <f>IF(C$5&gt;0,(INDEX(A_Aufgaben,(C$5-Arbeitszeit!$A$6+1),(2*(ROW()-ROW(A_Aufgabendatum))-1))),"")</f>
        <v>0</v>
      </c>
      <c r="D25" s="542">
        <f>IF(D$5&gt;0,(INDEX(A_Aufgaben,(D$5-Arbeitszeit!$A$6+1),(2*(ROW()-ROW(A_Aufgabendatum))-1))),"")</f>
        <v>0</v>
      </c>
      <c r="E25" s="541">
        <f>IF(E$5&gt;0,(INDEX(A_Aufgaben,(E$5-Arbeitszeit!$A$6+1),(2*(ROW()-ROW(A_Aufgabendatum))-1))),"")</f>
        <v>0</v>
      </c>
      <c r="F25" s="542">
        <f>IF(F$5&gt;0,(INDEX(A_Aufgaben,(F$5-Arbeitszeit!$A$6+1),(2*(ROW()-ROW(A_Aufgabendatum))-1))),"")</f>
        <v>0</v>
      </c>
      <c r="G25" s="541">
        <f>IF(G$5&gt;0,(INDEX(A_Aufgaben,(G$5-Arbeitszeit!$A$6+1),(2*(ROW()-ROW(A_Aufgabendatum))-1))),"")</f>
        <v>0</v>
      </c>
      <c r="H25" s="542">
        <f>IF(H$5&gt;0,(INDEX(A_Aufgaben,(H$5-Arbeitszeit!$A$6+1),(2*(ROW()-ROW(A_Aufgabendatum))-1))),"")</f>
        <v>0</v>
      </c>
      <c r="I25" s="541">
        <f>IF(I$5&gt;0,(INDEX(A_Aufgaben,(I$5-Arbeitszeit!$A$6+1),(2*(ROW()-ROW(A_Aufgabendatum))-1))),"")</f>
        <v>0</v>
      </c>
      <c r="J25" s="542">
        <f>IF(J$5&gt;0,(INDEX(A_Aufgaben,(J$5-Arbeitszeit!$A$6+1),(2*(ROW()-ROW(A_Aufgabendatum))-1))),"")</f>
        <v>0</v>
      </c>
      <c r="K25" s="541">
        <f>IF(K$5&gt;0,(INDEX(A_Aufgaben,(K$5-Arbeitszeit!$A$6+1),(2*(ROW()-ROW(A_Aufgabendatum))-1))),"")</f>
        <v>0</v>
      </c>
      <c r="L25" s="542">
        <f>IF(L$5&gt;0,(INDEX(A_Aufgaben,(L$5-Arbeitszeit!$A$6+1),(2*(ROW()-ROW(A_Aufgabendatum))-1))),"")</f>
        <v>0</v>
      </c>
      <c r="M25" s="541">
        <f>IF(M$5&gt;0,(INDEX(A_Aufgaben,(M$5-Arbeitszeit!$A$6+1),(2*(ROW()-ROW(A_Aufgabendatum))-1))),"")</f>
        <v>0</v>
      </c>
      <c r="N25" s="542">
        <f>IF(N$5&gt;0,(INDEX(A_Aufgaben,(N$5-Arbeitszeit!$A$6+1),(2*(ROW()-ROW(A_Aufgabendatum))-1))),"")</f>
        <v>0</v>
      </c>
      <c r="O25" s="541">
        <f>IF(O$5&gt;0,(INDEX(A_Aufgaben,(O$5-Arbeitszeit!$A$6+1),(2*(ROW()-ROW(A_Aufgabendatum))-1))),"")</f>
        <v>0</v>
      </c>
      <c r="P25" s="542">
        <f>IF(P$5&gt;0,(INDEX(A_Aufgaben,(P$5-Arbeitszeit!$A$6+1),(2*(ROW()-ROW(A_Aufgabendatum))-1))),"")</f>
        <v>0</v>
      </c>
      <c r="Q25" s="541">
        <f>IF(Q$5&gt;0,(INDEX(A_Aufgaben,(Q$5-Arbeitszeit!$A$6+1),(2*(ROW()-ROW(A_Aufgabendatum))-1))),"")</f>
        <v>0</v>
      </c>
      <c r="R25" s="542">
        <f>IF(R$5&gt;0,(INDEX(A_Aufgaben,(R$5-Arbeitszeit!$A$6+1),(2*(ROW()-ROW(A_Aufgabendatum))-1))),"")</f>
        <v>0</v>
      </c>
      <c r="S25" s="541">
        <f>IF(S$5&gt;0,(INDEX(A_Aufgaben,(S$5-Arbeitszeit!$A$6+1),(2*(ROW()-ROW(A_Aufgabendatum))-1))),"")</f>
        <v>0</v>
      </c>
      <c r="T25" s="542">
        <f>IF(T$5&gt;0,(INDEX(A_Aufgaben,(T$5-Arbeitszeit!$A$6+1),(2*(ROW()-ROW(A_Aufgabendatum))-1))),"")</f>
        <v>0</v>
      </c>
      <c r="U25" s="541">
        <f>IF(U$5&gt;0,(INDEX(A_Aufgaben,(U$5-Arbeitszeit!$A$6+1),(2*(ROW()-ROW(A_Aufgabendatum))-1))),"")</f>
        <v>0</v>
      </c>
      <c r="V25" s="542">
        <f>IF(V$5&gt;0,(INDEX(A_Aufgaben,(V$5-Arbeitszeit!$A$6+1),(2*(ROW()-ROW(A_Aufgabendatum))-1))),"")</f>
        <v>0</v>
      </c>
      <c r="W25" s="541">
        <f>IF(W$5&gt;0,(INDEX(A_Aufgaben,(W$5-Arbeitszeit!$A$6+1),(2*(ROW()-ROW(A_Aufgabendatum))-1))),"")</f>
        <v>0</v>
      </c>
      <c r="X25" s="542">
        <f>IF(X$5&gt;0,(INDEX(A_Aufgaben,(X$5-Arbeitszeit!$A$6+1),(2*(ROW()-ROW(A_Aufgabendatum))-1))),"")</f>
        <v>0</v>
      </c>
      <c r="Y25" s="541">
        <f>IF(Y$5&gt;0,(INDEX(A_Aufgaben,(Y$5-Arbeitszeit!$A$6+1),(2*(ROW()-ROW(A_Aufgabendatum))-1))),"")</f>
        <v>0</v>
      </c>
      <c r="Z25" s="542">
        <f>IF(Z$5&gt;0,(INDEX(A_Aufgaben,(Z$5-Arbeitszeit!$A$6+1),(2*(ROW()-ROW(A_Aufgabendatum))-1))),"")</f>
        <v>0</v>
      </c>
      <c r="AA25" s="541">
        <f>IF(AA$5&gt;0,(INDEX(A_Aufgaben,(AA$5-Arbeitszeit!$A$6+1),(2*(ROW()-ROW(A_Aufgabendatum))-1))),"")</f>
        <v>0</v>
      </c>
      <c r="AB25" s="542">
        <f>IF(AB$5&gt;0,(INDEX(A_Aufgaben,(AB$5-Arbeitszeit!$A$6+1),(2*(ROW()-ROW(A_Aufgabendatum))-1))),"")</f>
        <v>0</v>
      </c>
      <c r="AC25" s="541">
        <f>IF(AC$5&gt;0,(INDEX(A_Aufgaben,(AC$5-Arbeitszeit!$A$6+1),(2*(ROW()-ROW(A_Aufgabendatum))-1))),"")</f>
        <v>0</v>
      </c>
      <c r="AD25" s="542">
        <f>IF(AD$5&gt;0,(INDEX(A_Aufgaben,(AD$5-Arbeitszeit!$A$6+1),(2*(ROW()-ROW(A_Aufgabendatum))-1))),"")</f>
        <v>0</v>
      </c>
      <c r="AE25" s="541">
        <f>IF(AE$5&gt;0,(INDEX(A_Aufgaben,(AE$5-Arbeitszeit!$A$6+1),(2*(ROW()-ROW(A_Aufgabendatum))-1))),"")</f>
        <v>0</v>
      </c>
      <c r="AF25" s="542">
        <f>IF(AF$5&gt;0,(INDEX(A_Aufgaben,(AF$5-Arbeitszeit!$A$6+1),(2*(ROW()-ROW(A_Aufgabendatum))-1))),"")</f>
        <v>0</v>
      </c>
      <c r="AG25" s="541">
        <f>IF(AG$5&gt;0,(INDEX(A_Aufgaben,(AG$5-Arbeitszeit!$A$6+1),(2*(ROW()-ROW(A_Aufgabendatum))-1))),"")</f>
        <v>0</v>
      </c>
      <c r="AH25" s="550">
        <f t="shared" si="1"/>
        <v>0</v>
      </c>
      <c r="AI25" s="3">
        <f t="shared" si="2"/>
        <v>0</v>
      </c>
    </row>
    <row r="26" spans="1:35">
      <c r="A26">
        <f t="shared" si="3"/>
        <v>0</v>
      </c>
      <c r="B26" s="540" t="str">
        <f>Aufgaben!AU3</f>
        <v>Aufgabe 18</v>
      </c>
      <c r="C26" s="541">
        <f>IF(C$5&gt;0,(INDEX(A_Aufgaben,(C$5-Arbeitszeit!$A$6+1),(2*(ROW()-ROW(A_Aufgabendatum))-1))),"")</f>
        <v>0</v>
      </c>
      <c r="D26" s="542">
        <f>IF(D$5&gt;0,(INDEX(A_Aufgaben,(D$5-Arbeitszeit!$A$6+1),(2*(ROW()-ROW(A_Aufgabendatum))-1))),"")</f>
        <v>0</v>
      </c>
      <c r="E26" s="541">
        <f>IF(E$5&gt;0,(INDEX(A_Aufgaben,(E$5-Arbeitszeit!$A$6+1),(2*(ROW()-ROW(A_Aufgabendatum))-1))),"")</f>
        <v>0</v>
      </c>
      <c r="F26" s="542">
        <f>IF(F$5&gt;0,(INDEX(A_Aufgaben,(F$5-Arbeitszeit!$A$6+1),(2*(ROW()-ROW(A_Aufgabendatum))-1))),"")</f>
        <v>0</v>
      </c>
      <c r="G26" s="541">
        <f>IF(G$5&gt;0,(INDEX(A_Aufgaben,(G$5-Arbeitszeit!$A$6+1),(2*(ROW()-ROW(A_Aufgabendatum))-1))),"")</f>
        <v>0</v>
      </c>
      <c r="H26" s="542">
        <f>IF(H$5&gt;0,(INDEX(A_Aufgaben,(H$5-Arbeitszeit!$A$6+1),(2*(ROW()-ROW(A_Aufgabendatum))-1))),"")</f>
        <v>0</v>
      </c>
      <c r="I26" s="541">
        <f>IF(I$5&gt;0,(INDEX(A_Aufgaben,(I$5-Arbeitszeit!$A$6+1),(2*(ROW()-ROW(A_Aufgabendatum))-1))),"")</f>
        <v>0</v>
      </c>
      <c r="J26" s="542">
        <f>IF(J$5&gt;0,(INDEX(A_Aufgaben,(J$5-Arbeitszeit!$A$6+1),(2*(ROW()-ROW(A_Aufgabendatum))-1))),"")</f>
        <v>0</v>
      </c>
      <c r="K26" s="541">
        <f>IF(K$5&gt;0,(INDEX(A_Aufgaben,(K$5-Arbeitszeit!$A$6+1),(2*(ROW()-ROW(A_Aufgabendatum))-1))),"")</f>
        <v>0</v>
      </c>
      <c r="L26" s="542">
        <f>IF(L$5&gt;0,(INDEX(A_Aufgaben,(L$5-Arbeitszeit!$A$6+1),(2*(ROW()-ROW(A_Aufgabendatum))-1))),"")</f>
        <v>0</v>
      </c>
      <c r="M26" s="541">
        <f>IF(M$5&gt;0,(INDEX(A_Aufgaben,(M$5-Arbeitszeit!$A$6+1),(2*(ROW()-ROW(A_Aufgabendatum))-1))),"")</f>
        <v>0</v>
      </c>
      <c r="N26" s="542">
        <f>IF(N$5&gt;0,(INDEX(A_Aufgaben,(N$5-Arbeitszeit!$A$6+1),(2*(ROW()-ROW(A_Aufgabendatum))-1))),"")</f>
        <v>0</v>
      </c>
      <c r="O26" s="541">
        <f>IF(O$5&gt;0,(INDEX(A_Aufgaben,(O$5-Arbeitszeit!$A$6+1),(2*(ROW()-ROW(A_Aufgabendatum))-1))),"")</f>
        <v>0</v>
      </c>
      <c r="P26" s="542">
        <f>IF(P$5&gt;0,(INDEX(A_Aufgaben,(P$5-Arbeitszeit!$A$6+1),(2*(ROW()-ROW(A_Aufgabendatum))-1))),"")</f>
        <v>0</v>
      </c>
      <c r="Q26" s="541">
        <f>IF(Q$5&gt;0,(INDEX(A_Aufgaben,(Q$5-Arbeitszeit!$A$6+1),(2*(ROW()-ROW(A_Aufgabendatum))-1))),"")</f>
        <v>0</v>
      </c>
      <c r="R26" s="542">
        <f>IF(R$5&gt;0,(INDEX(A_Aufgaben,(R$5-Arbeitszeit!$A$6+1),(2*(ROW()-ROW(A_Aufgabendatum))-1))),"")</f>
        <v>0</v>
      </c>
      <c r="S26" s="541">
        <f>IF(S$5&gt;0,(INDEX(A_Aufgaben,(S$5-Arbeitszeit!$A$6+1),(2*(ROW()-ROW(A_Aufgabendatum))-1))),"")</f>
        <v>0</v>
      </c>
      <c r="T26" s="542">
        <f>IF(T$5&gt;0,(INDEX(A_Aufgaben,(T$5-Arbeitszeit!$A$6+1),(2*(ROW()-ROW(A_Aufgabendatum))-1))),"")</f>
        <v>0</v>
      </c>
      <c r="U26" s="541">
        <f>IF(U$5&gt;0,(INDEX(A_Aufgaben,(U$5-Arbeitszeit!$A$6+1),(2*(ROW()-ROW(A_Aufgabendatum))-1))),"")</f>
        <v>0</v>
      </c>
      <c r="V26" s="542">
        <f>IF(V$5&gt;0,(INDEX(A_Aufgaben,(V$5-Arbeitszeit!$A$6+1),(2*(ROW()-ROW(A_Aufgabendatum))-1))),"")</f>
        <v>0</v>
      </c>
      <c r="W26" s="541">
        <f>IF(W$5&gt;0,(INDEX(A_Aufgaben,(W$5-Arbeitszeit!$A$6+1),(2*(ROW()-ROW(A_Aufgabendatum))-1))),"")</f>
        <v>0</v>
      </c>
      <c r="X26" s="542">
        <f>IF(X$5&gt;0,(INDEX(A_Aufgaben,(X$5-Arbeitszeit!$A$6+1),(2*(ROW()-ROW(A_Aufgabendatum))-1))),"")</f>
        <v>0</v>
      </c>
      <c r="Y26" s="541">
        <f>IF(Y$5&gt;0,(INDEX(A_Aufgaben,(Y$5-Arbeitszeit!$A$6+1),(2*(ROW()-ROW(A_Aufgabendatum))-1))),"")</f>
        <v>0</v>
      </c>
      <c r="Z26" s="542">
        <f>IF(Z$5&gt;0,(INDEX(A_Aufgaben,(Z$5-Arbeitszeit!$A$6+1),(2*(ROW()-ROW(A_Aufgabendatum))-1))),"")</f>
        <v>0</v>
      </c>
      <c r="AA26" s="541">
        <f>IF(AA$5&gt;0,(INDEX(A_Aufgaben,(AA$5-Arbeitszeit!$A$6+1),(2*(ROW()-ROW(A_Aufgabendatum))-1))),"")</f>
        <v>0</v>
      </c>
      <c r="AB26" s="542">
        <f>IF(AB$5&gt;0,(INDEX(A_Aufgaben,(AB$5-Arbeitszeit!$A$6+1),(2*(ROW()-ROW(A_Aufgabendatum))-1))),"")</f>
        <v>0</v>
      </c>
      <c r="AC26" s="541">
        <f>IF(AC$5&gt;0,(INDEX(A_Aufgaben,(AC$5-Arbeitszeit!$A$6+1),(2*(ROW()-ROW(A_Aufgabendatum))-1))),"")</f>
        <v>0</v>
      </c>
      <c r="AD26" s="542">
        <f>IF(AD$5&gt;0,(INDEX(A_Aufgaben,(AD$5-Arbeitszeit!$A$6+1),(2*(ROW()-ROW(A_Aufgabendatum))-1))),"")</f>
        <v>0</v>
      </c>
      <c r="AE26" s="541">
        <f>IF(AE$5&gt;0,(INDEX(A_Aufgaben,(AE$5-Arbeitszeit!$A$6+1),(2*(ROW()-ROW(A_Aufgabendatum))-1))),"")</f>
        <v>0</v>
      </c>
      <c r="AF26" s="542">
        <f>IF(AF$5&gt;0,(INDEX(A_Aufgaben,(AF$5-Arbeitszeit!$A$6+1),(2*(ROW()-ROW(A_Aufgabendatum))-1))),"")</f>
        <v>0</v>
      </c>
      <c r="AG26" s="541">
        <f>IF(AG$5&gt;0,(INDEX(A_Aufgaben,(AG$5-Arbeitszeit!$A$6+1),(2*(ROW()-ROW(A_Aufgabendatum))-1))),"")</f>
        <v>0</v>
      </c>
      <c r="AH26" s="550">
        <f t="shared" si="1"/>
        <v>0</v>
      </c>
      <c r="AI26" s="3">
        <f t="shared" si="2"/>
        <v>0</v>
      </c>
    </row>
    <row r="27" spans="1:35">
      <c r="A27">
        <f t="shared" si="3"/>
        <v>0</v>
      </c>
      <c r="B27" s="540" t="str">
        <f>Aufgaben!AW3</f>
        <v>Aufgabe 19</v>
      </c>
      <c r="C27" s="541">
        <f>IF(C$5&gt;0,(INDEX(A_Aufgaben,(C$5-Arbeitszeit!$A$6+1),(2*(ROW()-ROW(A_Aufgabendatum))-1))),"")</f>
        <v>0</v>
      </c>
      <c r="D27" s="542">
        <f>IF(D$5&gt;0,(INDEX(A_Aufgaben,(D$5-Arbeitszeit!$A$6+1),(2*(ROW()-ROW(A_Aufgabendatum))-1))),"")</f>
        <v>0</v>
      </c>
      <c r="E27" s="541">
        <f>IF(E$5&gt;0,(INDEX(A_Aufgaben,(E$5-Arbeitszeit!$A$6+1),(2*(ROW()-ROW(A_Aufgabendatum))-1))),"")</f>
        <v>0</v>
      </c>
      <c r="F27" s="542">
        <f>IF(F$5&gt;0,(INDEX(A_Aufgaben,(F$5-Arbeitszeit!$A$6+1),(2*(ROW()-ROW(A_Aufgabendatum))-1))),"")</f>
        <v>0</v>
      </c>
      <c r="G27" s="541">
        <f>IF(G$5&gt;0,(INDEX(A_Aufgaben,(G$5-Arbeitszeit!$A$6+1),(2*(ROW()-ROW(A_Aufgabendatum))-1))),"")</f>
        <v>0</v>
      </c>
      <c r="H27" s="542">
        <f>IF(H$5&gt;0,(INDEX(A_Aufgaben,(H$5-Arbeitszeit!$A$6+1),(2*(ROW()-ROW(A_Aufgabendatum))-1))),"")</f>
        <v>0</v>
      </c>
      <c r="I27" s="541">
        <f>IF(I$5&gt;0,(INDEX(A_Aufgaben,(I$5-Arbeitszeit!$A$6+1),(2*(ROW()-ROW(A_Aufgabendatum))-1))),"")</f>
        <v>0</v>
      </c>
      <c r="J27" s="542">
        <f>IF(J$5&gt;0,(INDEX(A_Aufgaben,(J$5-Arbeitszeit!$A$6+1),(2*(ROW()-ROW(A_Aufgabendatum))-1))),"")</f>
        <v>0</v>
      </c>
      <c r="K27" s="541">
        <f>IF(K$5&gt;0,(INDEX(A_Aufgaben,(K$5-Arbeitszeit!$A$6+1),(2*(ROW()-ROW(A_Aufgabendatum))-1))),"")</f>
        <v>0</v>
      </c>
      <c r="L27" s="542">
        <f>IF(L$5&gt;0,(INDEX(A_Aufgaben,(L$5-Arbeitszeit!$A$6+1),(2*(ROW()-ROW(A_Aufgabendatum))-1))),"")</f>
        <v>0</v>
      </c>
      <c r="M27" s="541">
        <f>IF(M$5&gt;0,(INDEX(A_Aufgaben,(M$5-Arbeitszeit!$A$6+1),(2*(ROW()-ROW(A_Aufgabendatum))-1))),"")</f>
        <v>0</v>
      </c>
      <c r="N27" s="542">
        <f>IF(N$5&gt;0,(INDEX(A_Aufgaben,(N$5-Arbeitszeit!$A$6+1),(2*(ROW()-ROW(A_Aufgabendatum))-1))),"")</f>
        <v>0</v>
      </c>
      <c r="O27" s="541">
        <f>IF(O$5&gt;0,(INDEX(A_Aufgaben,(O$5-Arbeitszeit!$A$6+1),(2*(ROW()-ROW(A_Aufgabendatum))-1))),"")</f>
        <v>0</v>
      </c>
      <c r="P27" s="542">
        <f>IF(P$5&gt;0,(INDEX(A_Aufgaben,(P$5-Arbeitszeit!$A$6+1),(2*(ROW()-ROW(A_Aufgabendatum))-1))),"")</f>
        <v>0</v>
      </c>
      <c r="Q27" s="541">
        <f>IF(Q$5&gt;0,(INDEX(A_Aufgaben,(Q$5-Arbeitszeit!$A$6+1),(2*(ROW()-ROW(A_Aufgabendatum))-1))),"")</f>
        <v>0</v>
      </c>
      <c r="R27" s="542">
        <f>IF(R$5&gt;0,(INDEX(A_Aufgaben,(R$5-Arbeitszeit!$A$6+1),(2*(ROW()-ROW(A_Aufgabendatum))-1))),"")</f>
        <v>0</v>
      </c>
      <c r="S27" s="541">
        <f>IF(S$5&gt;0,(INDEX(A_Aufgaben,(S$5-Arbeitszeit!$A$6+1),(2*(ROW()-ROW(A_Aufgabendatum))-1))),"")</f>
        <v>0</v>
      </c>
      <c r="T27" s="542">
        <f>IF(T$5&gt;0,(INDEX(A_Aufgaben,(T$5-Arbeitszeit!$A$6+1),(2*(ROW()-ROW(A_Aufgabendatum))-1))),"")</f>
        <v>0</v>
      </c>
      <c r="U27" s="541">
        <f>IF(U$5&gt;0,(INDEX(A_Aufgaben,(U$5-Arbeitszeit!$A$6+1),(2*(ROW()-ROW(A_Aufgabendatum))-1))),"")</f>
        <v>0</v>
      </c>
      <c r="V27" s="542">
        <f>IF(V$5&gt;0,(INDEX(A_Aufgaben,(V$5-Arbeitszeit!$A$6+1),(2*(ROW()-ROW(A_Aufgabendatum))-1))),"")</f>
        <v>0</v>
      </c>
      <c r="W27" s="541">
        <f>IF(W$5&gt;0,(INDEX(A_Aufgaben,(W$5-Arbeitszeit!$A$6+1),(2*(ROW()-ROW(A_Aufgabendatum))-1))),"")</f>
        <v>0</v>
      </c>
      <c r="X27" s="542">
        <f>IF(X$5&gt;0,(INDEX(A_Aufgaben,(X$5-Arbeitszeit!$A$6+1),(2*(ROW()-ROW(A_Aufgabendatum))-1))),"")</f>
        <v>0</v>
      </c>
      <c r="Y27" s="541">
        <f>IF(Y$5&gt;0,(INDEX(A_Aufgaben,(Y$5-Arbeitszeit!$A$6+1),(2*(ROW()-ROW(A_Aufgabendatum))-1))),"")</f>
        <v>0</v>
      </c>
      <c r="Z27" s="542">
        <f>IF(Z$5&gt;0,(INDEX(A_Aufgaben,(Z$5-Arbeitszeit!$A$6+1),(2*(ROW()-ROW(A_Aufgabendatum))-1))),"")</f>
        <v>0</v>
      </c>
      <c r="AA27" s="541">
        <f>IF(AA$5&gt;0,(INDEX(A_Aufgaben,(AA$5-Arbeitszeit!$A$6+1),(2*(ROW()-ROW(A_Aufgabendatum))-1))),"")</f>
        <v>0</v>
      </c>
      <c r="AB27" s="542">
        <f>IF(AB$5&gt;0,(INDEX(A_Aufgaben,(AB$5-Arbeitszeit!$A$6+1),(2*(ROW()-ROW(A_Aufgabendatum))-1))),"")</f>
        <v>0</v>
      </c>
      <c r="AC27" s="541">
        <f>IF(AC$5&gt;0,(INDEX(A_Aufgaben,(AC$5-Arbeitszeit!$A$6+1),(2*(ROW()-ROW(A_Aufgabendatum))-1))),"")</f>
        <v>0</v>
      </c>
      <c r="AD27" s="542">
        <f>IF(AD$5&gt;0,(INDEX(A_Aufgaben,(AD$5-Arbeitszeit!$A$6+1),(2*(ROW()-ROW(A_Aufgabendatum))-1))),"")</f>
        <v>0</v>
      </c>
      <c r="AE27" s="541">
        <f>IF(AE$5&gt;0,(INDEX(A_Aufgaben,(AE$5-Arbeitszeit!$A$6+1),(2*(ROW()-ROW(A_Aufgabendatum))-1))),"")</f>
        <v>0</v>
      </c>
      <c r="AF27" s="542">
        <f>IF(AF$5&gt;0,(INDEX(A_Aufgaben,(AF$5-Arbeitszeit!$A$6+1),(2*(ROW()-ROW(A_Aufgabendatum))-1))),"")</f>
        <v>0</v>
      </c>
      <c r="AG27" s="541">
        <f>IF(AG$5&gt;0,(INDEX(A_Aufgaben,(AG$5-Arbeitszeit!$A$6+1),(2*(ROW()-ROW(A_Aufgabendatum))-1))),"")</f>
        <v>0</v>
      </c>
      <c r="AH27" s="550">
        <f t="shared" si="1"/>
        <v>0</v>
      </c>
      <c r="AI27" s="3">
        <f t="shared" si="2"/>
        <v>0</v>
      </c>
    </row>
    <row r="28" spans="1:35" ht="5.0999999999999996" customHeight="1">
      <c r="D28" s="551"/>
      <c r="F28" s="551"/>
      <c r="H28" s="551"/>
      <c r="J28" s="551"/>
      <c r="L28" s="551"/>
      <c r="N28" s="551"/>
      <c r="P28" s="551"/>
      <c r="R28" s="551"/>
      <c r="T28" s="551"/>
      <c r="V28" s="551"/>
      <c r="X28" s="551"/>
      <c r="Z28" s="551"/>
      <c r="AB28" s="551"/>
      <c r="AD28" s="551"/>
      <c r="AF28" s="551"/>
      <c r="AH28" s="552"/>
    </row>
    <row r="29" spans="1:35">
      <c r="B29" s="566" t="s">
        <v>84</v>
      </c>
      <c r="C29" s="544">
        <f>SUM(C6:C28)</f>
        <v>0</v>
      </c>
      <c r="D29" s="545">
        <f t="shared" ref="D29:AH29" si="4">SUM(D6:D28)</f>
        <v>0</v>
      </c>
      <c r="E29" s="544">
        <f t="shared" si="4"/>
        <v>0</v>
      </c>
      <c r="F29" s="545">
        <f t="shared" si="4"/>
        <v>0</v>
      </c>
      <c r="G29" s="544">
        <f t="shared" si="4"/>
        <v>0</v>
      </c>
      <c r="H29" s="545">
        <f t="shared" si="4"/>
        <v>0</v>
      </c>
      <c r="I29" s="544">
        <f t="shared" si="4"/>
        <v>0</v>
      </c>
      <c r="J29" s="545">
        <f t="shared" si="4"/>
        <v>0</v>
      </c>
      <c r="K29" s="544">
        <f t="shared" si="4"/>
        <v>0</v>
      </c>
      <c r="L29" s="545">
        <f t="shared" si="4"/>
        <v>0</v>
      </c>
      <c r="M29" s="544">
        <f t="shared" si="4"/>
        <v>0</v>
      </c>
      <c r="N29" s="545">
        <f t="shared" si="4"/>
        <v>0</v>
      </c>
      <c r="O29" s="544">
        <f t="shared" si="4"/>
        <v>0</v>
      </c>
      <c r="P29" s="545">
        <f t="shared" si="4"/>
        <v>0</v>
      </c>
      <c r="Q29" s="544">
        <f t="shared" si="4"/>
        <v>0</v>
      </c>
      <c r="R29" s="545">
        <f t="shared" si="4"/>
        <v>0</v>
      </c>
      <c r="S29" s="544">
        <f t="shared" si="4"/>
        <v>0</v>
      </c>
      <c r="T29" s="545">
        <f t="shared" si="4"/>
        <v>0</v>
      </c>
      <c r="U29" s="544">
        <f t="shared" si="4"/>
        <v>0</v>
      </c>
      <c r="V29" s="545">
        <f t="shared" si="4"/>
        <v>0</v>
      </c>
      <c r="W29" s="544">
        <f t="shared" si="4"/>
        <v>0</v>
      </c>
      <c r="X29" s="545">
        <f t="shared" si="4"/>
        <v>0</v>
      </c>
      <c r="Y29" s="544">
        <f t="shared" si="4"/>
        <v>0</v>
      </c>
      <c r="Z29" s="545">
        <f t="shared" si="4"/>
        <v>0</v>
      </c>
      <c r="AA29" s="544">
        <f t="shared" si="4"/>
        <v>0</v>
      </c>
      <c r="AB29" s="545">
        <f t="shared" si="4"/>
        <v>0</v>
      </c>
      <c r="AC29" s="544">
        <f t="shared" si="4"/>
        <v>0</v>
      </c>
      <c r="AD29" s="545">
        <f t="shared" si="4"/>
        <v>0</v>
      </c>
      <c r="AE29" s="544">
        <f t="shared" si="4"/>
        <v>0</v>
      </c>
      <c r="AF29" s="545">
        <f t="shared" si="4"/>
        <v>0</v>
      </c>
      <c r="AG29" s="544">
        <f t="shared" si="4"/>
        <v>0</v>
      </c>
      <c r="AH29" s="567">
        <f t="shared" si="4"/>
        <v>0</v>
      </c>
      <c r="AI29" s="594"/>
    </row>
    <row r="30" spans="1:35">
      <c r="C30" s="568" t="str">
        <f>IF(C29&gt;0,1,"")</f>
        <v/>
      </c>
      <c r="D30" s="568" t="str">
        <f t="shared" ref="D30:AG30" si="5">IF(D29&gt;0,1,"")</f>
        <v/>
      </c>
      <c r="E30" s="568" t="str">
        <f t="shared" si="5"/>
        <v/>
      </c>
      <c r="F30" s="568" t="str">
        <f t="shared" si="5"/>
        <v/>
      </c>
      <c r="G30" s="568" t="str">
        <f t="shared" si="5"/>
        <v/>
      </c>
      <c r="H30" s="568" t="str">
        <f t="shared" si="5"/>
        <v/>
      </c>
      <c r="I30" s="568" t="str">
        <f t="shared" si="5"/>
        <v/>
      </c>
      <c r="J30" s="568" t="str">
        <f t="shared" si="5"/>
        <v/>
      </c>
      <c r="K30" s="568" t="str">
        <f t="shared" si="5"/>
        <v/>
      </c>
      <c r="L30" s="568" t="str">
        <f t="shared" si="5"/>
        <v/>
      </c>
      <c r="M30" s="568" t="str">
        <f t="shared" si="5"/>
        <v/>
      </c>
      <c r="N30" s="568" t="str">
        <f t="shared" si="5"/>
        <v/>
      </c>
      <c r="O30" s="568" t="str">
        <f t="shared" si="5"/>
        <v/>
      </c>
      <c r="P30" s="568" t="str">
        <f t="shared" si="5"/>
        <v/>
      </c>
      <c r="Q30" s="568" t="str">
        <f t="shared" si="5"/>
        <v/>
      </c>
      <c r="R30" s="568" t="str">
        <f t="shared" si="5"/>
        <v/>
      </c>
      <c r="S30" s="568" t="str">
        <f t="shared" si="5"/>
        <v/>
      </c>
      <c r="T30" s="568" t="str">
        <f t="shared" si="5"/>
        <v/>
      </c>
      <c r="U30" s="568" t="str">
        <f t="shared" si="5"/>
        <v/>
      </c>
      <c r="V30" s="568" t="str">
        <f t="shared" si="5"/>
        <v/>
      </c>
      <c r="W30" s="568" t="str">
        <f t="shared" si="5"/>
        <v/>
      </c>
      <c r="X30" s="568" t="str">
        <f t="shared" si="5"/>
        <v/>
      </c>
      <c r="Y30" s="568" t="str">
        <f t="shared" si="5"/>
        <v/>
      </c>
      <c r="Z30" s="568" t="str">
        <f t="shared" si="5"/>
        <v/>
      </c>
      <c r="AA30" s="568" t="str">
        <f t="shared" si="5"/>
        <v/>
      </c>
      <c r="AB30" s="568" t="str">
        <f t="shared" si="5"/>
        <v/>
      </c>
      <c r="AC30" s="568" t="str">
        <f t="shared" si="5"/>
        <v/>
      </c>
      <c r="AD30" s="568" t="str">
        <f t="shared" si="5"/>
        <v/>
      </c>
      <c r="AE30" s="568" t="str">
        <f t="shared" si="5"/>
        <v/>
      </c>
      <c r="AF30" s="568" t="str">
        <f t="shared" si="5"/>
        <v/>
      </c>
      <c r="AG30" s="568" t="str">
        <f t="shared" si="5"/>
        <v/>
      </c>
      <c r="AH30" s="553">
        <f>SUM(C30:AG30)</f>
        <v>0</v>
      </c>
      <c r="AI30" s="553"/>
    </row>
    <row r="31" spans="1:35">
      <c r="B31" s="569" t="s">
        <v>204</v>
      </c>
      <c r="C31" s="314"/>
    </row>
    <row r="32" spans="1:35" ht="5.0999999999999996" customHeight="1">
      <c r="C32" s="568">
        <f>C3</f>
        <v>43495</v>
      </c>
      <c r="D32" s="314"/>
    </row>
    <row r="33" spans="1:36" hidden="1">
      <c r="B33" s="547"/>
      <c r="C33" s="548"/>
    </row>
    <row r="34" spans="1:36" hidden="1" outlineLevel="1">
      <c r="B34" s="564"/>
      <c r="C34" s="564">
        <f>IF(A_Monatsende&lt;=A_Aufgabenende,A_Monatsende,0)</f>
        <v>0</v>
      </c>
      <c r="D34" s="564">
        <f t="shared" ref="D34:AG34" si="6">IF(AND(C34&gt;0,C34+1&lt;=A_Aufgabenende),C34+1,0)</f>
        <v>0</v>
      </c>
      <c r="E34" s="564">
        <f t="shared" si="6"/>
        <v>0</v>
      </c>
      <c r="F34" s="564">
        <f t="shared" si="6"/>
        <v>0</v>
      </c>
      <c r="G34" s="564">
        <f t="shared" si="6"/>
        <v>0</v>
      </c>
      <c r="H34" s="564">
        <f t="shared" si="6"/>
        <v>0</v>
      </c>
      <c r="I34" s="564">
        <f t="shared" si="6"/>
        <v>0</v>
      </c>
      <c r="J34" s="564">
        <f t="shared" si="6"/>
        <v>0</v>
      </c>
      <c r="K34" s="564">
        <f t="shared" si="6"/>
        <v>0</v>
      </c>
      <c r="L34" s="564">
        <f t="shared" si="6"/>
        <v>0</v>
      </c>
      <c r="M34" s="564">
        <f t="shared" si="6"/>
        <v>0</v>
      </c>
      <c r="N34" s="564">
        <f t="shared" si="6"/>
        <v>0</v>
      </c>
      <c r="O34" s="564">
        <f t="shared" si="6"/>
        <v>0</v>
      </c>
      <c r="P34" s="564">
        <f t="shared" si="6"/>
        <v>0</v>
      </c>
      <c r="Q34" s="564">
        <f t="shared" si="6"/>
        <v>0</v>
      </c>
      <c r="R34" s="564">
        <f t="shared" si="6"/>
        <v>0</v>
      </c>
      <c r="S34" s="564">
        <f t="shared" si="6"/>
        <v>0</v>
      </c>
      <c r="T34" s="564">
        <f t="shared" si="6"/>
        <v>0</v>
      </c>
      <c r="U34" s="564">
        <f t="shared" si="6"/>
        <v>0</v>
      </c>
      <c r="V34" s="564">
        <f t="shared" si="6"/>
        <v>0</v>
      </c>
      <c r="W34" s="564">
        <f t="shared" si="6"/>
        <v>0</v>
      </c>
      <c r="X34" s="564">
        <f t="shared" si="6"/>
        <v>0</v>
      </c>
      <c r="Y34" s="564">
        <f t="shared" si="6"/>
        <v>0</v>
      </c>
      <c r="Z34" s="564">
        <f t="shared" si="6"/>
        <v>0</v>
      </c>
      <c r="AA34" s="564">
        <f t="shared" si="6"/>
        <v>0</v>
      </c>
      <c r="AB34" s="564">
        <f t="shared" si="6"/>
        <v>0</v>
      </c>
      <c r="AC34" s="564">
        <f t="shared" si="6"/>
        <v>0</v>
      </c>
      <c r="AD34" s="564">
        <f t="shared" si="6"/>
        <v>0</v>
      </c>
      <c r="AE34" s="564">
        <f t="shared" si="6"/>
        <v>0</v>
      </c>
      <c r="AF34" s="564">
        <f t="shared" si="6"/>
        <v>0</v>
      </c>
      <c r="AG34" s="564">
        <f t="shared" si="6"/>
        <v>0</v>
      </c>
      <c r="AH34" s="565" t="s">
        <v>85</v>
      </c>
      <c r="AJ34" s="570" t="s">
        <v>75</v>
      </c>
    </row>
    <row r="35" spans="1:36" hidden="1" outlineLevel="1">
      <c r="A35">
        <f>A6</f>
        <v>0</v>
      </c>
      <c r="B35" s="540" t="str">
        <f>B6</f>
        <v>Urlaub</v>
      </c>
      <c r="C35" s="543" t="str">
        <f>IF(C$34&gt;0,(INDEX(A_Aufgaben,(C$34-Arbeitszeit!$A$6+1),(2*(ROW()-ROW(A_Endedatum))-1))),"")</f>
        <v/>
      </c>
      <c r="D35" s="542" t="str">
        <f>IF(D$34&gt;0,(INDEX(A_Aufgaben,(D$34-Arbeitszeit!$A$6+1),(2*(ROW()-ROW(A_Endedatum))-1))),"")</f>
        <v/>
      </c>
      <c r="E35" s="541" t="str">
        <f>IF(E$34&gt;0,(INDEX(A_Aufgaben,(E$34-Arbeitszeit!$A$6+1),(2*(ROW()-ROW(A_Endedatum))-1))),"")</f>
        <v/>
      </c>
      <c r="F35" s="542" t="str">
        <f>IF(F$34&gt;0,(INDEX(A_Aufgaben,(F$34-Arbeitszeit!$A$6+1),(2*(ROW()-ROW(A_Endedatum))-1))),"")</f>
        <v/>
      </c>
      <c r="G35" s="541" t="str">
        <f>IF(G$34&gt;0,(INDEX(A_Aufgaben,(G$34-Arbeitszeit!$A$6+1),(2*(ROW()-ROW(A_Endedatum))-1))),"")</f>
        <v/>
      </c>
      <c r="H35" s="542" t="str">
        <f>IF(H$34&gt;0,(INDEX(A_Aufgaben,(H$34-Arbeitszeit!$A$6+1),(2*(ROW()-ROW(A_Endedatum))-1))),"")</f>
        <v/>
      </c>
      <c r="I35" s="541" t="str">
        <f>IF(I$34&gt;0,(INDEX(A_Aufgaben,(I$34-Arbeitszeit!$A$6+1),(2*(ROW()-ROW(A_Endedatum))-1))),"")</f>
        <v/>
      </c>
      <c r="J35" s="542" t="str">
        <f>IF(J$34&gt;0,(INDEX(A_Aufgaben,(J$34-Arbeitszeit!$A$6+1),(2*(ROW()-ROW(A_Endedatum))-1))),"")</f>
        <v/>
      </c>
      <c r="K35" s="541" t="str">
        <f>IF(K$34&gt;0,(INDEX(A_Aufgaben,(K$34-Arbeitszeit!$A$6+1),(2*(ROW()-ROW(A_Endedatum))-1))),"")</f>
        <v/>
      </c>
      <c r="L35" s="542" t="str">
        <f>IF(L$34&gt;0,(INDEX(A_Aufgaben,(L$34-Arbeitszeit!$A$6+1),(2*(ROW()-ROW(A_Endedatum))-1))),"")</f>
        <v/>
      </c>
      <c r="M35" s="541" t="str">
        <f>IF(M$34&gt;0,(INDEX(A_Aufgaben,(M$34-Arbeitszeit!$A$6+1),(2*(ROW()-ROW(A_Endedatum))-1))),"")</f>
        <v/>
      </c>
      <c r="N35" s="542" t="str">
        <f>IF(N$34&gt;0,(INDEX(A_Aufgaben,(N$34-Arbeitszeit!$A$6+1),(2*(ROW()-ROW(A_Endedatum))-1))),"")</f>
        <v/>
      </c>
      <c r="O35" s="541" t="str">
        <f>IF(O$34&gt;0,(INDEX(A_Aufgaben,(O$34-Arbeitszeit!$A$6+1),(2*(ROW()-ROW(A_Endedatum))-1))),"")</f>
        <v/>
      </c>
      <c r="P35" s="542" t="str">
        <f>IF(P$34&gt;0,(INDEX(A_Aufgaben,(P$34-Arbeitszeit!$A$6+1),(2*(ROW()-ROW(A_Endedatum))-1))),"")</f>
        <v/>
      </c>
      <c r="Q35" s="541" t="str">
        <f>IF(Q$34&gt;0,(INDEX(A_Aufgaben,(Q$34-Arbeitszeit!$A$6+1),(2*(ROW()-ROW(A_Endedatum))-1))),"")</f>
        <v/>
      </c>
      <c r="R35" s="542" t="str">
        <f>IF(R$34&gt;0,(INDEX(A_Aufgaben,(R$34-Arbeitszeit!$A$6+1),(2*(ROW()-ROW(A_Endedatum))-1))),"")</f>
        <v/>
      </c>
      <c r="S35" s="541" t="str">
        <f>IF(S$34&gt;0,(INDEX(A_Aufgaben,(S$34-Arbeitszeit!$A$6+1),(2*(ROW()-ROW(A_Endedatum))-1))),"")</f>
        <v/>
      </c>
      <c r="T35" s="542" t="str">
        <f>IF(T$34&gt;0,(INDEX(A_Aufgaben,(T$34-Arbeitszeit!$A$6+1),(2*(ROW()-ROW(A_Endedatum))-1))),"")</f>
        <v/>
      </c>
      <c r="U35" s="541" t="str">
        <f>IF(U$34&gt;0,(INDEX(A_Aufgaben,(U$34-Arbeitszeit!$A$6+1),(2*(ROW()-ROW(A_Endedatum))-1))),"")</f>
        <v/>
      </c>
      <c r="V35" s="542" t="str">
        <f>IF(V$34&gt;0,(INDEX(A_Aufgaben,(V$34-Arbeitszeit!$A$6+1),(2*(ROW()-ROW(A_Endedatum))-1))),"")</f>
        <v/>
      </c>
      <c r="W35" s="541" t="str">
        <f>IF(W$34&gt;0,(INDEX(A_Aufgaben,(W$34-Arbeitszeit!$A$6+1),(2*(ROW()-ROW(A_Endedatum))-1))),"")</f>
        <v/>
      </c>
      <c r="X35" s="542" t="str">
        <f>IF(X$34&gt;0,(INDEX(A_Aufgaben,(X$34-Arbeitszeit!$A$6+1),(2*(ROW()-ROW(A_Endedatum))-1))),"")</f>
        <v/>
      </c>
      <c r="Y35" s="541" t="str">
        <f>IF(Y$34&gt;0,(INDEX(A_Aufgaben,(Y$34-Arbeitszeit!$A$6+1),(2*(ROW()-ROW(A_Endedatum))-1))),"")</f>
        <v/>
      </c>
      <c r="Z35" s="542" t="str">
        <f>IF(Z$34&gt;0,(INDEX(A_Aufgaben,(Z$34-Arbeitszeit!$A$6+1),(2*(ROW()-ROW(A_Endedatum))-1))),"")</f>
        <v/>
      </c>
      <c r="AA35" s="541" t="str">
        <f>IF(AA$34&gt;0,(INDEX(A_Aufgaben,(AA$34-Arbeitszeit!$A$6+1),(2*(ROW()-ROW(A_Endedatum))-1))),"")</f>
        <v/>
      </c>
      <c r="AB35" s="542" t="str">
        <f>IF(AB$34&gt;0,(INDEX(A_Aufgaben,(AB$34-Arbeitszeit!$A$6+1),(2*(ROW()-ROW(A_Endedatum))-1))),"")</f>
        <v/>
      </c>
      <c r="AC35" s="541" t="str">
        <f>IF(AC$34&gt;0,(INDEX(A_Aufgaben,(AC$34-Arbeitszeit!$A$6+1),(2*(ROW()-ROW(A_Endedatum))-1))),"")</f>
        <v/>
      </c>
      <c r="AD35" s="542" t="str">
        <f>IF(AD$34&gt;0,(INDEX(A_Aufgaben,(AD$34-Arbeitszeit!$A$6+1),(2*(ROW()-ROW(A_Endedatum))-1))),"")</f>
        <v/>
      </c>
      <c r="AE35" s="541" t="str">
        <f>IF(AE$34&gt;0,(INDEX(A_Aufgaben,(AE$34-Arbeitszeit!$A$6+1),(2*(ROW()-ROW(A_Endedatum))-1))),"")</f>
        <v/>
      </c>
      <c r="AF35" s="542" t="str">
        <f>IF(AF$34&gt;0,(INDEX(A_Aufgaben,(AF$34-Arbeitszeit!$A$6+1),(2*(ROW()-ROW(A_Endedatum))-1))),"")</f>
        <v/>
      </c>
      <c r="AG35" s="541" t="str">
        <f>IF(AG$34&gt;0,(INDEX(A_Aufgaben,(AG$34-Arbeitszeit!$A$6+1),(2*(ROW()-ROW(A_Endedatum))-1))),"")</f>
        <v/>
      </c>
      <c r="AH35" s="550">
        <f t="shared" ref="AH35:AH56" si="7">SUM(C35:AG35)</f>
        <v>0</v>
      </c>
      <c r="AI35" s="3">
        <f t="shared" ref="AI35:AI56" si="8">COUNTIF(C35:AG35,"&gt;0")</f>
        <v>0</v>
      </c>
      <c r="AJ35" s="571">
        <f>AH6+AH35</f>
        <v>0</v>
      </c>
    </row>
    <row r="36" spans="1:36" hidden="1" outlineLevel="1">
      <c r="A36">
        <f t="shared" ref="A36:A56" si="9">A7</f>
        <v>0</v>
      </c>
      <c r="B36" s="540" t="str">
        <f t="shared" ref="B36:B56" si="10">B7</f>
        <v>Krank</v>
      </c>
      <c r="C36" s="541" t="str">
        <f>IF(C$34&gt;0,(INDEX(A_Aufgaben,(C$34-Arbeitszeit!$A$6+1),(2*(ROW()-ROW(A_Endedatum))-1))),"")</f>
        <v/>
      </c>
      <c r="D36" s="542" t="str">
        <f>IF(D$34&gt;0,(INDEX(A_Aufgaben,(D$34-Arbeitszeit!$A$6+1),(2*(ROW()-ROW(A_Endedatum))-1))),"")</f>
        <v/>
      </c>
      <c r="E36" s="541" t="str">
        <f>IF(E$34&gt;0,(INDEX(A_Aufgaben,(E$34-Arbeitszeit!$A$6+1),(2*(ROW()-ROW(A_Endedatum))-1))),"")</f>
        <v/>
      </c>
      <c r="F36" s="542" t="str">
        <f>IF(F$34&gt;0,(INDEX(A_Aufgaben,(F$34-Arbeitszeit!$A$6+1),(2*(ROW()-ROW(A_Endedatum))-1))),"")</f>
        <v/>
      </c>
      <c r="G36" s="541" t="str">
        <f>IF(G$34&gt;0,(INDEX(A_Aufgaben,(G$34-Arbeitszeit!$A$6+1),(2*(ROW()-ROW(A_Endedatum))-1))),"")</f>
        <v/>
      </c>
      <c r="H36" s="542" t="str">
        <f>IF(H$34&gt;0,(INDEX(A_Aufgaben,(H$34-Arbeitszeit!$A$6+1),(2*(ROW()-ROW(A_Endedatum))-1))),"")</f>
        <v/>
      </c>
      <c r="I36" s="541" t="str">
        <f>IF(I$34&gt;0,(INDEX(A_Aufgaben,(I$34-Arbeitszeit!$A$6+1),(2*(ROW()-ROW(A_Endedatum))-1))),"")</f>
        <v/>
      </c>
      <c r="J36" s="542" t="str">
        <f>IF(J$34&gt;0,(INDEX(A_Aufgaben,(J$34-Arbeitszeit!$A$6+1),(2*(ROW()-ROW(A_Endedatum))-1))),"")</f>
        <v/>
      </c>
      <c r="K36" s="541" t="str">
        <f>IF(K$34&gt;0,(INDEX(A_Aufgaben,(K$34-Arbeitszeit!$A$6+1),(2*(ROW()-ROW(A_Endedatum))-1))),"")</f>
        <v/>
      </c>
      <c r="L36" s="542" t="str">
        <f>IF(L$34&gt;0,(INDEX(A_Aufgaben,(L$34-Arbeitszeit!$A$6+1),(2*(ROW()-ROW(A_Endedatum))-1))),"")</f>
        <v/>
      </c>
      <c r="M36" s="541" t="str">
        <f>IF(M$34&gt;0,(INDEX(A_Aufgaben,(M$34-Arbeitszeit!$A$6+1),(2*(ROW()-ROW(A_Endedatum))-1))),"")</f>
        <v/>
      </c>
      <c r="N36" s="542" t="str">
        <f>IF(N$34&gt;0,(INDEX(A_Aufgaben,(N$34-Arbeitszeit!$A$6+1),(2*(ROW()-ROW(A_Endedatum))-1))),"")</f>
        <v/>
      </c>
      <c r="O36" s="541" t="str">
        <f>IF(O$34&gt;0,(INDEX(A_Aufgaben,(O$34-Arbeitszeit!$A$6+1),(2*(ROW()-ROW(A_Endedatum))-1))),"")</f>
        <v/>
      </c>
      <c r="P36" s="542" t="str">
        <f>IF(P$34&gt;0,(INDEX(A_Aufgaben,(P$34-Arbeitszeit!$A$6+1),(2*(ROW()-ROW(A_Endedatum))-1))),"")</f>
        <v/>
      </c>
      <c r="Q36" s="541" t="str">
        <f>IF(Q$34&gt;0,(INDEX(A_Aufgaben,(Q$34-Arbeitszeit!$A$6+1),(2*(ROW()-ROW(A_Endedatum))-1))),"")</f>
        <v/>
      </c>
      <c r="R36" s="542" t="str">
        <f>IF(R$34&gt;0,(INDEX(A_Aufgaben,(R$34-Arbeitszeit!$A$6+1),(2*(ROW()-ROW(A_Endedatum))-1))),"")</f>
        <v/>
      </c>
      <c r="S36" s="541" t="str">
        <f>IF(S$34&gt;0,(INDEX(A_Aufgaben,(S$34-Arbeitszeit!$A$6+1),(2*(ROW()-ROW(A_Endedatum))-1))),"")</f>
        <v/>
      </c>
      <c r="T36" s="542" t="str">
        <f>IF(T$34&gt;0,(INDEX(A_Aufgaben,(T$34-Arbeitszeit!$A$6+1),(2*(ROW()-ROW(A_Endedatum))-1))),"")</f>
        <v/>
      </c>
      <c r="U36" s="541" t="str">
        <f>IF(U$34&gt;0,(INDEX(A_Aufgaben,(U$34-Arbeitszeit!$A$6+1),(2*(ROW()-ROW(A_Endedatum))-1))),"")</f>
        <v/>
      </c>
      <c r="V36" s="542" t="str">
        <f>IF(V$34&gt;0,(INDEX(A_Aufgaben,(V$34-Arbeitszeit!$A$6+1),(2*(ROW()-ROW(A_Endedatum))-1))),"")</f>
        <v/>
      </c>
      <c r="W36" s="541" t="str">
        <f>IF(W$34&gt;0,(INDEX(A_Aufgaben,(W$34-Arbeitszeit!$A$6+1),(2*(ROW()-ROW(A_Endedatum))-1))),"")</f>
        <v/>
      </c>
      <c r="X36" s="542" t="str">
        <f>IF(X$34&gt;0,(INDEX(A_Aufgaben,(X$34-Arbeitszeit!$A$6+1),(2*(ROW()-ROW(A_Endedatum))-1))),"")</f>
        <v/>
      </c>
      <c r="Y36" s="541" t="str">
        <f>IF(Y$34&gt;0,(INDEX(A_Aufgaben,(Y$34-Arbeitszeit!$A$6+1),(2*(ROW()-ROW(A_Endedatum))-1))),"")</f>
        <v/>
      </c>
      <c r="Z36" s="542" t="str">
        <f>IF(Z$34&gt;0,(INDEX(A_Aufgaben,(Z$34-Arbeitszeit!$A$6+1),(2*(ROW()-ROW(A_Endedatum))-1))),"")</f>
        <v/>
      </c>
      <c r="AA36" s="541" t="str">
        <f>IF(AA$34&gt;0,(INDEX(A_Aufgaben,(AA$34-Arbeitszeit!$A$6+1),(2*(ROW()-ROW(A_Endedatum))-1))),"")</f>
        <v/>
      </c>
      <c r="AB36" s="542" t="str">
        <f>IF(AB$34&gt;0,(INDEX(A_Aufgaben,(AB$34-Arbeitszeit!$A$6+1),(2*(ROW()-ROW(A_Endedatum))-1))),"")</f>
        <v/>
      </c>
      <c r="AC36" s="541" t="str">
        <f>IF(AC$34&gt;0,(INDEX(A_Aufgaben,(AC$34-Arbeitszeit!$A$6+1),(2*(ROW()-ROW(A_Endedatum))-1))),"")</f>
        <v/>
      </c>
      <c r="AD36" s="542" t="str">
        <f>IF(AD$34&gt;0,(INDEX(A_Aufgaben,(AD$34-Arbeitszeit!$A$6+1),(2*(ROW()-ROW(A_Endedatum))-1))),"")</f>
        <v/>
      </c>
      <c r="AE36" s="541" t="str">
        <f>IF(AE$34&gt;0,(INDEX(A_Aufgaben,(AE$34-Arbeitszeit!$A$6+1),(2*(ROW()-ROW(A_Endedatum))-1))),"")</f>
        <v/>
      </c>
      <c r="AF36" s="542" t="str">
        <f>IF(AF$34&gt;0,(INDEX(A_Aufgaben,(AF$34-Arbeitszeit!$A$6+1),(2*(ROW()-ROW(A_Endedatum))-1))),"")</f>
        <v/>
      </c>
      <c r="AG36" s="541" t="str">
        <f>IF(AG$34&gt;0,(INDEX(A_Aufgaben,(AG$34-Arbeitszeit!$A$6+1),(2*(ROW()-ROW(A_Endedatum))-1))),"")</f>
        <v/>
      </c>
      <c r="AH36" s="550">
        <f t="shared" si="7"/>
        <v>0</v>
      </c>
      <c r="AI36" s="3">
        <f t="shared" si="8"/>
        <v>0</v>
      </c>
      <c r="AJ36" s="571">
        <f t="shared" ref="AJ36:AJ56" si="11">AH7+AH36</f>
        <v>0</v>
      </c>
    </row>
    <row r="37" spans="1:36" hidden="1" outlineLevel="1">
      <c r="A37">
        <f t="shared" si="9"/>
        <v>0</v>
      </c>
      <c r="B37" s="540" t="str">
        <f t="shared" si="10"/>
        <v>Allgemein</v>
      </c>
      <c r="C37" s="541" t="str">
        <f>IF(C$34&gt;0,(INDEX(A_Aufgaben,(C$34-Arbeitszeit!$A$6+1),(2*(ROW()-ROW(A_Endedatum))-1))),"")</f>
        <v/>
      </c>
      <c r="D37" s="542" t="str">
        <f>IF(D$34&gt;0,(INDEX(A_Aufgaben,(D$34-Arbeitszeit!$A$6+1),(2*(ROW()-ROW(A_Endedatum))-1))),"")</f>
        <v/>
      </c>
      <c r="E37" s="541" t="str">
        <f>IF(E$34&gt;0,(INDEX(A_Aufgaben,(E$34-Arbeitszeit!$A$6+1),(2*(ROW()-ROW(A_Endedatum))-1))),"")</f>
        <v/>
      </c>
      <c r="F37" s="542" t="str">
        <f>IF(F$34&gt;0,(INDEX(A_Aufgaben,(F$34-Arbeitszeit!$A$6+1),(2*(ROW()-ROW(A_Endedatum))-1))),"")</f>
        <v/>
      </c>
      <c r="G37" s="541" t="str">
        <f>IF(G$34&gt;0,(INDEX(A_Aufgaben,(G$34-Arbeitszeit!$A$6+1),(2*(ROW()-ROW(A_Endedatum))-1))),"")</f>
        <v/>
      </c>
      <c r="H37" s="542" t="str">
        <f>IF(H$34&gt;0,(INDEX(A_Aufgaben,(H$34-Arbeitszeit!$A$6+1),(2*(ROW()-ROW(A_Endedatum))-1))),"")</f>
        <v/>
      </c>
      <c r="I37" s="541" t="str">
        <f>IF(I$34&gt;0,(INDEX(A_Aufgaben,(I$34-Arbeitszeit!$A$6+1),(2*(ROW()-ROW(A_Endedatum))-1))),"")</f>
        <v/>
      </c>
      <c r="J37" s="542" t="str">
        <f>IF(J$34&gt;0,(INDEX(A_Aufgaben,(J$34-Arbeitszeit!$A$6+1),(2*(ROW()-ROW(A_Endedatum))-1))),"")</f>
        <v/>
      </c>
      <c r="K37" s="541" t="str">
        <f>IF(K$34&gt;0,(INDEX(A_Aufgaben,(K$34-Arbeitszeit!$A$6+1),(2*(ROW()-ROW(A_Endedatum))-1))),"")</f>
        <v/>
      </c>
      <c r="L37" s="542" t="str">
        <f>IF(L$34&gt;0,(INDEX(A_Aufgaben,(L$34-Arbeitszeit!$A$6+1),(2*(ROW()-ROW(A_Endedatum))-1))),"")</f>
        <v/>
      </c>
      <c r="M37" s="541" t="str">
        <f>IF(M$34&gt;0,(INDEX(A_Aufgaben,(M$34-Arbeitszeit!$A$6+1),(2*(ROW()-ROW(A_Endedatum))-1))),"")</f>
        <v/>
      </c>
      <c r="N37" s="542" t="str">
        <f>IF(N$34&gt;0,(INDEX(A_Aufgaben,(N$34-Arbeitszeit!$A$6+1),(2*(ROW()-ROW(A_Endedatum))-1))),"")</f>
        <v/>
      </c>
      <c r="O37" s="541" t="str">
        <f>IF(O$34&gt;0,(INDEX(A_Aufgaben,(O$34-Arbeitszeit!$A$6+1),(2*(ROW()-ROW(A_Endedatum))-1))),"")</f>
        <v/>
      </c>
      <c r="P37" s="542" t="str">
        <f>IF(P$34&gt;0,(INDEX(A_Aufgaben,(P$34-Arbeitszeit!$A$6+1),(2*(ROW()-ROW(A_Endedatum))-1))),"")</f>
        <v/>
      </c>
      <c r="Q37" s="541" t="str">
        <f>IF(Q$34&gt;0,(INDEX(A_Aufgaben,(Q$34-Arbeitszeit!$A$6+1),(2*(ROW()-ROW(A_Endedatum))-1))),"")</f>
        <v/>
      </c>
      <c r="R37" s="542" t="str">
        <f>IF(R$34&gt;0,(INDEX(A_Aufgaben,(R$34-Arbeitszeit!$A$6+1),(2*(ROW()-ROW(A_Endedatum))-1))),"")</f>
        <v/>
      </c>
      <c r="S37" s="541" t="str">
        <f>IF(S$34&gt;0,(INDEX(A_Aufgaben,(S$34-Arbeitszeit!$A$6+1),(2*(ROW()-ROW(A_Endedatum))-1))),"")</f>
        <v/>
      </c>
      <c r="T37" s="542" t="str">
        <f>IF(T$34&gt;0,(INDEX(A_Aufgaben,(T$34-Arbeitszeit!$A$6+1),(2*(ROW()-ROW(A_Endedatum))-1))),"")</f>
        <v/>
      </c>
      <c r="U37" s="541" t="str">
        <f>IF(U$34&gt;0,(INDEX(A_Aufgaben,(U$34-Arbeitszeit!$A$6+1),(2*(ROW()-ROW(A_Endedatum))-1))),"")</f>
        <v/>
      </c>
      <c r="V37" s="542" t="str">
        <f>IF(V$34&gt;0,(INDEX(A_Aufgaben,(V$34-Arbeitszeit!$A$6+1),(2*(ROW()-ROW(A_Endedatum))-1))),"")</f>
        <v/>
      </c>
      <c r="W37" s="541" t="str">
        <f>IF(W$34&gt;0,(INDEX(A_Aufgaben,(W$34-Arbeitszeit!$A$6+1),(2*(ROW()-ROW(A_Endedatum))-1))),"")</f>
        <v/>
      </c>
      <c r="X37" s="542" t="str">
        <f>IF(X$34&gt;0,(INDEX(A_Aufgaben,(X$34-Arbeitszeit!$A$6+1),(2*(ROW()-ROW(A_Endedatum))-1))),"")</f>
        <v/>
      </c>
      <c r="Y37" s="541" t="str">
        <f>IF(Y$34&gt;0,(INDEX(A_Aufgaben,(Y$34-Arbeitszeit!$A$6+1),(2*(ROW()-ROW(A_Endedatum))-1))),"")</f>
        <v/>
      </c>
      <c r="Z37" s="542" t="str">
        <f>IF(Z$34&gt;0,(INDEX(A_Aufgaben,(Z$34-Arbeitszeit!$A$6+1),(2*(ROW()-ROW(A_Endedatum))-1))),"")</f>
        <v/>
      </c>
      <c r="AA37" s="541" t="str">
        <f>IF(AA$34&gt;0,(INDEX(A_Aufgaben,(AA$34-Arbeitszeit!$A$6+1),(2*(ROW()-ROW(A_Endedatum))-1))),"")</f>
        <v/>
      </c>
      <c r="AB37" s="542" t="str">
        <f>IF(AB$34&gt;0,(INDEX(A_Aufgaben,(AB$34-Arbeitszeit!$A$6+1),(2*(ROW()-ROW(A_Endedatum))-1))),"")</f>
        <v/>
      </c>
      <c r="AC37" s="541" t="str">
        <f>IF(AC$34&gt;0,(INDEX(A_Aufgaben,(AC$34-Arbeitszeit!$A$6+1),(2*(ROW()-ROW(A_Endedatum))-1))),"")</f>
        <v/>
      </c>
      <c r="AD37" s="542" t="str">
        <f>IF(AD$34&gt;0,(INDEX(A_Aufgaben,(AD$34-Arbeitszeit!$A$6+1),(2*(ROW()-ROW(A_Endedatum))-1))),"")</f>
        <v/>
      </c>
      <c r="AE37" s="541" t="str">
        <f>IF(AE$34&gt;0,(INDEX(A_Aufgaben,(AE$34-Arbeitszeit!$A$6+1),(2*(ROW()-ROW(A_Endedatum))-1))),"")</f>
        <v/>
      </c>
      <c r="AF37" s="542" t="str">
        <f>IF(AF$34&gt;0,(INDEX(A_Aufgaben,(AF$34-Arbeitszeit!$A$6+1),(2*(ROW()-ROW(A_Endedatum))-1))),"")</f>
        <v/>
      </c>
      <c r="AG37" s="541" t="str">
        <f>IF(AG$34&gt;0,(INDEX(A_Aufgaben,(AG$34-Arbeitszeit!$A$6+1),(2*(ROW()-ROW(A_Endedatum))-1))),"")</f>
        <v/>
      </c>
      <c r="AH37" s="550">
        <f t="shared" si="7"/>
        <v>0</v>
      </c>
      <c r="AI37" s="3">
        <f t="shared" si="8"/>
        <v>0</v>
      </c>
      <c r="AJ37" s="571">
        <f t="shared" si="11"/>
        <v>0</v>
      </c>
    </row>
    <row r="38" spans="1:36" hidden="1" outlineLevel="1">
      <c r="A38">
        <f t="shared" si="9"/>
        <v>0</v>
      </c>
      <c r="B38" s="540" t="str">
        <f t="shared" si="10"/>
        <v>Aufgabe 01</v>
      </c>
      <c r="C38" s="541" t="str">
        <f>IF(C$34&gt;0,(INDEX(A_Aufgaben,(C$34-Arbeitszeit!$A$6+1),(2*(ROW()-ROW(A_Endedatum))-1))),"")</f>
        <v/>
      </c>
      <c r="D38" s="542" t="str">
        <f>IF(D$34&gt;0,(INDEX(A_Aufgaben,(D$34-Arbeitszeit!$A$6+1),(2*(ROW()-ROW(A_Endedatum))-1))),"")</f>
        <v/>
      </c>
      <c r="E38" s="541" t="str">
        <f>IF(E$34&gt;0,(INDEX(A_Aufgaben,(E$34-Arbeitszeit!$A$6+1),(2*(ROW()-ROW(A_Endedatum))-1))),"")</f>
        <v/>
      </c>
      <c r="F38" s="542" t="str">
        <f>IF(F$34&gt;0,(INDEX(A_Aufgaben,(F$34-Arbeitszeit!$A$6+1),(2*(ROW()-ROW(A_Endedatum))-1))),"")</f>
        <v/>
      </c>
      <c r="G38" s="541" t="str">
        <f>IF(G$34&gt;0,(INDEX(A_Aufgaben,(G$34-Arbeitszeit!$A$6+1),(2*(ROW()-ROW(A_Endedatum))-1))),"")</f>
        <v/>
      </c>
      <c r="H38" s="542" t="str">
        <f>IF(H$34&gt;0,(INDEX(A_Aufgaben,(H$34-Arbeitszeit!$A$6+1),(2*(ROW()-ROW(A_Endedatum))-1))),"")</f>
        <v/>
      </c>
      <c r="I38" s="541" t="str">
        <f>IF(I$34&gt;0,(INDEX(A_Aufgaben,(I$34-Arbeitszeit!$A$6+1),(2*(ROW()-ROW(A_Endedatum))-1))),"")</f>
        <v/>
      </c>
      <c r="J38" s="542" t="str">
        <f>IF(J$34&gt;0,(INDEX(A_Aufgaben,(J$34-Arbeitszeit!$A$6+1),(2*(ROW()-ROW(A_Endedatum))-1))),"")</f>
        <v/>
      </c>
      <c r="K38" s="541" t="str">
        <f>IF(K$34&gt;0,(INDEX(A_Aufgaben,(K$34-Arbeitszeit!$A$6+1),(2*(ROW()-ROW(A_Endedatum))-1))),"")</f>
        <v/>
      </c>
      <c r="L38" s="542" t="str">
        <f>IF(L$34&gt;0,(INDEX(A_Aufgaben,(L$34-Arbeitszeit!$A$6+1),(2*(ROW()-ROW(A_Endedatum))-1))),"")</f>
        <v/>
      </c>
      <c r="M38" s="541" t="str">
        <f>IF(M$34&gt;0,(INDEX(A_Aufgaben,(M$34-Arbeitszeit!$A$6+1),(2*(ROW()-ROW(A_Endedatum))-1))),"")</f>
        <v/>
      </c>
      <c r="N38" s="542" t="str">
        <f>IF(N$34&gt;0,(INDEX(A_Aufgaben,(N$34-Arbeitszeit!$A$6+1),(2*(ROW()-ROW(A_Endedatum))-1))),"")</f>
        <v/>
      </c>
      <c r="O38" s="541" t="str">
        <f>IF(O$34&gt;0,(INDEX(A_Aufgaben,(O$34-Arbeitszeit!$A$6+1),(2*(ROW()-ROW(A_Endedatum))-1))),"")</f>
        <v/>
      </c>
      <c r="P38" s="542" t="str">
        <f>IF(P$34&gt;0,(INDEX(A_Aufgaben,(P$34-Arbeitszeit!$A$6+1),(2*(ROW()-ROW(A_Endedatum))-1))),"")</f>
        <v/>
      </c>
      <c r="Q38" s="541" t="str">
        <f>IF(Q$34&gt;0,(INDEX(A_Aufgaben,(Q$34-Arbeitszeit!$A$6+1),(2*(ROW()-ROW(A_Endedatum))-1))),"")</f>
        <v/>
      </c>
      <c r="R38" s="542" t="str">
        <f>IF(R$34&gt;0,(INDEX(A_Aufgaben,(R$34-Arbeitszeit!$A$6+1),(2*(ROW()-ROW(A_Endedatum))-1))),"")</f>
        <v/>
      </c>
      <c r="S38" s="541" t="str">
        <f>IF(S$34&gt;0,(INDEX(A_Aufgaben,(S$34-Arbeitszeit!$A$6+1),(2*(ROW()-ROW(A_Endedatum))-1))),"")</f>
        <v/>
      </c>
      <c r="T38" s="542" t="str">
        <f>IF(T$34&gt;0,(INDEX(A_Aufgaben,(T$34-Arbeitszeit!$A$6+1),(2*(ROW()-ROW(A_Endedatum))-1))),"")</f>
        <v/>
      </c>
      <c r="U38" s="541" t="str">
        <f>IF(U$34&gt;0,(INDEX(A_Aufgaben,(U$34-Arbeitszeit!$A$6+1),(2*(ROW()-ROW(A_Endedatum))-1))),"")</f>
        <v/>
      </c>
      <c r="V38" s="542" t="str">
        <f>IF(V$34&gt;0,(INDEX(A_Aufgaben,(V$34-Arbeitszeit!$A$6+1),(2*(ROW()-ROW(A_Endedatum))-1))),"")</f>
        <v/>
      </c>
      <c r="W38" s="541" t="str">
        <f>IF(W$34&gt;0,(INDEX(A_Aufgaben,(W$34-Arbeitszeit!$A$6+1),(2*(ROW()-ROW(A_Endedatum))-1))),"")</f>
        <v/>
      </c>
      <c r="X38" s="542" t="str">
        <f>IF(X$34&gt;0,(INDEX(A_Aufgaben,(X$34-Arbeitszeit!$A$6+1),(2*(ROW()-ROW(A_Endedatum))-1))),"")</f>
        <v/>
      </c>
      <c r="Y38" s="541" t="str">
        <f>IF(Y$34&gt;0,(INDEX(A_Aufgaben,(Y$34-Arbeitszeit!$A$6+1),(2*(ROW()-ROW(A_Endedatum))-1))),"")</f>
        <v/>
      </c>
      <c r="Z38" s="542" t="str">
        <f>IF(Z$34&gt;0,(INDEX(A_Aufgaben,(Z$34-Arbeitszeit!$A$6+1),(2*(ROW()-ROW(A_Endedatum))-1))),"")</f>
        <v/>
      </c>
      <c r="AA38" s="541" t="str">
        <f>IF(AA$34&gt;0,(INDEX(A_Aufgaben,(AA$34-Arbeitszeit!$A$6+1),(2*(ROW()-ROW(A_Endedatum))-1))),"")</f>
        <v/>
      </c>
      <c r="AB38" s="542" t="str">
        <f>IF(AB$34&gt;0,(INDEX(A_Aufgaben,(AB$34-Arbeitszeit!$A$6+1),(2*(ROW()-ROW(A_Endedatum))-1))),"")</f>
        <v/>
      </c>
      <c r="AC38" s="541" t="str">
        <f>IF(AC$34&gt;0,(INDEX(A_Aufgaben,(AC$34-Arbeitszeit!$A$6+1),(2*(ROW()-ROW(A_Endedatum))-1))),"")</f>
        <v/>
      </c>
      <c r="AD38" s="542" t="str">
        <f>IF(AD$34&gt;0,(INDEX(A_Aufgaben,(AD$34-Arbeitszeit!$A$6+1),(2*(ROW()-ROW(A_Endedatum))-1))),"")</f>
        <v/>
      </c>
      <c r="AE38" s="541" t="str">
        <f>IF(AE$34&gt;0,(INDEX(A_Aufgaben,(AE$34-Arbeitszeit!$A$6+1),(2*(ROW()-ROW(A_Endedatum))-1))),"")</f>
        <v/>
      </c>
      <c r="AF38" s="542" t="str">
        <f>IF(AF$34&gt;0,(INDEX(A_Aufgaben,(AF$34-Arbeitszeit!$A$6+1),(2*(ROW()-ROW(A_Endedatum))-1))),"")</f>
        <v/>
      </c>
      <c r="AG38" s="541" t="str">
        <f>IF(AG$34&gt;0,(INDEX(A_Aufgaben,(AG$34-Arbeitszeit!$A$6+1),(2*(ROW()-ROW(A_Endedatum))-1))),"")</f>
        <v/>
      </c>
      <c r="AH38" s="550">
        <f t="shared" si="7"/>
        <v>0</v>
      </c>
      <c r="AI38" s="3">
        <f t="shared" si="8"/>
        <v>0</v>
      </c>
      <c r="AJ38" s="571">
        <f t="shared" si="11"/>
        <v>0</v>
      </c>
    </row>
    <row r="39" spans="1:36" hidden="1" outlineLevel="1">
      <c r="A39">
        <f t="shared" si="9"/>
        <v>0</v>
      </c>
      <c r="B39" s="540" t="str">
        <f t="shared" si="10"/>
        <v>Aufgabe 02</v>
      </c>
      <c r="C39" s="541" t="str">
        <f>IF(C$34&gt;0,(INDEX(A_Aufgaben,(C$34-Arbeitszeit!$A$6+1),(2*(ROW()-ROW(A_Endedatum))-1))),"")</f>
        <v/>
      </c>
      <c r="D39" s="542" t="str">
        <f>IF(D$34&gt;0,(INDEX(A_Aufgaben,(D$34-Arbeitszeit!$A$6+1),(2*(ROW()-ROW(A_Endedatum))-1))),"")</f>
        <v/>
      </c>
      <c r="E39" s="541" t="str">
        <f>IF(E$34&gt;0,(INDEX(A_Aufgaben,(E$34-Arbeitszeit!$A$6+1),(2*(ROW()-ROW(A_Endedatum))-1))),"")</f>
        <v/>
      </c>
      <c r="F39" s="542" t="str">
        <f>IF(F$34&gt;0,(INDEX(A_Aufgaben,(F$34-Arbeitszeit!$A$6+1),(2*(ROW()-ROW(A_Endedatum))-1))),"")</f>
        <v/>
      </c>
      <c r="G39" s="541" t="str">
        <f>IF(G$34&gt;0,(INDEX(A_Aufgaben,(G$34-Arbeitszeit!$A$6+1),(2*(ROW()-ROW(A_Endedatum))-1))),"")</f>
        <v/>
      </c>
      <c r="H39" s="542" t="str">
        <f>IF(H$34&gt;0,(INDEX(A_Aufgaben,(H$34-Arbeitszeit!$A$6+1),(2*(ROW()-ROW(A_Endedatum))-1))),"")</f>
        <v/>
      </c>
      <c r="I39" s="541" t="str">
        <f>IF(I$34&gt;0,(INDEX(A_Aufgaben,(I$34-Arbeitszeit!$A$6+1),(2*(ROW()-ROW(A_Endedatum))-1))),"")</f>
        <v/>
      </c>
      <c r="J39" s="542" t="str">
        <f>IF(J$34&gt;0,(INDEX(A_Aufgaben,(J$34-Arbeitszeit!$A$6+1),(2*(ROW()-ROW(A_Endedatum))-1))),"")</f>
        <v/>
      </c>
      <c r="K39" s="541" t="str">
        <f>IF(K$34&gt;0,(INDEX(A_Aufgaben,(K$34-Arbeitszeit!$A$6+1),(2*(ROW()-ROW(A_Endedatum))-1))),"")</f>
        <v/>
      </c>
      <c r="L39" s="542" t="str">
        <f>IF(L$34&gt;0,(INDEX(A_Aufgaben,(L$34-Arbeitszeit!$A$6+1),(2*(ROW()-ROW(A_Endedatum))-1))),"")</f>
        <v/>
      </c>
      <c r="M39" s="541" t="str">
        <f>IF(M$34&gt;0,(INDEX(A_Aufgaben,(M$34-Arbeitszeit!$A$6+1),(2*(ROW()-ROW(A_Endedatum))-1))),"")</f>
        <v/>
      </c>
      <c r="N39" s="542" t="str">
        <f>IF(N$34&gt;0,(INDEX(A_Aufgaben,(N$34-Arbeitszeit!$A$6+1),(2*(ROW()-ROW(A_Endedatum))-1))),"")</f>
        <v/>
      </c>
      <c r="O39" s="541" t="str">
        <f>IF(O$34&gt;0,(INDEX(A_Aufgaben,(O$34-Arbeitszeit!$A$6+1),(2*(ROW()-ROW(A_Endedatum))-1))),"")</f>
        <v/>
      </c>
      <c r="P39" s="542" t="str">
        <f>IF(P$34&gt;0,(INDEX(A_Aufgaben,(P$34-Arbeitszeit!$A$6+1),(2*(ROW()-ROW(A_Endedatum))-1))),"")</f>
        <v/>
      </c>
      <c r="Q39" s="541" t="str">
        <f>IF(Q$34&gt;0,(INDEX(A_Aufgaben,(Q$34-Arbeitszeit!$A$6+1),(2*(ROW()-ROW(A_Endedatum))-1))),"")</f>
        <v/>
      </c>
      <c r="R39" s="542" t="str">
        <f>IF(R$34&gt;0,(INDEX(A_Aufgaben,(R$34-Arbeitszeit!$A$6+1),(2*(ROW()-ROW(A_Endedatum))-1))),"")</f>
        <v/>
      </c>
      <c r="S39" s="541" t="str">
        <f>IF(S$34&gt;0,(INDEX(A_Aufgaben,(S$34-Arbeitszeit!$A$6+1),(2*(ROW()-ROW(A_Endedatum))-1))),"")</f>
        <v/>
      </c>
      <c r="T39" s="542" t="str">
        <f>IF(T$34&gt;0,(INDEX(A_Aufgaben,(T$34-Arbeitszeit!$A$6+1),(2*(ROW()-ROW(A_Endedatum))-1))),"")</f>
        <v/>
      </c>
      <c r="U39" s="541" t="str">
        <f>IF(U$34&gt;0,(INDEX(A_Aufgaben,(U$34-Arbeitszeit!$A$6+1),(2*(ROW()-ROW(A_Endedatum))-1))),"")</f>
        <v/>
      </c>
      <c r="V39" s="542" t="str">
        <f>IF(V$34&gt;0,(INDEX(A_Aufgaben,(V$34-Arbeitszeit!$A$6+1),(2*(ROW()-ROW(A_Endedatum))-1))),"")</f>
        <v/>
      </c>
      <c r="W39" s="541" t="str">
        <f>IF(W$34&gt;0,(INDEX(A_Aufgaben,(W$34-Arbeitszeit!$A$6+1),(2*(ROW()-ROW(A_Endedatum))-1))),"")</f>
        <v/>
      </c>
      <c r="X39" s="542" t="str">
        <f>IF(X$34&gt;0,(INDEX(A_Aufgaben,(X$34-Arbeitszeit!$A$6+1),(2*(ROW()-ROW(A_Endedatum))-1))),"")</f>
        <v/>
      </c>
      <c r="Y39" s="541" t="str">
        <f>IF(Y$34&gt;0,(INDEX(A_Aufgaben,(Y$34-Arbeitszeit!$A$6+1),(2*(ROW()-ROW(A_Endedatum))-1))),"")</f>
        <v/>
      </c>
      <c r="Z39" s="542" t="str">
        <f>IF(Z$34&gt;0,(INDEX(A_Aufgaben,(Z$34-Arbeitszeit!$A$6+1),(2*(ROW()-ROW(A_Endedatum))-1))),"")</f>
        <v/>
      </c>
      <c r="AA39" s="541" t="str">
        <f>IF(AA$34&gt;0,(INDEX(A_Aufgaben,(AA$34-Arbeitszeit!$A$6+1),(2*(ROW()-ROW(A_Endedatum))-1))),"")</f>
        <v/>
      </c>
      <c r="AB39" s="542" t="str">
        <f>IF(AB$34&gt;0,(INDEX(A_Aufgaben,(AB$34-Arbeitszeit!$A$6+1),(2*(ROW()-ROW(A_Endedatum))-1))),"")</f>
        <v/>
      </c>
      <c r="AC39" s="541" t="str">
        <f>IF(AC$34&gt;0,(INDEX(A_Aufgaben,(AC$34-Arbeitszeit!$A$6+1),(2*(ROW()-ROW(A_Endedatum))-1))),"")</f>
        <v/>
      </c>
      <c r="AD39" s="542" t="str">
        <f>IF(AD$34&gt;0,(INDEX(A_Aufgaben,(AD$34-Arbeitszeit!$A$6+1),(2*(ROW()-ROW(A_Endedatum))-1))),"")</f>
        <v/>
      </c>
      <c r="AE39" s="541" t="str">
        <f>IF(AE$34&gt;0,(INDEX(A_Aufgaben,(AE$34-Arbeitszeit!$A$6+1),(2*(ROW()-ROW(A_Endedatum))-1))),"")</f>
        <v/>
      </c>
      <c r="AF39" s="542" t="str">
        <f>IF(AF$34&gt;0,(INDEX(A_Aufgaben,(AF$34-Arbeitszeit!$A$6+1),(2*(ROW()-ROW(A_Endedatum))-1))),"")</f>
        <v/>
      </c>
      <c r="AG39" s="541" t="str">
        <f>IF(AG$34&gt;0,(INDEX(A_Aufgaben,(AG$34-Arbeitszeit!$A$6+1),(2*(ROW()-ROW(A_Endedatum))-1))),"")</f>
        <v/>
      </c>
      <c r="AH39" s="550">
        <f t="shared" si="7"/>
        <v>0</v>
      </c>
      <c r="AI39" s="3">
        <f t="shared" si="8"/>
        <v>0</v>
      </c>
      <c r="AJ39" s="571">
        <f t="shared" si="11"/>
        <v>0</v>
      </c>
    </row>
    <row r="40" spans="1:36" hidden="1" outlineLevel="1">
      <c r="A40">
        <f t="shared" si="9"/>
        <v>0</v>
      </c>
      <c r="B40" s="540" t="str">
        <f t="shared" si="10"/>
        <v>Aufgabe 03</v>
      </c>
      <c r="C40" s="541" t="str">
        <f>IF(C$34&gt;0,(INDEX(A_Aufgaben,(C$34-Arbeitszeit!$A$6+1),(2*(ROW()-ROW(A_Endedatum))-1))),"")</f>
        <v/>
      </c>
      <c r="D40" s="542" t="str">
        <f>IF(D$34&gt;0,(INDEX(A_Aufgaben,(D$34-Arbeitszeit!$A$6+1),(2*(ROW()-ROW(A_Endedatum))-1))),"")</f>
        <v/>
      </c>
      <c r="E40" s="541" t="str">
        <f>IF(E$34&gt;0,(INDEX(A_Aufgaben,(E$34-Arbeitszeit!$A$6+1),(2*(ROW()-ROW(A_Endedatum))-1))),"")</f>
        <v/>
      </c>
      <c r="F40" s="542" t="str">
        <f>IF(F$34&gt;0,(INDEX(A_Aufgaben,(F$34-Arbeitszeit!$A$6+1),(2*(ROW()-ROW(A_Endedatum))-1))),"")</f>
        <v/>
      </c>
      <c r="G40" s="541" t="str">
        <f>IF(G$34&gt;0,(INDEX(A_Aufgaben,(G$34-Arbeitszeit!$A$6+1),(2*(ROW()-ROW(A_Endedatum))-1))),"")</f>
        <v/>
      </c>
      <c r="H40" s="542" t="str">
        <f>IF(H$34&gt;0,(INDEX(A_Aufgaben,(H$34-Arbeitszeit!$A$6+1),(2*(ROW()-ROW(A_Endedatum))-1))),"")</f>
        <v/>
      </c>
      <c r="I40" s="541" t="str">
        <f>IF(I$34&gt;0,(INDEX(A_Aufgaben,(I$34-Arbeitszeit!$A$6+1),(2*(ROW()-ROW(A_Endedatum))-1))),"")</f>
        <v/>
      </c>
      <c r="J40" s="542" t="str">
        <f>IF(J$34&gt;0,(INDEX(A_Aufgaben,(J$34-Arbeitszeit!$A$6+1),(2*(ROW()-ROW(A_Endedatum))-1))),"")</f>
        <v/>
      </c>
      <c r="K40" s="541" t="str">
        <f>IF(K$34&gt;0,(INDEX(A_Aufgaben,(K$34-Arbeitszeit!$A$6+1),(2*(ROW()-ROW(A_Endedatum))-1))),"")</f>
        <v/>
      </c>
      <c r="L40" s="542" t="str">
        <f>IF(L$34&gt;0,(INDEX(A_Aufgaben,(L$34-Arbeitszeit!$A$6+1),(2*(ROW()-ROW(A_Endedatum))-1))),"")</f>
        <v/>
      </c>
      <c r="M40" s="541" t="str">
        <f>IF(M$34&gt;0,(INDEX(A_Aufgaben,(M$34-Arbeitszeit!$A$6+1),(2*(ROW()-ROW(A_Endedatum))-1))),"")</f>
        <v/>
      </c>
      <c r="N40" s="542" t="str">
        <f>IF(N$34&gt;0,(INDEX(A_Aufgaben,(N$34-Arbeitszeit!$A$6+1),(2*(ROW()-ROW(A_Endedatum))-1))),"")</f>
        <v/>
      </c>
      <c r="O40" s="541" t="str">
        <f>IF(O$34&gt;0,(INDEX(A_Aufgaben,(O$34-Arbeitszeit!$A$6+1),(2*(ROW()-ROW(A_Endedatum))-1))),"")</f>
        <v/>
      </c>
      <c r="P40" s="542" t="str">
        <f>IF(P$34&gt;0,(INDEX(A_Aufgaben,(P$34-Arbeitszeit!$A$6+1),(2*(ROW()-ROW(A_Endedatum))-1))),"")</f>
        <v/>
      </c>
      <c r="Q40" s="541" t="str">
        <f>IF(Q$34&gt;0,(INDEX(A_Aufgaben,(Q$34-Arbeitszeit!$A$6+1),(2*(ROW()-ROW(A_Endedatum))-1))),"")</f>
        <v/>
      </c>
      <c r="R40" s="542" t="str">
        <f>IF(R$34&gt;0,(INDEX(A_Aufgaben,(R$34-Arbeitszeit!$A$6+1),(2*(ROW()-ROW(A_Endedatum))-1))),"")</f>
        <v/>
      </c>
      <c r="S40" s="541" t="str">
        <f>IF(S$34&gt;0,(INDEX(A_Aufgaben,(S$34-Arbeitszeit!$A$6+1),(2*(ROW()-ROW(A_Endedatum))-1))),"")</f>
        <v/>
      </c>
      <c r="T40" s="542" t="str">
        <f>IF(T$34&gt;0,(INDEX(A_Aufgaben,(T$34-Arbeitszeit!$A$6+1),(2*(ROW()-ROW(A_Endedatum))-1))),"")</f>
        <v/>
      </c>
      <c r="U40" s="541" t="str">
        <f>IF(U$34&gt;0,(INDEX(A_Aufgaben,(U$34-Arbeitszeit!$A$6+1),(2*(ROW()-ROW(A_Endedatum))-1))),"")</f>
        <v/>
      </c>
      <c r="V40" s="542" t="str">
        <f>IF(V$34&gt;0,(INDEX(A_Aufgaben,(V$34-Arbeitszeit!$A$6+1),(2*(ROW()-ROW(A_Endedatum))-1))),"")</f>
        <v/>
      </c>
      <c r="W40" s="541" t="str">
        <f>IF(W$34&gt;0,(INDEX(A_Aufgaben,(W$34-Arbeitszeit!$A$6+1),(2*(ROW()-ROW(A_Endedatum))-1))),"")</f>
        <v/>
      </c>
      <c r="X40" s="542" t="str">
        <f>IF(X$34&gt;0,(INDEX(A_Aufgaben,(X$34-Arbeitszeit!$A$6+1),(2*(ROW()-ROW(A_Endedatum))-1))),"")</f>
        <v/>
      </c>
      <c r="Y40" s="541" t="str">
        <f>IF(Y$34&gt;0,(INDEX(A_Aufgaben,(Y$34-Arbeitszeit!$A$6+1),(2*(ROW()-ROW(A_Endedatum))-1))),"")</f>
        <v/>
      </c>
      <c r="Z40" s="542" t="str">
        <f>IF(Z$34&gt;0,(INDEX(A_Aufgaben,(Z$34-Arbeitszeit!$A$6+1),(2*(ROW()-ROW(A_Endedatum))-1))),"")</f>
        <v/>
      </c>
      <c r="AA40" s="541" t="str">
        <f>IF(AA$34&gt;0,(INDEX(A_Aufgaben,(AA$34-Arbeitszeit!$A$6+1),(2*(ROW()-ROW(A_Endedatum))-1))),"")</f>
        <v/>
      </c>
      <c r="AB40" s="542" t="str">
        <f>IF(AB$34&gt;0,(INDEX(A_Aufgaben,(AB$34-Arbeitszeit!$A$6+1),(2*(ROW()-ROW(A_Endedatum))-1))),"")</f>
        <v/>
      </c>
      <c r="AC40" s="541" t="str">
        <f>IF(AC$34&gt;0,(INDEX(A_Aufgaben,(AC$34-Arbeitszeit!$A$6+1),(2*(ROW()-ROW(A_Endedatum))-1))),"")</f>
        <v/>
      </c>
      <c r="AD40" s="542" t="str">
        <f>IF(AD$34&gt;0,(INDEX(A_Aufgaben,(AD$34-Arbeitszeit!$A$6+1),(2*(ROW()-ROW(A_Endedatum))-1))),"")</f>
        <v/>
      </c>
      <c r="AE40" s="541" t="str">
        <f>IF(AE$34&gt;0,(INDEX(A_Aufgaben,(AE$34-Arbeitszeit!$A$6+1),(2*(ROW()-ROW(A_Endedatum))-1))),"")</f>
        <v/>
      </c>
      <c r="AF40" s="542" t="str">
        <f>IF(AF$34&gt;0,(INDEX(A_Aufgaben,(AF$34-Arbeitszeit!$A$6+1),(2*(ROW()-ROW(A_Endedatum))-1))),"")</f>
        <v/>
      </c>
      <c r="AG40" s="541" t="str">
        <f>IF(AG$34&gt;0,(INDEX(A_Aufgaben,(AG$34-Arbeitszeit!$A$6+1),(2*(ROW()-ROW(A_Endedatum))-1))),"")</f>
        <v/>
      </c>
      <c r="AH40" s="550">
        <f t="shared" si="7"/>
        <v>0</v>
      </c>
      <c r="AI40" s="3">
        <f t="shared" si="8"/>
        <v>0</v>
      </c>
      <c r="AJ40" s="571">
        <f t="shared" si="11"/>
        <v>0</v>
      </c>
    </row>
    <row r="41" spans="1:36" hidden="1" outlineLevel="1">
      <c r="A41">
        <f t="shared" si="9"/>
        <v>0</v>
      </c>
      <c r="B41" s="540" t="str">
        <f t="shared" si="10"/>
        <v>Aufgabe 04</v>
      </c>
      <c r="C41" s="541" t="str">
        <f>IF(C$34&gt;0,(INDEX(A_Aufgaben,(C$34-Arbeitszeit!$A$6+1),(2*(ROW()-ROW(A_Endedatum))-1))),"")</f>
        <v/>
      </c>
      <c r="D41" s="542" t="str">
        <f>IF(D$34&gt;0,(INDEX(A_Aufgaben,(D$34-Arbeitszeit!$A$6+1),(2*(ROW()-ROW(A_Endedatum))-1))),"")</f>
        <v/>
      </c>
      <c r="E41" s="541" t="str">
        <f>IF(E$34&gt;0,(INDEX(A_Aufgaben,(E$34-Arbeitszeit!$A$6+1),(2*(ROW()-ROW(A_Endedatum))-1))),"")</f>
        <v/>
      </c>
      <c r="F41" s="542" t="str">
        <f>IF(F$34&gt;0,(INDEX(A_Aufgaben,(F$34-Arbeitszeit!$A$6+1),(2*(ROW()-ROW(A_Endedatum))-1))),"")</f>
        <v/>
      </c>
      <c r="G41" s="541" t="str">
        <f>IF(G$34&gt;0,(INDEX(A_Aufgaben,(G$34-Arbeitszeit!$A$6+1),(2*(ROW()-ROW(A_Endedatum))-1))),"")</f>
        <v/>
      </c>
      <c r="H41" s="542" t="str">
        <f>IF(H$34&gt;0,(INDEX(A_Aufgaben,(H$34-Arbeitszeit!$A$6+1),(2*(ROW()-ROW(A_Endedatum))-1))),"")</f>
        <v/>
      </c>
      <c r="I41" s="541" t="str">
        <f>IF(I$34&gt;0,(INDEX(A_Aufgaben,(I$34-Arbeitszeit!$A$6+1),(2*(ROW()-ROW(A_Endedatum))-1))),"")</f>
        <v/>
      </c>
      <c r="J41" s="542" t="str">
        <f>IF(J$34&gt;0,(INDEX(A_Aufgaben,(J$34-Arbeitszeit!$A$6+1),(2*(ROW()-ROW(A_Endedatum))-1))),"")</f>
        <v/>
      </c>
      <c r="K41" s="541" t="str">
        <f>IF(K$34&gt;0,(INDEX(A_Aufgaben,(K$34-Arbeitszeit!$A$6+1),(2*(ROW()-ROW(A_Endedatum))-1))),"")</f>
        <v/>
      </c>
      <c r="L41" s="542" t="str">
        <f>IF(L$34&gt;0,(INDEX(A_Aufgaben,(L$34-Arbeitszeit!$A$6+1),(2*(ROW()-ROW(A_Endedatum))-1))),"")</f>
        <v/>
      </c>
      <c r="M41" s="541" t="str">
        <f>IF(M$34&gt;0,(INDEX(A_Aufgaben,(M$34-Arbeitszeit!$A$6+1),(2*(ROW()-ROW(A_Endedatum))-1))),"")</f>
        <v/>
      </c>
      <c r="N41" s="542" t="str">
        <f>IF(N$34&gt;0,(INDEX(A_Aufgaben,(N$34-Arbeitszeit!$A$6+1),(2*(ROW()-ROW(A_Endedatum))-1))),"")</f>
        <v/>
      </c>
      <c r="O41" s="541" t="str">
        <f>IF(O$34&gt;0,(INDEX(A_Aufgaben,(O$34-Arbeitszeit!$A$6+1),(2*(ROW()-ROW(A_Endedatum))-1))),"")</f>
        <v/>
      </c>
      <c r="P41" s="542" t="str">
        <f>IF(P$34&gt;0,(INDEX(A_Aufgaben,(P$34-Arbeitszeit!$A$6+1),(2*(ROW()-ROW(A_Endedatum))-1))),"")</f>
        <v/>
      </c>
      <c r="Q41" s="541" t="str">
        <f>IF(Q$34&gt;0,(INDEX(A_Aufgaben,(Q$34-Arbeitszeit!$A$6+1),(2*(ROW()-ROW(A_Endedatum))-1))),"")</f>
        <v/>
      </c>
      <c r="R41" s="542" t="str">
        <f>IF(R$34&gt;0,(INDEX(A_Aufgaben,(R$34-Arbeitszeit!$A$6+1),(2*(ROW()-ROW(A_Endedatum))-1))),"")</f>
        <v/>
      </c>
      <c r="S41" s="541" t="str">
        <f>IF(S$34&gt;0,(INDEX(A_Aufgaben,(S$34-Arbeitszeit!$A$6+1),(2*(ROW()-ROW(A_Endedatum))-1))),"")</f>
        <v/>
      </c>
      <c r="T41" s="542" t="str">
        <f>IF(T$34&gt;0,(INDEX(A_Aufgaben,(T$34-Arbeitszeit!$A$6+1),(2*(ROW()-ROW(A_Endedatum))-1))),"")</f>
        <v/>
      </c>
      <c r="U41" s="541" t="str">
        <f>IF(U$34&gt;0,(INDEX(A_Aufgaben,(U$34-Arbeitszeit!$A$6+1),(2*(ROW()-ROW(A_Endedatum))-1))),"")</f>
        <v/>
      </c>
      <c r="V41" s="542" t="str">
        <f>IF(V$34&gt;0,(INDEX(A_Aufgaben,(V$34-Arbeitszeit!$A$6+1),(2*(ROW()-ROW(A_Endedatum))-1))),"")</f>
        <v/>
      </c>
      <c r="W41" s="541" t="str">
        <f>IF(W$34&gt;0,(INDEX(A_Aufgaben,(W$34-Arbeitszeit!$A$6+1),(2*(ROW()-ROW(A_Endedatum))-1))),"")</f>
        <v/>
      </c>
      <c r="X41" s="542" t="str">
        <f>IF(X$34&gt;0,(INDEX(A_Aufgaben,(X$34-Arbeitszeit!$A$6+1),(2*(ROW()-ROW(A_Endedatum))-1))),"")</f>
        <v/>
      </c>
      <c r="Y41" s="541" t="str">
        <f>IF(Y$34&gt;0,(INDEX(A_Aufgaben,(Y$34-Arbeitszeit!$A$6+1),(2*(ROW()-ROW(A_Endedatum))-1))),"")</f>
        <v/>
      </c>
      <c r="Z41" s="542" t="str">
        <f>IF(Z$34&gt;0,(INDEX(A_Aufgaben,(Z$34-Arbeitszeit!$A$6+1),(2*(ROW()-ROW(A_Endedatum))-1))),"")</f>
        <v/>
      </c>
      <c r="AA41" s="541" t="str">
        <f>IF(AA$34&gt;0,(INDEX(A_Aufgaben,(AA$34-Arbeitszeit!$A$6+1),(2*(ROW()-ROW(A_Endedatum))-1))),"")</f>
        <v/>
      </c>
      <c r="AB41" s="542" t="str">
        <f>IF(AB$34&gt;0,(INDEX(A_Aufgaben,(AB$34-Arbeitszeit!$A$6+1),(2*(ROW()-ROW(A_Endedatum))-1))),"")</f>
        <v/>
      </c>
      <c r="AC41" s="541" t="str">
        <f>IF(AC$34&gt;0,(INDEX(A_Aufgaben,(AC$34-Arbeitszeit!$A$6+1),(2*(ROW()-ROW(A_Endedatum))-1))),"")</f>
        <v/>
      </c>
      <c r="AD41" s="542" t="str">
        <f>IF(AD$34&gt;0,(INDEX(A_Aufgaben,(AD$34-Arbeitszeit!$A$6+1),(2*(ROW()-ROW(A_Endedatum))-1))),"")</f>
        <v/>
      </c>
      <c r="AE41" s="541" t="str">
        <f>IF(AE$34&gt;0,(INDEX(A_Aufgaben,(AE$34-Arbeitszeit!$A$6+1),(2*(ROW()-ROW(A_Endedatum))-1))),"")</f>
        <v/>
      </c>
      <c r="AF41" s="542" t="str">
        <f>IF(AF$34&gt;0,(INDEX(A_Aufgaben,(AF$34-Arbeitszeit!$A$6+1),(2*(ROW()-ROW(A_Endedatum))-1))),"")</f>
        <v/>
      </c>
      <c r="AG41" s="541" t="str">
        <f>IF(AG$34&gt;0,(INDEX(A_Aufgaben,(AG$34-Arbeitszeit!$A$6+1),(2*(ROW()-ROW(A_Endedatum))-1))),"")</f>
        <v/>
      </c>
      <c r="AH41" s="550">
        <f t="shared" si="7"/>
        <v>0</v>
      </c>
      <c r="AI41" s="3">
        <f t="shared" si="8"/>
        <v>0</v>
      </c>
      <c r="AJ41" s="571">
        <f t="shared" si="11"/>
        <v>0</v>
      </c>
    </row>
    <row r="42" spans="1:36" hidden="1" outlineLevel="1">
      <c r="A42">
        <f t="shared" si="9"/>
        <v>0</v>
      </c>
      <c r="B42" s="540" t="str">
        <f t="shared" si="10"/>
        <v>Aufgabe 05</v>
      </c>
      <c r="C42" s="541" t="str">
        <f>IF(C$34&gt;0,(INDEX(A_Aufgaben,(C$34-Arbeitszeit!$A$6+1),(2*(ROW()-ROW(A_Endedatum))-1))),"")</f>
        <v/>
      </c>
      <c r="D42" s="542" t="str">
        <f>IF(D$34&gt;0,(INDEX(A_Aufgaben,(D$34-Arbeitszeit!$A$6+1),(2*(ROW()-ROW(A_Endedatum))-1))),"")</f>
        <v/>
      </c>
      <c r="E42" s="541" t="str">
        <f>IF(E$34&gt;0,(INDEX(A_Aufgaben,(E$34-Arbeitszeit!$A$6+1),(2*(ROW()-ROW(A_Endedatum))-1))),"")</f>
        <v/>
      </c>
      <c r="F42" s="542" t="str">
        <f>IF(F$34&gt;0,(INDEX(A_Aufgaben,(F$34-Arbeitszeit!$A$6+1),(2*(ROW()-ROW(A_Endedatum))-1))),"")</f>
        <v/>
      </c>
      <c r="G42" s="541" t="str">
        <f>IF(G$34&gt;0,(INDEX(A_Aufgaben,(G$34-Arbeitszeit!$A$6+1),(2*(ROW()-ROW(A_Endedatum))-1))),"")</f>
        <v/>
      </c>
      <c r="H42" s="542" t="str">
        <f>IF(H$34&gt;0,(INDEX(A_Aufgaben,(H$34-Arbeitszeit!$A$6+1),(2*(ROW()-ROW(A_Endedatum))-1))),"")</f>
        <v/>
      </c>
      <c r="I42" s="541" t="str">
        <f>IF(I$34&gt;0,(INDEX(A_Aufgaben,(I$34-Arbeitszeit!$A$6+1),(2*(ROW()-ROW(A_Endedatum))-1))),"")</f>
        <v/>
      </c>
      <c r="J42" s="542" t="str">
        <f>IF(J$34&gt;0,(INDEX(A_Aufgaben,(J$34-Arbeitszeit!$A$6+1),(2*(ROW()-ROW(A_Endedatum))-1))),"")</f>
        <v/>
      </c>
      <c r="K42" s="541" t="str">
        <f>IF(K$34&gt;0,(INDEX(A_Aufgaben,(K$34-Arbeitszeit!$A$6+1),(2*(ROW()-ROW(A_Endedatum))-1))),"")</f>
        <v/>
      </c>
      <c r="L42" s="542" t="str">
        <f>IF(L$34&gt;0,(INDEX(A_Aufgaben,(L$34-Arbeitszeit!$A$6+1),(2*(ROW()-ROW(A_Endedatum))-1))),"")</f>
        <v/>
      </c>
      <c r="M42" s="541" t="str">
        <f>IF(M$34&gt;0,(INDEX(A_Aufgaben,(M$34-Arbeitszeit!$A$6+1),(2*(ROW()-ROW(A_Endedatum))-1))),"")</f>
        <v/>
      </c>
      <c r="N42" s="542" t="str">
        <f>IF(N$34&gt;0,(INDEX(A_Aufgaben,(N$34-Arbeitszeit!$A$6+1),(2*(ROW()-ROW(A_Endedatum))-1))),"")</f>
        <v/>
      </c>
      <c r="O42" s="541" t="str">
        <f>IF(O$34&gt;0,(INDEX(A_Aufgaben,(O$34-Arbeitszeit!$A$6+1),(2*(ROW()-ROW(A_Endedatum))-1))),"")</f>
        <v/>
      </c>
      <c r="P42" s="542" t="str">
        <f>IF(P$34&gt;0,(INDEX(A_Aufgaben,(P$34-Arbeitszeit!$A$6+1),(2*(ROW()-ROW(A_Endedatum))-1))),"")</f>
        <v/>
      </c>
      <c r="Q42" s="541" t="str">
        <f>IF(Q$34&gt;0,(INDEX(A_Aufgaben,(Q$34-Arbeitszeit!$A$6+1),(2*(ROW()-ROW(A_Endedatum))-1))),"")</f>
        <v/>
      </c>
      <c r="R42" s="542" t="str">
        <f>IF(R$34&gt;0,(INDEX(A_Aufgaben,(R$34-Arbeitszeit!$A$6+1),(2*(ROW()-ROW(A_Endedatum))-1))),"")</f>
        <v/>
      </c>
      <c r="S42" s="541" t="str">
        <f>IF(S$34&gt;0,(INDEX(A_Aufgaben,(S$34-Arbeitszeit!$A$6+1),(2*(ROW()-ROW(A_Endedatum))-1))),"")</f>
        <v/>
      </c>
      <c r="T42" s="542" t="str">
        <f>IF(T$34&gt;0,(INDEX(A_Aufgaben,(T$34-Arbeitszeit!$A$6+1),(2*(ROW()-ROW(A_Endedatum))-1))),"")</f>
        <v/>
      </c>
      <c r="U42" s="541" t="str">
        <f>IF(U$34&gt;0,(INDEX(A_Aufgaben,(U$34-Arbeitszeit!$A$6+1),(2*(ROW()-ROW(A_Endedatum))-1))),"")</f>
        <v/>
      </c>
      <c r="V42" s="542" t="str">
        <f>IF(V$34&gt;0,(INDEX(A_Aufgaben,(V$34-Arbeitszeit!$A$6+1),(2*(ROW()-ROW(A_Endedatum))-1))),"")</f>
        <v/>
      </c>
      <c r="W42" s="541" t="str">
        <f>IF(W$34&gt;0,(INDEX(A_Aufgaben,(W$34-Arbeitszeit!$A$6+1),(2*(ROW()-ROW(A_Endedatum))-1))),"")</f>
        <v/>
      </c>
      <c r="X42" s="542" t="str">
        <f>IF(X$34&gt;0,(INDEX(A_Aufgaben,(X$34-Arbeitszeit!$A$6+1),(2*(ROW()-ROW(A_Endedatum))-1))),"")</f>
        <v/>
      </c>
      <c r="Y42" s="541" t="str">
        <f>IF(Y$34&gt;0,(INDEX(A_Aufgaben,(Y$34-Arbeitszeit!$A$6+1),(2*(ROW()-ROW(A_Endedatum))-1))),"")</f>
        <v/>
      </c>
      <c r="Z42" s="542" t="str">
        <f>IF(Z$34&gt;0,(INDEX(A_Aufgaben,(Z$34-Arbeitszeit!$A$6+1),(2*(ROW()-ROW(A_Endedatum))-1))),"")</f>
        <v/>
      </c>
      <c r="AA42" s="541" t="str">
        <f>IF(AA$34&gt;0,(INDEX(A_Aufgaben,(AA$34-Arbeitszeit!$A$6+1),(2*(ROW()-ROW(A_Endedatum))-1))),"")</f>
        <v/>
      </c>
      <c r="AB42" s="542" t="str">
        <f>IF(AB$34&gt;0,(INDEX(A_Aufgaben,(AB$34-Arbeitszeit!$A$6+1),(2*(ROW()-ROW(A_Endedatum))-1))),"")</f>
        <v/>
      </c>
      <c r="AC42" s="541" t="str">
        <f>IF(AC$34&gt;0,(INDEX(A_Aufgaben,(AC$34-Arbeitszeit!$A$6+1),(2*(ROW()-ROW(A_Endedatum))-1))),"")</f>
        <v/>
      </c>
      <c r="AD42" s="542" t="str">
        <f>IF(AD$34&gt;0,(INDEX(A_Aufgaben,(AD$34-Arbeitszeit!$A$6+1),(2*(ROW()-ROW(A_Endedatum))-1))),"")</f>
        <v/>
      </c>
      <c r="AE42" s="541" t="str">
        <f>IF(AE$34&gt;0,(INDEX(A_Aufgaben,(AE$34-Arbeitszeit!$A$6+1),(2*(ROW()-ROW(A_Endedatum))-1))),"")</f>
        <v/>
      </c>
      <c r="AF42" s="542" t="str">
        <f>IF(AF$34&gt;0,(INDEX(A_Aufgaben,(AF$34-Arbeitszeit!$A$6+1),(2*(ROW()-ROW(A_Endedatum))-1))),"")</f>
        <v/>
      </c>
      <c r="AG42" s="541" t="str">
        <f>IF(AG$34&gt;0,(INDEX(A_Aufgaben,(AG$34-Arbeitszeit!$A$6+1),(2*(ROW()-ROW(A_Endedatum))-1))),"")</f>
        <v/>
      </c>
      <c r="AH42" s="550">
        <f t="shared" si="7"/>
        <v>0</v>
      </c>
      <c r="AI42" s="3">
        <f t="shared" si="8"/>
        <v>0</v>
      </c>
      <c r="AJ42" s="571">
        <f t="shared" si="11"/>
        <v>0</v>
      </c>
    </row>
    <row r="43" spans="1:36" hidden="1" outlineLevel="1">
      <c r="A43">
        <f t="shared" si="9"/>
        <v>0</v>
      </c>
      <c r="B43" s="540" t="str">
        <f t="shared" si="10"/>
        <v>Aufgabe 06</v>
      </c>
      <c r="C43" s="541" t="str">
        <f>IF(C$34&gt;0,(INDEX(A_Aufgaben,(C$34-Arbeitszeit!$A$6+1),(2*(ROW()-ROW(A_Endedatum))-1))),"")</f>
        <v/>
      </c>
      <c r="D43" s="542" t="str">
        <f>IF(D$34&gt;0,(INDEX(A_Aufgaben,(D$34-Arbeitszeit!$A$6+1),(2*(ROW()-ROW(A_Endedatum))-1))),"")</f>
        <v/>
      </c>
      <c r="E43" s="541" t="str">
        <f>IF(E$34&gt;0,(INDEX(A_Aufgaben,(E$34-Arbeitszeit!$A$6+1),(2*(ROW()-ROW(A_Endedatum))-1))),"")</f>
        <v/>
      </c>
      <c r="F43" s="542" t="str">
        <f>IF(F$34&gt;0,(INDEX(A_Aufgaben,(F$34-Arbeitszeit!$A$6+1),(2*(ROW()-ROW(A_Endedatum))-1))),"")</f>
        <v/>
      </c>
      <c r="G43" s="541" t="str">
        <f>IF(G$34&gt;0,(INDEX(A_Aufgaben,(G$34-Arbeitszeit!$A$6+1),(2*(ROW()-ROW(A_Endedatum))-1))),"")</f>
        <v/>
      </c>
      <c r="H43" s="542" t="str">
        <f>IF(H$34&gt;0,(INDEX(A_Aufgaben,(H$34-Arbeitszeit!$A$6+1),(2*(ROW()-ROW(A_Endedatum))-1))),"")</f>
        <v/>
      </c>
      <c r="I43" s="541" t="str">
        <f>IF(I$34&gt;0,(INDEX(A_Aufgaben,(I$34-Arbeitszeit!$A$6+1),(2*(ROW()-ROW(A_Endedatum))-1))),"")</f>
        <v/>
      </c>
      <c r="J43" s="542" t="str">
        <f>IF(J$34&gt;0,(INDEX(A_Aufgaben,(J$34-Arbeitszeit!$A$6+1),(2*(ROW()-ROW(A_Endedatum))-1))),"")</f>
        <v/>
      </c>
      <c r="K43" s="541" t="str">
        <f>IF(K$34&gt;0,(INDEX(A_Aufgaben,(K$34-Arbeitszeit!$A$6+1),(2*(ROW()-ROW(A_Endedatum))-1))),"")</f>
        <v/>
      </c>
      <c r="L43" s="542" t="str">
        <f>IF(L$34&gt;0,(INDEX(A_Aufgaben,(L$34-Arbeitszeit!$A$6+1),(2*(ROW()-ROW(A_Endedatum))-1))),"")</f>
        <v/>
      </c>
      <c r="M43" s="541" t="str">
        <f>IF(M$34&gt;0,(INDEX(A_Aufgaben,(M$34-Arbeitszeit!$A$6+1),(2*(ROW()-ROW(A_Endedatum))-1))),"")</f>
        <v/>
      </c>
      <c r="N43" s="542" t="str">
        <f>IF(N$34&gt;0,(INDEX(A_Aufgaben,(N$34-Arbeitszeit!$A$6+1),(2*(ROW()-ROW(A_Endedatum))-1))),"")</f>
        <v/>
      </c>
      <c r="O43" s="541" t="str">
        <f>IF(O$34&gt;0,(INDEX(A_Aufgaben,(O$34-Arbeitszeit!$A$6+1),(2*(ROW()-ROW(A_Endedatum))-1))),"")</f>
        <v/>
      </c>
      <c r="P43" s="542" t="str">
        <f>IF(P$34&gt;0,(INDEX(A_Aufgaben,(P$34-Arbeitszeit!$A$6+1),(2*(ROW()-ROW(A_Endedatum))-1))),"")</f>
        <v/>
      </c>
      <c r="Q43" s="541" t="str">
        <f>IF(Q$34&gt;0,(INDEX(A_Aufgaben,(Q$34-Arbeitszeit!$A$6+1),(2*(ROW()-ROW(A_Endedatum))-1))),"")</f>
        <v/>
      </c>
      <c r="R43" s="542" t="str">
        <f>IF(R$34&gt;0,(INDEX(A_Aufgaben,(R$34-Arbeitszeit!$A$6+1),(2*(ROW()-ROW(A_Endedatum))-1))),"")</f>
        <v/>
      </c>
      <c r="S43" s="541" t="str">
        <f>IF(S$34&gt;0,(INDEX(A_Aufgaben,(S$34-Arbeitszeit!$A$6+1),(2*(ROW()-ROW(A_Endedatum))-1))),"")</f>
        <v/>
      </c>
      <c r="T43" s="542" t="str">
        <f>IF(T$34&gt;0,(INDEX(A_Aufgaben,(T$34-Arbeitszeit!$A$6+1),(2*(ROW()-ROW(A_Endedatum))-1))),"")</f>
        <v/>
      </c>
      <c r="U43" s="541" t="str">
        <f>IF(U$34&gt;0,(INDEX(A_Aufgaben,(U$34-Arbeitszeit!$A$6+1),(2*(ROW()-ROW(A_Endedatum))-1))),"")</f>
        <v/>
      </c>
      <c r="V43" s="542" t="str">
        <f>IF(V$34&gt;0,(INDEX(A_Aufgaben,(V$34-Arbeitszeit!$A$6+1),(2*(ROW()-ROW(A_Endedatum))-1))),"")</f>
        <v/>
      </c>
      <c r="W43" s="541" t="str">
        <f>IF(W$34&gt;0,(INDEX(A_Aufgaben,(W$34-Arbeitszeit!$A$6+1),(2*(ROW()-ROW(A_Endedatum))-1))),"")</f>
        <v/>
      </c>
      <c r="X43" s="542" t="str">
        <f>IF(X$34&gt;0,(INDEX(A_Aufgaben,(X$34-Arbeitszeit!$A$6+1),(2*(ROW()-ROW(A_Endedatum))-1))),"")</f>
        <v/>
      </c>
      <c r="Y43" s="541" t="str">
        <f>IF(Y$34&gt;0,(INDEX(A_Aufgaben,(Y$34-Arbeitszeit!$A$6+1),(2*(ROW()-ROW(A_Endedatum))-1))),"")</f>
        <v/>
      </c>
      <c r="Z43" s="542" t="str">
        <f>IF(Z$34&gt;0,(INDEX(A_Aufgaben,(Z$34-Arbeitszeit!$A$6+1),(2*(ROW()-ROW(A_Endedatum))-1))),"")</f>
        <v/>
      </c>
      <c r="AA43" s="541" t="str">
        <f>IF(AA$34&gt;0,(INDEX(A_Aufgaben,(AA$34-Arbeitszeit!$A$6+1),(2*(ROW()-ROW(A_Endedatum))-1))),"")</f>
        <v/>
      </c>
      <c r="AB43" s="542" t="str">
        <f>IF(AB$34&gt;0,(INDEX(A_Aufgaben,(AB$34-Arbeitszeit!$A$6+1),(2*(ROW()-ROW(A_Endedatum))-1))),"")</f>
        <v/>
      </c>
      <c r="AC43" s="541" t="str">
        <f>IF(AC$34&gt;0,(INDEX(A_Aufgaben,(AC$34-Arbeitszeit!$A$6+1),(2*(ROW()-ROW(A_Endedatum))-1))),"")</f>
        <v/>
      </c>
      <c r="AD43" s="542" t="str">
        <f>IF(AD$34&gt;0,(INDEX(A_Aufgaben,(AD$34-Arbeitszeit!$A$6+1),(2*(ROW()-ROW(A_Endedatum))-1))),"")</f>
        <v/>
      </c>
      <c r="AE43" s="541" t="str">
        <f>IF(AE$34&gt;0,(INDEX(A_Aufgaben,(AE$34-Arbeitszeit!$A$6+1),(2*(ROW()-ROW(A_Endedatum))-1))),"")</f>
        <v/>
      </c>
      <c r="AF43" s="542" t="str">
        <f>IF(AF$34&gt;0,(INDEX(A_Aufgaben,(AF$34-Arbeitszeit!$A$6+1),(2*(ROW()-ROW(A_Endedatum))-1))),"")</f>
        <v/>
      </c>
      <c r="AG43" s="541" t="str">
        <f>IF(AG$34&gt;0,(INDEX(A_Aufgaben,(AG$34-Arbeitszeit!$A$6+1),(2*(ROW()-ROW(A_Endedatum))-1))),"")</f>
        <v/>
      </c>
      <c r="AH43" s="550">
        <f t="shared" si="7"/>
        <v>0</v>
      </c>
      <c r="AI43" s="3">
        <f t="shared" si="8"/>
        <v>0</v>
      </c>
      <c r="AJ43" s="571">
        <f t="shared" si="11"/>
        <v>0</v>
      </c>
    </row>
    <row r="44" spans="1:36" hidden="1" outlineLevel="1">
      <c r="A44">
        <f t="shared" si="9"/>
        <v>0</v>
      </c>
      <c r="B44" s="540" t="str">
        <f t="shared" si="10"/>
        <v>Aufgabe 07</v>
      </c>
      <c r="C44" s="541" t="str">
        <f>IF(C$34&gt;0,(INDEX(A_Aufgaben,(C$34-Arbeitszeit!$A$6+1),(2*(ROW()-ROW(A_Endedatum))-1))),"")</f>
        <v/>
      </c>
      <c r="D44" s="542" t="str">
        <f>IF(D$34&gt;0,(INDEX(A_Aufgaben,(D$34-Arbeitszeit!$A$6+1),(2*(ROW()-ROW(A_Endedatum))-1))),"")</f>
        <v/>
      </c>
      <c r="E44" s="541" t="str">
        <f>IF(E$34&gt;0,(INDEX(A_Aufgaben,(E$34-Arbeitszeit!$A$6+1),(2*(ROW()-ROW(A_Endedatum))-1))),"")</f>
        <v/>
      </c>
      <c r="F44" s="542" t="str">
        <f>IF(F$34&gt;0,(INDEX(A_Aufgaben,(F$34-Arbeitszeit!$A$6+1),(2*(ROW()-ROW(A_Endedatum))-1))),"")</f>
        <v/>
      </c>
      <c r="G44" s="541" t="str">
        <f>IF(G$34&gt;0,(INDEX(A_Aufgaben,(G$34-Arbeitszeit!$A$6+1),(2*(ROW()-ROW(A_Endedatum))-1))),"")</f>
        <v/>
      </c>
      <c r="H44" s="542" t="str">
        <f>IF(H$34&gt;0,(INDEX(A_Aufgaben,(H$34-Arbeitszeit!$A$6+1),(2*(ROW()-ROW(A_Endedatum))-1))),"")</f>
        <v/>
      </c>
      <c r="I44" s="541" t="str">
        <f>IF(I$34&gt;0,(INDEX(A_Aufgaben,(I$34-Arbeitszeit!$A$6+1),(2*(ROW()-ROW(A_Endedatum))-1))),"")</f>
        <v/>
      </c>
      <c r="J44" s="542" t="str">
        <f>IF(J$34&gt;0,(INDEX(A_Aufgaben,(J$34-Arbeitszeit!$A$6+1),(2*(ROW()-ROW(A_Endedatum))-1))),"")</f>
        <v/>
      </c>
      <c r="K44" s="541" t="str">
        <f>IF(K$34&gt;0,(INDEX(A_Aufgaben,(K$34-Arbeitszeit!$A$6+1),(2*(ROW()-ROW(A_Endedatum))-1))),"")</f>
        <v/>
      </c>
      <c r="L44" s="542" t="str">
        <f>IF(L$34&gt;0,(INDEX(A_Aufgaben,(L$34-Arbeitszeit!$A$6+1),(2*(ROW()-ROW(A_Endedatum))-1))),"")</f>
        <v/>
      </c>
      <c r="M44" s="541" t="str">
        <f>IF(M$34&gt;0,(INDEX(A_Aufgaben,(M$34-Arbeitszeit!$A$6+1),(2*(ROW()-ROW(A_Endedatum))-1))),"")</f>
        <v/>
      </c>
      <c r="N44" s="542" t="str">
        <f>IF(N$34&gt;0,(INDEX(A_Aufgaben,(N$34-Arbeitszeit!$A$6+1),(2*(ROW()-ROW(A_Endedatum))-1))),"")</f>
        <v/>
      </c>
      <c r="O44" s="541" t="str">
        <f>IF(O$34&gt;0,(INDEX(A_Aufgaben,(O$34-Arbeitszeit!$A$6+1),(2*(ROW()-ROW(A_Endedatum))-1))),"")</f>
        <v/>
      </c>
      <c r="P44" s="542" t="str">
        <f>IF(P$34&gt;0,(INDEX(A_Aufgaben,(P$34-Arbeitszeit!$A$6+1),(2*(ROW()-ROW(A_Endedatum))-1))),"")</f>
        <v/>
      </c>
      <c r="Q44" s="541" t="str">
        <f>IF(Q$34&gt;0,(INDEX(A_Aufgaben,(Q$34-Arbeitszeit!$A$6+1),(2*(ROW()-ROW(A_Endedatum))-1))),"")</f>
        <v/>
      </c>
      <c r="R44" s="542" t="str">
        <f>IF(R$34&gt;0,(INDEX(A_Aufgaben,(R$34-Arbeitszeit!$A$6+1),(2*(ROW()-ROW(A_Endedatum))-1))),"")</f>
        <v/>
      </c>
      <c r="S44" s="541" t="str">
        <f>IF(S$34&gt;0,(INDEX(A_Aufgaben,(S$34-Arbeitszeit!$A$6+1),(2*(ROW()-ROW(A_Endedatum))-1))),"")</f>
        <v/>
      </c>
      <c r="T44" s="542" t="str">
        <f>IF(T$34&gt;0,(INDEX(A_Aufgaben,(T$34-Arbeitszeit!$A$6+1),(2*(ROW()-ROW(A_Endedatum))-1))),"")</f>
        <v/>
      </c>
      <c r="U44" s="541" t="str">
        <f>IF(U$34&gt;0,(INDEX(A_Aufgaben,(U$34-Arbeitszeit!$A$6+1),(2*(ROW()-ROW(A_Endedatum))-1))),"")</f>
        <v/>
      </c>
      <c r="V44" s="542" t="str">
        <f>IF(V$34&gt;0,(INDEX(A_Aufgaben,(V$34-Arbeitszeit!$A$6+1),(2*(ROW()-ROW(A_Endedatum))-1))),"")</f>
        <v/>
      </c>
      <c r="W44" s="541" t="str">
        <f>IF(W$34&gt;0,(INDEX(A_Aufgaben,(W$34-Arbeitszeit!$A$6+1),(2*(ROW()-ROW(A_Endedatum))-1))),"")</f>
        <v/>
      </c>
      <c r="X44" s="542" t="str">
        <f>IF(X$34&gt;0,(INDEX(A_Aufgaben,(X$34-Arbeitszeit!$A$6+1),(2*(ROW()-ROW(A_Endedatum))-1))),"")</f>
        <v/>
      </c>
      <c r="Y44" s="541" t="str">
        <f>IF(Y$34&gt;0,(INDEX(A_Aufgaben,(Y$34-Arbeitszeit!$A$6+1),(2*(ROW()-ROW(A_Endedatum))-1))),"")</f>
        <v/>
      </c>
      <c r="Z44" s="542" t="str">
        <f>IF(Z$34&gt;0,(INDEX(A_Aufgaben,(Z$34-Arbeitszeit!$A$6+1),(2*(ROW()-ROW(A_Endedatum))-1))),"")</f>
        <v/>
      </c>
      <c r="AA44" s="541" t="str">
        <f>IF(AA$34&gt;0,(INDEX(A_Aufgaben,(AA$34-Arbeitszeit!$A$6+1),(2*(ROW()-ROW(A_Endedatum))-1))),"")</f>
        <v/>
      </c>
      <c r="AB44" s="542" t="str">
        <f>IF(AB$34&gt;0,(INDEX(A_Aufgaben,(AB$34-Arbeitszeit!$A$6+1),(2*(ROW()-ROW(A_Endedatum))-1))),"")</f>
        <v/>
      </c>
      <c r="AC44" s="541" t="str">
        <f>IF(AC$34&gt;0,(INDEX(A_Aufgaben,(AC$34-Arbeitszeit!$A$6+1),(2*(ROW()-ROW(A_Endedatum))-1))),"")</f>
        <v/>
      </c>
      <c r="AD44" s="542" t="str">
        <f>IF(AD$34&gt;0,(INDEX(A_Aufgaben,(AD$34-Arbeitszeit!$A$6+1),(2*(ROW()-ROW(A_Endedatum))-1))),"")</f>
        <v/>
      </c>
      <c r="AE44" s="541" t="str">
        <f>IF(AE$34&gt;0,(INDEX(A_Aufgaben,(AE$34-Arbeitszeit!$A$6+1),(2*(ROW()-ROW(A_Endedatum))-1))),"")</f>
        <v/>
      </c>
      <c r="AF44" s="542" t="str">
        <f>IF(AF$34&gt;0,(INDEX(A_Aufgaben,(AF$34-Arbeitszeit!$A$6+1),(2*(ROW()-ROW(A_Endedatum))-1))),"")</f>
        <v/>
      </c>
      <c r="AG44" s="541" t="str">
        <f>IF(AG$34&gt;0,(INDEX(A_Aufgaben,(AG$34-Arbeitszeit!$A$6+1),(2*(ROW()-ROW(A_Endedatum))-1))),"")</f>
        <v/>
      </c>
      <c r="AH44" s="550">
        <f t="shared" si="7"/>
        <v>0</v>
      </c>
      <c r="AI44" s="3">
        <f t="shared" si="8"/>
        <v>0</v>
      </c>
      <c r="AJ44" s="571">
        <f t="shared" si="11"/>
        <v>0</v>
      </c>
    </row>
    <row r="45" spans="1:36" hidden="1" outlineLevel="1">
      <c r="A45">
        <f t="shared" si="9"/>
        <v>0</v>
      </c>
      <c r="B45" s="540" t="str">
        <f t="shared" si="10"/>
        <v>Aufgabe 08</v>
      </c>
      <c r="C45" s="541" t="str">
        <f>IF(C$34&gt;0,(INDEX(A_Aufgaben,(C$34-Arbeitszeit!$A$6+1),(2*(ROW()-ROW(A_Endedatum))-1))),"")</f>
        <v/>
      </c>
      <c r="D45" s="542" t="str">
        <f>IF(D$34&gt;0,(INDEX(A_Aufgaben,(D$34-Arbeitszeit!$A$6+1),(2*(ROW()-ROW(A_Endedatum))-1))),"")</f>
        <v/>
      </c>
      <c r="E45" s="541" t="str">
        <f>IF(E$34&gt;0,(INDEX(A_Aufgaben,(E$34-Arbeitszeit!$A$6+1),(2*(ROW()-ROW(A_Endedatum))-1))),"")</f>
        <v/>
      </c>
      <c r="F45" s="542" t="str">
        <f>IF(F$34&gt;0,(INDEX(A_Aufgaben,(F$34-Arbeitszeit!$A$6+1),(2*(ROW()-ROW(A_Endedatum))-1))),"")</f>
        <v/>
      </c>
      <c r="G45" s="541" t="str">
        <f>IF(G$34&gt;0,(INDEX(A_Aufgaben,(G$34-Arbeitszeit!$A$6+1),(2*(ROW()-ROW(A_Endedatum))-1))),"")</f>
        <v/>
      </c>
      <c r="H45" s="542" t="str">
        <f>IF(H$34&gt;0,(INDEX(A_Aufgaben,(H$34-Arbeitszeit!$A$6+1),(2*(ROW()-ROW(A_Endedatum))-1))),"")</f>
        <v/>
      </c>
      <c r="I45" s="541" t="str">
        <f>IF(I$34&gt;0,(INDEX(A_Aufgaben,(I$34-Arbeitszeit!$A$6+1),(2*(ROW()-ROW(A_Endedatum))-1))),"")</f>
        <v/>
      </c>
      <c r="J45" s="542" t="str">
        <f>IF(J$34&gt;0,(INDEX(A_Aufgaben,(J$34-Arbeitszeit!$A$6+1),(2*(ROW()-ROW(A_Endedatum))-1))),"")</f>
        <v/>
      </c>
      <c r="K45" s="541" t="str">
        <f>IF(K$34&gt;0,(INDEX(A_Aufgaben,(K$34-Arbeitszeit!$A$6+1),(2*(ROW()-ROW(A_Endedatum))-1))),"")</f>
        <v/>
      </c>
      <c r="L45" s="542" t="str">
        <f>IF(L$34&gt;0,(INDEX(A_Aufgaben,(L$34-Arbeitszeit!$A$6+1),(2*(ROW()-ROW(A_Endedatum))-1))),"")</f>
        <v/>
      </c>
      <c r="M45" s="541" t="str">
        <f>IF(M$34&gt;0,(INDEX(A_Aufgaben,(M$34-Arbeitszeit!$A$6+1),(2*(ROW()-ROW(A_Endedatum))-1))),"")</f>
        <v/>
      </c>
      <c r="N45" s="542" t="str">
        <f>IF(N$34&gt;0,(INDEX(A_Aufgaben,(N$34-Arbeitszeit!$A$6+1),(2*(ROW()-ROW(A_Endedatum))-1))),"")</f>
        <v/>
      </c>
      <c r="O45" s="541" t="str">
        <f>IF(O$34&gt;0,(INDEX(A_Aufgaben,(O$34-Arbeitszeit!$A$6+1),(2*(ROW()-ROW(A_Endedatum))-1))),"")</f>
        <v/>
      </c>
      <c r="P45" s="542" t="str">
        <f>IF(P$34&gt;0,(INDEX(A_Aufgaben,(P$34-Arbeitszeit!$A$6+1),(2*(ROW()-ROW(A_Endedatum))-1))),"")</f>
        <v/>
      </c>
      <c r="Q45" s="541" t="str">
        <f>IF(Q$34&gt;0,(INDEX(A_Aufgaben,(Q$34-Arbeitszeit!$A$6+1),(2*(ROW()-ROW(A_Endedatum))-1))),"")</f>
        <v/>
      </c>
      <c r="R45" s="542" t="str">
        <f>IF(R$34&gt;0,(INDEX(A_Aufgaben,(R$34-Arbeitszeit!$A$6+1),(2*(ROW()-ROW(A_Endedatum))-1))),"")</f>
        <v/>
      </c>
      <c r="S45" s="541" t="str">
        <f>IF(S$34&gt;0,(INDEX(A_Aufgaben,(S$34-Arbeitszeit!$A$6+1),(2*(ROW()-ROW(A_Endedatum))-1))),"")</f>
        <v/>
      </c>
      <c r="T45" s="542" t="str">
        <f>IF(T$34&gt;0,(INDEX(A_Aufgaben,(T$34-Arbeitszeit!$A$6+1),(2*(ROW()-ROW(A_Endedatum))-1))),"")</f>
        <v/>
      </c>
      <c r="U45" s="541" t="str">
        <f>IF(U$34&gt;0,(INDEX(A_Aufgaben,(U$34-Arbeitszeit!$A$6+1),(2*(ROW()-ROW(A_Endedatum))-1))),"")</f>
        <v/>
      </c>
      <c r="V45" s="542" t="str">
        <f>IF(V$34&gt;0,(INDEX(A_Aufgaben,(V$34-Arbeitszeit!$A$6+1),(2*(ROW()-ROW(A_Endedatum))-1))),"")</f>
        <v/>
      </c>
      <c r="W45" s="541" t="str">
        <f>IF(W$34&gt;0,(INDEX(A_Aufgaben,(W$34-Arbeitszeit!$A$6+1),(2*(ROW()-ROW(A_Endedatum))-1))),"")</f>
        <v/>
      </c>
      <c r="X45" s="542" t="str">
        <f>IF(X$34&gt;0,(INDEX(A_Aufgaben,(X$34-Arbeitszeit!$A$6+1),(2*(ROW()-ROW(A_Endedatum))-1))),"")</f>
        <v/>
      </c>
      <c r="Y45" s="541" t="str">
        <f>IF(Y$34&gt;0,(INDEX(A_Aufgaben,(Y$34-Arbeitszeit!$A$6+1),(2*(ROW()-ROW(A_Endedatum))-1))),"")</f>
        <v/>
      </c>
      <c r="Z45" s="542" t="str">
        <f>IF(Z$34&gt;0,(INDEX(A_Aufgaben,(Z$34-Arbeitszeit!$A$6+1),(2*(ROW()-ROW(A_Endedatum))-1))),"")</f>
        <v/>
      </c>
      <c r="AA45" s="541" t="str">
        <f>IF(AA$34&gt;0,(INDEX(A_Aufgaben,(AA$34-Arbeitszeit!$A$6+1),(2*(ROW()-ROW(A_Endedatum))-1))),"")</f>
        <v/>
      </c>
      <c r="AB45" s="542" t="str">
        <f>IF(AB$34&gt;0,(INDEX(A_Aufgaben,(AB$34-Arbeitszeit!$A$6+1),(2*(ROW()-ROW(A_Endedatum))-1))),"")</f>
        <v/>
      </c>
      <c r="AC45" s="541" t="str">
        <f>IF(AC$34&gt;0,(INDEX(A_Aufgaben,(AC$34-Arbeitszeit!$A$6+1),(2*(ROW()-ROW(A_Endedatum))-1))),"")</f>
        <v/>
      </c>
      <c r="AD45" s="542" t="str">
        <f>IF(AD$34&gt;0,(INDEX(A_Aufgaben,(AD$34-Arbeitszeit!$A$6+1),(2*(ROW()-ROW(A_Endedatum))-1))),"")</f>
        <v/>
      </c>
      <c r="AE45" s="541" t="str">
        <f>IF(AE$34&gt;0,(INDEX(A_Aufgaben,(AE$34-Arbeitszeit!$A$6+1),(2*(ROW()-ROW(A_Endedatum))-1))),"")</f>
        <v/>
      </c>
      <c r="AF45" s="542" t="str">
        <f>IF(AF$34&gt;0,(INDEX(A_Aufgaben,(AF$34-Arbeitszeit!$A$6+1),(2*(ROW()-ROW(A_Endedatum))-1))),"")</f>
        <v/>
      </c>
      <c r="AG45" s="541" t="str">
        <f>IF(AG$34&gt;0,(INDEX(A_Aufgaben,(AG$34-Arbeitszeit!$A$6+1),(2*(ROW()-ROW(A_Endedatum))-1))),"")</f>
        <v/>
      </c>
      <c r="AH45" s="550">
        <f t="shared" si="7"/>
        <v>0</v>
      </c>
      <c r="AI45" s="3">
        <f t="shared" si="8"/>
        <v>0</v>
      </c>
      <c r="AJ45" s="571">
        <f t="shared" si="11"/>
        <v>0</v>
      </c>
    </row>
    <row r="46" spans="1:36" hidden="1" outlineLevel="1">
      <c r="A46">
        <f t="shared" si="9"/>
        <v>0</v>
      </c>
      <c r="B46" s="540" t="str">
        <f t="shared" si="10"/>
        <v>Aufgabe 09</v>
      </c>
      <c r="C46" s="541" t="str">
        <f>IF(C$34&gt;0,(INDEX(A_Aufgaben,(C$34-Arbeitszeit!$A$6+1),(2*(ROW()-ROW(A_Endedatum))-1))),"")</f>
        <v/>
      </c>
      <c r="D46" s="542" t="str">
        <f>IF(D$34&gt;0,(INDEX(A_Aufgaben,(D$34-Arbeitszeit!$A$6+1),(2*(ROW()-ROW(A_Endedatum))-1))),"")</f>
        <v/>
      </c>
      <c r="E46" s="541" t="str">
        <f>IF(E$34&gt;0,(INDEX(A_Aufgaben,(E$34-Arbeitszeit!$A$6+1),(2*(ROW()-ROW(A_Endedatum))-1))),"")</f>
        <v/>
      </c>
      <c r="F46" s="542" t="str">
        <f>IF(F$34&gt;0,(INDEX(A_Aufgaben,(F$34-Arbeitszeit!$A$6+1),(2*(ROW()-ROW(A_Endedatum))-1))),"")</f>
        <v/>
      </c>
      <c r="G46" s="541" t="str">
        <f>IF(G$34&gt;0,(INDEX(A_Aufgaben,(G$34-Arbeitszeit!$A$6+1),(2*(ROW()-ROW(A_Endedatum))-1))),"")</f>
        <v/>
      </c>
      <c r="H46" s="542" t="str">
        <f>IF(H$34&gt;0,(INDEX(A_Aufgaben,(H$34-Arbeitszeit!$A$6+1),(2*(ROW()-ROW(A_Endedatum))-1))),"")</f>
        <v/>
      </c>
      <c r="I46" s="541" t="str">
        <f>IF(I$34&gt;0,(INDEX(A_Aufgaben,(I$34-Arbeitszeit!$A$6+1),(2*(ROW()-ROW(A_Endedatum))-1))),"")</f>
        <v/>
      </c>
      <c r="J46" s="542" t="str">
        <f>IF(J$34&gt;0,(INDEX(A_Aufgaben,(J$34-Arbeitszeit!$A$6+1),(2*(ROW()-ROW(A_Endedatum))-1))),"")</f>
        <v/>
      </c>
      <c r="K46" s="541" t="str">
        <f>IF(K$34&gt;0,(INDEX(A_Aufgaben,(K$34-Arbeitszeit!$A$6+1),(2*(ROW()-ROW(A_Endedatum))-1))),"")</f>
        <v/>
      </c>
      <c r="L46" s="542" t="str">
        <f>IF(L$34&gt;0,(INDEX(A_Aufgaben,(L$34-Arbeitszeit!$A$6+1),(2*(ROW()-ROW(A_Endedatum))-1))),"")</f>
        <v/>
      </c>
      <c r="M46" s="541" t="str">
        <f>IF(M$34&gt;0,(INDEX(A_Aufgaben,(M$34-Arbeitszeit!$A$6+1),(2*(ROW()-ROW(A_Endedatum))-1))),"")</f>
        <v/>
      </c>
      <c r="N46" s="542" t="str">
        <f>IF(N$34&gt;0,(INDEX(A_Aufgaben,(N$34-Arbeitszeit!$A$6+1),(2*(ROW()-ROW(A_Endedatum))-1))),"")</f>
        <v/>
      </c>
      <c r="O46" s="541" t="str">
        <f>IF(O$34&gt;0,(INDEX(A_Aufgaben,(O$34-Arbeitszeit!$A$6+1),(2*(ROW()-ROW(A_Endedatum))-1))),"")</f>
        <v/>
      </c>
      <c r="P46" s="542" t="str">
        <f>IF(P$34&gt;0,(INDEX(A_Aufgaben,(P$34-Arbeitszeit!$A$6+1),(2*(ROW()-ROW(A_Endedatum))-1))),"")</f>
        <v/>
      </c>
      <c r="Q46" s="541" t="str">
        <f>IF(Q$34&gt;0,(INDEX(A_Aufgaben,(Q$34-Arbeitszeit!$A$6+1),(2*(ROW()-ROW(A_Endedatum))-1))),"")</f>
        <v/>
      </c>
      <c r="R46" s="542" t="str">
        <f>IF(R$34&gt;0,(INDEX(A_Aufgaben,(R$34-Arbeitszeit!$A$6+1),(2*(ROW()-ROW(A_Endedatum))-1))),"")</f>
        <v/>
      </c>
      <c r="S46" s="541" t="str">
        <f>IF(S$34&gt;0,(INDEX(A_Aufgaben,(S$34-Arbeitszeit!$A$6+1),(2*(ROW()-ROW(A_Endedatum))-1))),"")</f>
        <v/>
      </c>
      <c r="T46" s="542" t="str">
        <f>IF(T$34&gt;0,(INDEX(A_Aufgaben,(T$34-Arbeitszeit!$A$6+1),(2*(ROW()-ROW(A_Endedatum))-1))),"")</f>
        <v/>
      </c>
      <c r="U46" s="541" t="str">
        <f>IF(U$34&gt;0,(INDEX(A_Aufgaben,(U$34-Arbeitszeit!$A$6+1),(2*(ROW()-ROW(A_Endedatum))-1))),"")</f>
        <v/>
      </c>
      <c r="V46" s="542" t="str">
        <f>IF(V$34&gt;0,(INDEX(A_Aufgaben,(V$34-Arbeitszeit!$A$6+1),(2*(ROW()-ROW(A_Endedatum))-1))),"")</f>
        <v/>
      </c>
      <c r="W46" s="541" t="str">
        <f>IF(W$34&gt;0,(INDEX(A_Aufgaben,(W$34-Arbeitszeit!$A$6+1),(2*(ROW()-ROW(A_Endedatum))-1))),"")</f>
        <v/>
      </c>
      <c r="X46" s="542" t="str">
        <f>IF(X$34&gt;0,(INDEX(A_Aufgaben,(X$34-Arbeitszeit!$A$6+1),(2*(ROW()-ROW(A_Endedatum))-1))),"")</f>
        <v/>
      </c>
      <c r="Y46" s="541" t="str">
        <f>IF(Y$34&gt;0,(INDEX(A_Aufgaben,(Y$34-Arbeitszeit!$A$6+1),(2*(ROW()-ROW(A_Endedatum))-1))),"")</f>
        <v/>
      </c>
      <c r="Z46" s="542" t="str">
        <f>IF(Z$34&gt;0,(INDEX(A_Aufgaben,(Z$34-Arbeitszeit!$A$6+1),(2*(ROW()-ROW(A_Endedatum))-1))),"")</f>
        <v/>
      </c>
      <c r="AA46" s="541" t="str">
        <f>IF(AA$34&gt;0,(INDEX(A_Aufgaben,(AA$34-Arbeitszeit!$A$6+1),(2*(ROW()-ROW(A_Endedatum))-1))),"")</f>
        <v/>
      </c>
      <c r="AB46" s="542" t="str">
        <f>IF(AB$34&gt;0,(INDEX(A_Aufgaben,(AB$34-Arbeitszeit!$A$6+1),(2*(ROW()-ROW(A_Endedatum))-1))),"")</f>
        <v/>
      </c>
      <c r="AC46" s="541" t="str">
        <f>IF(AC$34&gt;0,(INDEX(A_Aufgaben,(AC$34-Arbeitszeit!$A$6+1),(2*(ROW()-ROW(A_Endedatum))-1))),"")</f>
        <v/>
      </c>
      <c r="AD46" s="542" t="str">
        <f>IF(AD$34&gt;0,(INDEX(A_Aufgaben,(AD$34-Arbeitszeit!$A$6+1),(2*(ROW()-ROW(A_Endedatum))-1))),"")</f>
        <v/>
      </c>
      <c r="AE46" s="541" t="str">
        <f>IF(AE$34&gt;0,(INDEX(A_Aufgaben,(AE$34-Arbeitszeit!$A$6+1),(2*(ROW()-ROW(A_Endedatum))-1))),"")</f>
        <v/>
      </c>
      <c r="AF46" s="542" t="str">
        <f>IF(AF$34&gt;0,(INDEX(A_Aufgaben,(AF$34-Arbeitszeit!$A$6+1),(2*(ROW()-ROW(A_Endedatum))-1))),"")</f>
        <v/>
      </c>
      <c r="AG46" s="541" t="str">
        <f>IF(AG$34&gt;0,(INDEX(A_Aufgaben,(AG$34-Arbeitszeit!$A$6+1),(2*(ROW()-ROW(A_Endedatum))-1))),"")</f>
        <v/>
      </c>
      <c r="AH46" s="550">
        <f t="shared" si="7"/>
        <v>0</v>
      </c>
      <c r="AI46" s="3">
        <f t="shared" si="8"/>
        <v>0</v>
      </c>
      <c r="AJ46" s="571">
        <f t="shared" si="11"/>
        <v>0</v>
      </c>
    </row>
    <row r="47" spans="1:36" hidden="1" outlineLevel="1">
      <c r="A47">
        <f t="shared" si="9"/>
        <v>0</v>
      </c>
      <c r="B47" s="540" t="str">
        <f t="shared" si="10"/>
        <v>Aufgabe 10</v>
      </c>
      <c r="C47" s="541" t="str">
        <f>IF(C$34&gt;0,(INDEX(A_Aufgaben,(C$34-Arbeitszeit!$A$6+1),(2*(ROW()-ROW(A_Endedatum))-1))),"")</f>
        <v/>
      </c>
      <c r="D47" s="542" t="str">
        <f>IF(D$34&gt;0,(INDEX(A_Aufgaben,(D$34-Arbeitszeit!$A$6+1),(2*(ROW()-ROW(A_Endedatum))-1))),"")</f>
        <v/>
      </c>
      <c r="E47" s="541" t="str">
        <f>IF(E$34&gt;0,(INDEX(A_Aufgaben,(E$34-Arbeitszeit!$A$6+1),(2*(ROW()-ROW(A_Endedatum))-1))),"")</f>
        <v/>
      </c>
      <c r="F47" s="542" t="str">
        <f>IF(F$34&gt;0,(INDEX(A_Aufgaben,(F$34-Arbeitszeit!$A$6+1),(2*(ROW()-ROW(A_Endedatum))-1))),"")</f>
        <v/>
      </c>
      <c r="G47" s="541" t="str">
        <f>IF(G$34&gt;0,(INDEX(A_Aufgaben,(G$34-Arbeitszeit!$A$6+1),(2*(ROW()-ROW(A_Endedatum))-1))),"")</f>
        <v/>
      </c>
      <c r="H47" s="542" t="str">
        <f>IF(H$34&gt;0,(INDEX(A_Aufgaben,(H$34-Arbeitszeit!$A$6+1),(2*(ROW()-ROW(A_Endedatum))-1))),"")</f>
        <v/>
      </c>
      <c r="I47" s="541" t="str">
        <f>IF(I$34&gt;0,(INDEX(A_Aufgaben,(I$34-Arbeitszeit!$A$6+1),(2*(ROW()-ROW(A_Endedatum))-1))),"")</f>
        <v/>
      </c>
      <c r="J47" s="542" t="str">
        <f>IF(J$34&gt;0,(INDEX(A_Aufgaben,(J$34-Arbeitszeit!$A$6+1),(2*(ROW()-ROW(A_Endedatum))-1))),"")</f>
        <v/>
      </c>
      <c r="K47" s="541" t="str">
        <f>IF(K$34&gt;0,(INDEX(A_Aufgaben,(K$34-Arbeitszeit!$A$6+1),(2*(ROW()-ROW(A_Endedatum))-1))),"")</f>
        <v/>
      </c>
      <c r="L47" s="542" t="str">
        <f>IF(L$34&gt;0,(INDEX(A_Aufgaben,(L$34-Arbeitszeit!$A$6+1),(2*(ROW()-ROW(A_Endedatum))-1))),"")</f>
        <v/>
      </c>
      <c r="M47" s="541" t="str">
        <f>IF(M$34&gt;0,(INDEX(A_Aufgaben,(M$34-Arbeitszeit!$A$6+1),(2*(ROW()-ROW(A_Endedatum))-1))),"")</f>
        <v/>
      </c>
      <c r="N47" s="542" t="str">
        <f>IF(N$34&gt;0,(INDEX(A_Aufgaben,(N$34-Arbeitszeit!$A$6+1),(2*(ROW()-ROW(A_Endedatum))-1))),"")</f>
        <v/>
      </c>
      <c r="O47" s="541" t="str">
        <f>IF(O$34&gt;0,(INDEX(A_Aufgaben,(O$34-Arbeitszeit!$A$6+1),(2*(ROW()-ROW(A_Endedatum))-1))),"")</f>
        <v/>
      </c>
      <c r="P47" s="542" t="str">
        <f>IF(P$34&gt;0,(INDEX(A_Aufgaben,(P$34-Arbeitszeit!$A$6+1),(2*(ROW()-ROW(A_Endedatum))-1))),"")</f>
        <v/>
      </c>
      <c r="Q47" s="541" t="str">
        <f>IF(Q$34&gt;0,(INDEX(A_Aufgaben,(Q$34-Arbeitszeit!$A$6+1),(2*(ROW()-ROW(A_Endedatum))-1))),"")</f>
        <v/>
      </c>
      <c r="R47" s="542" t="str">
        <f>IF(R$34&gt;0,(INDEX(A_Aufgaben,(R$34-Arbeitszeit!$A$6+1),(2*(ROW()-ROW(A_Endedatum))-1))),"")</f>
        <v/>
      </c>
      <c r="S47" s="541" t="str">
        <f>IF(S$34&gt;0,(INDEX(A_Aufgaben,(S$34-Arbeitszeit!$A$6+1),(2*(ROW()-ROW(A_Endedatum))-1))),"")</f>
        <v/>
      </c>
      <c r="T47" s="542" t="str">
        <f>IF(T$34&gt;0,(INDEX(A_Aufgaben,(T$34-Arbeitszeit!$A$6+1),(2*(ROW()-ROW(A_Endedatum))-1))),"")</f>
        <v/>
      </c>
      <c r="U47" s="541" t="str">
        <f>IF(U$34&gt;0,(INDEX(A_Aufgaben,(U$34-Arbeitszeit!$A$6+1),(2*(ROW()-ROW(A_Endedatum))-1))),"")</f>
        <v/>
      </c>
      <c r="V47" s="542" t="str">
        <f>IF(V$34&gt;0,(INDEX(A_Aufgaben,(V$34-Arbeitszeit!$A$6+1),(2*(ROW()-ROW(A_Endedatum))-1))),"")</f>
        <v/>
      </c>
      <c r="W47" s="541" t="str">
        <f>IF(W$34&gt;0,(INDEX(A_Aufgaben,(W$34-Arbeitszeit!$A$6+1),(2*(ROW()-ROW(A_Endedatum))-1))),"")</f>
        <v/>
      </c>
      <c r="X47" s="542" t="str">
        <f>IF(X$34&gt;0,(INDEX(A_Aufgaben,(X$34-Arbeitszeit!$A$6+1),(2*(ROW()-ROW(A_Endedatum))-1))),"")</f>
        <v/>
      </c>
      <c r="Y47" s="541" t="str">
        <f>IF(Y$34&gt;0,(INDEX(A_Aufgaben,(Y$34-Arbeitszeit!$A$6+1),(2*(ROW()-ROW(A_Endedatum))-1))),"")</f>
        <v/>
      </c>
      <c r="Z47" s="542" t="str">
        <f>IF(Z$34&gt;0,(INDEX(A_Aufgaben,(Z$34-Arbeitszeit!$A$6+1),(2*(ROW()-ROW(A_Endedatum))-1))),"")</f>
        <v/>
      </c>
      <c r="AA47" s="541" t="str">
        <f>IF(AA$34&gt;0,(INDEX(A_Aufgaben,(AA$34-Arbeitszeit!$A$6+1),(2*(ROW()-ROW(A_Endedatum))-1))),"")</f>
        <v/>
      </c>
      <c r="AB47" s="542" t="str">
        <f>IF(AB$34&gt;0,(INDEX(A_Aufgaben,(AB$34-Arbeitszeit!$A$6+1),(2*(ROW()-ROW(A_Endedatum))-1))),"")</f>
        <v/>
      </c>
      <c r="AC47" s="541" t="str">
        <f>IF(AC$34&gt;0,(INDEX(A_Aufgaben,(AC$34-Arbeitszeit!$A$6+1),(2*(ROW()-ROW(A_Endedatum))-1))),"")</f>
        <v/>
      </c>
      <c r="AD47" s="542" t="str">
        <f>IF(AD$34&gt;0,(INDEX(A_Aufgaben,(AD$34-Arbeitszeit!$A$6+1),(2*(ROW()-ROW(A_Endedatum))-1))),"")</f>
        <v/>
      </c>
      <c r="AE47" s="541" t="str">
        <f>IF(AE$34&gt;0,(INDEX(A_Aufgaben,(AE$34-Arbeitszeit!$A$6+1),(2*(ROW()-ROW(A_Endedatum))-1))),"")</f>
        <v/>
      </c>
      <c r="AF47" s="542" t="str">
        <f>IF(AF$34&gt;0,(INDEX(A_Aufgaben,(AF$34-Arbeitszeit!$A$6+1),(2*(ROW()-ROW(A_Endedatum))-1))),"")</f>
        <v/>
      </c>
      <c r="AG47" s="541" t="str">
        <f>IF(AG$34&gt;0,(INDEX(A_Aufgaben,(AG$34-Arbeitszeit!$A$6+1),(2*(ROW()-ROW(A_Endedatum))-1))),"")</f>
        <v/>
      </c>
      <c r="AH47" s="550">
        <f t="shared" si="7"/>
        <v>0</v>
      </c>
      <c r="AI47" s="3">
        <f t="shared" si="8"/>
        <v>0</v>
      </c>
      <c r="AJ47" s="571">
        <f t="shared" si="11"/>
        <v>0</v>
      </c>
    </row>
    <row r="48" spans="1:36" hidden="1" outlineLevel="1">
      <c r="A48">
        <f t="shared" si="9"/>
        <v>0</v>
      </c>
      <c r="B48" s="540" t="str">
        <f t="shared" si="10"/>
        <v>Aufgabe 11</v>
      </c>
      <c r="C48" s="541" t="str">
        <f>IF(C$34&gt;0,(INDEX(A_Aufgaben,(C$34-Arbeitszeit!$A$6+1),(2*(ROW()-ROW(A_Endedatum))-1))),"")</f>
        <v/>
      </c>
      <c r="D48" s="542" t="str">
        <f>IF(D$34&gt;0,(INDEX(A_Aufgaben,(D$34-Arbeitszeit!$A$6+1),(2*(ROW()-ROW(A_Endedatum))-1))),"")</f>
        <v/>
      </c>
      <c r="E48" s="541" t="str">
        <f>IF(E$34&gt;0,(INDEX(A_Aufgaben,(E$34-Arbeitszeit!$A$6+1),(2*(ROW()-ROW(A_Endedatum))-1))),"")</f>
        <v/>
      </c>
      <c r="F48" s="542" t="str">
        <f>IF(F$34&gt;0,(INDEX(A_Aufgaben,(F$34-Arbeitszeit!$A$6+1),(2*(ROW()-ROW(A_Endedatum))-1))),"")</f>
        <v/>
      </c>
      <c r="G48" s="541" t="str">
        <f>IF(G$34&gt;0,(INDEX(A_Aufgaben,(G$34-Arbeitszeit!$A$6+1),(2*(ROW()-ROW(A_Endedatum))-1))),"")</f>
        <v/>
      </c>
      <c r="H48" s="542" t="str">
        <f>IF(H$34&gt;0,(INDEX(A_Aufgaben,(H$34-Arbeitszeit!$A$6+1),(2*(ROW()-ROW(A_Endedatum))-1))),"")</f>
        <v/>
      </c>
      <c r="I48" s="541" t="str">
        <f>IF(I$34&gt;0,(INDEX(A_Aufgaben,(I$34-Arbeitszeit!$A$6+1),(2*(ROW()-ROW(A_Endedatum))-1))),"")</f>
        <v/>
      </c>
      <c r="J48" s="542" t="str">
        <f>IF(J$34&gt;0,(INDEX(A_Aufgaben,(J$34-Arbeitszeit!$A$6+1),(2*(ROW()-ROW(A_Endedatum))-1))),"")</f>
        <v/>
      </c>
      <c r="K48" s="541" t="str">
        <f>IF(K$34&gt;0,(INDEX(A_Aufgaben,(K$34-Arbeitszeit!$A$6+1),(2*(ROW()-ROW(A_Endedatum))-1))),"")</f>
        <v/>
      </c>
      <c r="L48" s="542" t="str">
        <f>IF(L$34&gt;0,(INDEX(A_Aufgaben,(L$34-Arbeitszeit!$A$6+1),(2*(ROW()-ROW(A_Endedatum))-1))),"")</f>
        <v/>
      </c>
      <c r="M48" s="541" t="str">
        <f>IF(M$34&gt;0,(INDEX(A_Aufgaben,(M$34-Arbeitszeit!$A$6+1),(2*(ROW()-ROW(A_Endedatum))-1))),"")</f>
        <v/>
      </c>
      <c r="N48" s="542" t="str">
        <f>IF(N$34&gt;0,(INDEX(A_Aufgaben,(N$34-Arbeitszeit!$A$6+1),(2*(ROW()-ROW(A_Endedatum))-1))),"")</f>
        <v/>
      </c>
      <c r="O48" s="541" t="str">
        <f>IF(O$34&gt;0,(INDEX(A_Aufgaben,(O$34-Arbeitszeit!$A$6+1),(2*(ROW()-ROW(A_Endedatum))-1))),"")</f>
        <v/>
      </c>
      <c r="P48" s="542" t="str">
        <f>IF(P$34&gt;0,(INDEX(A_Aufgaben,(P$34-Arbeitszeit!$A$6+1),(2*(ROW()-ROW(A_Endedatum))-1))),"")</f>
        <v/>
      </c>
      <c r="Q48" s="541" t="str">
        <f>IF(Q$34&gt;0,(INDEX(A_Aufgaben,(Q$34-Arbeitszeit!$A$6+1),(2*(ROW()-ROW(A_Endedatum))-1))),"")</f>
        <v/>
      </c>
      <c r="R48" s="542" t="str">
        <f>IF(R$34&gt;0,(INDEX(A_Aufgaben,(R$34-Arbeitszeit!$A$6+1),(2*(ROW()-ROW(A_Endedatum))-1))),"")</f>
        <v/>
      </c>
      <c r="S48" s="541" t="str">
        <f>IF(S$34&gt;0,(INDEX(A_Aufgaben,(S$34-Arbeitszeit!$A$6+1),(2*(ROW()-ROW(A_Endedatum))-1))),"")</f>
        <v/>
      </c>
      <c r="T48" s="542" t="str">
        <f>IF(T$34&gt;0,(INDEX(A_Aufgaben,(T$34-Arbeitszeit!$A$6+1),(2*(ROW()-ROW(A_Endedatum))-1))),"")</f>
        <v/>
      </c>
      <c r="U48" s="541" t="str">
        <f>IF(U$34&gt;0,(INDEX(A_Aufgaben,(U$34-Arbeitszeit!$A$6+1),(2*(ROW()-ROW(A_Endedatum))-1))),"")</f>
        <v/>
      </c>
      <c r="V48" s="542" t="str">
        <f>IF(V$34&gt;0,(INDEX(A_Aufgaben,(V$34-Arbeitszeit!$A$6+1),(2*(ROW()-ROW(A_Endedatum))-1))),"")</f>
        <v/>
      </c>
      <c r="W48" s="541" t="str">
        <f>IF(W$34&gt;0,(INDEX(A_Aufgaben,(W$34-Arbeitszeit!$A$6+1),(2*(ROW()-ROW(A_Endedatum))-1))),"")</f>
        <v/>
      </c>
      <c r="X48" s="542" t="str">
        <f>IF(X$34&gt;0,(INDEX(A_Aufgaben,(X$34-Arbeitszeit!$A$6+1),(2*(ROW()-ROW(A_Endedatum))-1))),"")</f>
        <v/>
      </c>
      <c r="Y48" s="541" t="str">
        <f>IF(Y$34&gt;0,(INDEX(A_Aufgaben,(Y$34-Arbeitszeit!$A$6+1),(2*(ROW()-ROW(A_Endedatum))-1))),"")</f>
        <v/>
      </c>
      <c r="Z48" s="542" t="str">
        <f>IF(Z$34&gt;0,(INDEX(A_Aufgaben,(Z$34-Arbeitszeit!$A$6+1),(2*(ROW()-ROW(A_Endedatum))-1))),"")</f>
        <v/>
      </c>
      <c r="AA48" s="541" t="str">
        <f>IF(AA$34&gt;0,(INDEX(A_Aufgaben,(AA$34-Arbeitszeit!$A$6+1),(2*(ROW()-ROW(A_Endedatum))-1))),"")</f>
        <v/>
      </c>
      <c r="AB48" s="542" t="str">
        <f>IF(AB$34&gt;0,(INDEX(A_Aufgaben,(AB$34-Arbeitszeit!$A$6+1),(2*(ROW()-ROW(A_Endedatum))-1))),"")</f>
        <v/>
      </c>
      <c r="AC48" s="541" t="str">
        <f>IF(AC$34&gt;0,(INDEX(A_Aufgaben,(AC$34-Arbeitszeit!$A$6+1),(2*(ROW()-ROW(A_Endedatum))-1))),"")</f>
        <v/>
      </c>
      <c r="AD48" s="542" t="str">
        <f>IF(AD$34&gt;0,(INDEX(A_Aufgaben,(AD$34-Arbeitszeit!$A$6+1),(2*(ROW()-ROW(A_Endedatum))-1))),"")</f>
        <v/>
      </c>
      <c r="AE48" s="541" t="str">
        <f>IF(AE$34&gt;0,(INDEX(A_Aufgaben,(AE$34-Arbeitszeit!$A$6+1),(2*(ROW()-ROW(A_Endedatum))-1))),"")</f>
        <v/>
      </c>
      <c r="AF48" s="542" t="str">
        <f>IF(AF$34&gt;0,(INDEX(A_Aufgaben,(AF$34-Arbeitszeit!$A$6+1),(2*(ROW()-ROW(A_Endedatum))-1))),"")</f>
        <v/>
      </c>
      <c r="AG48" s="541" t="str">
        <f>IF(AG$34&gt;0,(INDEX(A_Aufgaben,(AG$34-Arbeitszeit!$A$6+1),(2*(ROW()-ROW(A_Endedatum))-1))),"")</f>
        <v/>
      </c>
      <c r="AH48" s="550">
        <f t="shared" si="7"/>
        <v>0</v>
      </c>
      <c r="AI48" s="3">
        <f t="shared" si="8"/>
        <v>0</v>
      </c>
      <c r="AJ48" s="571">
        <f t="shared" si="11"/>
        <v>0</v>
      </c>
    </row>
    <row r="49" spans="1:36" hidden="1" outlineLevel="1">
      <c r="A49">
        <f t="shared" si="9"/>
        <v>0</v>
      </c>
      <c r="B49" s="540" t="str">
        <f t="shared" si="10"/>
        <v>Aufgabe 12</v>
      </c>
      <c r="C49" s="541" t="str">
        <f>IF(C$34&gt;0,(INDEX(A_Aufgaben,(C$34-Arbeitszeit!$A$6+1),(2*(ROW()-ROW(A_Endedatum))-1))),"")</f>
        <v/>
      </c>
      <c r="D49" s="542" t="str">
        <f>IF(D$34&gt;0,(INDEX(A_Aufgaben,(D$34-Arbeitszeit!$A$6+1),(2*(ROW()-ROW(A_Endedatum))-1))),"")</f>
        <v/>
      </c>
      <c r="E49" s="541" t="str">
        <f>IF(E$34&gt;0,(INDEX(A_Aufgaben,(E$34-Arbeitszeit!$A$6+1),(2*(ROW()-ROW(A_Endedatum))-1))),"")</f>
        <v/>
      </c>
      <c r="F49" s="542" t="str">
        <f>IF(F$34&gt;0,(INDEX(A_Aufgaben,(F$34-Arbeitszeit!$A$6+1),(2*(ROW()-ROW(A_Endedatum))-1))),"")</f>
        <v/>
      </c>
      <c r="G49" s="541" t="str">
        <f>IF(G$34&gt;0,(INDEX(A_Aufgaben,(G$34-Arbeitszeit!$A$6+1),(2*(ROW()-ROW(A_Endedatum))-1))),"")</f>
        <v/>
      </c>
      <c r="H49" s="542" t="str">
        <f>IF(H$34&gt;0,(INDEX(A_Aufgaben,(H$34-Arbeitszeit!$A$6+1),(2*(ROW()-ROW(A_Endedatum))-1))),"")</f>
        <v/>
      </c>
      <c r="I49" s="541" t="str">
        <f>IF(I$34&gt;0,(INDEX(A_Aufgaben,(I$34-Arbeitszeit!$A$6+1),(2*(ROW()-ROW(A_Endedatum))-1))),"")</f>
        <v/>
      </c>
      <c r="J49" s="542" t="str">
        <f>IF(J$34&gt;0,(INDEX(A_Aufgaben,(J$34-Arbeitszeit!$A$6+1),(2*(ROW()-ROW(A_Endedatum))-1))),"")</f>
        <v/>
      </c>
      <c r="K49" s="541" t="str">
        <f>IF(K$34&gt;0,(INDEX(A_Aufgaben,(K$34-Arbeitszeit!$A$6+1),(2*(ROW()-ROW(A_Endedatum))-1))),"")</f>
        <v/>
      </c>
      <c r="L49" s="542" t="str">
        <f>IF(L$34&gt;0,(INDEX(A_Aufgaben,(L$34-Arbeitszeit!$A$6+1),(2*(ROW()-ROW(A_Endedatum))-1))),"")</f>
        <v/>
      </c>
      <c r="M49" s="541" t="str">
        <f>IF(M$34&gt;0,(INDEX(A_Aufgaben,(M$34-Arbeitszeit!$A$6+1),(2*(ROW()-ROW(A_Endedatum))-1))),"")</f>
        <v/>
      </c>
      <c r="N49" s="542" t="str">
        <f>IF(N$34&gt;0,(INDEX(A_Aufgaben,(N$34-Arbeitszeit!$A$6+1),(2*(ROW()-ROW(A_Endedatum))-1))),"")</f>
        <v/>
      </c>
      <c r="O49" s="541" t="str">
        <f>IF(O$34&gt;0,(INDEX(A_Aufgaben,(O$34-Arbeitszeit!$A$6+1),(2*(ROW()-ROW(A_Endedatum))-1))),"")</f>
        <v/>
      </c>
      <c r="P49" s="542" t="str">
        <f>IF(P$34&gt;0,(INDEX(A_Aufgaben,(P$34-Arbeitszeit!$A$6+1),(2*(ROW()-ROW(A_Endedatum))-1))),"")</f>
        <v/>
      </c>
      <c r="Q49" s="541" t="str">
        <f>IF(Q$34&gt;0,(INDEX(A_Aufgaben,(Q$34-Arbeitszeit!$A$6+1),(2*(ROW()-ROW(A_Endedatum))-1))),"")</f>
        <v/>
      </c>
      <c r="R49" s="542" t="str">
        <f>IF(R$34&gt;0,(INDEX(A_Aufgaben,(R$34-Arbeitszeit!$A$6+1),(2*(ROW()-ROW(A_Endedatum))-1))),"")</f>
        <v/>
      </c>
      <c r="S49" s="541" t="str">
        <f>IF(S$34&gt;0,(INDEX(A_Aufgaben,(S$34-Arbeitszeit!$A$6+1),(2*(ROW()-ROW(A_Endedatum))-1))),"")</f>
        <v/>
      </c>
      <c r="T49" s="542" t="str">
        <f>IF(T$34&gt;0,(INDEX(A_Aufgaben,(T$34-Arbeitszeit!$A$6+1),(2*(ROW()-ROW(A_Endedatum))-1))),"")</f>
        <v/>
      </c>
      <c r="U49" s="541" t="str">
        <f>IF(U$34&gt;0,(INDEX(A_Aufgaben,(U$34-Arbeitszeit!$A$6+1),(2*(ROW()-ROW(A_Endedatum))-1))),"")</f>
        <v/>
      </c>
      <c r="V49" s="542" t="str">
        <f>IF(V$34&gt;0,(INDEX(A_Aufgaben,(V$34-Arbeitszeit!$A$6+1),(2*(ROW()-ROW(A_Endedatum))-1))),"")</f>
        <v/>
      </c>
      <c r="W49" s="541" t="str">
        <f>IF(W$34&gt;0,(INDEX(A_Aufgaben,(W$34-Arbeitszeit!$A$6+1),(2*(ROW()-ROW(A_Endedatum))-1))),"")</f>
        <v/>
      </c>
      <c r="X49" s="542" t="str">
        <f>IF(X$34&gt;0,(INDEX(A_Aufgaben,(X$34-Arbeitszeit!$A$6+1),(2*(ROW()-ROW(A_Endedatum))-1))),"")</f>
        <v/>
      </c>
      <c r="Y49" s="541" t="str">
        <f>IF(Y$34&gt;0,(INDEX(A_Aufgaben,(Y$34-Arbeitszeit!$A$6+1),(2*(ROW()-ROW(A_Endedatum))-1))),"")</f>
        <v/>
      </c>
      <c r="Z49" s="542" t="str">
        <f>IF(Z$34&gt;0,(INDEX(A_Aufgaben,(Z$34-Arbeitszeit!$A$6+1),(2*(ROW()-ROW(A_Endedatum))-1))),"")</f>
        <v/>
      </c>
      <c r="AA49" s="541" t="str">
        <f>IF(AA$34&gt;0,(INDEX(A_Aufgaben,(AA$34-Arbeitszeit!$A$6+1),(2*(ROW()-ROW(A_Endedatum))-1))),"")</f>
        <v/>
      </c>
      <c r="AB49" s="542" t="str">
        <f>IF(AB$34&gt;0,(INDEX(A_Aufgaben,(AB$34-Arbeitszeit!$A$6+1),(2*(ROW()-ROW(A_Endedatum))-1))),"")</f>
        <v/>
      </c>
      <c r="AC49" s="541" t="str">
        <f>IF(AC$34&gt;0,(INDEX(A_Aufgaben,(AC$34-Arbeitszeit!$A$6+1),(2*(ROW()-ROW(A_Endedatum))-1))),"")</f>
        <v/>
      </c>
      <c r="AD49" s="542" t="str">
        <f>IF(AD$34&gt;0,(INDEX(A_Aufgaben,(AD$34-Arbeitszeit!$A$6+1),(2*(ROW()-ROW(A_Endedatum))-1))),"")</f>
        <v/>
      </c>
      <c r="AE49" s="541" t="str">
        <f>IF(AE$34&gt;0,(INDEX(A_Aufgaben,(AE$34-Arbeitszeit!$A$6+1),(2*(ROW()-ROW(A_Endedatum))-1))),"")</f>
        <v/>
      </c>
      <c r="AF49" s="542" t="str">
        <f>IF(AF$34&gt;0,(INDEX(A_Aufgaben,(AF$34-Arbeitszeit!$A$6+1),(2*(ROW()-ROW(A_Endedatum))-1))),"")</f>
        <v/>
      </c>
      <c r="AG49" s="541" t="str">
        <f>IF(AG$34&gt;0,(INDEX(A_Aufgaben,(AG$34-Arbeitszeit!$A$6+1),(2*(ROW()-ROW(A_Endedatum))-1))),"")</f>
        <v/>
      </c>
      <c r="AH49" s="550">
        <f t="shared" si="7"/>
        <v>0</v>
      </c>
      <c r="AI49" s="3">
        <f t="shared" si="8"/>
        <v>0</v>
      </c>
      <c r="AJ49" s="571">
        <f t="shared" si="11"/>
        <v>0</v>
      </c>
    </row>
    <row r="50" spans="1:36" hidden="1" outlineLevel="1">
      <c r="A50">
        <f t="shared" si="9"/>
        <v>0</v>
      </c>
      <c r="B50" s="540" t="str">
        <f t="shared" si="10"/>
        <v>Aufgabe 13</v>
      </c>
      <c r="C50" s="541" t="str">
        <f>IF(C$34&gt;0,(INDEX(A_Aufgaben,(C$34-Arbeitszeit!$A$6+1),(2*(ROW()-ROW(A_Endedatum))-1))),"")</f>
        <v/>
      </c>
      <c r="D50" s="542" t="str">
        <f>IF(D$34&gt;0,(INDEX(A_Aufgaben,(D$34-Arbeitszeit!$A$6+1),(2*(ROW()-ROW(A_Endedatum))-1))),"")</f>
        <v/>
      </c>
      <c r="E50" s="541" t="str">
        <f>IF(E$34&gt;0,(INDEX(A_Aufgaben,(E$34-Arbeitszeit!$A$6+1),(2*(ROW()-ROW(A_Endedatum))-1))),"")</f>
        <v/>
      </c>
      <c r="F50" s="542" t="str">
        <f>IF(F$34&gt;0,(INDEX(A_Aufgaben,(F$34-Arbeitszeit!$A$6+1),(2*(ROW()-ROW(A_Endedatum))-1))),"")</f>
        <v/>
      </c>
      <c r="G50" s="541" t="str">
        <f>IF(G$34&gt;0,(INDEX(A_Aufgaben,(G$34-Arbeitszeit!$A$6+1),(2*(ROW()-ROW(A_Endedatum))-1))),"")</f>
        <v/>
      </c>
      <c r="H50" s="542" t="str">
        <f>IF(H$34&gt;0,(INDEX(A_Aufgaben,(H$34-Arbeitszeit!$A$6+1),(2*(ROW()-ROW(A_Endedatum))-1))),"")</f>
        <v/>
      </c>
      <c r="I50" s="541" t="str">
        <f>IF(I$34&gt;0,(INDEX(A_Aufgaben,(I$34-Arbeitszeit!$A$6+1),(2*(ROW()-ROW(A_Endedatum))-1))),"")</f>
        <v/>
      </c>
      <c r="J50" s="542" t="str">
        <f>IF(J$34&gt;0,(INDEX(A_Aufgaben,(J$34-Arbeitszeit!$A$6+1),(2*(ROW()-ROW(A_Endedatum))-1))),"")</f>
        <v/>
      </c>
      <c r="K50" s="541" t="str">
        <f>IF(K$34&gt;0,(INDEX(A_Aufgaben,(K$34-Arbeitszeit!$A$6+1),(2*(ROW()-ROW(A_Endedatum))-1))),"")</f>
        <v/>
      </c>
      <c r="L50" s="542" t="str">
        <f>IF(L$34&gt;0,(INDEX(A_Aufgaben,(L$34-Arbeitszeit!$A$6+1),(2*(ROW()-ROW(A_Endedatum))-1))),"")</f>
        <v/>
      </c>
      <c r="M50" s="541" t="str">
        <f>IF(M$34&gt;0,(INDEX(A_Aufgaben,(M$34-Arbeitszeit!$A$6+1),(2*(ROW()-ROW(A_Endedatum))-1))),"")</f>
        <v/>
      </c>
      <c r="N50" s="542" t="str">
        <f>IF(N$34&gt;0,(INDEX(A_Aufgaben,(N$34-Arbeitszeit!$A$6+1),(2*(ROW()-ROW(A_Endedatum))-1))),"")</f>
        <v/>
      </c>
      <c r="O50" s="541" t="str">
        <f>IF(O$34&gt;0,(INDEX(A_Aufgaben,(O$34-Arbeitszeit!$A$6+1),(2*(ROW()-ROW(A_Endedatum))-1))),"")</f>
        <v/>
      </c>
      <c r="P50" s="542" t="str">
        <f>IF(P$34&gt;0,(INDEX(A_Aufgaben,(P$34-Arbeitszeit!$A$6+1),(2*(ROW()-ROW(A_Endedatum))-1))),"")</f>
        <v/>
      </c>
      <c r="Q50" s="541" t="str">
        <f>IF(Q$34&gt;0,(INDEX(A_Aufgaben,(Q$34-Arbeitszeit!$A$6+1),(2*(ROW()-ROW(A_Endedatum))-1))),"")</f>
        <v/>
      </c>
      <c r="R50" s="542" t="str">
        <f>IF(R$34&gt;0,(INDEX(A_Aufgaben,(R$34-Arbeitszeit!$A$6+1),(2*(ROW()-ROW(A_Endedatum))-1))),"")</f>
        <v/>
      </c>
      <c r="S50" s="541" t="str">
        <f>IF(S$34&gt;0,(INDEX(A_Aufgaben,(S$34-Arbeitszeit!$A$6+1),(2*(ROW()-ROW(A_Endedatum))-1))),"")</f>
        <v/>
      </c>
      <c r="T50" s="542" t="str">
        <f>IF(T$34&gt;0,(INDEX(A_Aufgaben,(T$34-Arbeitszeit!$A$6+1),(2*(ROW()-ROW(A_Endedatum))-1))),"")</f>
        <v/>
      </c>
      <c r="U50" s="541" t="str">
        <f>IF(U$34&gt;0,(INDEX(A_Aufgaben,(U$34-Arbeitszeit!$A$6+1),(2*(ROW()-ROW(A_Endedatum))-1))),"")</f>
        <v/>
      </c>
      <c r="V50" s="542" t="str">
        <f>IF(V$34&gt;0,(INDEX(A_Aufgaben,(V$34-Arbeitszeit!$A$6+1),(2*(ROW()-ROW(A_Endedatum))-1))),"")</f>
        <v/>
      </c>
      <c r="W50" s="541" t="str">
        <f>IF(W$34&gt;0,(INDEX(A_Aufgaben,(W$34-Arbeitszeit!$A$6+1),(2*(ROW()-ROW(A_Endedatum))-1))),"")</f>
        <v/>
      </c>
      <c r="X50" s="542" t="str">
        <f>IF(X$34&gt;0,(INDEX(A_Aufgaben,(X$34-Arbeitszeit!$A$6+1),(2*(ROW()-ROW(A_Endedatum))-1))),"")</f>
        <v/>
      </c>
      <c r="Y50" s="541" t="str">
        <f>IF(Y$34&gt;0,(INDEX(A_Aufgaben,(Y$34-Arbeitszeit!$A$6+1),(2*(ROW()-ROW(A_Endedatum))-1))),"")</f>
        <v/>
      </c>
      <c r="Z50" s="542" t="str">
        <f>IF(Z$34&gt;0,(INDEX(A_Aufgaben,(Z$34-Arbeitszeit!$A$6+1),(2*(ROW()-ROW(A_Endedatum))-1))),"")</f>
        <v/>
      </c>
      <c r="AA50" s="541" t="str">
        <f>IF(AA$34&gt;0,(INDEX(A_Aufgaben,(AA$34-Arbeitszeit!$A$6+1),(2*(ROW()-ROW(A_Endedatum))-1))),"")</f>
        <v/>
      </c>
      <c r="AB50" s="542" t="str">
        <f>IF(AB$34&gt;0,(INDEX(A_Aufgaben,(AB$34-Arbeitszeit!$A$6+1),(2*(ROW()-ROW(A_Endedatum))-1))),"")</f>
        <v/>
      </c>
      <c r="AC50" s="541" t="str">
        <f>IF(AC$34&gt;0,(INDEX(A_Aufgaben,(AC$34-Arbeitszeit!$A$6+1),(2*(ROW()-ROW(A_Endedatum))-1))),"")</f>
        <v/>
      </c>
      <c r="AD50" s="542" t="str">
        <f>IF(AD$34&gt;0,(INDEX(A_Aufgaben,(AD$34-Arbeitszeit!$A$6+1),(2*(ROW()-ROW(A_Endedatum))-1))),"")</f>
        <v/>
      </c>
      <c r="AE50" s="541" t="str">
        <f>IF(AE$34&gt;0,(INDEX(A_Aufgaben,(AE$34-Arbeitszeit!$A$6+1),(2*(ROW()-ROW(A_Endedatum))-1))),"")</f>
        <v/>
      </c>
      <c r="AF50" s="542" t="str">
        <f>IF(AF$34&gt;0,(INDEX(A_Aufgaben,(AF$34-Arbeitszeit!$A$6+1),(2*(ROW()-ROW(A_Endedatum))-1))),"")</f>
        <v/>
      </c>
      <c r="AG50" s="541" t="str">
        <f>IF(AG$34&gt;0,(INDEX(A_Aufgaben,(AG$34-Arbeitszeit!$A$6+1),(2*(ROW()-ROW(A_Endedatum))-1))),"")</f>
        <v/>
      </c>
      <c r="AH50" s="550">
        <f t="shared" si="7"/>
        <v>0</v>
      </c>
      <c r="AI50" s="3">
        <f t="shared" si="8"/>
        <v>0</v>
      </c>
      <c r="AJ50" s="571">
        <f t="shared" si="11"/>
        <v>0</v>
      </c>
    </row>
    <row r="51" spans="1:36" hidden="1" outlineLevel="1">
      <c r="A51">
        <f t="shared" si="9"/>
        <v>0</v>
      </c>
      <c r="B51" s="540" t="str">
        <f t="shared" si="10"/>
        <v>Aufgabe 14</v>
      </c>
      <c r="C51" s="541" t="str">
        <f>IF(C$34&gt;0,(INDEX(A_Aufgaben,(C$34-Arbeitszeit!$A$6+1),(2*(ROW()-ROW(A_Endedatum))-1))),"")</f>
        <v/>
      </c>
      <c r="D51" s="542" t="str">
        <f>IF(D$34&gt;0,(INDEX(A_Aufgaben,(D$34-Arbeitszeit!$A$6+1),(2*(ROW()-ROW(A_Endedatum))-1))),"")</f>
        <v/>
      </c>
      <c r="E51" s="541" t="str">
        <f>IF(E$34&gt;0,(INDEX(A_Aufgaben,(E$34-Arbeitszeit!$A$6+1),(2*(ROW()-ROW(A_Endedatum))-1))),"")</f>
        <v/>
      </c>
      <c r="F51" s="542" t="str">
        <f>IF(F$34&gt;0,(INDEX(A_Aufgaben,(F$34-Arbeitszeit!$A$6+1),(2*(ROW()-ROW(A_Endedatum))-1))),"")</f>
        <v/>
      </c>
      <c r="G51" s="541" t="str">
        <f>IF(G$34&gt;0,(INDEX(A_Aufgaben,(G$34-Arbeitszeit!$A$6+1),(2*(ROW()-ROW(A_Endedatum))-1))),"")</f>
        <v/>
      </c>
      <c r="H51" s="542" t="str">
        <f>IF(H$34&gt;0,(INDEX(A_Aufgaben,(H$34-Arbeitszeit!$A$6+1),(2*(ROW()-ROW(A_Endedatum))-1))),"")</f>
        <v/>
      </c>
      <c r="I51" s="541" t="str">
        <f>IF(I$34&gt;0,(INDEX(A_Aufgaben,(I$34-Arbeitszeit!$A$6+1),(2*(ROW()-ROW(A_Endedatum))-1))),"")</f>
        <v/>
      </c>
      <c r="J51" s="542" t="str">
        <f>IF(J$34&gt;0,(INDEX(A_Aufgaben,(J$34-Arbeitszeit!$A$6+1),(2*(ROW()-ROW(A_Endedatum))-1))),"")</f>
        <v/>
      </c>
      <c r="K51" s="541" t="str">
        <f>IF(K$34&gt;0,(INDEX(A_Aufgaben,(K$34-Arbeitszeit!$A$6+1),(2*(ROW()-ROW(A_Endedatum))-1))),"")</f>
        <v/>
      </c>
      <c r="L51" s="542" t="str">
        <f>IF(L$34&gt;0,(INDEX(A_Aufgaben,(L$34-Arbeitszeit!$A$6+1),(2*(ROW()-ROW(A_Endedatum))-1))),"")</f>
        <v/>
      </c>
      <c r="M51" s="541" t="str">
        <f>IF(M$34&gt;0,(INDEX(A_Aufgaben,(M$34-Arbeitszeit!$A$6+1),(2*(ROW()-ROW(A_Endedatum))-1))),"")</f>
        <v/>
      </c>
      <c r="N51" s="542" t="str">
        <f>IF(N$34&gt;0,(INDEX(A_Aufgaben,(N$34-Arbeitszeit!$A$6+1),(2*(ROW()-ROW(A_Endedatum))-1))),"")</f>
        <v/>
      </c>
      <c r="O51" s="541" t="str">
        <f>IF(O$34&gt;0,(INDEX(A_Aufgaben,(O$34-Arbeitszeit!$A$6+1),(2*(ROW()-ROW(A_Endedatum))-1))),"")</f>
        <v/>
      </c>
      <c r="P51" s="542" t="str">
        <f>IF(P$34&gt;0,(INDEX(A_Aufgaben,(P$34-Arbeitszeit!$A$6+1),(2*(ROW()-ROW(A_Endedatum))-1))),"")</f>
        <v/>
      </c>
      <c r="Q51" s="541" t="str">
        <f>IF(Q$34&gt;0,(INDEX(A_Aufgaben,(Q$34-Arbeitszeit!$A$6+1),(2*(ROW()-ROW(A_Endedatum))-1))),"")</f>
        <v/>
      </c>
      <c r="R51" s="542" t="str">
        <f>IF(R$34&gt;0,(INDEX(A_Aufgaben,(R$34-Arbeitszeit!$A$6+1),(2*(ROW()-ROW(A_Endedatum))-1))),"")</f>
        <v/>
      </c>
      <c r="S51" s="541" t="str">
        <f>IF(S$34&gt;0,(INDEX(A_Aufgaben,(S$34-Arbeitszeit!$A$6+1),(2*(ROW()-ROW(A_Endedatum))-1))),"")</f>
        <v/>
      </c>
      <c r="T51" s="542" t="str">
        <f>IF(T$34&gt;0,(INDEX(A_Aufgaben,(T$34-Arbeitszeit!$A$6+1),(2*(ROW()-ROW(A_Endedatum))-1))),"")</f>
        <v/>
      </c>
      <c r="U51" s="541" t="str">
        <f>IF(U$34&gt;0,(INDEX(A_Aufgaben,(U$34-Arbeitszeit!$A$6+1),(2*(ROW()-ROW(A_Endedatum))-1))),"")</f>
        <v/>
      </c>
      <c r="V51" s="542" t="str">
        <f>IF(V$34&gt;0,(INDEX(A_Aufgaben,(V$34-Arbeitszeit!$A$6+1),(2*(ROW()-ROW(A_Endedatum))-1))),"")</f>
        <v/>
      </c>
      <c r="W51" s="541" t="str">
        <f>IF(W$34&gt;0,(INDEX(A_Aufgaben,(W$34-Arbeitszeit!$A$6+1),(2*(ROW()-ROW(A_Endedatum))-1))),"")</f>
        <v/>
      </c>
      <c r="X51" s="542" t="str">
        <f>IF(X$34&gt;0,(INDEX(A_Aufgaben,(X$34-Arbeitszeit!$A$6+1),(2*(ROW()-ROW(A_Endedatum))-1))),"")</f>
        <v/>
      </c>
      <c r="Y51" s="541" t="str">
        <f>IF(Y$34&gt;0,(INDEX(A_Aufgaben,(Y$34-Arbeitszeit!$A$6+1),(2*(ROW()-ROW(A_Endedatum))-1))),"")</f>
        <v/>
      </c>
      <c r="Z51" s="542" t="str">
        <f>IF(Z$34&gt;0,(INDEX(A_Aufgaben,(Z$34-Arbeitszeit!$A$6+1),(2*(ROW()-ROW(A_Endedatum))-1))),"")</f>
        <v/>
      </c>
      <c r="AA51" s="541" t="str">
        <f>IF(AA$34&gt;0,(INDEX(A_Aufgaben,(AA$34-Arbeitszeit!$A$6+1),(2*(ROW()-ROW(A_Endedatum))-1))),"")</f>
        <v/>
      </c>
      <c r="AB51" s="542" t="str">
        <f>IF(AB$34&gt;0,(INDEX(A_Aufgaben,(AB$34-Arbeitszeit!$A$6+1),(2*(ROW()-ROW(A_Endedatum))-1))),"")</f>
        <v/>
      </c>
      <c r="AC51" s="541" t="str">
        <f>IF(AC$34&gt;0,(INDEX(A_Aufgaben,(AC$34-Arbeitszeit!$A$6+1),(2*(ROW()-ROW(A_Endedatum))-1))),"")</f>
        <v/>
      </c>
      <c r="AD51" s="542" t="str">
        <f>IF(AD$34&gt;0,(INDEX(A_Aufgaben,(AD$34-Arbeitszeit!$A$6+1),(2*(ROW()-ROW(A_Endedatum))-1))),"")</f>
        <v/>
      </c>
      <c r="AE51" s="541" t="str">
        <f>IF(AE$34&gt;0,(INDEX(A_Aufgaben,(AE$34-Arbeitszeit!$A$6+1),(2*(ROW()-ROW(A_Endedatum))-1))),"")</f>
        <v/>
      </c>
      <c r="AF51" s="542" t="str">
        <f>IF(AF$34&gt;0,(INDEX(A_Aufgaben,(AF$34-Arbeitszeit!$A$6+1),(2*(ROW()-ROW(A_Endedatum))-1))),"")</f>
        <v/>
      </c>
      <c r="AG51" s="541" t="str">
        <f>IF(AG$34&gt;0,(INDEX(A_Aufgaben,(AG$34-Arbeitszeit!$A$6+1),(2*(ROW()-ROW(A_Endedatum))-1))),"")</f>
        <v/>
      </c>
      <c r="AH51" s="550">
        <f t="shared" si="7"/>
        <v>0</v>
      </c>
      <c r="AI51" s="3">
        <f t="shared" si="8"/>
        <v>0</v>
      </c>
      <c r="AJ51" s="571">
        <f t="shared" si="11"/>
        <v>0</v>
      </c>
    </row>
    <row r="52" spans="1:36" hidden="1" outlineLevel="1">
      <c r="A52">
        <f t="shared" si="9"/>
        <v>0</v>
      </c>
      <c r="B52" s="540" t="str">
        <f t="shared" si="10"/>
        <v>Aufgabe 15</v>
      </c>
      <c r="C52" s="541" t="str">
        <f>IF(C$34&gt;0,(INDEX(A_Aufgaben,(C$34-Arbeitszeit!$A$6+1),(2*(ROW()-ROW(A_Endedatum))-1))),"")</f>
        <v/>
      </c>
      <c r="D52" s="542" t="str">
        <f>IF(D$34&gt;0,(INDEX(A_Aufgaben,(D$34-Arbeitszeit!$A$6+1),(2*(ROW()-ROW(A_Endedatum))-1))),"")</f>
        <v/>
      </c>
      <c r="E52" s="541" t="str">
        <f>IF(E$34&gt;0,(INDEX(A_Aufgaben,(E$34-Arbeitszeit!$A$6+1),(2*(ROW()-ROW(A_Endedatum))-1))),"")</f>
        <v/>
      </c>
      <c r="F52" s="542" t="str">
        <f>IF(F$34&gt;0,(INDEX(A_Aufgaben,(F$34-Arbeitszeit!$A$6+1),(2*(ROW()-ROW(A_Endedatum))-1))),"")</f>
        <v/>
      </c>
      <c r="G52" s="541" t="str">
        <f>IF(G$34&gt;0,(INDEX(A_Aufgaben,(G$34-Arbeitszeit!$A$6+1),(2*(ROW()-ROW(A_Endedatum))-1))),"")</f>
        <v/>
      </c>
      <c r="H52" s="542" t="str">
        <f>IF(H$34&gt;0,(INDEX(A_Aufgaben,(H$34-Arbeitszeit!$A$6+1),(2*(ROW()-ROW(A_Endedatum))-1))),"")</f>
        <v/>
      </c>
      <c r="I52" s="541" t="str">
        <f>IF(I$34&gt;0,(INDEX(A_Aufgaben,(I$34-Arbeitszeit!$A$6+1),(2*(ROW()-ROW(A_Endedatum))-1))),"")</f>
        <v/>
      </c>
      <c r="J52" s="542" t="str">
        <f>IF(J$34&gt;0,(INDEX(A_Aufgaben,(J$34-Arbeitszeit!$A$6+1),(2*(ROW()-ROW(A_Endedatum))-1))),"")</f>
        <v/>
      </c>
      <c r="K52" s="541" t="str">
        <f>IF(K$34&gt;0,(INDEX(A_Aufgaben,(K$34-Arbeitszeit!$A$6+1),(2*(ROW()-ROW(A_Endedatum))-1))),"")</f>
        <v/>
      </c>
      <c r="L52" s="542" t="str">
        <f>IF(L$34&gt;0,(INDEX(A_Aufgaben,(L$34-Arbeitszeit!$A$6+1),(2*(ROW()-ROW(A_Endedatum))-1))),"")</f>
        <v/>
      </c>
      <c r="M52" s="541" t="str">
        <f>IF(M$34&gt;0,(INDEX(A_Aufgaben,(M$34-Arbeitszeit!$A$6+1),(2*(ROW()-ROW(A_Endedatum))-1))),"")</f>
        <v/>
      </c>
      <c r="N52" s="542" t="str">
        <f>IF(N$34&gt;0,(INDEX(A_Aufgaben,(N$34-Arbeitszeit!$A$6+1),(2*(ROW()-ROW(A_Endedatum))-1))),"")</f>
        <v/>
      </c>
      <c r="O52" s="541" t="str">
        <f>IF(O$34&gt;0,(INDEX(A_Aufgaben,(O$34-Arbeitszeit!$A$6+1),(2*(ROW()-ROW(A_Endedatum))-1))),"")</f>
        <v/>
      </c>
      <c r="P52" s="542" t="str">
        <f>IF(P$34&gt;0,(INDEX(A_Aufgaben,(P$34-Arbeitszeit!$A$6+1),(2*(ROW()-ROW(A_Endedatum))-1))),"")</f>
        <v/>
      </c>
      <c r="Q52" s="541" t="str">
        <f>IF(Q$34&gt;0,(INDEX(A_Aufgaben,(Q$34-Arbeitszeit!$A$6+1),(2*(ROW()-ROW(A_Endedatum))-1))),"")</f>
        <v/>
      </c>
      <c r="R52" s="542" t="str">
        <f>IF(R$34&gt;0,(INDEX(A_Aufgaben,(R$34-Arbeitszeit!$A$6+1),(2*(ROW()-ROW(A_Endedatum))-1))),"")</f>
        <v/>
      </c>
      <c r="S52" s="541" t="str">
        <f>IF(S$34&gt;0,(INDEX(A_Aufgaben,(S$34-Arbeitszeit!$A$6+1),(2*(ROW()-ROW(A_Endedatum))-1))),"")</f>
        <v/>
      </c>
      <c r="T52" s="542" t="str">
        <f>IF(T$34&gt;0,(INDEX(A_Aufgaben,(T$34-Arbeitszeit!$A$6+1),(2*(ROW()-ROW(A_Endedatum))-1))),"")</f>
        <v/>
      </c>
      <c r="U52" s="541" t="str">
        <f>IF(U$34&gt;0,(INDEX(A_Aufgaben,(U$34-Arbeitszeit!$A$6+1),(2*(ROW()-ROW(A_Endedatum))-1))),"")</f>
        <v/>
      </c>
      <c r="V52" s="542" t="str">
        <f>IF(V$34&gt;0,(INDEX(A_Aufgaben,(V$34-Arbeitszeit!$A$6+1),(2*(ROW()-ROW(A_Endedatum))-1))),"")</f>
        <v/>
      </c>
      <c r="W52" s="541" t="str">
        <f>IF(W$34&gt;0,(INDEX(A_Aufgaben,(W$34-Arbeitszeit!$A$6+1),(2*(ROW()-ROW(A_Endedatum))-1))),"")</f>
        <v/>
      </c>
      <c r="X52" s="542" t="str">
        <f>IF(X$34&gt;0,(INDEX(A_Aufgaben,(X$34-Arbeitszeit!$A$6+1),(2*(ROW()-ROW(A_Endedatum))-1))),"")</f>
        <v/>
      </c>
      <c r="Y52" s="541" t="str">
        <f>IF(Y$34&gt;0,(INDEX(A_Aufgaben,(Y$34-Arbeitszeit!$A$6+1),(2*(ROW()-ROW(A_Endedatum))-1))),"")</f>
        <v/>
      </c>
      <c r="Z52" s="542" t="str">
        <f>IF(Z$34&gt;0,(INDEX(A_Aufgaben,(Z$34-Arbeitszeit!$A$6+1),(2*(ROW()-ROW(A_Endedatum))-1))),"")</f>
        <v/>
      </c>
      <c r="AA52" s="541" t="str">
        <f>IF(AA$34&gt;0,(INDEX(A_Aufgaben,(AA$34-Arbeitszeit!$A$6+1),(2*(ROW()-ROW(A_Endedatum))-1))),"")</f>
        <v/>
      </c>
      <c r="AB52" s="542" t="str">
        <f>IF(AB$34&gt;0,(INDEX(A_Aufgaben,(AB$34-Arbeitszeit!$A$6+1),(2*(ROW()-ROW(A_Endedatum))-1))),"")</f>
        <v/>
      </c>
      <c r="AC52" s="541" t="str">
        <f>IF(AC$34&gt;0,(INDEX(A_Aufgaben,(AC$34-Arbeitszeit!$A$6+1),(2*(ROW()-ROW(A_Endedatum))-1))),"")</f>
        <v/>
      </c>
      <c r="AD52" s="542" t="str">
        <f>IF(AD$34&gt;0,(INDEX(A_Aufgaben,(AD$34-Arbeitszeit!$A$6+1),(2*(ROW()-ROW(A_Endedatum))-1))),"")</f>
        <v/>
      </c>
      <c r="AE52" s="541" t="str">
        <f>IF(AE$34&gt;0,(INDEX(A_Aufgaben,(AE$34-Arbeitszeit!$A$6+1),(2*(ROW()-ROW(A_Endedatum))-1))),"")</f>
        <v/>
      </c>
      <c r="AF52" s="542" t="str">
        <f>IF(AF$34&gt;0,(INDEX(A_Aufgaben,(AF$34-Arbeitszeit!$A$6+1),(2*(ROW()-ROW(A_Endedatum))-1))),"")</f>
        <v/>
      </c>
      <c r="AG52" s="541" t="str">
        <f>IF(AG$34&gt;0,(INDEX(A_Aufgaben,(AG$34-Arbeitszeit!$A$6+1),(2*(ROW()-ROW(A_Endedatum))-1))),"")</f>
        <v/>
      </c>
      <c r="AH52" s="550">
        <f t="shared" si="7"/>
        <v>0</v>
      </c>
      <c r="AI52" s="3">
        <f t="shared" si="8"/>
        <v>0</v>
      </c>
      <c r="AJ52" s="571">
        <f t="shared" si="11"/>
        <v>0</v>
      </c>
    </row>
    <row r="53" spans="1:36" hidden="1" outlineLevel="1">
      <c r="A53">
        <f t="shared" si="9"/>
        <v>0</v>
      </c>
      <c r="B53" s="540" t="str">
        <f t="shared" si="10"/>
        <v>Aufgabe 16</v>
      </c>
      <c r="C53" s="541" t="str">
        <f>IF(C$34&gt;0,(INDEX(A_Aufgaben,(C$34-Arbeitszeit!$A$6+1),(2*(ROW()-ROW(A_Endedatum))-1))),"")</f>
        <v/>
      </c>
      <c r="D53" s="542" t="str">
        <f>IF(D$34&gt;0,(INDEX(A_Aufgaben,(D$34-Arbeitszeit!$A$6+1),(2*(ROW()-ROW(A_Endedatum))-1))),"")</f>
        <v/>
      </c>
      <c r="E53" s="541" t="str">
        <f>IF(E$34&gt;0,(INDEX(A_Aufgaben,(E$34-Arbeitszeit!$A$6+1),(2*(ROW()-ROW(A_Endedatum))-1))),"")</f>
        <v/>
      </c>
      <c r="F53" s="542" t="str">
        <f>IF(F$34&gt;0,(INDEX(A_Aufgaben,(F$34-Arbeitszeit!$A$6+1),(2*(ROW()-ROW(A_Endedatum))-1))),"")</f>
        <v/>
      </c>
      <c r="G53" s="541" t="str">
        <f>IF(G$34&gt;0,(INDEX(A_Aufgaben,(G$34-Arbeitszeit!$A$6+1),(2*(ROW()-ROW(A_Endedatum))-1))),"")</f>
        <v/>
      </c>
      <c r="H53" s="542" t="str">
        <f>IF(H$34&gt;0,(INDEX(A_Aufgaben,(H$34-Arbeitszeit!$A$6+1),(2*(ROW()-ROW(A_Endedatum))-1))),"")</f>
        <v/>
      </c>
      <c r="I53" s="541" t="str">
        <f>IF(I$34&gt;0,(INDEX(A_Aufgaben,(I$34-Arbeitszeit!$A$6+1),(2*(ROW()-ROW(A_Endedatum))-1))),"")</f>
        <v/>
      </c>
      <c r="J53" s="542" t="str">
        <f>IF(J$34&gt;0,(INDEX(A_Aufgaben,(J$34-Arbeitszeit!$A$6+1),(2*(ROW()-ROW(A_Endedatum))-1))),"")</f>
        <v/>
      </c>
      <c r="K53" s="541" t="str">
        <f>IF(K$34&gt;0,(INDEX(A_Aufgaben,(K$34-Arbeitszeit!$A$6+1),(2*(ROW()-ROW(A_Endedatum))-1))),"")</f>
        <v/>
      </c>
      <c r="L53" s="542" t="str">
        <f>IF(L$34&gt;0,(INDEX(A_Aufgaben,(L$34-Arbeitszeit!$A$6+1),(2*(ROW()-ROW(A_Endedatum))-1))),"")</f>
        <v/>
      </c>
      <c r="M53" s="541" t="str">
        <f>IF(M$34&gt;0,(INDEX(A_Aufgaben,(M$34-Arbeitszeit!$A$6+1),(2*(ROW()-ROW(A_Endedatum))-1))),"")</f>
        <v/>
      </c>
      <c r="N53" s="542" t="str">
        <f>IF(N$34&gt;0,(INDEX(A_Aufgaben,(N$34-Arbeitszeit!$A$6+1),(2*(ROW()-ROW(A_Endedatum))-1))),"")</f>
        <v/>
      </c>
      <c r="O53" s="541" t="str">
        <f>IF(O$34&gt;0,(INDEX(A_Aufgaben,(O$34-Arbeitszeit!$A$6+1),(2*(ROW()-ROW(A_Endedatum))-1))),"")</f>
        <v/>
      </c>
      <c r="P53" s="542" t="str">
        <f>IF(P$34&gt;0,(INDEX(A_Aufgaben,(P$34-Arbeitszeit!$A$6+1),(2*(ROW()-ROW(A_Endedatum))-1))),"")</f>
        <v/>
      </c>
      <c r="Q53" s="541" t="str">
        <f>IF(Q$34&gt;0,(INDEX(A_Aufgaben,(Q$34-Arbeitszeit!$A$6+1),(2*(ROW()-ROW(A_Endedatum))-1))),"")</f>
        <v/>
      </c>
      <c r="R53" s="542" t="str">
        <f>IF(R$34&gt;0,(INDEX(A_Aufgaben,(R$34-Arbeitszeit!$A$6+1),(2*(ROW()-ROW(A_Endedatum))-1))),"")</f>
        <v/>
      </c>
      <c r="S53" s="541" t="str">
        <f>IF(S$34&gt;0,(INDEX(A_Aufgaben,(S$34-Arbeitszeit!$A$6+1),(2*(ROW()-ROW(A_Endedatum))-1))),"")</f>
        <v/>
      </c>
      <c r="T53" s="542" t="str">
        <f>IF(T$34&gt;0,(INDEX(A_Aufgaben,(T$34-Arbeitszeit!$A$6+1),(2*(ROW()-ROW(A_Endedatum))-1))),"")</f>
        <v/>
      </c>
      <c r="U53" s="541" t="str">
        <f>IF(U$34&gt;0,(INDEX(A_Aufgaben,(U$34-Arbeitszeit!$A$6+1),(2*(ROW()-ROW(A_Endedatum))-1))),"")</f>
        <v/>
      </c>
      <c r="V53" s="542" t="str">
        <f>IF(V$34&gt;0,(INDEX(A_Aufgaben,(V$34-Arbeitszeit!$A$6+1),(2*(ROW()-ROW(A_Endedatum))-1))),"")</f>
        <v/>
      </c>
      <c r="W53" s="541" t="str">
        <f>IF(W$34&gt;0,(INDEX(A_Aufgaben,(W$34-Arbeitszeit!$A$6+1),(2*(ROW()-ROW(A_Endedatum))-1))),"")</f>
        <v/>
      </c>
      <c r="X53" s="542" t="str">
        <f>IF(X$34&gt;0,(INDEX(A_Aufgaben,(X$34-Arbeitszeit!$A$6+1),(2*(ROW()-ROW(A_Endedatum))-1))),"")</f>
        <v/>
      </c>
      <c r="Y53" s="541" t="str">
        <f>IF(Y$34&gt;0,(INDEX(A_Aufgaben,(Y$34-Arbeitszeit!$A$6+1),(2*(ROW()-ROW(A_Endedatum))-1))),"")</f>
        <v/>
      </c>
      <c r="Z53" s="542" t="str">
        <f>IF(Z$34&gt;0,(INDEX(A_Aufgaben,(Z$34-Arbeitszeit!$A$6+1),(2*(ROW()-ROW(A_Endedatum))-1))),"")</f>
        <v/>
      </c>
      <c r="AA53" s="541" t="str">
        <f>IF(AA$34&gt;0,(INDEX(A_Aufgaben,(AA$34-Arbeitszeit!$A$6+1),(2*(ROW()-ROW(A_Endedatum))-1))),"")</f>
        <v/>
      </c>
      <c r="AB53" s="542" t="str">
        <f>IF(AB$34&gt;0,(INDEX(A_Aufgaben,(AB$34-Arbeitszeit!$A$6+1),(2*(ROW()-ROW(A_Endedatum))-1))),"")</f>
        <v/>
      </c>
      <c r="AC53" s="541" t="str">
        <f>IF(AC$34&gt;0,(INDEX(A_Aufgaben,(AC$34-Arbeitszeit!$A$6+1),(2*(ROW()-ROW(A_Endedatum))-1))),"")</f>
        <v/>
      </c>
      <c r="AD53" s="542" t="str">
        <f>IF(AD$34&gt;0,(INDEX(A_Aufgaben,(AD$34-Arbeitszeit!$A$6+1),(2*(ROW()-ROW(A_Endedatum))-1))),"")</f>
        <v/>
      </c>
      <c r="AE53" s="541" t="str">
        <f>IF(AE$34&gt;0,(INDEX(A_Aufgaben,(AE$34-Arbeitszeit!$A$6+1),(2*(ROW()-ROW(A_Endedatum))-1))),"")</f>
        <v/>
      </c>
      <c r="AF53" s="542" t="str">
        <f>IF(AF$34&gt;0,(INDEX(A_Aufgaben,(AF$34-Arbeitszeit!$A$6+1),(2*(ROW()-ROW(A_Endedatum))-1))),"")</f>
        <v/>
      </c>
      <c r="AG53" s="541" t="str">
        <f>IF(AG$34&gt;0,(INDEX(A_Aufgaben,(AG$34-Arbeitszeit!$A$6+1),(2*(ROW()-ROW(A_Endedatum))-1))),"")</f>
        <v/>
      </c>
      <c r="AH53" s="550">
        <f t="shared" si="7"/>
        <v>0</v>
      </c>
      <c r="AI53" s="3">
        <f t="shared" si="8"/>
        <v>0</v>
      </c>
      <c r="AJ53" s="571">
        <f t="shared" si="11"/>
        <v>0</v>
      </c>
    </row>
    <row r="54" spans="1:36" hidden="1" outlineLevel="1">
      <c r="A54">
        <f t="shared" si="9"/>
        <v>0</v>
      </c>
      <c r="B54" s="540" t="str">
        <f t="shared" si="10"/>
        <v>Aufgabe 17</v>
      </c>
      <c r="C54" s="541" t="str">
        <f>IF(C$34&gt;0,(INDEX(A_Aufgaben,(C$34-Arbeitszeit!$A$6+1),(2*(ROW()-ROW(A_Endedatum))-1))),"")</f>
        <v/>
      </c>
      <c r="D54" s="542" t="str">
        <f>IF(D$34&gt;0,(INDEX(A_Aufgaben,(D$34-Arbeitszeit!$A$6+1),(2*(ROW()-ROW(A_Endedatum))-1))),"")</f>
        <v/>
      </c>
      <c r="E54" s="541" t="str">
        <f>IF(E$34&gt;0,(INDEX(A_Aufgaben,(E$34-Arbeitszeit!$A$6+1),(2*(ROW()-ROW(A_Endedatum))-1))),"")</f>
        <v/>
      </c>
      <c r="F54" s="542" t="str">
        <f>IF(F$34&gt;0,(INDEX(A_Aufgaben,(F$34-Arbeitszeit!$A$6+1),(2*(ROW()-ROW(A_Endedatum))-1))),"")</f>
        <v/>
      </c>
      <c r="G54" s="541" t="str">
        <f>IF(G$34&gt;0,(INDEX(A_Aufgaben,(G$34-Arbeitszeit!$A$6+1),(2*(ROW()-ROW(A_Endedatum))-1))),"")</f>
        <v/>
      </c>
      <c r="H54" s="542" t="str">
        <f>IF(H$34&gt;0,(INDEX(A_Aufgaben,(H$34-Arbeitszeit!$A$6+1),(2*(ROW()-ROW(A_Endedatum))-1))),"")</f>
        <v/>
      </c>
      <c r="I54" s="541" t="str">
        <f>IF(I$34&gt;0,(INDEX(A_Aufgaben,(I$34-Arbeitszeit!$A$6+1),(2*(ROW()-ROW(A_Endedatum))-1))),"")</f>
        <v/>
      </c>
      <c r="J54" s="542" t="str">
        <f>IF(J$34&gt;0,(INDEX(A_Aufgaben,(J$34-Arbeitszeit!$A$6+1),(2*(ROW()-ROW(A_Endedatum))-1))),"")</f>
        <v/>
      </c>
      <c r="K54" s="541" t="str">
        <f>IF(K$34&gt;0,(INDEX(A_Aufgaben,(K$34-Arbeitszeit!$A$6+1),(2*(ROW()-ROW(A_Endedatum))-1))),"")</f>
        <v/>
      </c>
      <c r="L54" s="542" t="str">
        <f>IF(L$34&gt;0,(INDEX(A_Aufgaben,(L$34-Arbeitszeit!$A$6+1),(2*(ROW()-ROW(A_Endedatum))-1))),"")</f>
        <v/>
      </c>
      <c r="M54" s="541" t="str">
        <f>IF(M$34&gt;0,(INDEX(A_Aufgaben,(M$34-Arbeitszeit!$A$6+1),(2*(ROW()-ROW(A_Endedatum))-1))),"")</f>
        <v/>
      </c>
      <c r="N54" s="542" t="str">
        <f>IF(N$34&gt;0,(INDEX(A_Aufgaben,(N$34-Arbeitszeit!$A$6+1),(2*(ROW()-ROW(A_Endedatum))-1))),"")</f>
        <v/>
      </c>
      <c r="O54" s="541" t="str">
        <f>IF(O$34&gt;0,(INDEX(A_Aufgaben,(O$34-Arbeitszeit!$A$6+1),(2*(ROW()-ROW(A_Endedatum))-1))),"")</f>
        <v/>
      </c>
      <c r="P54" s="542" t="str">
        <f>IF(P$34&gt;0,(INDEX(A_Aufgaben,(P$34-Arbeitszeit!$A$6+1),(2*(ROW()-ROW(A_Endedatum))-1))),"")</f>
        <v/>
      </c>
      <c r="Q54" s="541" t="str">
        <f>IF(Q$34&gt;0,(INDEX(A_Aufgaben,(Q$34-Arbeitszeit!$A$6+1),(2*(ROW()-ROW(A_Endedatum))-1))),"")</f>
        <v/>
      </c>
      <c r="R54" s="542" t="str">
        <f>IF(R$34&gt;0,(INDEX(A_Aufgaben,(R$34-Arbeitszeit!$A$6+1),(2*(ROW()-ROW(A_Endedatum))-1))),"")</f>
        <v/>
      </c>
      <c r="S54" s="541" t="str">
        <f>IF(S$34&gt;0,(INDEX(A_Aufgaben,(S$34-Arbeitszeit!$A$6+1),(2*(ROW()-ROW(A_Endedatum))-1))),"")</f>
        <v/>
      </c>
      <c r="T54" s="542" t="str">
        <f>IF(T$34&gt;0,(INDEX(A_Aufgaben,(T$34-Arbeitszeit!$A$6+1),(2*(ROW()-ROW(A_Endedatum))-1))),"")</f>
        <v/>
      </c>
      <c r="U54" s="541" t="str">
        <f>IF(U$34&gt;0,(INDEX(A_Aufgaben,(U$34-Arbeitszeit!$A$6+1),(2*(ROW()-ROW(A_Endedatum))-1))),"")</f>
        <v/>
      </c>
      <c r="V54" s="542" t="str">
        <f>IF(V$34&gt;0,(INDEX(A_Aufgaben,(V$34-Arbeitszeit!$A$6+1),(2*(ROW()-ROW(A_Endedatum))-1))),"")</f>
        <v/>
      </c>
      <c r="W54" s="541" t="str">
        <f>IF(W$34&gt;0,(INDEX(A_Aufgaben,(W$34-Arbeitszeit!$A$6+1),(2*(ROW()-ROW(A_Endedatum))-1))),"")</f>
        <v/>
      </c>
      <c r="X54" s="542" t="str">
        <f>IF(X$34&gt;0,(INDEX(A_Aufgaben,(X$34-Arbeitszeit!$A$6+1),(2*(ROW()-ROW(A_Endedatum))-1))),"")</f>
        <v/>
      </c>
      <c r="Y54" s="541" t="str">
        <f>IF(Y$34&gt;0,(INDEX(A_Aufgaben,(Y$34-Arbeitszeit!$A$6+1),(2*(ROW()-ROW(A_Endedatum))-1))),"")</f>
        <v/>
      </c>
      <c r="Z54" s="542" t="str">
        <f>IF(Z$34&gt;0,(INDEX(A_Aufgaben,(Z$34-Arbeitszeit!$A$6+1),(2*(ROW()-ROW(A_Endedatum))-1))),"")</f>
        <v/>
      </c>
      <c r="AA54" s="541" t="str">
        <f>IF(AA$34&gt;0,(INDEX(A_Aufgaben,(AA$34-Arbeitszeit!$A$6+1),(2*(ROW()-ROW(A_Endedatum))-1))),"")</f>
        <v/>
      </c>
      <c r="AB54" s="542" t="str">
        <f>IF(AB$34&gt;0,(INDEX(A_Aufgaben,(AB$34-Arbeitszeit!$A$6+1),(2*(ROW()-ROW(A_Endedatum))-1))),"")</f>
        <v/>
      </c>
      <c r="AC54" s="541" t="str">
        <f>IF(AC$34&gt;0,(INDEX(A_Aufgaben,(AC$34-Arbeitszeit!$A$6+1),(2*(ROW()-ROW(A_Endedatum))-1))),"")</f>
        <v/>
      </c>
      <c r="AD54" s="542" t="str">
        <f>IF(AD$34&gt;0,(INDEX(A_Aufgaben,(AD$34-Arbeitszeit!$A$6+1),(2*(ROW()-ROW(A_Endedatum))-1))),"")</f>
        <v/>
      </c>
      <c r="AE54" s="541" t="str">
        <f>IF(AE$34&gt;0,(INDEX(A_Aufgaben,(AE$34-Arbeitszeit!$A$6+1),(2*(ROW()-ROW(A_Endedatum))-1))),"")</f>
        <v/>
      </c>
      <c r="AF54" s="542" t="str">
        <f>IF(AF$34&gt;0,(INDEX(A_Aufgaben,(AF$34-Arbeitszeit!$A$6+1),(2*(ROW()-ROW(A_Endedatum))-1))),"")</f>
        <v/>
      </c>
      <c r="AG54" s="541" t="str">
        <f>IF(AG$34&gt;0,(INDEX(A_Aufgaben,(AG$34-Arbeitszeit!$A$6+1),(2*(ROW()-ROW(A_Endedatum))-1))),"")</f>
        <v/>
      </c>
      <c r="AH54" s="550">
        <f t="shared" si="7"/>
        <v>0</v>
      </c>
      <c r="AI54" s="3">
        <f t="shared" si="8"/>
        <v>0</v>
      </c>
      <c r="AJ54" s="571">
        <f t="shared" si="11"/>
        <v>0</v>
      </c>
    </row>
    <row r="55" spans="1:36" hidden="1" outlineLevel="1">
      <c r="A55">
        <f t="shared" si="9"/>
        <v>0</v>
      </c>
      <c r="B55" s="540" t="str">
        <f t="shared" si="10"/>
        <v>Aufgabe 18</v>
      </c>
      <c r="C55" s="541" t="str">
        <f>IF(C$34&gt;0,(INDEX(A_Aufgaben,(C$34-Arbeitszeit!$A$6+1),(2*(ROW()-ROW(A_Endedatum))-1))),"")</f>
        <v/>
      </c>
      <c r="D55" s="542" t="str">
        <f>IF(D$34&gt;0,(INDEX(A_Aufgaben,(D$34-Arbeitszeit!$A$6+1),(2*(ROW()-ROW(A_Endedatum))-1))),"")</f>
        <v/>
      </c>
      <c r="E55" s="541" t="str">
        <f>IF(E$34&gt;0,(INDEX(A_Aufgaben,(E$34-Arbeitszeit!$A$6+1),(2*(ROW()-ROW(A_Endedatum))-1))),"")</f>
        <v/>
      </c>
      <c r="F55" s="542" t="str">
        <f>IF(F$34&gt;0,(INDEX(A_Aufgaben,(F$34-Arbeitszeit!$A$6+1),(2*(ROW()-ROW(A_Endedatum))-1))),"")</f>
        <v/>
      </c>
      <c r="G55" s="541" t="str">
        <f>IF(G$34&gt;0,(INDEX(A_Aufgaben,(G$34-Arbeitszeit!$A$6+1),(2*(ROW()-ROW(A_Endedatum))-1))),"")</f>
        <v/>
      </c>
      <c r="H55" s="542" t="str">
        <f>IF(H$34&gt;0,(INDEX(A_Aufgaben,(H$34-Arbeitszeit!$A$6+1),(2*(ROW()-ROW(A_Endedatum))-1))),"")</f>
        <v/>
      </c>
      <c r="I55" s="541" t="str">
        <f>IF(I$34&gt;0,(INDEX(A_Aufgaben,(I$34-Arbeitszeit!$A$6+1),(2*(ROW()-ROW(A_Endedatum))-1))),"")</f>
        <v/>
      </c>
      <c r="J55" s="542" t="str">
        <f>IF(J$34&gt;0,(INDEX(A_Aufgaben,(J$34-Arbeitszeit!$A$6+1),(2*(ROW()-ROW(A_Endedatum))-1))),"")</f>
        <v/>
      </c>
      <c r="K55" s="541" t="str">
        <f>IF(K$34&gt;0,(INDEX(A_Aufgaben,(K$34-Arbeitszeit!$A$6+1),(2*(ROW()-ROW(A_Endedatum))-1))),"")</f>
        <v/>
      </c>
      <c r="L55" s="542" t="str">
        <f>IF(L$34&gt;0,(INDEX(A_Aufgaben,(L$34-Arbeitszeit!$A$6+1),(2*(ROW()-ROW(A_Endedatum))-1))),"")</f>
        <v/>
      </c>
      <c r="M55" s="541" t="str">
        <f>IF(M$34&gt;0,(INDEX(A_Aufgaben,(M$34-Arbeitszeit!$A$6+1),(2*(ROW()-ROW(A_Endedatum))-1))),"")</f>
        <v/>
      </c>
      <c r="N55" s="542" t="str">
        <f>IF(N$34&gt;0,(INDEX(A_Aufgaben,(N$34-Arbeitszeit!$A$6+1),(2*(ROW()-ROW(A_Endedatum))-1))),"")</f>
        <v/>
      </c>
      <c r="O55" s="541" t="str">
        <f>IF(O$34&gt;0,(INDEX(A_Aufgaben,(O$34-Arbeitszeit!$A$6+1),(2*(ROW()-ROW(A_Endedatum))-1))),"")</f>
        <v/>
      </c>
      <c r="P55" s="542" t="str">
        <f>IF(P$34&gt;0,(INDEX(A_Aufgaben,(P$34-Arbeitszeit!$A$6+1),(2*(ROW()-ROW(A_Endedatum))-1))),"")</f>
        <v/>
      </c>
      <c r="Q55" s="541" t="str">
        <f>IF(Q$34&gt;0,(INDEX(A_Aufgaben,(Q$34-Arbeitszeit!$A$6+1),(2*(ROW()-ROW(A_Endedatum))-1))),"")</f>
        <v/>
      </c>
      <c r="R55" s="542" t="str">
        <f>IF(R$34&gt;0,(INDEX(A_Aufgaben,(R$34-Arbeitszeit!$A$6+1),(2*(ROW()-ROW(A_Endedatum))-1))),"")</f>
        <v/>
      </c>
      <c r="S55" s="541" t="str">
        <f>IF(S$34&gt;0,(INDEX(A_Aufgaben,(S$34-Arbeitszeit!$A$6+1),(2*(ROW()-ROW(A_Endedatum))-1))),"")</f>
        <v/>
      </c>
      <c r="T55" s="542" t="str">
        <f>IF(T$34&gt;0,(INDEX(A_Aufgaben,(T$34-Arbeitszeit!$A$6+1),(2*(ROW()-ROW(A_Endedatum))-1))),"")</f>
        <v/>
      </c>
      <c r="U55" s="541" t="str">
        <f>IF(U$34&gt;0,(INDEX(A_Aufgaben,(U$34-Arbeitszeit!$A$6+1),(2*(ROW()-ROW(A_Endedatum))-1))),"")</f>
        <v/>
      </c>
      <c r="V55" s="542" t="str">
        <f>IF(V$34&gt;0,(INDEX(A_Aufgaben,(V$34-Arbeitszeit!$A$6+1),(2*(ROW()-ROW(A_Endedatum))-1))),"")</f>
        <v/>
      </c>
      <c r="W55" s="541" t="str">
        <f>IF(W$34&gt;0,(INDEX(A_Aufgaben,(W$34-Arbeitszeit!$A$6+1),(2*(ROW()-ROW(A_Endedatum))-1))),"")</f>
        <v/>
      </c>
      <c r="X55" s="542" t="str">
        <f>IF(X$34&gt;0,(INDEX(A_Aufgaben,(X$34-Arbeitszeit!$A$6+1),(2*(ROW()-ROW(A_Endedatum))-1))),"")</f>
        <v/>
      </c>
      <c r="Y55" s="541" t="str">
        <f>IF(Y$34&gt;0,(INDEX(A_Aufgaben,(Y$34-Arbeitszeit!$A$6+1),(2*(ROW()-ROW(A_Endedatum))-1))),"")</f>
        <v/>
      </c>
      <c r="Z55" s="542" t="str">
        <f>IF(Z$34&gt;0,(INDEX(A_Aufgaben,(Z$34-Arbeitszeit!$A$6+1),(2*(ROW()-ROW(A_Endedatum))-1))),"")</f>
        <v/>
      </c>
      <c r="AA55" s="541" t="str">
        <f>IF(AA$34&gt;0,(INDEX(A_Aufgaben,(AA$34-Arbeitszeit!$A$6+1),(2*(ROW()-ROW(A_Endedatum))-1))),"")</f>
        <v/>
      </c>
      <c r="AB55" s="542" t="str">
        <f>IF(AB$34&gt;0,(INDEX(A_Aufgaben,(AB$34-Arbeitszeit!$A$6+1),(2*(ROW()-ROW(A_Endedatum))-1))),"")</f>
        <v/>
      </c>
      <c r="AC55" s="541" t="str">
        <f>IF(AC$34&gt;0,(INDEX(A_Aufgaben,(AC$34-Arbeitszeit!$A$6+1),(2*(ROW()-ROW(A_Endedatum))-1))),"")</f>
        <v/>
      </c>
      <c r="AD55" s="542" t="str">
        <f>IF(AD$34&gt;0,(INDEX(A_Aufgaben,(AD$34-Arbeitszeit!$A$6+1),(2*(ROW()-ROW(A_Endedatum))-1))),"")</f>
        <v/>
      </c>
      <c r="AE55" s="541" t="str">
        <f>IF(AE$34&gt;0,(INDEX(A_Aufgaben,(AE$34-Arbeitszeit!$A$6+1),(2*(ROW()-ROW(A_Endedatum))-1))),"")</f>
        <v/>
      </c>
      <c r="AF55" s="542" t="str">
        <f>IF(AF$34&gt;0,(INDEX(A_Aufgaben,(AF$34-Arbeitszeit!$A$6+1),(2*(ROW()-ROW(A_Endedatum))-1))),"")</f>
        <v/>
      </c>
      <c r="AG55" s="541" t="str">
        <f>IF(AG$34&gt;0,(INDEX(A_Aufgaben,(AG$34-Arbeitszeit!$A$6+1),(2*(ROW()-ROW(A_Endedatum))-1))),"")</f>
        <v/>
      </c>
      <c r="AH55" s="550">
        <f t="shared" si="7"/>
        <v>0</v>
      </c>
      <c r="AI55" s="3">
        <f t="shared" si="8"/>
        <v>0</v>
      </c>
      <c r="AJ55" s="571">
        <f t="shared" si="11"/>
        <v>0</v>
      </c>
    </row>
    <row r="56" spans="1:36" hidden="1" outlineLevel="1">
      <c r="A56">
        <f t="shared" si="9"/>
        <v>0</v>
      </c>
      <c r="B56" s="540" t="str">
        <f t="shared" si="10"/>
        <v>Aufgabe 19</v>
      </c>
      <c r="C56" s="541" t="str">
        <f>IF(C$34&gt;0,(INDEX(A_Aufgaben,(C$34-Arbeitszeit!$A$6+1),(2*(ROW()-ROW(A_Endedatum))-1))),"")</f>
        <v/>
      </c>
      <c r="D56" s="542" t="str">
        <f>IF(D$34&gt;0,(INDEX(A_Aufgaben,(D$34-Arbeitszeit!$A$6+1),(2*(ROW()-ROW(A_Endedatum))-1))),"")</f>
        <v/>
      </c>
      <c r="E56" s="541" t="str">
        <f>IF(E$34&gt;0,(INDEX(A_Aufgaben,(E$34-Arbeitszeit!$A$6+1),(2*(ROW()-ROW(A_Endedatum))-1))),"")</f>
        <v/>
      </c>
      <c r="F56" s="542" t="str">
        <f>IF(F$34&gt;0,(INDEX(A_Aufgaben,(F$34-Arbeitszeit!$A$6+1),(2*(ROW()-ROW(A_Endedatum))-1))),"")</f>
        <v/>
      </c>
      <c r="G56" s="541" t="str">
        <f>IF(G$34&gt;0,(INDEX(A_Aufgaben,(G$34-Arbeitszeit!$A$6+1),(2*(ROW()-ROW(A_Endedatum))-1))),"")</f>
        <v/>
      </c>
      <c r="H56" s="542" t="str">
        <f>IF(H$34&gt;0,(INDEX(A_Aufgaben,(H$34-Arbeitszeit!$A$6+1),(2*(ROW()-ROW(A_Endedatum))-1))),"")</f>
        <v/>
      </c>
      <c r="I56" s="541" t="str">
        <f>IF(I$34&gt;0,(INDEX(A_Aufgaben,(I$34-Arbeitszeit!$A$6+1),(2*(ROW()-ROW(A_Endedatum))-1))),"")</f>
        <v/>
      </c>
      <c r="J56" s="542" t="str">
        <f>IF(J$34&gt;0,(INDEX(A_Aufgaben,(J$34-Arbeitszeit!$A$6+1),(2*(ROW()-ROW(A_Endedatum))-1))),"")</f>
        <v/>
      </c>
      <c r="K56" s="541" t="str">
        <f>IF(K$34&gt;0,(INDEX(A_Aufgaben,(K$34-Arbeitszeit!$A$6+1),(2*(ROW()-ROW(A_Endedatum))-1))),"")</f>
        <v/>
      </c>
      <c r="L56" s="542" t="str">
        <f>IF(L$34&gt;0,(INDEX(A_Aufgaben,(L$34-Arbeitszeit!$A$6+1),(2*(ROW()-ROW(A_Endedatum))-1))),"")</f>
        <v/>
      </c>
      <c r="M56" s="541" t="str">
        <f>IF(M$34&gt;0,(INDEX(A_Aufgaben,(M$34-Arbeitszeit!$A$6+1),(2*(ROW()-ROW(A_Endedatum))-1))),"")</f>
        <v/>
      </c>
      <c r="N56" s="542" t="str">
        <f>IF(N$34&gt;0,(INDEX(A_Aufgaben,(N$34-Arbeitszeit!$A$6+1),(2*(ROW()-ROW(A_Endedatum))-1))),"")</f>
        <v/>
      </c>
      <c r="O56" s="541" t="str">
        <f>IF(O$34&gt;0,(INDEX(A_Aufgaben,(O$34-Arbeitszeit!$A$6+1),(2*(ROW()-ROW(A_Endedatum))-1))),"")</f>
        <v/>
      </c>
      <c r="P56" s="542" t="str">
        <f>IF(P$34&gt;0,(INDEX(A_Aufgaben,(P$34-Arbeitszeit!$A$6+1),(2*(ROW()-ROW(A_Endedatum))-1))),"")</f>
        <v/>
      </c>
      <c r="Q56" s="541" t="str">
        <f>IF(Q$34&gt;0,(INDEX(A_Aufgaben,(Q$34-Arbeitszeit!$A$6+1),(2*(ROW()-ROW(A_Endedatum))-1))),"")</f>
        <v/>
      </c>
      <c r="R56" s="542" t="str">
        <f>IF(R$34&gt;0,(INDEX(A_Aufgaben,(R$34-Arbeitszeit!$A$6+1),(2*(ROW()-ROW(A_Endedatum))-1))),"")</f>
        <v/>
      </c>
      <c r="S56" s="541" t="str">
        <f>IF(S$34&gt;0,(INDEX(A_Aufgaben,(S$34-Arbeitszeit!$A$6+1),(2*(ROW()-ROW(A_Endedatum))-1))),"")</f>
        <v/>
      </c>
      <c r="T56" s="542" t="str">
        <f>IF(T$34&gt;0,(INDEX(A_Aufgaben,(T$34-Arbeitszeit!$A$6+1),(2*(ROW()-ROW(A_Endedatum))-1))),"")</f>
        <v/>
      </c>
      <c r="U56" s="541" t="str">
        <f>IF(U$34&gt;0,(INDEX(A_Aufgaben,(U$34-Arbeitszeit!$A$6+1),(2*(ROW()-ROW(A_Endedatum))-1))),"")</f>
        <v/>
      </c>
      <c r="V56" s="542" t="str">
        <f>IF(V$34&gt;0,(INDEX(A_Aufgaben,(V$34-Arbeitszeit!$A$6+1),(2*(ROW()-ROW(A_Endedatum))-1))),"")</f>
        <v/>
      </c>
      <c r="W56" s="541" t="str">
        <f>IF(W$34&gt;0,(INDEX(A_Aufgaben,(W$34-Arbeitszeit!$A$6+1),(2*(ROW()-ROW(A_Endedatum))-1))),"")</f>
        <v/>
      </c>
      <c r="X56" s="542" t="str">
        <f>IF(X$34&gt;0,(INDEX(A_Aufgaben,(X$34-Arbeitszeit!$A$6+1),(2*(ROW()-ROW(A_Endedatum))-1))),"")</f>
        <v/>
      </c>
      <c r="Y56" s="541" t="str">
        <f>IF(Y$34&gt;0,(INDEX(A_Aufgaben,(Y$34-Arbeitszeit!$A$6+1),(2*(ROW()-ROW(A_Endedatum))-1))),"")</f>
        <v/>
      </c>
      <c r="Z56" s="542" t="str">
        <f>IF(Z$34&gt;0,(INDEX(A_Aufgaben,(Z$34-Arbeitszeit!$A$6+1),(2*(ROW()-ROW(A_Endedatum))-1))),"")</f>
        <v/>
      </c>
      <c r="AA56" s="541" t="str">
        <f>IF(AA$34&gt;0,(INDEX(A_Aufgaben,(AA$34-Arbeitszeit!$A$6+1),(2*(ROW()-ROW(A_Endedatum))-1))),"")</f>
        <v/>
      </c>
      <c r="AB56" s="542" t="str">
        <f>IF(AB$34&gt;0,(INDEX(A_Aufgaben,(AB$34-Arbeitszeit!$A$6+1),(2*(ROW()-ROW(A_Endedatum))-1))),"")</f>
        <v/>
      </c>
      <c r="AC56" s="541" t="str">
        <f>IF(AC$34&gt;0,(INDEX(A_Aufgaben,(AC$34-Arbeitszeit!$A$6+1),(2*(ROW()-ROW(A_Endedatum))-1))),"")</f>
        <v/>
      </c>
      <c r="AD56" s="542" t="str">
        <f>IF(AD$34&gt;0,(INDEX(A_Aufgaben,(AD$34-Arbeitszeit!$A$6+1),(2*(ROW()-ROW(A_Endedatum))-1))),"")</f>
        <v/>
      </c>
      <c r="AE56" s="541" t="str">
        <f>IF(AE$34&gt;0,(INDEX(A_Aufgaben,(AE$34-Arbeitszeit!$A$6+1),(2*(ROW()-ROW(A_Endedatum))-1))),"")</f>
        <v/>
      </c>
      <c r="AF56" s="542" t="str">
        <f>IF(AF$34&gt;0,(INDEX(A_Aufgaben,(AF$34-Arbeitszeit!$A$6+1),(2*(ROW()-ROW(A_Endedatum))-1))),"")</f>
        <v/>
      </c>
      <c r="AG56" s="541" t="str">
        <f>IF(AG$34&gt;0,(INDEX(A_Aufgaben,(AG$34-Arbeitszeit!$A$6+1),(2*(ROW()-ROW(A_Endedatum))-1))),"")</f>
        <v/>
      </c>
      <c r="AH56" s="550">
        <f t="shared" si="7"/>
        <v>0</v>
      </c>
      <c r="AI56" s="3">
        <f t="shared" si="8"/>
        <v>0</v>
      </c>
      <c r="AJ56" s="571">
        <f t="shared" si="11"/>
        <v>0</v>
      </c>
    </row>
    <row r="57" spans="1:36" hidden="1" outlineLevel="1">
      <c r="D57" s="551"/>
      <c r="F57" s="551"/>
      <c r="H57" s="551"/>
      <c r="J57" s="551"/>
      <c r="L57" s="551"/>
      <c r="N57" s="551"/>
      <c r="P57" s="551"/>
      <c r="R57" s="551"/>
      <c r="T57" s="551"/>
      <c r="V57" s="551"/>
      <c r="X57" s="551"/>
      <c r="Z57" s="551"/>
      <c r="AB57" s="551"/>
      <c r="AD57" s="551"/>
      <c r="AF57" s="551"/>
      <c r="AH57" s="552"/>
      <c r="AJ57" s="572"/>
    </row>
    <row r="58" spans="1:36" collapsed="1">
      <c r="B58" s="566" t="s">
        <v>84</v>
      </c>
      <c r="C58" s="544">
        <f>SUM(C35:C57)</f>
        <v>0</v>
      </c>
      <c r="D58" s="545">
        <f t="shared" ref="D58:AH58" si="12">SUM(D35:D57)</f>
        <v>0</v>
      </c>
      <c r="E58" s="544">
        <f t="shared" si="12"/>
        <v>0</v>
      </c>
      <c r="F58" s="545">
        <f t="shared" si="12"/>
        <v>0</v>
      </c>
      <c r="G58" s="544">
        <f t="shared" si="12"/>
        <v>0</v>
      </c>
      <c r="H58" s="545">
        <f t="shared" si="12"/>
        <v>0</v>
      </c>
      <c r="I58" s="544">
        <f t="shared" si="12"/>
        <v>0</v>
      </c>
      <c r="J58" s="545">
        <f t="shared" si="12"/>
        <v>0</v>
      </c>
      <c r="K58" s="544">
        <f t="shared" si="12"/>
        <v>0</v>
      </c>
      <c r="L58" s="545">
        <f t="shared" si="12"/>
        <v>0</v>
      </c>
      <c r="M58" s="544">
        <f t="shared" si="12"/>
        <v>0</v>
      </c>
      <c r="N58" s="545">
        <f t="shared" si="12"/>
        <v>0</v>
      </c>
      <c r="O58" s="544">
        <f t="shared" si="12"/>
        <v>0</v>
      </c>
      <c r="P58" s="545">
        <f t="shared" si="12"/>
        <v>0</v>
      </c>
      <c r="Q58" s="544">
        <f t="shared" si="12"/>
        <v>0</v>
      </c>
      <c r="R58" s="545">
        <f t="shared" si="12"/>
        <v>0</v>
      </c>
      <c r="S58" s="544">
        <f t="shared" si="12"/>
        <v>0</v>
      </c>
      <c r="T58" s="545">
        <f t="shared" si="12"/>
        <v>0</v>
      </c>
      <c r="U58" s="544">
        <f t="shared" si="12"/>
        <v>0</v>
      </c>
      <c r="V58" s="545">
        <f t="shared" si="12"/>
        <v>0</v>
      </c>
      <c r="W58" s="544">
        <f t="shared" si="12"/>
        <v>0</v>
      </c>
      <c r="X58" s="545">
        <f t="shared" si="12"/>
        <v>0</v>
      </c>
      <c r="Y58" s="544">
        <f t="shared" si="12"/>
        <v>0</v>
      </c>
      <c r="Z58" s="545">
        <f t="shared" si="12"/>
        <v>0</v>
      </c>
      <c r="AA58" s="544">
        <f t="shared" si="12"/>
        <v>0</v>
      </c>
      <c r="AB58" s="545">
        <f t="shared" si="12"/>
        <v>0</v>
      </c>
      <c r="AC58" s="544">
        <f t="shared" si="12"/>
        <v>0</v>
      </c>
      <c r="AD58" s="545">
        <f t="shared" si="12"/>
        <v>0</v>
      </c>
      <c r="AE58" s="544">
        <f t="shared" si="12"/>
        <v>0</v>
      </c>
      <c r="AF58" s="545">
        <f t="shared" si="12"/>
        <v>0</v>
      </c>
      <c r="AG58" s="544">
        <f t="shared" si="12"/>
        <v>0</v>
      </c>
      <c r="AH58" s="567">
        <f t="shared" si="12"/>
        <v>0</v>
      </c>
      <c r="AJ58" s="573">
        <f>SUM(AJ35:AJ57)</f>
        <v>0</v>
      </c>
    </row>
    <row r="59" spans="1:36">
      <c r="C59" s="568" t="str">
        <f>IF(C58&gt;0,1,"")</f>
        <v/>
      </c>
      <c r="D59" s="568" t="str">
        <f t="shared" ref="D59:AG59" si="13">IF(D58&gt;0,1,"")</f>
        <v/>
      </c>
      <c r="E59" s="568" t="str">
        <f t="shared" si="13"/>
        <v/>
      </c>
      <c r="F59" s="568" t="str">
        <f t="shared" si="13"/>
        <v/>
      </c>
      <c r="G59" s="568" t="str">
        <f t="shared" si="13"/>
        <v/>
      </c>
      <c r="H59" s="568" t="str">
        <f t="shared" si="13"/>
        <v/>
      </c>
      <c r="I59" s="568" t="str">
        <f t="shared" si="13"/>
        <v/>
      </c>
      <c r="J59" s="568" t="str">
        <f t="shared" si="13"/>
        <v/>
      </c>
      <c r="K59" s="568" t="str">
        <f t="shared" si="13"/>
        <v/>
      </c>
      <c r="L59" s="568" t="str">
        <f t="shared" si="13"/>
        <v/>
      </c>
      <c r="M59" s="568" t="str">
        <f t="shared" si="13"/>
        <v/>
      </c>
      <c r="N59" s="568" t="str">
        <f t="shared" si="13"/>
        <v/>
      </c>
      <c r="O59" s="568" t="str">
        <f t="shared" si="13"/>
        <v/>
      </c>
      <c r="P59" s="568" t="str">
        <f t="shared" si="13"/>
        <v/>
      </c>
      <c r="Q59" s="568" t="str">
        <f t="shared" si="13"/>
        <v/>
      </c>
      <c r="R59" s="568" t="str">
        <f t="shared" si="13"/>
        <v/>
      </c>
      <c r="S59" s="568" t="str">
        <f t="shared" si="13"/>
        <v/>
      </c>
      <c r="T59" s="568" t="str">
        <f t="shared" si="13"/>
        <v/>
      </c>
      <c r="U59" s="568" t="str">
        <f t="shared" si="13"/>
        <v/>
      </c>
      <c r="V59" s="568" t="str">
        <f t="shared" si="13"/>
        <v/>
      </c>
      <c r="W59" s="568" t="str">
        <f t="shared" si="13"/>
        <v/>
      </c>
      <c r="X59" s="568" t="str">
        <f t="shared" si="13"/>
        <v/>
      </c>
      <c r="Y59" s="568" t="str">
        <f t="shared" si="13"/>
        <v/>
      </c>
      <c r="Z59" s="568" t="str">
        <f t="shared" si="13"/>
        <v/>
      </c>
      <c r="AA59" s="568" t="str">
        <f t="shared" si="13"/>
        <v/>
      </c>
      <c r="AB59" s="568" t="str">
        <f t="shared" si="13"/>
        <v/>
      </c>
      <c r="AC59" s="568" t="str">
        <f t="shared" si="13"/>
        <v/>
      </c>
      <c r="AD59" s="568" t="str">
        <f t="shared" si="13"/>
        <v/>
      </c>
      <c r="AE59" s="568" t="str">
        <f t="shared" si="13"/>
        <v/>
      </c>
      <c r="AF59" s="568" t="str">
        <f t="shared" si="13"/>
        <v/>
      </c>
      <c r="AG59" s="568" t="str">
        <f t="shared" si="13"/>
        <v/>
      </c>
      <c r="AH59" s="553">
        <f>SUM(C59:AG59)</f>
        <v>0</v>
      </c>
      <c r="AJ59" s="553">
        <f>SUM(D59:AH59)</f>
        <v>0</v>
      </c>
    </row>
  </sheetData>
  <phoneticPr fontId="53" type="noConversion"/>
  <conditionalFormatting sqref="C34:AG34">
    <cfRule type="expression" dxfId="36" priority="1" stopIfTrue="1">
      <formula>WEEKDAY(C34,2)&gt;5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E4" sqref="E4"/>
    </sheetView>
  </sheetViews>
  <sheetFormatPr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4" customWidth="1"/>
    <col min="12" max="12" width="100.7109375" style="357" hidden="1" customWidth="1"/>
    <col min="13" max="13" width="11.7109375" style="60" customWidth="1"/>
    <col min="14" max="14" width="100.7109375" style="24" hidden="1" customWidth="1"/>
    <col min="15" max="15" width="11.7109375" style="24" customWidth="1"/>
    <col min="16" max="16" width="100.7109375" style="24" hidden="1" customWidth="1"/>
    <col min="17" max="17" width="11.7109375" style="24" customWidth="1"/>
    <col min="18" max="18" width="100.7109375" style="24" hidden="1" customWidth="1"/>
    <col min="19" max="19" width="11.7109375" style="24" customWidth="1"/>
    <col min="20" max="20" width="100.7109375" style="24" hidden="1" customWidth="1"/>
    <col min="21" max="21" width="11.7109375" style="24" customWidth="1"/>
    <col min="22" max="22" width="100.7109375" style="24" hidden="1" customWidth="1"/>
    <col min="23" max="23" width="11.7109375" style="24" customWidth="1"/>
    <col min="24" max="24" width="100.7109375" style="24" hidden="1" customWidth="1"/>
    <col min="25" max="25" width="11.7109375" style="24" customWidth="1"/>
    <col min="26" max="26" width="100.7109375" style="24" hidden="1" customWidth="1"/>
    <col min="27" max="27" width="11.7109375" style="24" customWidth="1"/>
    <col min="28" max="28" width="100.7109375" style="24" hidden="1" customWidth="1"/>
    <col min="29" max="29" width="11.7109375" style="62" customWidth="1"/>
    <col min="30" max="30" width="100.7109375" style="24" hidden="1" customWidth="1"/>
    <col min="31" max="31" width="11.7109375" style="24" customWidth="1"/>
    <col min="32" max="32" width="100.7109375" style="101" hidden="1" customWidth="1"/>
    <col min="33" max="33" width="11.7109375" style="24" customWidth="1"/>
    <col min="34" max="34" width="100.7109375" style="101" hidden="1" customWidth="1"/>
    <col min="35" max="35" width="11.7109375" style="24" customWidth="1"/>
    <col min="36" max="36" width="100.7109375" style="101" hidden="1" customWidth="1"/>
    <col min="37" max="37" width="11.7109375" style="24" customWidth="1"/>
    <col min="38" max="38" width="100.7109375" style="101" hidden="1" customWidth="1"/>
    <col min="39" max="39" width="11.7109375" style="510" customWidth="1"/>
    <col min="40" max="40" width="100.7109375" style="101" hidden="1" customWidth="1"/>
    <col min="41" max="41" width="11.7109375" style="24" customWidth="1"/>
    <col min="42" max="42" width="100.7109375" style="101" hidden="1" customWidth="1"/>
    <col min="43" max="43" width="11.7109375" style="510" customWidth="1"/>
    <col min="44" max="44" width="100.7109375" style="101" hidden="1" customWidth="1"/>
    <col min="45" max="45" width="11.7109375" style="101" customWidth="1"/>
    <col min="46" max="46" width="100.7109375" style="101" hidden="1" customWidth="1"/>
    <col min="47" max="47" width="11.7109375" style="510" customWidth="1"/>
    <col min="48" max="48" width="100.7109375" style="101" hidden="1" customWidth="1"/>
    <col min="49" max="49" width="11.7109375" style="101" customWidth="1"/>
    <col min="50" max="50" width="100.7109375" style="101" hidden="1" customWidth="1"/>
    <col min="51" max="51" width="26.28515625" customWidth="1"/>
    <col min="52" max="52" width="0" hidden="1" customWidth="1"/>
  </cols>
  <sheetData>
    <row r="1" spans="1:52" s="151" customFormat="1" ht="43.5" customHeight="1">
      <c r="A1" s="670">
        <f>Arbeitszeit!xJahr</f>
        <v>43465</v>
      </c>
      <c r="B1" s="670"/>
      <c r="C1" s="386" t="s">
        <v>144</v>
      </c>
      <c r="D1" s="670">
        <f>Arbeitszeit!xJahrEnd</f>
        <v>43829</v>
      </c>
      <c r="E1" s="670"/>
      <c r="F1" s="370"/>
      <c r="G1" s="413">
        <v>1</v>
      </c>
      <c r="H1" s="413">
        <f>G1</f>
        <v>1</v>
      </c>
      <c r="I1" s="413">
        <v>2</v>
      </c>
      <c r="J1" s="413">
        <f>I1</f>
        <v>2</v>
      </c>
      <c r="K1" s="413">
        <v>3</v>
      </c>
      <c r="L1" s="413">
        <f>K1</f>
        <v>3</v>
      </c>
      <c r="M1" s="413">
        <v>4</v>
      </c>
      <c r="N1" s="413">
        <f>M1</f>
        <v>4</v>
      </c>
      <c r="O1" s="413">
        <v>5</v>
      </c>
      <c r="P1" s="413">
        <f>O1</f>
        <v>5</v>
      </c>
      <c r="Q1" s="413">
        <v>6</v>
      </c>
      <c r="R1" s="413">
        <f>Q1</f>
        <v>6</v>
      </c>
      <c r="S1" s="413">
        <v>7</v>
      </c>
      <c r="T1" s="413">
        <f>S1</f>
        <v>7</v>
      </c>
      <c r="U1" s="413">
        <v>8</v>
      </c>
      <c r="V1" s="413">
        <f>U1</f>
        <v>8</v>
      </c>
      <c r="W1" s="413">
        <v>9</v>
      </c>
      <c r="X1" s="413">
        <f>W1</f>
        <v>9</v>
      </c>
      <c r="Y1" s="413">
        <v>10</v>
      </c>
      <c r="Z1" s="413">
        <f>Y1</f>
        <v>10</v>
      </c>
      <c r="AA1" s="413">
        <v>11</v>
      </c>
      <c r="AB1" s="413">
        <f>AA1</f>
        <v>11</v>
      </c>
      <c r="AC1" s="413">
        <v>12</v>
      </c>
      <c r="AD1" s="413">
        <f>AC1</f>
        <v>12</v>
      </c>
      <c r="AE1" s="413">
        <v>13</v>
      </c>
      <c r="AF1" s="413">
        <f>AE1</f>
        <v>13</v>
      </c>
      <c r="AG1" s="413">
        <v>14</v>
      </c>
      <c r="AH1" s="413">
        <f>AG1</f>
        <v>14</v>
      </c>
      <c r="AI1" s="413">
        <v>15</v>
      </c>
      <c r="AJ1" s="413">
        <f>AI1</f>
        <v>15</v>
      </c>
      <c r="AK1" s="413">
        <v>16</v>
      </c>
      <c r="AL1" s="413">
        <f>AK1</f>
        <v>16</v>
      </c>
      <c r="AM1" s="509">
        <v>17</v>
      </c>
      <c r="AN1" s="413">
        <f>AM1</f>
        <v>17</v>
      </c>
      <c r="AO1" s="413">
        <v>18</v>
      </c>
      <c r="AP1" s="413">
        <f>AO1</f>
        <v>18</v>
      </c>
      <c r="AQ1" s="413">
        <v>19</v>
      </c>
      <c r="AR1" s="413">
        <f>AQ1</f>
        <v>19</v>
      </c>
      <c r="AS1" s="413">
        <v>20</v>
      </c>
      <c r="AT1" s="413">
        <f>AS1</f>
        <v>20</v>
      </c>
      <c r="AU1" s="413">
        <v>21</v>
      </c>
      <c r="AV1" s="387">
        <f>AU1</f>
        <v>21</v>
      </c>
      <c r="AW1" s="413">
        <v>22</v>
      </c>
      <c r="AX1" s="387">
        <f>AW1</f>
        <v>22</v>
      </c>
      <c r="AY1" s="411" t="s">
        <v>18</v>
      </c>
    </row>
    <row r="2" spans="1:52" s="75" customFormat="1" ht="17.25" customHeight="1" thickBot="1">
      <c r="A2" s="671" t="s">
        <v>51</v>
      </c>
      <c r="B2" s="671"/>
      <c r="C2" s="671"/>
      <c r="D2" s="671"/>
      <c r="E2" s="671"/>
      <c r="F2" s="672"/>
      <c r="G2" s="518">
        <f>SUM(G4:G372)</f>
        <v>0</v>
      </c>
      <c r="H2" s="518"/>
      <c r="I2" s="518">
        <f>SUM(I4:I372)</f>
        <v>0</v>
      </c>
      <c r="J2" s="518"/>
      <c r="K2" s="518">
        <f>SUM(K4:K372)</f>
        <v>0</v>
      </c>
      <c r="L2" s="388"/>
      <c r="M2" s="518">
        <f>SUM(M4:M372)</f>
        <v>0</v>
      </c>
      <c r="N2" s="519"/>
      <c r="O2" s="518">
        <f>SUM(O4:O372)</f>
        <v>0</v>
      </c>
      <c r="P2" s="519"/>
      <c r="Q2" s="518">
        <f>SUM(Q4:Q372)</f>
        <v>0</v>
      </c>
      <c r="R2" s="519"/>
      <c r="S2" s="518">
        <f>SUM(S4:S372)</f>
        <v>0</v>
      </c>
      <c r="T2" s="519"/>
      <c r="U2" s="518">
        <f>SUM(U4:U372)</f>
        <v>0</v>
      </c>
      <c r="V2" s="519"/>
      <c r="W2" s="518">
        <f>SUM(W4:W372)</f>
        <v>0</v>
      </c>
      <c r="X2" s="519"/>
      <c r="Y2" s="518">
        <f>SUM(Y4:Y372)</f>
        <v>0</v>
      </c>
      <c r="Z2" s="519"/>
      <c r="AA2" s="518">
        <f>SUM(AA4:AA372)</f>
        <v>0</v>
      </c>
      <c r="AB2" s="519"/>
      <c r="AC2" s="518">
        <f>SUM(AC4:AC372)</f>
        <v>0</v>
      </c>
      <c r="AD2" s="519"/>
      <c r="AE2" s="518">
        <f>SUM(AE4:AE372)</f>
        <v>0</v>
      </c>
      <c r="AF2" s="388"/>
      <c r="AG2" s="518">
        <f>SUM(AG4:AG372)</f>
        <v>0</v>
      </c>
      <c r="AH2" s="388"/>
      <c r="AI2" s="518">
        <f>SUM(AI4:AI372)</f>
        <v>0</v>
      </c>
      <c r="AJ2" s="388"/>
      <c r="AK2" s="518">
        <f>SUM(AK4:AK372)</f>
        <v>0</v>
      </c>
      <c r="AL2" s="388"/>
      <c r="AM2" s="518">
        <f>SUM(AM4:AM372)</f>
        <v>0</v>
      </c>
      <c r="AN2" s="388"/>
      <c r="AO2" s="518">
        <f>SUM(AO4:AO372)</f>
        <v>0</v>
      </c>
      <c r="AP2" s="388"/>
      <c r="AQ2" s="518">
        <f>SUM(AQ4:AQ372)</f>
        <v>0</v>
      </c>
      <c r="AR2" s="388"/>
      <c r="AS2" s="518">
        <f>SUM(AS4:AS372)</f>
        <v>0</v>
      </c>
      <c r="AT2" s="388"/>
      <c r="AU2" s="518">
        <f>SUM(AU4:AU372)</f>
        <v>0</v>
      </c>
      <c r="AV2" s="388"/>
      <c r="AW2" s="518">
        <f>SUM(AW4:AW372)</f>
        <v>0</v>
      </c>
      <c r="AX2" s="388"/>
      <c r="AY2" s="389"/>
    </row>
    <row r="3" spans="1:52" s="344" customFormat="1" ht="26.25" customHeight="1" thickTop="1">
      <c r="A3" s="343" t="s">
        <v>166</v>
      </c>
      <c r="B3" s="345" t="s">
        <v>41</v>
      </c>
      <c r="C3" s="345" t="s">
        <v>22</v>
      </c>
      <c r="D3" s="346" t="s">
        <v>23</v>
      </c>
      <c r="E3" s="350" t="s">
        <v>130</v>
      </c>
      <c r="F3" s="351" t="s">
        <v>131</v>
      </c>
      <c r="G3" s="352" t="str">
        <f>INDEX(g_NameAufgaben,G$1)</f>
        <v>Urlaub</v>
      </c>
      <c r="H3" s="355" t="str">
        <f>G3 &amp; " - " &amp;$AY$1</f>
        <v>Urlaub - Bemerkung</v>
      </c>
      <c r="I3" s="352" t="str">
        <f>INDEX(g_NameAufgaben,I$1)</f>
        <v>Krank</v>
      </c>
      <c r="J3" s="355" t="str">
        <f>I3 &amp; " - " &amp;$AY$1</f>
        <v>Krank - Bemerkung</v>
      </c>
      <c r="K3" s="354" t="str">
        <f>INDEX(g_NameAufgaben,K$1)</f>
        <v>Allgemein</v>
      </c>
      <c r="L3" s="358" t="str">
        <f>K3 &amp; "-" &amp;$AY$1</f>
        <v>Allgemein-Bemerkung</v>
      </c>
      <c r="M3" s="353" t="str">
        <f>INDEX(g_NameAufgaben,M$1)</f>
        <v>Aufgabe 01</v>
      </c>
      <c r="N3" s="359" t="str">
        <f>M3 &amp; " - " &amp;$AY$1</f>
        <v>Aufgabe 01 - Bemerkung</v>
      </c>
      <c r="O3" s="353" t="str">
        <f>INDEX(g_NameAufgaben,O$1)</f>
        <v>Aufgabe 02</v>
      </c>
      <c r="P3" s="359" t="str">
        <f>O3 &amp; " - " &amp;$AY$1</f>
        <v>Aufgabe 02 - Bemerkung</v>
      </c>
      <c r="Q3" s="353" t="str">
        <f>INDEX(g_NameAufgaben,Q$1)</f>
        <v>Aufgabe 03</v>
      </c>
      <c r="R3" s="359" t="str">
        <f>Q3 &amp; " - " &amp;$AY$1</f>
        <v>Aufgabe 03 - Bemerkung</v>
      </c>
      <c r="S3" s="353" t="str">
        <f>INDEX(g_NameAufgaben,S$1)</f>
        <v>Aufgabe 04</v>
      </c>
      <c r="T3" s="359" t="str">
        <f>S3 &amp; " - " &amp;$AY$1</f>
        <v>Aufgabe 04 - Bemerkung</v>
      </c>
      <c r="U3" s="353" t="str">
        <f>INDEX(g_NameAufgaben,U$1)</f>
        <v>Aufgabe 05</v>
      </c>
      <c r="V3" s="359" t="str">
        <f>U3 &amp; " - " &amp;$AY$1</f>
        <v>Aufgabe 05 - Bemerkung</v>
      </c>
      <c r="W3" s="353" t="str">
        <f>INDEX(g_NameAufgaben,W$1)</f>
        <v>Aufgabe 06</v>
      </c>
      <c r="X3" s="359" t="str">
        <f>W3 &amp; " - " &amp;$AY$1</f>
        <v>Aufgabe 06 - Bemerkung</v>
      </c>
      <c r="Y3" s="353" t="str">
        <f>INDEX(g_NameAufgaben,Y$1)</f>
        <v>Aufgabe 07</v>
      </c>
      <c r="Z3" s="359" t="str">
        <f>Y3 &amp; " - " &amp;$AY$1</f>
        <v>Aufgabe 07 - Bemerkung</v>
      </c>
      <c r="AA3" s="353" t="str">
        <f>INDEX(g_NameAufgaben,AA$1)</f>
        <v>Aufgabe 08</v>
      </c>
      <c r="AB3" s="359" t="str">
        <f>AA3 &amp; " - " &amp;$AY$1</f>
        <v>Aufgabe 08 - Bemerkung</v>
      </c>
      <c r="AC3" s="353" t="str">
        <f>INDEX(g_NameAufgaben,AC$1)</f>
        <v>Aufgabe 09</v>
      </c>
      <c r="AD3" s="359" t="str">
        <f>AC3 &amp; " - " &amp;$AY$1</f>
        <v>Aufgabe 09 - Bemerkung</v>
      </c>
      <c r="AE3" s="353" t="str">
        <f>INDEX(g_NameAufgaben,AE$1)</f>
        <v>Aufgabe 10</v>
      </c>
      <c r="AF3" s="359" t="str">
        <f>AE3 &amp; " - " &amp;$AY$1</f>
        <v>Aufgabe 10 - Bemerkung</v>
      </c>
      <c r="AG3" s="353" t="str">
        <f>INDEX(g_NameAufgaben,AG$1)</f>
        <v>Aufgabe 11</v>
      </c>
      <c r="AH3" s="359" t="str">
        <f>AG3 &amp; " - " &amp;$AY$1</f>
        <v>Aufgabe 11 - Bemerkung</v>
      </c>
      <c r="AI3" s="353" t="str">
        <f>INDEX(g_NameAufgaben,AI$1)</f>
        <v>Aufgabe 12</v>
      </c>
      <c r="AJ3" s="359" t="str">
        <f>AI3 &amp; " - " &amp;$AY$1</f>
        <v>Aufgabe 12 - Bemerkung</v>
      </c>
      <c r="AK3" s="353" t="str">
        <f>INDEX(g_NameAufgaben,AK$1)</f>
        <v>Aufgabe 13</v>
      </c>
      <c r="AL3" s="359" t="str">
        <f>AK3 &amp; " - " &amp;$AY$1</f>
        <v>Aufgabe 13 - Bemerkung</v>
      </c>
      <c r="AM3" s="353" t="str">
        <f>INDEX(g_NameAufgaben,AM$1)</f>
        <v>Aufgabe 14</v>
      </c>
      <c r="AN3" s="359" t="str">
        <f>AM3 &amp; " - " &amp;$AY$1</f>
        <v>Aufgabe 14 - Bemerkung</v>
      </c>
      <c r="AO3" s="353" t="str">
        <f>INDEX(g_NameAufgaben,AO$1)</f>
        <v>Aufgabe 15</v>
      </c>
      <c r="AP3" s="359" t="str">
        <f>AO3 &amp; " - " &amp;$AY$1</f>
        <v>Aufgabe 15 - Bemerkung</v>
      </c>
      <c r="AQ3" s="353" t="str">
        <f>INDEX(g_NameAufgaben,AQ$1)</f>
        <v>Aufgabe 16</v>
      </c>
      <c r="AR3" s="359" t="str">
        <f>AQ3 &amp; " - " &amp;$AY$1</f>
        <v>Aufgabe 16 - Bemerkung</v>
      </c>
      <c r="AS3" s="353" t="str">
        <f>INDEX(g_NameAufgaben,AS$1)</f>
        <v>Aufgabe 17</v>
      </c>
      <c r="AT3" s="359" t="str">
        <f>AS3 &amp; " - " &amp;$AY$1</f>
        <v>Aufgabe 17 - Bemerkung</v>
      </c>
      <c r="AU3" s="353" t="str">
        <f>INDEX(g_NameAufgaben,AU$1)</f>
        <v>Aufgabe 18</v>
      </c>
      <c r="AV3" s="359" t="str">
        <f>AU3 &amp; " - " &amp;$AY$1</f>
        <v>Aufgabe 18 - Bemerkung</v>
      </c>
      <c r="AW3" s="353" t="str">
        <f>INDEX(g_NameAufgaben,AW$1)</f>
        <v>Aufgabe 19</v>
      </c>
      <c r="AX3" s="359" t="str">
        <f>AW3 &amp; " - " &amp;$AY$1</f>
        <v>Aufgabe 19 - Bemerkung</v>
      </c>
      <c r="AY3" s="412" t="s">
        <v>55</v>
      </c>
    </row>
    <row r="4" spans="1:52">
      <c r="A4" s="347" t="s">
        <v>129</v>
      </c>
      <c r="B4" s="347"/>
      <c r="C4" s="348"/>
      <c r="D4" s="348"/>
      <c r="E4" s="588">
        <f>Einstellungen!H10</f>
        <v>0</v>
      </c>
      <c r="F4" s="349">
        <f>ROUND(E4-SUM(K4:AW4),1)</f>
        <v>0</v>
      </c>
      <c r="G4" s="155">
        <f>IF(Arbeitszeit!F5=Urlaub,B_WorkTime*24,)</f>
        <v>0</v>
      </c>
      <c r="H4" s="153"/>
      <c r="I4" s="155">
        <f>IF(Arbeitszeit!F5=Krank,B_WorkTime*24,)</f>
        <v>0</v>
      </c>
      <c r="J4" s="153"/>
      <c r="K4" s="156"/>
      <c r="L4" s="157"/>
      <c r="M4" s="577"/>
      <c r="N4" s="578"/>
      <c r="O4" s="577"/>
      <c r="P4" s="578"/>
      <c r="Q4" s="577"/>
      <c r="R4" s="578"/>
      <c r="S4" s="577"/>
      <c r="T4" s="578"/>
      <c r="U4" s="577"/>
      <c r="V4" s="578"/>
      <c r="W4" s="577"/>
      <c r="X4" s="578"/>
      <c r="Y4" s="577"/>
      <c r="Z4" s="578"/>
      <c r="AA4" s="577"/>
      <c r="AB4" s="578"/>
      <c r="AC4" s="577"/>
      <c r="AD4" s="578"/>
      <c r="AE4" s="577"/>
      <c r="AF4" s="579"/>
      <c r="AG4" s="577"/>
      <c r="AH4" s="579"/>
      <c r="AI4" s="577"/>
      <c r="AJ4" s="579"/>
      <c r="AK4" s="577"/>
      <c r="AL4" s="579"/>
      <c r="AM4" s="580"/>
      <c r="AN4" s="579"/>
      <c r="AO4" s="577"/>
      <c r="AP4" s="579"/>
      <c r="AQ4" s="580"/>
      <c r="AR4" s="579"/>
      <c r="AS4" s="579"/>
      <c r="AT4" s="579"/>
      <c r="AU4" s="580"/>
      <c r="AV4" s="579"/>
      <c r="AW4" s="579"/>
      <c r="AX4" s="158"/>
      <c r="AY4" s="154"/>
    </row>
    <row r="5" spans="1:52">
      <c r="A5" s="520">
        <f>Arbeitszeit!A6</f>
        <v>43465</v>
      </c>
      <c r="B5" s="521">
        <f>IF(A5="","",A5)</f>
        <v>43465</v>
      </c>
      <c r="C5" s="191">
        <f>IF(A5="","",NumberOfWeek(A5))</f>
        <v>52</v>
      </c>
      <c r="D5" s="190">
        <f>IF(A5="","",DATE(YEAR(A5),MONTH(A5),1))</f>
        <v>43465</v>
      </c>
      <c r="E5" s="589">
        <f>Arbeitszeit!V6*24</f>
        <v>0</v>
      </c>
      <c r="F5" s="349">
        <f>ROUND(E5-SUM(K5:AW5),1)</f>
        <v>0</v>
      </c>
      <c r="G5" s="155">
        <f>IF(Arbeitszeit!F6=Urlaub,B_WorkTime*24,)</f>
        <v>0</v>
      </c>
      <c r="H5" s="153"/>
      <c r="I5" s="155">
        <f>IF(Arbeitszeit!F6=Krank,B_WorkTime*24,)</f>
        <v>0</v>
      </c>
      <c r="J5" s="153"/>
      <c r="K5" s="156"/>
      <c r="L5" s="157"/>
      <c r="M5" s="577"/>
      <c r="N5" s="578"/>
      <c r="O5" s="577"/>
      <c r="P5" s="578"/>
      <c r="Q5" s="577"/>
      <c r="R5" s="578"/>
      <c r="S5" s="577"/>
      <c r="T5" s="578"/>
      <c r="U5" s="577"/>
      <c r="V5" s="578"/>
      <c r="W5" s="577"/>
      <c r="X5" s="578"/>
      <c r="Y5" s="577"/>
      <c r="Z5" s="578"/>
      <c r="AA5" s="577"/>
      <c r="AB5" s="578"/>
      <c r="AC5" s="577"/>
      <c r="AD5" s="578"/>
      <c r="AE5" s="577"/>
      <c r="AF5" s="579"/>
      <c r="AG5" s="577"/>
      <c r="AH5" s="579"/>
      <c r="AI5" s="577"/>
      <c r="AJ5" s="579"/>
      <c r="AK5" s="577"/>
      <c r="AL5" s="579"/>
      <c r="AM5" s="580"/>
      <c r="AN5" s="579"/>
      <c r="AO5" s="577"/>
      <c r="AP5" s="579"/>
      <c r="AQ5" s="580"/>
      <c r="AR5" s="579"/>
      <c r="AS5" s="579"/>
      <c r="AT5" s="579"/>
      <c r="AU5" s="580"/>
      <c r="AV5" s="579"/>
      <c r="AW5" s="579"/>
      <c r="AX5" s="158"/>
      <c r="AY5" s="154"/>
      <c r="AZ5">
        <f ca="1">INDIRECT(ADDRESS(ROW()+1,COLUMN(Arbeitszeit!xDay),,,"Arbeitszeit"))</f>
        <v>8</v>
      </c>
    </row>
    <row r="6" spans="1:52">
      <c r="A6" s="520">
        <f>Arbeitszeit!A7</f>
        <v>43466</v>
      </c>
      <c r="B6" s="521">
        <f t="shared" ref="B6:B69" si="0">IF(A6="","",A6)</f>
        <v>43466</v>
      </c>
      <c r="C6" s="191">
        <f>IF(A6="","",NumberOfWeek(A6))</f>
        <v>1</v>
      </c>
      <c r="D6" s="190">
        <f>IF(A6="","",DATE(YEAR(A6),MONTH(A6),1))</f>
        <v>43465</v>
      </c>
      <c r="E6" s="589">
        <f>Arbeitszeit!V7*24</f>
        <v>0</v>
      </c>
      <c r="F6" s="349">
        <f>ROUND(E6-SUM(K6:AW6),1)</f>
        <v>0</v>
      </c>
      <c r="G6" s="155">
        <f>IF(Arbeitszeit!F7=Urlaub,B_WorkTime*24,)</f>
        <v>0</v>
      </c>
      <c r="H6" s="153"/>
      <c r="I6" s="155">
        <f>IF(Arbeitszeit!F7=Krank,B_WorkTime*24,)</f>
        <v>0</v>
      </c>
      <c r="J6" s="153"/>
      <c r="K6" s="156"/>
      <c r="L6" s="157"/>
      <c r="M6" s="577"/>
      <c r="N6" s="578"/>
      <c r="O6" s="577"/>
      <c r="P6" s="578"/>
      <c r="Q6" s="577"/>
      <c r="R6" s="578"/>
      <c r="S6" s="577"/>
      <c r="T6" s="578"/>
      <c r="U6" s="577"/>
      <c r="V6" s="578"/>
      <c r="W6" s="577"/>
      <c r="X6" s="578"/>
      <c r="Y6" s="577"/>
      <c r="Z6" s="578"/>
      <c r="AA6" s="577"/>
      <c r="AB6" s="578"/>
      <c r="AC6" s="577"/>
      <c r="AD6" s="578"/>
      <c r="AE6" s="577"/>
      <c r="AF6" s="579"/>
      <c r="AG6" s="577"/>
      <c r="AH6" s="579"/>
      <c r="AI6" s="577"/>
      <c r="AJ6" s="579"/>
      <c r="AK6" s="577"/>
      <c r="AL6" s="579"/>
      <c r="AM6" s="580"/>
      <c r="AN6" s="579"/>
      <c r="AO6" s="577"/>
      <c r="AP6" s="579"/>
      <c r="AQ6" s="580"/>
      <c r="AR6" s="579"/>
      <c r="AS6" s="579"/>
      <c r="AT6" s="579"/>
      <c r="AU6" s="580"/>
      <c r="AV6" s="579"/>
      <c r="AW6" s="579"/>
      <c r="AX6" s="158"/>
      <c r="AY6" s="154"/>
      <c r="AZ6">
        <f ca="1">INDIRECT(ADDRESS(ROW()+1,COLUMN(Arbeitszeit!xDay),,,"Arbeitszeit"))</f>
        <v>1</v>
      </c>
    </row>
    <row r="7" spans="1:52">
      <c r="A7" s="520">
        <f>Arbeitszeit!A8</f>
        <v>43467</v>
      </c>
      <c r="B7" s="521">
        <f t="shared" si="0"/>
        <v>43467</v>
      </c>
      <c r="C7" s="191">
        <f t="shared" ref="C7:C70" si="1">IF(A7="","",NumberOfWeek(A7))</f>
        <v>1</v>
      </c>
      <c r="D7" s="190">
        <f t="shared" ref="D7:D70" si="2">IF(A7="","",DATE(YEAR(A7),MONTH(A7),1))</f>
        <v>43465</v>
      </c>
      <c r="E7" s="589">
        <f>Arbeitszeit!V8*24</f>
        <v>0</v>
      </c>
      <c r="F7" s="349">
        <f>ROUND(E7-SUM(K7:AW7),1)</f>
        <v>0</v>
      </c>
      <c r="G7" s="155">
        <f>IF(Arbeitszeit!F8=Urlaub,B_WorkTime*24,)</f>
        <v>0</v>
      </c>
      <c r="H7" s="153"/>
      <c r="I7" s="155">
        <f>IF(Arbeitszeit!F8=Krank,B_WorkTime*24,)</f>
        <v>0</v>
      </c>
      <c r="J7" s="153"/>
      <c r="K7" s="156"/>
      <c r="L7" s="157"/>
      <c r="M7" s="577"/>
      <c r="N7" s="578"/>
      <c r="O7" s="577"/>
      <c r="P7" s="578"/>
      <c r="Q7" s="577"/>
      <c r="R7" s="578"/>
      <c r="S7" s="577"/>
      <c r="T7" s="578"/>
      <c r="U7" s="577"/>
      <c r="V7" s="578"/>
      <c r="W7" s="577"/>
      <c r="X7" s="578"/>
      <c r="Y7" s="577"/>
      <c r="Z7" s="578"/>
      <c r="AA7" s="577"/>
      <c r="AB7" s="578"/>
      <c r="AC7" s="577"/>
      <c r="AD7" s="578"/>
      <c r="AE7" s="577"/>
      <c r="AF7" s="579"/>
      <c r="AG7" s="577"/>
      <c r="AH7" s="579"/>
      <c r="AI7" s="577"/>
      <c r="AJ7" s="579"/>
      <c r="AK7" s="577"/>
      <c r="AL7" s="579"/>
      <c r="AM7" s="580"/>
      <c r="AN7" s="579"/>
      <c r="AO7" s="577"/>
      <c r="AP7" s="579"/>
      <c r="AQ7" s="580"/>
      <c r="AR7" s="579"/>
      <c r="AS7" s="579"/>
      <c r="AT7" s="579"/>
      <c r="AU7" s="580"/>
      <c r="AV7" s="579"/>
      <c r="AW7" s="579"/>
      <c r="AX7" s="158"/>
      <c r="AY7" s="159"/>
      <c r="AZ7">
        <f ca="1">INDIRECT(ADDRESS(ROW()+1,COLUMN(Arbeitszeit!xDay),,,"Arbeitszeit"))</f>
        <v>2</v>
      </c>
    </row>
    <row r="8" spans="1:52">
      <c r="A8" s="520">
        <f>Arbeitszeit!A9</f>
        <v>43468</v>
      </c>
      <c r="B8" s="521">
        <f t="shared" si="0"/>
        <v>43468</v>
      </c>
      <c r="C8" s="191">
        <f t="shared" si="1"/>
        <v>1</v>
      </c>
      <c r="D8" s="190">
        <f t="shared" si="2"/>
        <v>43465</v>
      </c>
      <c r="E8" s="589">
        <f>Arbeitszeit!V9*24</f>
        <v>0</v>
      </c>
      <c r="F8" s="349">
        <f t="shared" ref="F8:F71" si="3">ROUND(E8-SUM(K8:AW8),1)</f>
        <v>0</v>
      </c>
      <c r="G8" s="155">
        <f>IF(Arbeitszeit!F9=Urlaub,B_WorkTime*24,)</f>
        <v>0</v>
      </c>
      <c r="H8" s="153"/>
      <c r="I8" s="155">
        <f>IF(Arbeitszeit!F9=Krank,B_WorkTime*24,)</f>
        <v>0</v>
      </c>
      <c r="J8" s="153"/>
      <c r="K8" s="156"/>
      <c r="L8" s="157"/>
      <c r="M8" s="577"/>
      <c r="N8" s="578"/>
      <c r="O8" s="577"/>
      <c r="P8" s="578"/>
      <c r="Q8" s="577"/>
      <c r="R8" s="578"/>
      <c r="S8" s="577"/>
      <c r="T8" s="578"/>
      <c r="U8" s="577"/>
      <c r="V8" s="578"/>
      <c r="W8" s="577"/>
      <c r="X8" s="578"/>
      <c r="Y8" s="577"/>
      <c r="Z8" s="578"/>
      <c r="AA8" s="577"/>
      <c r="AB8" s="578"/>
      <c r="AC8" s="577"/>
      <c r="AD8" s="578"/>
      <c r="AE8" s="577"/>
      <c r="AF8" s="579"/>
      <c r="AG8" s="577"/>
      <c r="AH8" s="579"/>
      <c r="AI8" s="577"/>
      <c r="AJ8" s="579"/>
      <c r="AK8" s="577"/>
      <c r="AL8" s="579"/>
      <c r="AM8" s="580"/>
      <c r="AN8" s="579"/>
      <c r="AO8" s="577"/>
      <c r="AP8" s="579"/>
      <c r="AQ8" s="580"/>
      <c r="AR8" s="579"/>
      <c r="AS8" s="579"/>
      <c r="AT8" s="579"/>
      <c r="AU8" s="580"/>
      <c r="AV8" s="579"/>
      <c r="AW8" s="579"/>
      <c r="AX8" s="158"/>
      <c r="AY8" s="154"/>
      <c r="AZ8">
        <f ca="1">INDIRECT(ADDRESS(ROW()+1,COLUMN(Arbeitszeit!xDay),,,"Arbeitszeit"))</f>
        <v>3</v>
      </c>
    </row>
    <row r="9" spans="1:52">
      <c r="A9" s="520">
        <f>Arbeitszeit!A10</f>
        <v>43469</v>
      </c>
      <c r="B9" s="521">
        <f t="shared" si="0"/>
        <v>43469</v>
      </c>
      <c r="C9" s="191">
        <f t="shared" si="1"/>
        <v>1</v>
      </c>
      <c r="D9" s="190">
        <f t="shared" si="2"/>
        <v>43465</v>
      </c>
      <c r="E9" s="589">
        <f>Arbeitszeit!V10*24</f>
        <v>0</v>
      </c>
      <c r="F9" s="349">
        <f t="shared" si="3"/>
        <v>0</v>
      </c>
      <c r="G9" s="155">
        <f>IF(Arbeitszeit!F10=Urlaub,B_WorkTime*24,)</f>
        <v>0</v>
      </c>
      <c r="H9" s="153"/>
      <c r="I9" s="155">
        <f>IF(Arbeitszeit!F10=Krank,B_WorkTime*24,)</f>
        <v>0</v>
      </c>
      <c r="J9" s="153"/>
      <c r="K9" s="156"/>
      <c r="L9" s="157"/>
      <c r="M9" s="577"/>
      <c r="N9" s="578"/>
      <c r="O9" s="577"/>
      <c r="P9" s="578"/>
      <c r="Q9" s="577"/>
      <c r="R9" s="578"/>
      <c r="S9" s="577"/>
      <c r="T9" s="578"/>
      <c r="U9" s="577"/>
      <c r="V9" s="578"/>
      <c r="W9" s="577"/>
      <c r="X9" s="578"/>
      <c r="Y9" s="577"/>
      <c r="Z9" s="578"/>
      <c r="AA9" s="577"/>
      <c r="AB9" s="578"/>
      <c r="AC9" s="577"/>
      <c r="AD9" s="578"/>
      <c r="AE9" s="577"/>
      <c r="AF9" s="579"/>
      <c r="AG9" s="577"/>
      <c r="AH9" s="579"/>
      <c r="AI9" s="577"/>
      <c r="AJ9" s="579"/>
      <c r="AK9" s="577"/>
      <c r="AL9" s="579"/>
      <c r="AM9" s="580"/>
      <c r="AN9" s="579"/>
      <c r="AO9" s="577"/>
      <c r="AP9" s="579"/>
      <c r="AQ9" s="580"/>
      <c r="AR9" s="579"/>
      <c r="AS9" s="579"/>
      <c r="AT9" s="579"/>
      <c r="AU9" s="580"/>
      <c r="AV9" s="579"/>
      <c r="AW9" s="579"/>
      <c r="AX9" s="158"/>
      <c r="AY9" s="154"/>
      <c r="AZ9">
        <f ca="1">INDIRECT(ADDRESS(ROW()+1,COLUMN(Arbeitszeit!xDay),,,"Arbeitszeit"))</f>
        <v>4</v>
      </c>
    </row>
    <row r="10" spans="1:52">
      <c r="A10" s="520">
        <f>Arbeitszeit!A11</f>
        <v>43470</v>
      </c>
      <c r="B10" s="521">
        <f t="shared" si="0"/>
        <v>43470</v>
      </c>
      <c r="C10" s="191">
        <f t="shared" si="1"/>
        <v>1</v>
      </c>
      <c r="D10" s="190">
        <f t="shared" si="2"/>
        <v>43465</v>
      </c>
      <c r="E10" s="589">
        <f>Arbeitszeit!V11*24</f>
        <v>0</v>
      </c>
      <c r="F10" s="349">
        <f t="shared" si="3"/>
        <v>0</v>
      </c>
      <c r="G10" s="155">
        <f>IF(Arbeitszeit!F11=Urlaub,B_WorkTime*24,)</f>
        <v>0</v>
      </c>
      <c r="H10" s="153"/>
      <c r="I10" s="155">
        <f>IF(Arbeitszeit!F11=Krank,B_WorkTime*24,)</f>
        <v>0</v>
      </c>
      <c r="J10" s="153"/>
      <c r="K10" s="156"/>
      <c r="L10" s="157"/>
      <c r="M10" s="577"/>
      <c r="N10" s="578"/>
      <c r="O10" s="577"/>
      <c r="P10" s="578"/>
      <c r="Q10" s="577"/>
      <c r="R10" s="578"/>
      <c r="S10" s="577"/>
      <c r="T10" s="578"/>
      <c r="U10" s="577"/>
      <c r="V10" s="578"/>
      <c r="W10" s="577"/>
      <c r="X10" s="578"/>
      <c r="Y10" s="577"/>
      <c r="Z10" s="578"/>
      <c r="AA10" s="577"/>
      <c r="AB10" s="578"/>
      <c r="AC10" s="577"/>
      <c r="AD10" s="578"/>
      <c r="AE10" s="577"/>
      <c r="AF10" s="579"/>
      <c r="AG10" s="577"/>
      <c r="AH10" s="579"/>
      <c r="AI10" s="577"/>
      <c r="AJ10" s="579"/>
      <c r="AK10" s="577"/>
      <c r="AL10" s="579"/>
      <c r="AM10" s="580"/>
      <c r="AN10" s="579"/>
      <c r="AO10" s="577"/>
      <c r="AP10" s="579"/>
      <c r="AQ10" s="580"/>
      <c r="AR10" s="579"/>
      <c r="AS10" s="579"/>
      <c r="AT10" s="579"/>
      <c r="AU10" s="580"/>
      <c r="AV10" s="579"/>
      <c r="AW10" s="579"/>
      <c r="AX10" s="158"/>
      <c r="AY10" s="154"/>
      <c r="AZ10">
        <f ca="1">INDIRECT(ADDRESS(ROW()+1,COLUMN(Arbeitszeit!xDay),,,"Arbeitszeit"))</f>
        <v>8</v>
      </c>
    </row>
    <row r="11" spans="1:52">
      <c r="A11" s="520">
        <f>Arbeitszeit!A12</f>
        <v>43471</v>
      </c>
      <c r="B11" s="521">
        <f t="shared" si="0"/>
        <v>43471</v>
      </c>
      <c r="C11" s="191">
        <f t="shared" si="1"/>
        <v>1</v>
      </c>
      <c r="D11" s="190">
        <f t="shared" si="2"/>
        <v>43465</v>
      </c>
      <c r="E11" s="589">
        <f>Arbeitszeit!V12*24</f>
        <v>0</v>
      </c>
      <c r="F11" s="349">
        <f t="shared" si="3"/>
        <v>0</v>
      </c>
      <c r="G11" s="155">
        <f>IF(Arbeitszeit!F12=Urlaub,B_WorkTime*24,)</f>
        <v>0</v>
      </c>
      <c r="H11" s="153"/>
      <c r="I11" s="155">
        <f>IF(Arbeitszeit!F12=Krank,B_WorkTime*24,)</f>
        <v>0</v>
      </c>
      <c r="J11" s="153"/>
      <c r="K11" s="156"/>
      <c r="L11" s="157"/>
      <c r="M11" s="577"/>
      <c r="N11" s="578"/>
      <c r="O11" s="577"/>
      <c r="P11" s="578"/>
      <c r="Q11" s="577"/>
      <c r="R11" s="578"/>
      <c r="S11" s="577"/>
      <c r="T11" s="578"/>
      <c r="U11" s="577"/>
      <c r="V11" s="578"/>
      <c r="W11" s="577"/>
      <c r="X11" s="578"/>
      <c r="Y11" s="577"/>
      <c r="Z11" s="578"/>
      <c r="AA11" s="577"/>
      <c r="AB11" s="578"/>
      <c r="AC11" s="577"/>
      <c r="AD11" s="578"/>
      <c r="AE11" s="577"/>
      <c r="AF11" s="579"/>
      <c r="AG11" s="577"/>
      <c r="AH11" s="579"/>
      <c r="AI11" s="577"/>
      <c r="AJ11" s="579"/>
      <c r="AK11" s="577"/>
      <c r="AL11" s="579"/>
      <c r="AM11" s="580"/>
      <c r="AN11" s="579"/>
      <c r="AO11" s="577"/>
      <c r="AP11" s="579"/>
      <c r="AQ11" s="580"/>
      <c r="AR11" s="579"/>
      <c r="AS11" s="579"/>
      <c r="AT11" s="579"/>
      <c r="AU11" s="580"/>
      <c r="AV11" s="579"/>
      <c r="AW11" s="579"/>
      <c r="AX11" s="158"/>
      <c r="AY11" s="154"/>
      <c r="AZ11">
        <f ca="1">INDIRECT(ADDRESS(ROW()+1,COLUMN(Arbeitszeit!xDay),,,"Arbeitszeit"))</f>
        <v>6</v>
      </c>
    </row>
    <row r="12" spans="1:52">
      <c r="A12" s="520">
        <f>Arbeitszeit!A13</f>
        <v>43472</v>
      </c>
      <c r="B12" s="521">
        <f t="shared" si="0"/>
        <v>43472</v>
      </c>
      <c r="C12" s="191">
        <f t="shared" si="1"/>
        <v>1</v>
      </c>
      <c r="D12" s="190">
        <f t="shared" si="2"/>
        <v>43465</v>
      </c>
      <c r="E12" s="589">
        <f>Arbeitszeit!V13*24</f>
        <v>0</v>
      </c>
      <c r="F12" s="349">
        <f t="shared" si="3"/>
        <v>0</v>
      </c>
      <c r="G12" s="155">
        <f>IF(Arbeitszeit!F13=Urlaub,B_WorkTime*24,)</f>
        <v>0</v>
      </c>
      <c r="H12" s="153"/>
      <c r="I12" s="155">
        <f>IF(Arbeitszeit!F13=Krank,B_WorkTime*24,)</f>
        <v>0</v>
      </c>
      <c r="J12" s="153"/>
      <c r="K12" s="156"/>
      <c r="L12" s="157"/>
      <c r="M12" s="577"/>
      <c r="N12" s="578"/>
      <c r="O12" s="577"/>
      <c r="P12" s="578"/>
      <c r="Q12" s="577"/>
      <c r="R12" s="578"/>
      <c r="S12" s="577"/>
      <c r="T12" s="578"/>
      <c r="U12" s="577"/>
      <c r="V12" s="578"/>
      <c r="W12" s="577"/>
      <c r="X12" s="578"/>
      <c r="Y12" s="577"/>
      <c r="Z12" s="578"/>
      <c r="AA12" s="577"/>
      <c r="AB12" s="578"/>
      <c r="AC12" s="577"/>
      <c r="AD12" s="578"/>
      <c r="AE12" s="577"/>
      <c r="AF12" s="579"/>
      <c r="AG12" s="577"/>
      <c r="AH12" s="579"/>
      <c r="AI12" s="577"/>
      <c r="AJ12" s="579"/>
      <c r="AK12" s="577"/>
      <c r="AL12" s="579"/>
      <c r="AM12" s="580"/>
      <c r="AN12" s="579"/>
      <c r="AO12" s="577"/>
      <c r="AP12" s="579"/>
      <c r="AQ12" s="580"/>
      <c r="AR12" s="579"/>
      <c r="AS12" s="579"/>
      <c r="AT12" s="579"/>
      <c r="AU12" s="580"/>
      <c r="AV12" s="579"/>
      <c r="AW12" s="579"/>
      <c r="AX12" s="158"/>
      <c r="AY12" s="154"/>
      <c r="AZ12">
        <f ca="1">INDIRECT(ADDRESS(ROW()+1,COLUMN(Arbeitszeit!xDay),,,"Arbeitszeit"))</f>
        <v>7</v>
      </c>
    </row>
    <row r="13" spans="1:52">
      <c r="A13" s="520">
        <f>Arbeitszeit!A14</f>
        <v>43473</v>
      </c>
      <c r="B13" s="521">
        <f t="shared" si="0"/>
        <v>43473</v>
      </c>
      <c r="C13" s="191">
        <f t="shared" si="1"/>
        <v>2</v>
      </c>
      <c r="D13" s="190">
        <f t="shared" si="2"/>
        <v>43465</v>
      </c>
      <c r="E13" s="589">
        <f>Arbeitszeit!V14*24</f>
        <v>0</v>
      </c>
      <c r="F13" s="349">
        <f t="shared" si="3"/>
        <v>0</v>
      </c>
      <c r="G13" s="155">
        <f>IF(Arbeitszeit!F14=Urlaub,B_WorkTime*24,)</f>
        <v>0</v>
      </c>
      <c r="H13" s="153"/>
      <c r="I13" s="155">
        <f>IF(Arbeitszeit!F14=Krank,B_WorkTime*24,)</f>
        <v>0</v>
      </c>
      <c r="J13" s="153"/>
      <c r="K13" s="156"/>
      <c r="L13" s="157"/>
      <c r="M13" s="577"/>
      <c r="N13" s="578"/>
      <c r="O13" s="577"/>
      <c r="P13" s="578"/>
      <c r="Q13" s="577"/>
      <c r="R13" s="578"/>
      <c r="S13" s="577"/>
      <c r="T13" s="578"/>
      <c r="U13" s="577"/>
      <c r="V13" s="578"/>
      <c r="W13" s="577"/>
      <c r="X13" s="578"/>
      <c r="Y13" s="577"/>
      <c r="Z13" s="578"/>
      <c r="AA13" s="577"/>
      <c r="AB13" s="578"/>
      <c r="AC13" s="577"/>
      <c r="AD13" s="578"/>
      <c r="AE13" s="577"/>
      <c r="AF13" s="579"/>
      <c r="AG13" s="577"/>
      <c r="AH13" s="579"/>
      <c r="AI13" s="577"/>
      <c r="AJ13" s="579"/>
      <c r="AK13" s="577"/>
      <c r="AL13" s="579"/>
      <c r="AM13" s="580"/>
      <c r="AN13" s="579"/>
      <c r="AO13" s="577"/>
      <c r="AP13" s="579"/>
      <c r="AQ13" s="580"/>
      <c r="AR13" s="579"/>
      <c r="AS13" s="579"/>
      <c r="AT13" s="579"/>
      <c r="AU13" s="580"/>
      <c r="AV13" s="579"/>
      <c r="AW13" s="579"/>
      <c r="AX13" s="158"/>
      <c r="AY13" s="154"/>
      <c r="AZ13">
        <f ca="1">INDIRECT(ADDRESS(ROW()+1,COLUMN(Arbeitszeit!xDay),,,"Arbeitszeit"))</f>
        <v>1</v>
      </c>
    </row>
    <row r="14" spans="1:52">
      <c r="A14" s="520">
        <f>Arbeitszeit!A15</f>
        <v>43474</v>
      </c>
      <c r="B14" s="521">
        <f t="shared" si="0"/>
        <v>43474</v>
      </c>
      <c r="C14" s="191">
        <f t="shared" si="1"/>
        <v>2</v>
      </c>
      <c r="D14" s="190">
        <f t="shared" si="2"/>
        <v>43465</v>
      </c>
      <c r="E14" s="589">
        <f>Arbeitszeit!V15*24</f>
        <v>0</v>
      </c>
      <c r="F14" s="349">
        <f t="shared" si="3"/>
        <v>0</v>
      </c>
      <c r="G14" s="155">
        <f>IF(Arbeitszeit!F15=Urlaub,B_WorkTime*24,)</f>
        <v>0</v>
      </c>
      <c r="H14" s="153"/>
      <c r="I14" s="155">
        <f>IF(Arbeitszeit!F15=Krank,B_WorkTime*24,)</f>
        <v>0</v>
      </c>
      <c r="J14" s="153"/>
      <c r="K14" s="156"/>
      <c r="L14" s="157"/>
      <c r="M14" s="577"/>
      <c r="N14" s="578"/>
      <c r="O14" s="577"/>
      <c r="P14" s="578"/>
      <c r="Q14" s="577"/>
      <c r="R14" s="578"/>
      <c r="S14" s="577"/>
      <c r="T14" s="578"/>
      <c r="U14" s="577"/>
      <c r="V14" s="578"/>
      <c r="W14" s="577"/>
      <c r="X14" s="578"/>
      <c r="Y14" s="577"/>
      <c r="Z14" s="578"/>
      <c r="AA14" s="577"/>
      <c r="AB14" s="578"/>
      <c r="AC14" s="577"/>
      <c r="AD14" s="578"/>
      <c r="AE14" s="577"/>
      <c r="AF14" s="579"/>
      <c r="AG14" s="577"/>
      <c r="AH14" s="579"/>
      <c r="AI14" s="577"/>
      <c r="AJ14" s="579"/>
      <c r="AK14" s="577"/>
      <c r="AL14" s="579"/>
      <c r="AM14" s="580"/>
      <c r="AN14" s="579"/>
      <c r="AO14" s="577"/>
      <c r="AP14" s="579"/>
      <c r="AQ14" s="580"/>
      <c r="AR14" s="579"/>
      <c r="AS14" s="579"/>
      <c r="AT14" s="579"/>
      <c r="AU14" s="580"/>
      <c r="AV14" s="579"/>
      <c r="AW14" s="579"/>
      <c r="AX14" s="158"/>
      <c r="AY14" s="154"/>
      <c r="AZ14">
        <f ca="1">INDIRECT(ADDRESS(ROW()+1,COLUMN(Arbeitszeit!xDay),,,"Arbeitszeit"))</f>
        <v>2</v>
      </c>
    </row>
    <row r="15" spans="1:52">
      <c r="A15" s="520">
        <f>Arbeitszeit!A16</f>
        <v>43475</v>
      </c>
      <c r="B15" s="521">
        <f t="shared" si="0"/>
        <v>43475</v>
      </c>
      <c r="C15" s="191">
        <f t="shared" si="1"/>
        <v>2</v>
      </c>
      <c r="D15" s="190">
        <f t="shared" si="2"/>
        <v>43465</v>
      </c>
      <c r="E15" s="589">
        <f>Arbeitszeit!V16*24</f>
        <v>0</v>
      </c>
      <c r="F15" s="349">
        <f t="shared" si="3"/>
        <v>0</v>
      </c>
      <c r="G15" s="155">
        <f>IF(Arbeitszeit!F16=Urlaub,B_WorkTime*24,)</f>
        <v>0</v>
      </c>
      <c r="H15" s="153"/>
      <c r="I15" s="155">
        <f>IF(Arbeitszeit!F16=Krank,B_WorkTime*24,)</f>
        <v>0</v>
      </c>
      <c r="J15" s="153"/>
      <c r="K15" s="156"/>
      <c r="L15" s="157"/>
      <c r="M15" s="577"/>
      <c r="N15" s="578"/>
      <c r="O15" s="577"/>
      <c r="P15" s="578"/>
      <c r="Q15" s="577"/>
      <c r="R15" s="578"/>
      <c r="S15" s="577"/>
      <c r="T15" s="578"/>
      <c r="U15" s="577"/>
      <c r="V15" s="578"/>
      <c r="W15" s="577"/>
      <c r="X15" s="578"/>
      <c r="Y15" s="577"/>
      <c r="Z15" s="578"/>
      <c r="AA15" s="577"/>
      <c r="AB15" s="578"/>
      <c r="AC15" s="577"/>
      <c r="AD15" s="578"/>
      <c r="AE15" s="577"/>
      <c r="AF15" s="579"/>
      <c r="AG15" s="577"/>
      <c r="AH15" s="579"/>
      <c r="AI15" s="577"/>
      <c r="AJ15" s="579"/>
      <c r="AK15" s="577"/>
      <c r="AL15" s="579"/>
      <c r="AM15" s="580"/>
      <c r="AN15" s="579"/>
      <c r="AO15" s="577"/>
      <c r="AP15" s="579"/>
      <c r="AQ15" s="580"/>
      <c r="AR15" s="579"/>
      <c r="AS15" s="579"/>
      <c r="AT15" s="579"/>
      <c r="AU15" s="580"/>
      <c r="AV15" s="579"/>
      <c r="AW15" s="579"/>
      <c r="AX15" s="158"/>
      <c r="AY15" s="154"/>
      <c r="AZ15">
        <f ca="1">INDIRECT(ADDRESS(ROW()+1,COLUMN(Arbeitszeit!xDay),,,"Arbeitszeit"))</f>
        <v>3</v>
      </c>
    </row>
    <row r="16" spans="1:52">
      <c r="A16" s="520">
        <f>Arbeitszeit!A17</f>
        <v>43476</v>
      </c>
      <c r="B16" s="521">
        <f t="shared" si="0"/>
        <v>43476</v>
      </c>
      <c r="C16" s="191">
        <f t="shared" si="1"/>
        <v>2</v>
      </c>
      <c r="D16" s="190">
        <f t="shared" si="2"/>
        <v>43465</v>
      </c>
      <c r="E16" s="589">
        <f>Arbeitszeit!V17*24</f>
        <v>0</v>
      </c>
      <c r="F16" s="349">
        <f t="shared" si="3"/>
        <v>0</v>
      </c>
      <c r="G16" s="155">
        <f>IF(Arbeitszeit!F17=Urlaub,B_WorkTime*24,)</f>
        <v>0</v>
      </c>
      <c r="H16" s="153"/>
      <c r="I16" s="155">
        <f>IF(Arbeitszeit!F17=Krank,B_WorkTime*24,)</f>
        <v>0</v>
      </c>
      <c r="J16" s="153"/>
      <c r="K16" s="156"/>
      <c r="L16" s="157"/>
      <c r="M16" s="577"/>
      <c r="N16" s="578"/>
      <c r="O16" s="577"/>
      <c r="P16" s="578"/>
      <c r="Q16" s="577"/>
      <c r="R16" s="578"/>
      <c r="S16" s="577"/>
      <c r="T16" s="578"/>
      <c r="U16" s="577"/>
      <c r="V16" s="578"/>
      <c r="W16" s="577"/>
      <c r="X16" s="578"/>
      <c r="Y16" s="577"/>
      <c r="Z16" s="578"/>
      <c r="AA16" s="577"/>
      <c r="AB16" s="578"/>
      <c r="AC16" s="577"/>
      <c r="AD16" s="578"/>
      <c r="AE16" s="577"/>
      <c r="AF16" s="579"/>
      <c r="AG16" s="577"/>
      <c r="AH16" s="579"/>
      <c r="AI16" s="577"/>
      <c r="AJ16" s="579"/>
      <c r="AK16" s="577"/>
      <c r="AL16" s="579"/>
      <c r="AM16" s="580"/>
      <c r="AN16" s="579"/>
      <c r="AO16" s="577"/>
      <c r="AP16" s="579"/>
      <c r="AQ16" s="580"/>
      <c r="AR16" s="579"/>
      <c r="AS16" s="579"/>
      <c r="AT16" s="579"/>
      <c r="AU16" s="580"/>
      <c r="AV16" s="579"/>
      <c r="AW16" s="579"/>
      <c r="AX16" s="158"/>
      <c r="AY16" s="154"/>
      <c r="AZ16">
        <f ca="1">INDIRECT(ADDRESS(ROW()+1,COLUMN(Arbeitszeit!xDay),,,"Arbeitszeit"))</f>
        <v>4</v>
      </c>
    </row>
    <row r="17" spans="1:52">
      <c r="A17" s="520">
        <f>Arbeitszeit!A18</f>
        <v>43477</v>
      </c>
      <c r="B17" s="521">
        <f t="shared" si="0"/>
        <v>43477</v>
      </c>
      <c r="C17" s="191">
        <f t="shared" si="1"/>
        <v>2</v>
      </c>
      <c r="D17" s="190">
        <f t="shared" si="2"/>
        <v>43465</v>
      </c>
      <c r="E17" s="589">
        <f>Arbeitszeit!V18*24</f>
        <v>0</v>
      </c>
      <c r="F17" s="349">
        <f t="shared" si="3"/>
        <v>0</v>
      </c>
      <c r="G17" s="155">
        <f>IF(Arbeitszeit!F18=Urlaub,B_WorkTime*24,)</f>
        <v>0</v>
      </c>
      <c r="H17" s="153"/>
      <c r="I17" s="155">
        <f>IF(Arbeitszeit!F18=Krank,B_WorkTime*24,)</f>
        <v>0</v>
      </c>
      <c r="J17" s="153"/>
      <c r="K17" s="156"/>
      <c r="L17" s="157"/>
      <c r="M17" s="577"/>
      <c r="N17" s="578"/>
      <c r="O17" s="577"/>
      <c r="P17" s="578"/>
      <c r="Q17" s="577"/>
      <c r="R17" s="578"/>
      <c r="S17" s="577"/>
      <c r="T17" s="578"/>
      <c r="U17" s="577"/>
      <c r="V17" s="578"/>
      <c r="W17" s="577"/>
      <c r="X17" s="578"/>
      <c r="Y17" s="577"/>
      <c r="Z17" s="578"/>
      <c r="AA17" s="577"/>
      <c r="AB17" s="578"/>
      <c r="AC17" s="577"/>
      <c r="AD17" s="578"/>
      <c r="AE17" s="577"/>
      <c r="AF17" s="579"/>
      <c r="AG17" s="577"/>
      <c r="AH17" s="579"/>
      <c r="AI17" s="577"/>
      <c r="AJ17" s="579"/>
      <c r="AK17" s="577"/>
      <c r="AL17" s="579"/>
      <c r="AM17" s="580"/>
      <c r="AN17" s="579"/>
      <c r="AO17" s="577"/>
      <c r="AP17" s="579"/>
      <c r="AQ17" s="580"/>
      <c r="AR17" s="579"/>
      <c r="AS17" s="579"/>
      <c r="AT17" s="579"/>
      <c r="AU17" s="580"/>
      <c r="AV17" s="579"/>
      <c r="AW17" s="579"/>
      <c r="AX17" s="158"/>
      <c r="AY17" s="154"/>
      <c r="AZ17">
        <f ca="1">INDIRECT(ADDRESS(ROW()+1,COLUMN(Arbeitszeit!xDay),,,"Arbeitszeit"))</f>
        <v>5</v>
      </c>
    </row>
    <row r="18" spans="1:52">
      <c r="A18" s="520">
        <f>Arbeitszeit!A19</f>
        <v>43478</v>
      </c>
      <c r="B18" s="521">
        <f t="shared" si="0"/>
        <v>43478</v>
      </c>
      <c r="C18" s="191">
        <f t="shared" si="1"/>
        <v>2</v>
      </c>
      <c r="D18" s="190">
        <f t="shared" si="2"/>
        <v>43465</v>
      </c>
      <c r="E18" s="589">
        <f>Arbeitszeit!V19*24</f>
        <v>0</v>
      </c>
      <c r="F18" s="349">
        <f t="shared" si="3"/>
        <v>0</v>
      </c>
      <c r="G18" s="155">
        <f>IF(Arbeitszeit!F19=Urlaub,B_WorkTime*24,)</f>
        <v>0</v>
      </c>
      <c r="H18" s="153"/>
      <c r="I18" s="155">
        <f>IF(Arbeitszeit!F19=Krank,B_WorkTime*24,)</f>
        <v>0</v>
      </c>
      <c r="J18" s="153"/>
      <c r="K18" s="156"/>
      <c r="L18" s="157"/>
      <c r="M18" s="577"/>
      <c r="N18" s="578"/>
      <c r="O18" s="577"/>
      <c r="P18" s="578"/>
      <c r="Q18" s="577"/>
      <c r="R18" s="578"/>
      <c r="S18" s="577"/>
      <c r="T18" s="578"/>
      <c r="U18" s="577"/>
      <c r="V18" s="578"/>
      <c r="W18" s="577"/>
      <c r="X18" s="578"/>
      <c r="Y18" s="577"/>
      <c r="Z18" s="578"/>
      <c r="AA18" s="577"/>
      <c r="AB18" s="578"/>
      <c r="AC18" s="577"/>
      <c r="AD18" s="578"/>
      <c r="AE18" s="577"/>
      <c r="AF18" s="579"/>
      <c r="AG18" s="577"/>
      <c r="AH18" s="579"/>
      <c r="AI18" s="577"/>
      <c r="AJ18" s="579"/>
      <c r="AK18" s="577"/>
      <c r="AL18" s="579"/>
      <c r="AM18" s="580"/>
      <c r="AN18" s="579"/>
      <c r="AO18" s="577"/>
      <c r="AP18" s="579"/>
      <c r="AQ18" s="580"/>
      <c r="AR18" s="579"/>
      <c r="AS18" s="579"/>
      <c r="AT18" s="579"/>
      <c r="AU18" s="580"/>
      <c r="AV18" s="579"/>
      <c r="AW18" s="579"/>
      <c r="AX18" s="158"/>
      <c r="AY18" s="154"/>
      <c r="AZ18">
        <f ca="1">INDIRECT(ADDRESS(ROW()+1,COLUMN(Arbeitszeit!xDay),,,"Arbeitszeit"))</f>
        <v>6</v>
      </c>
    </row>
    <row r="19" spans="1:52">
      <c r="A19" s="520">
        <f>Arbeitszeit!A20</f>
        <v>43479</v>
      </c>
      <c r="B19" s="521">
        <f t="shared" si="0"/>
        <v>43479</v>
      </c>
      <c r="C19" s="191">
        <f t="shared" si="1"/>
        <v>2</v>
      </c>
      <c r="D19" s="190">
        <f t="shared" si="2"/>
        <v>43465</v>
      </c>
      <c r="E19" s="589">
        <f>Arbeitszeit!V20*24</f>
        <v>0</v>
      </c>
      <c r="F19" s="349">
        <f t="shared" si="3"/>
        <v>0</v>
      </c>
      <c r="G19" s="155">
        <f>IF(Arbeitszeit!F20=Urlaub,B_WorkTime*24,)</f>
        <v>0</v>
      </c>
      <c r="H19" s="153"/>
      <c r="I19" s="155">
        <f>IF(Arbeitszeit!F20=Krank,B_WorkTime*24,)</f>
        <v>0</v>
      </c>
      <c r="J19" s="153"/>
      <c r="K19" s="156"/>
      <c r="L19" s="157"/>
      <c r="M19" s="577"/>
      <c r="N19" s="578"/>
      <c r="O19" s="577"/>
      <c r="P19" s="578"/>
      <c r="Q19" s="577"/>
      <c r="R19" s="578"/>
      <c r="S19" s="577"/>
      <c r="T19" s="578"/>
      <c r="U19" s="577"/>
      <c r="V19" s="578"/>
      <c r="W19" s="577"/>
      <c r="X19" s="578"/>
      <c r="Y19" s="577"/>
      <c r="Z19" s="578"/>
      <c r="AA19" s="577"/>
      <c r="AB19" s="578"/>
      <c r="AC19" s="577"/>
      <c r="AD19" s="578"/>
      <c r="AE19" s="577"/>
      <c r="AF19" s="579"/>
      <c r="AG19" s="577"/>
      <c r="AH19" s="579"/>
      <c r="AI19" s="577"/>
      <c r="AJ19" s="579"/>
      <c r="AK19" s="577"/>
      <c r="AL19" s="579"/>
      <c r="AM19" s="580"/>
      <c r="AN19" s="579"/>
      <c r="AO19" s="577"/>
      <c r="AP19" s="579"/>
      <c r="AQ19" s="580"/>
      <c r="AR19" s="579"/>
      <c r="AS19" s="579"/>
      <c r="AT19" s="579"/>
      <c r="AU19" s="580"/>
      <c r="AV19" s="579"/>
      <c r="AW19" s="579"/>
      <c r="AX19" s="158"/>
      <c r="AY19" s="154"/>
      <c r="AZ19">
        <f ca="1">INDIRECT(ADDRESS(ROW()+1,COLUMN(Arbeitszeit!xDay),,,"Arbeitszeit"))</f>
        <v>7</v>
      </c>
    </row>
    <row r="20" spans="1:52">
      <c r="A20" s="520">
        <f>Arbeitszeit!A21</f>
        <v>43480</v>
      </c>
      <c r="B20" s="521">
        <f t="shared" si="0"/>
        <v>43480</v>
      </c>
      <c r="C20" s="191">
        <f t="shared" si="1"/>
        <v>3</v>
      </c>
      <c r="D20" s="190">
        <f t="shared" si="2"/>
        <v>43465</v>
      </c>
      <c r="E20" s="589">
        <f>Arbeitszeit!V21*24</f>
        <v>0</v>
      </c>
      <c r="F20" s="349">
        <f t="shared" si="3"/>
        <v>0</v>
      </c>
      <c r="G20" s="155">
        <f>IF(Arbeitszeit!F21=Urlaub,B_WorkTime*24,)</f>
        <v>0</v>
      </c>
      <c r="H20" s="153"/>
      <c r="I20" s="155">
        <f>IF(Arbeitszeit!F21=Krank,B_WorkTime*24,)</f>
        <v>0</v>
      </c>
      <c r="J20" s="153"/>
      <c r="K20" s="156"/>
      <c r="L20" s="157"/>
      <c r="M20" s="577"/>
      <c r="N20" s="578"/>
      <c r="O20" s="577"/>
      <c r="P20" s="578"/>
      <c r="Q20" s="577"/>
      <c r="R20" s="578"/>
      <c r="S20" s="577"/>
      <c r="T20" s="578"/>
      <c r="U20" s="577"/>
      <c r="V20" s="578"/>
      <c r="W20" s="577"/>
      <c r="X20" s="578"/>
      <c r="Y20" s="577"/>
      <c r="Z20" s="578"/>
      <c r="AA20" s="577"/>
      <c r="AB20" s="578"/>
      <c r="AC20" s="577"/>
      <c r="AD20" s="578"/>
      <c r="AE20" s="577"/>
      <c r="AF20" s="579"/>
      <c r="AG20" s="577"/>
      <c r="AH20" s="579"/>
      <c r="AI20" s="577"/>
      <c r="AJ20" s="579"/>
      <c r="AK20" s="577"/>
      <c r="AL20" s="579"/>
      <c r="AM20" s="580"/>
      <c r="AN20" s="579"/>
      <c r="AO20" s="577"/>
      <c r="AP20" s="579"/>
      <c r="AQ20" s="580"/>
      <c r="AR20" s="579"/>
      <c r="AS20" s="579"/>
      <c r="AT20" s="579"/>
      <c r="AU20" s="580"/>
      <c r="AV20" s="579"/>
      <c r="AW20" s="579"/>
      <c r="AX20" s="158"/>
      <c r="AY20" s="154"/>
      <c r="AZ20">
        <f ca="1">INDIRECT(ADDRESS(ROW()+1,COLUMN(Arbeitszeit!xDay),,,"Arbeitszeit"))</f>
        <v>1</v>
      </c>
    </row>
    <row r="21" spans="1:52">
      <c r="A21" s="520">
        <f>Arbeitszeit!A22</f>
        <v>43481</v>
      </c>
      <c r="B21" s="521">
        <f t="shared" si="0"/>
        <v>43481</v>
      </c>
      <c r="C21" s="191">
        <f t="shared" si="1"/>
        <v>3</v>
      </c>
      <c r="D21" s="190">
        <f t="shared" si="2"/>
        <v>43465</v>
      </c>
      <c r="E21" s="589">
        <f>Arbeitszeit!V22*24</f>
        <v>0</v>
      </c>
      <c r="F21" s="349">
        <f t="shared" si="3"/>
        <v>0</v>
      </c>
      <c r="G21" s="155">
        <f>IF(Arbeitszeit!F22=Urlaub,B_WorkTime*24,)</f>
        <v>0</v>
      </c>
      <c r="H21" s="153"/>
      <c r="I21" s="155">
        <f>IF(Arbeitszeit!F22=Krank,B_WorkTime*24,)</f>
        <v>0</v>
      </c>
      <c r="J21" s="153"/>
      <c r="K21" s="156"/>
      <c r="L21" s="157"/>
      <c r="M21" s="577"/>
      <c r="N21" s="578"/>
      <c r="O21" s="577"/>
      <c r="P21" s="578"/>
      <c r="Q21" s="577"/>
      <c r="R21" s="578"/>
      <c r="S21" s="577"/>
      <c r="T21" s="578"/>
      <c r="U21" s="577"/>
      <c r="V21" s="578"/>
      <c r="W21" s="577"/>
      <c r="X21" s="578"/>
      <c r="Y21" s="577"/>
      <c r="Z21" s="578"/>
      <c r="AA21" s="577"/>
      <c r="AB21" s="578"/>
      <c r="AC21" s="577"/>
      <c r="AD21" s="578"/>
      <c r="AE21" s="577"/>
      <c r="AF21" s="579"/>
      <c r="AG21" s="577"/>
      <c r="AH21" s="579"/>
      <c r="AI21" s="577"/>
      <c r="AJ21" s="579"/>
      <c r="AK21" s="577"/>
      <c r="AL21" s="579"/>
      <c r="AM21" s="580"/>
      <c r="AN21" s="579"/>
      <c r="AO21" s="577"/>
      <c r="AP21" s="579"/>
      <c r="AQ21" s="580"/>
      <c r="AR21" s="579"/>
      <c r="AS21" s="579"/>
      <c r="AT21" s="579"/>
      <c r="AU21" s="580"/>
      <c r="AV21" s="579"/>
      <c r="AW21" s="579"/>
      <c r="AX21" s="158"/>
      <c r="AY21" s="154"/>
      <c r="AZ21">
        <f ca="1">INDIRECT(ADDRESS(ROW()+1,COLUMN(Arbeitszeit!xDay),,,"Arbeitszeit"))</f>
        <v>2</v>
      </c>
    </row>
    <row r="22" spans="1:52">
      <c r="A22" s="520">
        <f>Arbeitszeit!A23</f>
        <v>43482</v>
      </c>
      <c r="B22" s="521">
        <f t="shared" si="0"/>
        <v>43482</v>
      </c>
      <c r="C22" s="191">
        <f t="shared" si="1"/>
        <v>3</v>
      </c>
      <c r="D22" s="190">
        <f t="shared" si="2"/>
        <v>43465</v>
      </c>
      <c r="E22" s="589">
        <f>Arbeitszeit!V23*24</f>
        <v>0</v>
      </c>
      <c r="F22" s="349">
        <f t="shared" si="3"/>
        <v>0</v>
      </c>
      <c r="G22" s="155">
        <f>IF(Arbeitszeit!F23=Urlaub,B_WorkTime*24,)</f>
        <v>0</v>
      </c>
      <c r="H22" s="153"/>
      <c r="I22" s="155">
        <f>IF(Arbeitszeit!F23=Krank,B_WorkTime*24,)</f>
        <v>0</v>
      </c>
      <c r="J22" s="153"/>
      <c r="K22" s="156"/>
      <c r="L22" s="157"/>
      <c r="M22" s="577"/>
      <c r="N22" s="578"/>
      <c r="O22" s="577"/>
      <c r="P22" s="578"/>
      <c r="Q22" s="577"/>
      <c r="R22" s="578"/>
      <c r="S22" s="577"/>
      <c r="T22" s="578"/>
      <c r="U22" s="577"/>
      <c r="V22" s="578"/>
      <c r="W22" s="577"/>
      <c r="X22" s="578"/>
      <c r="Y22" s="577"/>
      <c r="Z22" s="578"/>
      <c r="AA22" s="577"/>
      <c r="AB22" s="578"/>
      <c r="AC22" s="577"/>
      <c r="AD22" s="578"/>
      <c r="AE22" s="577"/>
      <c r="AF22" s="579"/>
      <c r="AG22" s="577"/>
      <c r="AH22" s="579"/>
      <c r="AI22" s="577"/>
      <c r="AJ22" s="579"/>
      <c r="AK22" s="577"/>
      <c r="AL22" s="579"/>
      <c r="AM22" s="580"/>
      <c r="AN22" s="579"/>
      <c r="AO22" s="577"/>
      <c r="AP22" s="579"/>
      <c r="AQ22" s="580"/>
      <c r="AR22" s="579"/>
      <c r="AS22" s="579"/>
      <c r="AT22" s="579"/>
      <c r="AU22" s="580"/>
      <c r="AV22" s="579"/>
      <c r="AW22" s="579"/>
      <c r="AX22" s="158"/>
      <c r="AY22" s="154"/>
      <c r="AZ22">
        <f ca="1">INDIRECT(ADDRESS(ROW()+1,COLUMN(Arbeitszeit!xDay),,,"Arbeitszeit"))</f>
        <v>3</v>
      </c>
    </row>
    <row r="23" spans="1:52">
      <c r="A23" s="520">
        <f>Arbeitszeit!A24</f>
        <v>43483</v>
      </c>
      <c r="B23" s="521">
        <f t="shared" si="0"/>
        <v>43483</v>
      </c>
      <c r="C23" s="191">
        <f t="shared" si="1"/>
        <v>3</v>
      </c>
      <c r="D23" s="190">
        <f t="shared" si="2"/>
        <v>43465</v>
      </c>
      <c r="E23" s="589">
        <f>Arbeitszeit!V24*24</f>
        <v>0</v>
      </c>
      <c r="F23" s="349">
        <f t="shared" si="3"/>
        <v>0</v>
      </c>
      <c r="G23" s="155">
        <f>IF(Arbeitszeit!F24=Urlaub,B_WorkTime*24,)</f>
        <v>0</v>
      </c>
      <c r="H23" s="153"/>
      <c r="I23" s="155">
        <f>IF(Arbeitszeit!F24=Krank,B_WorkTime*24,)</f>
        <v>0</v>
      </c>
      <c r="J23" s="153"/>
      <c r="K23" s="156"/>
      <c r="L23" s="157"/>
      <c r="M23" s="577"/>
      <c r="N23" s="578"/>
      <c r="O23" s="577"/>
      <c r="P23" s="578"/>
      <c r="Q23" s="577"/>
      <c r="R23" s="578"/>
      <c r="S23" s="577"/>
      <c r="T23" s="578"/>
      <c r="U23" s="577"/>
      <c r="V23" s="578"/>
      <c r="W23" s="577"/>
      <c r="X23" s="578"/>
      <c r="Y23" s="577"/>
      <c r="Z23" s="578"/>
      <c r="AA23" s="577"/>
      <c r="AB23" s="578"/>
      <c r="AC23" s="577"/>
      <c r="AD23" s="578"/>
      <c r="AE23" s="577"/>
      <c r="AF23" s="579"/>
      <c r="AG23" s="577"/>
      <c r="AH23" s="579"/>
      <c r="AI23" s="577"/>
      <c r="AJ23" s="579"/>
      <c r="AK23" s="577"/>
      <c r="AL23" s="579"/>
      <c r="AM23" s="580"/>
      <c r="AN23" s="579"/>
      <c r="AO23" s="577"/>
      <c r="AP23" s="579"/>
      <c r="AQ23" s="580"/>
      <c r="AR23" s="579"/>
      <c r="AS23" s="579"/>
      <c r="AT23" s="579"/>
      <c r="AU23" s="580"/>
      <c r="AV23" s="579"/>
      <c r="AW23" s="579"/>
      <c r="AX23" s="158"/>
      <c r="AY23" s="154"/>
      <c r="AZ23">
        <f ca="1">INDIRECT(ADDRESS(ROW()+1,COLUMN(Arbeitszeit!xDay),,,"Arbeitszeit"))</f>
        <v>4</v>
      </c>
    </row>
    <row r="24" spans="1:52">
      <c r="A24" s="520">
        <f>Arbeitszeit!A25</f>
        <v>43484</v>
      </c>
      <c r="B24" s="521">
        <f t="shared" si="0"/>
        <v>43484</v>
      </c>
      <c r="C24" s="191">
        <f t="shared" si="1"/>
        <v>3</v>
      </c>
      <c r="D24" s="190">
        <f t="shared" si="2"/>
        <v>43465</v>
      </c>
      <c r="E24" s="589">
        <f>Arbeitszeit!V25*24</f>
        <v>0</v>
      </c>
      <c r="F24" s="349">
        <f t="shared" si="3"/>
        <v>0</v>
      </c>
      <c r="G24" s="155">
        <f>IF(Arbeitszeit!F25=Urlaub,B_WorkTime*24,)</f>
        <v>0</v>
      </c>
      <c r="H24" s="153"/>
      <c r="I24" s="155">
        <f>IF(Arbeitszeit!F25=Krank,B_WorkTime*24,)</f>
        <v>0</v>
      </c>
      <c r="J24" s="153"/>
      <c r="K24" s="156"/>
      <c r="L24" s="157"/>
      <c r="M24" s="577"/>
      <c r="N24" s="578"/>
      <c r="O24" s="577"/>
      <c r="P24" s="578"/>
      <c r="Q24" s="577"/>
      <c r="R24" s="578"/>
      <c r="S24" s="577"/>
      <c r="T24" s="578"/>
      <c r="U24" s="577"/>
      <c r="V24" s="578"/>
      <c r="W24" s="577"/>
      <c r="X24" s="578"/>
      <c r="Y24" s="577"/>
      <c r="Z24" s="578"/>
      <c r="AA24" s="577"/>
      <c r="AB24" s="578"/>
      <c r="AC24" s="577"/>
      <c r="AD24" s="578"/>
      <c r="AE24" s="577"/>
      <c r="AF24" s="579"/>
      <c r="AG24" s="577"/>
      <c r="AH24" s="579"/>
      <c r="AI24" s="577"/>
      <c r="AJ24" s="579"/>
      <c r="AK24" s="577"/>
      <c r="AL24" s="579"/>
      <c r="AM24" s="580"/>
      <c r="AN24" s="579"/>
      <c r="AO24" s="577"/>
      <c r="AP24" s="579"/>
      <c r="AQ24" s="580"/>
      <c r="AR24" s="579"/>
      <c r="AS24" s="579"/>
      <c r="AT24" s="579"/>
      <c r="AU24" s="580"/>
      <c r="AV24" s="579"/>
      <c r="AW24" s="579"/>
      <c r="AX24" s="158"/>
      <c r="AY24" s="154"/>
      <c r="AZ24">
        <f ca="1">INDIRECT(ADDRESS(ROW()+1,COLUMN(Arbeitszeit!xDay),,,"Arbeitszeit"))</f>
        <v>5</v>
      </c>
    </row>
    <row r="25" spans="1:52">
      <c r="A25" s="520">
        <f>Arbeitszeit!A26</f>
        <v>43485</v>
      </c>
      <c r="B25" s="521">
        <f t="shared" si="0"/>
        <v>43485</v>
      </c>
      <c r="C25" s="191">
        <f t="shared" si="1"/>
        <v>3</v>
      </c>
      <c r="D25" s="190">
        <f t="shared" si="2"/>
        <v>43465</v>
      </c>
      <c r="E25" s="589">
        <f>Arbeitszeit!V26*24</f>
        <v>0</v>
      </c>
      <c r="F25" s="349">
        <f t="shared" si="3"/>
        <v>0</v>
      </c>
      <c r="G25" s="155">
        <f>IF(Arbeitszeit!F26=Urlaub,B_WorkTime*24,)</f>
        <v>0</v>
      </c>
      <c r="H25" s="153"/>
      <c r="I25" s="155">
        <f>IF(Arbeitszeit!F26=Krank,B_WorkTime*24,)</f>
        <v>0</v>
      </c>
      <c r="J25" s="153"/>
      <c r="K25" s="156"/>
      <c r="L25" s="157"/>
      <c r="M25" s="577"/>
      <c r="N25" s="578"/>
      <c r="O25" s="577"/>
      <c r="P25" s="578"/>
      <c r="Q25" s="577"/>
      <c r="R25" s="578"/>
      <c r="S25" s="577"/>
      <c r="T25" s="578"/>
      <c r="U25" s="577"/>
      <c r="V25" s="578"/>
      <c r="W25" s="577"/>
      <c r="X25" s="578"/>
      <c r="Y25" s="577"/>
      <c r="Z25" s="578"/>
      <c r="AA25" s="577"/>
      <c r="AB25" s="578"/>
      <c r="AC25" s="577"/>
      <c r="AD25" s="578"/>
      <c r="AE25" s="577"/>
      <c r="AF25" s="579"/>
      <c r="AG25" s="577"/>
      <c r="AH25" s="579"/>
      <c r="AI25" s="577"/>
      <c r="AJ25" s="579"/>
      <c r="AK25" s="577"/>
      <c r="AL25" s="579"/>
      <c r="AM25" s="580"/>
      <c r="AN25" s="579"/>
      <c r="AO25" s="577"/>
      <c r="AP25" s="579"/>
      <c r="AQ25" s="580"/>
      <c r="AR25" s="579"/>
      <c r="AS25" s="579"/>
      <c r="AT25" s="579"/>
      <c r="AU25" s="580"/>
      <c r="AV25" s="579"/>
      <c r="AW25" s="579"/>
      <c r="AX25" s="158"/>
      <c r="AY25" s="154"/>
      <c r="AZ25">
        <f ca="1">INDIRECT(ADDRESS(ROW()+1,COLUMN(Arbeitszeit!xDay),,,"Arbeitszeit"))</f>
        <v>6</v>
      </c>
    </row>
    <row r="26" spans="1:52">
      <c r="A26" s="520">
        <f>Arbeitszeit!A27</f>
        <v>43486</v>
      </c>
      <c r="B26" s="521">
        <f t="shared" si="0"/>
        <v>43486</v>
      </c>
      <c r="C26" s="191">
        <f t="shared" si="1"/>
        <v>3</v>
      </c>
      <c r="D26" s="190">
        <f t="shared" si="2"/>
        <v>43465</v>
      </c>
      <c r="E26" s="589">
        <f>Arbeitszeit!V27*24</f>
        <v>0</v>
      </c>
      <c r="F26" s="349">
        <f t="shared" si="3"/>
        <v>0</v>
      </c>
      <c r="G26" s="155">
        <f>IF(Arbeitszeit!F27=Urlaub,B_WorkTime*24,)</f>
        <v>0</v>
      </c>
      <c r="H26" s="153"/>
      <c r="I26" s="155">
        <f>IF(Arbeitszeit!F27=Krank,B_WorkTime*24,)</f>
        <v>0</v>
      </c>
      <c r="J26" s="153"/>
      <c r="K26" s="156"/>
      <c r="L26" s="157"/>
      <c r="M26" s="577"/>
      <c r="N26" s="578"/>
      <c r="O26" s="577"/>
      <c r="P26" s="578"/>
      <c r="Q26" s="577"/>
      <c r="R26" s="578"/>
      <c r="S26" s="577"/>
      <c r="T26" s="578"/>
      <c r="U26" s="577"/>
      <c r="V26" s="578"/>
      <c r="W26" s="577"/>
      <c r="X26" s="578"/>
      <c r="Y26" s="577"/>
      <c r="Z26" s="578"/>
      <c r="AA26" s="577"/>
      <c r="AB26" s="578"/>
      <c r="AC26" s="577"/>
      <c r="AD26" s="578"/>
      <c r="AE26" s="577"/>
      <c r="AF26" s="579"/>
      <c r="AG26" s="577"/>
      <c r="AH26" s="579"/>
      <c r="AI26" s="577"/>
      <c r="AJ26" s="579"/>
      <c r="AK26" s="577"/>
      <c r="AL26" s="579"/>
      <c r="AM26" s="580"/>
      <c r="AN26" s="579"/>
      <c r="AO26" s="577"/>
      <c r="AP26" s="579"/>
      <c r="AQ26" s="580"/>
      <c r="AR26" s="579"/>
      <c r="AS26" s="579"/>
      <c r="AT26" s="579"/>
      <c r="AU26" s="580"/>
      <c r="AV26" s="579"/>
      <c r="AW26" s="579"/>
      <c r="AX26" s="158"/>
      <c r="AY26" s="154"/>
      <c r="AZ26">
        <f ca="1">INDIRECT(ADDRESS(ROW()+1,COLUMN(Arbeitszeit!xDay),,,"Arbeitszeit"))</f>
        <v>7</v>
      </c>
    </row>
    <row r="27" spans="1:52">
      <c r="A27" s="520">
        <f>Arbeitszeit!A28</f>
        <v>43487</v>
      </c>
      <c r="B27" s="521">
        <f t="shared" si="0"/>
        <v>43487</v>
      </c>
      <c r="C27" s="191">
        <f t="shared" si="1"/>
        <v>4</v>
      </c>
      <c r="D27" s="190">
        <f t="shared" si="2"/>
        <v>43465</v>
      </c>
      <c r="E27" s="589">
        <f>Arbeitszeit!V28*24</f>
        <v>0</v>
      </c>
      <c r="F27" s="349">
        <f t="shared" si="3"/>
        <v>0</v>
      </c>
      <c r="G27" s="155">
        <f>IF(Arbeitszeit!F28=Urlaub,B_WorkTime*24,)</f>
        <v>0</v>
      </c>
      <c r="H27" s="153"/>
      <c r="I27" s="155">
        <f>IF(Arbeitszeit!F28=Krank,B_WorkTime*24,)</f>
        <v>0</v>
      </c>
      <c r="J27" s="153"/>
      <c r="K27" s="156"/>
      <c r="L27" s="157"/>
      <c r="M27" s="577"/>
      <c r="N27" s="578"/>
      <c r="O27" s="577"/>
      <c r="P27" s="578"/>
      <c r="Q27" s="577"/>
      <c r="R27" s="578"/>
      <c r="S27" s="577"/>
      <c r="T27" s="578"/>
      <c r="U27" s="577"/>
      <c r="V27" s="578"/>
      <c r="W27" s="577"/>
      <c r="X27" s="578"/>
      <c r="Y27" s="577"/>
      <c r="Z27" s="578"/>
      <c r="AA27" s="577"/>
      <c r="AB27" s="578"/>
      <c r="AC27" s="577"/>
      <c r="AD27" s="578"/>
      <c r="AE27" s="577"/>
      <c r="AF27" s="579"/>
      <c r="AG27" s="577"/>
      <c r="AH27" s="579"/>
      <c r="AI27" s="577"/>
      <c r="AJ27" s="579"/>
      <c r="AK27" s="577"/>
      <c r="AL27" s="579"/>
      <c r="AM27" s="580"/>
      <c r="AN27" s="579"/>
      <c r="AO27" s="577"/>
      <c r="AP27" s="579"/>
      <c r="AQ27" s="580"/>
      <c r="AR27" s="579"/>
      <c r="AS27" s="579"/>
      <c r="AT27" s="579"/>
      <c r="AU27" s="580"/>
      <c r="AV27" s="579"/>
      <c r="AW27" s="579"/>
      <c r="AX27" s="158"/>
      <c r="AY27" s="154"/>
      <c r="AZ27">
        <f ca="1">INDIRECT(ADDRESS(ROW()+1,COLUMN(Arbeitszeit!xDay),,,"Arbeitszeit"))</f>
        <v>1</v>
      </c>
    </row>
    <row r="28" spans="1:52">
      <c r="A28" s="520">
        <f>Arbeitszeit!A29</f>
        <v>43488</v>
      </c>
      <c r="B28" s="521">
        <f t="shared" si="0"/>
        <v>43488</v>
      </c>
      <c r="C28" s="191">
        <f t="shared" si="1"/>
        <v>4</v>
      </c>
      <c r="D28" s="190">
        <f t="shared" si="2"/>
        <v>43465</v>
      </c>
      <c r="E28" s="589">
        <f>Arbeitszeit!V29*24</f>
        <v>0</v>
      </c>
      <c r="F28" s="349">
        <f t="shared" si="3"/>
        <v>0</v>
      </c>
      <c r="G28" s="155">
        <f>IF(Arbeitszeit!F29=Urlaub,B_WorkTime*24,)</f>
        <v>0</v>
      </c>
      <c r="H28" s="153"/>
      <c r="I28" s="155">
        <f>IF(Arbeitszeit!F29=Krank,B_WorkTime*24,)</f>
        <v>0</v>
      </c>
      <c r="J28" s="153"/>
      <c r="K28" s="156"/>
      <c r="L28" s="157"/>
      <c r="M28" s="577"/>
      <c r="N28" s="578"/>
      <c r="O28" s="577"/>
      <c r="P28" s="578"/>
      <c r="Q28" s="577"/>
      <c r="R28" s="578"/>
      <c r="S28" s="577"/>
      <c r="T28" s="578"/>
      <c r="U28" s="577"/>
      <c r="V28" s="578"/>
      <c r="W28" s="577"/>
      <c r="X28" s="578"/>
      <c r="Y28" s="577"/>
      <c r="Z28" s="578"/>
      <c r="AA28" s="577"/>
      <c r="AB28" s="578"/>
      <c r="AC28" s="577"/>
      <c r="AD28" s="578"/>
      <c r="AE28" s="577"/>
      <c r="AF28" s="579"/>
      <c r="AG28" s="577"/>
      <c r="AH28" s="579"/>
      <c r="AI28" s="577"/>
      <c r="AJ28" s="579"/>
      <c r="AK28" s="577"/>
      <c r="AL28" s="579"/>
      <c r="AM28" s="580"/>
      <c r="AN28" s="579"/>
      <c r="AO28" s="577"/>
      <c r="AP28" s="579"/>
      <c r="AQ28" s="580"/>
      <c r="AR28" s="579"/>
      <c r="AS28" s="579"/>
      <c r="AT28" s="579"/>
      <c r="AU28" s="580"/>
      <c r="AV28" s="579"/>
      <c r="AW28" s="579"/>
      <c r="AX28" s="158"/>
      <c r="AY28" s="154"/>
      <c r="AZ28">
        <f ca="1">INDIRECT(ADDRESS(ROW()+1,COLUMN(Arbeitszeit!xDay),,,"Arbeitszeit"))</f>
        <v>2</v>
      </c>
    </row>
    <row r="29" spans="1:52">
      <c r="A29" s="520">
        <f>Arbeitszeit!A30</f>
        <v>43489</v>
      </c>
      <c r="B29" s="521">
        <f t="shared" si="0"/>
        <v>43489</v>
      </c>
      <c r="C29" s="191">
        <f t="shared" si="1"/>
        <v>4</v>
      </c>
      <c r="D29" s="190">
        <f t="shared" si="2"/>
        <v>43465</v>
      </c>
      <c r="E29" s="589">
        <f>Arbeitszeit!V30*24</f>
        <v>0</v>
      </c>
      <c r="F29" s="349">
        <f t="shared" si="3"/>
        <v>0</v>
      </c>
      <c r="G29" s="155">
        <f>IF(Arbeitszeit!F30=Urlaub,B_WorkTime*24,)</f>
        <v>0</v>
      </c>
      <c r="H29" s="153"/>
      <c r="I29" s="155">
        <f>IF(Arbeitszeit!F30=Krank,B_WorkTime*24,)</f>
        <v>0</v>
      </c>
      <c r="J29" s="153"/>
      <c r="K29" s="156"/>
      <c r="L29" s="157"/>
      <c r="M29" s="577"/>
      <c r="N29" s="578"/>
      <c r="O29" s="577"/>
      <c r="P29" s="578"/>
      <c r="Q29" s="577"/>
      <c r="R29" s="578"/>
      <c r="S29" s="577"/>
      <c r="T29" s="578"/>
      <c r="U29" s="577"/>
      <c r="V29" s="578"/>
      <c r="W29" s="577"/>
      <c r="X29" s="578"/>
      <c r="Y29" s="577"/>
      <c r="Z29" s="578"/>
      <c r="AA29" s="577"/>
      <c r="AB29" s="578"/>
      <c r="AC29" s="577"/>
      <c r="AD29" s="578"/>
      <c r="AE29" s="577"/>
      <c r="AF29" s="579"/>
      <c r="AG29" s="577"/>
      <c r="AH29" s="579"/>
      <c r="AI29" s="577"/>
      <c r="AJ29" s="579"/>
      <c r="AK29" s="577"/>
      <c r="AL29" s="579"/>
      <c r="AM29" s="580"/>
      <c r="AN29" s="579"/>
      <c r="AO29" s="577"/>
      <c r="AP29" s="579"/>
      <c r="AQ29" s="580"/>
      <c r="AR29" s="579"/>
      <c r="AS29" s="579"/>
      <c r="AT29" s="579"/>
      <c r="AU29" s="580"/>
      <c r="AV29" s="579"/>
      <c r="AW29" s="579"/>
      <c r="AX29" s="158"/>
      <c r="AY29" s="154"/>
      <c r="AZ29">
        <f ca="1">INDIRECT(ADDRESS(ROW()+1,COLUMN(Arbeitszeit!xDay),,,"Arbeitszeit"))</f>
        <v>3</v>
      </c>
    </row>
    <row r="30" spans="1:52">
      <c r="A30" s="520">
        <f>Arbeitszeit!A31</f>
        <v>43490</v>
      </c>
      <c r="B30" s="521">
        <f t="shared" si="0"/>
        <v>43490</v>
      </c>
      <c r="C30" s="191">
        <f t="shared" si="1"/>
        <v>4</v>
      </c>
      <c r="D30" s="190">
        <f t="shared" si="2"/>
        <v>43465</v>
      </c>
      <c r="E30" s="589">
        <f>Arbeitszeit!V31*24</f>
        <v>0</v>
      </c>
      <c r="F30" s="349">
        <f t="shared" si="3"/>
        <v>0</v>
      </c>
      <c r="G30" s="155">
        <f>IF(Arbeitszeit!F31=Urlaub,B_WorkTime*24,)</f>
        <v>0</v>
      </c>
      <c r="H30" s="153"/>
      <c r="I30" s="155">
        <f>IF(Arbeitszeit!F31=Krank,B_WorkTime*24,)</f>
        <v>0</v>
      </c>
      <c r="J30" s="153"/>
      <c r="K30" s="156"/>
      <c r="L30" s="157"/>
      <c r="M30" s="577"/>
      <c r="N30" s="578"/>
      <c r="O30" s="577"/>
      <c r="P30" s="578"/>
      <c r="Q30" s="577"/>
      <c r="R30" s="578"/>
      <c r="S30" s="577"/>
      <c r="T30" s="578"/>
      <c r="U30" s="577"/>
      <c r="V30" s="578"/>
      <c r="W30" s="577"/>
      <c r="X30" s="578"/>
      <c r="Y30" s="577"/>
      <c r="Z30" s="578"/>
      <c r="AA30" s="577"/>
      <c r="AB30" s="578"/>
      <c r="AC30" s="577"/>
      <c r="AD30" s="578"/>
      <c r="AE30" s="577"/>
      <c r="AF30" s="579"/>
      <c r="AG30" s="577"/>
      <c r="AH30" s="579"/>
      <c r="AI30" s="577"/>
      <c r="AJ30" s="579"/>
      <c r="AK30" s="577"/>
      <c r="AL30" s="579"/>
      <c r="AM30" s="580"/>
      <c r="AN30" s="579"/>
      <c r="AO30" s="577"/>
      <c r="AP30" s="579"/>
      <c r="AQ30" s="580"/>
      <c r="AR30" s="579"/>
      <c r="AS30" s="579"/>
      <c r="AT30" s="579"/>
      <c r="AU30" s="580"/>
      <c r="AV30" s="579"/>
      <c r="AW30" s="579"/>
      <c r="AX30" s="158"/>
      <c r="AY30" s="154"/>
      <c r="AZ30">
        <f ca="1">INDIRECT(ADDRESS(ROW()+1,COLUMN(Arbeitszeit!xDay),,,"Arbeitszeit"))</f>
        <v>4</v>
      </c>
    </row>
    <row r="31" spans="1:52">
      <c r="A31" s="520">
        <f>Arbeitszeit!A32</f>
        <v>43491</v>
      </c>
      <c r="B31" s="521">
        <f t="shared" si="0"/>
        <v>43491</v>
      </c>
      <c r="C31" s="191">
        <f t="shared" si="1"/>
        <v>4</v>
      </c>
      <c r="D31" s="190">
        <f t="shared" si="2"/>
        <v>43465</v>
      </c>
      <c r="E31" s="589">
        <f>Arbeitszeit!V32*24</f>
        <v>0</v>
      </c>
      <c r="F31" s="349">
        <f t="shared" si="3"/>
        <v>0</v>
      </c>
      <c r="G31" s="155">
        <f>IF(Arbeitszeit!F32=Urlaub,B_WorkTime*24,)</f>
        <v>0</v>
      </c>
      <c r="H31" s="153"/>
      <c r="I31" s="155">
        <f>IF(Arbeitszeit!F32=Krank,B_WorkTime*24,)</f>
        <v>0</v>
      </c>
      <c r="J31" s="153"/>
      <c r="K31" s="156"/>
      <c r="L31" s="157"/>
      <c r="M31" s="577"/>
      <c r="N31" s="578"/>
      <c r="O31" s="577"/>
      <c r="P31" s="578"/>
      <c r="Q31" s="577"/>
      <c r="R31" s="578"/>
      <c r="S31" s="577"/>
      <c r="T31" s="578"/>
      <c r="U31" s="577"/>
      <c r="V31" s="578"/>
      <c r="W31" s="577"/>
      <c r="X31" s="578"/>
      <c r="Y31" s="577"/>
      <c r="Z31" s="578"/>
      <c r="AA31" s="577"/>
      <c r="AB31" s="578"/>
      <c r="AC31" s="577"/>
      <c r="AD31" s="578"/>
      <c r="AE31" s="577"/>
      <c r="AF31" s="579"/>
      <c r="AG31" s="577"/>
      <c r="AH31" s="579"/>
      <c r="AI31" s="577"/>
      <c r="AJ31" s="579"/>
      <c r="AK31" s="577"/>
      <c r="AL31" s="579"/>
      <c r="AM31" s="580"/>
      <c r="AN31" s="579"/>
      <c r="AO31" s="577"/>
      <c r="AP31" s="579"/>
      <c r="AQ31" s="580"/>
      <c r="AR31" s="579"/>
      <c r="AS31" s="579"/>
      <c r="AT31" s="579"/>
      <c r="AU31" s="580"/>
      <c r="AV31" s="579"/>
      <c r="AW31" s="579"/>
      <c r="AX31" s="158"/>
      <c r="AY31" s="154"/>
      <c r="AZ31">
        <f ca="1">INDIRECT(ADDRESS(ROW()+1,COLUMN(Arbeitszeit!xDay),,,"Arbeitszeit"))</f>
        <v>5</v>
      </c>
    </row>
    <row r="32" spans="1:52">
      <c r="A32" s="520">
        <f>Arbeitszeit!A33</f>
        <v>43492</v>
      </c>
      <c r="B32" s="521">
        <f t="shared" si="0"/>
        <v>43492</v>
      </c>
      <c r="C32" s="191">
        <f t="shared" si="1"/>
        <v>4</v>
      </c>
      <c r="D32" s="190">
        <f t="shared" si="2"/>
        <v>43465</v>
      </c>
      <c r="E32" s="589">
        <f>Arbeitszeit!V33*24</f>
        <v>0</v>
      </c>
      <c r="F32" s="349">
        <f t="shared" si="3"/>
        <v>0</v>
      </c>
      <c r="G32" s="155">
        <f>IF(Arbeitszeit!F33=Urlaub,B_WorkTime*24,)</f>
        <v>0</v>
      </c>
      <c r="H32" s="153"/>
      <c r="I32" s="155">
        <f>IF(Arbeitszeit!F33=Krank,B_WorkTime*24,)</f>
        <v>0</v>
      </c>
      <c r="J32" s="153"/>
      <c r="K32" s="156"/>
      <c r="L32" s="157"/>
      <c r="M32" s="577"/>
      <c r="N32" s="578"/>
      <c r="O32" s="577"/>
      <c r="P32" s="578"/>
      <c r="Q32" s="577"/>
      <c r="R32" s="578"/>
      <c r="S32" s="577"/>
      <c r="T32" s="578"/>
      <c r="U32" s="577"/>
      <c r="V32" s="578"/>
      <c r="W32" s="577"/>
      <c r="X32" s="578"/>
      <c r="Y32" s="577"/>
      <c r="Z32" s="578"/>
      <c r="AA32" s="577"/>
      <c r="AB32" s="578"/>
      <c r="AC32" s="577"/>
      <c r="AD32" s="578"/>
      <c r="AE32" s="577"/>
      <c r="AF32" s="579"/>
      <c r="AG32" s="577"/>
      <c r="AH32" s="579"/>
      <c r="AI32" s="577"/>
      <c r="AJ32" s="579"/>
      <c r="AK32" s="577"/>
      <c r="AL32" s="579"/>
      <c r="AM32" s="580"/>
      <c r="AN32" s="579"/>
      <c r="AO32" s="577"/>
      <c r="AP32" s="579"/>
      <c r="AQ32" s="580"/>
      <c r="AR32" s="579"/>
      <c r="AS32" s="579"/>
      <c r="AT32" s="579"/>
      <c r="AU32" s="580"/>
      <c r="AV32" s="579"/>
      <c r="AW32" s="579"/>
      <c r="AX32" s="158"/>
      <c r="AY32" s="154"/>
      <c r="AZ32">
        <f ca="1">INDIRECT(ADDRESS(ROW()+1,COLUMN(Arbeitszeit!xDay),,,"Arbeitszeit"))</f>
        <v>6</v>
      </c>
    </row>
    <row r="33" spans="1:52">
      <c r="A33" s="520">
        <f>Arbeitszeit!A34</f>
        <v>43493</v>
      </c>
      <c r="B33" s="521">
        <f t="shared" si="0"/>
        <v>43493</v>
      </c>
      <c r="C33" s="191">
        <f t="shared" si="1"/>
        <v>4</v>
      </c>
      <c r="D33" s="190">
        <f t="shared" si="2"/>
        <v>43465</v>
      </c>
      <c r="E33" s="589">
        <f>Arbeitszeit!V34*24</f>
        <v>0</v>
      </c>
      <c r="F33" s="349">
        <f t="shared" si="3"/>
        <v>0</v>
      </c>
      <c r="G33" s="155">
        <f>IF(Arbeitszeit!F34=Urlaub,B_WorkTime*24,)</f>
        <v>0</v>
      </c>
      <c r="H33" s="153"/>
      <c r="I33" s="155">
        <f>IF(Arbeitszeit!F34=Krank,B_WorkTime*24,)</f>
        <v>0</v>
      </c>
      <c r="J33" s="153"/>
      <c r="K33" s="156"/>
      <c r="L33" s="157"/>
      <c r="M33" s="577"/>
      <c r="N33" s="578"/>
      <c r="O33" s="577"/>
      <c r="P33" s="578"/>
      <c r="Q33" s="577"/>
      <c r="R33" s="578"/>
      <c r="S33" s="577"/>
      <c r="T33" s="578"/>
      <c r="U33" s="577"/>
      <c r="V33" s="578"/>
      <c r="W33" s="577"/>
      <c r="X33" s="578"/>
      <c r="Y33" s="577"/>
      <c r="Z33" s="578"/>
      <c r="AA33" s="577"/>
      <c r="AB33" s="578"/>
      <c r="AC33" s="577"/>
      <c r="AD33" s="578"/>
      <c r="AE33" s="577"/>
      <c r="AF33" s="579"/>
      <c r="AG33" s="577"/>
      <c r="AH33" s="579"/>
      <c r="AI33" s="577"/>
      <c r="AJ33" s="579"/>
      <c r="AK33" s="577"/>
      <c r="AL33" s="579"/>
      <c r="AM33" s="580"/>
      <c r="AN33" s="579"/>
      <c r="AO33" s="577"/>
      <c r="AP33" s="579"/>
      <c r="AQ33" s="580"/>
      <c r="AR33" s="579"/>
      <c r="AS33" s="579"/>
      <c r="AT33" s="579"/>
      <c r="AU33" s="580"/>
      <c r="AV33" s="579"/>
      <c r="AW33" s="579"/>
      <c r="AX33" s="158"/>
      <c r="AY33" s="154"/>
      <c r="AZ33">
        <f ca="1">INDIRECT(ADDRESS(ROW()+1,COLUMN(Arbeitszeit!xDay),,,"Arbeitszeit"))</f>
        <v>7</v>
      </c>
    </row>
    <row r="34" spans="1:52">
      <c r="A34" s="520">
        <f>Arbeitszeit!A35</f>
        <v>43494</v>
      </c>
      <c r="B34" s="521">
        <f t="shared" si="0"/>
        <v>43494</v>
      </c>
      <c r="C34" s="191">
        <f t="shared" si="1"/>
        <v>5</v>
      </c>
      <c r="D34" s="190">
        <f t="shared" si="2"/>
        <v>43465</v>
      </c>
      <c r="E34" s="589">
        <f>Arbeitszeit!V35*24</f>
        <v>0</v>
      </c>
      <c r="F34" s="349">
        <f t="shared" si="3"/>
        <v>0</v>
      </c>
      <c r="G34" s="155">
        <f>IF(Arbeitszeit!F35=Urlaub,B_WorkTime*24,)</f>
        <v>0</v>
      </c>
      <c r="H34" s="153"/>
      <c r="I34" s="155">
        <f>IF(Arbeitszeit!F35=Krank,B_WorkTime*24,)</f>
        <v>0</v>
      </c>
      <c r="J34" s="153"/>
      <c r="K34" s="156"/>
      <c r="L34" s="157"/>
      <c r="M34" s="577"/>
      <c r="N34" s="578"/>
      <c r="O34" s="577"/>
      <c r="P34" s="578"/>
      <c r="Q34" s="577"/>
      <c r="R34" s="578"/>
      <c r="S34" s="577"/>
      <c r="T34" s="578"/>
      <c r="U34" s="577"/>
      <c r="V34" s="578"/>
      <c r="W34" s="577"/>
      <c r="X34" s="578"/>
      <c r="Y34" s="577"/>
      <c r="Z34" s="578"/>
      <c r="AA34" s="577"/>
      <c r="AB34" s="578"/>
      <c r="AC34" s="577"/>
      <c r="AD34" s="578"/>
      <c r="AE34" s="577"/>
      <c r="AF34" s="579"/>
      <c r="AG34" s="577"/>
      <c r="AH34" s="579"/>
      <c r="AI34" s="577"/>
      <c r="AJ34" s="579"/>
      <c r="AK34" s="577"/>
      <c r="AL34" s="579"/>
      <c r="AM34" s="580"/>
      <c r="AN34" s="579"/>
      <c r="AO34" s="577"/>
      <c r="AP34" s="579"/>
      <c r="AQ34" s="580"/>
      <c r="AR34" s="579"/>
      <c r="AS34" s="579"/>
      <c r="AT34" s="579"/>
      <c r="AU34" s="580"/>
      <c r="AV34" s="579"/>
      <c r="AW34" s="579"/>
      <c r="AX34" s="158"/>
      <c r="AY34" s="154"/>
      <c r="AZ34">
        <f ca="1">INDIRECT(ADDRESS(ROW()+1,COLUMN(Arbeitszeit!xDay),,,"Arbeitszeit"))</f>
        <v>1</v>
      </c>
    </row>
    <row r="35" spans="1:52">
      <c r="A35" s="520">
        <f>Arbeitszeit!A36</f>
        <v>43495</v>
      </c>
      <c r="B35" s="521">
        <f t="shared" si="0"/>
        <v>43495</v>
      </c>
      <c r="C35" s="191">
        <f t="shared" si="1"/>
        <v>5</v>
      </c>
      <c r="D35" s="190">
        <f t="shared" si="2"/>
        <v>43465</v>
      </c>
      <c r="E35" s="589">
        <f>Arbeitszeit!V36*24</f>
        <v>0</v>
      </c>
      <c r="F35" s="349">
        <f t="shared" si="3"/>
        <v>0</v>
      </c>
      <c r="G35" s="155">
        <f>IF(Arbeitszeit!F36=Urlaub,B_WorkTime*24,)</f>
        <v>0</v>
      </c>
      <c r="H35" s="153"/>
      <c r="I35" s="155">
        <f>IF(Arbeitszeit!F36=Krank,B_WorkTime*24,)</f>
        <v>0</v>
      </c>
      <c r="J35" s="153"/>
      <c r="K35" s="156"/>
      <c r="L35" s="157"/>
      <c r="M35" s="577"/>
      <c r="N35" s="578"/>
      <c r="O35" s="577"/>
      <c r="P35" s="578"/>
      <c r="Q35" s="577"/>
      <c r="R35" s="578"/>
      <c r="S35" s="577"/>
      <c r="T35" s="578"/>
      <c r="U35" s="577"/>
      <c r="V35" s="578"/>
      <c r="W35" s="577"/>
      <c r="X35" s="578"/>
      <c r="Y35" s="577"/>
      <c r="Z35" s="578"/>
      <c r="AA35" s="577"/>
      <c r="AB35" s="578"/>
      <c r="AC35" s="577"/>
      <c r="AD35" s="578"/>
      <c r="AE35" s="577"/>
      <c r="AF35" s="579"/>
      <c r="AG35" s="577"/>
      <c r="AH35" s="579"/>
      <c r="AI35" s="577"/>
      <c r="AJ35" s="579"/>
      <c r="AK35" s="577"/>
      <c r="AL35" s="579"/>
      <c r="AM35" s="580"/>
      <c r="AN35" s="579"/>
      <c r="AO35" s="577"/>
      <c r="AP35" s="579"/>
      <c r="AQ35" s="580"/>
      <c r="AR35" s="579"/>
      <c r="AS35" s="579"/>
      <c r="AT35" s="579"/>
      <c r="AU35" s="580"/>
      <c r="AV35" s="579"/>
      <c r="AW35" s="579"/>
      <c r="AX35" s="158"/>
      <c r="AY35" s="154"/>
      <c r="AZ35">
        <f ca="1">INDIRECT(ADDRESS(ROW()+1,COLUMN(Arbeitszeit!xDay),,,"Arbeitszeit"))</f>
        <v>2</v>
      </c>
    </row>
    <row r="36" spans="1:52">
      <c r="A36" s="520">
        <f>Arbeitszeit!A37</f>
        <v>43496</v>
      </c>
      <c r="B36" s="521">
        <f t="shared" si="0"/>
        <v>43496</v>
      </c>
      <c r="C36" s="191">
        <f t="shared" si="1"/>
        <v>5</v>
      </c>
      <c r="D36" s="190">
        <f t="shared" si="2"/>
        <v>43496</v>
      </c>
      <c r="E36" s="589">
        <f>Arbeitszeit!V37*24</f>
        <v>0</v>
      </c>
      <c r="F36" s="349">
        <f t="shared" si="3"/>
        <v>0</v>
      </c>
      <c r="G36" s="155">
        <f>IF(Arbeitszeit!F37=Urlaub,B_WorkTime*24,)</f>
        <v>0</v>
      </c>
      <c r="H36" s="153"/>
      <c r="I36" s="155">
        <f>IF(Arbeitszeit!F37=Krank,B_WorkTime*24,)</f>
        <v>0</v>
      </c>
      <c r="J36" s="153"/>
      <c r="K36" s="156"/>
      <c r="L36" s="157"/>
      <c r="M36" s="577"/>
      <c r="N36" s="578"/>
      <c r="O36" s="577"/>
      <c r="P36" s="578"/>
      <c r="Q36" s="577"/>
      <c r="R36" s="578"/>
      <c r="S36" s="577"/>
      <c r="T36" s="578"/>
      <c r="U36" s="577"/>
      <c r="V36" s="578"/>
      <c r="W36" s="577"/>
      <c r="X36" s="578"/>
      <c r="Y36" s="577"/>
      <c r="Z36" s="578"/>
      <c r="AA36" s="577"/>
      <c r="AB36" s="578"/>
      <c r="AC36" s="577"/>
      <c r="AD36" s="578"/>
      <c r="AE36" s="577"/>
      <c r="AF36" s="579"/>
      <c r="AG36" s="577"/>
      <c r="AH36" s="579"/>
      <c r="AI36" s="577"/>
      <c r="AJ36" s="579"/>
      <c r="AK36" s="577"/>
      <c r="AL36" s="579"/>
      <c r="AM36" s="580"/>
      <c r="AN36" s="579"/>
      <c r="AO36" s="577"/>
      <c r="AP36" s="579"/>
      <c r="AQ36" s="580"/>
      <c r="AR36" s="579"/>
      <c r="AS36" s="579"/>
      <c r="AT36" s="579"/>
      <c r="AU36" s="580"/>
      <c r="AV36" s="579"/>
      <c r="AW36" s="579"/>
      <c r="AX36" s="158"/>
      <c r="AY36" s="154"/>
      <c r="AZ36">
        <f ca="1">INDIRECT(ADDRESS(ROW()+1,COLUMN(Arbeitszeit!xDay),,,"Arbeitszeit"))</f>
        <v>3</v>
      </c>
    </row>
    <row r="37" spans="1:52">
      <c r="A37" s="520">
        <f>Arbeitszeit!A38</f>
        <v>43497</v>
      </c>
      <c r="B37" s="521">
        <f t="shared" si="0"/>
        <v>43497</v>
      </c>
      <c r="C37" s="191">
        <f t="shared" si="1"/>
        <v>5</v>
      </c>
      <c r="D37" s="190">
        <f t="shared" si="2"/>
        <v>43496</v>
      </c>
      <c r="E37" s="589">
        <f>Arbeitszeit!V38*24</f>
        <v>0</v>
      </c>
      <c r="F37" s="349">
        <f t="shared" si="3"/>
        <v>0</v>
      </c>
      <c r="G37" s="155">
        <f>IF(Arbeitszeit!F38=Urlaub,B_WorkTime*24,)</f>
        <v>0</v>
      </c>
      <c r="H37" s="153"/>
      <c r="I37" s="155">
        <f>IF(Arbeitszeit!F38=Krank,B_WorkTime*24,)</f>
        <v>0</v>
      </c>
      <c r="J37" s="153"/>
      <c r="K37" s="156"/>
      <c r="L37" s="157"/>
      <c r="M37" s="577"/>
      <c r="N37" s="578"/>
      <c r="O37" s="577"/>
      <c r="P37" s="578"/>
      <c r="Q37" s="577"/>
      <c r="R37" s="578"/>
      <c r="S37" s="577"/>
      <c r="T37" s="578"/>
      <c r="U37" s="577"/>
      <c r="V37" s="578"/>
      <c r="W37" s="577"/>
      <c r="X37" s="578"/>
      <c r="Y37" s="577"/>
      <c r="Z37" s="578"/>
      <c r="AA37" s="577"/>
      <c r="AB37" s="578"/>
      <c r="AC37" s="577"/>
      <c r="AD37" s="578"/>
      <c r="AE37" s="577"/>
      <c r="AF37" s="579"/>
      <c r="AG37" s="577"/>
      <c r="AH37" s="579"/>
      <c r="AI37" s="577"/>
      <c r="AJ37" s="579"/>
      <c r="AK37" s="577"/>
      <c r="AL37" s="579"/>
      <c r="AM37" s="580"/>
      <c r="AN37" s="579"/>
      <c r="AO37" s="577"/>
      <c r="AP37" s="579"/>
      <c r="AQ37" s="580"/>
      <c r="AR37" s="579"/>
      <c r="AS37" s="579"/>
      <c r="AT37" s="579"/>
      <c r="AU37" s="580"/>
      <c r="AV37" s="579"/>
      <c r="AW37" s="579"/>
      <c r="AX37" s="158"/>
      <c r="AY37" s="154"/>
      <c r="AZ37">
        <f ca="1">INDIRECT(ADDRESS(ROW()+1,COLUMN(Arbeitszeit!xDay),,,"Arbeitszeit"))</f>
        <v>4</v>
      </c>
    </row>
    <row r="38" spans="1:52">
      <c r="A38" s="520">
        <f>Arbeitszeit!A39</f>
        <v>43498</v>
      </c>
      <c r="B38" s="521">
        <f t="shared" si="0"/>
        <v>43498</v>
      </c>
      <c r="C38" s="191">
        <f t="shared" si="1"/>
        <v>5</v>
      </c>
      <c r="D38" s="190">
        <f t="shared" si="2"/>
        <v>43496</v>
      </c>
      <c r="E38" s="589">
        <f>Arbeitszeit!V39*24</f>
        <v>0</v>
      </c>
      <c r="F38" s="349">
        <f t="shared" si="3"/>
        <v>0</v>
      </c>
      <c r="G38" s="155">
        <f>IF(Arbeitszeit!F39=Urlaub,B_WorkTime*24,)</f>
        <v>0</v>
      </c>
      <c r="H38" s="153"/>
      <c r="I38" s="155">
        <f>IF(Arbeitszeit!F39=Krank,B_WorkTime*24,)</f>
        <v>0</v>
      </c>
      <c r="J38" s="153"/>
      <c r="K38" s="156"/>
      <c r="L38" s="157"/>
      <c r="M38" s="577"/>
      <c r="N38" s="578"/>
      <c r="O38" s="577"/>
      <c r="P38" s="578"/>
      <c r="Q38" s="577"/>
      <c r="R38" s="578"/>
      <c r="S38" s="577"/>
      <c r="T38" s="578"/>
      <c r="U38" s="577"/>
      <c r="V38" s="578"/>
      <c r="W38" s="577"/>
      <c r="X38" s="578"/>
      <c r="Y38" s="577"/>
      <c r="Z38" s="578"/>
      <c r="AA38" s="577"/>
      <c r="AB38" s="578"/>
      <c r="AC38" s="577"/>
      <c r="AD38" s="578"/>
      <c r="AE38" s="577"/>
      <c r="AF38" s="579"/>
      <c r="AG38" s="577"/>
      <c r="AH38" s="579"/>
      <c r="AI38" s="577"/>
      <c r="AJ38" s="579"/>
      <c r="AK38" s="577"/>
      <c r="AL38" s="579"/>
      <c r="AM38" s="580"/>
      <c r="AN38" s="579"/>
      <c r="AO38" s="577"/>
      <c r="AP38" s="579"/>
      <c r="AQ38" s="580"/>
      <c r="AR38" s="579"/>
      <c r="AS38" s="579"/>
      <c r="AT38" s="579"/>
      <c r="AU38" s="580"/>
      <c r="AV38" s="579"/>
      <c r="AW38" s="579"/>
      <c r="AX38" s="158"/>
      <c r="AY38" s="154"/>
      <c r="AZ38">
        <f ca="1">INDIRECT(ADDRESS(ROW()+1,COLUMN(Arbeitszeit!xDay),,,"Arbeitszeit"))</f>
        <v>5</v>
      </c>
    </row>
    <row r="39" spans="1:52">
      <c r="A39" s="520">
        <f>Arbeitszeit!A40</f>
        <v>43499</v>
      </c>
      <c r="B39" s="521">
        <f t="shared" si="0"/>
        <v>43499</v>
      </c>
      <c r="C39" s="191">
        <f t="shared" si="1"/>
        <v>5</v>
      </c>
      <c r="D39" s="190">
        <f t="shared" si="2"/>
        <v>43496</v>
      </c>
      <c r="E39" s="589">
        <f>Arbeitszeit!V40*24</f>
        <v>0</v>
      </c>
      <c r="F39" s="349">
        <f t="shared" si="3"/>
        <v>0</v>
      </c>
      <c r="G39" s="155">
        <f>IF(Arbeitszeit!F40=Urlaub,B_WorkTime*24,)</f>
        <v>0</v>
      </c>
      <c r="H39" s="153"/>
      <c r="I39" s="155">
        <f>IF(Arbeitszeit!F40=Krank,B_WorkTime*24,)</f>
        <v>0</v>
      </c>
      <c r="J39" s="153"/>
      <c r="K39" s="156"/>
      <c r="L39" s="157"/>
      <c r="M39" s="577"/>
      <c r="N39" s="578"/>
      <c r="O39" s="577"/>
      <c r="P39" s="578"/>
      <c r="Q39" s="577"/>
      <c r="R39" s="578"/>
      <c r="S39" s="577"/>
      <c r="T39" s="578"/>
      <c r="U39" s="577"/>
      <c r="V39" s="578"/>
      <c r="W39" s="577"/>
      <c r="X39" s="578"/>
      <c r="Y39" s="577"/>
      <c r="Z39" s="578"/>
      <c r="AA39" s="577"/>
      <c r="AB39" s="578"/>
      <c r="AC39" s="577"/>
      <c r="AD39" s="578"/>
      <c r="AE39" s="577"/>
      <c r="AF39" s="579"/>
      <c r="AG39" s="577"/>
      <c r="AH39" s="579"/>
      <c r="AI39" s="577"/>
      <c r="AJ39" s="579"/>
      <c r="AK39" s="577"/>
      <c r="AL39" s="579"/>
      <c r="AM39" s="580"/>
      <c r="AN39" s="579"/>
      <c r="AO39" s="577"/>
      <c r="AP39" s="579"/>
      <c r="AQ39" s="580"/>
      <c r="AR39" s="579"/>
      <c r="AS39" s="579"/>
      <c r="AT39" s="579"/>
      <c r="AU39" s="580"/>
      <c r="AV39" s="579"/>
      <c r="AW39" s="579"/>
      <c r="AX39" s="158"/>
      <c r="AY39" s="154"/>
      <c r="AZ39">
        <f ca="1">INDIRECT(ADDRESS(ROW()+1,COLUMN(Arbeitszeit!xDay),,,"Arbeitszeit"))</f>
        <v>6</v>
      </c>
    </row>
    <row r="40" spans="1:52">
      <c r="A40" s="520">
        <f>Arbeitszeit!A41</f>
        <v>43500</v>
      </c>
      <c r="B40" s="521">
        <f t="shared" si="0"/>
        <v>43500</v>
      </c>
      <c r="C40" s="191">
        <f t="shared" si="1"/>
        <v>5</v>
      </c>
      <c r="D40" s="190">
        <f t="shared" si="2"/>
        <v>43496</v>
      </c>
      <c r="E40" s="589">
        <f>Arbeitszeit!V41*24</f>
        <v>0</v>
      </c>
      <c r="F40" s="349">
        <f t="shared" si="3"/>
        <v>0</v>
      </c>
      <c r="G40" s="155">
        <f>IF(Arbeitszeit!F41=Urlaub,B_WorkTime*24,)</f>
        <v>0</v>
      </c>
      <c r="H40" s="153"/>
      <c r="I40" s="155">
        <f>IF(Arbeitszeit!F41=Krank,B_WorkTime*24,)</f>
        <v>0</v>
      </c>
      <c r="J40" s="153"/>
      <c r="K40" s="156"/>
      <c r="L40" s="157"/>
      <c r="M40" s="577"/>
      <c r="N40" s="578"/>
      <c r="O40" s="577"/>
      <c r="P40" s="578"/>
      <c r="Q40" s="577"/>
      <c r="R40" s="578"/>
      <c r="S40" s="577"/>
      <c r="T40" s="578"/>
      <c r="U40" s="577"/>
      <c r="V40" s="578"/>
      <c r="W40" s="577"/>
      <c r="X40" s="578"/>
      <c r="Y40" s="577"/>
      <c r="Z40" s="578"/>
      <c r="AA40" s="577"/>
      <c r="AB40" s="578"/>
      <c r="AC40" s="577"/>
      <c r="AD40" s="578"/>
      <c r="AE40" s="577"/>
      <c r="AF40" s="579"/>
      <c r="AG40" s="577"/>
      <c r="AH40" s="579"/>
      <c r="AI40" s="577"/>
      <c r="AJ40" s="579"/>
      <c r="AK40" s="577"/>
      <c r="AL40" s="579"/>
      <c r="AM40" s="580"/>
      <c r="AN40" s="579"/>
      <c r="AO40" s="577"/>
      <c r="AP40" s="579"/>
      <c r="AQ40" s="580"/>
      <c r="AR40" s="579"/>
      <c r="AS40" s="579"/>
      <c r="AT40" s="579"/>
      <c r="AU40" s="580"/>
      <c r="AV40" s="579"/>
      <c r="AW40" s="579"/>
      <c r="AX40" s="158"/>
      <c r="AY40" s="154"/>
      <c r="AZ40">
        <f ca="1">INDIRECT(ADDRESS(ROW()+1,COLUMN(Arbeitszeit!xDay),,,"Arbeitszeit"))</f>
        <v>7</v>
      </c>
    </row>
    <row r="41" spans="1:52">
      <c r="A41" s="520">
        <f>Arbeitszeit!A42</f>
        <v>43501</v>
      </c>
      <c r="B41" s="521">
        <f t="shared" si="0"/>
        <v>43501</v>
      </c>
      <c r="C41" s="191">
        <f t="shared" si="1"/>
        <v>6</v>
      </c>
      <c r="D41" s="190">
        <f t="shared" si="2"/>
        <v>43496</v>
      </c>
      <c r="E41" s="589">
        <f>Arbeitszeit!V42*24</f>
        <v>0</v>
      </c>
      <c r="F41" s="349">
        <f t="shared" si="3"/>
        <v>0</v>
      </c>
      <c r="G41" s="155">
        <f>IF(Arbeitszeit!F42=Urlaub,B_WorkTime*24,)</f>
        <v>0</v>
      </c>
      <c r="H41" s="153"/>
      <c r="I41" s="155">
        <f>IF(Arbeitszeit!F42=Krank,B_WorkTime*24,)</f>
        <v>0</v>
      </c>
      <c r="J41" s="153"/>
      <c r="K41" s="156"/>
      <c r="L41" s="157"/>
      <c r="M41" s="577"/>
      <c r="N41" s="578"/>
      <c r="O41" s="577"/>
      <c r="P41" s="578"/>
      <c r="Q41" s="577"/>
      <c r="R41" s="578"/>
      <c r="S41" s="577"/>
      <c r="T41" s="578"/>
      <c r="U41" s="577"/>
      <c r="V41" s="578"/>
      <c r="W41" s="577"/>
      <c r="X41" s="578"/>
      <c r="Y41" s="577"/>
      <c r="Z41" s="578"/>
      <c r="AA41" s="577"/>
      <c r="AB41" s="578"/>
      <c r="AC41" s="577"/>
      <c r="AD41" s="578"/>
      <c r="AE41" s="577"/>
      <c r="AF41" s="579"/>
      <c r="AG41" s="577"/>
      <c r="AH41" s="579"/>
      <c r="AI41" s="577"/>
      <c r="AJ41" s="579"/>
      <c r="AK41" s="577"/>
      <c r="AL41" s="579"/>
      <c r="AM41" s="580"/>
      <c r="AN41" s="579"/>
      <c r="AO41" s="577"/>
      <c r="AP41" s="579"/>
      <c r="AQ41" s="580"/>
      <c r="AR41" s="579"/>
      <c r="AS41" s="579"/>
      <c r="AT41" s="579"/>
      <c r="AU41" s="580"/>
      <c r="AV41" s="579"/>
      <c r="AW41" s="579"/>
      <c r="AX41" s="158"/>
      <c r="AY41" s="154"/>
      <c r="AZ41">
        <f ca="1">INDIRECT(ADDRESS(ROW()+1,COLUMN(Arbeitszeit!xDay),,,"Arbeitszeit"))</f>
        <v>1</v>
      </c>
    </row>
    <row r="42" spans="1:52">
      <c r="A42" s="520">
        <f>Arbeitszeit!A43</f>
        <v>43502</v>
      </c>
      <c r="B42" s="521">
        <f t="shared" si="0"/>
        <v>43502</v>
      </c>
      <c r="C42" s="191">
        <f t="shared" si="1"/>
        <v>6</v>
      </c>
      <c r="D42" s="190">
        <f t="shared" si="2"/>
        <v>43496</v>
      </c>
      <c r="E42" s="589">
        <f>Arbeitszeit!V43*24</f>
        <v>0</v>
      </c>
      <c r="F42" s="349">
        <f t="shared" si="3"/>
        <v>0</v>
      </c>
      <c r="G42" s="155">
        <f>IF(Arbeitszeit!F43=Urlaub,B_WorkTime*24,)</f>
        <v>0</v>
      </c>
      <c r="H42" s="153"/>
      <c r="I42" s="155">
        <f>IF(Arbeitszeit!F43=Krank,B_WorkTime*24,)</f>
        <v>0</v>
      </c>
      <c r="J42" s="153"/>
      <c r="K42" s="156"/>
      <c r="L42" s="157"/>
      <c r="M42" s="577"/>
      <c r="N42" s="578"/>
      <c r="O42" s="577"/>
      <c r="P42" s="578"/>
      <c r="Q42" s="577"/>
      <c r="R42" s="578"/>
      <c r="S42" s="577"/>
      <c r="T42" s="578"/>
      <c r="U42" s="577"/>
      <c r="V42" s="578"/>
      <c r="W42" s="577"/>
      <c r="X42" s="578"/>
      <c r="Y42" s="577"/>
      <c r="Z42" s="578"/>
      <c r="AA42" s="577"/>
      <c r="AB42" s="578"/>
      <c r="AC42" s="577"/>
      <c r="AD42" s="578"/>
      <c r="AE42" s="577"/>
      <c r="AF42" s="579"/>
      <c r="AG42" s="577"/>
      <c r="AH42" s="579"/>
      <c r="AI42" s="577"/>
      <c r="AJ42" s="579"/>
      <c r="AK42" s="577"/>
      <c r="AL42" s="579"/>
      <c r="AM42" s="580"/>
      <c r="AN42" s="579"/>
      <c r="AO42" s="577"/>
      <c r="AP42" s="579"/>
      <c r="AQ42" s="580"/>
      <c r="AR42" s="579"/>
      <c r="AS42" s="579"/>
      <c r="AT42" s="579"/>
      <c r="AU42" s="580"/>
      <c r="AV42" s="579"/>
      <c r="AW42" s="579"/>
      <c r="AX42" s="158"/>
      <c r="AY42" s="154"/>
      <c r="AZ42">
        <f ca="1">INDIRECT(ADDRESS(ROW()+1,COLUMN(Arbeitszeit!xDay),,,"Arbeitszeit"))</f>
        <v>2</v>
      </c>
    </row>
    <row r="43" spans="1:52">
      <c r="A43" s="520">
        <f>Arbeitszeit!A44</f>
        <v>43503</v>
      </c>
      <c r="B43" s="521">
        <f t="shared" si="0"/>
        <v>43503</v>
      </c>
      <c r="C43" s="191">
        <f t="shared" si="1"/>
        <v>6</v>
      </c>
      <c r="D43" s="190">
        <f t="shared" si="2"/>
        <v>43496</v>
      </c>
      <c r="E43" s="589">
        <f>Arbeitszeit!V44*24</f>
        <v>0</v>
      </c>
      <c r="F43" s="349">
        <f t="shared" si="3"/>
        <v>0</v>
      </c>
      <c r="G43" s="155">
        <f>IF(Arbeitszeit!F44=Urlaub,B_WorkTime*24,)</f>
        <v>0</v>
      </c>
      <c r="H43" s="153"/>
      <c r="I43" s="155">
        <f>IF(Arbeitszeit!F44=Krank,B_WorkTime*24,)</f>
        <v>0</v>
      </c>
      <c r="J43" s="153"/>
      <c r="K43" s="156"/>
      <c r="L43" s="157"/>
      <c r="M43" s="577"/>
      <c r="N43" s="578"/>
      <c r="O43" s="577"/>
      <c r="P43" s="578"/>
      <c r="Q43" s="577"/>
      <c r="R43" s="578"/>
      <c r="S43" s="577"/>
      <c r="T43" s="578"/>
      <c r="U43" s="577"/>
      <c r="V43" s="578"/>
      <c r="W43" s="577"/>
      <c r="X43" s="578"/>
      <c r="Y43" s="577"/>
      <c r="Z43" s="578"/>
      <c r="AA43" s="577"/>
      <c r="AB43" s="578"/>
      <c r="AC43" s="577"/>
      <c r="AD43" s="578"/>
      <c r="AE43" s="577"/>
      <c r="AF43" s="579"/>
      <c r="AG43" s="577"/>
      <c r="AH43" s="579"/>
      <c r="AI43" s="577"/>
      <c r="AJ43" s="579"/>
      <c r="AK43" s="577"/>
      <c r="AL43" s="579"/>
      <c r="AM43" s="580"/>
      <c r="AN43" s="579"/>
      <c r="AO43" s="577"/>
      <c r="AP43" s="579"/>
      <c r="AQ43" s="580"/>
      <c r="AR43" s="579"/>
      <c r="AS43" s="579"/>
      <c r="AT43" s="579"/>
      <c r="AU43" s="580"/>
      <c r="AV43" s="579"/>
      <c r="AW43" s="579"/>
      <c r="AX43" s="158"/>
      <c r="AY43" s="154"/>
      <c r="AZ43">
        <f ca="1">INDIRECT(ADDRESS(ROW()+1,COLUMN(Arbeitszeit!xDay),,,"Arbeitszeit"))</f>
        <v>3</v>
      </c>
    </row>
    <row r="44" spans="1:52">
      <c r="A44" s="520">
        <f>Arbeitszeit!A45</f>
        <v>43504</v>
      </c>
      <c r="B44" s="521">
        <f t="shared" si="0"/>
        <v>43504</v>
      </c>
      <c r="C44" s="191">
        <f t="shared" si="1"/>
        <v>6</v>
      </c>
      <c r="D44" s="190">
        <f t="shared" si="2"/>
        <v>43496</v>
      </c>
      <c r="E44" s="589">
        <f>Arbeitszeit!V45*24</f>
        <v>0</v>
      </c>
      <c r="F44" s="349">
        <f t="shared" si="3"/>
        <v>0</v>
      </c>
      <c r="G44" s="155">
        <f>IF(Arbeitszeit!F45=Urlaub,B_WorkTime*24,)</f>
        <v>0</v>
      </c>
      <c r="H44" s="153"/>
      <c r="I44" s="155">
        <f>IF(Arbeitszeit!F45=Krank,B_WorkTime*24,)</f>
        <v>0</v>
      </c>
      <c r="J44" s="153"/>
      <c r="K44" s="156"/>
      <c r="L44" s="157"/>
      <c r="M44" s="577"/>
      <c r="N44" s="578"/>
      <c r="O44" s="577"/>
      <c r="P44" s="578"/>
      <c r="Q44" s="577"/>
      <c r="R44" s="578"/>
      <c r="S44" s="577"/>
      <c r="T44" s="578"/>
      <c r="U44" s="577"/>
      <c r="V44" s="578"/>
      <c r="W44" s="577"/>
      <c r="X44" s="578"/>
      <c r="Y44" s="577"/>
      <c r="Z44" s="578"/>
      <c r="AA44" s="577"/>
      <c r="AB44" s="578"/>
      <c r="AC44" s="577"/>
      <c r="AD44" s="578"/>
      <c r="AE44" s="577"/>
      <c r="AF44" s="579"/>
      <c r="AG44" s="577"/>
      <c r="AH44" s="579"/>
      <c r="AI44" s="577"/>
      <c r="AJ44" s="579"/>
      <c r="AK44" s="577"/>
      <c r="AL44" s="579"/>
      <c r="AM44" s="580"/>
      <c r="AN44" s="579"/>
      <c r="AO44" s="577"/>
      <c r="AP44" s="579"/>
      <c r="AQ44" s="580"/>
      <c r="AR44" s="579"/>
      <c r="AS44" s="579"/>
      <c r="AT44" s="579"/>
      <c r="AU44" s="580"/>
      <c r="AV44" s="579"/>
      <c r="AW44" s="579"/>
      <c r="AX44" s="158"/>
      <c r="AY44" s="154"/>
      <c r="AZ44">
        <f ca="1">INDIRECT(ADDRESS(ROW()+1,COLUMN(Arbeitszeit!xDay),,,"Arbeitszeit"))</f>
        <v>4</v>
      </c>
    </row>
    <row r="45" spans="1:52">
      <c r="A45" s="520">
        <f>Arbeitszeit!A46</f>
        <v>43505</v>
      </c>
      <c r="B45" s="521">
        <f t="shared" si="0"/>
        <v>43505</v>
      </c>
      <c r="C45" s="191">
        <f t="shared" si="1"/>
        <v>6</v>
      </c>
      <c r="D45" s="190">
        <f t="shared" si="2"/>
        <v>43496</v>
      </c>
      <c r="E45" s="589">
        <f>Arbeitszeit!V46*24</f>
        <v>0</v>
      </c>
      <c r="F45" s="349">
        <f t="shared" si="3"/>
        <v>0</v>
      </c>
      <c r="G45" s="155">
        <f>IF(Arbeitszeit!F46=Urlaub,B_WorkTime*24,)</f>
        <v>0</v>
      </c>
      <c r="H45" s="153"/>
      <c r="I45" s="155">
        <f>IF(Arbeitszeit!F46=Krank,B_WorkTime*24,)</f>
        <v>0</v>
      </c>
      <c r="J45" s="153"/>
      <c r="K45" s="156"/>
      <c r="L45" s="157"/>
      <c r="M45" s="577"/>
      <c r="N45" s="578"/>
      <c r="O45" s="577"/>
      <c r="P45" s="578"/>
      <c r="Q45" s="577"/>
      <c r="R45" s="578"/>
      <c r="S45" s="577"/>
      <c r="T45" s="578"/>
      <c r="U45" s="577"/>
      <c r="V45" s="578"/>
      <c r="W45" s="577"/>
      <c r="X45" s="578"/>
      <c r="Y45" s="577"/>
      <c r="Z45" s="578"/>
      <c r="AA45" s="577"/>
      <c r="AB45" s="578"/>
      <c r="AC45" s="577"/>
      <c r="AD45" s="578"/>
      <c r="AE45" s="577"/>
      <c r="AF45" s="579"/>
      <c r="AG45" s="577"/>
      <c r="AH45" s="579"/>
      <c r="AI45" s="577"/>
      <c r="AJ45" s="579"/>
      <c r="AK45" s="577"/>
      <c r="AL45" s="579"/>
      <c r="AM45" s="580"/>
      <c r="AN45" s="579"/>
      <c r="AO45" s="577"/>
      <c r="AP45" s="579"/>
      <c r="AQ45" s="580"/>
      <c r="AR45" s="579"/>
      <c r="AS45" s="579"/>
      <c r="AT45" s="579"/>
      <c r="AU45" s="580"/>
      <c r="AV45" s="579"/>
      <c r="AW45" s="579"/>
      <c r="AX45" s="158"/>
      <c r="AY45" s="154"/>
      <c r="AZ45">
        <f ca="1">INDIRECT(ADDRESS(ROW()+1,COLUMN(Arbeitszeit!xDay),,,"Arbeitszeit"))</f>
        <v>5</v>
      </c>
    </row>
    <row r="46" spans="1:52">
      <c r="A46" s="520">
        <f>Arbeitszeit!A47</f>
        <v>43506</v>
      </c>
      <c r="B46" s="521">
        <f t="shared" si="0"/>
        <v>43506</v>
      </c>
      <c r="C46" s="191">
        <f t="shared" si="1"/>
        <v>6</v>
      </c>
      <c r="D46" s="190">
        <f t="shared" si="2"/>
        <v>43496</v>
      </c>
      <c r="E46" s="589">
        <f>Arbeitszeit!V47*24</f>
        <v>0</v>
      </c>
      <c r="F46" s="349">
        <f t="shared" si="3"/>
        <v>0</v>
      </c>
      <c r="G46" s="155">
        <f>IF(Arbeitszeit!F47=Urlaub,B_WorkTime*24,)</f>
        <v>0</v>
      </c>
      <c r="H46" s="153"/>
      <c r="I46" s="155">
        <f>IF(Arbeitszeit!F47=Krank,B_WorkTime*24,)</f>
        <v>0</v>
      </c>
      <c r="J46" s="153"/>
      <c r="K46" s="156"/>
      <c r="L46" s="157"/>
      <c r="M46" s="577"/>
      <c r="N46" s="578"/>
      <c r="O46" s="577"/>
      <c r="P46" s="578"/>
      <c r="Q46" s="577"/>
      <c r="R46" s="578"/>
      <c r="S46" s="577"/>
      <c r="T46" s="578"/>
      <c r="U46" s="577"/>
      <c r="V46" s="578"/>
      <c r="W46" s="577"/>
      <c r="X46" s="578"/>
      <c r="Y46" s="577"/>
      <c r="Z46" s="578"/>
      <c r="AA46" s="577"/>
      <c r="AB46" s="578"/>
      <c r="AC46" s="577"/>
      <c r="AD46" s="578"/>
      <c r="AE46" s="577"/>
      <c r="AF46" s="579"/>
      <c r="AG46" s="577"/>
      <c r="AH46" s="579"/>
      <c r="AI46" s="577"/>
      <c r="AJ46" s="579"/>
      <c r="AK46" s="577"/>
      <c r="AL46" s="579"/>
      <c r="AM46" s="580"/>
      <c r="AN46" s="579"/>
      <c r="AO46" s="577"/>
      <c r="AP46" s="579"/>
      <c r="AQ46" s="580"/>
      <c r="AR46" s="579"/>
      <c r="AS46" s="579"/>
      <c r="AT46" s="579"/>
      <c r="AU46" s="580"/>
      <c r="AV46" s="579"/>
      <c r="AW46" s="579"/>
      <c r="AX46" s="158"/>
      <c r="AY46" s="154"/>
      <c r="AZ46">
        <f ca="1">INDIRECT(ADDRESS(ROW()+1,COLUMN(Arbeitszeit!xDay),,,"Arbeitszeit"))</f>
        <v>6</v>
      </c>
    </row>
    <row r="47" spans="1:52">
      <c r="A47" s="520">
        <f>Arbeitszeit!A48</f>
        <v>43507</v>
      </c>
      <c r="B47" s="521">
        <f t="shared" si="0"/>
        <v>43507</v>
      </c>
      <c r="C47" s="191">
        <f t="shared" si="1"/>
        <v>6</v>
      </c>
      <c r="D47" s="190">
        <f t="shared" si="2"/>
        <v>43496</v>
      </c>
      <c r="E47" s="589">
        <f>Arbeitszeit!V48*24</f>
        <v>0</v>
      </c>
      <c r="F47" s="349">
        <f t="shared" si="3"/>
        <v>0</v>
      </c>
      <c r="G47" s="155">
        <f>IF(Arbeitszeit!F48=Urlaub,B_WorkTime*24,)</f>
        <v>0</v>
      </c>
      <c r="H47" s="153"/>
      <c r="I47" s="155">
        <f>IF(Arbeitszeit!F48=Krank,B_WorkTime*24,)</f>
        <v>0</v>
      </c>
      <c r="J47" s="153"/>
      <c r="K47" s="156"/>
      <c r="L47" s="157"/>
      <c r="M47" s="577"/>
      <c r="N47" s="578"/>
      <c r="O47" s="577"/>
      <c r="P47" s="578"/>
      <c r="Q47" s="577"/>
      <c r="R47" s="578"/>
      <c r="S47" s="577"/>
      <c r="T47" s="578"/>
      <c r="U47" s="577"/>
      <c r="V47" s="578"/>
      <c r="W47" s="577"/>
      <c r="X47" s="578"/>
      <c r="Y47" s="577"/>
      <c r="Z47" s="578"/>
      <c r="AA47" s="577"/>
      <c r="AB47" s="578"/>
      <c r="AC47" s="577"/>
      <c r="AD47" s="578"/>
      <c r="AE47" s="577"/>
      <c r="AF47" s="579"/>
      <c r="AG47" s="577"/>
      <c r="AH47" s="579"/>
      <c r="AI47" s="577"/>
      <c r="AJ47" s="579"/>
      <c r="AK47" s="577"/>
      <c r="AL47" s="579"/>
      <c r="AM47" s="580"/>
      <c r="AN47" s="579"/>
      <c r="AO47" s="577"/>
      <c r="AP47" s="579"/>
      <c r="AQ47" s="580"/>
      <c r="AR47" s="579"/>
      <c r="AS47" s="579"/>
      <c r="AT47" s="579"/>
      <c r="AU47" s="580"/>
      <c r="AV47" s="579"/>
      <c r="AW47" s="579"/>
      <c r="AX47" s="158"/>
      <c r="AY47" s="154"/>
      <c r="AZ47">
        <f ca="1">INDIRECT(ADDRESS(ROW()+1,COLUMN(Arbeitszeit!xDay),,,"Arbeitszeit"))</f>
        <v>7</v>
      </c>
    </row>
    <row r="48" spans="1:52">
      <c r="A48" s="520">
        <f>Arbeitszeit!A49</f>
        <v>43508</v>
      </c>
      <c r="B48" s="521">
        <f t="shared" si="0"/>
        <v>43508</v>
      </c>
      <c r="C48" s="191">
        <f t="shared" si="1"/>
        <v>7</v>
      </c>
      <c r="D48" s="190">
        <f t="shared" si="2"/>
        <v>43496</v>
      </c>
      <c r="E48" s="589">
        <f>Arbeitszeit!V49*24</f>
        <v>0</v>
      </c>
      <c r="F48" s="349">
        <f t="shared" si="3"/>
        <v>0</v>
      </c>
      <c r="G48" s="155">
        <f>IF(Arbeitszeit!F49=Urlaub,B_WorkTime*24,)</f>
        <v>0</v>
      </c>
      <c r="H48" s="153"/>
      <c r="I48" s="155">
        <f>IF(Arbeitszeit!F49=Krank,B_WorkTime*24,)</f>
        <v>0</v>
      </c>
      <c r="J48" s="153"/>
      <c r="K48" s="156"/>
      <c r="L48" s="157"/>
      <c r="M48" s="577"/>
      <c r="N48" s="578"/>
      <c r="O48" s="577"/>
      <c r="P48" s="578"/>
      <c r="Q48" s="577"/>
      <c r="R48" s="578"/>
      <c r="S48" s="577"/>
      <c r="T48" s="578"/>
      <c r="U48" s="577"/>
      <c r="V48" s="578"/>
      <c r="W48" s="577"/>
      <c r="X48" s="578"/>
      <c r="Y48" s="577"/>
      <c r="Z48" s="578"/>
      <c r="AA48" s="577"/>
      <c r="AB48" s="578"/>
      <c r="AC48" s="577"/>
      <c r="AD48" s="578"/>
      <c r="AE48" s="577"/>
      <c r="AF48" s="579"/>
      <c r="AG48" s="577"/>
      <c r="AH48" s="579"/>
      <c r="AI48" s="577"/>
      <c r="AJ48" s="579"/>
      <c r="AK48" s="577"/>
      <c r="AL48" s="579"/>
      <c r="AM48" s="580"/>
      <c r="AN48" s="579"/>
      <c r="AO48" s="577"/>
      <c r="AP48" s="579"/>
      <c r="AQ48" s="580"/>
      <c r="AR48" s="579"/>
      <c r="AS48" s="579"/>
      <c r="AT48" s="579"/>
      <c r="AU48" s="580"/>
      <c r="AV48" s="579"/>
      <c r="AW48" s="579"/>
      <c r="AX48" s="158"/>
      <c r="AY48" s="154"/>
      <c r="AZ48">
        <f ca="1">INDIRECT(ADDRESS(ROW()+1,COLUMN(Arbeitszeit!xDay),,,"Arbeitszeit"))</f>
        <v>1</v>
      </c>
    </row>
    <row r="49" spans="1:52">
      <c r="A49" s="520">
        <f>Arbeitszeit!A50</f>
        <v>43509</v>
      </c>
      <c r="B49" s="521">
        <f t="shared" si="0"/>
        <v>43509</v>
      </c>
      <c r="C49" s="191">
        <f t="shared" si="1"/>
        <v>7</v>
      </c>
      <c r="D49" s="190">
        <f t="shared" si="2"/>
        <v>43496</v>
      </c>
      <c r="E49" s="589">
        <f>Arbeitszeit!V50*24</f>
        <v>0</v>
      </c>
      <c r="F49" s="349">
        <f t="shared" si="3"/>
        <v>0</v>
      </c>
      <c r="G49" s="155">
        <f>IF(Arbeitszeit!F50=Urlaub,B_WorkTime*24,)</f>
        <v>0</v>
      </c>
      <c r="H49" s="153"/>
      <c r="I49" s="155">
        <f>IF(Arbeitszeit!F50=Krank,B_WorkTime*24,)</f>
        <v>0</v>
      </c>
      <c r="J49" s="153"/>
      <c r="K49" s="156"/>
      <c r="L49" s="157"/>
      <c r="M49" s="577"/>
      <c r="N49" s="578"/>
      <c r="O49" s="577"/>
      <c r="P49" s="578"/>
      <c r="Q49" s="577"/>
      <c r="R49" s="578"/>
      <c r="S49" s="577"/>
      <c r="T49" s="578"/>
      <c r="U49" s="577"/>
      <c r="V49" s="578"/>
      <c r="W49" s="577"/>
      <c r="X49" s="578"/>
      <c r="Y49" s="577"/>
      <c r="Z49" s="578"/>
      <c r="AA49" s="577"/>
      <c r="AB49" s="578"/>
      <c r="AC49" s="577"/>
      <c r="AD49" s="578"/>
      <c r="AE49" s="577"/>
      <c r="AF49" s="579"/>
      <c r="AG49" s="577"/>
      <c r="AH49" s="579"/>
      <c r="AI49" s="577"/>
      <c r="AJ49" s="579"/>
      <c r="AK49" s="577"/>
      <c r="AL49" s="579"/>
      <c r="AM49" s="580"/>
      <c r="AN49" s="579"/>
      <c r="AO49" s="577"/>
      <c r="AP49" s="579"/>
      <c r="AQ49" s="580"/>
      <c r="AR49" s="579"/>
      <c r="AS49" s="579"/>
      <c r="AT49" s="579"/>
      <c r="AU49" s="580"/>
      <c r="AV49" s="579"/>
      <c r="AW49" s="579"/>
      <c r="AX49" s="158"/>
      <c r="AY49" s="154"/>
      <c r="AZ49">
        <f ca="1">INDIRECT(ADDRESS(ROW()+1,COLUMN(Arbeitszeit!xDay),,,"Arbeitszeit"))</f>
        <v>2</v>
      </c>
    </row>
    <row r="50" spans="1:52">
      <c r="A50" s="520">
        <f>Arbeitszeit!A51</f>
        <v>43510</v>
      </c>
      <c r="B50" s="521">
        <f t="shared" si="0"/>
        <v>43510</v>
      </c>
      <c r="C50" s="191">
        <f t="shared" si="1"/>
        <v>7</v>
      </c>
      <c r="D50" s="190">
        <f t="shared" si="2"/>
        <v>43496</v>
      </c>
      <c r="E50" s="589">
        <f>Arbeitszeit!V51*24</f>
        <v>0</v>
      </c>
      <c r="F50" s="349">
        <f t="shared" si="3"/>
        <v>0</v>
      </c>
      <c r="G50" s="155">
        <f>IF(Arbeitszeit!F51=Urlaub,B_WorkTime*24,)</f>
        <v>0</v>
      </c>
      <c r="H50" s="153"/>
      <c r="I50" s="155">
        <f>IF(Arbeitszeit!F51=Krank,B_WorkTime*24,)</f>
        <v>0</v>
      </c>
      <c r="J50" s="153"/>
      <c r="K50" s="156"/>
      <c r="L50" s="157"/>
      <c r="M50" s="577"/>
      <c r="N50" s="578"/>
      <c r="O50" s="577"/>
      <c r="P50" s="578"/>
      <c r="Q50" s="577"/>
      <c r="R50" s="578"/>
      <c r="S50" s="577"/>
      <c r="T50" s="578"/>
      <c r="U50" s="577"/>
      <c r="V50" s="578"/>
      <c r="W50" s="577"/>
      <c r="X50" s="578"/>
      <c r="Y50" s="577"/>
      <c r="Z50" s="578"/>
      <c r="AA50" s="577"/>
      <c r="AB50" s="578"/>
      <c r="AC50" s="577"/>
      <c r="AD50" s="578"/>
      <c r="AE50" s="577"/>
      <c r="AF50" s="579"/>
      <c r="AG50" s="577"/>
      <c r="AH50" s="579"/>
      <c r="AI50" s="577"/>
      <c r="AJ50" s="579"/>
      <c r="AK50" s="577"/>
      <c r="AL50" s="579"/>
      <c r="AM50" s="580"/>
      <c r="AN50" s="579"/>
      <c r="AO50" s="577"/>
      <c r="AP50" s="579"/>
      <c r="AQ50" s="580"/>
      <c r="AR50" s="579"/>
      <c r="AS50" s="579"/>
      <c r="AT50" s="579"/>
      <c r="AU50" s="580"/>
      <c r="AV50" s="579"/>
      <c r="AW50" s="579"/>
      <c r="AX50" s="158"/>
      <c r="AY50" s="154"/>
      <c r="AZ50">
        <f ca="1">INDIRECT(ADDRESS(ROW()+1,COLUMN(Arbeitszeit!xDay),,,"Arbeitszeit"))</f>
        <v>3</v>
      </c>
    </row>
    <row r="51" spans="1:52">
      <c r="A51" s="520">
        <f>Arbeitszeit!A52</f>
        <v>43511</v>
      </c>
      <c r="B51" s="521">
        <f t="shared" si="0"/>
        <v>43511</v>
      </c>
      <c r="C51" s="191">
        <f t="shared" si="1"/>
        <v>7</v>
      </c>
      <c r="D51" s="190">
        <f t="shared" si="2"/>
        <v>43496</v>
      </c>
      <c r="E51" s="589">
        <f>Arbeitszeit!V52*24</f>
        <v>0</v>
      </c>
      <c r="F51" s="349">
        <f t="shared" si="3"/>
        <v>0</v>
      </c>
      <c r="G51" s="155">
        <f>IF(Arbeitszeit!F52=Urlaub,B_WorkTime*24,)</f>
        <v>0</v>
      </c>
      <c r="H51" s="153"/>
      <c r="I51" s="155">
        <f>IF(Arbeitszeit!F52=Krank,B_WorkTime*24,)</f>
        <v>0</v>
      </c>
      <c r="J51" s="153"/>
      <c r="K51" s="156"/>
      <c r="L51" s="157"/>
      <c r="M51" s="577"/>
      <c r="N51" s="578"/>
      <c r="O51" s="577"/>
      <c r="P51" s="578"/>
      <c r="Q51" s="577"/>
      <c r="R51" s="578"/>
      <c r="S51" s="577"/>
      <c r="T51" s="578"/>
      <c r="U51" s="577"/>
      <c r="V51" s="578"/>
      <c r="W51" s="577"/>
      <c r="X51" s="578"/>
      <c r="Y51" s="577"/>
      <c r="Z51" s="578"/>
      <c r="AA51" s="577"/>
      <c r="AB51" s="578"/>
      <c r="AC51" s="577"/>
      <c r="AD51" s="578"/>
      <c r="AE51" s="577"/>
      <c r="AF51" s="579"/>
      <c r="AG51" s="577"/>
      <c r="AH51" s="579"/>
      <c r="AI51" s="577"/>
      <c r="AJ51" s="579"/>
      <c r="AK51" s="577"/>
      <c r="AL51" s="579"/>
      <c r="AM51" s="580"/>
      <c r="AN51" s="579"/>
      <c r="AO51" s="577"/>
      <c r="AP51" s="579"/>
      <c r="AQ51" s="580"/>
      <c r="AR51" s="579"/>
      <c r="AS51" s="579"/>
      <c r="AT51" s="579"/>
      <c r="AU51" s="580"/>
      <c r="AV51" s="579"/>
      <c r="AW51" s="579"/>
      <c r="AX51" s="158"/>
      <c r="AY51" s="154"/>
      <c r="AZ51">
        <f ca="1">INDIRECT(ADDRESS(ROW()+1,COLUMN(Arbeitszeit!xDay),,,"Arbeitszeit"))</f>
        <v>4</v>
      </c>
    </row>
    <row r="52" spans="1:52">
      <c r="A52" s="520">
        <f>Arbeitszeit!A53</f>
        <v>43512</v>
      </c>
      <c r="B52" s="521">
        <f t="shared" si="0"/>
        <v>43512</v>
      </c>
      <c r="C52" s="191">
        <f t="shared" si="1"/>
        <v>7</v>
      </c>
      <c r="D52" s="190">
        <f t="shared" si="2"/>
        <v>43496</v>
      </c>
      <c r="E52" s="589">
        <f>Arbeitszeit!V53*24</f>
        <v>0</v>
      </c>
      <c r="F52" s="349">
        <f t="shared" si="3"/>
        <v>0</v>
      </c>
      <c r="G52" s="155">
        <f>IF(Arbeitszeit!F53=Urlaub,B_WorkTime*24,)</f>
        <v>0</v>
      </c>
      <c r="H52" s="153"/>
      <c r="I52" s="155">
        <f>IF(Arbeitszeit!F53=Krank,B_WorkTime*24,)</f>
        <v>0</v>
      </c>
      <c r="J52" s="153"/>
      <c r="K52" s="156"/>
      <c r="L52" s="157"/>
      <c r="M52" s="577"/>
      <c r="N52" s="578"/>
      <c r="O52" s="577"/>
      <c r="P52" s="578"/>
      <c r="Q52" s="577"/>
      <c r="R52" s="578"/>
      <c r="S52" s="577"/>
      <c r="T52" s="578"/>
      <c r="U52" s="577"/>
      <c r="V52" s="578"/>
      <c r="W52" s="577"/>
      <c r="X52" s="578"/>
      <c r="Y52" s="577"/>
      <c r="Z52" s="578"/>
      <c r="AA52" s="577"/>
      <c r="AB52" s="578"/>
      <c r="AC52" s="577"/>
      <c r="AD52" s="578"/>
      <c r="AE52" s="577"/>
      <c r="AF52" s="579"/>
      <c r="AG52" s="577"/>
      <c r="AH52" s="579"/>
      <c r="AI52" s="577"/>
      <c r="AJ52" s="579"/>
      <c r="AK52" s="577"/>
      <c r="AL52" s="579"/>
      <c r="AM52" s="580"/>
      <c r="AN52" s="579"/>
      <c r="AO52" s="577"/>
      <c r="AP52" s="579"/>
      <c r="AQ52" s="580"/>
      <c r="AR52" s="579"/>
      <c r="AS52" s="579"/>
      <c r="AT52" s="579"/>
      <c r="AU52" s="580"/>
      <c r="AV52" s="579"/>
      <c r="AW52" s="579"/>
      <c r="AX52" s="158"/>
      <c r="AY52" s="154"/>
      <c r="AZ52">
        <f ca="1">INDIRECT(ADDRESS(ROW()+1,COLUMN(Arbeitszeit!xDay),,,"Arbeitszeit"))</f>
        <v>5</v>
      </c>
    </row>
    <row r="53" spans="1:52">
      <c r="A53" s="520">
        <f>Arbeitszeit!A54</f>
        <v>43513</v>
      </c>
      <c r="B53" s="521">
        <f t="shared" si="0"/>
        <v>43513</v>
      </c>
      <c r="C53" s="191">
        <f t="shared" si="1"/>
        <v>7</v>
      </c>
      <c r="D53" s="190">
        <f t="shared" si="2"/>
        <v>43496</v>
      </c>
      <c r="E53" s="589">
        <f>Arbeitszeit!V54*24</f>
        <v>0</v>
      </c>
      <c r="F53" s="349">
        <f t="shared" si="3"/>
        <v>0</v>
      </c>
      <c r="G53" s="155">
        <f>IF(Arbeitszeit!F54=Urlaub,B_WorkTime*24,)</f>
        <v>0</v>
      </c>
      <c r="H53" s="153"/>
      <c r="I53" s="155">
        <f>IF(Arbeitszeit!F54=Krank,B_WorkTime*24,)</f>
        <v>0</v>
      </c>
      <c r="J53" s="153"/>
      <c r="K53" s="156"/>
      <c r="L53" s="157"/>
      <c r="M53" s="577"/>
      <c r="N53" s="578"/>
      <c r="O53" s="577"/>
      <c r="P53" s="578"/>
      <c r="Q53" s="577"/>
      <c r="R53" s="578"/>
      <c r="S53" s="577"/>
      <c r="T53" s="578"/>
      <c r="U53" s="577"/>
      <c r="V53" s="578"/>
      <c r="W53" s="577"/>
      <c r="X53" s="578"/>
      <c r="Y53" s="577"/>
      <c r="Z53" s="578"/>
      <c r="AA53" s="577"/>
      <c r="AB53" s="578"/>
      <c r="AC53" s="577"/>
      <c r="AD53" s="578"/>
      <c r="AE53" s="577"/>
      <c r="AF53" s="579"/>
      <c r="AG53" s="577"/>
      <c r="AH53" s="579"/>
      <c r="AI53" s="577"/>
      <c r="AJ53" s="579"/>
      <c r="AK53" s="577"/>
      <c r="AL53" s="579"/>
      <c r="AM53" s="580"/>
      <c r="AN53" s="579"/>
      <c r="AO53" s="577"/>
      <c r="AP53" s="579"/>
      <c r="AQ53" s="580"/>
      <c r="AR53" s="579"/>
      <c r="AS53" s="579"/>
      <c r="AT53" s="579"/>
      <c r="AU53" s="580"/>
      <c r="AV53" s="579"/>
      <c r="AW53" s="579"/>
      <c r="AX53" s="158"/>
      <c r="AY53" s="154"/>
      <c r="AZ53">
        <f ca="1">INDIRECT(ADDRESS(ROW()+1,COLUMN(Arbeitszeit!xDay),,,"Arbeitszeit"))</f>
        <v>6</v>
      </c>
    </row>
    <row r="54" spans="1:52">
      <c r="A54" s="520">
        <f>Arbeitszeit!A55</f>
        <v>43514</v>
      </c>
      <c r="B54" s="521">
        <f t="shared" si="0"/>
        <v>43514</v>
      </c>
      <c r="C54" s="191">
        <f t="shared" si="1"/>
        <v>7</v>
      </c>
      <c r="D54" s="190">
        <f t="shared" si="2"/>
        <v>43496</v>
      </c>
      <c r="E54" s="589">
        <f>Arbeitszeit!V55*24</f>
        <v>0</v>
      </c>
      <c r="F54" s="349">
        <f t="shared" si="3"/>
        <v>0</v>
      </c>
      <c r="G54" s="155">
        <f>IF(Arbeitszeit!F55=Urlaub,B_WorkTime*24,)</f>
        <v>0</v>
      </c>
      <c r="H54" s="153"/>
      <c r="I54" s="155">
        <f>IF(Arbeitszeit!F55=Krank,B_WorkTime*24,)</f>
        <v>0</v>
      </c>
      <c r="J54" s="153"/>
      <c r="K54" s="156"/>
      <c r="L54" s="157"/>
      <c r="M54" s="577"/>
      <c r="N54" s="578"/>
      <c r="O54" s="577"/>
      <c r="P54" s="578"/>
      <c r="Q54" s="577"/>
      <c r="R54" s="578"/>
      <c r="S54" s="577"/>
      <c r="T54" s="578"/>
      <c r="U54" s="577"/>
      <c r="V54" s="578"/>
      <c r="W54" s="577"/>
      <c r="X54" s="578"/>
      <c r="Y54" s="577"/>
      <c r="Z54" s="578"/>
      <c r="AA54" s="577"/>
      <c r="AB54" s="578"/>
      <c r="AC54" s="577"/>
      <c r="AD54" s="578"/>
      <c r="AE54" s="577"/>
      <c r="AF54" s="579"/>
      <c r="AG54" s="577"/>
      <c r="AH54" s="579"/>
      <c r="AI54" s="577"/>
      <c r="AJ54" s="579"/>
      <c r="AK54" s="577"/>
      <c r="AL54" s="579"/>
      <c r="AM54" s="580"/>
      <c r="AN54" s="579"/>
      <c r="AO54" s="577"/>
      <c r="AP54" s="579"/>
      <c r="AQ54" s="580"/>
      <c r="AR54" s="579"/>
      <c r="AS54" s="579"/>
      <c r="AT54" s="579"/>
      <c r="AU54" s="580"/>
      <c r="AV54" s="579"/>
      <c r="AW54" s="579"/>
      <c r="AX54" s="158"/>
      <c r="AY54" s="154"/>
      <c r="AZ54">
        <f ca="1">INDIRECT(ADDRESS(ROW()+1,COLUMN(Arbeitszeit!xDay),,,"Arbeitszeit"))</f>
        <v>7</v>
      </c>
    </row>
    <row r="55" spans="1:52">
      <c r="A55" s="520">
        <f>Arbeitszeit!A56</f>
        <v>43515</v>
      </c>
      <c r="B55" s="521">
        <f t="shared" si="0"/>
        <v>43515</v>
      </c>
      <c r="C55" s="191">
        <f t="shared" si="1"/>
        <v>8</v>
      </c>
      <c r="D55" s="190">
        <f t="shared" si="2"/>
        <v>43496</v>
      </c>
      <c r="E55" s="589">
        <f>Arbeitszeit!V56*24</f>
        <v>0</v>
      </c>
      <c r="F55" s="349">
        <f t="shared" si="3"/>
        <v>0</v>
      </c>
      <c r="G55" s="155">
        <f>IF(Arbeitszeit!F56=Urlaub,B_WorkTime*24,)</f>
        <v>0</v>
      </c>
      <c r="H55" s="153"/>
      <c r="I55" s="155">
        <f>IF(Arbeitszeit!F56=Krank,B_WorkTime*24,)</f>
        <v>0</v>
      </c>
      <c r="J55" s="153"/>
      <c r="K55" s="156"/>
      <c r="L55" s="157"/>
      <c r="M55" s="577"/>
      <c r="N55" s="578"/>
      <c r="O55" s="577"/>
      <c r="P55" s="578"/>
      <c r="Q55" s="577"/>
      <c r="R55" s="578"/>
      <c r="S55" s="577"/>
      <c r="T55" s="578"/>
      <c r="U55" s="577"/>
      <c r="V55" s="578"/>
      <c r="W55" s="577"/>
      <c r="X55" s="578"/>
      <c r="Y55" s="577"/>
      <c r="Z55" s="578"/>
      <c r="AA55" s="577"/>
      <c r="AB55" s="578"/>
      <c r="AC55" s="577"/>
      <c r="AD55" s="578"/>
      <c r="AE55" s="577"/>
      <c r="AF55" s="579"/>
      <c r="AG55" s="577"/>
      <c r="AH55" s="579"/>
      <c r="AI55" s="577"/>
      <c r="AJ55" s="579"/>
      <c r="AK55" s="577"/>
      <c r="AL55" s="579"/>
      <c r="AM55" s="580"/>
      <c r="AN55" s="579"/>
      <c r="AO55" s="577"/>
      <c r="AP55" s="579"/>
      <c r="AQ55" s="580"/>
      <c r="AR55" s="579"/>
      <c r="AS55" s="579"/>
      <c r="AT55" s="579"/>
      <c r="AU55" s="580"/>
      <c r="AV55" s="579"/>
      <c r="AW55" s="579"/>
      <c r="AX55" s="158"/>
      <c r="AY55" s="154"/>
      <c r="AZ55">
        <f ca="1">INDIRECT(ADDRESS(ROW()+1,COLUMN(Arbeitszeit!xDay),,,"Arbeitszeit"))</f>
        <v>1</v>
      </c>
    </row>
    <row r="56" spans="1:52">
      <c r="A56" s="520">
        <f>Arbeitszeit!A57</f>
        <v>43516</v>
      </c>
      <c r="B56" s="521">
        <f t="shared" si="0"/>
        <v>43516</v>
      </c>
      <c r="C56" s="191">
        <f t="shared" si="1"/>
        <v>8</v>
      </c>
      <c r="D56" s="190">
        <f t="shared" si="2"/>
        <v>43496</v>
      </c>
      <c r="E56" s="589">
        <f>Arbeitszeit!V57*24</f>
        <v>0</v>
      </c>
      <c r="F56" s="349">
        <f t="shared" si="3"/>
        <v>0</v>
      </c>
      <c r="G56" s="155">
        <f>IF(Arbeitszeit!F57=Urlaub,B_WorkTime*24,)</f>
        <v>0</v>
      </c>
      <c r="H56" s="153"/>
      <c r="I56" s="155">
        <f>IF(Arbeitszeit!F57=Krank,B_WorkTime*24,)</f>
        <v>0</v>
      </c>
      <c r="J56" s="153"/>
      <c r="K56" s="156"/>
      <c r="L56" s="157"/>
      <c r="M56" s="577"/>
      <c r="N56" s="578"/>
      <c r="O56" s="577"/>
      <c r="P56" s="578"/>
      <c r="Q56" s="577"/>
      <c r="R56" s="578"/>
      <c r="S56" s="577"/>
      <c r="T56" s="578"/>
      <c r="U56" s="577"/>
      <c r="V56" s="578"/>
      <c r="W56" s="577"/>
      <c r="X56" s="578"/>
      <c r="Y56" s="577"/>
      <c r="Z56" s="578"/>
      <c r="AA56" s="577"/>
      <c r="AB56" s="578"/>
      <c r="AC56" s="577"/>
      <c r="AD56" s="578"/>
      <c r="AE56" s="577"/>
      <c r="AF56" s="579"/>
      <c r="AG56" s="577"/>
      <c r="AH56" s="579"/>
      <c r="AI56" s="577"/>
      <c r="AJ56" s="579"/>
      <c r="AK56" s="577"/>
      <c r="AL56" s="579"/>
      <c r="AM56" s="580"/>
      <c r="AN56" s="579"/>
      <c r="AO56" s="577"/>
      <c r="AP56" s="579"/>
      <c r="AQ56" s="580"/>
      <c r="AR56" s="579"/>
      <c r="AS56" s="579"/>
      <c r="AT56" s="579"/>
      <c r="AU56" s="580"/>
      <c r="AV56" s="579"/>
      <c r="AW56" s="579"/>
      <c r="AX56" s="158"/>
      <c r="AY56" s="154"/>
      <c r="AZ56">
        <f ca="1">INDIRECT(ADDRESS(ROW()+1,COLUMN(Arbeitszeit!xDay),,,"Arbeitszeit"))</f>
        <v>2</v>
      </c>
    </row>
    <row r="57" spans="1:52">
      <c r="A57" s="520">
        <f>Arbeitszeit!A58</f>
        <v>43517</v>
      </c>
      <c r="B57" s="521">
        <f t="shared" si="0"/>
        <v>43517</v>
      </c>
      <c r="C57" s="191">
        <f t="shared" si="1"/>
        <v>8</v>
      </c>
      <c r="D57" s="190">
        <f t="shared" si="2"/>
        <v>43496</v>
      </c>
      <c r="E57" s="589">
        <f>Arbeitszeit!V58*24</f>
        <v>0</v>
      </c>
      <c r="F57" s="349">
        <f t="shared" si="3"/>
        <v>0</v>
      </c>
      <c r="G57" s="155">
        <f>IF(Arbeitszeit!F58=Urlaub,B_WorkTime*24,)</f>
        <v>0</v>
      </c>
      <c r="H57" s="153"/>
      <c r="I57" s="155">
        <f>IF(Arbeitszeit!F58=Krank,B_WorkTime*24,)</f>
        <v>0</v>
      </c>
      <c r="J57" s="153"/>
      <c r="K57" s="156"/>
      <c r="L57" s="157"/>
      <c r="M57" s="577"/>
      <c r="N57" s="578"/>
      <c r="O57" s="577"/>
      <c r="P57" s="578"/>
      <c r="Q57" s="577"/>
      <c r="R57" s="578"/>
      <c r="S57" s="577"/>
      <c r="T57" s="578"/>
      <c r="U57" s="577"/>
      <c r="V57" s="578"/>
      <c r="W57" s="577"/>
      <c r="X57" s="578"/>
      <c r="Y57" s="577"/>
      <c r="Z57" s="578"/>
      <c r="AA57" s="577"/>
      <c r="AB57" s="578"/>
      <c r="AC57" s="577"/>
      <c r="AD57" s="578"/>
      <c r="AE57" s="577"/>
      <c r="AF57" s="579"/>
      <c r="AG57" s="577"/>
      <c r="AH57" s="579"/>
      <c r="AI57" s="577"/>
      <c r="AJ57" s="579"/>
      <c r="AK57" s="577"/>
      <c r="AL57" s="579"/>
      <c r="AM57" s="580"/>
      <c r="AN57" s="579"/>
      <c r="AO57" s="577"/>
      <c r="AP57" s="579"/>
      <c r="AQ57" s="580"/>
      <c r="AR57" s="579"/>
      <c r="AS57" s="579"/>
      <c r="AT57" s="579"/>
      <c r="AU57" s="580"/>
      <c r="AV57" s="579"/>
      <c r="AW57" s="579"/>
      <c r="AX57" s="158"/>
      <c r="AY57" s="154"/>
      <c r="AZ57">
        <f ca="1">INDIRECT(ADDRESS(ROW()+1,COLUMN(Arbeitszeit!xDay),,,"Arbeitszeit"))</f>
        <v>3</v>
      </c>
    </row>
    <row r="58" spans="1:52">
      <c r="A58" s="520">
        <f>Arbeitszeit!A59</f>
        <v>43518</v>
      </c>
      <c r="B58" s="521">
        <f t="shared" si="0"/>
        <v>43518</v>
      </c>
      <c r="C58" s="191">
        <f t="shared" si="1"/>
        <v>8</v>
      </c>
      <c r="D58" s="190">
        <f t="shared" si="2"/>
        <v>43496</v>
      </c>
      <c r="E58" s="589">
        <f>Arbeitszeit!V59*24</f>
        <v>0</v>
      </c>
      <c r="F58" s="349">
        <f t="shared" si="3"/>
        <v>0</v>
      </c>
      <c r="G58" s="155">
        <f>IF(Arbeitszeit!F59=Urlaub,B_WorkTime*24,)</f>
        <v>0</v>
      </c>
      <c r="H58" s="153"/>
      <c r="I58" s="155">
        <f>IF(Arbeitszeit!F59=Krank,B_WorkTime*24,)</f>
        <v>0</v>
      </c>
      <c r="J58" s="153"/>
      <c r="K58" s="156"/>
      <c r="L58" s="157"/>
      <c r="M58" s="577"/>
      <c r="N58" s="578"/>
      <c r="O58" s="577"/>
      <c r="P58" s="578"/>
      <c r="Q58" s="577"/>
      <c r="R58" s="578"/>
      <c r="S58" s="577"/>
      <c r="T58" s="578"/>
      <c r="U58" s="577"/>
      <c r="V58" s="578"/>
      <c r="W58" s="577"/>
      <c r="X58" s="578"/>
      <c r="Y58" s="577"/>
      <c r="Z58" s="578"/>
      <c r="AA58" s="577"/>
      <c r="AB58" s="578"/>
      <c r="AC58" s="577"/>
      <c r="AD58" s="578"/>
      <c r="AE58" s="577"/>
      <c r="AF58" s="579"/>
      <c r="AG58" s="577"/>
      <c r="AH58" s="579"/>
      <c r="AI58" s="577"/>
      <c r="AJ58" s="579"/>
      <c r="AK58" s="577"/>
      <c r="AL58" s="579"/>
      <c r="AM58" s="580"/>
      <c r="AN58" s="579"/>
      <c r="AO58" s="577"/>
      <c r="AP58" s="579"/>
      <c r="AQ58" s="580"/>
      <c r="AR58" s="579"/>
      <c r="AS58" s="579"/>
      <c r="AT58" s="579"/>
      <c r="AU58" s="580"/>
      <c r="AV58" s="579"/>
      <c r="AW58" s="579"/>
      <c r="AX58" s="158"/>
      <c r="AY58" s="154"/>
      <c r="AZ58">
        <f ca="1">INDIRECT(ADDRESS(ROW()+1,COLUMN(Arbeitszeit!xDay),,,"Arbeitszeit"))</f>
        <v>4</v>
      </c>
    </row>
    <row r="59" spans="1:52">
      <c r="A59" s="520">
        <f>Arbeitszeit!A60</f>
        <v>43519</v>
      </c>
      <c r="B59" s="521">
        <f t="shared" si="0"/>
        <v>43519</v>
      </c>
      <c r="C59" s="191">
        <f t="shared" si="1"/>
        <v>8</v>
      </c>
      <c r="D59" s="190">
        <f t="shared" si="2"/>
        <v>43496</v>
      </c>
      <c r="E59" s="589">
        <f>Arbeitszeit!V60*24</f>
        <v>0</v>
      </c>
      <c r="F59" s="349">
        <f t="shared" si="3"/>
        <v>0</v>
      </c>
      <c r="G59" s="155">
        <f>IF(Arbeitszeit!F60=Urlaub,B_WorkTime*24,)</f>
        <v>0</v>
      </c>
      <c r="H59" s="153"/>
      <c r="I59" s="155">
        <f>IF(Arbeitszeit!F60=Krank,B_WorkTime*24,)</f>
        <v>0</v>
      </c>
      <c r="J59" s="153"/>
      <c r="K59" s="156"/>
      <c r="L59" s="157"/>
      <c r="M59" s="577"/>
      <c r="N59" s="578"/>
      <c r="O59" s="577"/>
      <c r="P59" s="578"/>
      <c r="Q59" s="577"/>
      <c r="R59" s="578"/>
      <c r="S59" s="577"/>
      <c r="T59" s="578"/>
      <c r="U59" s="577"/>
      <c r="V59" s="578"/>
      <c r="W59" s="577"/>
      <c r="X59" s="578"/>
      <c r="Y59" s="577"/>
      <c r="Z59" s="578"/>
      <c r="AA59" s="577"/>
      <c r="AB59" s="578"/>
      <c r="AC59" s="577"/>
      <c r="AD59" s="578"/>
      <c r="AE59" s="577"/>
      <c r="AF59" s="579"/>
      <c r="AG59" s="577"/>
      <c r="AH59" s="579"/>
      <c r="AI59" s="577"/>
      <c r="AJ59" s="579"/>
      <c r="AK59" s="577"/>
      <c r="AL59" s="579"/>
      <c r="AM59" s="580"/>
      <c r="AN59" s="579"/>
      <c r="AO59" s="577"/>
      <c r="AP59" s="579"/>
      <c r="AQ59" s="580"/>
      <c r="AR59" s="579"/>
      <c r="AS59" s="579"/>
      <c r="AT59" s="579"/>
      <c r="AU59" s="580"/>
      <c r="AV59" s="579"/>
      <c r="AW59" s="579"/>
      <c r="AX59" s="158"/>
      <c r="AY59" s="154"/>
      <c r="AZ59">
        <f ca="1">INDIRECT(ADDRESS(ROW()+1,COLUMN(Arbeitszeit!xDay),,,"Arbeitszeit"))</f>
        <v>5</v>
      </c>
    </row>
    <row r="60" spans="1:52">
      <c r="A60" s="520">
        <f>Arbeitszeit!A61</f>
        <v>43520</v>
      </c>
      <c r="B60" s="521">
        <f t="shared" si="0"/>
        <v>43520</v>
      </c>
      <c r="C60" s="191">
        <f t="shared" si="1"/>
        <v>8</v>
      </c>
      <c r="D60" s="190">
        <f t="shared" si="2"/>
        <v>43496</v>
      </c>
      <c r="E60" s="589">
        <f>Arbeitszeit!V61*24</f>
        <v>0</v>
      </c>
      <c r="F60" s="349">
        <f t="shared" si="3"/>
        <v>0</v>
      </c>
      <c r="G60" s="155">
        <f>IF(Arbeitszeit!F61=Urlaub,B_WorkTime*24,)</f>
        <v>0</v>
      </c>
      <c r="H60" s="153"/>
      <c r="I60" s="155">
        <f>IF(Arbeitszeit!F61=Krank,B_WorkTime*24,)</f>
        <v>0</v>
      </c>
      <c r="J60" s="153"/>
      <c r="K60" s="156"/>
      <c r="L60" s="157"/>
      <c r="M60" s="577"/>
      <c r="N60" s="578"/>
      <c r="O60" s="577"/>
      <c r="P60" s="578"/>
      <c r="Q60" s="577"/>
      <c r="R60" s="578"/>
      <c r="S60" s="577"/>
      <c r="T60" s="578"/>
      <c r="U60" s="577"/>
      <c r="V60" s="578"/>
      <c r="W60" s="577"/>
      <c r="X60" s="578"/>
      <c r="Y60" s="577"/>
      <c r="Z60" s="578"/>
      <c r="AA60" s="577"/>
      <c r="AB60" s="578"/>
      <c r="AC60" s="577"/>
      <c r="AD60" s="578"/>
      <c r="AE60" s="577"/>
      <c r="AF60" s="579"/>
      <c r="AG60" s="577"/>
      <c r="AH60" s="579"/>
      <c r="AI60" s="577"/>
      <c r="AJ60" s="579"/>
      <c r="AK60" s="577"/>
      <c r="AL60" s="579"/>
      <c r="AM60" s="580"/>
      <c r="AN60" s="579"/>
      <c r="AO60" s="577"/>
      <c r="AP60" s="579"/>
      <c r="AQ60" s="580"/>
      <c r="AR60" s="579"/>
      <c r="AS60" s="579"/>
      <c r="AT60" s="579"/>
      <c r="AU60" s="580"/>
      <c r="AV60" s="579"/>
      <c r="AW60" s="579"/>
      <c r="AX60" s="158"/>
      <c r="AY60" s="154"/>
      <c r="AZ60">
        <f ca="1">INDIRECT(ADDRESS(ROW()+1,COLUMN(Arbeitszeit!xDay),,,"Arbeitszeit"))</f>
        <v>6</v>
      </c>
    </row>
    <row r="61" spans="1:52">
      <c r="A61" s="520">
        <f>Arbeitszeit!A62</f>
        <v>43521</v>
      </c>
      <c r="B61" s="521">
        <f t="shared" si="0"/>
        <v>43521</v>
      </c>
      <c r="C61" s="191">
        <f t="shared" si="1"/>
        <v>8</v>
      </c>
      <c r="D61" s="190">
        <f t="shared" si="2"/>
        <v>43496</v>
      </c>
      <c r="E61" s="589">
        <f>Arbeitszeit!V62*24</f>
        <v>0</v>
      </c>
      <c r="F61" s="349">
        <f t="shared" si="3"/>
        <v>0</v>
      </c>
      <c r="G61" s="155">
        <f>IF(Arbeitszeit!F62=Urlaub,B_WorkTime*24,)</f>
        <v>0</v>
      </c>
      <c r="H61" s="153"/>
      <c r="I61" s="155">
        <f>IF(Arbeitszeit!F62=Krank,B_WorkTime*24,)</f>
        <v>0</v>
      </c>
      <c r="J61" s="153"/>
      <c r="K61" s="156"/>
      <c r="L61" s="157"/>
      <c r="M61" s="577"/>
      <c r="N61" s="578"/>
      <c r="O61" s="577"/>
      <c r="P61" s="578"/>
      <c r="Q61" s="577"/>
      <c r="R61" s="578"/>
      <c r="S61" s="577"/>
      <c r="T61" s="578"/>
      <c r="U61" s="577"/>
      <c r="V61" s="578"/>
      <c r="W61" s="577"/>
      <c r="X61" s="578"/>
      <c r="Y61" s="577"/>
      <c r="Z61" s="578"/>
      <c r="AA61" s="577"/>
      <c r="AB61" s="578"/>
      <c r="AC61" s="577"/>
      <c r="AD61" s="578"/>
      <c r="AE61" s="577"/>
      <c r="AF61" s="579"/>
      <c r="AG61" s="577"/>
      <c r="AH61" s="579"/>
      <c r="AI61" s="577"/>
      <c r="AJ61" s="579"/>
      <c r="AK61" s="577"/>
      <c r="AL61" s="579"/>
      <c r="AM61" s="580"/>
      <c r="AN61" s="579"/>
      <c r="AO61" s="577"/>
      <c r="AP61" s="579"/>
      <c r="AQ61" s="580"/>
      <c r="AR61" s="579"/>
      <c r="AS61" s="579"/>
      <c r="AT61" s="579"/>
      <c r="AU61" s="580"/>
      <c r="AV61" s="579"/>
      <c r="AW61" s="579"/>
      <c r="AX61" s="158"/>
      <c r="AY61" s="154"/>
      <c r="AZ61">
        <f ca="1">INDIRECT(ADDRESS(ROW()+1,COLUMN(Arbeitszeit!xDay),,,"Arbeitszeit"))</f>
        <v>7</v>
      </c>
    </row>
    <row r="62" spans="1:52">
      <c r="A62" s="520">
        <f>Arbeitszeit!A63</f>
        <v>43522</v>
      </c>
      <c r="B62" s="521">
        <f t="shared" si="0"/>
        <v>43522</v>
      </c>
      <c r="C62" s="191">
        <f t="shared" si="1"/>
        <v>9</v>
      </c>
      <c r="D62" s="190">
        <f t="shared" si="2"/>
        <v>43496</v>
      </c>
      <c r="E62" s="589">
        <f>Arbeitszeit!V63*24</f>
        <v>0</v>
      </c>
      <c r="F62" s="349">
        <f t="shared" si="3"/>
        <v>0</v>
      </c>
      <c r="G62" s="155">
        <f>IF(Arbeitszeit!F63=Urlaub,B_WorkTime*24,)</f>
        <v>0</v>
      </c>
      <c r="H62" s="153"/>
      <c r="I62" s="155">
        <f>IF(Arbeitszeit!F63=Krank,B_WorkTime*24,)</f>
        <v>0</v>
      </c>
      <c r="J62" s="153"/>
      <c r="K62" s="156"/>
      <c r="L62" s="157"/>
      <c r="M62" s="577"/>
      <c r="N62" s="578"/>
      <c r="O62" s="577"/>
      <c r="P62" s="578"/>
      <c r="Q62" s="577"/>
      <c r="R62" s="578"/>
      <c r="S62" s="577"/>
      <c r="T62" s="578"/>
      <c r="U62" s="577"/>
      <c r="V62" s="578"/>
      <c r="W62" s="577"/>
      <c r="X62" s="578"/>
      <c r="Y62" s="577"/>
      <c r="Z62" s="578"/>
      <c r="AA62" s="577"/>
      <c r="AB62" s="578"/>
      <c r="AC62" s="577"/>
      <c r="AD62" s="578"/>
      <c r="AE62" s="577"/>
      <c r="AF62" s="579"/>
      <c r="AG62" s="577"/>
      <c r="AH62" s="579"/>
      <c r="AI62" s="577"/>
      <c r="AJ62" s="579"/>
      <c r="AK62" s="577"/>
      <c r="AL62" s="579"/>
      <c r="AM62" s="580"/>
      <c r="AN62" s="579"/>
      <c r="AO62" s="577"/>
      <c r="AP62" s="579"/>
      <c r="AQ62" s="580"/>
      <c r="AR62" s="579"/>
      <c r="AS62" s="579"/>
      <c r="AT62" s="579"/>
      <c r="AU62" s="580"/>
      <c r="AV62" s="579"/>
      <c r="AW62" s="579"/>
      <c r="AX62" s="158"/>
      <c r="AY62" s="154"/>
      <c r="AZ62">
        <f ca="1">INDIRECT(ADDRESS(ROW()+1,COLUMN(Arbeitszeit!xDay),,,"Arbeitszeit"))</f>
        <v>1</v>
      </c>
    </row>
    <row r="63" spans="1:52">
      <c r="A63" s="520">
        <f>Arbeitszeit!A64</f>
        <v>43523</v>
      </c>
      <c r="B63" s="521">
        <f t="shared" si="0"/>
        <v>43523</v>
      </c>
      <c r="C63" s="191">
        <f t="shared" si="1"/>
        <v>9</v>
      </c>
      <c r="D63" s="190">
        <f t="shared" si="2"/>
        <v>43496</v>
      </c>
      <c r="E63" s="589">
        <f>Arbeitszeit!V64*24</f>
        <v>0</v>
      </c>
      <c r="F63" s="349">
        <f t="shared" si="3"/>
        <v>0</v>
      </c>
      <c r="G63" s="155">
        <f>IF(Arbeitszeit!F64=Urlaub,B_WorkTime*24,)</f>
        <v>0</v>
      </c>
      <c r="H63" s="153"/>
      <c r="I63" s="155">
        <f>IF(Arbeitszeit!F64=Krank,B_WorkTime*24,)</f>
        <v>0</v>
      </c>
      <c r="J63" s="153"/>
      <c r="K63" s="156"/>
      <c r="L63" s="157"/>
      <c r="M63" s="577"/>
      <c r="N63" s="578"/>
      <c r="O63" s="577"/>
      <c r="P63" s="578"/>
      <c r="Q63" s="577"/>
      <c r="R63" s="578"/>
      <c r="S63" s="577"/>
      <c r="T63" s="578"/>
      <c r="U63" s="577"/>
      <c r="V63" s="578"/>
      <c r="W63" s="577"/>
      <c r="X63" s="578"/>
      <c r="Y63" s="577"/>
      <c r="Z63" s="578"/>
      <c r="AA63" s="577"/>
      <c r="AB63" s="578"/>
      <c r="AC63" s="577"/>
      <c r="AD63" s="578"/>
      <c r="AE63" s="577"/>
      <c r="AF63" s="579"/>
      <c r="AG63" s="577"/>
      <c r="AH63" s="579"/>
      <c r="AI63" s="577"/>
      <c r="AJ63" s="579"/>
      <c r="AK63" s="577"/>
      <c r="AL63" s="579"/>
      <c r="AM63" s="580"/>
      <c r="AN63" s="579"/>
      <c r="AO63" s="577"/>
      <c r="AP63" s="579"/>
      <c r="AQ63" s="580"/>
      <c r="AR63" s="579"/>
      <c r="AS63" s="579"/>
      <c r="AT63" s="579"/>
      <c r="AU63" s="580"/>
      <c r="AV63" s="579"/>
      <c r="AW63" s="579"/>
      <c r="AX63" s="158"/>
      <c r="AY63" s="154"/>
      <c r="AZ63">
        <f ca="1">INDIRECT(ADDRESS(ROW()+1,COLUMN(Arbeitszeit!xDay),,,"Arbeitszeit"))</f>
        <v>2</v>
      </c>
    </row>
    <row r="64" spans="1:52">
      <c r="A64" s="520">
        <f>Arbeitszeit!A65</f>
        <v>43524</v>
      </c>
      <c r="B64" s="521">
        <f t="shared" si="0"/>
        <v>43524</v>
      </c>
      <c r="C64" s="191">
        <f t="shared" si="1"/>
        <v>9</v>
      </c>
      <c r="D64" s="190">
        <f t="shared" si="2"/>
        <v>43524</v>
      </c>
      <c r="E64" s="589">
        <f>Arbeitszeit!V65*24</f>
        <v>0</v>
      </c>
      <c r="F64" s="349">
        <f t="shared" si="3"/>
        <v>0</v>
      </c>
      <c r="G64" s="155">
        <f>IF(Arbeitszeit!F65=Urlaub,B_WorkTime*24,)</f>
        <v>0</v>
      </c>
      <c r="H64" s="153"/>
      <c r="I64" s="155">
        <f>IF(Arbeitszeit!F65=Krank,B_WorkTime*24,)</f>
        <v>0</v>
      </c>
      <c r="J64" s="153"/>
      <c r="K64" s="156"/>
      <c r="L64" s="157"/>
      <c r="M64" s="577"/>
      <c r="N64" s="578"/>
      <c r="O64" s="577"/>
      <c r="P64" s="578"/>
      <c r="Q64" s="577"/>
      <c r="R64" s="578"/>
      <c r="S64" s="577"/>
      <c r="T64" s="578"/>
      <c r="U64" s="577"/>
      <c r="V64" s="578"/>
      <c r="W64" s="577"/>
      <c r="X64" s="578"/>
      <c r="Y64" s="577"/>
      <c r="Z64" s="578"/>
      <c r="AA64" s="577"/>
      <c r="AB64" s="578"/>
      <c r="AC64" s="577"/>
      <c r="AD64" s="578"/>
      <c r="AE64" s="577"/>
      <c r="AF64" s="579"/>
      <c r="AG64" s="577"/>
      <c r="AH64" s="579"/>
      <c r="AI64" s="577"/>
      <c r="AJ64" s="579"/>
      <c r="AK64" s="577"/>
      <c r="AL64" s="579"/>
      <c r="AM64" s="580"/>
      <c r="AN64" s="579"/>
      <c r="AO64" s="577"/>
      <c r="AP64" s="579"/>
      <c r="AQ64" s="580"/>
      <c r="AR64" s="579"/>
      <c r="AS64" s="579"/>
      <c r="AT64" s="579"/>
      <c r="AU64" s="580"/>
      <c r="AV64" s="579"/>
      <c r="AW64" s="579"/>
      <c r="AX64" s="158"/>
      <c r="AY64" s="154"/>
      <c r="AZ64">
        <f ca="1">INDIRECT(ADDRESS(ROW()+1,COLUMN(Arbeitszeit!xDay),,,"Arbeitszeit"))</f>
        <v>3</v>
      </c>
    </row>
    <row r="65" spans="1:52">
      <c r="A65" s="520">
        <f>Arbeitszeit!A66</f>
        <v>43525</v>
      </c>
      <c r="B65" s="521">
        <f t="shared" si="0"/>
        <v>43525</v>
      </c>
      <c r="C65" s="191">
        <f t="shared" si="1"/>
        <v>9</v>
      </c>
      <c r="D65" s="190">
        <f t="shared" si="2"/>
        <v>43524</v>
      </c>
      <c r="E65" s="589">
        <f>Arbeitszeit!V66*24</f>
        <v>0</v>
      </c>
      <c r="F65" s="349">
        <f t="shared" si="3"/>
        <v>0</v>
      </c>
      <c r="G65" s="155">
        <f>IF(Arbeitszeit!F66=Urlaub,B_WorkTime*24,)</f>
        <v>0</v>
      </c>
      <c r="H65" s="153"/>
      <c r="I65" s="155">
        <f>IF(Arbeitszeit!F66=Krank,B_WorkTime*24,)</f>
        <v>0</v>
      </c>
      <c r="J65" s="153"/>
      <c r="K65" s="156"/>
      <c r="L65" s="157"/>
      <c r="M65" s="577"/>
      <c r="N65" s="578"/>
      <c r="O65" s="577"/>
      <c r="P65" s="578"/>
      <c r="Q65" s="577"/>
      <c r="R65" s="578"/>
      <c r="S65" s="577"/>
      <c r="T65" s="578"/>
      <c r="U65" s="577"/>
      <c r="V65" s="578"/>
      <c r="W65" s="577"/>
      <c r="X65" s="578"/>
      <c r="Y65" s="577"/>
      <c r="Z65" s="578"/>
      <c r="AA65" s="577"/>
      <c r="AB65" s="578"/>
      <c r="AC65" s="577"/>
      <c r="AD65" s="578"/>
      <c r="AE65" s="577"/>
      <c r="AF65" s="579"/>
      <c r="AG65" s="577"/>
      <c r="AH65" s="579"/>
      <c r="AI65" s="577"/>
      <c r="AJ65" s="579"/>
      <c r="AK65" s="577"/>
      <c r="AL65" s="579"/>
      <c r="AM65" s="580"/>
      <c r="AN65" s="579"/>
      <c r="AO65" s="577"/>
      <c r="AP65" s="579"/>
      <c r="AQ65" s="580"/>
      <c r="AR65" s="579"/>
      <c r="AS65" s="579"/>
      <c r="AT65" s="579"/>
      <c r="AU65" s="580"/>
      <c r="AV65" s="579"/>
      <c r="AW65" s="579"/>
      <c r="AX65" s="158"/>
      <c r="AY65" s="154"/>
      <c r="AZ65">
        <f ca="1">INDIRECT(ADDRESS(ROW()+1,COLUMN(Arbeitszeit!xDay),,,"Arbeitszeit"))</f>
        <v>4</v>
      </c>
    </row>
    <row r="66" spans="1:52">
      <c r="A66" s="520">
        <f>Arbeitszeit!A67</f>
        <v>43526</v>
      </c>
      <c r="B66" s="521">
        <f t="shared" si="0"/>
        <v>43526</v>
      </c>
      <c r="C66" s="191">
        <f t="shared" si="1"/>
        <v>9</v>
      </c>
      <c r="D66" s="190">
        <f t="shared" si="2"/>
        <v>43524</v>
      </c>
      <c r="E66" s="589">
        <f>Arbeitszeit!V67*24</f>
        <v>0</v>
      </c>
      <c r="F66" s="349">
        <f t="shared" si="3"/>
        <v>0</v>
      </c>
      <c r="G66" s="155">
        <f>IF(Arbeitszeit!F67=Urlaub,B_WorkTime*24,)</f>
        <v>0</v>
      </c>
      <c r="H66" s="153"/>
      <c r="I66" s="155">
        <f>IF(Arbeitszeit!F67=Krank,B_WorkTime*24,)</f>
        <v>0</v>
      </c>
      <c r="J66" s="153"/>
      <c r="K66" s="156"/>
      <c r="L66" s="157"/>
      <c r="M66" s="577"/>
      <c r="N66" s="578"/>
      <c r="O66" s="577"/>
      <c r="P66" s="578"/>
      <c r="Q66" s="577"/>
      <c r="R66" s="578"/>
      <c r="S66" s="577"/>
      <c r="T66" s="578"/>
      <c r="U66" s="577"/>
      <c r="V66" s="578"/>
      <c r="W66" s="577"/>
      <c r="X66" s="578"/>
      <c r="Y66" s="577"/>
      <c r="Z66" s="578"/>
      <c r="AA66" s="577"/>
      <c r="AB66" s="578"/>
      <c r="AC66" s="577"/>
      <c r="AD66" s="578"/>
      <c r="AE66" s="577"/>
      <c r="AF66" s="579"/>
      <c r="AG66" s="577"/>
      <c r="AH66" s="579"/>
      <c r="AI66" s="577"/>
      <c r="AJ66" s="579"/>
      <c r="AK66" s="577"/>
      <c r="AL66" s="579"/>
      <c r="AM66" s="580"/>
      <c r="AN66" s="579"/>
      <c r="AO66" s="577"/>
      <c r="AP66" s="579"/>
      <c r="AQ66" s="580"/>
      <c r="AR66" s="579"/>
      <c r="AS66" s="579"/>
      <c r="AT66" s="579"/>
      <c r="AU66" s="580"/>
      <c r="AV66" s="579"/>
      <c r="AW66" s="579"/>
      <c r="AX66" s="158"/>
      <c r="AY66" s="154"/>
      <c r="AZ66">
        <f ca="1">INDIRECT(ADDRESS(ROW()+1,COLUMN(Arbeitszeit!xDay),,,"Arbeitszeit"))</f>
        <v>5</v>
      </c>
    </row>
    <row r="67" spans="1:52">
      <c r="A67" s="520">
        <f>Arbeitszeit!A68</f>
        <v>43527</v>
      </c>
      <c r="B67" s="521">
        <f t="shared" si="0"/>
        <v>43527</v>
      </c>
      <c r="C67" s="191">
        <f t="shared" si="1"/>
        <v>9</v>
      </c>
      <c r="D67" s="190">
        <f t="shared" si="2"/>
        <v>43524</v>
      </c>
      <c r="E67" s="589">
        <f>Arbeitszeit!V68*24</f>
        <v>0</v>
      </c>
      <c r="F67" s="349">
        <f t="shared" si="3"/>
        <v>0</v>
      </c>
      <c r="G67" s="155">
        <f>IF(Arbeitszeit!F68=Urlaub,B_WorkTime*24,)</f>
        <v>0</v>
      </c>
      <c r="H67" s="153"/>
      <c r="I67" s="155">
        <f>IF(Arbeitszeit!F68=Krank,B_WorkTime*24,)</f>
        <v>0</v>
      </c>
      <c r="J67" s="153"/>
      <c r="K67" s="156"/>
      <c r="L67" s="157"/>
      <c r="M67" s="577"/>
      <c r="N67" s="578"/>
      <c r="O67" s="577"/>
      <c r="P67" s="578"/>
      <c r="Q67" s="577"/>
      <c r="R67" s="578"/>
      <c r="S67" s="577"/>
      <c r="T67" s="578"/>
      <c r="U67" s="577"/>
      <c r="V67" s="578"/>
      <c r="W67" s="577"/>
      <c r="X67" s="578"/>
      <c r="Y67" s="577"/>
      <c r="Z67" s="578"/>
      <c r="AA67" s="577"/>
      <c r="AB67" s="578"/>
      <c r="AC67" s="577"/>
      <c r="AD67" s="578"/>
      <c r="AE67" s="577"/>
      <c r="AF67" s="579"/>
      <c r="AG67" s="577"/>
      <c r="AH67" s="579"/>
      <c r="AI67" s="577"/>
      <c r="AJ67" s="579"/>
      <c r="AK67" s="577"/>
      <c r="AL67" s="579"/>
      <c r="AM67" s="580"/>
      <c r="AN67" s="579"/>
      <c r="AO67" s="577"/>
      <c r="AP67" s="579"/>
      <c r="AQ67" s="580"/>
      <c r="AR67" s="579"/>
      <c r="AS67" s="579"/>
      <c r="AT67" s="579"/>
      <c r="AU67" s="580"/>
      <c r="AV67" s="579"/>
      <c r="AW67" s="579"/>
      <c r="AX67" s="158"/>
      <c r="AY67" s="154"/>
      <c r="AZ67">
        <f ca="1">INDIRECT(ADDRESS(ROW()+1,COLUMN(Arbeitszeit!xDay),,,"Arbeitszeit"))</f>
        <v>6</v>
      </c>
    </row>
    <row r="68" spans="1:52">
      <c r="A68" s="520">
        <f>Arbeitszeit!A69</f>
        <v>43528</v>
      </c>
      <c r="B68" s="521">
        <f t="shared" si="0"/>
        <v>43528</v>
      </c>
      <c r="C68" s="191">
        <f t="shared" si="1"/>
        <v>9</v>
      </c>
      <c r="D68" s="190">
        <f t="shared" si="2"/>
        <v>43524</v>
      </c>
      <c r="E68" s="589">
        <f>Arbeitszeit!V69*24</f>
        <v>0</v>
      </c>
      <c r="F68" s="349">
        <f t="shared" si="3"/>
        <v>0</v>
      </c>
      <c r="G68" s="155">
        <f>IF(Arbeitszeit!F69=Urlaub,B_WorkTime*24,)</f>
        <v>0</v>
      </c>
      <c r="H68" s="153"/>
      <c r="I68" s="155">
        <f>IF(Arbeitszeit!F69=Krank,B_WorkTime*24,)</f>
        <v>0</v>
      </c>
      <c r="J68" s="153"/>
      <c r="K68" s="156"/>
      <c r="L68" s="157"/>
      <c r="M68" s="577"/>
      <c r="N68" s="578"/>
      <c r="O68" s="577"/>
      <c r="P68" s="578"/>
      <c r="Q68" s="577"/>
      <c r="R68" s="578"/>
      <c r="S68" s="577"/>
      <c r="T68" s="578"/>
      <c r="U68" s="577"/>
      <c r="V68" s="578"/>
      <c r="W68" s="577"/>
      <c r="X68" s="578"/>
      <c r="Y68" s="577"/>
      <c r="Z68" s="578"/>
      <c r="AA68" s="577"/>
      <c r="AB68" s="578"/>
      <c r="AC68" s="577"/>
      <c r="AD68" s="578"/>
      <c r="AE68" s="577"/>
      <c r="AF68" s="579"/>
      <c r="AG68" s="577"/>
      <c r="AH68" s="579"/>
      <c r="AI68" s="577"/>
      <c r="AJ68" s="579"/>
      <c r="AK68" s="577"/>
      <c r="AL68" s="579"/>
      <c r="AM68" s="580"/>
      <c r="AN68" s="579"/>
      <c r="AO68" s="577"/>
      <c r="AP68" s="579"/>
      <c r="AQ68" s="580"/>
      <c r="AR68" s="579"/>
      <c r="AS68" s="579"/>
      <c r="AT68" s="579"/>
      <c r="AU68" s="580"/>
      <c r="AV68" s="579"/>
      <c r="AW68" s="579"/>
      <c r="AX68" s="158"/>
      <c r="AY68" s="154"/>
      <c r="AZ68">
        <f ca="1">INDIRECT(ADDRESS(ROW()+1,COLUMN(Arbeitszeit!xDay),,,"Arbeitszeit"))</f>
        <v>7</v>
      </c>
    </row>
    <row r="69" spans="1:52">
      <c r="A69" s="520">
        <f>Arbeitszeit!A70</f>
        <v>43529</v>
      </c>
      <c r="B69" s="521">
        <f t="shared" si="0"/>
        <v>43529</v>
      </c>
      <c r="C69" s="191">
        <f t="shared" si="1"/>
        <v>10</v>
      </c>
      <c r="D69" s="190">
        <f t="shared" si="2"/>
        <v>43524</v>
      </c>
      <c r="E69" s="589">
        <f>Arbeitszeit!V70*24</f>
        <v>0</v>
      </c>
      <c r="F69" s="349">
        <f t="shared" si="3"/>
        <v>0</v>
      </c>
      <c r="G69" s="155">
        <f>IF(Arbeitszeit!F70=Urlaub,B_WorkTime*24,)</f>
        <v>0</v>
      </c>
      <c r="H69" s="153"/>
      <c r="I69" s="155">
        <f>IF(Arbeitszeit!F70=Krank,B_WorkTime*24,)</f>
        <v>0</v>
      </c>
      <c r="J69" s="153"/>
      <c r="K69" s="156"/>
      <c r="L69" s="157"/>
      <c r="M69" s="577"/>
      <c r="N69" s="578"/>
      <c r="O69" s="577"/>
      <c r="P69" s="578"/>
      <c r="Q69" s="577"/>
      <c r="R69" s="578"/>
      <c r="S69" s="577"/>
      <c r="T69" s="578"/>
      <c r="U69" s="577"/>
      <c r="V69" s="578"/>
      <c r="W69" s="577"/>
      <c r="X69" s="578"/>
      <c r="Y69" s="577"/>
      <c r="Z69" s="578"/>
      <c r="AA69" s="577"/>
      <c r="AB69" s="578"/>
      <c r="AC69" s="577"/>
      <c r="AD69" s="578"/>
      <c r="AE69" s="577"/>
      <c r="AF69" s="579"/>
      <c r="AG69" s="577"/>
      <c r="AH69" s="579"/>
      <c r="AI69" s="577"/>
      <c r="AJ69" s="579"/>
      <c r="AK69" s="577"/>
      <c r="AL69" s="579"/>
      <c r="AM69" s="580"/>
      <c r="AN69" s="579"/>
      <c r="AO69" s="577"/>
      <c r="AP69" s="579"/>
      <c r="AQ69" s="580"/>
      <c r="AR69" s="579"/>
      <c r="AS69" s="579"/>
      <c r="AT69" s="579"/>
      <c r="AU69" s="580"/>
      <c r="AV69" s="579"/>
      <c r="AW69" s="579"/>
      <c r="AX69" s="158"/>
      <c r="AY69" s="154"/>
      <c r="AZ69">
        <f ca="1">INDIRECT(ADDRESS(ROW()+1,COLUMN(Arbeitszeit!xDay),,,"Arbeitszeit"))</f>
        <v>1</v>
      </c>
    </row>
    <row r="70" spans="1:52">
      <c r="A70" s="520">
        <f>Arbeitszeit!A71</f>
        <v>43530</v>
      </c>
      <c r="B70" s="521">
        <f t="shared" ref="B70:B133" si="4">IF(A70="","",A70)</f>
        <v>43530</v>
      </c>
      <c r="C70" s="191">
        <f t="shared" si="1"/>
        <v>10</v>
      </c>
      <c r="D70" s="190">
        <f t="shared" si="2"/>
        <v>43524</v>
      </c>
      <c r="E70" s="589">
        <f>Arbeitszeit!V71*24</f>
        <v>0</v>
      </c>
      <c r="F70" s="349">
        <f t="shared" si="3"/>
        <v>0</v>
      </c>
      <c r="G70" s="155">
        <f>IF(Arbeitszeit!F71=Urlaub,B_WorkTime*24,)</f>
        <v>0</v>
      </c>
      <c r="H70" s="153"/>
      <c r="I70" s="155">
        <f>IF(Arbeitszeit!F71=Krank,B_WorkTime*24,)</f>
        <v>0</v>
      </c>
      <c r="J70" s="153"/>
      <c r="K70" s="156"/>
      <c r="L70" s="157"/>
      <c r="M70" s="577"/>
      <c r="N70" s="578"/>
      <c r="O70" s="577"/>
      <c r="P70" s="578"/>
      <c r="Q70" s="577"/>
      <c r="R70" s="578"/>
      <c r="S70" s="577"/>
      <c r="T70" s="578"/>
      <c r="U70" s="577"/>
      <c r="V70" s="578"/>
      <c r="W70" s="577"/>
      <c r="X70" s="578"/>
      <c r="Y70" s="577"/>
      <c r="Z70" s="578"/>
      <c r="AA70" s="577"/>
      <c r="AB70" s="578"/>
      <c r="AC70" s="577"/>
      <c r="AD70" s="578"/>
      <c r="AE70" s="577"/>
      <c r="AF70" s="579"/>
      <c r="AG70" s="577"/>
      <c r="AH70" s="579"/>
      <c r="AI70" s="577"/>
      <c r="AJ70" s="579"/>
      <c r="AK70" s="577"/>
      <c r="AL70" s="579"/>
      <c r="AM70" s="580"/>
      <c r="AN70" s="579"/>
      <c r="AO70" s="577"/>
      <c r="AP70" s="579"/>
      <c r="AQ70" s="580"/>
      <c r="AR70" s="579"/>
      <c r="AS70" s="579"/>
      <c r="AT70" s="579"/>
      <c r="AU70" s="580"/>
      <c r="AV70" s="579"/>
      <c r="AW70" s="579"/>
      <c r="AX70" s="158"/>
      <c r="AY70" s="154"/>
      <c r="AZ70">
        <f ca="1">INDIRECT(ADDRESS(ROW()+1,COLUMN(Arbeitszeit!xDay),,,"Arbeitszeit"))</f>
        <v>2</v>
      </c>
    </row>
    <row r="71" spans="1:52">
      <c r="A71" s="520">
        <f>Arbeitszeit!A72</f>
        <v>43531</v>
      </c>
      <c r="B71" s="521">
        <f t="shared" si="4"/>
        <v>43531</v>
      </c>
      <c r="C71" s="191">
        <f t="shared" ref="C71:C134" si="5">IF(A71="","",NumberOfWeek(A71))</f>
        <v>10</v>
      </c>
      <c r="D71" s="190">
        <f t="shared" ref="D71:D134" si="6">IF(A71="","",DATE(YEAR(A71),MONTH(A71),1))</f>
        <v>43524</v>
      </c>
      <c r="E71" s="589">
        <f>Arbeitszeit!V72*24</f>
        <v>0</v>
      </c>
      <c r="F71" s="349">
        <f t="shared" si="3"/>
        <v>0</v>
      </c>
      <c r="G71" s="155">
        <f>IF(Arbeitszeit!F72=Urlaub,B_WorkTime*24,)</f>
        <v>0</v>
      </c>
      <c r="H71" s="153"/>
      <c r="I71" s="155">
        <f>IF(Arbeitszeit!F72=Krank,B_WorkTime*24,)</f>
        <v>0</v>
      </c>
      <c r="J71" s="153"/>
      <c r="K71" s="156"/>
      <c r="L71" s="157"/>
      <c r="M71" s="577"/>
      <c r="N71" s="578"/>
      <c r="O71" s="577"/>
      <c r="P71" s="578"/>
      <c r="Q71" s="577"/>
      <c r="R71" s="578"/>
      <c r="S71" s="577"/>
      <c r="T71" s="578"/>
      <c r="U71" s="577"/>
      <c r="V71" s="578"/>
      <c r="W71" s="577"/>
      <c r="X71" s="578"/>
      <c r="Y71" s="577"/>
      <c r="Z71" s="578"/>
      <c r="AA71" s="577"/>
      <c r="AB71" s="578"/>
      <c r="AC71" s="577"/>
      <c r="AD71" s="578"/>
      <c r="AE71" s="577"/>
      <c r="AF71" s="579"/>
      <c r="AG71" s="577"/>
      <c r="AH71" s="579"/>
      <c r="AI71" s="577"/>
      <c r="AJ71" s="579"/>
      <c r="AK71" s="577"/>
      <c r="AL71" s="579"/>
      <c r="AM71" s="580"/>
      <c r="AN71" s="579"/>
      <c r="AO71" s="577"/>
      <c r="AP71" s="579"/>
      <c r="AQ71" s="580"/>
      <c r="AR71" s="579"/>
      <c r="AS71" s="579"/>
      <c r="AT71" s="579"/>
      <c r="AU71" s="580"/>
      <c r="AV71" s="579"/>
      <c r="AW71" s="579"/>
      <c r="AX71" s="158"/>
      <c r="AY71" s="154"/>
      <c r="AZ71">
        <f ca="1">INDIRECT(ADDRESS(ROW()+1,COLUMN(Arbeitszeit!xDay),,,"Arbeitszeit"))</f>
        <v>3</v>
      </c>
    </row>
    <row r="72" spans="1:52">
      <c r="A72" s="520">
        <f>Arbeitszeit!A73</f>
        <v>43532</v>
      </c>
      <c r="B72" s="521">
        <f t="shared" si="4"/>
        <v>43532</v>
      </c>
      <c r="C72" s="191">
        <f t="shared" si="5"/>
        <v>10</v>
      </c>
      <c r="D72" s="190">
        <f t="shared" si="6"/>
        <v>43524</v>
      </c>
      <c r="E72" s="589">
        <f>Arbeitszeit!V73*24</f>
        <v>0</v>
      </c>
      <c r="F72" s="349">
        <f t="shared" ref="F72:F135" si="7">ROUND(E72-SUM(K72:AW72),1)</f>
        <v>0</v>
      </c>
      <c r="G72" s="155">
        <f>IF(Arbeitszeit!F73=Urlaub,B_WorkTime*24,)</f>
        <v>0</v>
      </c>
      <c r="H72" s="153"/>
      <c r="I72" s="155">
        <f>IF(Arbeitszeit!F73=Krank,B_WorkTime*24,)</f>
        <v>0</v>
      </c>
      <c r="J72" s="153"/>
      <c r="K72" s="156"/>
      <c r="L72" s="157"/>
      <c r="M72" s="577"/>
      <c r="N72" s="578"/>
      <c r="O72" s="577"/>
      <c r="P72" s="578"/>
      <c r="Q72" s="577"/>
      <c r="R72" s="578"/>
      <c r="S72" s="577"/>
      <c r="T72" s="578"/>
      <c r="U72" s="577"/>
      <c r="V72" s="578"/>
      <c r="W72" s="577"/>
      <c r="X72" s="578"/>
      <c r="Y72" s="577"/>
      <c r="Z72" s="578"/>
      <c r="AA72" s="577"/>
      <c r="AB72" s="578"/>
      <c r="AC72" s="577"/>
      <c r="AD72" s="578"/>
      <c r="AE72" s="577"/>
      <c r="AF72" s="579"/>
      <c r="AG72" s="577"/>
      <c r="AH72" s="579"/>
      <c r="AI72" s="577"/>
      <c r="AJ72" s="579"/>
      <c r="AK72" s="577"/>
      <c r="AL72" s="579"/>
      <c r="AM72" s="580"/>
      <c r="AN72" s="579"/>
      <c r="AO72" s="577"/>
      <c r="AP72" s="579"/>
      <c r="AQ72" s="580"/>
      <c r="AR72" s="579"/>
      <c r="AS72" s="579"/>
      <c r="AT72" s="579"/>
      <c r="AU72" s="580"/>
      <c r="AV72" s="579"/>
      <c r="AW72" s="579"/>
      <c r="AX72" s="158"/>
      <c r="AY72" s="154"/>
      <c r="AZ72">
        <f ca="1">INDIRECT(ADDRESS(ROW()+1,COLUMN(Arbeitszeit!xDay),,,"Arbeitszeit"))</f>
        <v>4</v>
      </c>
    </row>
    <row r="73" spans="1:52">
      <c r="A73" s="520">
        <f>Arbeitszeit!A74</f>
        <v>43533</v>
      </c>
      <c r="B73" s="521">
        <f t="shared" si="4"/>
        <v>43533</v>
      </c>
      <c r="C73" s="191">
        <f t="shared" si="5"/>
        <v>10</v>
      </c>
      <c r="D73" s="190">
        <f t="shared" si="6"/>
        <v>43524</v>
      </c>
      <c r="E73" s="589">
        <f>Arbeitszeit!V74*24</f>
        <v>0</v>
      </c>
      <c r="F73" s="349">
        <f t="shared" si="7"/>
        <v>0</v>
      </c>
      <c r="G73" s="155">
        <f>IF(Arbeitszeit!F74=Urlaub,B_WorkTime*24,)</f>
        <v>0</v>
      </c>
      <c r="H73" s="153"/>
      <c r="I73" s="155">
        <f>IF(Arbeitszeit!F74=Krank,B_WorkTime*24,)</f>
        <v>0</v>
      </c>
      <c r="J73" s="153"/>
      <c r="K73" s="156"/>
      <c r="L73" s="157"/>
      <c r="M73" s="577"/>
      <c r="N73" s="578"/>
      <c r="O73" s="577"/>
      <c r="P73" s="578"/>
      <c r="Q73" s="577"/>
      <c r="R73" s="578"/>
      <c r="S73" s="577"/>
      <c r="T73" s="578"/>
      <c r="U73" s="577"/>
      <c r="V73" s="578"/>
      <c r="W73" s="577"/>
      <c r="X73" s="578"/>
      <c r="Y73" s="577"/>
      <c r="Z73" s="578"/>
      <c r="AA73" s="577"/>
      <c r="AB73" s="578"/>
      <c r="AC73" s="577"/>
      <c r="AD73" s="578"/>
      <c r="AE73" s="577"/>
      <c r="AF73" s="579"/>
      <c r="AG73" s="577"/>
      <c r="AH73" s="579"/>
      <c r="AI73" s="577"/>
      <c r="AJ73" s="579"/>
      <c r="AK73" s="577"/>
      <c r="AL73" s="579"/>
      <c r="AM73" s="580"/>
      <c r="AN73" s="579"/>
      <c r="AO73" s="577"/>
      <c r="AP73" s="579"/>
      <c r="AQ73" s="580"/>
      <c r="AR73" s="579"/>
      <c r="AS73" s="579"/>
      <c r="AT73" s="579"/>
      <c r="AU73" s="580"/>
      <c r="AV73" s="579"/>
      <c r="AW73" s="579"/>
      <c r="AX73" s="158"/>
      <c r="AY73" s="154"/>
      <c r="AZ73">
        <f ca="1">INDIRECT(ADDRESS(ROW()+1,COLUMN(Arbeitszeit!xDay),,,"Arbeitszeit"))</f>
        <v>5</v>
      </c>
    </row>
    <row r="74" spans="1:52">
      <c r="A74" s="520">
        <f>Arbeitszeit!A75</f>
        <v>43534</v>
      </c>
      <c r="B74" s="521">
        <f t="shared" si="4"/>
        <v>43534</v>
      </c>
      <c r="C74" s="191">
        <f t="shared" si="5"/>
        <v>10</v>
      </c>
      <c r="D74" s="190">
        <f t="shared" si="6"/>
        <v>43524</v>
      </c>
      <c r="E74" s="589">
        <f>Arbeitszeit!V75*24</f>
        <v>0</v>
      </c>
      <c r="F74" s="349">
        <f t="shared" si="7"/>
        <v>0</v>
      </c>
      <c r="G74" s="155">
        <f>IF(Arbeitszeit!F75=Urlaub,B_WorkTime*24,)</f>
        <v>0</v>
      </c>
      <c r="H74" s="153"/>
      <c r="I74" s="155">
        <f>IF(Arbeitszeit!F75=Krank,B_WorkTime*24,)</f>
        <v>0</v>
      </c>
      <c r="J74" s="153"/>
      <c r="K74" s="156"/>
      <c r="L74" s="157"/>
      <c r="M74" s="577"/>
      <c r="N74" s="578"/>
      <c r="O74" s="577"/>
      <c r="P74" s="578"/>
      <c r="Q74" s="577"/>
      <c r="R74" s="578"/>
      <c r="S74" s="577"/>
      <c r="T74" s="578"/>
      <c r="U74" s="577"/>
      <c r="V74" s="578"/>
      <c r="W74" s="577"/>
      <c r="X74" s="578"/>
      <c r="Y74" s="577"/>
      <c r="Z74" s="578"/>
      <c r="AA74" s="577"/>
      <c r="AB74" s="578"/>
      <c r="AC74" s="577"/>
      <c r="AD74" s="578"/>
      <c r="AE74" s="577"/>
      <c r="AF74" s="579"/>
      <c r="AG74" s="577"/>
      <c r="AH74" s="579"/>
      <c r="AI74" s="577"/>
      <c r="AJ74" s="579"/>
      <c r="AK74" s="577"/>
      <c r="AL74" s="579"/>
      <c r="AM74" s="580"/>
      <c r="AN74" s="579"/>
      <c r="AO74" s="577"/>
      <c r="AP74" s="579"/>
      <c r="AQ74" s="580"/>
      <c r="AR74" s="579"/>
      <c r="AS74" s="579"/>
      <c r="AT74" s="579"/>
      <c r="AU74" s="580"/>
      <c r="AV74" s="579"/>
      <c r="AW74" s="579"/>
      <c r="AX74" s="158"/>
      <c r="AY74" s="154"/>
      <c r="AZ74">
        <f ca="1">INDIRECT(ADDRESS(ROW()+1,COLUMN(Arbeitszeit!xDay),,,"Arbeitszeit"))</f>
        <v>6</v>
      </c>
    </row>
    <row r="75" spans="1:52">
      <c r="A75" s="520">
        <f>Arbeitszeit!A76</f>
        <v>43535</v>
      </c>
      <c r="B75" s="521">
        <f t="shared" si="4"/>
        <v>43535</v>
      </c>
      <c r="C75" s="191">
        <f t="shared" si="5"/>
        <v>10</v>
      </c>
      <c r="D75" s="190">
        <f t="shared" si="6"/>
        <v>43524</v>
      </c>
      <c r="E75" s="589">
        <f>Arbeitszeit!V76*24</f>
        <v>0</v>
      </c>
      <c r="F75" s="349">
        <f t="shared" si="7"/>
        <v>0</v>
      </c>
      <c r="G75" s="155">
        <f>IF(Arbeitszeit!F76=Urlaub,B_WorkTime*24,)</f>
        <v>0</v>
      </c>
      <c r="H75" s="153"/>
      <c r="I75" s="155">
        <f>IF(Arbeitszeit!F76=Krank,B_WorkTime*24,)</f>
        <v>0</v>
      </c>
      <c r="J75" s="153"/>
      <c r="K75" s="156"/>
      <c r="L75" s="157"/>
      <c r="M75" s="577"/>
      <c r="N75" s="578"/>
      <c r="O75" s="577"/>
      <c r="P75" s="578"/>
      <c r="Q75" s="577"/>
      <c r="R75" s="578"/>
      <c r="S75" s="577"/>
      <c r="T75" s="578"/>
      <c r="U75" s="577"/>
      <c r="V75" s="578"/>
      <c r="W75" s="577"/>
      <c r="X75" s="578"/>
      <c r="Y75" s="577"/>
      <c r="Z75" s="578"/>
      <c r="AA75" s="577"/>
      <c r="AB75" s="578"/>
      <c r="AC75" s="577"/>
      <c r="AD75" s="578"/>
      <c r="AE75" s="577"/>
      <c r="AF75" s="579"/>
      <c r="AG75" s="577"/>
      <c r="AH75" s="579"/>
      <c r="AI75" s="577"/>
      <c r="AJ75" s="579"/>
      <c r="AK75" s="577"/>
      <c r="AL75" s="579"/>
      <c r="AM75" s="580"/>
      <c r="AN75" s="579"/>
      <c r="AO75" s="577"/>
      <c r="AP75" s="579"/>
      <c r="AQ75" s="580"/>
      <c r="AR75" s="579"/>
      <c r="AS75" s="579"/>
      <c r="AT75" s="579"/>
      <c r="AU75" s="580"/>
      <c r="AV75" s="579"/>
      <c r="AW75" s="579"/>
      <c r="AX75" s="158"/>
      <c r="AY75" s="154"/>
      <c r="AZ75">
        <f ca="1">INDIRECT(ADDRESS(ROW()+1,COLUMN(Arbeitszeit!xDay),,,"Arbeitszeit"))</f>
        <v>7</v>
      </c>
    </row>
    <row r="76" spans="1:52">
      <c r="A76" s="520">
        <f>Arbeitszeit!A77</f>
        <v>43536</v>
      </c>
      <c r="B76" s="521">
        <f t="shared" si="4"/>
        <v>43536</v>
      </c>
      <c r="C76" s="191">
        <f t="shared" si="5"/>
        <v>11</v>
      </c>
      <c r="D76" s="190">
        <f t="shared" si="6"/>
        <v>43524</v>
      </c>
      <c r="E76" s="589">
        <f>Arbeitszeit!V77*24</f>
        <v>0</v>
      </c>
      <c r="F76" s="349">
        <f t="shared" si="7"/>
        <v>0</v>
      </c>
      <c r="G76" s="155">
        <f>IF(Arbeitszeit!F77=Urlaub,B_WorkTime*24,)</f>
        <v>0</v>
      </c>
      <c r="H76" s="153"/>
      <c r="I76" s="155">
        <f>IF(Arbeitszeit!F77=Krank,B_WorkTime*24,)</f>
        <v>0</v>
      </c>
      <c r="J76" s="153"/>
      <c r="K76" s="156"/>
      <c r="L76" s="157"/>
      <c r="M76" s="577"/>
      <c r="N76" s="578"/>
      <c r="O76" s="577"/>
      <c r="P76" s="578"/>
      <c r="Q76" s="577"/>
      <c r="R76" s="578"/>
      <c r="S76" s="577"/>
      <c r="T76" s="578"/>
      <c r="U76" s="577"/>
      <c r="V76" s="578"/>
      <c r="W76" s="577"/>
      <c r="X76" s="578"/>
      <c r="Y76" s="577"/>
      <c r="Z76" s="578"/>
      <c r="AA76" s="577"/>
      <c r="AB76" s="578"/>
      <c r="AC76" s="577"/>
      <c r="AD76" s="578"/>
      <c r="AE76" s="577"/>
      <c r="AF76" s="579"/>
      <c r="AG76" s="577"/>
      <c r="AH76" s="579"/>
      <c r="AI76" s="577"/>
      <c r="AJ76" s="579"/>
      <c r="AK76" s="577"/>
      <c r="AL76" s="579"/>
      <c r="AM76" s="580"/>
      <c r="AN76" s="579"/>
      <c r="AO76" s="577"/>
      <c r="AP76" s="579"/>
      <c r="AQ76" s="580"/>
      <c r="AR76" s="579"/>
      <c r="AS76" s="579"/>
      <c r="AT76" s="579"/>
      <c r="AU76" s="580"/>
      <c r="AV76" s="579"/>
      <c r="AW76" s="579"/>
      <c r="AX76" s="158"/>
      <c r="AY76" s="154"/>
      <c r="AZ76">
        <f ca="1">INDIRECT(ADDRESS(ROW()+1,COLUMN(Arbeitszeit!xDay),,,"Arbeitszeit"))</f>
        <v>1</v>
      </c>
    </row>
    <row r="77" spans="1:52">
      <c r="A77" s="520">
        <f>Arbeitszeit!A78</f>
        <v>43537</v>
      </c>
      <c r="B77" s="521">
        <f t="shared" si="4"/>
        <v>43537</v>
      </c>
      <c r="C77" s="191">
        <f t="shared" si="5"/>
        <v>11</v>
      </c>
      <c r="D77" s="190">
        <f t="shared" si="6"/>
        <v>43524</v>
      </c>
      <c r="E77" s="589">
        <f>Arbeitszeit!V78*24</f>
        <v>0</v>
      </c>
      <c r="F77" s="349">
        <f t="shared" si="7"/>
        <v>0</v>
      </c>
      <c r="G77" s="155">
        <f>IF(Arbeitszeit!F78=Urlaub,B_WorkTime*24,)</f>
        <v>0</v>
      </c>
      <c r="H77" s="153"/>
      <c r="I77" s="155">
        <f>IF(Arbeitszeit!F78=Krank,B_WorkTime*24,)</f>
        <v>0</v>
      </c>
      <c r="J77" s="153"/>
      <c r="K77" s="156"/>
      <c r="L77" s="157"/>
      <c r="M77" s="577"/>
      <c r="N77" s="578"/>
      <c r="O77" s="577"/>
      <c r="P77" s="578"/>
      <c r="Q77" s="577"/>
      <c r="R77" s="578"/>
      <c r="S77" s="577"/>
      <c r="T77" s="578"/>
      <c r="U77" s="577"/>
      <c r="V77" s="578"/>
      <c r="W77" s="577"/>
      <c r="X77" s="578"/>
      <c r="Y77" s="577"/>
      <c r="Z77" s="578"/>
      <c r="AA77" s="577"/>
      <c r="AB77" s="578"/>
      <c r="AC77" s="577"/>
      <c r="AD77" s="578"/>
      <c r="AE77" s="577"/>
      <c r="AF77" s="579"/>
      <c r="AG77" s="577"/>
      <c r="AH77" s="579"/>
      <c r="AI77" s="577"/>
      <c r="AJ77" s="579"/>
      <c r="AK77" s="577"/>
      <c r="AL77" s="579"/>
      <c r="AM77" s="580"/>
      <c r="AN77" s="579"/>
      <c r="AO77" s="577"/>
      <c r="AP77" s="579"/>
      <c r="AQ77" s="580"/>
      <c r="AR77" s="579"/>
      <c r="AS77" s="579"/>
      <c r="AT77" s="579"/>
      <c r="AU77" s="580"/>
      <c r="AV77" s="579"/>
      <c r="AW77" s="579"/>
      <c r="AX77" s="158"/>
      <c r="AY77" s="154"/>
      <c r="AZ77">
        <f ca="1">INDIRECT(ADDRESS(ROW()+1,COLUMN(Arbeitszeit!xDay),,,"Arbeitszeit"))</f>
        <v>2</v>
      </c>
    </row>
    <row r="78" spans="1:52">
      <c r="A78" s="520">
        <f>Arbeitszeit!A79</f>
        <v>43538</v>
      </c>
      <c r="B78" s="521">
        <f t="shared" si="4"/>
        <v>43538</v>
      </c>
      <c r="C78" s="191">
        <f t="shared" si="5"/>
        <v>11</v>
      </c>
      <c r="D78" s="190">
        <f t="shared" si="6"/>
        <v>43524</v>
      </c>
      <c r="E78" s="589">
        <f>Arbeitszeit!V79*24</f>
        <v>0</v>
      </c>
      <c r="F78" s="349">
        <f t="shared" si="7"/>
        <v>0</v>
      </c>
      <c r="G78" s="155">
        <f>IF(Arbeitszeit!F79=Urlaub,B_WorkTime*24,)</f>
        <v>0</v>
      </c>
      <c r="H78" s="153"/>
      <c r="I78" s="155">
        <f>IF(Arbeitszeit!F79=Krank,B_WorkTime*24,)</f>
        <v>0</v>
      </c>
      <c r="J78" s="153"/>
      <c r="K78" s="156"/>
      <c r="L78" s="157"/>
      <c r="M78" s="577"/>
      <c r="N78" s="578"/>
      <c r="O78" s="577"/>
      <c r="P78" s="578"/>
      <c r="Q78" s="577"/>
      <c r="R78" s="578"/>
      <c r="S78" s="577"/>
      <c r="T78" s="578"/>
      <c r="U78" s="577"/>
      <c r="V78" s="578"/>
      <c r="W78" s="577"/>
      <c r="X78" s="578"/>
      <c r="Y78" s="577"/>
      <c r="Z78" s="578"/>
      <c r="AA78" s="577"/>
      <c r="AB78" s="578"/>
      <c r="AC78" s="577"/>
      <c r="AD78" s="578"/>
      <c r="AE78" s="577"/>
      <c r="AF78" s="579"/>
      <c r="AG78" s="577"/>
      <c r="AH78" s="579"/>
      <c r="AI78" s="577"/>
      <c r="AJ78" s="579"/>
      <c r="AK78" s="577"/>
      <c r="AL78" s="579"/>
      <c r="AM78" s="580"/>
      <c r="AN78" s="579"/>
      <c r="AO78" s="577"/>
      <c r="AP78" s="579"/>
      <c r="AQ78" s="580"/>
      <c r="AR78" s="579"/>
      <c r="AS78" s="579"/>
      <c r="AT78" s="579"/>
      <c r="AU78" s="580"/>
      <c r="AV78" s="579"/>
      <c r="AW78" s="579"/>
      <c r="AX78" s="158"/>
      <c r="AY78" s="154"/>
      <c r="AZ78">
        <f ca="1">INDIRECT(ADDRESS(ROW()+1,COLUMN(Arbeitszeit!xDay),,,"Arbeitszeit"))</f>
        <v>3</v>
      </c>
    </row>
    <row r="79" spans="1:52">
      <c r="A79" s="520">
        <f>Arbeitszeit!A80</f>
        <v>43539</v>
      </c>
      <c r="B79" s="521">
        <f t="shared" si="4"/>
        <v>43539</v>
      </c>
      <c r="C79" s="191">
        <f t="shared" si="5"/>
        <v>11</v>
      </c>
      <c r="D79" s="190">
        <f t="shared" si="6"/>
        <v>43524</v>
      </c>
      <c r="E79" s="589">
        <f>Arbeitszeit!V80*24</f>
        <v>0</v>
      </c>
      <c r="F79" s="349">
        <f t="shared" si="7"/>
        <v>0</v>
      </c>
      <c r="G79" s="155">
        <f>IF(Arbeitszeit!F80=Urlaub,B_WorkTime*24,)</f>
        <v>0</v>
      </c>
      <c r="H79" s="153"/>
      <c r="I79" s="155">
        <f>IF(Arbeitszeit!F80=Krank,B_WorkTime*24,)</f>
        <v>0</v>
      </c>
      <c r="J79" s="153"/>
      <c r="K79" s="156"/>
      <c r="L79" s="157"/>
      <c r="M79" s="577"/>
      <c r="N79" s="578"/>
      <c r="O79" s="577"/>
      <c r="P79" s="578"/>
      <c r="Q79" s="577"/>
      <c r="R79" s="578"/>
      <c r="S79" s="577"/>
      <c r="T79" s="578"/>
      <c r="U79" s="577"/>
      <c r="V79" s="578"/>
      <c r="W79" s="577"/>
      <c r="X79" s="578"/>
      <c r="Y79" s="577"/>
      <c r="Z79" s="578"/>
      <c r="AA79" s="577"/>
      <c r="AB79" s="578"/>
      <c r="AC79" s="577"/>
      <c r="AD79" s="578"/>
      <c r="AE79" s="577"/>
      <c r="AF79" s="579"/>
      <c r="AG79" s="577"/>
      <c r="AH79" s="579"/>
      <c r="AI79" s="577"/>
      <c r="AJ79" s="579"/>
      <c r="AK79" s="577"/>
      <c r="AL79" s="579"/>
      <c r="AM79" s="580"/>
      <c r="AN79" s="579"/>
      <c r="AO79" s="577"/>
      <c r="AP79" s="579"/>
      <c r="AQ79" s="580"/>
      <c r="AR79" s="579"/>
      <c r="AS79" s="579"/>
      <c r="AT79" s="579"/>
      <c r="AU79" s="580"/>
      <c r="AV79" s="579"/>
      <c r="AW79" s="579"/>
      <c r="AX79" s="158"/>
      <c r="AY79" s="154"/>
      <c r="AZ79">
        <f ca="1">INDIRECT(ADDRESS(ROW()+1,COLUMN(Arbeitszeit!xDay),,,"Arbeitszeit"))</f>
        <v>4</v>
      </c>
    </row>
    <row r="80" spans="1:52">
      <c r="A80" s="520">
        <f>Arbeitszeit!A81</f>
        <v>43540</v>
      </c>
      <c r="B80" s="521">
        <f t="shared" si="4"/>
        <v>43540</v>
      </c>
      <c r="C80" s="191">
        <f t="shared" si="5"/>
        <v>11</v>
      </c>
      <c r="D80" s="190">
        <f t="shared" si="6"/>
        <v>43524</v>
      </c>
      <c r="E80" s="589">
        <f>Arbeitszeit!V81*24</f>
        <v>0</v>
      </c>
      <c r="F80" s="349">
        <f t="shared" si="7"/>
        <v>0</v>
      </c>
      <c r="G80" s="155">
        <f>IF(Arbeitszeit!F81=Urlaub,B_WorkTime*24,)</f>
        <v>0</v>
      </c>
      <c r="H80" s="153"/>
      <c r="I80" s="155">
        <f>IF(Arbeitszeit!F81=Krank,B_WorkTime*24,)</f>
        <v>0</v>
      </c>
      <c r="J80" s="153"/>
      <c r="K80" s="156"/>
      <c r="L80" s="157"/>
      <c r="M80" s="577"/>
      <c r="N80" s="578"/>
      <c r="O80" s="577"/>
      <c r="P80" s="578"/>
      <c r="Q80" s="577"/>
      <c r="R80" s="578"/>
      <c r="S80" s="577"/>
      <c r="T80" s="578"/>
      <c r="U80" s="577"/>
      <c r="V80" s="578"/>
      <c r="W80" s="577"/>
      <c r="X80" s="578"/>
      <c r="Y80" s="577"/>
      <c r="Z80" s="578"/>
      <c r="AA80" s="577"/>
      <c r="AB80" s="578"/>
      <c r="AC80" s="577"/>
      <c r="AD80" s="578"/>
      <c r="AE80" s="577"/>
      <c r="AF80" s="579"/>
      <c r="AG80" s="577"/>
      <c r="AH80" s="579"/>
      <c r="AI80" s="577"/>
      <c r="AJ80" s="579"/>
      <c r="AK80" s="577"/>
      <c r="AL80" s="579"/>
      <c r="AM80" s="580"/>
      <c r="AN80" s="579"/>
      <c r="AO80" s="577"/>
      <c r="AP80" s="579"/>
      <c r="AQ80" s="580"/>
      <c r="AR80" s="579"/>
      <c r="AS80" s="579"/>
      <c r="AT80" s="579"/>
      <c r="AU80" s="580"/>
      <c r="AV80" s="579"/>
      <c r="AW80" s="579"/>
      <c r="AX80" s="158"/>
      <c r="AY80" s="154"/>
      <c r="AZ80">
        <f ca="1">INDIRECT(ADDRESS(ROW()+1,COLUMN(Arbeitszeit!xDay),,,"Arbeitszeit"))</f>
        <v>5</v>
      </c>
    </row>
    <row r="81" spans="1:52">
      <c r="A81" s="520">
        <f>Arbeitszeit!A82</f>
        <v>43541</v>
      </c>
      <c r="B81" s="521">
        <f t="shared" si="4"/>
        <v>43541</v>
      </c>
      <c r="C81" s="191">
        <f t="shared" si="5"/>
        <v>11</v>
      </c>
      <c r="D81" s="190">
        <f t="shared" si="6"/>
        <v>43524</v>
      </c>
      <c r="E81" s="589">
        <f>Arbeitszeit!V82*24</f>
        <v>0</v>
      </c>
      <c r="F81" s="349">
        <f t="shared" si="7"/>
        <v>0</v>
      </c>
      <c r="G81" s="155">
        <f>IF(Arbeitszeit!F82=Urlaub,B_WorkTime*24,)</f>
        <v>0</v>
      </c>
      <c r="H81" s="153"/>
      <c r="I81" s="155">
        <f>IF(Arbeitszeit!F82=Krank,B_WorkTime*24,)</f>
        <v>0</v>
      </c>
      <c r="J81" s="153"/>
      <c r="K81" s="156"/>
      <c r="L81" s="157"/>
      <c r="M81" s="577"/>
      <c r="N81" s="578"/>
      <c r="O81" s="577"/>
      <c r="P81" s="578"/>
      <c r="Q81" s="577"/>
      <c r="R81" s="578"/>
      <c r="S81" s="577"/>
      <c r="T81" s="578"/>
      <c r="U81" s="577"/>
      <c r="V81" s="578"/>
      <c r="W81" s="577"/>
      <c r="X81" s="578"/>
      <c r="Y81" s="577"/>
      <c r="Z81" s="578"/>
      <c r="AA81" s="577"/>
      <c r="AB81" s="578"/>
      <c r="AC81" s="577"/>
      <c r="AD81" s="578"/>
      <c r="AE81" s="577"/>
      <c r="AF81" s="579"/>
      <c r="AG81" s="577"/>
      <c r="AH81" s="579"/>
      <c r="AI81" s="577"/>
      <c r="AJ81" s="579"/>
      <c r="AK81" s="577"/>
      <c r="AL81" s="579"/>
      <c r="AM81" s="580"/>
      <c r="AN81" s="579"/>
      <c r="AO81" s="577"/>
      <c r="AP81" s="579"/>
      <c r="AQ81" s="580"/>
      <c r="AR81" s="579"/>
      <c r="AS81" s="579"/>
      <c r="AT81" s="579"/>
      <c r="AU81" s="580"/>
      <c r="AV81" s="579"/>
      <c r="AW81" s="579"/>
      <c r="AX81" s="158"/>
      <c r="AY81" s="154"/>
      <c r="AZ81">
        <f ca="1">INDIRECT(ADDRESS(ROW()+1,COLUMN(Arbeitszeit!xDay),,,"Arbeitszeit"))</f>
        <v>6</v>
      </c>
    </row>
    <row r="82" spans="1:52">
      <c r="A82" s="520">
        <f>Arbeitszeit!A83</f>
        <v>43542</v>
      </c>
      <c r="B82" s="521">
        <f t="shared" si="4"/>
        <v>43542</v>
      </c>
      <c r="C82" s="191">
        <f t="shared" si="5"/>
        <v>11</v>
      </c>
      <c r="D82" s="190">
        <f t="shared" si="6"/>
        <v>43524</v>
      </c>
      <c r="E82" s="589">
        <f>Arbeitszeit!V83*24</f>
        <v>0</v>
      </c>
      <c r="F82" s="349">
        <f t="shared" si="7"/>
        <v>0</v>
      </c>
      <c r="G82" s="155">
        <f>IF(Arbeitszeit!F83=Urlaub,B_WorkTime*24,)</f>
        <v>0</v>
      </c>
      <c r="H82" s="153"/>
      <c r="I82" s="155">
        <f>IF(Arbeitszeit!F83=Krank,B_WorkTime*24,)</f>
        <v>0</v>
      </c>
      <c r="J82" s="153"/>
      <c r="K82" s="156"/>
      <c r="L82" s="157"/>
      <c r="M82" s="577"/>
      <c r="N82" s="578"/>
      <c r="O82" s="577"/>
      <c r="P82" s="578"/>
      <c r="Q82" s="577"/>
      <c r="R82" s="578"/>
      <c r="S82" s="577"/>
      <c r="T82" s="578"/>
      <c r="U82" s="577"/>
      <c r="V82" s="578"/>
      <c r="W82" s="577"/>
      <c r="X82" s="578"/>
      <c r="Y82" s="577"/>
      <c r="Z82" s="578"/>
      <c r="AA82" s="577"/>
      <c r="AB82" s="578"/>
      <c r="AC82" s="577"/>
      <c r="AD82" s="578"/>
      <c r="AE82" s="577"/>
      <c r="AF82" s="579"/>
      <c r="AG82" s="577"/>
      <c r="AH82" s="579"/>
      <c r="AI82" s="577"/>
      <c r="AJ82" s="579"/>
      <c r="AK82" s="577"/>
      <c r="AL82" s="579"/>
      <c r="AM82" s="580"/>
      <c r="AN82" s="579"/>
      <c r="AO82" s="577"/>
      <c r="AP82" s="579"/>
      <c r="AQ82" s="580"/>
      <c r="AR82" s="579"/>
      <c r="AS82" s="579"/>
      <c r="AT82" s="579"/>
      <c r="AU82" s="580"/>
      <c r="AV82" s="579"/>
      <c r="AW82" s="579"/>
      <c r="AX82" s="158"/>
      <c r="AY82" s="154"/>
      <c r="AZ82">
        <f ca="1">INDIRECT(ADDRESS(ROW()+1,COLUMN(Arbeitszeit!xDay),,,"Arbeitszeit"))</f>
        <v>7</v>
      </c>
    </row>
    <row r="83" spans="1:52">
      <c r="A83" s="520">
        <f>Arbeitszeit!A84</f>
        <v>43543</v>
      </c>
      <c r="B83" s="521">
        <f t="shared" si="4"/>
        <v>43543</v>
      </c>
      <c r="C83" s="191">
        <f t="shared" si="5"/>
        <v>12</v>
      </c>
      <c r="D83" s="190">
        <f t="shared" si="6"/>
        <v>43524</v>
      </c>
      <c r="E83" s="589">
        <f>Arbeitszeit!V84*24</f>
        <v>0</v>
      </c>
      <c r="F83" s="349">
        <f t="shared" si="7"/>
        <v>0</v>
      </c>
      <c r="G83" s="155">
        <f>IF(Arbeitszeit!F84=Urlaub,B_WorkTime*24,)</f>
        <v>0</v>
      </c>
      <c r="H83" s="153"/>
      <c r="I83" s="155">
        <f>IF(Arbeitszeit!F84=Krank,B_WorkTime*24,)</f>
        <v>0</v>
      </c>
      <c r="J83" s="153"/>
      <c r="K83" s="156"/>
      <c r="L83" s="157"/>
      <c r="M83" s="577"/>
      <c r="N83" s="578"/>
      <c r="O83" s="577"/>
      <c r="P83" s="578"/>
      <c r="Q83" s="577"/>
      <c r="R83" s="578"/>
      <c r="S83" s="577"/>
      <c r="T83" s="578"/>
      <c r="U83" s="577"/>
      <c r="V83" s="578"/>
      <c r="W83" s="577"/>
      <c r="X83" s="578"/>
      <c r="Y83" s="577"/>
      <c r="Z83" s="578"/>
      <c r="AA83" s="577"/>
      <c r="AB83" s="578"/>
      <c r="AC83" s="577"/>
      <c r="AD83" s="578"/>
      <c r="AE83" s="577"/>
      <c r="AF83" s="579"/>
      <c r="AG83" s="577"/>
      <c r="AH83" s="579"/>
      <c r="AI83" s="577"/>
      <c r="AJ83" s="579"/>
      <c r="AK83" s="577"/>
      <c r="AL83" s="579"/>
      <c r="AM83" s="580"/>
      <c r="AN83" s="579"/>
      <c r="AO83" s="577"/>
      <c r="AP83" s="579"/>
      <c r="AQ83" s="580"/>
      <c r="AR83" s="579"/>
      <c r="AS83" s="579"/>
      <c r="AT83" s="579"/>
      <c r="AU83" s="580"/>
      <c r="AV83" s="579"/>
      <c r="AW83" s="579"/>
      <c r="AX83" s="158"/>
      <c r="AY83" s="154"/>
      <c r="AZ83">
        <f ca="1">INDIRECT(ADDRESS(ROW()+1,COLUMN(Arbeitszeit!xDay),,,"Arbeitszeit"))</f>
        <v>1</v>
      </c>
    </row>
    <row r="84" spans="1:52">
      <c r="A84" s="520">
        <f>Arbeitszeit!A85</f>
        <v>43544</v>
      </c>
      <c r="B84" s="521">
        <f t="shared" si="4"/>
        <v>43544</v>
      </c>
      <c r="C84" s="191">
        <f t="shared" si="5"/>
        <v>12</v>
      </c>
      <c r="D84" s="190">
        <f t="shared" si="6"/>
        <v>43524</v>
      </c>
      <c r="E84" s="589">
        <f>Arbeitszeit!V85*24</f>
        <v>0</v>
      </c>
      <c r="F84" s="349">
        <f t="shared" si="7"/>
        <v>0</v>
      </c>
      <c r="G84" s="155">
        <f>IF(Arbeitszeit!F85=Urlaub,B_WorkTime*24,)</f>
        <v>0</v>
      </c>
      <c r="H84" s="153"/>
      <c r="I84" s="155">
        <f>IF(Arbeitszeit!F85=Krank,B_WorkTime*24,)</f>
        <v>0</v>
      </c>
      <c r="J84" s="153"/>
      <c r="K84" s="156"/>
      <c r="L84" s="157"/>
      <c r="M84" s="577"/>
      <c r="N84" s="578"/>
      <c r="O84" s="577"/>
      <c r="P84" s="578"/>
      <c r="Q84" s="577"/>
      <c r="R84" s="578"/>
      <c r="S84" s="577"/>
      <c r="T84" s="578"/>
      <c r="U84" s="577"/>
      <c r="V84" s="578"/>
      <c r="W84" s="577"/>
      <c r="X84" s="578"/>
      <c r="Y84" s="577"/>
      <c r="Z84" s="578"/>
      <c r="AA84" s="577"/>
      <c r="AB84" s="578"/>
      <c r="AC84" s="577"/>
      <c r="AD84" s="578"/>
      <c r="AE84" s="577"/>
      <c r="AF84" s="579"/>
      <c r="AG84" s="577"/>
      <c r="AH84" s="579"/>
      <c r="AI84" s="577"/>
      <c r="AJ84" s="579"/>
      <c r="AK84" s="577"/>
      <c r="AL84" s="579"/>
      <c r="AM84" s="580"/>
      <c r="AN84" s="579"/>
      <c r="AO84" s="577"/>
      <c r="AP84" s="579"/>
      <c r="AQ84" s="580"/>
      <c r="AR84" s="579"/>
      <c r="AS84" s="579"/>
      <c r="AT84" s="579"/>
      <c r="AU84" s="580"/>
      <c r="AV84" s="579"/>
      <c r="AW84" s="579"/>
      <c r="AX84" s="158"/>
      <c r="AY84" s="154"/>
      <c r="AZ84">
        <f ca="1">INDIRECT(ADDRESS(ROW()+1,COLUMN(Arbeitszeit!xDay),,,"Arbeitszeit"))</f>
        <v>2</v>
      </c>
    </row>
    <row r="85" spans="1:52">
      <c r="A85" s="520">
        <f>Arbeitszeit!A86</f>
        <v>43545</v>
      </c>
      <c r="B85" s="521">
        <f t="shared" si="4"/>
        <v>43545</v>
      </c>
      <c r="C85" s="191">
        <f t="shared" si="5"/>
        <v>12</v>
      </c>
      <c r="D85" s="190">
        <f t="shared" si="6"/>
        <v>43524</v>
      </c>
      <c r="E85" s="589">
        <f>Arbeitszeit!V86*24</f>
        <v>0</v>
      </c>
      <c r="F85" s="349">
        <f t="shared" si="7"/>
        <v>0</v>
      </c>
      <c r="G85" s="155">
        <f>IF(Arbeitszeit!F86=Urlaub,B_WorkTime*24,)</f>
        <v>0</v>
      </c>
      <c r="H85" s="153"/>
      <c r="I85" s="155">
        <f>IF(Arbeitszeit!F86=Krank,B_WorkTime*24,)</f>
        <v>0</v>
      </c>
      <c r="J85" s="153"/>
      <c r="K85" s="156"/>
      <c r="L85" s="157"/>
      <c r="M85" s="577"/>
      <c r="N85" s="578"/>
      <c r="O85" s="577"/>
      <c r="P85" s="578"/>
      <c r="Q85" s="577"/>
      <c r="R85" s="578"/>
      <c r="S85" s="577"/>
      <c r="T85" s="578"/>
      <c r="U85" s="577"/>
      <c r="V85" s="578"/>
      <c r="W85" s="577"/>
      <c r="X85" s="578"/>
      <c r="Y85" s="577"/>
      <c r="Z85" s="578"/>
      <c r="AA85" s="577"/>
      <c r="AB85" s="578"/>
      <c r="AC85" s="577"/>
      <c r="AD85" s="578"/>
      <c r="AE85" s="577"/>
      <c r="AF85" s="579"/>
      <c r="AG85" s="577"/>
      <c r="AH85" s="579"/>
      <c r="AI85" s="577"/>
      <c r="AJ85" s="579"/>
      <c r="AK85" s="577"/>
      <c r="AL85" s="579"/>
      <c r="AM85" s="580"/>
      <c r="AN85" s="579"/>
      <c r="AO85" s="577"/>
      <c r="AP85" s="579"/>
      <c r="AQ85" s="580"/>
      <c r="AR85" s="579"/>
      <c r="AS85" s="579"/>
      <c r="AT85" s="579"/>
      <c r="AU85" s="580"/>
      <c r="AV85" s="579"/>
      <c r="AW85" s="579"/>
      <c r="AX85" s="158"/>
      <c r="AY85" s="154"/>
      <c r="AZ85">
        <f ca="1">INDIRECT(ADDRESS(ROW()+1,COLUMN(Arbeitszeit!xDay),,,"Arbeitszeit"))</f>
        <v>3</v>
      </c>
    </row>
    <row r="86" spans="1:52">
      <c r="A86" s="520">
        <f>Arbeitszeit!A87</f>
        <v>43546</v>
      </c>
      <c r="B86" s="521">
        <f t="shared" si="4"/>
        <v>43546</v>
      </c>
      <c r="C86" s="191">
        <f t="shared" si="5"/>
        <v>12</v>
      </c>
      <c r="D86" s="190">
        <f t="shared" si="6"/>
        <v>43524</v>
      </c>
      <c r="E86" s="589">
        <f>Arbeitszeit!V87*24</f>
        <v>0</v>
      </c>
      <c r="F86" s="349">
        <f t="shared" si="7"/>
        <v>0</v>
      </c>
      <c r="G86" s="155">
        <f>IF(Arbeitszeit!F87=Urlaub,B_WorkTime*24,)</f>
        <v>0</v>
      </c>
      <c r="H86" s="153"/>
      <c r="I86" s="155">
        <f>IF(Arbeitszeit!F87=Krank,B_WorkTime*24,)</f>
        <v>0</v>
      </c>
      <c r="J86" s="153"/>
      <c r="K86" s="156"/>
      <c r="L86" s="157"/>
      <c r="M86" s="577"/>
      <c r="N86" s="578"/>
      <c r="O86" s="577"/>
      <c r="P86" s="578"/>
      <c r="Q86" s="577"/>
      <c r="R86" s="578"/>
      <c r="S86" s="577"/>
      <c r="T86" s="578"/>
      <c r="U86" s="577"/>
      <c r="V86" s="578"/>
      <c r="W86" s="577"/>
      <c r="X86" s="578"/>
      <c r="Y86" s="577"/>
      <c r="Z86" s="578"/>
      <c r="AA86" s="577"/>
      <c r="AB86" s="578"/>
      <c r="AC86" s="577"/>
      <c r="AD86" s="578"/>
      <c r="AE86" s="577"/>
      <c r="AF86" s="579"/>
      <c r="AG86" s="577"/>
      <c r="AH86" s="579"/>
      <c r="AI86" s="577"/>
      <c r="AJ86" s="579"/>
      <c r="AK86" s="577"/>
      <c r="AL86" s="579"/>
      <c r="AM86" s="580"/>
      <c r="AN86" s="579"/>
      <c r="AO86" s="577"/>
      <c r="AP86" s="579"/>
      <c r="AQ86" s="580"/>
      <c r="AR86" s="579"/>
      <c r="AS86" s="579"/>
      <c r="AT86" s="579"/>
      <c r="AU86" s="580"/>
      <c r="AV86" s="579"/>
      <c r="AW86" s="579"/>
      <c r="AX86" s="158"/>
      <c r="AY86" s="154"/>
      <c r="AZ86">
        <f ca="1">INDIRECT(ADDRESS(ROW()+1,COLUMN(Arbeitszeit!xDay),,,"Arbeitszeit"))</f>
        <v>4</v>
      </c>
    </row>
    <row r="87" spans="1:52">
      <c r="A87" s="520">
        <f>Arbeitszeit!A88</f>
        <v>43547</v>
      </c>
      <c r="B87" s="521">
        <f t="shared" si="4"/>
        <v>43547</v>
      </c>
      <c r="C87" s="191">
        <f t="shared" si="5"/>
        <v>12</v>
      </c>
      <c r="D87" s="190">
        <f t="shared" si="6"/>
        <v>43524</v>
      </c>
      <c r="E87" s="589">
        <f>Arbeitszeit!V88*24</f>
        <v>0</v>
      </c>
      <c r="F87" s="349">
        <f t="shared" si="7"/>
        <v>0</v>
      </c>
      <c r="G87" s="155">
        <f>IF(Arbeitszeit!F88=Urlaub,B_WorkTime*24,)</f>
        <v>0</v>
      </c>
      <c r="H87" s="153"/>
      <c r="I87" s="155">
        <f>IF(Arbeitszeit!F88=Krank,B_WorkTime*24,)</f>
        <v>0</v>
      </c>
      <c r="J87" s="153"/>
      <c r="K87" s="156"/>
      <c r="L87" s="157"/>
      <c r="M87" s="577"/>
      <c r="N87" s="578"/>
      <c r="O87" s="577"/>
      <c r="P87" s="578"/>
      <c r="Q87" s="577"/>
      <c r="R87" s="578"/>
      <c r="S87" s="577"/>
      <c r="T87" s="578"/>
      <c r="U87" s="577"/>
      <c r="V87" s="578"/>
      <c r="W87" s="577"/>
      <c r="X87" s="578"/>
      <c r="Y87" s="577"/>
      <c r="Z87" s="578"/>
      <c r="AA87" s="577"/>
      <c r="AB87" s="578"/>
      <c r="AC87" s="577"/>
      <c r="AD87" s="578"/>
      <c r="AE87" s="577"/>
      <c r="AF87" s="579"/>
      <c r="AG87" s="577"/>
      <c r="AH87" s="579"/>
      <c r="AI87" s="577"/>
      <c r="AJ87" s="579"/>
      <c r="AK87" s="577"/>
      <c r="AL87" s="579"/>
      <c r="AM87" s="580"/>
      <c r="AN87" s="579"/>
      <c r="AO87" s="577"/>
      <c r="AP87" s="579"/>
      <c r="AQ87" s="580"/>
      <c r="AR87" s="579"/>
      <c r="AS87" s="579"/>
      <c r="AT87" s="579"/>
      <c r="AU87" s="580"/>
      <c r="AV87" s="579"/>
      <c r="AW87" s="579"/>
      <c r="AX87" s="158"/>
      <c r="AY87" s="154"/>
      <c r="AZ87">
        <f ca="1">INDIRECT(ADDRESS(ROW()+1,COLUMN(Arbeitszeit!xDay),,,"Arbeitszeit"))</f>
        <v>5</v>
      </c>
    </row>
    <row r="88" spans="1:52">
      <c r="A88" s="520">
        <f>Arbeitszeit!A89</f>
        <v>43548</v>
      </c>
      <c r="B88" s="521">
        <f t="shared" si="4"/>
        <v>43548</v>
      </c>
      <c r="C88" s="191">
        <f t="shared" si="5"/>
        <v>12</v>
      </c>
      <c r="D88" s="190">
        <f t="shared" si="6"/>
        <v>43524</v>
      </c>
      <c r="E88" s="589">
        <f>Arbeitszeit!V89*24</f>
        <v>0</v>
      </c>
      <c r="F88" s="349">
        <f t="shared" si="7"/>
        <v>0</v>
      </c>
      <c r="G88" s="155">
        <f>IF(Arbeitszeit!F89=Urlaub,B_WorkTime*24,)</f>
        <v>0</v>
      </c>
      <c r="H88" s="153"/>
      <c r="I88" s="155">
        <f>IF(Arbeitszeit!F89=Krank,B_WorkTime*24,)</f>
        <v>0</v>
      </c>
      <c r="J88" s="153"/>
      <c r="K88" s="156"/>
      <c r="L88" s="157"/>
      <c r="M88" s="577"/>
      <c r="N88" s="578"/>
      <c r="O88" s="577"/>
      <c r="P88" s="578"/>
      <c r="Q88" s="577"/>
      <c r="R88" s="578"/>
      <c r="S88" s="577"/>
      <c r="T88" s="578"/>
      <c r="U88" s="577"/>
      <c r="V88" s="578"/>
      <c r="W88" s="577"/>
      <c r="X88" s="578"/>
      <c r="Y88" s="577"/>
      <c r="Z88" s="578"/>
      <c r="AA88" s="577"/>
      <c r="AB88" s="578"/>
      <c r="AC88" s="577"/>
      <c r="AD88" s="578"/>
      <c r="AE88" s="577"/>
      <c r="AF88" s="579"/>
      <c r="AG88" s="577"/>
      <c r="AH88" s="579"/>
      <c r="AI88" s="577"/>
      <c r="AJ88" s="579"/>
      <c r="AK88" s="577"/>
      <c r="AL88" s="579"/>
      <c r="AM88" s="580"/>
      <c r="AN88" s="579"/>
      <c r="AO88" s="577"/>
      <c r="AP88" s="579"/>
      <c r="AQ88" s="580"/>
      <c r="AR88" s="579"/>
      <c r="AS88" s="579"/>
      <c r="AT88" s="579"/>
      <c r="AU88" s="580"/>
      <c r="AV88" s="579"/>
      <c r="AW88" s="579"/>
      <c r="AX88" s="158"/>
      <c r="AY88" s="154"/>
      <c r="AZ88">
        <f ca="1">INDIRECT(ADDRESS(ROW()+1,COLUMN(Arbeitszeit!xDay),,,"Arbeitszeit"))</f>
        <v>6</v>
      </c>
    </row>
    <row r="89" spans="1:52">
      <c r="A89" s="520">
        <f>Arbeitszeit!A90</f>
        <v>43549</v>
      </c>
      <c r="B89" s="521">
        <f t="shared" si="4"/>
        <v>43549</v>
      </c>
      <c r="C89" s="191">
        <f t="shared" si="5"/>
        <v>12</v>
      </c>
      <c r="D89" s="190">
        <f t="shared" si="6"/>
        <v>43524</v>
      </c>
      <c r="E89" s="589">
        <f>Arbeitszeit!V90*24</f>
        <v>0</v>
      </c>
      <c r="F89" s="349">
        <f t="shared" si="7"/>
        <v>0</v>
      </c>
      <c r="G89" s="155">
        <f>IF(Arbeitszeit!F90=Urlaub,B_WorkTime*24,)</f>
        <v>0</v>
      </c>
      <c r="H89" s="153"/>
      <c r="I89" s="155">
        <f>IF(Arbeitszeit!F90=Krank,B_WorkTime*24,)</f>
        <v>0</v>
      </c>
      <c r="J89" s="153"/>
      <c r="K89" s="156"/>
      <c r="L89" s="157"/>
      <c r="M89" s="577"/>
      <c r="N89" s="578"/>
      <c r="O89" s="577"/>
      <c r="P89" s="578"/>
      <c r="Q89" s="577"/>
      <c r="R89" s="578"/>
      <c r="S89" s="577"/>
      <c r="T89" s="578"/>
      <c r="U89" s="577"/>
      <c r="V89" s="578"/>
      <c r="W89" s="577"/>
      <c r="X89" s="578"/>
      <c r="Y89" s="577"/>
      <c r="Z89" s="578"/>
      <c r="AA89" s="577"/>
      <c r="AB89" s="578"/>
      <c r="AC89" s="577"/>
      <c r="AD89" s="578"/>
      <c r="AE89" s="577"/>
      <c r="AF89" s="579"/>
      <c r="AG89" s="577"/>
      <c r="AH89" s="579"/>
      <c r="AI89" s="577"/>
      <c r="AJ89" s="579"/>
      <c r="AK89" s="577"/>
      <c r="AL89" s="579"/>
      <c r="AM89" s="580"/>
      <c r="AN89" s="579"/>
      <c r="AO89" s="577"/>
      <c r="AP89" s="579"/>
      <c r="AQ89" s="580"/>
      <c r="AR89" s="579"/>
      <c r="AS89" s="579"/>
      <c r="AT89" s="579"/>
      <c r="AU89" s="580"/>
      <c r="AV89" s="579"/>
      <c r="AW89" s="579"/>
      <c r="AX89" s="158"/>
      <c r="AY89" s="154"/>
      <c r="AZ89">
        <f ca="1">INDIRECT(ADDRESS(ROW()+1,COLUMN(Arbeitszeit!xDay),,,"Arbeitszeit"))</f>
        <v>7</v>
      </c>
    </row>
    <row r="90" spans="1:52">
      <c r="A90" s="520">
        <f>Arbeitszeit!A91</f>
        <v>43550</v>
      </c>
      <c r="B90" s="521">
        <f t="shared" si="4"/>
        <v>43550</v>
      </c>
      <c r="C90" s="191">
        <f t="shared" si="5"/>
        <v>13</v>
      </c>
      <c r="D90" s="190">
        <f t="shared" si="6"/>
        <v>43524</v>
      </c>
      <c r="E90" s="589">
        <f>Arbeitszeit!V91*24</f>
        <v>0</v>
      </c>
      <c r="F90" s="349">
        <f t="shared" si="7"/>
        <v>0</v>
      </c>
      <c r="G90" s="155">
        <f>IF(Arbeitszeit!F91=Urlaub,B_WorkTime*24,)</f>
        <v>0</v>
      </c>
      <c r="H90" s="153"/>
      <c r="I90" s="155">
        <f>IF(Arbeitszeit!F91=Krank,B_WorkTime*24,)</f>
        <v>0</v>
      </c>
      <c r="J90" s="153"/>
      <c r="K90" s="156"/>
      <c r="L90" s="157"/>
      <c r="M90" s="577"/>
      <c r="N90" s="578"/>
      <c r="O90" s="577"/>
      <c r="P90" s="578"/>
      <c r="Q90" s="577"/>
      <c r="R90" s="578"/>
      <c r="S90" s="577"/>
      <c r="T90" s="578"/>
      <c r="U90" s="577"/>
      <c r="V90" s="578"/>
      <c r="W90" s="577"/>
      <c r="X90" s="578"/>
      <c r="Y90" s="577"/>
      <c r="Z90" s="578"/>
      <c r="AA90" s="577"/>
      <c r="AB90" s="578"/>
      <c r="AC90" s="577"/>
      <c r="AD90" s="578"/>
      <c r="AE90" s="577"/>
      <c r="AF90" s="579"/>
      <c r="AG90" s="577"/>
      <c r="AH90" s="579"/>
      <c r="AI90" s="577"/>
      <c r="AJ90" s="579"/>
      <c r="AK90" s="577"/>
      <c r="AL90" s="579"/>
      <c r="AM90" s="580"/>
      <c r="AN90" s="579"/>
      <c r="AO90" s="577"/>
      <c r="AP90" s="579"/>
      <c r="AQ90" s="580"/>
      <c r="AR90" s="579"/>
      <c r="AS90" s="579"/>
      <c r="AT90" s="579"/>
      <c r="AU90" s="580"/>
      <c r="AV90" s="579"/>
      <c r="AW90" s="579"/>
      <c r="AX90" s="158"/>
      <c r="AY90" s="154"/>
      <c r="AZ90">
        <f ca="1">INDIRECT(ADDRESS(ROW()+1,COLUMN(Arbeitszeit!xDay),,,"Arbeitszeit"))</f>
        <v>1</v>
      </c>
    </row>
    <row r="91" spans="1:52">
      <c r="A91" s="520">
        <f>Arbeitszeit!A92</f>
        <v>43551</v>
      </c>
      <c r="B91" s="521">
        <f t="shared" si="4"/>
        <v>43551</v>
      </c>
      <c r="C91" s="191">
        <f t="shared" si="5"/>
        <v>13</v>
      </c>
      <c r="D91" s="190">
        <f t="shared" si="6"/>
        <v>43524</v>
      </c>
      <c r="E91" s="589">
        <f>Arbeitszeit!V92*24</f>
        <v>0</v>
      </c>
      <c r="F91" s="349">
        <f t="shared" si="7"/>
        <v>0</v>
      </c>
      <c r="G91" s="155">
        <f>IF(Arbeitszeit!F92=Urlaub,B_WorkTime*24,)</f>
        <v>0</v>
      </c>
      <c r="H91" s="153"/>
      <c r="I91" s="155">
        <f>IF(Arbeitszeit!F92=Krank,B_WorkTime*24,)</f>
        <v>0</v>
      </c>
      <c r="J91" s="153"/>
      <c r="K91" s="156"/>
      <c r="L91" s="157"/>
      <c r="M91" s="577"/>
      <c r="N91" s="578"/>
      <c r="O91" s="577"/>
      <c r="P91" s="578"/>
      <c r="Q91" s="577"/>
      <c r="R91" s="578"/>
      <c r="S91" s="577"/>
      <c r="T91" s="578"/>
      <c r="U91" s="577"/>
      <c r="V91" s="578"/>
      <c r="W91" s="577"/>
      <c r="X91" s="578"/>
      <c r="Y91" s="577"/>
      <c r="Z91" s="578"/>
      <c r="AA91" s="577"/>
      <c r="AB91" s="578"/>
      <c r="AC91" s="577"/>
      <c r="AD91" s="578"/>
      <c r="AE91" s="577"/>
      <c r="AF91" s="579"/>
      <c r="AG91" s="577"/>
      <c r="AH91" s="579"/>
      <c r="AI91" s="577"/>
      <c r="AJ91" s="579"/>
      <c r="AK91" s="577"/>
      <c r="AL91" s="579"/>
      <c r="AM91" s="580"/>
      <c r="AN91" s="579"/>
      <c r="AO91" s="577"/>
      <c r="AP91" s="579"/>
      <c r="AQ91" s="580"/>
      <c r="AR91" s="579"/>
      <c r="AS91" s="579"/>
      <c r="AT91" s="579"/>
      <c r="AU91" s="580"/>
      <c r="AV91" s="579"/>
      <c r="AW91" s="579"/>
      <c r="AX91" s="158"/>
      <c r="AY91" s="154"/>
      <c r="AZ91">
        <f ca="1">INDIRECT(ADDRESS(ROW()+1,COLUMN(Arbeitszeit!xDay),,,"Arbeitszeit"))</f>
        <v>2</v>
      </c>
    </row>
    <row r="92" spans="1:52">
      <c r="A92" s="520">
        <f>Arbeitszeit!A93</f>
        <v>43552</v>
      </c>
      <c r="B92" s="521">
        <f t="shared" si="4"/>
        <v>43552</v>
      </c>
      <c r="C92" s="191">
        <f t="shared" si="5"/>
        <v>13</v>
      </c>
      <c r="D92" s="190">
        <f t="shared" si="6"/>
        <v>43524</v>
      </c>
      <c r="E92" s="589">
        <f>Arbeitszeit!V93*24</f>
        <v>0</v>
      </c>
      <c r="F92" s="349">
        <f t="shared" si="7"/>
        <v>0</v>
      </c>
      <c r="G92" s="155">
        <f>IF(Arbeitszeit!F93=Urlaub,B_WorkTime*24,)</f>
        <v>0</v>
      </c>
      <c r="H92" s="153"/>
      <c r="I92" s="155">
        <f>IF(Arbeitszeit!F93=Krank,B_WorkTime*24,)</f>
        <v>0</v>
      </c>
      <c r="J92" s="153"/>
      <c r="K92" s="156"/>
      <c r="L92" s="157"/>
      <c r="M92" s="577"/>
      <c r="N92" s="578"/>
      <c r="O92" s="577"/>
      <c r="P92" s="578"/>
      <c r="Q92" s="577"/>
      <c r="R92" s="578"/>
      <c r="S92" s="577"/>
      <c r="T92" s="578"/>
      <c r="U92" s="577"/>
      <c r="V92" s="578"/>
      <c r="W92" s="577"/>
      <c r="X92" s="578"/>
      <c r="Y92" s="577"/>
      <c r="Z92" s="578"/>
      <c r="AA92" s="577"/>
      <c r="AB92" s="578"/>
      <c r="AC92" s="577"/>
      <c r="AD92" s="578"/>
      <c r="AE92" s="577"/>
      <c r="AF92" s="579"/>
      <c r="AG92" s="577"/>
      <c r="AH92" s="579"/>
      <c r="AI92" s="577"/>
      <c r="AJ92" s="579"/>
      <c r="AK92" s="577"/>
      <c r="AL92" s="579"/>
      <c r="AM92" s="580"/>
      <c r="AN92" s="579"/>
      <c r="AO92" s="577"/>
      <c r="AP92" s="579"/>
      <c r="AQ92" s="580"/>
      <c r="AR92" s="579"/>
      <c r="AS92" s="579"/>
      <c r="AT92" s="579"/>
      <c r="AU92" s="580"/>
      <c r="AV92" s="579"/>
      <c r="AW92" s="579"/>
      <c r="AX92" s="158"/>
      <c r="AY92" s="154"/>
      <c r="AZ92">
        <f ca="1">INDIRECT(ADDRESS(ROW()+1,COLUMN(Arbeitszeit!xDay),,,"Arbeitszeit"))</f>
        <v>3</v>
      </c>
    </row>
    <row r="93" spans="1:52">
      <c r="A93" s="520">
        <f>Arbeitszeit!A94</f>
        <v>43553</v>
      </c>
      <c r="B93" s="521">
        <f t="shared" si="4"/>
        <v>43553</v>
      </c>
      <c r="C93" s="191">
        <f t="shared" si="5"/>
        <v>13</v>
      </c>
      <c r="D93" s="190">
        <f t="shared" si="6"/>
        <v>43524</v>
      </c>
      <c r="E93" s="589">
        <f>Arbeitszeit!V94*24</f>
        <v>0</v>
      </c>
      <c r="F93" s="349">
        <f t="shared" si="7"/>
        <v>0</v>
      </c>
      <c r="G93" s="155">
        <f>IF(Arbeitszeit!F94=Urlaub,B_WorkTime*24,)</f>
        <v>0</v>
      </c>
      <c r="H93" s="153"/>
      <c r="I93" s="155">
        <f>IF(Arbeitszeit!F94=Krank,B_WorkTime*24,)</f>
        <v>0</v>
      </c>
      <c r="J93" s="153"/>
      <c r="K93" s="156"/>
      <c r="L93" s="157"/>
      <c r="M93" s="577"/>
      <c r="N93" s="578"/>
      <c r="O93" s="577"/>
      <c r="P93" s="578"/>
      <c r="Q93" s="577"/>
      <c r="R93" s="578"/>
      <c r="S93" s="577"/>
      <c r="T93" s="578"/>
      <c r="U93" s="577"/>
      <c r="V93" s="578"/>
      <c r="W93" s="577"/>
      <c r="X93" s="578"/>
      <c r="Y93" s="577"/>
      <c r="Z93" s="578"/>
      <c r="AA93" s="577"/>
      <c r="AB93" s="578"/>
      <c r="AC93" s="577"/>
      <c r="AD93" s="578"/>
      <c r="AE93" s="577"/>
      <c r="AF93" s="579"/>
      <c r="AG93" s="577"/>
      <c r="AH93" s="579"/>
      <c r="AI93" s="577"/>
      <c r="AJ93" s="579"/>
      <c r="AK93" s="577"/>
      <c r="AL93" s="579"/>
      <c r="AM93" s="580"/>
      <c r="AN93" s="579"/>
      <c r="AO93" s="577"/>
      <c r="AP93" s="579"/>
      <c r="AQ93" s="580"/>
      <c r="AR93" s="579"/>
      <c r="AS93" s="579"/>
      <c r="AT93" s="579"/>
      <c r="AU93" s="580"/>
      <c r="AV93" s="579"/>
      <c r="AW93" s="579"/>
      <c r="AX93" s="158"/>
      <c r="AY93" s="154"/>
      <c r="AZ93">
        <f ca="1">INDIRECT(ADDRESS(ROW()+1,COLUMN(Arbeitszeit!xDay),,,"Arbeitszeit"))</f>
        <v>4</v>
      </c>
    </row>
    <row r="94" spans="1:52">
      <c r="A94" s="520">
        <f>Arbeitszeit!A95</f>
        <v>43554</v>
      </c>
      <c r="B94" s="521">
        <f t="shared" si="4"/>
        <v>43554</v>
      </c>
      <c r="C94" s="191">
        <f t="shared" si="5"/>
        <v>13</v>
      </c>
      <c r="D94" s="190">
        <f t="shared" si="6"/>
        <v>43524</v>
      </c>
      <c r="E94" s="589">
        <f>Arbeitszeit!V95*24</f>
        <v>0</v>
      </c>
      <c r="F94" s="349">
        <f t="shared" si="7"/>
        <v>0</v>
      </c>
      <c r="G94" s="155">
        <f>IF(Arbeitszeit!F95=Urlaub,B_WorkTime*24,)</f>
        <v>0</v>
      </c>
      <c r="H94" s="153"/>
      <c r="I94" s="155">
        <f>IF(Arbeitszeit!F95=Krank,B_WorkTime*24,)</f>
        <v>0</v>
      </c>
      <c r="J94" s="153"/>
      <c r="K94" s="156"/>
      <c r="L94" s="157"/>
      <c r="M94" s="577"/>
      <c r="N94" s="578"/>
      <c r="O94" s="577"/>
      <c r="P94" s="578"/>
      <c r="Q94" s="577"/>
      <c r="R94" s="578"/>
      <c r="S94" s="577"/>
      <c r="T94" s="578"/>
      <c r="U94" s="577"/>
      <c r="V94" s="578"/>
      <c r="W94" s="577"/>
      <c r="X94" s="578"/>
      <c r="Y94" s="577"/>
      <c r="Z94" s="578"/>
      <c r="AA94" s="577"/>
      <c r="AB94" s="578"/>
      <c r="AC94" s="577"/>
      <c r="AD94" s="578"/>
      <c r="AE94" s="577"/>
      <c r="AF94" s="579"/>
      <c r="AG94" s="577"/>
      <c r="AH94" s="579"/>
      <c r="AI94" s="577"/>
      <c r="AJ94" s="579"/>
      <c r="AK94" s="577"/>
      <c r="AL94" s="579"/>
      <c r="AM94" s="580"/>
      <c r="AN94" s="579"/>
      <c r="AO94" s="577"/>
      <c r="AP94" s="579"/>
      <c r="AQ94" s="580"/>
      <c r="AR94" s="579"/>
      <c r="AS94" s="579"/>
      <c r="AT94" s="579"/>
      <c r="AU94" s="580"/>
      <c r="AV94" s="579"/>
      <c r="AW94" s="579"/>
      <c r="AX94" s="158"/>
      <c r="AY94" s="154"/>
      <c r="AZ94">
        <f ca="1">INDIRECT(ADDRESS(ROW()+1,COLUMN(Arbeitszeit!xDay),,,"Arbeitszeit"))</f>
        <v>5</v>
      </c>
    </row>
    <row r="95" spans="1:52">
      <c r="A95" s="520">
        <f>Arbeitszeit!A96</f>
        <v>43555</v>
      </c>
      <c r="B95" s="521">
        <f t="shared" si="4"/>
        <v>43555</v>
      </c>
      <c r="C95" s="191">
        <f t="shared" si="5"/>
        <v>13</v>
      </c>
      <c r="D95" s="190">
        <f t="shared" si="6"/>
        <v>43555</v>
      </c>
      <c r="E95" s="589">
        <f>Arbeitszeit!V96*24</f>
        <v>0</v>
      </c>
      <c r="F95" s="349">
        <f t="shared" si="7"/>
        <v>0</v>
      </c>
      <c r="G95" s="155">
        <f>IF(Arbeitszeit!F96=Urlaub,B_WorkTime*24,)</f>
        <v>0</v>
      </c>
      <c r="H95" s="153"/>
      <c r="I95" s="155">
        <f>IF(Arbeitszeit!F96=Krank,B_WorkTime*24,)</f>
        <v>0</v>
      </c>
      <c r="J95" s="153"/>
      <c r="K95" s="156"/>
      <c r="L95" s="157"/>
      <c r="M95" s="577"/>
      <c r="N95" s="578"/>
      <c r="O95" s="577"/>
      <c r="P95" s="578"/>
      <c r="Q95" s="577"/>
      <c r="R95" s="578"/>
      <c r="S95" s="577"/>
      <c r="T95" s="578"/>
      <c r="U95" s="577"/>
      <c r="V95" s="578"/>
      <c r="W95" s="577"/>
      <c r="X95" s="578"/>
      <c r="Y95" s="577"/>
      <c r="Z95" s="578"/>
      <c r="AA95" s="577"/>
      <c r="AB95" s="578"/>
      <c r="AC95" s="577"/>
      <c r="AD95" s="578"/>
      <c r="AE95" s="577"/>
      <c r="AF95" s="579"/>
      <c r="AG95" s="577"/>
      <c r="AH95" s="579"/>
      <c r="AI95" s="577"/>
      <c r="AJ95" s="579"/>
      <c r="AK95" s="577"/>
      <c r="AL95" s="579"/>
      <c r="AM95" s="580"/>
      <c r="AN95" s="579"/>
      <c r="AO95" s="577"/>
      <c r="AP95" s="579"/>
      <c r="AQ95" s="580"/>
      <c r="AR95" s="579"/>
      <c r="AS95" s="579"/>
      <c r="AT95" s="579"/>
      <c r="AU95" s="580"/>
      <c r="AV95" s="579"/>
      <c r="AW95" s="579"/>
      <c r="AX95" s="158"/>
      <c r="AY95" s="154"/>
      <c r="AZ95">
        <f ca="1">INDIRECT(ADDRESS(ROW()+1,COLUMN(Arbeitszeit!xDay),,,"Arbeitszeit"))</f>
        <v>6</v>
      </c>
    </row>
    <row r="96" spans="1:52">
      <c r="A96" s="520">
        <f>Arbeitszeit!A97</f>
        <v>43556</v>
      </c>
      <c r="B96" s="521">
        <f t="shared" si="4"/>
        <v>43556</v>
      </c>
      <c r="C96" s="191">
        <f t="shared" si="5"/>
        <v>13</v>
      </c>
      <c r="D96" s="190">
        <f t="shared" si="6"/>
        <v>43555</v>
      </c>
      <c r="E96" s="589">
        <f>Arbeitszeit!V97*24</f>
        <v>0</v>
      </c>
      <c r="F96" s="349">
        <f t="shared" si="7"/>
        <v>0</v>
      </c>
      <c r="G96" s="155">
        <f>IF(Arbeitszeit!F97=Urlaub,B_WorkTime*24,)</f>
        <v>0</v>
      </c>
      <c r="H96" s="153"/>
      <c r="I96" s="155">
        <f>IF(Arbeitszeit!F97=Krank,B_WorkTime*24,)</f>
        <v>0</v>
      </c>
      <c r="J96" s="153"/>
      <c r="K96" s="156"/>
      <c r="L96" s="157"/>
      <c r="M96" s="577"/>
      <c r="N96" s="578"/>
      <c r="O96" s="577"/>
      <c r="P96" s="578"/>
      <c r="Q96" s="577"/>
      <c r="R96" s="578"/>
      <c r="S96" s="577"/>
      <c r="T96" s="578"/>
      <c r="U96" s="577"/>
      <c r="V96" s="578"/>
      <c r="W96" s="577"/>
      <c r="X96" s="578"/>
      <c r="Y96" s="577"/>
      <c r="Z96" s="578"/>
      <c r="AA96" s="577"/>
      <c r="AB96" s="578"/>
      <c r="AC96" s="577"/>
      <c r="AD96" s="578"/>
      <c r="AE96" s="577"/>
      <c r="AF96" s="579"/>
      <c r="AG96" s="577"/>
      <c r="AH96" s="579"/>
      <c r="AI96" s="577"/>
      <c r="AJ96" s="579"/>
      <c r="AK96" s="577"/>
      <c r="AL96" s="579"/>
      <c r="AM96" s="580"/>
      <c r="AN96" s="579"/>
      <c r="AO96" s="577"/>
      <c r="AP96" s="579"/>
      <c r="AQ96" s="580"/>
      <c r="AR96" s="579"/>
      <c r="AS96" s="579"/>
      <c r="AT96" s="579"/>
      <c r="AU96" s="580"/>
      <c r="AV96" s="579"/>
      <c r="AW96" s="579"/>
      <c r="AX96" s="158"/>
      <c r="AY96" s="154"/>
      <c r="AZ96">
        <f ca="1">INDIRECT(ADDRESS(ROW()+1,COLUMN(Arbeitszeit!xDay),,,"Arbeitszeit"))</f>
        <v>7</v>
      </c>
    </row>
    <row r="97" spans="1:52">
      <c r="A97" s="520">
        <f>Arbeitszeit!A98</f>
        <v>43557</v>
      </c>
      <c r="B97" s="521">
        <f t="shared" si="4"/>
        <v>43557</v>
      </c>
      <c r="C97" s="191">
        <f t="shared" si="5"/>
        <v>14</v>
      </c>
      <c r="D97" s="190">
        <f t="shared" si="6"/>
        <v>43555</v>
      </c>
      <c r="E97" s="589">
        <f>Arbeitszeit!V98*24</f>
        <v>0</v>
      </c>
      <c r="F97" s="349">
        <f t="shared" si="7"/>
        <v>0</v>
      </c>
      <c r="G97" s="155">
        <f>IF(Arbeitszeit!F98=Urlaub,B_WorkTime*24,)</f>
        <v>0</v>
      </c>
      <c r="H97" s="153"/>
      <c r="I97" s="155">
        <f>IF(Arbeitszeit!F98=Krank,B_WorkTime*24,)</f>
        <v>0</v>
      </c>
      <c r="J97" s="153"/>
      <c r="K97" s="156"/>
      <c r="L97" s="157"/>
      <c r="M97" s="577"/>
      <c r="N97" s="578"/>
      <c r="O97" s="577"/>
      <c r="P97" s="578"/>
      <c r="Q97" s="577"/>
      <c r="R97" s="578"/>
      <c r="S97" s="577"/>
      <c r="T97" s="578"/>
      <c r="U97" s="577"/>
      <c r="V97" s="578"/>
      <c r="W97" s="577"/>
      <c r="X97" s="578"/>
      <c r="Y97" s="577"/>
      <c r="Z97" s="578"/>
      <c r="AA97" s="577"/>
      <c r="AB97" s="578"/>
      <c r="AC97" s="577"/>
      <c r="AD97" s="578"/>
      <c r="AE97" s="577"/>
      <c r="AF97" s="579"/>
      <c r="AG97" s="577"/>
      <c r="AH97" s="579"/>
      <c r="AI97" s="577"/>
      <c r="AJ97" s="579"/>
      <c r="AK97" s="577"/>
      <c r="AL97" s="579"/>
      <c r="AM97" s="580"/>
      <c r="AN97" s="579"/>
      <c r="AO97" s="577"/>
      <c r="AP97" s="579"/>
      <c r="AQ97" s="580"/>
      <c r="AR97" s="579"/>
      <c r="AS97" s="579"/>
      <c r="AT97" s="579"/>
      <c r="AU97" s="580"/>
      <c r="AV97" s="579"/>
      <c r="AW97" s="579"/>
      <c r="AX97" s="158"/>
      <c r="AY97" s="154"/>
      <c r="AZ97">
        <f ca="1">INDIRECT(ADDRESS(ROW()+1,COLUMN(Arbeitszeit!xDay),,,"Arbeitszeit"))</f>
        <v>1</v>
      </c>
    </row>
    <row r="98" spans="1:52">
      <c r="A98" s="520">
        <f>Arbeitszeit!A99</f>
        <v>43558</v>
      </c>
      <c r="B98" s="521">
        <f t="shared" si="4"/>
        <v>43558</v>
      </c>
      <c r="C98" s="191">
        <f t="shared" si="5"/>
        <v>14</v>
      </c>
      <c r="D98" s="190">
        <f t="shared" si="6"/>
        <v>43555</v>
      </c>
      <c r="E98" s="589">
        <f>Arbeitszeit!V99*24</f>
        <v>0</v>
      </c>
      <c r="F98" s="349">
        <f t="shared" si="7"/>
        <v>0</v>
      </c>
      <c r="G98" s="155">
        <f>IF(Arbeitszeit!F99=Urlaub,B_WorkTime*24,)</f>
        <v>0</v>
      </c>
      <c r="H98" s="153"/>
      <c r="I98" s="155">
        <f>IF(Arbeitszeit!F99=Krank,B_WorkTime*24,)</f>
        <v>0</v>
      </c>
      <c r="J98" s="153"/>
      <c r="K98" s="156"/>
      <c r="L98" s="157"/>
      <c r="M98" s="577"/>
      <c r="N98" s="578"/>
      <c r="O98" s="577"/>
      <c r="P98" s="578"/>
      <c r="Q98" s="577"/>
      <c r="R98" s="578"/>
      <c r="S98" s="577"/>
      <c r="T98" s="578"/>
      <c r="U98" s="577"/>
      <c r="V98" s="578"/>
      <c r="W98" s="577"/>
      <c r="X98" s="578"/>
      <c r="Y98" s="577"/>
      <c r="Z98" s="578"/>
      <c r="AA98" s="577"/>
      <c r="AB98" s="578"/>
      <c r="AC98" s="577"/>
      <c r="AD98" s="578"/>
      <c r="AE98" s="577"/>
      <c r="AF98" s="579"/>
      <c r="AG98" s="577"/>
      <c r="AH98" s="579"/>
      <c r="AI98" s="577"/>
      <c r="AJ98" s="579"/>
      <c r="AK98" s="577"/>
      <c r="AL98" s="579"/>
      <c r="AM98" s="580"/>
      <c r="AN98" s="579"/>
      <c r="AO98" s="577"/>
      <c r="AP98" s="579"/>
      <c r="AQ98" s="580"/>
      <c r="AR98" s="579"/>
      <c r="AS98" s="579"/>
      <c r="AT98" s="579"/>
      <c r="AU98" s="580"/>
      <c r="AV98" s="579"/>
      <c r="AW98" s="579"/>
      <c r="AX98" s="158"/>
      <c r="AY98" s="154"/>
      <c r="AZ98">
        <f ca="1">INDIRECT(ADDRESS(ROW()+1,COLUMN(Arbeitszeit!xDay),,,"Arbeitszeit"))</f>
        <v>2</v>
      </c>
    </row>
    <row r="99" spans="1:52">
      <c r="A99" s="520">
        <f>Arbeitszeit!A100</f>
        <v>43559</v>
      </c>
      <c r="B99" s="521">
        <f t="shared" si="4"/>
        <v>43559</v>
      </c>
      <c r="C99" s="191">
        <f t="shared" si="5"/>
        <v>14</v>
      </c>
      <c r="D99" s="190">
        <f t="shared" si="6"/>
        <v>43555</v>
      </c>
      <c r="E99" s="589">
        <f>Arbeitszeit!V100*24</f>
        <v>0</v>
      </c>
      <c r="F99" s="349">
        <f t="shared" si="7"/>
        <v>0</v>
      </c>
      <c r="G99" s="155">
        <f>IF(Arbeitszeit!F100=Urlaub,B_WorkTime*24,)</f>
        <v>0</v>
      </c>
      <c r="H99" s="153"/>
      <c r="I99" s="155">
        <f>IF(Arbeitszeit!F100=Krank,B_WorkTime*24,)</f>
        <v>0</v>
      </c>
      <c r="J99" s="153"/>
      <c r="K99" s="156"/>
      <c r="L99" s="157"/>
      <c r="M99" s="577"/>
      <c r="N99" s="578"/>
      <c r="O99" s="577"/>
      <c r="P99" s="578"/>
      <c r="Q99" s="577"/>
      <c r="R99" s="578"/>
      <c r="S99" s="577"/>
      <c r="T99" s="578"/>
      <c r="U99" s="577"/>
      <c r="V99" s="578"/>
      <c r="W99" s="577"/>
      <c r="X99" s="578"/>
      <c r="Y99" s="577"/>
      <c r="Z99" s="578"/>
      <c r="AA99" s="577"/>
      <c r="AB99" s="578"/>
      <c r="AC99" s="577"/>
      <c r="AD99" s="578"/>
      <c r="AE99" s="577"/>
      <c r="AF99" s="579"/>
      <c r="AG99" s="577"/>
      <c r="AH99" s="579"/>
      <c r="AI99" s="577"/>
      <c r="AJ99" s="579"/>
      <c r="AK99" s="577"/>
      <c r="AL99" s="579"/>
      <c r="AM99" s="580"/>
      <c r="AN99" s="579"/>
      <c r="AO99" s="577"/>
      <c r="AP99" s="579"/>
      <c r="AQ99" s="580"/>
      <c r="AR99" s="579"/>
      <c r="AS99" s="579"/>
      <c r="AT99" s="579"/>
      <c r="AU99" s="580"/>
      <c r="AV99" s="579"/>
      <c r="AW99" s="579"/>
      <c r="AX99" s="158"/>
      <c r="AY99" s="154"/>
      <c r="AZ99">
        <f ca="1">INDIRECT(ADDRESS(ROW()+1,COLUMN(Arbeitszeit!xDay),,,"Arbeitszeit"))</f>
        <v>3</v>
      </c>
    </row>
    <row r="100" spans="1:52">
      <c r="A100" s="520">
        <f>Arbeitszeit!A101</f>
        <v>43560</v>
      </c>
      <c r="B100" s="521">
        <f t="shared" si="4"/>
        <v>43560</v>
      </c>
      <c r="C100" s="191">
        <f t="shared" si="5"/>
        <v>14</v>
      </c>
      <c r="D100" s="190">
        <f t="shared" si="6"/>
        <v>43555</v>
      </c>
      <c r="E100" s="589">
        <f>Arbeitszeit!V101*24</f>
        <v>0</v>
      </c>
      <c r="F100" s="349">
        <f t="shared" si="7"/>
        <v>0</v>
      </c>
      <c r="G100" s="155">
        <f>IF(Arbeitszeit!F101=Urlaub,B_WorkTime*24,)</f>
        <v>0</v>
      </c>
      <c r="H100" s="153"/>
      <c r="I100" s="155">
        <f>IF(Arbeitszeit!F101=Krank,B_WorkTime*24,)</f>
        <v>0</v>
      </c>
      <c r="J100" s="153"/>
      <c r="K100" s="156"/>
      <c r="L100" s="157"/>
      <c r="M100" s="577"/>
      <c r="N100" s="578"/>
      <c r="O100" s="577"/>
      <c r="P100" s="578"/>
      <c r="Q100" s="577"/>
      <c r="R100" s="578"/>
      <c r="S100" s="577"/>
      <c r="T100" s="578"/>
      <c r="U100" s="577"/>
      <c r="V100" s="578"/>
      <c r="W100" s="577"/>
      <c r="X100" s="578"/>
      <c r="Y100" s="577"/>
      <c r="Z100" s="578"/>
      <c r="AA100" s="577"/>
      <c r="AB100" s="578"/>
      <c r="AC100" s="577"/>
      <c r="AD100" s="578"/>
      <c r="AE100" s="577"/>
      <c r="AF100" s="579"/>
      <c r="AG100" s="577"/>
      <c r="AH100" s="579"/>
      <c r="AI100" s="577"/>
      <c r="AJ100" s="579"/>
      <c r="AK100" s="577"/>
      <c r="AL100" s="579"/>
      <c r="AM100" s="580"/>
      <c r="AN100" s="579"/>
      <c r="AO100" s="577"/>
      <c r="AP100" s="579"/>
      <c r="AQ100" s="580"/>
      <c r="AR100" s="579"/>
      <c r="AS100" s="579"/>
      <c r="AT100" s="579"/>
      <c r="AU100" s="580"/>
      <c r="AV100" s="579"/>
      <c r="AW100" s="579"/>
      <c r="AX100" s="158"/>
      <c r="AY100" s="154"/>
      <c r="AZ100">
        <f ca="1">INDIRECT(ADDRESS(ROW()+1,COLUMN(Arbeitszeit!xDay),,,"Arbeitszeit"))</f>
        <v>4</v>
      </c>
    </row>
    <row r="101" spans="1:52">
      <c r="A101" s="520">
        <f>Arbeitszeit!A102</f>
        <v>43561</v>
      </c>
      <c r="B101" s="521">
        <f t="shared" si="4"/>
        <v>43561</v>
      </c>
      <c r="C101" s="191">
        <f t="shared" si="5"/>
        <v>14</v>
      </c>
      <c r="D101" s="190">
        <f t="shared" si="6"/>
        <v>43555</v>
      </c>
      <c r="E101" s="589">
        <f>Arbeitszeit!V102*24</f>
        <v>0</v>
      </c>
      <c r="F101" s="349">
        <f t="shared" si="7"/>
        <v>0</v>
      </c>
      <c r="G101" s="155">
        <f>IF(Arbeitszeit!F102=Urlaub,B_WorkTime*24,)</f>
        <v>0</v>
      </c>
      <c r="H101" s="153"/>
      <c r="I101" s="155">
        <f>IF(Arbeitszeit!F102=Krank,B_WorkTime*24,)</f>
        <v>0</v>
      </c>
      <c r="J101" s="153"/>
      <c r="K101" s="156"/>
      <c r="L101" s="157"/>
      <c r="M101" s="577"/>
      <c r="N101" s="578"/>
      <c r="O101" s="577"/>
      <c r="P101" s="578"/>
      <c r="Q101" s="577"/>
      <c r="R101" s="578"/>
      <c r="S101" s="577"/>
      <c r="T101" s="578"/>
      <c r="U101" s="577"/>
      <c r="V101" s="578"/>
      <c r="W101" s="577"/>
      <c r="X101" s="578"/>
      <c r="Y101" s="577"/>
      <c r="Z101" s="578"/>
      <c r="AA101" s="577"/>
      <c r="AB101" s="578"/>
      <c r="AC101" s="577"/>
      <c r="AD101" s="578"/>
      <c r="AE101" s="577"/>
      <c r="AF101" s="579"/>
      <c r="AG101" s="577"/>
      <c r="AH101" s="579"/>
      <c r="AI101" s="577"/>
      <c r="AJ101" s="579"/>
      <c r="AK101" s="577"/>
      <c r="AL101" s="579"/>
      <c r="AM101" s="580"/>
      <c r="AN101" s="579"/>
      <c r="AO101" s="577"/>
      <c r="AP101" s="579"/>
      <c r="AQ101" s="580"/>
      <c r="AR101" s="579"/>
      <c r="AS101" s="579"/>
      <c r="AT101" s="579"/>
      <c r="AU101" s="580"/>
      <c r="AV101" s="579"/>
      <c r="AW101" s="579"/>
      <c r="AX101" s="158"/>
      <c r="AY101" s="154"/>
      <c r="AZ101">
        <f ca="1">INDIRECT(ADDRESS(ROW()+1,COLUMN(Arbeitszeit!xDay),,,"Arbeitszeit"))</f>
        <v>8</v>
      </c>
    </row>
    <row r="102" spans="1:52">
      <c r="A102" s="520">
        <f>Arbeitszeit!A103</f>
        <v>43562</v>
      </c>
      <c r="B102" s="521">
        <f t="shared" si="4"/>
        <v>43562</v>
      </c>
      <c r="C102" s="191">
        <f t="shared" si="5"/>
        <v>14</v>
      </c>
      <c r="D102" s="190">
        <f t="shared" si="6"/>
        <v>43555</v>
      </c>
      <c r="E102" s="589">
        <f>Arbeitszeit!V103*24</f>
        <v>0</v>
      </c>
      <c r="F102" s="349">
        <f t="shared" si="7"/>
        <v>0</v>
      </c>
      <c r="G102" s="155">
        <f>IF(Arbeitszeit!F103=Urlaub,B_WorkTime*24,)</f>
        <v>0</v>
      </c>
      <c r="H102" s="153"/>
      <c r="I102" s="155">
        <f>IF(Arbeitszeit!F103=Krank,B_WorkTime*24,)</f>
        <v>0</v>
      </c>
      <c r="J102" s="153"/>
      <c r="K102" s="156"/>
      <c r="L102" s="157"/>
      <c r="M102" s="577"/>
      <c r="N102" s="578"/>
      <c r="O102" s="577"/>
      <c r="P102" s="578"/>
      <c r="Q102" s="577"/>
      <c r="R102" s="578"/>
      <c r="S102" s="577"/>
      <c r="T102" s="578"/>
      <c r="U102" s="577"/>
      <c r="V102" s="578"/>
      <c r="W102" s="577"/>
      <c r="X102" s="578"/>
      <c r="Y102" s="577"/>
      <c r="Z102" s="578"/>
      <c r="AA102" s="577"/>
      <c r="AB102" s="578"/>
      <c r="AC102" s="577"/>
      <c r="AD102" s="578"/>
      <c r="AE102" s="577"/>
      <c r="AF102" s="579"/>
      <c r="AG102" s="577"/>
      <c r="AH102" s="579"/>
      <c r="AI102" s="577"/>
      <c r="AJ102" s="579"/>
      <c r="AK102" s="577"/>
      <c r="AL102" s="579"/>
      <c r="AM102" s="580"/>
      <c r="AN102" s="579"/>
      <c r="AO102" s="577"/>
      <c r="AP102" s="579"/>
      <c r="AQ102" s="580"/>
      <c r="AR102" s="579"/>
      <c r="AS102" s="579"/>
      <c r="AT102" s="579"/>
      <c r="AU102" s="580"/>
      <c r="AV102" s="579"/>
      <c r="AW102" s="579"/>
      <c r="AX102" s="158"/>
      <c r="AY102" s="154"/>
      <c r="AZ102">
        <f ca="1">INDIRECT(ADDRESS(ROW()+1,COLUMN(Arbeitszeit!xDay),,,"Arbeitszeit"))</f>
        <v>6</v>
      </c>
    </row>
    <row r="103" spans="1:52">
      <c r="A103" s="520">
        <f>Arbeitszeit!A104</f>
        <v>43563</v>
      </c>
      <c r="B103" s="521">
        <f t="shared" si="4"/>
        <v>43563</v>
      </c>
      <c r="C103" s="191">
        <f t="shared" si="5"/>
        <v>14</v>
      </c>
      <c r="D103" s="190">
        <f t="shared" si="6"/>
        <v>43555</v>
      </c>
      <c r="E103" s="589">
        <f>Arbeitszeit!V104*24</f>
        <v>0</v>
      </c>
      <c r="F103" s="349">
        <f t="shared" si="7"/>
        <v>0</v>
      </c>
      <c r="G103" s="155">
        <f>IF(Arbeitszeit!F104=Urlaub,B_WorkTime*24,)</f>
        <v>0</v>
      </c>
      <c r="H103" s="153"/>
      <c r="I103" s="155">
        <f>IF(Arbeitszeit!F104=Krank,B_WorkTime*24,)</f>
        <v>0</v>
      </c>
      <c r="J103" s="153"/>
      <c r="K103" s="156"/>
      <c r="L103" s="157"/>
      <c r="M103" s="577"/>
      <c r="N103" s="578"/>
      <c r="O103" s="577"/>
      <c r="P103" s="578"/>
      <c r="Q103" s="577"/>
      <c r="R103" s="578"/>
      <c r="S103" s="577"/>
      <c r="T103" s="578"/>
      <c r="U103" s="577"/>
      <c r="V103" s="578"/>
      <c r="W103" s="577"/>
      <c r="X103" s="578"/>
      <c r="Y103" s="577"/>
      <c r="Z103" s="578"/>
      <c r="AA103" s="577"/>
      <c r="AB103" s="578"/>
      <c r="AC103" s="577"/>
      <c r="AD103" s="578"/>
      <c r="AE103" s="577"/>
      <c r="AF103" s="579"/>
      <c r="AG103" s="577"/>
      <c r="AH103" s="579"/>
      <c r="AI103" s="577"/>
      <c r="AJ103" s="579"/>
      <c r="AK103" s="577"/>
      <c r="AL103" s="579"/>
      <c r="AM103" s="580"/>
      <c r="AN103" s="579"/>
      <c r="AO103" s="577"/>
      <c r="AP103" s="579"/>
      <c r="AQ103" s="580"/>
      <c r="AR103" s="579"/>
      <c r="AS103" s="579"/>
      <c r="AT103" s="579"/>
      <c r="AU103" s="580"/>
      <c r="AV103" s="579"/>
      <c r="AW103" s="579"/>
      <c r="AX103" s="158"/>
      <c r="AY103" s="154"/>
      <c r="AZ103">
        <f ca="1">INDIRECT(ADDRESS(ROW()+1,COLUMN(Arbeitszeit!xDay),,,"Arbeitszeit"))</f>
        <v>8</v>
      </c>
    </row>
    <row r="104" spans="1:52">
      <c r="A104" s="520">
        <f>Arbeitszeit!A105</f>
        <v>43564</v>
      </c>
      <c r="B104" s="521">
        <f t="shared" si="4"/>
        <v>43564</v>
      </c>
      <c r="C104" s="191">
        <f t="shared" si="5"/>
        <v>15</v>
      </c>
      <c r="D104" s="190">
        <f t="shared" si="6"/>
        <v>43555</v>
      </c>
      <c r="E104" s="589">
        <f>Arbeitszeit!V105*24</f>
        <v>0</v>
      </c>
      <c r="F104" s="349">
        <f t="shared" si="7"/>
        <v>0</v>
      </c>
      <c r="G104" s="155">
        <f>IF(Arbeitszeit!F105=Urlaub,B_WorkTime*24,)</f>
        <v>0</v>
      </c>
      <c r="H104" s="153"/>
      <c r="I104" s="155">
        <f>IF(Arbeitszeit!F105=Krank,B_WorkTime*24,)</f>
        <v>0</v>
      </c>
      <c r="J104" s="153"/>
      <c r="K104" s="156"/>
      <c r="L104" s="157"/>
      <c r="M104" s="577"/>
      <c r="N104" s="578"/>
      <c r="O104" s="577"/>
      <c r="P104" s="578"/>
      <c r="Q104" s="577"/>
      <c r="R104" s="578"/>
      <c r="S104" s="577"/>
      <c r="T104" s="578"/>
      <c r="U104" s="577"/>
      <c r="V104" s="578"/>
      <c r="W104" s="577"/>
      <c r="X104" s="578"/>
      <c r="Y104" s="577"/>
      <c r="Z104" s="578"/>
      <c r="AA104" s="577"/>
      <c r="AB104" s="578"/>
      <c r="AC104" s="577"/>
      <c r="AD104" s="578"/>
      <c r="AE104" s="577"/>
      <c r="AF104" s="579"/>
      <c r="AG104" s="577"/>
      <c r="AH104" s="579"/>
      <c r="AI104" s="577"/>
      <c r="AJ104" s="579"/>
      <c r="AK104" s="577"/>
      <c r="AL104" s="579"/>
      <c r="AM104" s="580"/>
      <c r="AN104" s="579"/>
      <c r="AO104" s="577"/>
      <c r="AP104" s="579"/>
      <c r="AQ104" s="580"/>
      <c r="AR104" s="579"/>
      <c r="AS104" s="579"/>
      <c r="AT104" s="579"/>
      <c r="AU104" s="580"/>
      <c r="AV104" s="579"/>
      <c r="AW104" s="579"/>
      <c r="AX104" s="158"/>
      <c r="AY104" s="154"/>
      <c r="AZ104">
        <f ca="1">INDIRECT(ADDRESS(ROW()+1,COLUMN(Arbeitszeit!xDay),,,"Arbeitszeit"))</f>
        <v>8</v>
      </c>
    </row>
    <row r="105" spans="1:52">
      <c r="A105" s="520">
        <f>Arbeitszeit!A106</f>
        <v>43565</v>
      </c>
      <c r="B105" s="521">
        <f t="shared" si="4"/>
        <v>43565</v>
      </c>
      <c r="C105" s="191">
        <f t="shared" si="5"/>
        <v>15</v>
      </c>
      <c r="D105" s="190">
        <f t="shared" si="6"/>
        <v>43555</v>
      </c>
      <c r="E105" s="589">
        <f>Arbeitszeit!V106*24</f>
        <v>0</v>
      </c>
      <c r="F105" s="349">
        <f t="shared" si="7"/>
        <v>0</v>
      </c>
      <c r="G105" s="155">
        <f>IF(Arbeitszeit!F106=Urlaub,B_WorkTime*24,)</f>
        <v>0</v>
      </c>
      <c r="H105" s="153"/>
      <c r="I105" s="155">
        <f>IF(Arbeitszeit!F106=Krank,B_WorkTime*24,)</f>
        <v>0</v>
      </c>
      <c r="J105" s="153"/>
      <c r="K105" s="156"/>
      <c r="L105" s="157"/>
      <c r="M105" s="577"/>
      <c r="N105" s="578"/>
      <c r="O105" s="577"/>
      <c r="P105" s="578"/>
      <c r="Q105" s="577"/>
      <c r="R105" s="578"/>
      <c r="S105" s="577"/>
      <c r="T105" s="578"/>
      <c r="U105" s="577"/>
      <c r="V105" s="578"/>
      <c r="W105" s="577"/>
      <c r="X105" s="578"/>
      <c r="Y105" s="577"/>
      <c r="Z105" s="578"/>
      <c r="AA105" s="577"/>
      <c r="AB105" s="578"/>
      <c r="AC105" s="577"/>
      <c r="AD105" s="578"/>
      <c r="AE105" s="577"/>
      <c r="AF105" s="579"/>
      <c r="AG105" s="577"/>
      <c r="AH105" s="579"/>
      <c r="AI105" s="577"/>
      <c r="AJ105" s="579"/>
      <c r="AK105" s="577"/>
      <c r="AL105" s="579"/>
      <c r="AM105" s="580"/>
      <c r="AN105" s="579"/>
      <c r="AO105" s="577"/>
      <c r="AP105" s="579"/>
      <c r="AQ105" s="580"/>
      <c r="AR105" s="579"/>
      <c r="AS105" s="579"/>
      <c r="AT105" s="579"/>
      <c r="AU105" s="580"/>
      <c r="AV105" s="579"/>
      <c r="AW105" s="579"/>
      <c r="AX105" s="158"/>
      <c r="AY105" s="154"/>
      <c r="AZ105">
        <f ca="1">INDIRECT(ADDRESS(ROW()+1,COLUMN(Arbeitszeit!xDay),,,"Arbeitszeit"))</f>
        <v>2</v>
      </c>
    </row>
    <row r="106" spans="1:52">
      <c r="A106" s="520">
        <f>Arbeitszeit!A107</f>
        <v>43566</v>
      </c>
      <c r="B106" s="521">
        <f t="shared" si="4"/>
        <v>43566</v>
      </c>
      <c r="C106" s="191">
        <f t="shared" si="5"/>
        <v>15</v>
      </c>
      <c r="D106" s="190">
        <f t="shared" si="6"/>
        <v>43555</v>
      </c>
      <c r="E106" s="589">
        <f>Arbeitszeit!V107*24</f>
        <v>0</v>
      </c>
      <c r="F106" s="349">
        <f t="shared" si="7"/>
        <v>0</v>
      </c>
      <c r="G106" s="155">
        <f>IF(Arbeitszeit!F107=Urlaub,B_WorkTime*24,)</f>
        <v>0</v>
      </c>
      <c r="H106" s="153"/>
      <c r="I106" s="155">
        <f>IF(Arbeitszeit!F107=Krank,B_WorkTime*24,)</f>
        <v>0</v>
      </c>
      <c r="J106" s="153"/>
      <c r="K106" s="156"/>
      <c r="L106" s="157"/>
      <c r="M106" s="577"/>
      <c r="N106" s="578"/>
      <c r="O106" s="577"/>
      <c r="P106" s="578"/>
      <c r="Q106" s="577"/>
      <c r="R106" s="578"/>
      <c r="S106" s="577"/>
      <c r="T106" s="578"/>
      <c r="U106" s="577"/>
      <c r="V106" s="578"/>
      <c r="W106" s="577"/>
      <c r="X106" s="578"/>
      <c r="Y106" s="577"/>
      <c r="Z106" s="578"/>
      <c r="AA106" s="577"/>
      <c r="AB106" s="578"/>
      <c r="AC106" s="577"/>
      <c r="AD106" s="578"/>
      <c r="AE106" s="577"/>
      <c r="AF106" s="579"/>
      <c r="AG106" s="577"/>
      <c r="AH106" s="579"/>
      <c r="AI106" s="577"/>
      <c r="AJ106" s="579"/>
      <c r="AK106" s="577"/>
      <c r="AL106" s="579"/>
      <c r="AM106" s="580"/>
      <c r="AN106" s="579"/>
      <c r="AO106" s="577"/>
      <c r="AP106" s="579"/>
      <c r="AQ106" s="580"/>
      <c r="AR106" s="579"/>
      <c r="AS106" s="579"/>
      <c r="AT106" s="579"/>
      <c r="AU106" s="580"/>
      <c r="AV106" s="579"/>
      <c r="AW106" s="579"/>
      <c r="AX106" s="158"/>
      <c r="AY106" s="154"/>
      <c r="AZ106">
        <f ca="1">INDIRECT(ADDRESS(ROW()+1,COLUMN(Arbeitszeit!xDay),,,"Arbeitszeit"))</f>
        <v>3</v>
      </c>
    </row>
    <row r="107" spans="1:52">
      <c r="A107" s="520">
        <f>Arbeitszeit!A108</f>
        <v>43567</v>
      </c>
      <c r="B107" s="521">
        <f t="shared" si="4"/>
        <v>43567</v>
      </c>
      <c r="C107" s="191">
        <f t="shared" si="5"/>
        <v>15</v>
      </c>
      <c r="D107" s="190">
        <f t="shared" si="6"/>
        <v>43555</v>
      </c>
      <c r="E107" s="589">
        <f>Arbeitszeit!V108*24</f>
        <v>0</v>
      </c>
      <c r="F107" s="349">
        <f t="shared" si="7"/>
        <v>0</v>
      </c>
      <c r="G107" s="155">
        <f>IF(Arbeitszeit!F108=Urlaub,B_WorkTime*24,)</f>
        <v>0</v>
      </c>
      <c r="H107" s="153"/>
      <c r="I107" s="155">
        <f>IF(Arbeitszeit!F108=Krank,B_WorkTime*24,)</f>
        <v>0</v>
      </c>
      <c r="J107" s="153"/>
      <c r="K107" s="156"/>
      <c r="L107" s="157"/>
      <c r="M107" s="577"/>
      <c r="N107" s="578"/>
      <c r="O107" s="577"/>
      <c r="P107" s="578"/>
      <c r="Q107" s="577"/>
      <c r="R107" s="578"/>
      <c r="S107" s="577"/>
      <c r="T107" s="578"/>
      <c r="U107" s="577"/>
      <c r="V107" s="578"/>
      <c r="W107" s="577"/>
      <c r="X107" s="578"/>
      <c r="Y107" s="577"/>
      <c r="Z107" s="578"/>
      <c r="AA107" s="577"/>
      <c r="AB107" s="578"/>
      <c r="AC107" s="577"/>
      <c r="AD107" s="578"/>
      <c r="AE107" s="577"/>
      <c r="AF107" s="579"/>
      <c r="AG107" s="577"/>
      <c r="AH107" s="579"/>
      <c r="AI107" s="577"/>
      <c r="AJ107" s="579"/>
      <c r="AK107" s="577"/>
      <c r="AL107" s="579"/>
      <c r="AM107" s="580"/>
      <c r="AN107" s="579"/>
      <c r="AO107" s="577"/>
      <c r="AP107" s="579"/>
      <c r="AQ107" s="580"/>
      <c r="AR107" s="579"/>
      <c r="AS107" s="579"/>
      <c r="AT107" s="579"/>
      <c r="AU107" s="580"/>
      <c r="AV107" s="579"/>
      <c r="AW107" s="579"/>
      <c r="AX107" s="158"/>
      <c r="AY107" s="154"/>
      <c r="AZ107">
        <f ca="1">INDIRECT(ADDRESS(ROW()+1,COLUMN(Arbeitszeit!xDay),,,"Arbeitszeit"))</f>
        <v>4</v>
      </c>
    </row>
    <row r="108" spans="1:52">
      <c r="A108" s="520">
        <f>Arbeitszeit!A109</f>
        <v>43568</v>
      </c>
      <c r="B108" s="521">
        <f t="shared" si="4"/>
        <v>43568</v>
      </c>
      <c r="C108" s="191">
        <f t="shared" si="5"/>
        <v>15</v>
      </c>
      <c r="D108" s="190">
        <f t="shared" si="6"/>
        <v>43555</v>
      </c>
      <c r="E108" s="589">
        <f>Arbeitszeit!V109*24</f>
        <v>0</v>
      </c>
      <c r="F108" s="349">
        <f t="shared" si="7"/>
        <v>0</v>
      </c>
      <c r="G108" s="155">
        <f>IF(Arbeitszeit!F109=Urlaub,B_WorkTime*24,)</f>
        <v>0</v>
      </c>
      <c r="H108" s="153"/>
      <c r="I108" s="155">
        <f>IF(Arbeitszeit!F109=Krank,B_WorkTime*24,)</f>
        <v>0</v>
      </c>
      <c r="J108" s="153"/>
      <c r="K108" s="156"/>
      <c r="L108" s="157"/>
      <c r="M108" s="577"/>
      <c r="N108" s="578"/>
      <c r="O108" s="577"/>
      <c r="P108" s="578"/>
      <c r="Q108" s="577"/>
      <c r="R108" s="578"/>
      <c r="S108" s="577"/>
      <c r="T108" s="578"/>
      <c r="U108" s="577"/>
      <c r="V108" s="578"/>
      <c r="W108" s="577"/>
      <c r="X108" s="578"/>
      <c r="Y108" s="577"/>
      <c r="Z108" s="578"/>
      <c r="AA108" s="577"/>
      <c r="AB108" s="578"/>
      <c r="AC108" s="577"/>
      <c r="AD108" s="578"/>
      <c r="AE108" s="577"/>
      <c r="AF108" s="579"/>
      <c r="AG108" s="577"/>
      <c r="AH108" s="579"/>
      <c r="AI108" s="577"/>
      <c r="AJ108" s="579"/>
      <c r="AK108" s="577"/>
      <c r="AL108" s="579"/>
      <c r="AM108" s="580"/>
      <c r="AN108" s="579"/>
      <c r="AO108" s="577"/>
      <c r="AP108" s="579"/>
      <c r="AQ108" s="580"/>
      <c r="AR108" s="579"/>
      <c r="AS108" s="579"/>
      <c r="AT108" s="579"/>
      <c r="AU108" s="580"/>
      <c r="AV108" s="579"/>
      <c r="AW108" s="579"/>
      <c r="AX108" s="158"/>
      <c r="AY108" s="154"/>
      <c r="AZ108">
        <f ca="1">INDIRECT(ADDRESS(ROW()+1,COLUMN(Arbeitszeit!xDay),,,"Arbeitszeit"))</f>
        <v>5</v>
      </c>
    </row>
    <row r="109" spans="1:52">
      <c r="A109" s="520">
        <f>Arbeitszeit!A110</f>
        <v>43569</v>
      </c>
      <c r="B109" s="521">
        <f t="shared" si="4"/>
        <v>43569</v>
      </c>
      <c r="C109" s="191">
        <f t="shared" si="5"/>
        <v>15</v>
      </c>
      <c r="D109" s="190">
        <f t="shared" si="6"/>
        <v>43555</v>
      </c>
      <c r="E109" s="589">
        <f>Arbeitszeit!V110*24</f>
        <v>0</v>
      </c>
      <c r="F109" s="349">
        <f t="shared" si="7"/>
        <v>0</v>
      </c>
      <c r="G109" s="155">
        <f>IF(Arbeitszeit!F110=Urlaub,B_WorkTime*24,)</f>
        <v>0</v>
      </c>
      <c r="H109" s="153"/>
      <c r="I109" s="155">
        <f>IF(Arbeitszeit!F110=Krank,B_WorkTime*24,)</f>
        <v>0</v>
      </c>
      <c r="J109" s="153"/>
      <c r="K109" s="156"/>
      <c r="L109" s="157"/>
      <c r="M109" s="577"/>
      <c r="N109" s="578"/>
      <c r="O109" s="577"/>
      <c r="P109" s="578"/>
      <c r="Q109" s="577"/>
      <c r="R109" s="578"/>
      <c r="S109" s="577"/>
      <c r="T109" s="578"/>
      <c r="U109" s="577"/>
      <c r="V109" s="578"/>
      <c r="W109" s="577"/>
      <c r="X109" s="578"/>
      <c r="Y109" s="577"/>
      <c r="Z109" s="578"/>
      <c r="AA109" s="577"/>
      <c r="AB109" s="578"/>
      <c r="AC109" s="577"/>
      <c r="AD109" s="578"/>
      <c r="AE109" s="577"/>
      <c r="AF109" s="579"/>
      <c r="AG109" s="577"/>
      <c r="AH109" s="579"/>
      <c r="AI109" s="577"/>
      <c r="AJ109" s="579"/>
      <c r="AK109" s="577"/>
      <c r="AL109" s="579"/>
      <c r="AM109" s="580"/>
      <c r="AN109" s="579"/>
      <c r="AO109" s="577"/>
      <c r="AP109" s="579"/>
      <c r="AQ109" s="580"/>
      <c r="AR109" s="579"/>
      <c r="AS109" s="579"/>
      <c r="AT109" s="579"/>
      <c r="AU109" s="580"/>
      <c r="AV109" s="579"/>
      <c r="AW109" s="579"/>
      <c r="AX109" s="158"/>
      <c r="AY109" s="154"/>
      <c r="AZ109">
        <f ca="1">INDIRECT(ADDRESS(ROW()+1,COLUMN(Arbeitszeit!xDay),,,"Arbeitszeit"))</f>
        <v>6</v>
      </c>
    </row>
    <row r="110" spans="1:52">
      <c r="A110" s="520">
        <f>Arbeitszeit!A111</f>
        <v>43570</v>
      </c>
      <c r="B110" s="521">
        <f t="shared" si="4"/>
        <v>43570</v>
      </c>
      <c r="C110" s="191">
        <f t="shared" si="5"/>
        <v>15</v>
      </c>
      <c r="D110" s="190">
        <f t="shared" si="6"/>
        <v>43555</v>
      </c>
      <c r="E110" s="589">
        <f>Arbeitszeit!V111*24</f>
        <v>0</v>
      </c>
      <c r="F110" s="349">
        <f t="shared" si="7"/>
        <v>0</v>
      </c>
      <c r="G110" s="155">
        <f>IF(Arbeitszeit!F111=Urlaub,B_WorkTime*24,)</f>
        <v>0</v>
      </c>
      <c r="H110" s="153"/>
      <c r="I110" s="155">
        <f>IF(Arbeitszeit!F111=Krank,B_WorkTime*24,)</f>
        <v>0</v>
      </c>
      <c r="J110" s="153"/>
      <c r="K110" s="156"/>
      <c r="L110" s="157"/>
      <c r="M110" s="577"/>
      <c r="N110" s="578"/>
      <c r="O110" s="577"/>
      <c r="P110" s="578"/>
      <c r="Q110" s="577"/>
      <c r="R110" s="578"/>
      <c r="S110" s="577"/>
      <c r="T110" s="578"/>
      <c r="U110" s="577"/>
      <c r="V110" s="578"/>
      <c r="W110" s="577"/>
      <c r="X110" s="578"/>
      <c r="Y110" s="577"/>
      <c r="Z110" s="578"/>
      <c r="AA110" s="577"/>
      <c r="AB110" s="578"/>
      <c r="AC110" s="577"/>
      <c r="AD110" s="578"/>
      <c r="AE110" s="577"/>
      <c r="AF110" s="579"/>
      <c r="AG110" s="577"/>
      <c r="AH110" s="579"/>
      <c r="AI110" s="577"/>
      <c r="AJ110" s="579"/>
      <c r="AK110" s="577"/>
      <c r="AL110" s="579"/>
      <c r="AM110" s="580"/>
      <c r="AN110" s="579"/>
      <c r="AO110" s="577"/>
      <c r="AP110" s="579"/>
      <c r="AQ110" s="580"/>
      <c r="AR110" s="579"/>
      <c r="AS110" s="579"/>
      <c r="AT110" s="579"/>
      <c r="AU110" s="580"/>
      <c r="AV110" s="579"/>
      <c r="AW110" s="579"/>
      <c r="AX110" s="158"/>
      <c r="AY110" s="154"/>
      <c r="AZ110">
        <f ca="1">INDIRECT(ADDRESS(ROW()+1,COLUMN(Arbeitszeit!xDay),,,"Arbeitszeit"))</f>
        <v>7</v>
      </c>
    </row>
    <row r="111" spans="1:52">
      <c r="A111" s="520">
        <f>Arbeitszeit!A112</f>
        <v>43571</v>
      </c>
      <c r="B111" s="521">
        <f t="shared" si="4"/>
        <v>43571</v>
      </c>
      <c r="C111" s="191">
        <f t="shared" si="5"/>
        <v>16</v>
      </c>
      <c r="D111" s="190">
        <f t="shared" si="6"/>
        <v>43555</v>
      </c>
      <c r="E111" s="589">
        <f>Arbeitszeit!V112*24</f>
        <v>0</v>
      </c>
      <c r="F111" s="349">
        <f t="shared" si="7"/>
        <v>0</v>
      </c>
      <c r="G111" s="155">
        <f>IF(Arbeitszeit!F112=Urlaub,B_WorkTime*24,)</f>
        <v>0</v>
      </c>
      <c r="H111" s="153"/>
      <c r="I111" s="155">
        <f>IF(Arbeitszeit!F112=Krank,B_WorkTime*24,)</f>
        <v>0</v>
      </c>
      <c r="J111" s="153"/>
      <c r="K111" s="156"/>
      <c r="L111" s="157"/>
      <c r="M111" s="577"/>
      <c r="N111" s="578"/>
      <c r="O111" s="577"/>
      <c r="P111" s="578"/>
      <c r="Q111" s="577"/>
      <c r="R111" s="578"/>
      <c r="S111" s="577"/>
      <c r="T111" s="578"/>
      <c r="U111" s="577"/>
      <c r="V111" s="578"/>
      <c r="W111" s="577"/>
      <c r="X111" s="578"/>
      <c r="Y111" s="577"/>
      <c r="Z111" s="578"/>
      <c r="AA111" s="577"/>
      <c r="AB111" s="578"/>
      <c r="AC111" s="577"/>
      <c r="AD111" s="578"/>
      <c r="AE111" s="577"/>
      <c r="AF111" s="579"/>
      <c r="AG111" s="577"/>
      <c r="AH111" s="579"/>
      <c r="AI111" s="577"/>
      <c r="AJ111" s="579"/>
      <c r="AK111" s="577"/>
      <c r="AL111" s="579"/>
      <c r="AM111" s="580"/>
      <c r="AN111" s="579"/>
      <c r="AO111" s="577"/>
      <c r="AP111" s="579"/>
      <c r="AQ111" s="580"/>
      <c r="AR111" s="579"/>
      <c r="AS111" s="579"/>
      <c r="AT111" s="579"/>
      <c r="AU111" s="580"/>
      <c r="AV111" s="579"/>
      <c r="AW111" s="579"/>
      <c r="AX111" s="158"/>
      <c r="AY111" s="154"/>
      <c r="AZ111">
        <f ca="1">INDIRECT(ADDRESS(ROW()+1,COLUMN(Arbeitszeit!xDay),,,"Arbeitszeit"))</f>
        <v>1</v>
      </c>
    </row>
    <row r="112" spans="1:52">
      <c r="A112" s="520">
        <f>Arbeitszeit!A113</f>
        <v>43572</v>
      </c>
      <c r="B112" s="521">
        <f t="shared" si="4"/>
        <v>43572</v>
      </c>
      <c r="C112" s="191">
        <f t="shared" si="5"/>
        <v>16</v>
      </c>
      <c r="D112" s="190">
        <f t="shared" si="6"/>
        <v>43555</v>
      </c>
      <c r="E112" s="589">
        <f>Arbeitszeit!V113*24</f>
        <v>0</v>
      </c>
      <c r="F112" s="349">
        <f t="shared" si="7"/>
        <v>0</v>
      </c>
      <c r="G112" s="155">
        <f>IF(Arbeitszeit!F113=Urlaub,B_WorkTime*24,)</f>
        <v>0</v>
      </c>
      <c r="H112" s="153"/>
      <c r="I112" s="155">
        <f>IF(Arbeitszeit!F113=Krank,B_WorkTime*24,)</f>
        <v>0</v>
      </c>
      <c r="J112" s="153"/>
      <c r="K112" s="156"/>
      <c r="L112" s="157"/>
      <c r="M112" s="577"/>
      <c r="N112" s="578"/>
      <c r="O112" s="577"/>
      <c r="P112" s="578"/>
      <c r="Q112" s="577"/>
      <c r="R112" s="578"/>
      <c r="S112" s="577"/>
      <c r="T112" s="578"/>
      <c r="U112" s="577"/>
      <c r="V112" s="578"/>
      <c r="W112" s="577"/>
      <c r="X112" s="578"/>
      <c r="Y112" s="577"/>
      <c r="Z112" s="578"/>
      <c r="AA112" s="577"/>
      <c r="AB112" s="578"/>
      <c r="AC112" s="577"/>
      <c r="AD112" s="578"/>
      <c r="AE112" s="577"/>
      <c r="AF112" s="579"/>
      <c r="AG112" s="577"/>
      <c r="AH112" s="579"/>
      <c r="AI112" s="577"/>
      <c r="AJ112" s="579"/>
      <c r="AK112" s="577"/>
      <c r="AL112" s="579"/>
      <c r="AM112" s="580"/>
      <c r="AN112" s="579"/>
      <c r="AO112" s="577"/>
      <c r="AP112" s="579"/>
      <c r="AQ112" s="580"/>
      <c r="AR112" s="579"/>
      <c r="AS112" s="579"/>
      <c r="AT112" s="579"/>
      <c r="AU112" s="580"/>
      <c r="AV112" s="579"/>
      <c r="AW112" s="579"/>
      <c r="AX112" s="158"/>
      <c r="AY112" s="154"/>
      <c r="AZ112">
        <f ca="1">INDIRECT(ADDRESS(ROW()+1,COLUMN(Arbeitszeit!xDay),,,"Arbeitszeit"))</f>
        <v>2</v>
      </c>
    </row>
    <row r="113" spans="1:52">
      <c r="A113" s="520">
        <f>Arbeitszeit!A114</f>
        <v>43573</v>
      </c>
      <c r="B113" s="521">
        <f t="shared" si="4"/>
        <v>43573</v>
      </c>
      <c r="C113" s="191">
        <f t="shared" si="5"/>
        <v>16</v>
      </c>
      <c r="D113" s="190">
        <f t="shared" si="6"/>
        <v>43555</v>
      </c>
      <c r="E113" s="589">
        <f>Arbeitszeit!V114*24</f>
        <v>0</v>
      </c>
      <c r="F113" s="349">
        <f t="shared" si="7"/>
        <v>0</v>
      </c>
      <c r="G113" s="155">
        <f>IF(Arbeitszeit!F114=Urlaub,B_WorkTime*24,)</f>
        <v>0</v>
      </c>
      <c r="H113" s="153"/>
      <c r="I113" s="155">
        <f>IF(Arbeitszeit!F114=Krank,B_WorkTime*24,)</f>
        <v>0</v>
      </c>
      <c r="J113" s="153"/>
      <c r="K113" s="156"/>
      <c r="L113" s="157"/>
      <c r="M113" s="577"/>
      <c r="N113" s="578"/>
      <c r="O113" s="577"/>
      <c r="P113" s="578"/>
      <c r="Q113" s="577"/>
      <c r="R113" s="578"/>
      <c r="S113" s="577"/>
      <c r="T113" s="578"/>
      <c r="U113" s="577"/>
      <c r="V113" s="578"/>
      <c r="W113" s="577"/>
      <c r="X113" s="578"/>
      <c r="Y113" s="577"/>
      <c r="Z113" s="578"/>
      <c r="AA113" s="577"/>
      <c r="AB113" s="578"/>
      <c r="AC113" s="577"/>
      <c r="AD113" s="578"/>
      <c r="AE113" s="577"/>
      <c r="AF113" s="579"/>
      <c r="AG113" s="577"/>
      <c r="AH113" s="579"/>
      <c r="AI113" s="577"/>
      <c r="AJ113" s="579"/>
      <c r="AK113" s="577"/>
      <c r="AL113" s="579"/>
      <c r="AM113" s="580"/>
      <c r="AN113" s="579"/>
      <c r="AO113" s="577"/>
      <c r="AP113" s="579"/>
      <c r="AQ113" s="580"/>
      <c r="AR113" s="579"/>
      <c r="AS113" s="579"/>
      <c r="AT113" s="579"/>
      <c r="AU113" s="580"/>
      <c r="AV113" s="579"/>
      <c r="AW113" s="579"/>
      <c r="AX113" s="158"/>
      <c r="AY113" s="154"/>
      <c r="AZ113">
        <f ca="1">INDIRECT(ADDRESS(ROW()+1,COLUMN(Arbeitszeit!xDay),,,"Arbeitszeit"))</f>
        <v>3</v>
      </c>
    </row>
    <row r="114" spans="1:52">
      <c r="A114" s="520">
        <f>Arbeitszeit!A115</f>
        <v>43574</v>
      </c>
      <c r="B114" s="521">
        <f t="shared" si="4"/>
        <v>43574</v>
      </c>
      <c r="C114" s="191">
        <f t="shared" si="5"/>
        <v>16</v>
      </c>
      <c r="D114" s="190">
        <f t="shared" si="6"/>
        <v>43555</v>
      </c>
      <c r="E114" s="589">
        <f>Arbeitszeit!V115*24</f>
        <v>0</v>
      </c>
      <c r="F114" s="349">
        <f t="shared" si="7"/>
        <v>0</v>
      </c>
      <c r="G114" s="155">
        <f>IF(Arbeitszeit!F115=Urlaub,B_WorkTime*24,)</f>
        <v>0</v>
      </c>
      <c r="H114" s="153"/>
      <c r="I114" s="155">
        <f>IF(Arbeitszeit!F115=Krank,B_WorkTime*24,)</f>
        <v>0</v>
      </c>
      <c r="J114" s="153"/>
      <c r="K114" s="156"/>
      <c r="L114" s="157"/>
      <c r="M114" s="577"/>
      <c r="N114" s="578"/>
      <c r="O114" s="577"/>
      <c r="P114" s="578"/>
      <c r="Q114" s="577"/>
      <c r="R114" s="578"/>
      <c r="S114" s="577"/>
      <c r="T114" s="578"/>
      <c r="U114" s="577"/>
      <c r="V114" s="578"/>
      <c r="W114" s="577"/>
      <c r="X114" s="578"/>
      <c r="Y114" s="577"/>
      <c r="Z114" s="578"/>
      <c r="AA114" s="577"/>
      <c r="AB114" s="578"/>
      <c r="AC114" s="577"/>
      <c r="AD114" s="578"/>
      <c r="AE114" s="577"/>
      <c r="AF114" s="579"/>
      <c r="AG114" s="577"/>
      <c r="AH114" s="579"/>
      <c r="AI114" s="577"/>
      <c r="AJ114" s="579"/>
      <c r="AK114" s="577"/>
      <c r="AL114" s="579"/>
      <c r="AM114" s="580"/>
      <c r="AN114" s="579"/>
      <c r="AO114" s="577"/>
      <c r="AP114" s="579"/>
      <c r="AQ114" s="580"/>
      <c r="AR114" s="579"/>
      <c r="AS114" s="579"/>
      <c r="AT114" s="579"/>
      <c r="AU114" s="580"/>
      <c r="AV114" s="579"/>
      <c r="AW114" s="579"/>
      <c r="AX114" s="158"/>
      <c r="AY114" s="154"/>
      <c r="AZ114">
        <f ca="1">INDIRECT(ADDRESS(ROW()+1,COLUMN(Arbeitszeit!xDay),,,"Arbeitszeit"))</f>
        <v>4</v>
      </c>
    </row>
    <row r="115" spans="1:52">
      <c r="A115" s="520">
        <f>Arbeitszeit!A116</f>
        <v>43575</v>
      </c>
      <c r="B115" s="521">
        <f t="shared" si="4"/>
        <v>43575</v>
      </c>
      <c r="C115" s="191">
        <f t="shared" si="5"/>
        <v>16</v>
      </c>
      <c r="D115" s="190">
        <f t="shared" si="6"/>
        <v>43555</v>
      </c>
      <c r="E115" s="589">
        <f>Arbeitszeit!V116*24</f>
        <v>0</v>
      </c>
      <c r="F115" s="349">
        <f t="shared" si="7"/>
        <v>0</v>
      </c>
      <c r="G115" s="155">
        <f>IF(Arbeitszeit!F116=Urlaub,B_WorkTime*24,)</f>
        <v>0</v>
      </c>
      <c r="H115" s="153"/>
      <c r="I115" s="155">
        <f>IF(Arbeitszeit!F116=Krank,B_WorkTime*24,)</f>
        <v>0</v>
      </c>
      <c r="J115" s="153"/>
      <c r="K115" s="156"/>
      <c r="L115" s="157"/>
      <c r="M115" s="577"/>
      <c r="N115" s="578"/>
      <c r="O115" s="577"/>
      <c r="P115" s="578"/>
      <c r="Q115" s="577"/>
      <c r="R115" s="578"/>
      <c r="S115" s="577"/>
      <c r="T115" s="578"/>
      <c r="U115" s="577"/>
      <c r="V115" s="578"/>
      <c r="W115" s="577"/>
      <c r="X115" s="578"/>
      <c r="Y115" s="577"/>
      <c r="Z115" s="578"/>
      <c r="AA115" s="577"/>
      <c r="AB115" s="578"/>
      <c r="AC115" s="577"/>
      <c r="AD115" s="578"/>
      <c r="AE115" s="577"/>
      <c r="AF115" s="579"/>
      <c r="AG115" s="577"/>
      <c r="AH115" s="579"/>
      <c r="AI115" s="577"/>
      <c r="AJ115" s="579"/>
      <c r="AK115" s="577"/>
      <c r="AL115" s="579"/>
      <c r="AM115" s="580"/>
      <c r="AN115" s="579"/>
      <c r="AO115" s="577"/>
      <c r="AP115" s="579"/>
      <c r="AQ115" s="580"/>
      <c r="AR115" s="579"/>
      <c r="AS115" s="579"/>
      <c r="AT115" s="579"/>
      <c r="AU115" s="580"/>
      <c r="AV115" s="579"/>
      <c r="AW115" s="579"/>
      <c r="AX115" s="158"/>
      <c r="AY115" s="154"/>
      <c r="AZ115">
        <f ca="1">INDIRECT(ADDRESS(ROW()+1,COLUMN(Arbeitszeit!xDay),,,"Arbeitszeit"))</f>
        <v>5</v>
      </c>
    </row>
    <row r="116" spans="1:52">
      <c r="A116" s="520">
        <f>Arbeitszeit!A117</f>
        <v>43576</v>
      </c>
      <c r="B116" s="521">
        <f t="shared" si="4"/>
        <v>43576</v>
      </c>
      <c r="C116" s="191">
        <f t="shared" si="5"/>
        <v>16</v>
      </c>
      <c r="D116" s="190">
        <f t="shared" si="6"/>
        <v>43555</v>
      </c>
      <c r="E116" s="589">
        <f>Arbeitszeit!V117*24</f>
        <v>0</v>
      </c>
      <c r="F116" s="349">
        <f t="shared" si="7"/>
        <v>0</v>
      </c>
      <c r="G116" s="155">
        <f>IF(Arbeitszeit!F117=Urlaub,B_WorkTime*24,)</f>
        <v>0</v>
      </c>
      <c r="H116" s="153"/>
      <c r="I116" s="155">
        <f>IF(Arbeitszeit!F117=Krank,B_WorkTime*24,)</f>
        <v>0</v>
      </c>
      <c r="J116" s="153"/>
      <c r="K116" s="156"/>
      <c r="L116" s="157"/>
      <c r="M116" s="577"/>
      <c r="N116" s="578"/>
      <c r="O116" s="577"/>
      <c r="P116" s="578"/>
      <c r="Q116" s="577"/>
      <c r="R116" s="578"/>
      <c r="S116" s="577"/>
      <c r="T116" s="578"/>
      <c r="U116" s="577"/>
      <c r="V116" s="578"/>
      <c r="W116" s="577"/>
      <c r="X116" s="578"/>
      <c r="Y116" s="577"/>
      <c r="Z116" s="578"/>
      <c r="AA116" s="577"/>
      <c r="AB116" s="578"/>
      <c r="AC116" s="577"/>
      <c r="AD116" s="578"/>
      <c r="AE116" s="577"/>
      <c r="AF116" s="579"/>
      <c r="AG116" s="577"/>
      <c r="AH116" s="579"/>
      <c r="AI116" s="577"/>
      <c r="AJ116" s="579"/>
      <c r="AK116" s="577"/>
      <c r="AL116" s="579"/>
      <c r="AM116" s="580"/>
      <c r="AN116" s="579"/>
      <c r="AO116" s="577"/>
      <c r="AP116" s="579"/>
      <c r="AQ116" s="580"/>
      <c r="AR116" s="579"/>
      <c r="AS116" s="579"/>
      <c r="AT116" s="579"/>
      <c r="AU116" s="580"/>
      <c r="AV116" s="579"/>
      <c r="AW116" s="579"/>
      <c r="AX116" s="158"/>
      <c r="AY116" s="154"/>
      <c r="AZ116">
        <f ca="1">INDIRECT(ADDRESS(ROW()+1,COLUMN(Arbeitszeit!xDay),,,"Arbeitszeit"))</f>
        <v>6</v>
      </c>
    </row>
    <row r="117" spans="1:52">
      <c r="A117" s="520">
        <f>Arbeitszeit!A118</f>
        <v>43577</v>
      </c>
      <c r="B117" s="521">
        <f t="shared" si="4"/>
        <v>43577</v>
      </c>
      <c r="C117" s="191">
        <f t="shared" si="5"/>
        <v>16</v>
      </c>
      <c r="D117" s="190">
        <f t="shared" si="6"/>
        <v>43555</v>
      </c>
      <c r="E117" s="589">
        <f>Arbeitszeit!V118*24</f>
        <v>0</v>
      </c>
      <c r="F117" s="349">
        <f t="shared" si="7"/>
        <v>0</v>
      </c>
      <c r="G117" s="155">
        <f>IF(Arbeitszeit!F118=Urlaub,B_WorkTime*24,)</f>
        <v>0</v>
      </c>
      <c r="H117" s="153"/>
      <c r="I117" s="155">
        <f>IF(Arbeitszeit!F118=Krank,B_WorkTime*24,)</f>
        <v>0</v>
      </c>
      <c r="J117" s="153"/>
      <c r="K117" s="156"/>
      <c r="L117" s="157"/>
      <c r="M117" s="577"/>
      <c r="N117" s="578"/>
      <c r="O117" s="577"/>
      <c r="P117" s="578"/>
      <c r="Q117" s="577"/>
      <c r="R117" s="578"/>
      <c r="S117" s="577"/>
      <c r="T117" s="578"/>
      <c r="U117" s="577"/>
      <c r="V117" s="578"/>
      <c r="W117" s="577"/>
      <c r="X117" s="578"/>
      <c r="Y117" s="577"/>
      <c r="Z117" s="578"/>
      <c r="AA117" s="577"/>
      <c r="AB117" s="578"/>
      <c r="AC117" s="577"/>
      <c r="AD117" s="578"/>
      <c r="AE117" s="577"/>
      <c r="AF117" s="579"/>
      <c r="AG117" s="577"/>
      <c r="AH117" s="579"/>
      <c r="AI117" s="577"/>
      <c r="AJ117" s="579"/>
      <c r="AK117" s="577"/>
      <c r="AL117" s="579"/>
      <c r="AM117" s="580"/>
      <c r="AN117" s="579"/>
      <c r="AO117" s="577"/>
      <c r="AP117" s="579"/>
      <c r="AQ117" s="580"/>
      <c r="AR117" s="579"/>
      <c r="AS117" s="579"/>
      <c r="AT117" s="579"/>
      <c r="AU117" s="580"/>
      <c r="AV117" s="579"/>
      <c r="AW117" s="579"/>
      <c r="AX117" s="158"/>
      <c r="AY117" s="154"/>
      <c r="AZ117">
        <f ca="1">INDIRECT(ADDRESS(ROW()+1,COLUMN(Arbeitszeit!xDay),,,"Arbeitszeit"))</f>
        <v>7</v>
      </c>
    </row>
    <row r="118" spans="1:52">
      <c r="A118" s="520">
        <f>Arbeitszeit!A119</f>
        <v>43578</v>
      </c>
      <c r="B118" s="521">
        <f t="shared" si="4"/>
        <v>43578</v>
      </c>
      <c r="C118" s="191">
        <f t="shared" si="5"/>
        <v>17</v>
      </c>
      <c r="D118" s="190">
        <f t="shared" si="6"/>
        <v>43555</v>
      </c>
      <c r="E118" s="589">
        <f>Arbeitszeit!V119*24</f>
        <v>0</v>
      </c>
      <c r="F118" s="349">
        <f t="shared" si="7"/>
        <v>0</v>
      </c>
      <c r="G118" s="155">
        <f>IF(Arbeitszeit!F119=Urlaub,B_WorkTime*24,)</f>
        <v>0</v>
      </c>
      <c r="H118" s="153"/>
      <c r="I118" s="155">
        <f>IF(Arbeitszeit!F119=Krank,B_WorkTime*24,)</f>
        <v>0</v>
      </c>
      <c r="J118" s="153"/>
      <c r="K118" s="156"/>
      <c r="L118" s="157"/>
      <c r="M118" s="577"/>
      <c r="N118" s="578"/>
      <c r="O118" s="577"/>
      <c r="P118" s="578"/>
      <c r="Q118" s="577"/>
      <c r="R118" s="578"/>
      <c r="S118" s="577"/>
      <c r="T118" s="578"/>
      <c r="U118" s="577"/>
      <c r="V118" s="578"/>
      <c r="W118" s="577"/>
      <c r="X118" s="578"/>
      <c r="Y118" s="577"/>
      <c r="Z118" s="578"/>
      <c r="AA118" s="577"/>
      <c r="AB118" s="578"/>
      <c r="AC118" s="577"/>
      <c r="AD118" s="578"/>
      <c r="AE118" s="577"/>
      <c r="AF118" s="579"/>
      <c r="AG118" s="577"/>
      <c r="AH118" s="579"/>
      <c r="AI118" s="577"/>
      <c r="AJ118" s="579"/>
      <c r="AK118" s="577"/>
      <c r="AL118" s="579"/>
      <c r="AM118" s="580"/>
      <c r="AN118" s="579"/>
      <c r="AO118" s="577"/>
      <c r="AP118" s="579"/>
      <c r="AQ118" s="580"/>
      <c r="AR118" s="579"/>
      <c r="AS118" s="579"/>
      <c r="AT118" s="579"/>
      <c r="AU118" s="580"/>
      <c r="AV118" s="579"/>
      <c r="AW118" s="579"/>
      <c r="AX118" s="158"/>
      <c r="AY118" s="154"/>
      <c r="AZ118">
        <f ca="1">INDIRECT(ADDRESS(ROW()+1,COLUMN(Arbeitszeit!xDay),,,"Arbeitszeit"))</f>
        <v>1</v>
      </c>
    </row>
    <row r="119" spans="1:52">
      <c r="A119" s="520">
        <f>Arbeitszeit!A120</f>
        <v>43579</v>
      </c>
      <c r="B119" s="521">
        <f t="shared" si="4"/>
        <v>43579</v>
      </c>
      <c r="C119" s="191">
        <f t="shared" si="5"/>
        <v>17</v>
      </c>
      <c r="D119" s="190">
        <f t="shared" si="6"/>
        <v>43555</v>
      </c>
      <c r="E119" s="589">
        <f>Arbeitszeit!V120*24</f>
        <v>0</v>
      </c>
      <c r="F119" s="349">
        <f t="shared" si="7"/>
        <v>0</v>
      </c>
      <c r="G119" s="155">
        <f>IF(Arbeitszeit!F120=Urlaub,B_WorkTime*24,)</f>
        <v>0</v>
      </c>
      <c r="H119" s="153"/>
      <c r="I119" s="155">
        <f>IF(Arbeitszeit!F120=Krank,B_WorkTime*24,)</f>
        <v>0</v>
      </c>
      <c r="J119" s="153"/>
      <c r="K119" s="156"/>
      <c r="L119" s="157"/>
      <c r="M119" s="577"/>
      <c r="N119" s="578"/>
      <c r="O119" s="577"/>
      <c r="P119" s="578"/>
      <c r="Q119" s="577"/>
      <c r="R119" s="578"/>
      <c r="S119" s="577"/>
      <c r="T119" s="578"/>
      <c r="U119" s="577"/>
      <c r="V119" s="578"/>
      <c r="W119" s="577"/>
      <c r="X119" s="578"/>
      <c r="Y119" s="577"/>
      <c r="Z119" s="578"/>
      <c r="AA119" s="577"/>
      <c r="AB119" s="578"/>
      <c r="AC119" s="577"/>
      <c r="AD119" s="578"/>
      <c r="AE119" s="577"/>
      <c r="AF119" s="579"/>
      <c r="AG119" s="577"/>
      <c r="AH119" s="579"/>
      <c r="AI119" s="577"/>
      <c r="AJ119" s="579"/>
      <c r="AK119" s="577"/>
      <c r="AL119" s="579"/>
      <c r="AM119" s="580"/>
      <c r="AN119" s="579"/>
      <c r="AO119" s="577"/>
      <c r="AP119" s="579"/>
      <c r="AQ119" s="580"/>
      <c r="AR119" s="579"/>
      <c r="AS119" s="579"/>
      <c r="AT119" s="579"/>
      <c r="AU119" s="580"/>
      <c r="AV119" s="579"/>
      <c r="AW119" s="579"/>
      <c r="AX119" s="158"/>
      <c r="AY119" s="154"/>
      <c r="AZ119">
        <f ca="1">INDIRECT(ADDRESS(ROW()+1,COLUMN(Arbeitszeit!xDay),,,"Arbeitszeit"))</f>
        <v>2</v>
      </c>
    </row>
    <row r="120" spans="1:52">
      <c r="A120" s="520">
        <f>Arbeitszeit!A121</f>
        <v>43580</v>
      </c>
      <c r="B120" s="521">
        <f t="shared" si="4"/>
        <v>43580</v>
      </c>
      <c r="C120" s="191">
        <f t="shared" si="5"/>
        <v>17</v>
      </c>
      <c r="D120" s="190">
        <f t="shared" si="6"/>
        <v>43555</v>
      </c>
      <c r="E120" s="589">
        <f>Arbeitszeit!V121*24</f>
        <v>0</v>
      </c>
      <c r="F120" s="349">
        <f t="shared" si="7"/>
        <v>0</v>
      </c>
      <c r="G120" s="155">
        <f>IF(Arbeitszeit!F121=Urlaub,B_WorkTime*24,)</f>
        <v>0</v>
      </c>
      <c r="H120" s="153"/>
      <c r="I120" s="155">
        <f>IF(Arbeitszeit!F121=Krank,B_WorkTime*24,)</f>
        <v>0</v>
      </c>
      <c r="J120" s="153"/>
      <c r="K120" s="156"/>
      <c r="L120" s="157"/>
      <c r="M120" s="577"/>
      <c r="N120" s="578"/>
      <c r="O120" s="577"/>
      <c r="P120" s="578"/>
      <c r="Q120" s="577"/>
      <c r="R120" s="578"/>
      <c r="S120" s="577"/>
      <c r="T120" s="578"/>
      <c r="U120" s="577"/>
      <c r="V120" s="578"/>
      <c r="W120" s="577"/>
      <c r="X120" s="578"/>
      <c r="Y120" s="577"/>
      <c r="Z120" s="578"/>
      <c r="AA120" s="577"/>
      <c r="AB120" s="578"/>
      <c r="AC120" s="577"/>
      <c r="AD120" s="578"/>
      <c r="AE120" s="577"/>
      <c r="AF120" s="579"/>
      <c r="AG120" s="577"/>
      <c r="AH120" s="579"/>
      <c r="AI120" s="577"/>
      <c r="AJ120" s="579"/>
      <c r="AK120" s="577"/>
      <c r="AL120" s="579"/>
      <c r="AM120" s="580"/>
      <c r="AN120" s="579"/>
      <c r="AO120" s="577"/>
      <c r="AP120" s="579"/>
      <c r="AQ120" s="580"/>
      <c r="AR120" s="579"/>
      <c r="AS120" s="579"/>
      <c r="AT120" s="579"/>
      <c r="AU120" s="580"/>
      <c r="AV120" s="579"/>
      <c r="AW120" s="579"/>
      <c r="AX120" s="158"/>
      <c r="AY120" s="154"/>
      <c r="AZ120">
        <f ca="1">INDIRECT(ADDRESS(ROW()+1,COLUMN(Arbeitszeit!xDay),,,"Arbeitszeit"))</f>
        <v>3</v>
      </c>
    </row>
    <row r="121" spans="1:52">
      <c r="A121" s="520">
        <f>Arbeitszeit!A122</f>
        <v>43581</v>
      </c>
      <c r="B121" s="521">
        <f t="shared" si="4"/>
        <v>43581</v>
      </c>
      <c r="C121" s="191">
        <f t="shared" si="5"/>
        <v>17</v>
      </c>
      <c r="D121" s="190">
        <f t="shared" si="6"/>
        <v>43555</v>
      </c>
      <c r="E121" s="589">
        <f>Arbeitszeit!V122*24</f>
        <v>0</v>
      </c>
      <c r="F121" s="349">
        <f t="shared" si="7"/>
        <v>0</v>
      </c>
      <c r="G121" s="155">
        <f>IF(Arbeitszeit!F122=Urlaub,B_WorkTime*24,)</f>
        <v>0</v>
      </c>
      <c r="H121" s="153"/>
      <c r="I121" s="155">
        <f>IF(Arbeitszeit!F122=Krank,B_WorkTime*24,)</f>
        <v>0</v>
      </c>
      <c r="J121" s="153"/>
      <c r="K121" s="156"/>
      <c r="L121" s="157"/>
      <c r="M121" s="577"/>
      <c r="N121" s="578"/>
      <c r="O121" s="577"/>
      <c r="P121" s="578"/>
      <c r="Q121" s="577"/>
      <c r="R121" s="578"/>
      <c r="S121" s="577"/>
      <c r="T121" s="578"/>
      <c r="U121" s="577"/>
      <c r="V121" s="578"/>
      <c r="W121" s="577"/>
      <c r="X121" s="578"/>
      <c r="Y121" s="577"/>
      <c r="Z121" s="578"/>
      <c r="AA121" s="577"/>
      <c r="AB121" s="578"/>
      <c r="AC121" s="577"/>
      <c r="AD121" s="578"/>
      <c r="AE121" s="577"/>
      <c r="AF121" s="579"/>
      <c r="AG121" s="577"/>
      <c r="AH121" s="579"/>
      <c r="AI121" s="577"/>
      <c r="AJ121" s="579"/>
      <c r="AK121" s="577"/>
      <c r="AL121" s="579"/>
      <c r="AM121" s="580"/>
      <c r="AN121" s="579"/>
      <c r="AO121" s="577"/>
      <c r="AP121" s="579"/>
      <c r="AQ121" s="580"/>
      <c r="AR121" s="579"/>
      <c r="AS121" s="579"/>
      <c r="AT121" s="579"/>
      <c r="AU121" s="580"/>
      <c r="AV121" s="579"/>
      <c r="AW121" s="579"/>
      <c r="AX121" s="158"/>
      <c r="AY121" s="154"/>
      <c r="AZ121">
        <f ca="1">INDIRECT(ADDRESS(ROW()+1,COLUMN(Arbeitszeit!xDay),,,"Arbeitszeit"))</f>
        <v>4</v>
      </c>
    </row>
    <row r="122" spans="1:52">
      <c r="A122" s="520">
        <f>Arbeitszeit!A123</f>
        <v>43582</v>
      </c>
      <c r="B122" s="521">
        <f t="shared" si="4"/>
        <v>43582</v>
      </c>
      <c r="C122" s="191">
        <f t="shared" si="5"/>
        <v>17</v>
      </c>
      <c r="D122" s="190">
        <f t="shared" si="6"/>
        <v>43555</v>
      </c>
      <c r="E122" s="589">
        <f>Arbeitszeit!V123*24</f>
        <v>0</v>
      </c>
      <c r="F122" s="349">
        <f t="shared" si="7"/>
        <v>0</v>
      </c>
      <c r="G122" s="155">
        <f>IF(Arbeitszeit!F123=Urlaub,B_WorkTime*24,)</f>
        <v>0</v>
      </c>
      <c r="H122" s="153"/>
      <c r="I122" s="155">
        <f>IF(Arbeitszeit!F123=Krank,B_WorkTime*24,)</f>
        <v>0</v>
      </c>
      <c r="J122" s="153"/>
      <c r="K122" s="156"/>
      <c r="L122" s="157"/>
      <c r="M122" s="577"/>
      <c r="N122" s="578"/>
      <c r="O122" s="577"/>
      <c r="P122" s="578"/>
      <c r="Q122" s="577"/>
      <c r="R122" s="578"/>
      <c r="S122" s="577"/>
      <c r="T122" s="578"/>
      <c r="U122" s="577"/>
      <c r="V122" s="578"/>
      <c r="W122" s="577"/>
      <c r="X122" s="578"/>
      <c r="Y122" s="577"/>
      <c r="Z122" s="578"/>
      <c r="AA122" s="577"/>
      <c r="AB122" s="578"/>
      <c r="AC122" s="577"/>
      <c r="AD122" s="578"/>
      <c r="AE122" s="577"/>
      <c r="AF122" s="579"/>
      <c r="AG122" s="577"/>
      <c r="AH122" s="579"/>
      <c r="AI122" s="577"/>
      <c r="AJ122" s="579"/>
      <c r="AK122" s="577"/>
      <c r="AL122" s="579"/>
      <c r="AM122" s="580"/>
      <c r="AN122" s="579"/>
      <c r="AO122" s="577"/>
      <c r="AP122" s="579"/>
      <c r="AQ122" s="580"/>
      <c r="AR122" s="579"/>
      <c r="AS122" s="579"/>
      <c r="AT122" s="579"/>
      <c r="AU122" s="580"/>
      <c r="AV122" s="579"/>
      <c r="AW122" s="579"/>
      <c r="AX122" s="158"/>
      <c r="AY122" s="154"/>
      <c r="AZ122">
        <f ca="1">INDIRECT(ADDRESS(ROW()+1,COLUMN(Arbeitszeit!xDay),,,"Arbeitszeit"))</f>
        <v>5</v>
      </c>
    </row>
    <row r="123" spans="1:52">
      <c r="A123" s="520">
        <f>Arbeitszeit!A124</f>
        <v>43583</v>
      </c>
      <c r="B123" s="521">
        <f t="shared" si="4"/>
        <v>43583</v>
      </c>
      <c r="C123" s="191">
        <f t="shared" si="5"/>
        <v>17</v>
      </c>
      <c r="D123" s="190">
        <f t="shared" si="6"/>
        <v>43555</v>
      </c>
      <c r="E123" s="589">
        <f>Arbeitszeit!V124*24</f>
        <v>0</v>
      </c>
      <c r="F123" s="349">
        <f t="shared" si="7"/>
        <v>0</v>
      </c>
      <c r="G123" s="155">
        <f>IF(Arbeitszeit!F124=Urlaub,B_WorkTime*24,)</f>
        <v>0</v>
      </c>
      <c r="H123" s="153"/>
      <c r="I123" s="155">
        <f>IF(Arbeitszeit!F124=Krank,B_WorkTime*24,)</f>
        <v>0</v>
      </c>
      <c r="J123" s="153"/>
      <c r="K123" s="156"/>
      <c r="L123" s="157"/>
      <c r="M123" s="577"/>
      <c r="N123" s="578"/>
      <c r="O123" s="577"/>
      <c r="P123" s="578"/>
      <c r="Q123" s="577"/>
      <c r="R123" s="578"/>
      <c r="S123" s="577"/>
      <c r="T123" s="578"/>
      <c r="U123" s="577"/>
      <c r="V123" s="578"/>
      <c r="W123" s="577"/>
      <c r="X123" s="578"/>
      <c r="Y123" s="577"/>
      <c r="Z123" s="578"/>
      <c r="AA123" s="577"/>
      <c r="AB123" s="578"/>
      <c r="AC123" s="577"/>
      <c r="AD123" s="578"/>
      <c r="AE123" s="577"/>
      <c r="AF123" s="579"/>
      <c r="AG123" s="577"/>
      <c r="AH123" s="579"/>
      <c r="AI123" s="577"/>
      <c r="AJ123" s="579"/>
      <c r="AK123" s="577"/>
      <c r="AL123" s="579"/>
      <c r="AM123" s="580"/>
      <c r="AN123" s="579"/>
      <c r="AO123" s="577"/>
      <c r="AP123" s="579"/>
      <c r="AQ123" s="580"/>
      <c r="AR123" s="579"/>
      <c r="AS123" s="579"/>
      <c r="AT123" s="579"/>
      <c r="AU123" s="580"/>
      <c r="AV123" s="579"/>
      <c r="AW123" s="579"/>
      <c r="AX123" s="158"/>
      <c r="AY123" s="154"/>
      <c r="AZ123">
        <f ca="1">INDIRECT(ADDRESS(ROW()+1,COLUMN(Arbeitszeit!xDay),,,"Arbeitszeit"))</f>
        <v>6</v>
      </c>
    </row>
    <row r="124" spans="1:52">
      <c r="A124" s="520">
        <f>Arbeitszeit!A125</f>
        <v>43584</v>
      </c>
      <c r="B124" s="521">
        <f t="shared" si="4"/>
        <v>43584</v>
      </c>
      <c r="C124" s="191">
        <f t="shared" si="5"/>
        <v>17</v>
      </c>
      <c r="D124" s="190">
        <f t="shared" si="6"/>
        <v>43555</v>
      </c>
      <c r="E124" s="589">
        <f>Arbeitszeit!V125*24</f>
        <v>0</v>
      </c>
      <c r="F124" s="349">
        <f t="shared" si="7"/>
        <v>0</v>
      </c>
      <c r="G124" s="155">
        <f>IF(Arbeitszeit!F125=Urlaub,B_WorkTime*24,)</f>
        <v>0</v>
      </c>
      <c r="H124" s="153"/>
      <c r="I124" s="155">
        <f>IF(Arbeitszeit!F125=Krank,B_WorkTime*24,)</f>
        <v>0</v>
      </c>
      <c r="J124" s="153"/>
      <c r="K124" s="156"/>
      <c r="L124" s="157"/>
      <c r="M124" s="577"/>
      <c r="N124" s="578"/>
      <c r="O124" s="577"/>
      <c r="P124" s="578"/>
      <c r="Q124" s="577"/>
      <c r="R124" s="578"/>
      <c r="S124" s="577"/>
      <c r="T124" s="578"/>
      <c r="U124" s="577"/>
      <c r="V124" s="578"/>
      <c r="W124" s="577"/>
      <c r="X124" s="578"/>
      <c r="Y124" s="577"/>
      <c r="Z124" s="578"/>
      <c r="AA124" s="577"/>
      <c r="AB124" s="578"/>
      <c r="AC124" s="577"/>
      <c r="AD124" s="578"/>
      <c r="AE124" s="577"/>
      <c r="AF124" s="579"/>
      <c r="AG124" s="577"/>
      <c r="AH124" s="579"/>
      <c r="AI124" s="577"/>
      <c r="AJ124" s="579"/>
      <c r="AK124" s="577"/>
      <c r="AL124" s="579"/>
      <c r="AM124" s="580"/>
      <c r="AN124" s="579"/>
      <c r="AO124" s="577"/>
      <c r="AP124" s="579"/>
      <c r="AQ124" s="580"/>
      <c r="AR124" s="579"/>
      <c r="AS124" s="579"/>
      <c r="AT124" s="579"/>
      <c r="AU124" s="580"/>
      <c r="AV124" s="579"/>
      <c r="AW124" s="579"/>
      <c r="AX124" s="158"/>
      <c r="AY124" s="154"/>
      <c r="AZ124">
        <f ca="1">INDIRECT(ADDRESS(ROW()+1,COLUMN(Arbeitszeit!xDay),,,"Arbeitszeit"))</f>
        <v>7</v>
      </c>
    </row>
    <row r="125" spans="1:52">
      <c r="A125" s="520">
        <f>Arbeitszeit!A126</f>
        <v>43585</v>
      </c>
      <c r="B125" s="521">
        <f t="shared" si="4"/>
        <v>43585</v>
      </c>
      <c r="C125" s="191">
        <f t="shared" si="5"/>
        <v>18</v>
      </c>
      <c r="D125" s="190">
        <f t="shared" si="6"/>
        <v>43585</v>
      </c>
      <c r="E125" s="589">
        <f>Arbeitszeit!V126*24</f>
        <v>0</v>
      </c>
      <c r="F125" s="349">
        <f t="shared" si="7"/>
        <v>0</v>
      </c>
      <c r="G125" s="155">
        <f>IF(Arbeitszeit!F126=Urlaub,B_WorkTime*24,)</f>
        <v>0</v>
      </c>
      <c r="H125" s="153"/>
      <c r="I125" s="155">
        <f>IF(Arbeitszeit!F126=Krank,B_WorkTime*24,)</f>
        <v>0</v>
      </c>
      <c r="J125" s="153"/>
      <c r="K125" s="156"/>
      <c r="L125" s="157"/>
      <c r="M125" s="577"/>
      <c r="N125" s="578"/>
      <c r="O125" s="577"/>
      <c r="P125" s="578"/>
      <c r="Q125" s="577"/>
      <c r="R125" s="578"/>
      <c r="S125" s="577"/>
      <c r="T125" s="578"/>
      <c r="U125" s="577"/>
      <c r="V125" s="578"/>
      <c r="W125" s="577"/>
      <c r="X125" s="578"/>
      <c r="Y125" s="577"/>
      <c r="Z125" s="578"/>
      <c r="AA125" s="577"/>
      <c r="AB125" s="578"/>
      <c r="AC125" s="577"/>
      <c r="AD125" s="578"/>
      <c r="AE125" s="577"/>
      <c r="AF125" s="579"/>
      <c r="AG125" s="577"/>
      <c r="AH125" s="579"/>
      <c r="AI125" s="577"/>
      <c r="AJ125" s="579"/>
      <c r="AK125" s="577"/>
      <c r="AL125" s="579"/>
      <c r="AM125" s="580"/>
      <c r="AN125" s="579"/>
      <c r="AO125" s="577"/>
      <c r="AP125" s="579"/>
      <c r="AQ125" s="580"/>
      <c r="AR125" s="579"/>
      <c r="AS125" s="579"/>
      <c r="AT125" s="579"/>
      <c r="AU125" s="580"/>
      <c r="AV125" s="579"/>
      <c r="AW125" s="579"/>
      <c r="AX125" s="158"/>
      <c r="AY125" s="154"/>
      <c r="AZ125">
        <f ca="1">INDIRECT(ADDRESS(ROW()+1,COLUMN(Arbeitszeit!xDay),,,"Arbeitszeit"))</f>
        <v>8</v>
      </c>
    </row>
    <row r="126" spans="1:52">
      <c r="A126" s="520">
        <f>Arbeitszeit!A127</f>
        <v>43586</v>
      </c>
      <c r="B126" s="521">
        <f t="shared" si="4"/>
        <v>43586</v>
      </c>
      <c r="C126" s="191">
        <f t="shared" si="5"/>
        <v>18</v>
      </c>
      <c r="D126" s="190">
        <f t="shared" si="6"/>
        <v>43585</v>
      </c>
      <c r="E126" s="589">
        <f>Arbeitszeit!V127*24</f>
        <v>0</v>
      </c>
      <c r="F126" s="349">
        <f t="shared" si="7"/>
        <v>0</v>
      </c>
      <c r="G126" s="155">
        <f>IF(Arbeitszeit!F127=Urlaub,B_WorkTime*24,)</f>
        <v>0</v>
      </c>
      <c r="H126" s="153"/>
      <c r="I126" s="155">
        <f>IF(Arbeitszeit!F127=Krank,B_WorkTime*24,)</f>
        <v>0</v>
      </c>
      <c r="J126" s="153"/>
      <c r="K126" s="156"/>
      <c r="L126" s="157"/>
      <c r="M126" s="577"/>
      <c r="N126" s="578"/>
      <c r="O126" s="577"/>
      <c r="P126" s="578"/>
      <c r="Q126" s="577"/>
      <c r="R126" s="578"/>
      <c r="S126" s="577"/>
      <c r="T126" s="578"/>
      <c r="U126" s="577"/>
      <c r="V126" s="578"/>
      <c r="W126" s="577"/>
      <c r="X126" s="578"/>
      <c r="Y126" s="577"/>
      <c r="Z126" s="578"/>
      <c r="AA126" s="577"/>
      <c r="AB126" s="578"/>
      <c r="AC126" s="577"/>
      <c r="AD126" s="578"/>
      <c r="AE126" s="577"/>
      <c r="AF126" s="579"/>
      <c r="AG126" s="577"/>
      <c r="AH126" s="579"/>
      <c r="AI126" s="577"/>
      <c r="AJ126" s="579"/>
      <c r="AK126" s="577"/>
      <c r="AL126" s="579"/>
      <c r="AM126" s="580"/>
      <c r="AN126" s="579"/>
      <c r="AO126" s="577"/>
      <c r="AP126" s="579"/>
      <c r="AQ126" s="580"/>
      <c r="AR126" s="579"/>
      <c r="AS126" s="579"/>
      <c r="AT126" s="579"/>
      <c r="AU126" s="580"/>
      <c r="AV126" s="579"/>
      <c r="AW126" s="579"/>
      <c r="AX126" s="158"/>
      <c r="AY126" s="154"/>
      <c r="AZ126">
        <f ca="1">INDIRECT(ADDRESS(ROW()+1,COLUMN(Arbeitszeit!xDay),,,"Arbeitszeit"))</f>
        <v>2</v>
      </c>
    </row>
    <row r="127" spans="1:52">
      <c r="A127" s="520">
        <f>Arbeitszeit!A128</f>
        <v>43587</v>
      </c>
      <c r="B127" s="521">
        <f t="shared" si="4"/>
        <v>43587</v>
      </c>
      <c r="C127" s="191">
        <f t="shared" si="5"/>
        <v>18</v>
      </c>
      <c r="D127" s="190">
        <f t="shared" si="6"/>
        <v>43585</v>
      </c>
      <c r="E127" s="589">
        <f>Arbeitszeit!V128*24</f>
        <v>0</v>
      </c>
      <c r="F127" s="349">
        <f t="shared" si="7"/>
        <v>0</v>
      </c>
      <c r="G127" s="155">
        <f>IF(Arbeitszeit!F128=Urlaub,B_WorkTime*24,)</f>
        <v>0</v>
      </c>
      <c r="H127" s="153"/>
      <c r="I127" s="155">
        <f>IF(Arbeitszeit!F128=Krank,B_WorkTime*24,)</f>
        <v>0</v>
      </c>
      <c r="J127" s="153"/>
      <c r="K127" s="156"/>
      <c r="L127" s="157"/>
      <c r="M127" s="577"/>
      <c r="N127" s="578"/>
      <c r="O127" s="577"/>
      <c r="P127" s="578"/>
      <c r="Q127" s="577"/>
      <c r="R127" s="578"/>
      <c r="S127" s="577"/>
      <c r="T127" s="578"/>
      <c r="U127" s="577"/>
      <c r="V127" s="578"/>
      <c r="W127" s="577"/>
      <c r="X127" s="578"/>
      <c r="Y127" s="577"/>
      <c r="Z127" s="578"/>
      <c r="AA127" s="577"/>
      <c r="AB127" s="578"/>
      <c r="AC127" s="577"/>
      <c r="AD127" s="578"/>
      <c r="AE127" s="577"/>
      <c r="AF127" s="579"/>
      <c r="AG127" s="577"/>
      <c r="AH127" s="579"/>
      <c r="AI127" s="577"/>
      <c r="AJ127" s="579"/>
      <c r="AK127" s="577"/>
      <c r="AL127" s="579"/>
      <c r="AM127" s="580"/>
      <c r="AN127" s="579"/>
      <c r="AO127" s="577"/>
      <c r="AP127" s="579"/>
      <c r="AQ127" s="580"/>
      <c r="AR127" s="579"/>
      <c r="AS127" s="579"/>
      <c r="AT127" s="579"/>
      <c r="AU127" s="580"/>
      <c r="AV127" s="579"/>
      <c r="AW127" s="579"/>
      <c r="AX127" s="158"/>
      <c r="AY127" s="154"/>
      <c r="AZ127">
        <f ca="1">INDIRECT(ADDRESS(ROW()+1,COLUMN(Arbeitszeit!xDay),,,"Arbeitszeit"))</f>
        <v>3</v>
      </c>
    </row>
    <row r="128" spans="1:52">
      <c r="A128" s="520">
        <f>Arbeitszeit!A129</f>
        <v>43588</v>
      </c>
      <c r="B128" s="521">
        <f t="shared" si="4"/>
        <v>43588</v>
      </c>
      <c r="C128" s="191">
        <f t="shared" si="5"/>
        <v>18</v>
      </c>
      <c r="D128" s="190">
        <f t="shared" si="6"/>
        <v>43585</v>
      </c>
      <c r="E128" s="589">
        <f>Arbeitszeit!V129*24</f>
        <v>0</v>
      </c>
      <c r="F128" s="349">
        <f t="shared" si="7"/>
        <v>0</v>
      </c>
      <c r="G128" s="155">
        <f>IF(Arbeitszeit!F129=Urlaub,B_WorkTime*24,)</f>
        <v>0</v>
      </c>
      <c r="H128" s="153"/>
      <c r="I128" s="155">
        <f>IF(Arbeitszeit!F129=Krank,B_WorkTime*24,)</f>
        <v>0</v>
      </c>
      <c r="J128" s="153"/>
      <c r="K128" s="156"/>
      <c r="L128" s="157"/>
      <c r="M128" s="577"/>
      <c r="N128" s="578"/>
      <c r="O128" s="577"/>
      <c r="P128" s="578"/>
      <c r="Q128" s="577"/>
      <c r="R128" s="578"/>
      <c r="S128" s="577"/>
      <c r="T128" s="578"/>
      <c r="U128" s="577"/>
      <c r="V128" s="578"/>
      <c r="W128" s="577"/>
      <c r="X128" s="578"/>
      <c r="Y128" s="577"/>
      <c r="Z128" s="578"/>
      <c r="AA128" s="577"/>
      <c r="AB128" s="578"/>
      <c r="AC128" s="577"/>
      <c r="AD128" s="578"/>
      <c r="AE128" s="577"/>
      <c r="AF128" s="579"/>
      <c r="AG128" s="577"/>
      <c r="AH128" s="579"/>
      <c r="AI128" s="577"/>
      <c r="AJ128" s="579"/>
      <c r="AK128" s="577"/>
      <c r="AL128" s="579"/>
      <c r="AM128" s="580"/>
      <c r="AN128" s="579"/>
      <c r="AO128" s="577"/>
      <c r="AP128" s="579"/>
      <c r="AQ128" s="580"/>
      <c r="AR128" s="579"/>
      <c r="AS128" s="579"/>
      <c r="AT128" s="579"/>
      <c r="AU128" s="580"/>
      <c r="AV128" s="579"/>
      <c r="AW128" s="579"/>
      <c r="AX128" s="158"/>
      <c r="AY128" s="154"/>
      <c r="AZ128">
        <f ca="1">INDIRECT(ADDRESS(ROW()+1,COLUMN(Arbeitszeit!xDay),,,"Arbeitszeit"))</f>
        <v>4</v>
      </c>
    </row>
    <row r="129" spans="1:52">
      <c r="A129" s="520">
        <f>Arbeitszeit!A130</f>
        <v>43589</v>
      </c>
      <c r="B129" s="521">
        <f t="shared" si="4"/>
        <v>43589</v>
      </c>
      <c r="C129" s="191">
        <f t="shared" si="5"/>
        <v>18</v>
      </c>
      <c r="D129" s="190">
        <f t="shared" si="6"/>
        <v>43585</v>
      </c>
      <c r="E129" s="589">
        <f>Arbeitszeit!V130*24</f>
        <v>0</v>
      </c>
      <c r="F129" s="349">
        <f t="shared" si="7"/>
        <v>0</v>
      </c>
      <c r="G129" s="155">
        <f>IF(Arbeitszeit!F130=Urlaub,B_WorkTime*24,)</f>
        <v>0</v>
      </c>
      <c r="H129" s="153"/>
      <c r="I129" s="155">
        <f>IF(Arbeitszeit!F130=Krank,B_WorkTime*24,)</f>
        <v>0</v>
      </c>
      <c r="J129" s="153"/>
      <c r="K129" s="156"/>
      <c r="L129" s="157"/>
      <c r="M129" s="577"/>
      <c r="N129" s="578"/>
      <c r="O129" s="577"/>
      <c r="P129" s="578"/>
      <c r="Q129" s="577"/>
      <c r="R129" s="578"/>
      <c r="S129" s="577"/>
      <c r="T129" s="578"/>
      <c r="U129" s="577"/>
      <c r="V129" s="578"/>
      <c r="W129" s="577"/>
      <c r="X129" s="578"/>
      <c r="Y129" s="577"/>
      <c r="Z129" s="578"/>
      <c r="AA129" s="577"/>
      <c r="AB129" s="578"/>
      <c r="AC129" s="577"/>
      <c r="AD129" s="578"/>
      <c r="AE129" s="577"/>
      <c r="AF129" s="579"/>
      <c r="AG129" s="577"/>
      <c r="AH129" s="579"/>
      <c r="AI129" s="577"/>
      <c r="AJ129" s="579"/>
      <c r="AK129" s="577"/>
      <c r="AL129" s="579"/>
      <c r="AM129" s="580"/>
      <c r="AN129" s="579"/>
      <c r="AO129" s="577"/>
      <c r="AP129" s="579"/>
      <c r="AQ129" s="580"/>
      <c r="AR129" s="579"/>
      <c r="AS129" s="579"/>
      <c r="AT129" s="579"/>
      <c r="AU129" s="580"/>
      <c r="AV129" s="579"/>
      <c r="AW129" s="579"/>
      <c r="AX129" s="158"/>
      <c r="AY129" s="154"/>
      <c r="AZ129">
        <f ca="1">INDIRECT(ADDRESS(ROW()+1,COLUMN(Arbeitszeit!xDay),,,"Arbeitszeit"))</f>
        <v>5</v>
      </c>
    </row>
    <row r="130" spans="1:52">
      <c r="A130" s="520">
        <f>Arbeitszeit!A131</f>
        <v>43590</v>
      </c>
      <c r="B130" s="521">
        <f t="shared" si="4"/>
        <v>43590</v>
      </c>
      <c r="C130" s="191">
        <f t="shared" si="5"/>
        <v>18</v>
      </c>
      <c r="D130" s="190">
        <f t="shared" si="6"/>
        <v>43585</v>
      </c>
      <c r="E130" s="589">
        <f>Arbeitszeit!V131*24</f>
        <v>0</v>
      </c>
      <c r="F130" s="349">
        <f t="shared" si="7"/>
        <v>0</v>
      </c>
      <c r="G130" s="155">
        <f>IF(Arbeitszeit!F131=Urlaub,B_WorkTime*24,)</f>
        <v>0</v>
      </c>
      <c r="H130" s="153"/>
      <c r="I130" s="155">
        <f>IF(Arbeitszeit!F131=Krank,B_WorkTime*24,)</f>
        <v>0</v>
      </c>
      <c r="J130" s="153"/>
      <c r="K130" s="156"/>
      <c r="L130" s="157"/>
      <c r="M130" s="577"/>
      <c r="N130" s="578"/>
      <c r="O130" s="577"/>
      <c r="P130" s="578"/>
      <c r="Q130" s="577"/>
      <c r="R130" s="578"/>
      <c r="S130" s="577"/>
      <c r="T130" s="578"/>
      <c r="U130" s="577"/>
      <c r="V130" s="578"/>
      <c r="W130" s="577"/>
      <c r="X130" s="578"/>
      <c r="Y130" s="577"/>
      <c r="Z130" s="578"/>
      <c r="AA130" s="577"/>
      <c r="AB130" s="578"/>
      <c r="AC130" s="577"/>
      <c r="AD130" s="578"/>
      <c r="AE130" s="577"/>
      <c r="AF130" s="579"/>
      <c r="AG130" s="577"/>
      <c r="AH130" s="579"/>
      <c r="AI130" s="577"/>
      <c r="AJ130" s="579"/>
      <c r="AK130" s="577"/>
      <c r="AL130" s="579"/>
      <c r="AM130" s="580"/>
      <c r="AN130" s="579"/>
      <c r="AO130" s="577"/>
      <c r="AP130" s="579"/>
      <c r="AQ130" s="580"/>
      <c r="AR130" s="579"/>
      <c r="AS130" s="579"/>
      <c r="AT130" s="579"/>
      <c r="AU130" s="580"/>
      <c r="AV130" s="579"/>
      <c r="AW130" s="579"/>
      <c r="AX130" s="158"/>
      <c r="AY130" s="154"/>
      <c r="AZ130">
        <f ca="1">INDIRECT(ADDRESS(ROW()+1,COLUMN(Arbeitszeit!xDay),,,"Arbeitszeit"))</f>
        <v>6</v>
      </c>
    </row>
    <row r="131" spans="1:52">
      <c r="A131" s="520">
        <f>Arbeitszeit!A132</f>
        <v>43591</v>
      </c>
      <c r="B131" s="521">
        <f t="shared" si="4"/>
        <v>43591</v>
      </c>
      <c r="C131" s="191">
        <f t="shared" si="5"/>
        <v>18</v>
      </c>
      <c r="D131" s="190">
        <f t="shared" si="6"/>
        <v>43585</v>
      </c>
      <c r="E131" s="589">
        <f>Arbeitszeit!V132*24</f>
        <v>0</v>
      </c>
      <c r="F131" s="349">
        <f t="shared" si="7"/>
        <v>0</v>
      </c>
      <c r="G131" s="155">
        <f>IF(Arbeitszeit!F132=Urlaub,B_WorkTime*24,)</f>
        <v>0</v>
      </c>
      <c r="H131" s="153"/>
      <c r="I131" s="155">
        <f>IF(Arbeitszeit!F132=Krank,B_WorkTime*24,)</f>
        <v>0</v>
      </c>
      <c r="J131" s="153"/>
      <c r="K131" s="156"/>
      <c r="L131" s="157"/>
      <c r="M131" s="577"/>
      <c r="N131" s="578"/>
      <c r="O131" s="577"/>
      <c r="P131" s="578"/>
      <c r="Q131" s="577"/>
      <c r="R131" s="578"/>
      <c r="S131" s="577"/>
      <c r="T131" s="578"/>
      <c r="U131" s="577"/>
      <c r="V131" s="578"/>
      <c r="W131" s="577"/>
      <c r="X131" s="578"/>
      <c r="Y131" s="577"/>
      <c r="Z131" s="578"/>
      <c r="AA131" s="577"/>
      <c r="AB131" s="578"/>
      <c r="AC131" s="577"/>
      <c r="AD131" s="578"/>
      <c r="AE131" s="577"/>
      <c r="AF131" s="579"/>
      <c r="AG131" s="577"/>
      <c r="AH131" s="579"/>
      <c r="AI131" s="577"/>
      <c r="AJ131" s="579"/>
      <c r="AK131" s="577"/>
      <c r="AL131" s="579"/>
      <c r="AM131" s="580"/>
      <c r="AN131" s="579"/>
      <c r="AO131" s="577"/>
      <c r="AP131" s="579"/>
      <c r="AQ131" s="580"/>
      <c r="AR131" s="579"/>
      <c r="AS131" s="579"/>
      <c r="AT131" s="579"/>
      <c r="AU131" s="580"/>
      <c r="AV131" s="579"/>
      <c r="AW131" s="579"/>
      <c r="AX131" s="158"/>
      <c r="AY131" s="154"/>
      <c r="AZ131">
        <f ca="1">INDIRECT(ADDRESS(ROW()+1,COLUMN(Arbeitszeit!xDay),,,"Arbeitszeit"))</f>
        <v>7</v>
      </c>
    </row>
    <row r="132" spans="1:52">
      <c r="A132" s="520">
        <f>Arbeitszeit!A133</f>
        <v>43592</v>
      </c>
      <c r="B132" s="521">
        <f t="shared" si="4"/>
        <v>43592</v>
      </c>
      <c r="C132" s="191">
        <f t="shared" si="5"/>
        <v>19</v>
      </c>
      <c r="D132" s="190">
        <f t="shared" si="6"/>
        <v>43585</v>
      </c>
      <c r="E132" s="589">
        <f>Arbeitszeit!V133*24</f>
        <v>0</v>
      </c>
      <c r="F132" s="349">
        <f t="shared" si="7"/>
        <v>0</v>
      </c>
      <c r="G132" s="155">
        <f>IF(Arbeitszeit!F133=Urlaub,B_WorkTime*24,)</f>
        <v>0</v>
      </c>
      <c r="H132" s="153"/>
      <c r="I132" s="155">
        <f>IF(Arbeitszeit!F133=Krank,B_WorkTime*24,)</f>
        <v>0</v>
      </c>
      <c r="J132" s="153"/>
      <c r="K132" s="156"/>
      <c r="L132" s="157"/>
      <c r="M132" s="577"/>
      <c r="N132" s="578"/>
      <c r="O132" s="577"/>
      <c r="P132" s="578"/>
      <c r="Q132" s="577"/>
      <c r="R132" s="578"/>
      <c r="S132" s="577"/>
      <c r="T132" s="578"/>
      <c r="U132" s="577"/>
      <c r="V132" s="578"/>
      <c r="W132" s="577"/>
      <c r="X132" s="578"/>
      <c r="Y132" s="577"/>
      <c r="Z132" s="578"/>
      <c r="AA132" s="577"/>
      <c r="AB132" s="578"/>
      <c r="AC132" s="577"/>
      <c r="AD132" s="578"/>
      <c r="AE132" s="577"/>
      <c r="AF132" s="579"/>
      <c r="AG132" s="577"/>
      <c r="AH132" s="579"/>
      <c r="AI132" s="577"/>
      <c r="AJ132" s="579"/>
      <c r="AK132" s="577"/>
      <c r="AL132" s="579"/>
      <c r="AM132" s="580"/>
      <c r="AN132" s="579"/>
      <c r="AO132" s="577"/>
      <c r="AP132" s="579"/>
      <c r="AQ132" s="580"/>
      <c r="AR132" s="579"/>
      <c r="AS132" s="579"/>
      <c r="AT132" s="579"/>
      <c r="AU132" s="580"/>
      <c r="AV132" s="579"/>
      <c r="AW132" s="579"/>
      <c r="AX132" s="158"/>
      <c r="AY132" s="154"/>
      <c r="AZ132">
        <f ca="1">INDIRECT(ADDRESS(ROW()+1,COLUMN(Arbeitszeit!xDay),,,"Arbeitszeit"))</f>
        <v>1</v>
      </c>
    </row>
    <row r="133" spans="1:52">
      <c r="A133" s="520">
        <f>Arbeitszeit!A134</f>
        <v>43593</v>
      </c>
      <c r="B133" s="521">
        <f t="shared" si="4"/>
        <v>43593</v>
      </c>
      <c r="C133" s="191">
        <f t="shared" si="5"/>
        <v>19</v>
      </c>
      <c r="D133" s="190">
        <f t="shared" si="6"/>
        <v>43585</v>
      </c>
      <c r="E133" s="589">
        <f>Arbeitszeit!V134*24</f>
        <v>0</v>
      </c>
      <c r="F133" s="349">
        <f t="shared" si="7"/>
        <v>0</v>
      </c>
      <c r="G133" s="155">
        <f>IF(Arbeitszeit!F134=Urlaub,B_WorkTime*24,)</f>
        <v>0</v>
      </c>
      <c r="H133" s="153"/>
      <c r="I133" s="155">
        <f>IF(Arbeitszeit!F134=Krank,B_WorkTime*24,)</f>
        <v>0</v>
      </c>
      <c r="J133" s="153"/>
      <c r="K133" s="156"/>
      <c r="L133" s="157"/>
      <c r="M133" s="577"/>
      <c r="N133" s="578"/>
      <c r="O133" s="577"/>
      <c r="P133" s="578"/>
      <c r="Q133" s="577"/>
      <c r="R133" s="578"/>
      <c r="S133" s="577"/>
      <c r="T133" s="578"/>
      <c r="U133" s="577"/>
      <c r="V133" s="578"/>
      <c r="W133" s="577"/>
      <c r="X133" s="578"/>
      <c r="Y133" s="577"/>
      <c r="Z133" s="578"/>
      <c r="AA133" s="577"/>
      <c r="AB133" s="578"/>
      <c r="AC133" s="577"/>
      <c r="AD133" s="578"/>
      <c r="AE133" s="577"/>
      <c r="AF133" s="579"/>
      <c r="AG133" s="577"/>
      <c r="AH133" s="579"/>
      <c r="AI133" s="577"/>
      <c r="AJ133" s="579"/>
      <c r="AK133" s="577"/>
      <c r="AL133" s="579"/>
      <c r="AM133" s="580"/>
      <c r="AN133" s="579"/>
      <c r="AO133" s="577"/>
      <c r="AP133" s="579"/>
      <c r="AQ133" s="580"/>
      <c r="AR133" s="579"/>
      <c r="AS133" s="579"/>
      <c r="AT133" s="579"/>
      <c r="AU133" s="580"/>
      <c r="AV133" s="579"/>
      <c r="AW133" s="579"/>
      <c r="AX133" s="158"/>
      <c r="AY133" s="154"/>
      <c r="AZ133">
        <f ca="1">INDIRECT(ADDRESS(ROW()+1,COLUMN(Arbeitszeit!xDay),,,"Arbeitszeit"))</f>
        <v>2</v>
      </c>
    </row>
    <row r="134" spans="1:52">
      <c r="A134" s="520">
        <f>Arbeitszeit!A135</f>
        <v>43594</v>
      </c>
      <c r="B134" s="521">
        <f t="shared" ref="B134:B197" si="8">IF(A134="","",A134)</f>
        <v>43594</v>
      </c>
      <c r="C134" s="191">
        <f t="shared" si="5"/>
        <v>19</v>
      </c>
      <c r="D134" s="190">
        <f t="shared" si="6"/>
        <v>43585</v>
      </c>
      <c r="E134" s="589">
        <f>Arbeitszeit!V135*24</f>
        <v>0</v>
      </c>
      <c r="F134" s="349">
        <f t="shared" si="7"/>
        <v>0</v>
      </c>
      <c r="G134" s="155">
        <f>IF(Arbeitszeit!F135=Urlaub,B_WorkTime*24,)</f>
        <v>0</v>
      </c>
      <c r="H134" s="153"/>
      <c r="I134" s="155">
        <f>IF(Arbeitszeit!F135=Krank,B_WorkTime*24,)</f>
        <v>0</v>
      </c>
      <c r="J134" s="153"/>
      <c r="K134" s="156"/>
      <c r="L134" s="157"/>
      <c r="M134" s="577"/>
      <c r="N134" s="578"/>
      <c r="O134" s="577"/>
      <c r="P134" s="578"/>
      <c r="Q134" s="577"/>
      <c r="R134" s="578"/>
      <c r="S134" s="577"/>
      <c r="T134" s="578"/>
      <c r="U134" s="577"/>
      <c r="V134" s="578"/>
      <c r="W134" s="577"/>
      <c r="X134" s="578"/>
      <c r="Y134" s="577"/>
      <c r="Z134" s="578"/>
      <c r="AA134" s="577"/>
      <c r="AB134" s="578"/>
      <c r="AC134" s="577"/>
      <c r="AD134" s="578"/>
      <c r="AE134" s="577"/>
      <c r="AF134" s="579"/>
      <c r="AG134" s="577"/>
      <c r="AH134" s="579"/>
      <c r="AI134" s="577"/>
      <c r="AJ134" s="579"/>
      <c r="AK134" s="577"/>
      <c r="AL134" s="579"/>
      <c r="AM134" s="580"/>
      <c r="AN134" s="579"/>
      <c r="AO134" s="577"/>
      <c r="AP134" s="579"/>
      <c r="AQ134" s="580"/>
      <c r="AR134" s="579"/>
      <c r="AS134" s="579"/>
      <c r="AT134" s="579"/>
      <c r="AU134" s="580"/>
      <c r="AV134" s="579"/>
      <c r="AW134" s="579"/>
      <c r="AX134" s="158"/>
      <c r="AY134" s="154"/>
      <c r="AZ134">
        <f ca="1">INDIRECT(ADDRESS(ROW()+1,COLUMN(Arbeitszeit!xDay),,,"Arbeitszeit"))</f>
        <v>3</v>
      </c>
    </row>
    <row r="135" spans="1:52">
      <c r="A135" s="520">
        <f>Arbeitszeit!A136</f>
        <v>43595</v>
      </c>
      <c r="B135" s="521">
        <f t="shared" si="8"/>
        <v>43595</v>
      </c>
      <c r="C135" s="191">
        <f t="shared" ref="C135:C198" si="9">IF(A135="","",NumberOfWeek(A135))</f>
        <v>19</v>
      </c>
      <c r="D135" s="190">
        <f t="shared" ref="D135:D198" si="10">IF(A135="","",DATE(YEAR(A135),MONTH(A135),1))</f>
        <v>43585</v>
      </c>
      <c r="E135" s="589">
        <f>Arbeitszeit!V136*24</f>
        <v>0</v>
      </c>
      <c r="F135" s="349">
        <f t="shared" si="7"/>
        <v>0</v>
      </c>
      <c r="G135" s="155">
        <f>IF(Arbeitszeit!F136=Urlaub,B_WorkTime*24,)</f>
        <v>0</v>
      </c>
      <c r="H135" s="153"/>
      <c r="I135" s="155">
        <f>IF(Arbeitszeit!F136=Krank,B_WorkTime*24,)</f>
        <v>0</v>
      </c>
      <c r="J135" s="153"/>
      <c r="K135" s="156"/>
      <c r="L135" s="157"/>
      <c r="M135" s="577"/>
      <c r="N135" s="578"/>
      <c r="O135" s="577"/>
      <c r="P135" s="578"/>
      <c r="Q135" s="577"/>
      <c r="R135" s="578"/>
      <c r="S135" s="577"/>
      <c r="T135" s="578"/>
      <c r="U135" s="577"/>
      <c r="V135" s="578"/>
      <c r="W135" s="577"/>
      <c r="X135" s="578"/>
      <c r="Y135" s="577"/>
      <c r="Z135" s="578"/>
      <c r="AA135" s="577"/>
      <c r="AB135" s="578"/>
      <c r="AC135" s="577"/>
      <c r="AD135" s="578"/>
      <c r="AE135" s="577"/>
      <c r="AF135" s="579"/>
      <c r="AG135" s="577"/>
      <c r="AH135" s="579"/>
      <c r="AI135" s="577"/>
      <c r="AJ135" s="579"/>
      <c r="AK135" s="577"/>
      <c r="AL135" s="579"/>
      <c r="AM135" s="580"/>
      <c r="AN135" s="579"/>
      <c r="AO135" s="577"/>
      <c r="AP135" s="579"/>
      <c r="AQ135" s="580"/>
      <c r="AR135" s="579"/>
      <c r="AS135" s="579"/>
      <c r="AT135" s="579"/>
      <c r="AU135" s="580"/>
      <c r="AV135" s="579"/>
      <c r="AW135" s="579"/>
      <c r="AX135" s="158"/>
      <c r="AY135" s="154"/>
      <c r="AZ135">
        <f ca="1">INDIRECT(ADDRESS(ROW()+1,COLUMN(Arbeitszeit!xDay),,,"Arbeitszeit"))</f>
        <v>4</v>
      </c>
    </row>
    <row r="136" spans="1:52">
      <c r="A136" s="520">
        <f>Arbeitszeit!A137</f>
        <v>43596</v>
      </c>
      <c r="B136" s="521">
        <f t="shared" si="8"/>
        <v>43596</v>
      </c>
      <c r="C136" s="191">
        <f t="shared" si="9"/>
        <v>19</v>
      </c>
      <c r="D136" s="190">
        <f t="shared" si="10"/>
        <v>43585</v>
      </c>
      <c r="E136" s="589">
        <f>Arbeitszeit!V137*24</f>
        <v>0</v>
      </c>
      <c r="F136" s="349">
        <f t="shared" ref="F136:F199" si="11">ROUND(E136-SUM(K136:AW136),1)</f>
        <v>0</v>
      </c>
      <c r="G136" s="155">
        <f>IF(Arbeitszeit!F137=Urlaub,B_WorkTime*24,)</f>
        <v>0</v>
      </c>
      <c r="H136" s="153"/>
      <c r="I136" s="155">
        <f>IF(Arbeitszeit!F137=Krank,B_WorkTime*24,)</f>
        <v>0</v>
      </c>
      <c r="J136" s="153"/>
      <c r="K136" s="156"/>
      <c r="L136" s="157"/>
      <c r="M136" s="577"/>
      <c r="N136" s="578"/>
      <c r="O136" s="577"/>
      <c r="P136" s="578"/>
      <c r="Q136" s="577"/>
      <c r="R136" s="578"/>
      <c r="S136" s="577"/>
      <c r="T136" s="578"/>
      <c r="U136" s="577"/>
      <c r="V136" s="578"/>
      <c r="W136" s="577"/>
      <c r="X136" s="578"/>
      <c r="Y136" s="577"/>
      <c r="Z136" s="578"/>
      <c r="AA136" s="577"/>
      <c r="AB136" s="578"/>
      <c r="AC136" s="577"/>
      <c r="AD136" s="578"/>
      <c r="AE136" s="577"/>
      <c r="AF136" s="579"/>
      <c r="AG136" s="577"/>
      <c r="AH136" s="579"/>
      <c r="AI136" s="577"/>
      <c r="AJ136" s="579"/>
      <c r="AK136" s="577"/>
      <c r="AL136" s="579"/>
      <c r="AM136" s="580"/>
      <c r="AN136" s="579"/>
      <c r="AO136" s="577"/>
      <c r="AP136" s="579"/>
      <c r="AQ136" s="580"/>
      <c r="AR136" s="579"/>
      <c r="AS136" s="579"/>
      <c r="AT136" s="579"/>
      <c r="AU136" s="580"/>
      <c r="AV136" s="579"/>
      <c r="AW136" s="579"/>
      <c r="AX136" s="158"/>
      <c r="AY136" s="154"/>
      <c r="AZ136">
        <f ca="1">INDIRECT(ADDRESS(ROW()+1,COLUMN(Arbeitszeit!xDay),,,"Arbeitszeit"))</f>
        <v>5</v>
      </c>
    </row>
    <row r="137" spans="1:52">
      <c r="A137" s="520">
        <f>Arbeitszeit!A138</f>
        <v>43597</v>
      </c>
      <c r="B137" s="521">
        <f t="shared" si="8"/>
        <v>43597</v>
      </c>
      <c r="C137" s="191">
        <f t="shared" si="9"/>
        <v>19</v>
      </c>
      <c r="D137" s="190">
        <f t="shared" si="10"/>
        <v>43585</v>
      </c>
      <c r="E137" s="589">
        <f>Arbeitszeit!V138*24</f>
        <v>0</v>
      </c>
      <c r="F137" s="349">
        <f t="shared" si="11"/>
        <v>0</v>
      </c>
      <c r="G137" s="155">
        <f>IF(Arbeitszeit!F138=Urlaub,B_WorkTime*24,)</f>
        <v>0</v>
      </c>
      <c r="H137" s="153"/>
      <c r="I137" s="155">
        <f>IF(Arbeitszeit!F138=Krank,B_WorkTime*24,)</f>
        <v>0</v>
      </c>
      <c r="J137" s="153"/>
      <c r="K137" s="156"/>
      <c r="L137" s="157"/>
      <c r="M137" s="577"/>
      <c r="N137" s="578"/>
      <c r="O137" s="577"/>
      <c r="P137" s="578"/>
      <c r="Q137" s="577"/>
      <c r="R137" s="578"/>
      <c r="S137" s="577"/>
      <c r="T137" s="578"/>
      <c r="U137" s="577"/>
      <c r="V137" s="578"/>
      <c r="W137" s="577"/>
      <c r="X137" s="578"/>
      <c r="Y137" s="577"/>
      <c r="Z137" s="578"/>
      <c r="AA137" s="577"/>
      <c r="AB137" s="578"/>
      <c r="AC137" s="577"/>
      <c r="AD137" s="578"/>
      <c r="AE137" s="577"/>
      <c r="AF137" s="579"/>
      <c r="AG137" s="577"/>
      <c r="AH137" s="579"/>
      <c r="AI137" s="577"/>
      <c r="AJ137" s="579"/>
      <c r="AK137" s="577"/>
      <c r="AL137" s="579"/>
      <c r="AM137" s="580"/>
      <c r="AN137" s="579"/>
      <c r="AO137" s="577"/>
      <c r="AP137" s="579"/>
      <c r="AQ137" s="580"/>
      <c r="AR137" s="579"/>
      <c r="AS137" s="579"/>
      <c r="AT137" s="579"/>
      <c r="AU137" s="580"/>
      <c r="AV137" s="579"/>
      <c r="AW137" s="579"/>
      <c r="AX137" s="158"/>
      <c r="AY137" s="154"/>
      <c r="AZ137">
        <f ca="1">INDIRECT(ADDRESS(ROW()+1,COLUMN(Arbeitszeit!xDay),,,"Arbeitszeit"))</f>
        <v>6</v>
      </c>
    </row>
    <row r="138" spans="1:52">
      <c r="A138" s="520">
        <f>Arbeitszeit!A139</f>
        <v>43598</v>
      </c>
      <c r="B138" s="521">
        <f t="shared" si="8"/>
        <v>43598</v>
      </c>
      <c r="C138" s="191">
        <f t="shared" si="9"/>
        <v>19</v>
      </c>
      <c r="D138" s="190">
        <f t="shared" si="10"/>
        <v>43585</v>
      </c>
      <c r="E138" s="589">
        <f>Arbeitszeit!V139*24</f>
        <v>0</v>
      </c>
      <c r="F138" s="349">
        <f t="shared" si="11"/>
        <v>0</v>
      </c>
      <c r="G138" s="155">
        <f>IF(Arbeitszeit!F139=Urlaub,B_WorkTime*24,)</f>
        <v>0</v>
      </c>
      <c r="H138" s="153"/>
      <c r="I138" s="155">
        <f>IF(Arbeitszeit!F139=Krank,B_WorkTime*24,)</f>
        <v>0</v>
      </c>
      <c r="J138" s="153"/>
      <c r="K138" s="156"/>
      <c r="L138" s="157"/>
      <c r="M138" s="577"/>
      <c r="N138" s="578"/>
      <c r="O138" s="577"/>
      <c r="P138" s="578"/>
      <c r="Q138" s="577"/>
      <c r="R138" s="578"/>
      <c r="S138" s="577"/>
      <c r="T138" s="578"/>
      <c r="U138" s="577"/>
      <c r="V138" s="578"/>
      <c r="W138" s="577"/>
      <c r="X138" s="578"/>
      <c r="Y138" s="577"/>
      <c r="Z138" s="578"/>
      <c r="AA138" s="577"/>
      <c r="AB138" s="578"/>
      <c r="AC138" s="577"/>
      <c r="AD138" s="578"/>
      <c r="AE138" s="577"/>
      <c r="AF138" s="579"/>
      <c r="AG138" s="577"/>
      <c r="AH138" s="579"/>
      <c r="AI138" s="577"/>
      <c r="AJ138" s="579"/>
      <c r="AK138" s="577"/>
      <c r="AL138" s="579"/>
      <c r="AM138" s="580"/>
      <c r="AN138" s="579"/>
      <c r="AO138" s="577"/>
      <c r="AP138" s="579"/>
      <c r="AQ138" s="580"/>
      <c r="AR138" s="579"/>
      <c r="AS138" s="579"/>
      <c r="AT138" s="579"/>
      <c r="AU138" s="580"/>
      <c r="AV138" s="579"/>
      <c r="AW138" s="579"/>
      <c r="AX138" s="158"/>
      <c r="AY138" s="154"/>
      <c r="AZ138">
        <f ca="1">INDIRECT(ADDRESS(ROW()+1,COLUMN(Arbeitszeit!xDay),,,"Arbeitszeit"))</f>
        <v>7</v>
      </c>
    </row>
    <row r="139" spans="1:52">
      <c r="A139" s="520">
        <f>Arbeitszeit!A140</f>
        <v>43599</v>
      </c>
      <c r="B139" s="521">
        <f t="shared" si="8"/>
        <v>43599</v>
      </c>
      <c r="C139" s="191">
        <f t="shared" si="9"/>
        <v>20</v>
      </c>
      <c r="D139" s="190">
        <f t="shared" si="10"/>
        <v>43585</v>
      </c>
      <c r="E139" s="589">
        <f>Arbeitszeit!V140*24</f>
        <v>0</v>
      </c>
      <c r="F139" s="349">
        <f t="shared" si="11"/>
        <v>0</v>
      </c>
      <c r="G139" s="155">
        <f>IF(Arbeitszeit!F140=Urlaub,B_WorkTime*24,)</f>
        <v>0</v>
      </c>
      <c r="H139" s="153"/>
      <c r="I139" s="155">
        <f>IF(Arbeitszeit!F140=Krank,B_WorkTime*24,)</f>
        <v>0</v>
      </c>
      <c r="J139" s="153"/>
      <c r="K139" s="156"/>
      <c r="L139" s="157"/>
      <c r="M139" s="577"/>
      <c r="N139" s="578"/>
      <c r="O139" s="577"/>
      <c r="P139" s="578"/>
      <c r="Q139" s="577"/>
      <c r="R139" s="578"/>
      <c r="S139" s="577"/>
      <c r="T139" s="578"/>
      <c r="U139" s="577"/>
      <c r="V139" s="578"/>
      <c r="W139" s="577"/>
      <c r="X139" s="578"/>
      <c r="Y139" s="577"/>
      <c r="Z139" s="578"/>
      <c r="AA139" s="577"/>
      <c r="AB139" s="578"/>
      <c r="AC139" s="577"/>
      <c r="AD139" s="578"/>
      <c r="AE139" s="577"/>
      <c r="AF139" s="579"/>
      <c r="AG139" s="577"/>
      <c r="AH139" s="579"/>
      <c r="AI139" s="577"/>
      <c r="AJ139" s="579"/>
      <c r="AK139" s="577"/>
      <c r="AL139" s="579"/>
      <c r="AM139" s="580"/>
      <c r="AN139" s="579"/>
      <c r="AO139" s="577"/>
      <c r="AP139" s="579"/>
      <c r="AQ139" s="580"/>
      <c r="AR139" s="579"/>
      <c r="AS139" s="579"/>
      <c r="AT139" s="579"/>
      <c r="AU139" s="580"/>
      <c r="AV139" s="579"/>
      <c r="AW139" s="579"/>
      <c r="AX139" s="158"/>
      <c r="AY139" s="154"/>
      <c r="AZ139">
        <f ca="1">INDIRECT(ADDRESS(ROW()+1,COLUMN(Arbeitszeit!xDay),,,"Arbeitszeit"))</f>
        <v>1</v>
      </c>
    </row>
    <row r="140" spans="1:52">
      <c r="A140" s="520">
        <f>Arbeitszeit!A141</f>
        <v>43600</v>
      </c>
      <c r="B140" s="521">
        <f t="shared" si="8"/>
        <v>43600</v>
      </c>
      <c r="C140" s="191">
        <f t="shared" si="9"/>
        <v>20</v>
      </c>
      <c r="D140" s="190">
        <f t="shared" si="10"/>
        <v>43585</v>
      </c>
      <c r="E140" s="589">
        <f>Arbeitszeit!V141*24</f>
        <v>0</v>
      </c>
      <c r="F140" s="349">
        <f t="shared" si="11"/>
        <v>0</v>
      </c>
      <c r="G140" s="155">
        <f>IF(Arbeitszeit!F141=Urlaub,B_WorkTime*24,)</f>
        <v>0</v>
      </c>
      <c r="H140" s="153"/>
      <c r="I140" s="155">
        <f>IF(Arbeitszeit!F141=Krank,B_WorkTime*24,)</f>
        <v>0</v>
      </c>
      <c r="J140" s="153"/>
      <c r="K140" s="156"/>
      <c r="L140" s="157"/>
      <c r="M140" s="577"/>
      <c r="N140" s="578"/>
      <c r="O140" s="577"/>
      <c r="P140" s="578"/>
      <c r="Q140" s="577"/>
      <c r="R140" s="578"/>
      <c r="S140" s="577"/>
      <c r="T140" s="578"/>
      <c r="U140" s="577"/>
      <c r="V140" s="578"/>
      <c r="W140" s="577"/>
      <c r="X140" s="578"/>
      <c r="Y140" s="577"/>
      <c r="Z140" s="578"/>
      <c r="AA140" s="577"/>
      <c r="AB140" s="578"/>
      <c r="AC140" s="577"/>
      <c r="AD140" s="578"/>
      <c r="AE140" s="577"/>
      <c r="AF140" s="579"/>
      <c r="AG140" s="577"/>
      <c r="AH140" s="579"/>
      <c r="AI140" s="577"/>
      <c r="AJ140" s="579"/>
      <c r="AK140" s="577"/>
      <c r="AL140" s="579"/>
      <c r="AM140" s="580"/>
      <c r="AN140" s="579"/>
      <c r="AO140" s="577"/>
      <c r="AP140" s="579"/>
      <c r="AQ140" s="580"/>
      <c r="AR140" s="579"/>
      <c r="AS140" s="579"/>
      <c r="AT140" s="579"/>
      <c r="AU140" s="580"/>
      <c r="AV140" s="579"/>
      <c r="AW140" s="579"/>
      <c r="AX140" s="158"/>
      <c r="AY140" s="154"/>
      <c r="AZ140">
        <f ca="1">INDIRECT(ADDRESS(ROW()+1,COLUMN(Arbeitszeit!xDay),,,"Arbeitszeit"))</f>
        <v>2</v>
      </c>
    </row>
    <row r="141" spans="1:52">
      <c r="A141" s="520">
        <f>Arbeitszeit!A142</f>
        <v>43601</v>
      </c>
      <c r="B141" s="521">
        <f t="shared" si="8"/>
        <v>43601</v>
      </c>
      <c r="C141" s="191">
        <f t="shared" si="9"/>
        <v>20</v>
      </c>
      <c r="D141" s="190">
        <f t="shared" si="10"/>
        <v>43585</v>
      </c>
      <c r="E141" s="589">
        <f>Arbeitszeit!V142*24</f>
        <v>0</v>
      </c>
      <c r="F141" s="349">
        <f t="shared" si="11"/>
        <v>0</v>
      </c>
      <c r="G141" s="155">
        <f>IF(Arbeitszeit!F142=Urlaub,B_WorkTime*24,)</f>
        <v>0</v>
      </c>
      <c r="H141" s="153"/>
      <c r="I141" s="155">
        <f>IF(Arbeitszeit!F142=Krank,B_WorkTime*24,)</f>
        <v>0</v>
      </c>
      <c r="J141" s="153"/>
      <c r="K141" s="156"/>
      <c r="L141" s="157"/>
      <c r="M141" s="577"/>
      <c r="N141" s="578"/>
      <c r="O141" s="577"/>
      <c r="P141" s="578"/>
      <c r="Q141" s="577"/>
      <c r="R141" s="578"/>
      <c r="S141" s="577"/>
      <c r="T141" s="578"/>
      <c r="U141" s="577"/>
      <c r="V141" s="578"/>
      <c r="W141" s="577"/>
      <c r="X141" s="578"/>
      <c r="Y141" s="577"/>
      <c r="Z141" s="578"/>
      <c r="AA141" s="577"/>
      <c r="AB141" s="578"/>
      <c r="AC141" s="577"/>
      <c r="AD141" s="578"/>
      <c r="AE141" s="577"/>
      <c r="AF141" s="579"/>
      <c r="AG141" s="577"/>
      <c r="AH141" s="579"/>
      <c r="AI141" s="577"/>
      <c r="AJ141" s="579"/>
      <c r="AK141" s="577"/>
      <c r="AL141" s="579"/>
      <c r="AM141" s="580"/>
      <c r="AN141" s="579"/>
      <c r="AO141" s="577"/>
      <c r="AP141" s="579"/>
      <c r="AQ141" s="580"/>
      <c r="AR141" s="579"/>
      <c r="AS141" s="579"/>
      <c r="AT141" s="579"/>
      <c r="AU141" s="580"/>
      <c r="AV141" s="579"/>
      <c r="AW141" s="579"/>
      <c r="AX141" s="158"/>
      <c r="AY141" s="154"/>
      <c r="AZ141">
        <f ca="1">INDIRECT(ADDRESS(ROW()+1,COLUMN(Arbeitszeit!xDay),,,"Arbeitszeit"))</f>
        <v>3</v>
      </c>
    </row>
    <row r="142" spans="1:52">
      <c r="A142" s="520">
        <f>Arbeitszeit!A143</f>
        <v>43602</v>
      </c>
      <c r="B142" s="521">
        <f t="shared" si="8"/>
        <v>43602</v>
      </c>
      <c r="C142" s="191">
        <f t="shared" si="9"/>
        <v>20</v>
      </c>
      <c r="D142" s="190">
        <f t="shared" si="10"/>
        <v>43585</v>
      </c>
      <c r="E142" s="589">
        <f>Arbeitszeit!V143*24</f>
        <v>0</v>
      </c>
      <c r="F142" s="349">
        <f t="shared" si="11"/>
        <v>0</v>
      </c>
      <c r="G142" s="155">
        <f>IF(Arbeitszeit!F143=Urlaub,B_WorkTime*24,)</f>
        <v>0</v>
      </c>
      <c r="H142" s="153"/>
      <c r="I142" s="155">
        <f>IF(Arbeitszeit!F143=Krank,B_WorkTime*24,)</f>
        <v>0</v>
      </c>
      <c r="J142" s="153"/>
      <c r="K142" s="156"/>
      <c r="L142" s="157"/>
      <c r="M142" s="577"/>
      <c r="N142" s="578"/>
      <c r="O142" s="577"/>
      <c r="P142" s="578"/>
      <c r="Q142" s="577"/>
      <c r="R142" s="578"/>
      <c r="S142" s="577"/>
      <c r="T142" s="578"/>
      <c r="U142" s="577"/>
      <c r="V142" s="578"/>
      <c r="W142" s="577"/>
      <c r="X142" s="578"/>
      <c r="Y142" s="577"/>
      <c r="Z142" s="578"/>
      <c r="AA142" s="577"/>
      <c r="AB142" s="578"/>
      <c r="AC142" s="577"/>
      <c r="AD142" s="578"/>
      <c r="AE142" s="577"/>
      <c r="AF142" s="579"/>
      <c r="AG142" s="577"/>
      <c r="AH142" s="579"/>
      <c r="AI142" s="577"/>
      <c r="AJ142" s="579"/>
      <c r="AK142" s="577"/>
      <c r="AL142" s="579"/>
      <c r="AM142" s="580"/>
      <c r="AN142" s="579"/>
      <c r="AO142" s="577"/>
      <c r="AP142" s="579"/>
      <c r="AQ142" s="580"/>
      <c r="AR142" s="579"/>
      <c r="AS142" s="579"/>
      <c r="AT142" s="579"/>
      <c r="AU142" s="580"/>
      <c r="AV142" s="579"/>
      <c r="AW142" s="579"/>
      <c r="AX142" s="158"/>
      <c r="AY142" s="154"/>
      <c r="AZ142">
        <f ca="1">INDIRECT(ADDRESS(ROW()+1,COLUMN(Arbeitszeit!xDay),,,"Arbeitszeit"))</f>
        <v>8</v>
      </c>
    </row>
    <row r="143" spans="1:52">
      <c r="A143" s="520">
        <f>Arbeitszeit!A144</f>
        <v>43603</v>
      </c>
      <c r="B143" s="521">
        <f t="shared" si="8"/>
        <v>43603</v>
      </c>
      <c r="C143" s="191">
        <f t="shared" si="9"/>
        <v>20</v>
      </c>
      <c r="D143" s="190">
        <f t="shared" si="10"/>
        <v>43585</v>
      </c>
      <c r="E143" s="589">
        <f>Arbeitszeit!V144*24</f>
        <v>0</v>
      </c>
      <c r="F143" s="349">
        <f t="shared" si="11"/>
        <v>0</v>
      </c>
      <c r="G143" s="155">
        <f>IF(Arbeitszeit!F144=Urlaub,B_WorkTime*24,)</f>
        <v>0</v>
      </c>
      <c r="H143" s="153"/>
      <c r="I143" s="155">
        <f>IF(Arbeitszeit!F144=Krank,B_WorkTime*24,)</f>
        <v>0</v>
      </c>
      <c r="J143" s="153"/>
      <c r="K143" s="156"/>
      <c r="L143" s="157"/>
      <c r="M143" s="577"/>
      <c r="N143" s="578"/>
      <c r="O143" s="577"/>
      <c r="P143" s="578"/>
      <c r="Q143" s="577"/>
      <c r="R143" s="578"/>
      <c r="S143" s="577"/>
      <c r="T143" s="578"/>
      <c r="U143" s="577"/>
      <c r="V143" s="578"/>
      <c r="W143" s="577"/>
      <c r="X143" s="578"/>
      <c r="Y143" s="577"/>
      <c r="Z143" s="578"/>
      <c r="AA143" s="577"/>
      <c r="AB143" s="578"/>
      <c r="AC143" s="577"/>
      <c r="AD143" s="578"/>
      <c r="AE143" s="577"/>
      <c r="AF143" s="579"/>
      <c r="AG143" s="577"/>
      <c r="AH143" s="579"/>
      <c r="AI143" s="577"/>
      <c r="AJ143" s="579"/>
      <c r="AK143" s="577"/>
      <c r="AL143" s="579"/>
      <c r="AM143" s="580"/>
      <c r="AN143" s="579"/>
      <c r="AO143" s="577"/>
      <c r="AP143" s="579"/>
      <c r="AQ143" s="580"/>
      <c r="AR143" s="579"/>
      <c r="AS143" s="579"/>
      <c r="AT143" s="579"/>
      <c r="AU143" s="580"/>
      <c r="AV143" s="579"/>
      <c r="AW143" s="579"/>
      <c r="AX143" s="158"/>
      <c r="AY143" s="154"/>
      <c r="AZ143">
        <f ca="1">INDIRECT(ADDRESS(ROW()+1,COLUMN(Arbeitszeit!xDay),,,"Arbeitszeit"))</f>
        <v>5</v>
      </c>
    </row>
    <row r="144" spans="1:52">
      <c r="A144" s="520">
        <f>Arbeitszeit!A145</f>
        <v>43604</v>
      </c>
      <c r="B144" s="521">
        <f t="shared" si="8"/>
        <v>43604</v>
      </c>
      <c r="C144" s="191">
        <f t="shared" si="9"/>
        <v>20</v>
      </c>
      <c r="D144" s="190">
        <f t="shared" si="10"/>
        <v>43585</v>
      </c>
      <c r="E144" s="589">
        <f>Arbeitszeit!V145*24</f>
        <v>0</v>
      </c>
      <c r="F144" s="349">
        <f t="shared" si="11"/>
        <v>0</v>
      </c>
      <c r="G144" s="155">
        <f>IF(Arbeitszeit!F145=Urlaub,B_WorkTime*24,)</f>
        <v>0</v>
      </c>
      <c r="H144" s="153"/>
      <c r="I144" s="155">
        <f>IF(Arbeitszeit!F145=Krank,B_WorkTime*24,)</f>
        <v>0</v>
      </c>
      <c r="J144" s="153"/>
      <c r="K144" s="156"/>
      <c r="L144" s="157"/>
      <c r="M144" s="577"/>
      <c r="N144" s="578"/>
      <c r="O144" s="577"/>
      <c r="P144" s="578"/>
      <c r="Q144" s="577"/>
      <c r="R144" s="578"/>
      <c r="S144" s="577"/>
      <c r="T144" s="578"/>
      <c r="U144" s="577"/>
      <c r="V144" s="578"/>
      <c r="W144" s="577"/>
      <c r="X144" s="578"/>
      <c r="Y144" s="577"/>
      <c r="Z144" s="578"/>
      <c r="AA144" s="577"/>
      <c r="AB144" s="578"/>
      <c r="AC144" s="577"/>
      <c r="AD144" s="578"/>
      <c r="AE144" s="577"/>
      <c r="AF144" s="579"/>
      <c r="AG144" s="577"/>
      <c r="AH144" s="579"/>
      <c r="AI144" s="577"/>
      <c r="AJ144" s="579"/>
      <c r="AK144" s="577"/>
      <c r="AL144" s="579"/>
      <c r="AM144" s="580"/>
      <c r="AN144" s="579"/>
      <c r="AO144" s="577"/>
      <c r="AP144" s="579"/>
      <c r="AQ144" s="580"/>
      <c r="AR144" s="579"/>
      <c r="AS144" s="579"/>
      <c r="AT144" s="579"/>
      <c r="AU144" s="580"/>
      <c r="AV144" s="579"/>
      <c r="AW144" s="579"/>
      <c r="AX144" s="158"/>
      <c r="AY144" s="154"/>
      <c r="AZ144">
        <f ca="1">INDIRECT(ADDRESS(ROW()+1,COLUMN(Arbeitszeit!xDay),,,"Arbeitszeit"))</f>
        <v>6</v>
      </c>
    </row>
    <row r="145" spans="1:52">
      <c r="A145" s="520">
        <f>Arbeitszeit!A146</f>
        <v>43605</v>
      </c>
      <c r="B145" s="521">
        <f t="shared" si="8"/>
        <v>43605</v>
      </c>
      <c r="C145" s="191">
        <f t="shared" si="9"/>
        <v>20</v>
      </c>
      <c r="D145" s="190">
        <f t="shared" si="10"/>
        <v>43585</v>
      </c>
      <c r="E145" s="589">
        <f>Arbeitszeit!V146*24</f>
        <v>0</v>
      </c>
      <c r="F145" s="349">
        <f t="shared" si="11"/>
        <v>0</v>
      </c>
      <c r="G145" s="155">
        <f>IF(Arbeitszeit!F146=Urlaub,B_WorkTime*24,)</f>
        <v>0</v>
      </c>
      <c r="H145" s="153"/>
      <c r="I145" s="155">
        <f>IF(Arbeitszeit!F146=Krank,B_WorkTime*24,)</f>
        <v>0</v>
      </c>
      <c r="J145" s="153"/>
      <c r="K145" s="156"/>
      <c r="L145" s="157"/>
      <c r="M145" s="577"/>
      <c r="N145" s="578"/>
      <c r="O145" s="577"/>
      <c r="P145" s="578"/>
      <c r="Q145" s="577"/>
      <c r="R145" s="578"/>
      <c r="S145" s="577"/>
      <c r="T145" s="578"/>
      <c r="U145" s="577"/>
      <c r="V145" s="578"/>
      <c r="W145" s="577"/>
      <c r="X145" s="578"/>
      <c r="Y145" s="577"/>
      <c r="Z145" s="578"/>
      <c r="AA145" s="577"/>
      <c r="AB145" s="578"/>
      <c r="AC145" s="577"/>
      <c r="AD145" s="578"/>
      <c r="AE145" s="577"/>
      <c r="AF145" s="579"/>
      <c r="AG145" s="577"/>
      <c r="AH145" s="579"/>
      <c r="AI145" s="577"/>
      <c r="AJ145" s="579"/>
      <c r="AK145" s="577"/>
      <c r="AL145" s="579"/>
      <c r="AM145" s="580"/>
      <c r="AN145" s="579"/>
      <c r="AO145" s="577"/>
      <c r="AP145" s="579"/>
      <c r="AQ145" s="580"/>
      <c r="AR145" s="579"/>
      <c r="AS145" s="579"/>
      <c r="AT145" s="579"/>
      <c r="AU145" s="580"/>
      <c r="AV145" s="579"/>
      <c r="AW145" s="579"/>
      <c r="AX145" s="158"/>
      <c r="AY145" s="154"/>
      <c r="AZ145">
        <f ca="1">INDIRECT(ADDRESS(ROW()+1,COLUMN(Arbeitszeit!xDay),,,"Arbeitszeit"))</f>
        <v>7</v>
      </c>
    </row>
    <row r="146" spans="1:52">
      <c r="A146" s="520">
        <f>Arbeitszeit!A147</f>
        <v>43606</v>
      </c>
      <c r="B146" s="521">
        <f t="shared" si="8"/>
        <v>43606</v>
      </c>
      <c r="C146" s="191">
        <f t="shared" si="9"/>
        <v>21</v>
      </c>
      <c r="D146" s="190">
        <f t="shared" si="10"/>
        <v>43585</v>
      </c>
      <c r="E146" s="589">
        <f>Arbeitszeit!V147*24</f>
        <v>0</v>
      </c>
      <c r="F146" s="349">
        <f t="shared" si="11"/>
        <v>0</v>
      </c>
      <c r="G146" s="155">
        <f>IF(Arbeitszeit!F147=Urlaub,B_WorkTime*24,)</f>
        <v>0</v>
      </c>
      <c r="H146" s="153"/>
      <c r="I146" s="155">
        <f>IF(Arbeitszeit!F147=Krank,B_WorkTime*24,)</f>
        <v>0</v>
      </c>
      <c r="J146" s="153"/>
      <c r="K146" s="156"/>
      <c r="L146" s="157"/>
      <c r="M146" s="577"/>
      <c r="N146" s="578"/>
      <c r="O146" s="577"/>
      <c r="P146" s="578"/>
      <c r="Q146" s="577"/>
      <c r="R146" s="578"/>
      <c r="S146" s="577"/>
      <c r="T146" s="578"/>
      <c r="U146" s="577"/>
      <c r="V146" s="578"/>
      <c r="W146" s="577"/>
      <c r="X146" s="578"/>
      <c r="Y146" s="577"/>
      <c r="Z146" s="578"/>
      <c r="AA146" s="577"/>
      <c r="AB146" s="578"/>
      <c r="AC146" s="577"/>
      <c r="AD146" s="578"/>
      <c r="AE146" s="577"/>
      <c r="AF146" s="579"/>
      <c r="AG146" s="577"/>
      <c r="AH146" s="579"/>
      <c r="AI146" s="577"/>
      <c r="AJ146" s="579"/>
      <c r="AK146" s="577"/>
      <c r="AL146" s="579"/>
      <c r="AM146" s="580"/>
      <c r="AN146" s="579"/>
      <c r="AO146" s="577"/>
      <c r="AP146" s="579"/>
      <c r="AQ146" s="580"/>
      <c r="AR146" s="579"/>
      <c r="AS146" s="579"/>
      <c r="AT146" s="579"/>
      <c r="AU146" s="580"/>
      <c r="AV146" s="579"/>
      <c r="AW146" s="579"/>
      <c r="AX146" s="158"/>
      <c r="AY146" s="154"/>
      <c r="AZ146">
        <f ca="1">INDIRECT(ADDRESS(ROW()+1,COLUMN(Arbeitszeit!xDay),,,"Arbeitszeit"))</f>
        <v>1</v>
      </c>
    </row>
    <row r="147" spans="1:52">
      <c r="A147" s="520">
        <f>Arbeitszeit!A148</f>
        <v>43607</v>
      </c>
      <c r="B147" s="521">
        <f t="shared" si="8"/>
        <v>43607</v>
      </c>
      <c r="C147" s="191">
        <f t="shared" si="9"/>
        <v>21</v>
      </c>
      <c r="D147" s="190">
        <f t="shared" si="10"/>
        <v>43585</v>
      </c>
      <c r="E147" s="589">
        <f>Arbeitszeit!V148*24</f>
        <v>0</v>
      </c>
      <c r="F147" s="349">
        <f t="shared" si="11"/>
        <v>0</v>
      </c>
      <c r="G147" s="155">
        <f>IF(Arbeitszeit!F148=Urlaub,B_WorkTime*24,)</f>
        <v>0</v>
      </c>
      <c r="H147" s="153"/>
      <c r="I147" s="155">
        <f>IF(Arbeitszeit!F148=Krank,B_WorkTime*24,)</f>
        <v>0</v>
      </c>
      <c r="J147" s="153"/>
      <c r="K147" s="156"/>
      <c r="L147" s="157"/>
      <c r="M147" s="577"/>
      <c r="N147" s="578"/>
      <c r="O147" s="577"/>
      <c r="P147" s="578"/>
      <c r="Q147" s="577"/>
      <c r="R147" s="578"/>
      <c r="S147" s="577"/>
      <c r="T147" s="578"/>
      <c r="U147" s="577"/>
      <c r="V147" s="578"/>
      <c r="W147" s="577"/>
      <c r="X147" s="578"/>
      <c r="Y147" s="577"/>
      <c r="Z147" s="578"/>
      <c r="AA147" s="577"/>
      <c r="AB147" s="578"/>
      <c r="AC147" s="577"/>
      <c r="AD147" s="578"/>
      <c r="AE147" s="577"/>
      <c r="AF147" s="579"/>
      <c r="AG147" s="577"/>
      <c r="AH147" s="579"/>
      <c r="AI147" s="577"/>
      <c r="AJ147" s="579"/>
      <c r="AK147" s="577"/>
      <c r="AL147" s="579"/>
      <c r="AM147" s="580"/>
      <c r="AN147" s="579"/>
      <c r="AO147" s="577"/>
      <c r="AP147" s="579"/>
      <c r="AQ147" s="580"/>
      <c r="AR147" s="579"/>
      <c r="AS147" s="579"/>
      <c r="AT147" s="579"/>
      <c r="AU147" s="580"/>
      <c r="AV147" s="579"/>
      <c r="AW147" s="579"/>
      <c r="AX147" s="158"/>
      <c r="AY147" s="154"/>
      <c r="AZ147">
        <f ca="1">INDIRECT(ADDRESS(ROW()+1,COLUMN(Arbeitszeit!xDay),,,"Arbeitszeit"))</f>
        <v>2</v>
      </c>
    </row>
    <row r="148" spans="1:52">
      <c r="A148" s="520">
        <f>Arbeitszeit!A149</f>
        <v>43608</v>
      </c>
      <c r="B148" s="521">
        <f t="shared" si="8"/>
        <v>43608</v>
      </c>
      <c r="C148" s="191">
        <f t="shared" si="9"/>
        <v>21</v>
      </c>
      <c r="D148" s="190">
        <f t="shared" si="10"/>
        <v>43585</v>
      </c>
      <c r="E148" s="589">
        <f>Arbeitszeit!V149*24</f>
        <v>0</v>
      </c>
      <c r="F148" s="349">
        <f t="shared" si="11"/>
        <v>0</v>
      </c>
      <c r="G148" s="155">
        <f>IF(Arbeitszeit!F149=Urlaub,B_WorkTime*24,)</f>
        <v>0</v>
      </c>
      <c r="H148" s="153"/>
      <c r="I148" s="155">
        <f>IF(Arbeitszeit!F149=Krank,B_WorkTime*24,)</f>
        <v>0</v>
      </c>
      <c r="J148" s="153"/>
      <c r="K148" s="156"/>
      <c r="L148" s="157"/>
      <c r="M148" s="577"/>
      <c r="N148" s="578"/>
      <c r="O148" s="577"/>
      <c r="P148" s="578"/>
      <c r="Q148" s="577"/>
      <c r="R148" s="578"/>
      <c r="S148" s="577"/>
      <c r="T148" s="578"/>
      <c r="U148" s="577"/>
      <c r="V148" s="578"/>
      <c r="W148" s="577"/>
      <c r="X148" s="578"/>
      <c r="Y148" s="577"/>
      <c r="Z148" s="578"/>
      <c r="AA148" s="577"/>
      <c r="AB148" s="578"/>
      <c r="AC148" s="577"/>
      <c r="AD148" s="578"/>
      <c r="AE148" s="577"/>
      <c r="AF148" s="579"/>
      <c r="AG148" s="577"/>
      <c r="AH148" s="579"/>
      <c r="AI148" s="577"/>
      <c r="AJ148" s="579"/>
      <c r="AK148" s="577"/>
      <c r="AL148" s="579"/>
      <c r="AM148" s="580"/>
      <c r="AN148" s="579"/>
      <c r="AO148" s="577"/>
      <c r="AP148" s="579"/>
      <c r="AQ148" s="580"/>
      <c r="AR148" s="579"/>
      <c r="AS148" s="579"/>
      <c r="AT148" s="579"/>
      <c r="AU148" s="580"/>
      <c r="AV148" s="579"/>
      <c r="AW148" s="579"/>
      <c r="AX148" s="158"/>
      <c r="AY148" s="154"/>
      <c r="AZ148">
        <f ca="1">INDIRECT(ADDRESS(ROW()+1,COLUMN(Arbeitszeit!xDay),,,"Arbeitszeit"))</f>
        <v>3</v>
      </c>
    </row>
    <row r="149" spans="1:52">
      <c r="A149" s="520">
        <f>Arbeitszeit!A150</f>
        <v>43609</v>
      </c>
      <c r="B149" s="521">
        <f t="shared" si="8"/>
        <v>43609</v>
      </c>
      <c r="C149" s="191">
        <f t="shared" si="9"/>
        <v>21</v>
      </c>
      <c r="D149" s="190">
        <f t="shared" si="10"/>
        <v>43585</v>
      </c>
      <c r="E149" s="589">
        <f>Arbeitszeit!V150*24</f>
        <v>0</v>
      </c>
      <c r="F149" s="349">
        <f t="shared" si="11"/>
        <v>0</v>
      </c>
      <c r="G149" s="155">
        <f>IF(Arbeitszeit!F150=Urlaub,B_WorkTime*24,)</f>
        <v>0</v>
      </c>
      <c r="H149" s="153"/>
      <c r="I149" s="155">
        <f>IF(Arbeitszeit!F150=Krank,B_WorkTime*24,)</f>
        <v>0</v>
      </c>
      <c r="J149" s="153"/>
      <c r="K149" s="156"/>
      <c r="L149" s="157"/>
      <c r="M149" s="577"/>
      <c r="N149" s="578"/>
      <c r="O149" s="577"/>
      <c r="P149" s="578"/>
      <c r="Q149" s="577"/>
      <c r="R149" s="578"/>
      <c r="S149" s="577"/>
      <c r="T149" s="578"/>
      <c r="U149" s="577"/>
      <c r="V149" s="578"/>
      <c r="W149" s="577"/>
      <c r="X149" s="578"/>
      <c r="Y149" s="577"/>
      <c r="Z149" s="578"/>
      <c r="AA149" s="577"/>
      <c r="AB149" s="578"/>
      <c r="AC149" s="577"/>
      <c r="AD149" s="578"/>
      <c r="AE149" s="577"/>
      <c r="AF149" s="579"/>
      <c r="AG149" s="577"/>
      <c r="AH149" s="579"/>
      <c r="AI149" s="577"/>
      <c r="AJ149" s="579"/>
      <c r="AK149" s="577"/>
      <c r="AL149" s="579"/>
      <c r="AM149" s="580"/>
      <c r="AN149" s="579"/>
      <c r="AO149" s="577"/>
      <c r="AP149" s="579"/>
      <c r="AQ149" s="580"/>
      <c r="AR149" s="579"/>
      <c r="AS149" s="579"/>
      <c r="AT149" s="579"/>
      <c r="AU149" s="580"/>
      <c r="AV149" s="579"/>
      <c r="AW149" s="579"/>
      <c r="AX149" s="158"/>
      <c r="AY149" s="154"/>
      <c r="AZ149">
        <f ca="1">INDIRECT(ADDRESS(ROW()+1,COLUMN(Arbeitszeit!xDay),,,"Arbeitszeit"))</f>
        <v>4</v>
      </c>
    </row>
    <row r="150" spans="1:52">
      <c r="A150" s="520">
        <f>Arbeitszeit!A151</f>
        <v>43610</v>
      </c>
      <c r="B150" s="521">
        <f t="shared" si="8"/>
        <v>43610</v>
      </c>
      <c r="C150" s="191">
        <f t="shared" si="9"/>
        <v>21</v>
      </c>
      <c r="D150" s="190">
        <f t="shared" si="10"/>
        <v>43585</v>
      </c>
      <c r="E150" s="589">
        <f>Arbeitszeit!V151*24</f>
        <v>0</v>
      </c>
      <c r="F150" s="349">
        <f t="shared" si="11"/>
        <v>0</v>
      </c>
      <c r="G150" s="155">
        <f>IF(Arbeitszeit!F151=Urlaub,B_WorkTime*24,)</f>
        <v>0</v>
      </c>
      <c r="H150" s="153"/>
      <c r="I150" s="155">
        <f>IF(Arbeitszeit!F151=Krank,B_WorkTime*24,)</f>
        <v>0</v>
      </c>
      <c r="J150" s="153"/>
      <c r="K150" s="156"/>
      <c r="L150" s="157"/>
      <c r="M150" s="577"/>
      <c r="N150" s="578"/>
      <c r="O150" s="577"/>
      <c r="P150" s="578"/>
      <c r="Q150" s="577"/>
      <c r="R150" s="578"/>
      <c r="S150" s="577"/>
      <c r="T150" s="578"/>
      <c r="U150" s="577"/>
      <c r="V150" s="578"/>
      <c r="W150" s="577"/>
      <c r="X150" s="578"/>
      <c r="Y150" s="577"/>
      <c r="Z150" s="578"/>
      <c r="AA150" s="577"/>
      <c r="AB150" s="578"/>
      <c r="AC150" s="577"/>
      <c r="AD150" s="578"/>
      <c r="AE150" s="577"/>
      <c r="AF150" s="579"/>
      <c r="AG150" s="577"/>
      <c r="AH150" s="579"/>
      <c r="AI150" s="577"/>
      <c r="AJ150" s="579"/>
      <c r="AK150" s="577"/>
      <c r="AL150" s="579"/>
      <c r="AM150" s="580"/>
      <c r="AN150" s="579"/>
      <c r="AO150" s="577"/>
      <c r="AP150" s="579"/>
      <c r="AQ150" s="580"/>
      <c r="AR150" s="579"/>
      <c r="AS150" s="579"/>
      <c r="AT150" s="579"/>
      <c r="AU150" s="580"/>
      <c r="AV150" s="579"/>
      <c r="AW150" s="579"/>
      <c r="AX150" s="158"/>
      <c r="AY150" s="154"/>
      <c r="AZ150">
        <f ca="1">INDIRECT(ADDRESS(ROW()+1,COLUMN(Arbeitszeit!xDay),,,"Arbeitszeit"))</f>
        <v>5</v>
      </c>
    </row>
    <row r="151" spans="1:52">
      <c r="A151" s="520">
        <f>Arbeitszeit!A152</f>
        <v>43611</v>
      </c>
      <c r="B151" s="521">
        <f t="shared" si="8"/>
        <v>43611</v>
      </c>
      <c r="C151" s="191">
        <f t="shared" si="9"/>
        <v>21</v>
      </c>
      <c r="D151" s="190">
        <f t="shared" si="10"/>
        <v>43585</v>
      </c>
      <c r="E151" s="589">
        <f>Arbeitszeit!V152*24</f>
        <v>0</v>
      </c>
      <c r="F151" s="349">
        <f t="shared" si="11"/>
        <v>0</v>
      </c>
      <c r="G151" s="155">
        <f>IF(Arbeitszeit!F152=Urlaub,B_WorkTime*24,)</f>
        <v>0</v>
      </c>
      <c r="H151" s="153"/>
      <c r="I151" s="155">
        <f>IF(Arbeitszeit!F152=Krank,B_WorkTime*24,)</f>
        <v>0</v>
      </c>
      <c r="J151" s="153"/>
      <c r="K151" s="156"/>
      <c r="L151" s="157"/>
      <c r="M151" s="577"/>
      <c r="N151" s="578"/>
      <c r="O151" s="577"/>
      <c r="P151" s="578"/>
      <c r="Q151" s="577"/>
      <c r="R151" s="578"/>
      <c r="S151" s="577"/>
      <c r="T151" s="578"/>
      <c r="U151" s="577"/>
      <c r="V151" s="578"/>
      <c r="W151" s="577"/>
      <c r="X151" s="578"/>
      <c r="Y151" s="577"/>
      <c r="Z151" s="578"/>
      <c r="AA151" s="577"/>
      <c r="AB151" s="578"/>
      <c r="AC151" s="577"/>
      <c r="AD151" s="578"/>
      <c r="AE151" s="577"/>
      <c r="AF151" s="579"/>
      <c r="AG151" s="577"/>
      <c r="AH151" s="579"/>
      <c r="AI151" s="577"/>
      <c r="AJ151" s="579"/>
      <c r="AK151" s="577"/>
      <c r="AL151" s="579"/>
      <c r="AM151" s="580"/>
      <c r="AN151" s="579"/>
      <c r="AO151" s="577"/>
      <c r="AP151" s="579"/>
      <c r="AQ151" s="580"/>
      <c r="AR151" s="579"/>
      <c r="AS151" s="579"/>
      <c r="AT151" s="579"/>
      <c r="AU151" s="580"/>
      <c r="AV151" s="579"/>
      <c r="AW151" s="579"/>
      <c r="AX151" s="158"/>
      <c r="AY151" s="154"/>
      <c r="AZ151">
        <f ca="1">INDIRECT(ADDRESS(ROW()+1,COLUMN(Arbeitszeit!xDay),,,"Arbeitszeit"))</f>
        <v>6</v>
      </c>
    </row>
    <row r="152" spans="1:52">
      <c r="A152" s="520">
        <f>Arbeitszeit!A153</f>
        <v>43612</v>
      </c>
      <c r="B152" s="521">
        <f t="shared" si="8"/>
        <v>43612</v>
      </c>
      <c r="C152" s="191">
        <f t="shared" si="9"/>
        <v>21</v>
      </c>
      <c r="D152" s="190">
        <f t="shared" si="10"/>
        <v>43585</v>
      </c>
      <c r="E152" s="589">
        <f>Arbeitszeit!V153*24</f>
        <v>0</v>
      </c>
      <c r="F152" s="349">
        <f t="shared" si="11"/>
        <v>0</v>
      </c>
      <c r="G152" s="155">
        <f>IF(Arbeitszeit!F153=Urlaub,B_WorkTime*24,)</f>
        <v>0</v>
      </c>
      <c r="H152" s="153"/>
      <c r="I152" s="155">
        <f>IF(Arbeitszeit!F153=Krank,B_WorkTime*24,)</f>
        <v>0</v>
      </c>
      <c r="J152" s="153"/>
      <c r="K152" s="156"/>
      <c r="L152" s="157"/>
      <c r="M152" s="577"/>
      <c r="N152" s="578"/>
      <c r="O152" s="577"/>
      <c r="P152" s="578"/>
      <c r="Q152" s="577"/>
      <c r="R152" s="578"/>
      <c r="S152" s="577"/>
      <c r="T152" s="578"/>
      <c r="U152" s="577"/>
      <c r="V152" s="578"/>
      <c r="W152" s="577"/>
      <c r="X152" s="578"/>
      <c r="Y152" s="577"/>
      <c r="Z152" s="578"/>
      <c r="AA152" s="577"/>
      <c r="AB152" s="578"/>
      <c r="AC152" s="577"/>
      <c r="AD152" s="578"/>
      <c r="AE152" s="577"/>
      <c r="AF152" s="579"/>
      <c r="AG152" s="577"/>
      <c r="AH152" s="579"/>
      <c r="AI152" s="577"/>
      <c r="AJ152" s="579"/>
      <c r="AK152" s="577"/>
      <c r="AL152" s="579"/>
      <c r="AM152" s="580"/>
      <c r="AN152" s="579"/>
      <c r="AO152" s="577"/>
      <c r="AP152" s="579"/>
      <c r="AQ152" s="580"/>
      <c r="AR152" s="579"/>
      <c r="AS152" s="579"/>
      <c r="AT152" s="579"/>
      <c r="AU152" s="580"/>
      <c r="AV152" s="579"/>
      <c r="AW152" s="579"/>
      <c r="AX152" s="158"/>
      <c r="AY152" s="154"/>
      <c r="AZ152">
        <f ca="1">INDIRECT(ADDRESS(ROW()+1,COLUMN(Arbeitszeit!xDay),,,"Arbeitszeit"))</f>
        <v>8</v>
      </c>
    </row>
    <row r="153" spans="1:52">
      <c r="A153" s="520">
        <f>Arbeitszeit!A154</f>
        <v>43613</v>
      </c>
      <c r="B153" s="521">
        <f t="shared" si="8"/>
        <v>43613</v>
      </c>
      <c r="C153" s="191">
        <f t="shared" si="9"/>
        <v>22</v>
      </c>
      <c r="D153" s="190">
        <f t="shared" si="10"/>
        <v>43585</v>
      </c>
      <c r="E153" s="589">
        <f>Arbeitszeit!V154*24</f>
        <v>0</v>
      </c>
      <c r="F153" s="349">
        <f t="shared" si="11"/>
        <v>0</v>
      </c>
      <c r="G153" s="155">
        <f>IF(Arbeitszeit!F154=Urlaub,B_WorkTime*24,)</f>
        <v>0</v>
      </c>
      <c r="H153" s="153"/>
      <c r="I153" s="155">
        <f>IF(Arbeitszeit!F154=Krank,B_WorkTime*24,)</f>
        <v>0</v>
      </c>
      <c r="J153" s="153"/>
      <c r="K153" s="156"/>
      <c r="L153" s="157"/>
      <c r="M153" s="577"/>
      <c r="N153" s="578"/>
      <c r="O153" s="577"/>
      <c r="P153" s="578"/>
      <c r="Q153" s="577"/>
      <c r="R153" s="578"/>
      <c r="S153" s="577"/>
      <c r="T153" s="578"/>
      <c r="U153" s="577"/>
      <c r="V153" s="578"/>
      <c r="W153" s="577"/>
      <c r="X153" s="578"/>
      <c r="Y153" s="577"/>
      <c r="Z153" s="578"/>
      <c r="AA153" s="577"/>
      <c r="AB153" s="578"/>
      <c r="AC153" s="577"/>
      <c r="AD153" s="578"/>
      <c r="AE153" s="577"/>
      <c r="AF153" s="579"/>
      <c r="AG153" s="577"/>
      <c r="AH153" s="579"/>
      <c r="AI153" s="577"/>
      <c r="AJ153" s="579"/>
      <c r="AK153" s="577"/>
      <c r="AL153" s="579"/>
      <c r="AM153" s="580"/>
      <c r="AN153" s="579"/>
      <c r="AO153" s="577"/>
      <c r="AP153" s="579"/>
      <c r="AQ153" s="580"/>
      <c r="AR153" s="579"/>
      <c r="AS153" s="579"/>
      <c r="AT153" s="579"/>
      <c r="AU153" s="580"/>
      <c r="AV153" s="579"/>
      <c r="AW153" s="579"/>
      <c r="AX153" s="158"/>
      <c r="AY153" s="154"/>
      <c r="AZ153">
        <f ca="1">INDIRECT(ADDRESS(ROW()+1,COLUMN(Arbeitszeit!xDay),,,"Arbeitszeit"))</f>
        <v>8</v>
      </c>
    </row>
    <row r="154" spans="1:52">
      <c r="A154" s="520">
        <f>Arbeitszeit!A155</f>
        <v>43614</v>
      </c>
      <c r="B154" s="521">
        <f t="shared" si="8"/>
        <v>43614</v>
      </c>
      <c r="C154" s="191">
        <f t="shared" si="9"/>
        <v>22</v>
      </c>
      <c r="D154" s="190">
        <f t="shared" si="10"/>
        <v>43585</v>
      </c>
      <c r="E154" s="589">
        <f>Arbeitszeit!V155*24</f>
        <v>0</v>
      </c>
      <c r="F154" s="349">
        <f t="shared" si="11"/>
        <v>0</v>
      </c>
      <c r="G154" s="155">
        <f>IF(Arbeitszeit!F155=Urlaub,B_WorkTime*24,)</f>
        <v>0</v>
      </c>
      <c r="H154" s="153"/>
      <c r="I154" s="155">
        <f>IF(Arbeitszeit!F155=Krank,B_WorkTime*24,)</f>
        <v>0</v>
      </c>
      <c r="J154" s="153"/>
      <c r="K154" s="156"/>
      <c r="L154" s="157"/>
      <c r="M154" s="577"/>
      <c r="N154" s="578"/>
      <c r="O154" s="577"/>
      <c r="P154" s="578"/>
      <c r="Q154" s="577"/>
      <c r="R154" s="578"/>
      <c r="S154" s="577"/>
      <c r="T154" s="578"/>
      <c r="U154" s="577"/>
      <c r="V154" s="578"/>
      <c r="W154" s="577"/>
      <c r="X154" s="578"/>
      <c r="Y154" s="577"/>
      <c r="Z154" s="578"/>
      <c r="AA154" s="577"/>
      <c r="AB154" s="578"/>
      <c r="AC154" s="577"/>
      <c r="AD154" s="578"/>
      <c r="AE154" s="577"/>
      <c r="AF154" s="579"/>
      <c r="AG154" s="577"/>
      <c r="AH154" s="579"/>
      <c r="AI154" s="577"/>
      <c r="AJ154" s="579"/>
      <c r="AK154" s="577"/>
      <c r="AL154" s="579"/>
      <c r="AM154" s="580"/>
      <c r="AN154" s="579"/>
      <c r="AO154" s="577"/>
      <c r="AP154" s="579"/>
      <c r="AQ154" s="580"/>
      <c r="AR154" s="579"/>
      <c r="AS154" s="579"/>
      <c r="AT154" s="579"/>
      <c r="AU154" s="580"/>
      <c r="AV154" s="579"/>
      <c r="AW154" s="579"/>
      <c r="AX154" s="158"/>
      <c r="AY154" s="154"/>
      <c r="AZ154">
        <f ca="1">INDIRECT(ADDRESS(ROW()+1,COLUMN(Arbeitszeit!xDay),,,"Arbeitszeit"))</f>
        <v>2</v>
      </c>
    </row>
    <row r="155" spans="1:52">
      <c r="A155" s="520">
        <f>Arbeitszeit!A156</f>
        <v>43615</v>
      </c>
      <c r="B155" s="521">
        <f t="shared" si="8"/>
        <v>43615</v>
      </c>
      <c r="C155" s="191">
        <f t="shared" si="9"/>
        <v>22</v>
      </c>
      <c r="D155" s="190">
        <f t="shared" si="10"/>
        <v>43585</v>
      </c>
      <c r="E155" s="589">
        <f>Arbeitszeit!V156*24</f>
        <v>0</v>
      </c>
      <c r="F155" s="349">
        <f t="shared" si="11"/>
        <v>0</v>
      </c>
      <c r="G155" s="155">
        <f>IF(Arbeitszeit!F156=Urlaub,B_WorkTime*24,)</f>
        <v>0</v>
      </c>
      <c r="H155" s="153"/>
      <c r="I155" s="155">
        <f>IF(Arbeitszeit!F156=Krank,B_WorkTime*24,)</f>
        <v>0</v>
      </c>
      <c r="J155" s="153"/>
      <c r="K155" s="156"/>
      <c r="L155" s="157"/>
      <c r="M155" s="577"/>
      <c r="N155" s="578"/>
      <c r="O155" s="577"/>
      <c r="P155" s="578"/>
      <c r="Q155" s="577"/>
      <c r="R155" s="578"/>
      <c r="S155" s="577"/>
      <c r="T155" s="578"/>
      <c r="U155" s="577"/>
      <c r="V155" s="578"/>
      <c r="W155" s="577"/>
      <c r="X155" s="578"/>
      <c r="Y155" s="577"/>
      <c r="Z155" s="578"/>
      <c r="AA155" s="577"/>
      <c r="AB155" s="578"/>
      <c r="AC155" s="577"/>
      <c r="AD155" s="578"/>
      <c r="AE155" s="577"/>
      <c r="AF155" s="579"/>
      <c r="AG155" s="577"/>
      <c r="AH155" s="579"/>
      <c r="AI155" s="577"/>
      <c r="AJ155" s="579"/>
      <c r="AK155" s="577"/>
      <c r="AL155" s="579"/>
      <c r="AM155" s="580"/>
      <c r="AN155" s="579"/>
      <c r="AO155" s="577"/>
      <c r="AP155" s="579"/>
      <c r="AQ155" s="580"/>
      <c r="AR155" s="579"/>
      <c r="AS155" s="579"/>
      <c r="AT155" s="579"/>
      <c r="AU155" s="580"/>
      <c r="AV155" s="579"/>
      <c r="AW155" s="579"/>
      <c r="AX155" s="158"/>
      <c r="AY155" s="154"/>
      <c r="AZ155">
        <f ca="1">INDIRECT(ADDRESS(ROW()+1,COLUMN(Arbeitszeit!xDay),,,"Arbeitszeit"))</f>
        <v>3</v>
      </c>
    </row>
    <row r="156" spans="1:52">
      <c r="A156" s="520">
        <f>Arbeitszeit!A157</f>
        <v>43616</v>
      </c>
      <c r="B156" s="521">
        <f t="shared" si="8"/>
        <v>43616</v>
      </c>
      <c r="C156" s="191">
        <f t="shared" si="9"/>
        <v>22</v>
      </c>
      <c r="D156" s="190">
        <f t="shared" si="10"/>
        <v>43616</v>
      </c>
      <c r="E156" s="589">
        <f>Arbeitszeit!V157*24</f>
        <v>0</v>
      </c>
      <c r="F156" s="349">
        <f t="shared" si="11"/>
        <v>0</v>
      </c>
      <c r="G156" s="155">
        <f>IF(Arbeitszeit!F157=Urlaub,B_WorkTime*24,)</f>
        <v>0</v>
      </c>
      <c r="H156" s="153"/>
      <c r="I156" s="155">
        <f>IF(Arbeitszeit!F157=Krank,B_WorkTime*24,)</f>
        <v>0</v>
      </c>
      <c r="J156" s="153"/>
      <c r="K156" s="156"/>
      <c r="L156" s="157"/>
      <c r="M156" s="577"/>
      <c r="N156" s="578"/>
      <c r="O156" s="577"/>
      <c r="P156" s="578"/>
      <c r="Q156" s="577"/>
      <c r="R156" s="578"/>
      <c r="S156" s="577"/>
      <c r="T156" s="578"/>
      <c r="U156" s="577"/>
      <c r="V156" s="578"/>
      <c r="W156" s="577"/>
      <c r="X156" s="578"/>
      <c r="Y156" s="577"/>
      <c r="Z156" s="578"/>
      <c r="AA156" s="577"/>
      <c r="AB156" s="578"/>
      <c r="AC156" s="577"/>
      <c r="AD156" s="578"/>
      <c r="AE156" s="577"/>
      <c r="AF156" s="579"/>
      <c r="AG156" s="577"/>
      <c r="AH156" s="579"/>
      <c r="AI156" s="577"/>
      <c r="AJ156" s="579"/>
      <c r="AK156" s="577"/>
      <c r="AL156" s="579"/>
      <c r="AM156" s="580"/>
      <c r="AN156" s="579"/>
      <c r="AO156" s="577"/>
      <c r="AP156" s="579"/>
      <c r="AQ156" s="580"/>
      <c r="AR156" s="579"/>
      <c r="AS156" s="579"/>
      <c r="AT156" s="579"/>
      <c r="AU156" s="580"/>
      <c r="AV156" s="579"/>
      <c r="AW156" s="579"/>
      <c r="AX156" s="158"/>
      <c r="AY156" s="154"/>
      <c r="AZ156">
        <f ca="1">INDIRECT(ADDRESS(ROW()+1,COLUMN(Arbeitszeit!xDay),,,"Arbeitszeit"))</f>
        <v>4</v>
      </c>
    </row>
    <row r="157" spans="1:52">
      <c r="A157" s="520">
        <f>Arbeitszeit!A158</f>
        <v>43617</v>
      </c>
      <c r="B157" s="521">
        <f t="shared" si="8"/>
        <v>43617</v>
      </c>
      <c r="C157" s="191">
        <f t="shared" si="9"/>
        <v>22</v>
      </c>
      <c r="D157" s="190">
        <f t="shared" si="10"/>
        <v>43616</v>
      </c>
      <c r="E157" s="589">
        <f>Arbeitszeit!V158*24</f>
        <v>0</v>
      </c>
      <c r="F157" s="349">
        <f t="shared" si="11"/>
        <v>0</v>
      </c>
      <c r="G157" s="155">
        <f>IF(Arbeitszeit!F158=Urlaub,B_WorkTime*24,)</f>
        <v>0</v>
      </c>
      <c r="H157" s="153"/>
      <c r="I157" s="155">
        <f>IF(Arbeitszeit!F158=Krank,B_WorkTime*24,)</f>
        <v>0</v>
      </c>
      <c r="J157" s="153"/>
      <c r="K157" s="156"/>
      <c r="L157" s="157"/>
      <c r="M157" s="577"/>
      <c r="N157" s="578"/>
      <c r="O157" s="577"/>
      <c r="P157" s="578"/>
      <c r="Q157" s="577"/>
      <c r="R157" s="578"/>
      <c r="S157" s="577"/>
      <c r="T157" s="578"/>
      <c r="U157" s="577"/>
      <c r="V157" s="578"/>
      <c r="W157" s="577"/>
      <c r="X157" s="578"/>
      <c r="Y157" s="577"/>
      <c r="Z157" s="578"/>
      <c r="AA157" s="577"/>
      <c r="AB157" s="578"/>
      <c r="AC157" s="577"/>
      <c r="AD157" s="578"/>
      <c r="AE157" s="577"/>
      <c r="AF157" s="579"/>
      <c r="AG157" s="577"/>
      <c r="AH157" s="579"/>
      <c r="AI157" s="577"/>
      <c r="AJ157" s="579"/>
      <c r="AK157" s="577"/>
      <c r="AL157" s="579"/>
      <c r="AM157" s="580"/>
      <c r="AN157" s="579"/>
      <c r="AO157" s="577"/>
      <c r="AP157" s="579"/>
      <c r="AQ157" s="580"/>
      <c r="AR157" s="579"/>
      <c r="AS157" s="579"/>
      <c r="AT157" s="579"/>
      <c r="AU157" s="580"/>
      <c r="AV157" s="579"/>
      <c r="AW157" s="579"/>
      <c r="AX157" s="158"/>
      <c r="AY157" s="154"/>
      <c r="AZ157">
        <f ca="1">INDIRECT(ADDRESS(ROW()+1,COLUMN(Arbeitszeit!xDay),,,"Arbeitszeit"))</f>
        <v>5</v>
      </c>
    </row>
    <row r="158" spans="1:52">
      <c r="A158" s="520">
        <f>Arbeitszeit!A159</f>
        <v>43618</v>
      </c>
      <c r="B158" s="521">
        <f t="shared" si="8"/>
        <v>43618</v>
      </c>
      <c r="C158" s="191">
        <f t="shared" si="9"/>
        <v>22</v>
      </c>
      <c r="D158" s="190">
        <f t="shared" si="10"/>
        <v>43616</v>
      </c>
      <c r="E158" s="589">
        <f>Arbeitszeit!V159*24</f>
        <v>0</v>
      </c>
      <c r="F158" s="349">
        <f t="shared" si="11"/>
        <v>0</v>
      </c>
      <c r="G158" s="155">
        <f>IF(Arbeitszeit!F159=Urlaub,B_WorkTime*24,)</f>
        <v>0</v>
      </c>
      <c r="H158" s="153"/>
      <c r="I158" s="155">
        <f>IF(Arbeitszeit!F159=Krank,B_WorkTime*24,)</f>
        <v>0</v>
      </c>
      <c r="J158" s="153"/>
      <c r="K158" s="156"/>
      <c r="L158" s="157"/>
      <c r="M158" s="577"/>
      <c r="N158" s="578"/>
      <c r="O158" s="577"/>
      <c r="P158" s="578"/>
      <c r="Q158" s="577"/>
      <c r="R158" s="578"/>
      <c r="S158" s="577"/>
      <c r="T158" s="578"/>
      <c r="U158" s="577"/>
      <c r="V158" s="578"/>
      <c r="W158" s="577"/>
      <c r="X158" s="578"/>
      <c r="Y158" s="577"/>
      <c r="Z158" s="578"/>
      <c r="AA158" s="577"/>
      <c r="AB158" s="578"/>
      <c r="AC158" s="577"/>
      <c r="AD158" s="578"/>
      <c r="AE158" s="577"/>
      <c r="AF158" s="579"/>
      <c r="AG158" s="577"/>
      <c r="AH158" s="579"/>
      <c r="AI158" s="577"/>
      <c r="AJ158" s="579"/>
      <c r="AK158" s="577"/>
      <c r="AL158" s="579"/>
      <c r="AM158" s="580"/>
      <c r="AN158" s="579"/>
      <c r="AO158" s="577"/>
      <c r="AP158" s="579"/>
      <c r="AQ158" s="580"/>
      <c r="AR158" s="579"/>
      <c r="AS158" s="579"/>
      <c r="AT158" s="579"/>
      <c r="AU158" s="580"/>
      <c r="AV158" s="579"/>
      <c r="AW158" s="579"/>
      <c r="AX158" s="158"/>
      <c r="AY158" s="154"/>
      <c r="AZ158">
        <f ca="1">INDIRECT(ADDRESS(ROW()+1,COLUMN(Arbeitszeit!xDay),,,"Arbeitszeit"))</f>
        <v>6</v>
      </c>
    </row>
    <row r="159" spans="1:52">
      <c r="A159" s="520">
        <f>Arbeitszeit!A160</f>
        <v>43619</v>
      </c>
      <c r="B159" s="521">
        <f t="shared" si="8"/>
        <v>43619</v>
      </c>
      <c r="C159" s="191">
        <f t="shared" si="9"/>
        <v>22</v>
      </c>
      <c r="D159" s="190">
        <f t="shared" si="10"/>
        <v>43616</v>
      </c>
      <c r="E159" s="589">
        <f>Arbeitszeit!V160*24</f>
        <v>0</v>
      </c>
      <c r="F159" s="349">
        <f t="shared" si="11"/>
        <v>0</v>
      </c>
      <c r="G159" s="155">
        <f>IF(Arbeitszeit!F160=Urlaub,B_WorkTime*24,)</f>
        <v>0</v>
      </c>
      <c r="H159" s="153"/>
      <c r="I159" s="155">
        <f>IF(Arbeitszeit!F160=Krank,B_WorkTime*24,)</f>
        <v>0</v>
      </c>
      <c r="J159" s="153"/>
      <c r="K159" s="156"/>
      <c r="L159" s="157"/>
      <c r="M159" s="577"/>
      <c r="N159" s="578"/>
      <c r="O159" s="577"/>
      <c r="P159" s="578"/>
      <c r="Q159" s="577"/>
      <c r="R159" s="578"/>
      <c r="S159" s="577"/>
      <c r="T159" s="578"/>
      <c r="U159" s="577"/>
      <c r="V159" s="578"/>
      <c r="W159" s="577"/>
      <c r="X159" s="578"/>
      <c r="Y159" s="577"/>
      <c r="Z159" s="578"/>
      <c r="AA159" s="577"/>
      <c r="AB159" s="578"/>
      <c r="AC159" s="577"/>
      <c r="AD159" s="578"/>
      <c r="AE159" s="577"/>
      <c r="AF159" s="579"/>
      <c r="AG159" s="577"/>
      <c r="AH159" s="579"/>
      <c r="AI159" s="577"/>
      <c r="AJ159" s="579"/>
      <c r="AK159" s="577"/>
      <c r="AL159" s="579"/>
      <c r="AM159" s="580"/>
      <c r="AN159" s="579"/>
      <c r="AO159" s="577"/>
      <c r="AP159" s="579"/>
      <c r="AQ159" s="580"/>
      <c r="AR159" s="579"/>
      <c r="AS159" s="579"/>
      <c r="AT159" s="579"/>
      <c r="AU159" s="580"/>
      <c r="AV159" s="579"/>
      <c r="AW159" s="579"/>
      <c r="AX159" s="158"/>
      <c r="AY159" s="154"/>
      <c r="AZ159">
        <f ca="1">INDIRECT(ADDRESS(ROW()+1,COLUMN(Arbeitszeit!xDay),,,"Arbeitszeit"))</f>
        <v>7</v>
      </c>
    </row>
    <row r="160" spans="1:52">
      <c r="A160" s="520">
        <f>Arbeitszeit!A161</f>
        <v>43620</v>
      </c>
      <c r="B160" s="521">
        <f t="shared" si="8"/>
        <v>43620</v>
      </c>
      <c r="C160" s="191">
        <f t="shared" si="9"/>
        <v>23</v>
      </c>
      <c r="D160" s="190">
        <f t="shared" si="10"/>
        <v>43616</v>
      </c>
      <c r="E160" s="589">
        <f>Arbeitszeit!V161*24</f>
        <v>0</v>
      </c>
      <c r="F160" s="349">
        <f t="shared" si="11"/>
        <v>0</v>
      </c>
      <c r="G160" s="155">
        <f>IF(Arbeitszeit!F161=Urlaub,B_WorkTime*24,)</f>
        <v>0</v>
      </c>
      <c r="H160" s="153"/>
      <c r="I160" s="155">
        <f>IF(Arbeitszeit!F161=Krank,B_WorkTime*24,)</f>
        <v>0</v>
      </c>
      <c r="J160" s="153"/>
      <c r="K160" s="156"/>
      <c r="L160" s="157"/>
      <c r="M160" s="577"/>
      <c r="N160" s="578"/>
      <c r="O160" s="577"/>
      <c r="P160" s="578"/>
      <c r="Q160" s="577"/>
      <c r="R160" s="578"/>
      <c r="S160" s="577"/>
      <c r="T160" s="578"/>
      <c r="U160" s="577"/>
      <c r="V160" s="578"/>
      <c r="W160" s="577"/>
      <c r="X160" s="578"/>
      <c r="Y160" s="577"/>
      <c r="Z160" s="578"/>
      <c r="AA160" s="577"/>
      <c r="AB160" s="578"/>
      <c r="AC160" s="577"/>
      <c r="AD160" s="578"/>
      <c r="AE160" s="577"/>
      <c r="AF160" s="579"/>
      <c r="AG160" s="577"/>
      <c r="AH160" s="579"/>
      <c r="AI160" s="577"/>
      <c r="AJ160" s="579"/>
      <c r="AK160" s="577"/>
      <c r="AL160" s="579"/>
      <c r="AM160" s="580"/>
      <c r="AN160" s="579"/>
      <c r="AO160" s="577"/>
      <c r="AP160" s="579"/>
      <c r="AQ160" s="580"/>
      <c r="AR160" s="579"/>
      <c r="AS160" s="579"/>
      <c r="AT160" s="579"/>
      <c r="AU160" s="580"/>
      <c r="AV160" s="579"/>
      <c r="AW160" s="579"/>
      <c r="AX160" s="158"/>
      <c r="AY160" s="154"/>
      <c r="AZ160">
        <f ca="1">INDIRECT(ADDRESS(ROW()+1,COLUMN(Arbeitszeit!xDay),,,"Arbeitszeit"))</f>
        <v>1</v>
      </c>
    </row>
    <row r="161" spans="1:52">
      <c r="A161" s="520">
        <f>Arbeitszeit!A162</f>
        <v>43621</v>
      </c>
      <c r="B161" s="521">
        <f t="shared" si="8"/>
        <v>43621</v>
      </c>
      <c r="C161" s="191">
        <f t="shared" si="9"/>
        <v>23</v>
      </c>
      <c r="D161" s="190">
        <f t="shared" si="10"/>
        <v>43616</v>
      </c>
      <c r="E161" s="589">
        <f>Arbeitszeit!V162*24</f>
        <v>0</v>
      </c>
      <c r="F161" s="349">
        <f t="shared" si="11"/>
        <v>0</v>
      </c>
      <c r="G161" s="155">
        <f>IF(Arbeitszeit!F162=Urlaub,B_WorkTime*24,)</f>
        <v>0</v>
      </c>
      <c r="H161" s="153"/>
      <c r="I161" s="155">
        <f>IF(Arbeitszeit!F162=Krank,B_WorkTime*24,)</f>
        <v>0</v>
      </c>
      <c r="J161" s="153"/>
      <c r="K161" s="156"/>
      <c r="L161" s="157"/>
      <c r="M161" s="577"/>
      <c r="N161" s="578"/>
      <c r="O161" s="577"/>
      <c r="P161" s="578"/>
      <c r="Q161" s="577"/>
      <c r="R161" s="578"/>
      <c r="S161" s="577"/>
      <c r="T161" s="578"/>
      <c r="U161" s="577"/>
      <c r="V161" s="578"/>
      <c r="W161" s="577"/>
      <c r="X161" s="578"/>
      <c r="Y161" s="577"/>
      <c r="Z161" s="578"/>
      <c r="AA161" s="577"/>
      <c r="AB161" s="578"/>
      <c r="AC161" s="577"/>
      <c r="AD161" s="578"/>
      <c r="AE161" s="577"/>
      <c r="AF161" s="579"/>
      <c r="AG161" s="577"/>
      <c r="AH161" s="579"/>
      <c r="AI161" s="577"/>
      <c r="AJ161" s="579"/>
      <c r="AK161" s="577"/>
      <c r="AL161" s="579"/>
      <c r="AM161" s="580"/>
      <c r="AN161" s="579"/>
      <c r="AO161" s="577"/>
      <c r="AP161" s="579"/>
      <c r="AQ161" s="580"/>
      <c r="AR161" s="579"/>
      <c r="AS161" s="579"/>
      <c r="AT161" s="579"/>
      <c r="AU161" s="580"/>
      <c r="AV161" s="579"/>
      <c r="AW161" s="579"/>
      <c r="AX161" s="158"/>
      <c r="AY161" s="154"/>
      <c r="AZ161">
        <f ca="1">INDIRECT(ADDRESS(ROW()+1,COLUMN(Arbeitszeit!xDay),,,"Arbeitszeit"))</f>
        <v>2</v>
      </c>
    </row>
    <row r="162" spans="1:52">
      <c r="A162" s="520">
        <f>Arbeitszeit!A163</f>
        <v>43622</v>
      </c>
      <c r="B162" s="521">
        <f t="shared" si="8"/>
        <v>43622</v>
      </c>
      <c r="C162" s="191">
        <f t="shared" si="9"/>
        <v>23</v>
      </c>
      <c r="D162" s="190">
        <f t="shared" si="10"/>
        <v>43616</v>
      </c>
      <c r="E162" s="589">
        <f>Arbeitszeit!V163*24</f>
        <v>0</v>
      </c>
      <c r="F162" s="349">
        <f t="shared" si="11"/>
        <v>0</v>
      </c>
      <c r="G162" s="155">
        <f>IF(Arbeitszeit!F163=Urlaub,B_WorkTime*24,)</f>
        <v>0</v>
      </c>
      <c r="H162" s="153"/>
      <c r="I162" s="155">
        <f>IF(Arbeitszeit!F163=Krank,B_WorkTime*24,)</f>
        <v>0</v>
      </c>
      <c r="J162" s="153"/>
      <c r="K162" s="156"/>
      <c r="L162" s="157"/>
      <c r="M162" s="577"/>
      <c r="N162" s="578"/>
      <c r="O162" s="577"/>
      <c r="P162" s="578"/>
      <c r="Q162" s="577"/>
      <c r="R162" s="578"/>
      <c r="S162" s="577"/>
      <c r="T162" s="578"/>
      <c r="U162" s="577"/>
      <c r="V162" s="578"/>
      <c r="W162" s="577"/>
      <c r="X162" s="578"/>
      <c r="Y162" s="577"/>
      <c r="Z162" s="578"/>
      <c r="AA162" s="577"/>
      <c r="AB162" s="578"/>
      <c r="AC162" s="577"/>
      <c r="AD162" s="578"/>
      <c r="AE162" s="577"/>
      <c r="AF162" s="579"/>
      <c r="AG162" s="577"/>
      <c r="AH162" s="579"/>
      <c r="AI162" s="577"/>
      <c r="AJ162" s="579"/>
      <c r="AK162" s="577"/>
      <c r="AL162" s="579"/>
      <c r="AM162" s="580"/>
      <c r="AN162" s="579"/>
      <c r="AO162" s="577"/>
      <c r="AP162" s="579"/>
      <c r="AQ162" s="580"/>
      <c r="AR162" s="579"/>
      <c r="AS162" s="579"/>
      <c r="AT162" s="579"/>
      <c r="AU162" s="580"/>
      <c r="AV162" s="579"/>
      <c r="AW162" s="579"/>
      <c r="AX162" s="158"/>
      <c r="AY162" s="154"/>
      <c r="AZ162">
        <f ca="1">INDIRECT(ADDRESS(ROW()+1,COLUMN(Arbeitszeit!xDay),,,"Arbeitszeit"))</f>
        <v>3</v>
      </c>
    </row>
    <row r="163" spans="1:52">
      <c r="A163" s="520">
        <f>Arbeitszeit!A164</f>
        <v>43623</v>
      </c>
      <c r="B163" s="521">
        <f t="shared" si="8"/>
        <v>43623</v>
      </c>
      <c r="C163" s="191">
        <f t="shared" si="9"/>
        <v>23</v>
      </c>
      <c r="D163" s="190">
        <f t="shared" si="10"/>
        <v>43616</v>
      </c>
      <c r="E163" s="589">
        <f>Arbeitszeit!V164*24</f>
        <v>0</v>
      </c>
      <c r="F163" s="349">
        <f t="shared" si="11"/>
        <v>0</v>
      </c>
      <c r="G163" s="155">
        <f>IF(Arbeitszeit!F164=Urlaub,B_WorkTime*24,)</f>
        <v>0</v>
      </c>
      <c r="H163" s="153"/>
      <c r="I163" s="155">
        <f>IF(Arbeitszeit!F164=Krank,B_WorkTime*24,)</f>
        <v>0</v>
      </c>
      <c r="J163" s="153"/>
      <c r="K163" s="156"/>
      <c r="L163" s="157"/>
      <c r="M163" s="577"/>
      <c r="N163" s="578"/>
      <c r="O163" s="577"/>
      <c r="P163" s="578"/>
      <c r="Q163" s="577"/>
      <c r="R163" s="578"/>
      <c r="S163" s="577"/>
      <c r="T163" s="578"/>
      <c r="U163" s="577"/>
      <c r="V163" s="578"/>
      <c r="W163" s="577"/>
      <c r="X163" s="578"/>
      <c r="Y163" s="577"/>
      <c r="Z163" s="578"/>
      <c r="AA163" s="577"/>
      <c r="AB163" s="578"/>
      <c r="AC163" s="577"/>
      <c r="AD163" s="578"/>
      <c r="AE163" s="577"/>
      <c r="AF163" s="579"/>
      <c r="AG163" s="577"/>
      <c r="AH163" s="579"/>
      <c r="AI163" s="577"/>
      <c r="AJ163" s="579"/>
      <c r="AK163" s="577"/>
      <c r="AL163" s="579"/>
      <c r="AM163" s="580"/>
      <c r="AN163" s="579"/>
      <c r="AO163" s="577"/>
      <c r="AP163" s="579"/>
      <c r="AQ163" s="580"/>
      <c r="AR163" s="579"/>
      <c r="AS163" s="579"/>
      <c r="AT163" s="579"/>
      <c r="AU163" s="580"/>
      <c r="AV163" s="579"/>
      <c r="AW163" s="579"/>
      <c r="AX163" s="158"/>
      <c r="AY163" s="154"/>
      <c r="AZ163">
        <f ca="1">INDIRECT(ADDRESS(ROW()+1,COLUMN(Arbeitszeit!xDay),,,"Arbeitszeit"))</f>
        <v>8</v>
      </c>
    </row>
    <row r="164" spans="1:52">
      <c r="A164" s="520">
        <f>Arbeitszeit!A165</f>
        <v>43624</v>
      </c>
      <c r="B164" s="521">
        <f t="shared" si="8"/>
        <v>43624</v>
      </c>
      <c r="C164" s="191">
        <f t="shared" si="9"/>
        <v>23</v>
      </c>
      <c r="D164" s="190">
        <f t="shared" si="10"/>
        <v>43616</v>
      </c>
      <c r="E164" s="589">
        <f>Arbeitszeit!V165*24</f>
        <v>0</v>
      </c>
      <c r="F164" s="349">
        <f t="shared" si="11"/>
        <v>0</v>
      </c>
      <c r="G164" s="155">
        <f>IF(Arbeitszeit!F165=Urlaub,B_WorkTime*24,)</f>
        <v>0</v>
      </c>
      <c r="H164" s="153"/>
      <c r="I164" s="155">
        <f>IF(Arbeitszeit!F165=Krank,B_WorkTime*24,)</f>
        <v>0</v>
      </c>
      <c r="J164" s="153"/>
      <c r="K164" s="156"/>
      <c r="L164" s="157"/>
      <c r="M164" s="577"/>
      <c r="N164" s="578"/>
      <c r="O164" s="577"/>
      <c r="P164" s="578"/>
      <c r="Q164" s="577"/>
      <c r="R164" s="578"/>
      <c r="S164" s="577"/>
      <c r="T164" s="578"/>
      <c r="U164" s="577"/>
      <c r="V164" s="578"/>
      <c r="W164" s="577"/>
      <c r="X164" s="578"/>
      <c r="Y164" s="577"/>
      <c r="Z164" s="578"/>
      <c r="AA164" s="577"/>
      <c r="AB164" s="578"/>
      <c r="AC164" s="577"/>
      <c r="AD164" s="578"/>
      <c r="AE164" s="577"/>
      <c r="AF164" s="579"/>
      <c r="AG164" s="577"/>
      <c r="AH164" s="579"/>
      <c r="AI164" s="577"/>
      <c r="AJ164" s="579"/>
      <c r="AK164" s="577"/>
      <c r="AL164" s="579"/>
      <c r="AM164" s="580"/>
      <c r="AN164" s="579"/>
      <c r="AO164" s="577"/>
      <c r="AP164" s="579"/>
      <c r="AQ164" s="580"/>
      <c r="AR164" s="579"/>
      <c r="AS164" s="579"/>
      <c r="AT164" s="579"/>
      <c r="AU164" s="580"/>
      <c r="AV164" s="579"/>
      <c r="AW164" s="579"/>
      <c r="AX164" s="158"/>
      <c r="AY164" s="154"/>
      <c r="AZ164">
        <f ca="1">INDIRECT(ADDRESS(ROW()+1,COLUMN(Arbeitszeit!xDay),,,"Arbeitszeit"))</f>
        <v>5</v>
      </c>
    </row>
    <row r="165" spans="1:52">
      <c r="A165" s="520">
        <f>Arbeitszeit!A166</f>
        <v>43625</v>
      </c>
      <c r="B165" s="521">
        <f t="shared" si="8"/>
        <v>43625</v>
      </c>
      <c r="C165" s="191">
        <f t="shared" si="9"/>
        <v>23</v>
      </c>
      <c r="D165" s="190">
        <f t="shared" si="10"/>
        <v>43616</v>
      </c>
      <c r="E165" s="589">
        <f>Arbeitszeit!V166*24</f>
        <v>0</v>
      </c>
      <c r="F165" s="349">
        <f t="shared" si="11"/>
        <v>0</v>
      </c>
      <c r="G165" s="155">
        <f>IF(Arbeitszeit!F166=Urlaub,B_WorkTime*24,)</f>
        <v>0</v>
      </c>
      <c r="H165" s="153"/>
      <c r="I165" s="155">
        <f>IF(Arbeitszeit!F166=Krank,B_WorkTime*24,)</f>
        <v>0</v>
      </c>
      <c r="J165" s="153"/>
      <c r="K165" s="156"/>
      <c r="L165" s="157"/>
      <c r="M165" s="577"/>
      <c r="N165" s="578"/>
      <c r="O165" s="577"/>
      <c r="P165" s="578"/>
      <c r="Q165" s="577"/>
      <c r="R165" s="578"/>
      <c r="S165" s="577"/>
      <c r="T165" s="578"/>
      <c r="U165" s="577"/>
      <c r="V165" s="578"/>
      <c r="W165" s="577"/>
      <c r="X165" s="578"/>
      <c r="Y165" s="577"/>
      <c r="Z165" s="578"/>
      <c r="AA165" s="577"/>
      <c r="AB165" s="578"/>
      <c r="AC165" s="577"/>
      <c r="AD165" s="578"/>
      <c r="AE165" s="577"/>
      <c r="AF165" s="579"/>
      <c r="AG165" s="577"/>
      <c r="AH165" s="579"/>
      <c r="AI165" s="577"/>
      <c r="AJ165" s="579"/>
      <c r="AK165" s="577"/>
      <c r="AL165" s="579"/>
      <c r="AM165" s="580"/>
      <c r="AN165" s="579"/>
      <c r="AO165" s="577"/>
      <c r="AP165" s="579"/>
      <c r="AQ165" s="580"/>
      <c r="AR165" s="579"/>
      <c r="AS165" s="579"/>
      <c r="AT165" s="579"/>
      <c r="AU165" s="580"/>
      <c r="AV165" s="579"/>
      <c r="AW165" s="579"/>
      <c r="AX165" s="158"/>
      <c r="AY165" s="154"/>
      <c r="AZ165">
        <f ca="1">INDIRECT(ADDRESS(ROW()+1,COLUMN(Arbeitszeit!xDay),,,"Arbeitszeit"))</f>
        <v>6</v>
      </c>
    </row>
    <row r="166" spans="1:52">
      <c r="A166" s="520">
        <f>Arbeitszeit!A167</f>
        <v>43626</v>
      </c>
      <c r="B166" s="521">
        <f t="shared" si="8"/>
        <v>43626</v>
      </c>
      <c r="C166" s="191">
        <f t="shared" si="9"/>
        <v>23</v>
      </c>
      <c r="D166" s="190">
        <f t="shared" si="10"/>
        <v>43616</v>
      </c>
      <c r="E166" s="589">
        <f>Arbeitszeit!V167*24</f>
        <v>0</v>
      </c>
      <c r="F166" s="349">
        <f t="shared" si="11"/>
        <v>0</v>
      </c>
      <c r="G166" s="155">
        <f>IF(Arbeitszeit!F167=Urlaub,B_WorkTime*24,)</f>
        <v>0</v>
      </c>
      <c r="H166" s="153"/>
      <c r="I166" s="155">
        <f>IF(Arbeitszeit!F167=Krank,B_WorkTime*24,)</f>
        <v>0</v>
      </c>
      <c r="J166" s="153"/>
      <c r="K166" s="156"/>
      <c r="L166" s="157"/>
      <c r="M166" s="577"/>
      <c r="N166" s="578"/>
      <c r="O166" s="577"/>
      <c r="P166" s="578"/>
      <c r="Q166" s="577"/>
      <c r="R166" s="578"/>
      <c r="S166" s="577"/>
      <c r="T166" s="578"/>
      <c r="U166" s="577"/>
      <c r="V166" s="578"/>
      <c r="W166" s="577"/>
      <c r="X166" s="578"/>
      <c r="Y166" s="577"/>
      <c r="Z166" s="578"/>
      <c r="AA166" s="577"/>
      <c r="AB166" s="578"/>
      <c r="AC166" s="577"/>
      <c r="AD166" s="578"/>
      <c r="AE166" s="577"/>
      <c r="AF166" s="579"/>
      <c r="AG166" s="577"/>
      <c r="AH166" s="579"/>
      <c r="AI166" s="577"/>
      <c r="AJ166" s="579"/>
      <c r="AK166" s="577"/>
      <c r="AL166" s="579"/>
      <c r="AM166" s="580"/>
      <c r="AN166" s="579"/>
      <c r="AO166" s="577"/>
      <c r="AP166" s="579"/>
      <c r="AQ166" s="580"/>
      <c r="AR166" s="579"/>
      <c r="AS166" s="579"/>
      <c r="AT166" s="579"/>
      <c r="AU166" s="580"/>
      <c r="AV166" s="579"/>
      <c r="AW166" s="579"/>
      <c r="AX166" s="158"/>
      <c r="AY166" s="154"/>
      <c r="AZ166">
        <f ca="1">INDIRECT(ADDRESS(ROW()+1,COLUMN(Arbeitszeit!xDay),,,"Arbeitszeit"))</f>
        <v>7</v>
      </c>
    </row>
    <row r="167" spans="1:52">
      <c r="A167" s="520">
        <f>Arbeitszeit!A168</f>
        <v>43627</v>
      </c>
      <c r="B167" s="521">
        <f t="shared" si="8"/>
        <v>43627</v>
      </c>
      <c r="C167" s="191">
        <f t="shared" si="9"/>
        <v>24</v>
      </c>
      <c r="D167" s="190">
        <f t="shared" si="10"/>
        <v>43616</v>
      </c>
      <c r="E167" s="589">
        <f>Arbeitszeit!V168*24</f>
        <v>0</v>
      </c>
      <c r="F167" s="349">
        <f t="shared" si="11"/>
        <v>0</v>
      </c>
      <c r="G167" s="155">
        <f>IF(Arbeitszeit!F168=Urlaub,B_WorkTime*24,)</f>
        <v>0</v>
      </c>
      <c r="H167" s="153"/>
      <c r="I167" s="155">
        <f>IF(Arbeitszeit!F168=Krank,B_WorkTime*24,)</f>
        <v>0</v>
      </c>
      <c r="J167" s="153"/>
      <c r="K167" s="156"/>
      <c r="L167" s="157"/>
      <c r="M167" s="577"/>
      <c r="N167" s="578"/>
      <c r="O167" s="577"/>
      <c r="P167" s="578"/>
      <c r="Q167" s="577"/>
      <c r="R167" s="578"/>
      <c r="S167" s="577"/>
      <c r="T167" s="578"/>
      <c r="U167" s="577"/>
      <c r="V167" s="578"/>
      <c r="W167" s="577"/>
      <c r="X167" s="578"/>
      <c r="Y167" s="577"/>
      <c r="Z167" s="578"/>
      <c r="AA167" s="577"/>
      <c r="AB167" s="578"/>
      <c r="AC167" s="577"/>
      <c r="AD167" s="578"/>
      <c r="AE167" s="577"/>
      <c r="AF167" s="579"/>
      <c r="AG167" s="577"/>
      <c r="AH167" s="579"/>
      <c r="AI167" s="577"/>
      <c r="AJ167" s="579"/>
      <c r="AK167" s="577"/>
      <c r="AL167" s="579"/>
      <c r="AM167" s="580"/>
      <c r="AN167" s="579"/>
      <c r="AO167" s="577"/>
      <c r="AP167" s="579"/>
      <c r="AQ167" s="580"/>
      <c r="AR167" s="579"/>
      <c r="AS167" s="579"/>
      <c r="AT167" s="579"/>
      <c r="AU167" s="580"/>
      <c r="AV167" s="579"/>
      <c r="AW167" s="579"/>
      <c r="AX167" s="158"/>
      <c r="AY167" s="154"/>
      <c r="AZ167">
        <f ca="1">INDIRECT(ADDRESS(ROW()+1,COLUMN(Arbeitszeit!xDay),,,"Arbeitszeit"))</f>
        <v>1</v>
      </c>
    </row>
    <row r="168" spans="1:52">
      <c r="A168" s="520">
        <f>Arbeitszeit!A169</f>
        <v>43628</v>
      </c>
      <c r="B168" s="521">
        <f t="shared" si="8"/>
        <v>43628</v>
      </c>
      <c r="C168" s="191">
        <f t="shared" si="9"/>
        <v>24</v>
      </c>
      <c r="D168" s="190">
        <f t="shared" si="10"/>
        <v>43616</v>
      </c>
      <c r="E168" s="589">
        <f>Arbeitszeit!V169*24</f>
        <v>0</v>
      </c>
      <c r="F168" s="349">
        <f t="shared" si="11"/>
        <v>0</v>
      </c>
      <c r="G168" s="155">
        <f>IF(Arbeitszeit!F169=Urlaub,B_WorkTime*24,)</f>
        <v>0</v>
      </c>
      <c r="H168" s="153"/>
      <c r="I168" s="155">
        <f>IF(Arbeitszeit!F169=Krank,B_WorkTime*24,)</f>
        <v>0</v>
      </c>
      <c r="J168" s="153"/>
      <c r="K168" s="156"/>
      <c r="L168" s="157"/>
      <c r="M168" s="577"/>
      <c r="N168" s="578"/>
      <c r="O168" s="577"/>
      <c r="P168" s="578"/>
      <c r="Q168" s="577"/>
      <c r="R168" s="578"/>
      <c r="S168" s="577"/>
      <c r="T168" s="578"/>
      <c r="U168" s="577"/>
      <c r="V168" s="578"/>
      <c r="W168" s="577"/>
      <c r="X168" s="578"/>
      <c r="Y168" s="577"/>
      <c r="Z168" s="578"/>
      <c r="AA168" s="577"/>
      <c r="AB168" s="578"/>
      <c r="AC168" s="577"/>
      <c r="AD168" s="578"/>
      <c r="AE168" s="577"/>
      <c r="AF168" s="579"/>
      <c r="AG168" s="577"/>
      <c r="AH168" s="579"/>
      <c r="AI168" s="577"/>
      <c r="AJ168" s="579"/>
      <c r="AK168" s="577"/>
      <c r="AL168" s="579"/>
      <c r="AM168" s="580"/>
      <c r="AN168" s="579"/>
      <c r="AO168" s="577"/>
      <c r="AP168" s="579"/>
      <c r="AQ168" s="580"/>
      <c r="AR168" s="579"/>
      <c r="AS168" s="579"/>
      <c r="AT168" s="579"/>
      <c r="AU168" s="580"/>
      <c r="AV168" s="579"/>
      <c r="AW168" s="579"/>
      <c r="AX168" s="158"/>
      <c r="AY168" s="154"/>
      <c r="AZ168">
        <f ca="1">INDIRECT(ADDRESS(ROW()+1,COLUMN(Arbeitszeit!xDay),,,"Arbeitszeit"))</f>
        <v>2</v>
      </c>
    </row>
    <row r="169" spans="1:52">
      <c r="A169" s="520">
        <f>Arbeitszeit!A170</f>
        <v>43629</v>
      </c>
      <c r="B169" s="521">
        <f t="shared" si="8"/>
        <v>43629</v>
      </c>
      <c r="C169" s="191">
        <f t="shared" si="9"/>
        <v>24</v>
      </c>
      <c r="D169" s="190">
        <f t="shared" si="10"/>
        <v>43616</v>
      </c>
      <c r="E169" s="589">
        <f>Arbeitszeit!V170*24</f>
        <v>0</v>
      </c>
      <c r="F169" s="349">
        <f t="shared" si="11"/>
        <v>0</v>
      </c>
      <c r="G169" s="155">
        <f>IF(Arbeitszeit!F170=Urlaub,B_WorkTime*24,)</f>
        <v>0</v>
      </c>
      <c r="H169" s="153"/>
      <c r="I169" s="155">
        <f>IF(Arbeitszeit!F170=Krank,B_WorkTime*24,)</f>
        <v>0</v>
      </c>
      <c r="J169" s="153"/>
      <c r="K169" s="156"/>
      <c r="L169" s="157"/>
      <c r="M169" s="577"/>
      <c r="N169" s="578"/>
      <c r="O169" s="577"/>
      <c r="P169" s="578"/>
      <c r="Q169" s="577"/>
      <c r="R169" s="578"/>
      <c r="S169" s="577"/>
      <c r="T169" s="578"/>
      <c r="U169" s="577"/>
      <c r="V169" s="578"/>
      <c r="W169" s="577"/>
      <c r="X169" s="578"/>
      <c r="Y169" s="577"/>
      <c r="Z169" s="578"/>
      <c r="AA169" s="577"/>
      <c r="AB169" s="578"/>
      <c r="AC169" s="577"/>
      <c r="AD169" s="578"/>
      <c r="AE169" s="577"/>
      <c r="AF169" s="579"/>
      <c r="AG169" s="577"/>
      <c r="AH169" s="579"/>
      <c r="AI169" s="577"/>
      <c r="AJ169" s="579"/>
      <c r="AK169" s="577"/>
      <c r="AL169" s="579"/>
      <c r="AM169" s="580"/>
      <c r="AN169" s="579"/>
      <c r="AO169" s="577"/>
      <c r="AP169" s="579"/>
      <c r="AQ169" s="580"/>
      <c r="AR169" s="579"/>
      <c r="AS169" s="579"/>
      <c r="AT169" s="579"/>
      <c r="AU169" s="580"/>
      <c r="AV169" s="579"/>
      <c r="AW169" s="579"/>
      <c r="AX169" s="158"/>
      <c r="AY169" s="154"/>
      <c r="AZ169">
        <f ca="1">INDIRECT(ADDRESS(ROW()+1,COLUMN(Arbeitszeit!xDay),,,"Arbeitszeit"))</f>
        <v>3</v>
      </c>
    </row>
    <row r="170" spans="1:52">
      <c r="A170" s="520">
        <f>Arbeitszeit!A171</f>
        <v>43630</v>
      </c>
      <c r="B170" s="521">
        <f t="shared" si="8"/>
        <v>43630</v>
      </c>
      <c r="C170" s="191">
        <f t="shared" si="9"/>
        <v>24</v>
      </c>
      <c r="D170" s="190">
        <f t="shared" si="10"/>
        <v>43616</v>
      </c>
      <c r="E170" s="589">
        <f>Arbeitszeit!V171*24</f>
        <v>0</v>
      </c>
      <c r="F170" s="349">
        <f t="shared" si="11"/>
        <v>0</v>
      </c>
      <c r="G170" s="155">
        <f>IF(Arbeitszeit!F171=Urlaub,B_WorkTime*24,)</f>
        <v>0</v>
      </c>
      <c r="H170" s="153"/>
      <c r="I170" s="155">
        <f>IF(Arbeitszeit!F171=Krank,B_WorkTime*24,)</f>
        <v>0</v>
      </c>
      <c r="J170" s="153"/>
      <c r="K170" s="156"/>
      <c r="L170" s="157"/>
      <c r="M170" s="577"/>
      <c r="N170" s="578"/>
      <c r="O170" s="577"/>
      <c r="P170" s="578"/>
      <c r="Q170" s="577"/>
      <c r="R170" s="578"/>
      <c r="S170" s="577"/>
      <c r="T170" s="578"/>
      <c r="U170" s="577"/>
      <c r="V170" s="578"/>
      <c r="W170" s="577"/>
      <c r="X170" s="578"/>
      <c r="Y170" s="577"/>
      <c r="Z170" s="578"/>
      <c r="AA170" s="577"/>
      <c r="AB170" s="578"/>
      <c r="AC170" s="577"/>
      <c r="AD170" s="578"/>
      <c r="AE170" s="577"/>
      <c r="AF170" s="579"/>
      <c r="AG170" s="577"/>
      <c r="AH170" s="579"/>
      <c r="AI170" s="577"/>
      <c r="AJ170" s="579"/>
      <c r="AK170" s="577"/>
      <c r="AL170" s="579"/>
      <c r="AM170" s="580"/>
      <c r="AN170" s="579"/>
      <c r="AO170" s="577"/>
      <c r="AP170" s="579"/>
      <c r="AQ170" s="580"/>
      <c r="AR170" s="579"/>
      <c r="AS170" s="579"/>
      <c r="AT170" s="579"/>
      <c r="AU170" s="580"/>
      <c r="AV170" s="579"/>
      <c r="AW170" s="579"/>
      <c r="AX170" s="158"/>
      <c r="AY170" s="154"/>
      <c r="AZ170">
        <f ca="1">INDIRECT(ADDRESS(ROW()+1,COLUMN(Arbeitszeit!xDay),,,"Arbeitszeit"))</f>
        <v>4</v>
      </c>
    </row>
    <row r="171" spans="1:52">
      <c r="A171" s="520">
        <f>Arbeitszeit!A172</f>
        <v>43631</v>
      </c>
      <c r="B171" s="521">
        <f t="shared" si="8"/>
        <v>43631</v>
      </c>
      <c r="C171" s="191">
        <f t="shared" si="9"/>
        <v>24</v>
      </c>
      <c r="D171" s="190">
        <f t="shared" si="10"/>
        <v>43616</v>
      </c>
      <c r="E171" s="589">
        <f>Arbeitszeit!V172*24</f>
        <v>0</v>
      </c>
      <c r="F171" s="349">
        <f t="shared" si="11"/>
        <v>0</v>
      </c>
      <c r="G171" s="155">
        <f>IF(Arbeitszeit!F172=Urlaub,B_WorkTime*24,)</f>
        <v>0</v>
      </c>
      <c r="H171" s="153"/>
      <c r="I171" s="155">
        <f>IF(Arbeitszeit!F172=Krank,B_WorkTime*24,)</f>
        <v>0</v>
      </c>
      <c r="J171" s="153"/>
      <c r="K171" s="156"/>
      <c r="L171" s="157"/>
      <c r="M171" s="577"/>
      <c r="N171" s="578"/>
      <c r="O171" s="577"/>
      <c r="P171" s="578"/>
      <c r="Q171" s="577"/>
      <c r="R171" s="578"/>
      <c r="S171" s="577"/>
      <c r="T171" s="578"/>
      <c r="U171" s="577"/>
      <c r="V171" s="578"/>
      <c r="W171" s="577"/>
      <c r="X171" s="578"/>
      <c r="Y171" s="577"/>
      <c r="Z171" s="578"/>
      <c r="AA171" s="577"/>
      <c r="AB171" s="578"/>
      <c r="AC171" s="577"/>
      <c r="AD171" s="578"/>
      <c r="AE171" s="577"/>
      <c r="AF171" s="579"/>
      <c r="AG171" s="577"/>
      <c r="AH171" s="579"/>
      <c r="AI171" s="577"/>
      <c r="AJ171" s="579"/>
      <c r="AK171" s="577"/>
      <c r="AL171" s="579"/>
      <c r="AM171" s="580"/>
      <c r="AN171" s="579"/>
      <c r="AO171" s="577"/>
      <c r="AP171" s="579"/>
      <c r="AQ171" s="580"/>
      <c r="AR171" s="579"/>
      <c r="AS171" s="579"/>
      <c r="AT171" s="579"/>
      <c r="AU171" s="580"/>
      <c r="AV171" s="579"/>
      <c r="AW171" s="579"/>
      <c r="AX171" s="158"/>
      <c r="AY171" s="154"/>
      <c r="AZ171">
        <f ca="1">INDIRECT(ADDRESS(ROW()+1,COLUMN(Arbeitszeit!xDay),,,"Arbeitszeit"))</f>
        <v>5</v>
      </c>
    </row>
    <row r="172" spans="1:52">
      <c r="A172" s="520">
        <f>Arbeitszeit!A173</f>
        <v>43632</v>
      </c>
      <c r="B172" s="521">
        <f t="shared" si="8"/>
        <v>43632</v>
      </c>
      <c r="C172" s="191">
        <f t="shared" si="9"/>
        <v>24</v>
      </c>
      <c r="D172" s="190">
        <f t="shared" si="10"/>
        <v>43616</v>
      </c>
      <c r="E172" s="589">
        <f>Arbeitszeit!V173*24</f>
        <v>0</v>
      </c>
      <c r="F172" s="349">
        <f t="shared" si="11"/>
        <v>0</v>
      </c>
      <c r="G172" s="155">
        <f>IF(Arbeitszeit!F173=Urlaub,B_WorkTime*24,)</f>
        <v>0</v>
      </c>
      <c r="H172" s="153"/>
      <c r="I172" s="155">
        <f>IF(Arbeitszeit!F173=Krank,B_WorkTime*24,)</f>
        <v>0</v>
      </c>
      <c r="J172" s="153"/>
      <c r="K172" s="156"/>
      <c r="L172" s="157"/>
      <c r="M172" s="577"/>
      <c r="N172" s="578"/>
      <c r="O172" s="577"/>
      <c r="P172" s="578"/>
      <c r="Q172" s="577"/>
      <c r="R172" s="578"/>
      <c r="S172" s="577"/>
      <c r="T172" s="578"/>
      <c r="U172" s="577"/>
      <c r="V172" s="578"/>
      <c r="W172" s="577"/>
      <c r="X172" s="578"/>
      <c r="Y172" s="577"/>
      <c r="Z172" s="578"/>
      <c r="AA172" s="577"/>
      <c r="AB172" s="578"/>
      <c r="AC172" s="577"/>
      <c r="AD172" s="578"/>
      <c r="AE172" s="577"/>
      <c r="AF172" s="579"/>
      <c r="AG172" s="577"/>
      <c r="AH172" s="579"/>
      <c r="AI172" s="577"/>
      <c r="AJ172" s="579"/>
      <c r="AK172" s="577"/>
      <c r="AL172" s="579"/>
      <c r="AM172" s="580"/>
      <c r="AN172" s="579"/>
      <c r="AO172" s="577"/>
      <c r="AP172" s="579"/>
      <c r="AQ172" s="580"/>
      <c r="AR172" s="579"/>
      <c r="AS172" s="579"/>
      <c r="AT172" s="579"/>
      <c r="AU172" s="580"/>
      <c r="AV172" s="579"/>
      <c r="AW172" s="579"/>
      <c r="AX172" s="158"/>
      <c r="AY172" s="154"/>
      <c r="AZ172">
        <f ca="1">INDIRECT(ADDRESS(ROW()+1,COLUMN(Arbeitszeit!xDay),,,"Arbeitszeit"))</f>
        <v>6</v>
      </c>
    </row>
    <row r="173" spans="1:52">
      <c r="A173" s="520">
        <f>Arbeitszeit!A174</f>
        <v>43633</v>
      </c>
      <c r="B173" s="521">
        <f t="shared" si="8"/>
        <v>43633</v>
      </c>
      <c r="C173" s="191">
        <f t="shared" si="9"/>
        <v>24</v>
      </c>
      <c r="D173" s="190">
        <f t="shared" si="10"/>
        <v>43616</v>
      </c>
      <c r="E173" s="589">
        <f>Arbeitszeit!V174*24</f>
        <v>0</v>
      </c>
      <c r="F173" s="349">
        <f t="shared" si="11"/>
        <v>0</v>
      </c>
      <c r="G173" s="155">
        <f>IF(Arbeitszeit!F174=Urlaub,B_WorkTime*24,)</f>
        <v>0</v>
      </c>
      <c r="H173" s="153"/>
      <c r="I173" s="155">
        <f>IF(Arbeitszeit!F174=Krank,B_WorkTime*24,)</f>
        <v>0</v>
      </c>
      <c r="J173" s="153"/>
      <c r="K173" s="156"/>
      <c r="L173" s="157"/>
      <c r="M173" s="577"/>
      <c r="N173" s="578"/>
      <c r="O173" s="577"/>
      <c r="P173" s="578"/>
      <c r="Q173" s="577"/>
      <c r="R173" s="578"/>
      <c r="S173" s="577"/>
      <c r="T173" s="578"/>
      <c r="U173" s="577"/>
      <c r="V173" s="578"/>
      <c r="W173" s="577"/>
      <c r="X173" s="578"/>
      <c r="Y173" s="577"/>
      <c r="Z173" s="578"/>
      <c r="AA173" s="577"/>
      <c r="AB173" s="578"/>
      <c r="AC173" s="577"/>
      <c r="AD173" s="578"/>
      <c r="AE173" s="577"/>
      <c r="AF173" s="579"/>
      <c r="AG173" s="577"/>
      <c r="AH173" s="579"/>
      <c r="AI173" s="577"/>
      <c r="AJ173" s="579"/>
      <c r="AK173" s="577"/>
      <c r="AL173" s="579"/>
      <c r="AM173" s="580"/>
      <c r="AN173" s="579"/>
      <c r="AO173" s="577"/>
      <c r="AP173" s="579"/>
      <c r="AQ173" s="580"/>
      <c r="AR173" s="579"/>
      <c r="AS173" s="579"/>
      <c r="AT173" s="579"/>
      <c r="AU173" s="580"/>
      <c r="AV173" s="579"/>
      <c r="AW173" s="579"/>
      <c r="AX173" s="158"/>
      <c r="AY173" s="154"/>
      <c r="AZ173">
        <f ca="1">INDIRECT(ADDRESS(ROW()+1,COLUMN(Arbeitszeit!xDay),,,"Arbeitszeit"))</f>
        <v>7</v>
      </c>
    </row>
    <row r="174" spans="1:52">
      <c r="A174" s="520">
        <f>Arbeitszeit!A175</f>
        <v>43634</v>
      </c>
      <c r="B174" s="521">
        <f t="shared" si="8"/>
        <v>43634</v>
      </c>
      <c r="C174" s="191">
        <f t="shared" si="9"/>
        <v>25</v>
      </c>
      <c r="D174" s="190">
        <f t="shared" si="10"/>
        <v>43616</v>
      </c>
      <c r="E174" s="589">
        <f>Arbeitszeit!V175*24</f>
        <v>0</v>
      </c>
      <c r="F174" s="349">
        <f t="shared" si="11"/>
        <v>0</v>
      </c>
      <c r="G174" s="155">
        <f>IF(Arbeitszeit!F175=Urlaub,B_WorkTime*24,)</f>
        <v>0</v>
      </c>
      <c r="H174" s="153"/>
      <c r="I174" s="155">
        <f>IF(Arbeitszeit!F175=Krank,B_WorkTime*24,)</f>
        <v>0</v>
      </c>
      <c r="J174" s="153"/>
      <c r="K174" s="156"/>
      <c r="L174" s="157"/>
      <c r="M174" s="577"/>
      <c r="N174" s="578"/>
      <c r="O174" s="577"/>
      <c r="P174" s="578"/>
      <c r="Q174" s="577"/>
      <c r="R174" s="578"/>
      <c r="S174" s="577"/>
      <c r="T174" s="578"/>
      <c r="U174" s="577"/>
      <c r="V174" s="578"/>
      <c r="W174" s="577"/>
      <c r="X174" s="578"/>
      <c r="Y174" s="577"/>
      <c r="Z174" s="578"/>
      <c r="AA174" s="577"/>
      <c r="AB174" s="578"/>
      <c r="AC174" s="577"/>
      <c r="AD174" s="578"/>
      <c r="AE174" s="577"/>
      <c r="AF174" s="579"/>
      <c r="AG174" s="577"/>
      <c r="AH174" s="579"/>
      <c r="AI174" s="577"/>
      <c r="AJ174" s="579"/>
      <c r="AK174" s="577"/>
      <c r="AL174" s="579"/>
      <c r="AM174" s="580"/>
      <c r="AN174" s="579"/>
      <c r="AO174" s="577"/>
      <c r="AP174" s="579"/>
      <c r="AQ174" s="580"/>
      <c r="AR174" s="579"/>
      <c r="AS174" s="579"/>
      <c r="AT174" s="579"/>
      <c r="AU174" s="580"/>
      <c r="AV174" s="579"/>
      <c r="AW174" s="579"/>
      <c r="AX174" s="158"/>
      <c r="AY174" s="154"/>
      <c r="AZ174">
        <f ca="1">INDIRECT(ADDRESS(ROW()+1,COLUMN(Arbeitszeit!xDay),,,"Arbeitszeit"))</f>
        <v>1</v>
      </c>
    </row>
    <row r="175" spans="1:52">
      <c r="A175" s="520">
        <f>Arbeitszeit!A176</f>
        <v>43635</v>
      </c>
      <c r="B175" s="521">
        <f t="shared" si="8"/>
        <v>43635</v>
      </c>
      <c r="C175" s="191">
        <f t="shared" si="9"/>
        <v>25</v>
      </c>
      <c r="D175" s="190">
        <f t="shared" si="10"/>
        <v>43616</v>
      </c>
      <c r="E175" s="589">
        <f>Arbeitszeit!V176*24</f>
        <v>0</v>
      </c>
      <c r="F175" s="349">
        <f t="shared" si="11"/>
        <v>0</v>
      </c>
      <c r="G175" s="155">
        <f>IF(Arbeitszeit!F176=Urlaub,B_WorkTime*24,)</f>
        <v>0</v>
      </c>
      <c r="H175" s="153"/>
      <c r="I175" s="155">
        <f>IF(Arbeitszeit!F176=Krank,B_WorkTime*24,)</f>
        <v>0</v>
      </c>
      <c r="J175" s="153"/>
      <c r="K175" s="156"/>
      <c r="L175" s="157"/>
      <c r="M175" s="577"/>
      <c r="N175" s="578"/>
      <c r="O175" s="577"/>
      <c r="P175" s="578"/>
      <c r="Q175" s="577"/>
      <c r="R175" s="578"/>
      <c r="S175" s="577"/>
      <c r="T175" s="578"/>
      <c r="U175" s="577"/>
      <c r="V175" s="578"/>
      <c r="W175" s="577"/>
      <c r="X175" s="578"/>
      <c r="Y175" s="577"/>
      <c r="Z175" s="578"/>
      <c r="AA175" s="577"/>
      <c r="AB175" s="578"/>
      <c r="AC175" s="577"/>
      <c r="AD175" s="578"/>
      <c r="AE175" s="577"/>
      <c r="AF175" s="579"/>
      <c r="AG175" s="577"/>
      <c r="AH175" s="579"/>
      <c r="AI175" s="577"/>
      <c r="AJ175" s="579"/>
      <c r="AK175" s="577"/>
      <c r="AL175" s="579"/>
      <c r="AM175" s="580"/>
      <c r="AN175" s="579"/>
      <c r="AO175" s="577"/>
      <c r="AP175" s="579"/>
      <c r="AQ175" s="580"/>
      <c r="AR175" s="579"/>
      <c r="AS175" s="579"/>
      <c r="AT175" s="579"/>
      <c r="AU175" s="580"/>
      <c r="AV175" s="579"/>
      <c r="AW175" s="579"/>
      <c r="AX175" s="158"/>
      <c r="AY175" s="154"/>
      <c r="AZ175">
        <f ca="1">INDIRECT(ADDRESS(ROW()+1,COLUMN(Arbeitszeit!xDay),,,"Arbeitszeit"))</f>
        <v>2</v>
      </c>
    </row>
    <row r="176" spans="1:52">
      <c r="A176" s="520">
        <f>Arbeitszeit!A177</f>
        <v>43636</v>
      </c>
      <c r="B176" s="521">
        <f t="shared" si="8"/>
        <v>43636</v>
      </c>
      <c r="C176" s="191">
        <f t="shared" si="9"/>
        <v>25</v>
      </c>
      <c r="D176" s="190">
        <f t="shared" si="10"/>
        <v>43616</v>
      </c>
      <c r="E176" s="589">
        <f>Arbeitszeit!V177*24</f>
        <v>0</v>
      </c>
      <c r="F176" s="349">
        <f t="shared" si="11"/>
        <v>0</v>
      </c>
      <c r="G176" s="155">
        <f>IF(Arbeitszeit!F177=Urlaub,B_WorkTime*24,)</f>
        <v>0</v>
      </c>
      <c r="H176" s="153"/>
      <c r="I176" s="155">
        <f>IF(Arbeitszeit!F177=Krank,B_WorkTime*24,)</f>
        <v>0</v>
      </c>
      <c r="J176" s="153"/>
      <c r="K176" s="156"/>
      <c r="L176" s="157"/>
      <c r="M176" s="577"/>
      <c r="N176" s="578"/>
      <c r="O176" s="577"/>
      <c r="P176" s="578"/>
      <c r="Q176" s="577"/>
      <c r="R176" s="578"/>
      <c r="S176" s="577"/>
      <c r="T176" s="578"/>
      <c r="U176" s="577"/>
      <c r="V176" s="578"/>
      <c r="W176" s="577"/>
      <c r="X176" s="578"/>
      <c r="Y176" s="577"/>
      <c r="Z176" s="578"/>
      <c r="AA176" s="577"/>
      <c r="AB176" s="578"/>
      <c r="AC176" s="577"/>
      <c r="AD176" s="578"/>
      <c r="AE176" s="577"/>
      <c r="AF176" s="579"/>
      <c r="AG176" s="577"/>
      <c r="AH176" s="579"/>
      <c r="AI176" s="577"/>
      <c r="AJ176" s="579"/>
      <c r="AK176" s="577"/>
      <c r="AL176" s="579"/>
      <c r="AM176" s="580"/>
      <c r="AN176" s="579"/>
      <c r="AO176" s="577"/>
      <c r="AP176" s="579"/>
      <c r="AQ176" s="580"/>
      <c r="AR176" s="579"/>
      <c r="AS176" s="579"/>
      <c r="AT176" s="579"/>
      <c r="AU176" s="580"/>
      <c r="AV176" s="579"/>
      <c r="AW176" s="579"/>
      <c r="AX176" s="158"/>
      <c r="AY176" s="154"/>
      <c r="AZ176">
        <f ca="1">INDIRECT(ADDRESS(ROW()+1,COLUMN(Arbeitszeit!xDay),,,"Arbeitszeit"))</f>
        <v>3</v>
      </c>
    </row>
    <row r="177" spans="1:52">
      <c r="A177" s="520">
        <f>Arbeitszeit!A178</f>
        <v>43637</v>
      </c>
      <c r="B177" s="521">
        <f t="shared" si="8"/>
        <v>43637</v>
      </c>
      <c r="C177" s="191">
        <f t="shared" si="9"/>
        <v>25</v>
      </c>
      <c r="D177" s="190">
        <f t="shared" si="10"/>
        <v>43616</v>
      </c>
      <c r="E177" s="589">
        <f>Arbeitszeit!V178*24</f>
        <v>0</v>
      </c>
      <c r="F177" s="349">
        <f t="shared" si="11"/>
        <v>0</v>
      </c>
      <c r="G177" s="155">
        <f>IF(Arbeitszeit!F178=Urlaub,B_WorkTime*24,)</f>
        <v>0</v>
      </c>
      <c r="H177" s="153"/>
      <c r="I177" s="155">
        <f>IF(Arbeitszeit!F178=Krank,B_WorkTime*24,)</f>
        <v>0</v>
      </c>
      <c r="J177" s="153"/>
      <c r="K177" s="156"/>
      <c r="L177" s="157"/>
      <c r="M177" s="577"/>
      <c r="N177" s="578"/>
      <c r="O177" s="577"/>
      <c r="P177" s="578"/>
      <c r="Q177" s="577"/>
      <c r="R177" s="578"/>
      <c r="S177" s="577"/>
      <c r="T177" s="578"/>
      <c r="U177" s="577"/>
      <c r="V177" s="578"/>
      <c r="W177" s="577"/>
      <c r="X177" s="578"/>
      <c r="Y177" s="577"/>
      <c r="Z177" s="578"/>
      <c r="AA177" s="577"/>
      <c r="AB177" s="578"/>
      <c r="AC177" s="577"/>
      <c r="AD177" s="578"/>
      <c r="AE177" s="577"/>
      <c r="AF177" s="579"/>
      <c r="AG177" s="577"/>
      <c r="AH177" s="579"/>
      <c r="AI177" s="577"/>
      <c r="AJ177" s="579"/>
      <c r="AK177" s="577"/>
      <c r="AL177" s="579"/>
      <c r="AM177" s="580"/>
      <c r="AN177" s="579"/>
      <c r="AO177" s="577"/>
      <c r="AP177" s="579"/>
      <c r="AQ177" s="580"/>
      <c r="AR177" s="579"/>
      <c r="AS177" s="579"/>
      <c r="AT177" s="579"/>
      <c r="AU177" s="580"/>
      <c r="AV177" s="579"/>
      <c r="AW177" s="579"/>
      <c r="AX177" s="158"/>
      <c r="AY177" s="154"/>
      <c r="AZ177">
        <f ca="1">INDIRECT(ADDRESS(ROW()+1,COLUMN(Arbeitszeit!xDay),,,"Arbeitszeit"))</f>
        <v>4</v>
      </c>
    </row>
    <row r="178" spans="1:52">
      <c r="A178" s="520">
        <f>Arbeitszeit!A179</f>
        <v>43638</v>
      </c>
      <c r="B178" s="521">
        <f t="shared" si="8"/>
        <v>43638</v>
      </c>
      <c r="C178" s="191">
        <f t="shared" si="9"/>
        <v>25</v>
      </c>
      <c r="D178" s="190">
        <f t="shared" si="10"/>
        <v>43616</v>
      </c>
      <c r="E178" s="589">
        <f>Arbeitszeit!V179*24</f>
        <v>0</v>
      </c>
      <c r="F178" s="349">
        <f t="shared" si="11"/>
        <v>0</v>
      </c>
      <c r="G178" s="155">
        <f>IF(Arbeitszeit!F179=Urlaub,B_WorkTime*24,)</f>
        <v>0</v>
      </c>
      <c r="H178" s="153"/>
      <c r="I178" s="155">
        <f>IF(Arbeitszeit!F179=Krank,B_WorkTime*24,)</f>
        <v>0</v>
      </c>
      <c r="J178" s="153"/>
      <c r="K178" s="156"/>
      <c r="L178" s="157"/>
      <c r="M178" s="577"/>
      <c r="N178" s="578"/>
      <c r="O178" s="577"/>
      <c r="P178" s="578"/>
      <c r="Q178" s="577"/>
      <c r="R178" s="578"/>
      <c r="S178" s="577"/>
      <c r="T178" s="578"/>
      <c r="U178" s="577"/>
      <c r="V178" s="578"/>
      <c r="W178" s="577"/>
      <c r="X178" s="578"/>
      <c r="Y178" s="577"/>
      <c r="Z178" s="578"/>
      <c r="AA178" s="577"/>
      <c r="AB178" s="578"/>
      <c r="AC178" s="577"/>
      <c r="AD178" s="578"/>
      <c r="AE178" s="577"/>
      <c r="AF178" s="579"/>
      <c r="AG178" s="577"/>
      <c r="AH178" s="579"/>
      <c r="AI178" s="577"/>
      <c r="AJ178" s="579"/>
      <c r="AK178" s="577"/>
      <c r="AL178" s="579"/>
      <c r="AM178" s="580"/>
      <c r="AN178" s="579"/>
      <c r="AO178" s="577"/>
      <c r="AP178" s="579"/>
      <c r="AQ178" s="580"/>
      <c r="AR178" s="579"/>
      <c r="AS178" s="579"/>
      <c r="AT178" s="579"/>
      <c r="AU178" s="580"/>
      <c r="AV178" s="579"/>
      <c r="AW178" s="579"/>
      <c r="AX178" s="158"/>
      <c r="AY178" s="154"/>
      <c r="AZ178">
        <f ca="1">INDIRECT(ADDRESS(ROW()+1,COLUMN(Arbeitszeit!xDay),,,"Arbeitszeit"))</f>
        <v>5</v>
      </c>
    </row>
    <row r="179" spans="1:52">
      <c r="A179" s="520">
        <f>Arbeitszeit!A180</f>
        <v>43639</v>
      </c>
      <c r="B179" s="521">
        <f t="shared" si="8"/>
        <v>43639</v>
      </c>
      <c r="C179" s="191">
        <f t="shared" si="9"/>
        <v>25</v>
      </c>
      <c r="D179" s="190">
        <f t="shared" si="10"/>
        <v>43616</v>
      </c>
      <c r="E179" s="589">
        <f>Arbeitszeit!V180*24</f>
        <v>0</v>
      </c>
      <c r="F179" s="349">
        <f t="shared" si="11"/>
        <v>0</v>
      </c>
      <c r="G179" s="155">
        <f>IF(Arbeitszeit!F180=Urlaub,B_WorkTime*24,)</f>
        <v>0</v>
      </c>
      <c r="H179" s="153"/>
      <c r="I179" s="155">
        <f>IF(Arbeitszeit!F180=Krank,B_WorkTime*24,)</f>
        <v>0</v>
      </c>
      <c r="J179" s="153"/>
      <c r="K179" s="156"/>
      <c r="L179" s="157"/>
      <c r="M179" s="577"/>
      <c r="N179" s="578"/>
      <c r="O179" s="577"/>
      <c r="P179" s="578"/>
      <c r="Q179" s="577"/>
      <c r="R179" s="578"/>
      <c r="S179" s="577"/>
      <c r="T179" s="578"/>
      <c r="U179" s="577"/>
      <c r="V179" s="578"/>
      <c r="W179" s="577"/>
      <c r="X179" s="578"/>
      <c r="Y179" s="577"/>
      <c r="Z179" s="578"/>
      <c r="AA179" s="577"/>
      <c r="AB179" s="578"/>
      <c r="AC179" s="577"/>
      <c r="AD179" s="578"/>
      <c r="AE179" s="577"/>
      <c r="AF179" s="579"/>
      <c r="AG179" s="577"/>
      <c r="AH179" s="579"/>
      <c r="AI179" s="577"/>
      <c r="AJ179" s="579"/>
      <c r="AK179" s="577"/>
      <c r="AL179" s="579"/>
      <c r="AM179" s="580"/>
      <c r="AN179" s="579"/>
      <c r="AO179" s="577"/>
      <c r="AP179" s="579"/>
      <c r="AQ179" s="580"/>
      <c r="AR179" s="579"/>
      <c r="AS179" s="579"/>
      <c r="AT179" s="579"/>
      <c r="AU179" s="580"/>
      <c r="AV179" s="579"/>
      <c r="AW179" s="579"/>
      <c r="AX179" s="158"/>
      <c r="AY179" s="154"/>
      <c r="AZ179">
        <f ca="1">INDIRECT(ADDRESS(ROW()+1,COLUMN(Arbeitszeit!xDay),,,"Arbeitszeit"))</f>
        <v>6</v>
      </c>
    </row>
    <row r="180" spans="1:52">
      <c r="A180" s="520">
        <f>Arbeitszeit!A181</f>
        <v>43640</v>
      </c>
      <c r="B180" s="521">
        <f t="shared" si="8"/>
        <v>43640</v>
      </c>
      <c r="C180" s="191">
        <f t="shared" si="9"/>
        <v>25</v>
      </c>
      <c r="D180" s="190">
        <f t="shared" si="10"/>
        <v>43616</v>
      </c>
      <c r="E180" s="589">
        <f>Arbeitszeit!V181*24</f>
        <v>0</v>
      </c>
      <c r="F180" s="349">
        <f t="shared" si="11"/>
        <v>0</v>
      </c>
      <c r="G180" s="155">
        <f>IF(Arbeitszeit!F181=Urlaub,B_WorkTime*24,)</f>
        <v>0</v>
      </c>
      <c r="H180" s="153"/>
      <c r="I180" s="155">
        <f>IF(Arbeitszeit!F181=Krank,B_WorkTime*24,)</f>
        <v>0</v>
      </c>
      <c r="J180" s="153"/>
      <c r="K180" s="156"/>
      <c r="L180" s="157"/>
      <c r="M180" s="577"/>
      <c r="N180" s="578"/>
      <c r="O180" s="577"/>
      <c r="P180" s="578"/>
      <c r="Q180" s="577"/>
      <c r="R180" s="578"/>
      <c r="S180" s="577"/>
      <c r="T180" s="578"/>
      <c r="U180" s="577"/>
      <c r="V180" s="578"/>
      <c r="W180" s="577"/>
      <c r="X180" s="578"/>
      <c r="Y180" s="577"/>
      <c r="Z180" s="578"/>
      <c r="AA180" s="577"/>
      <c r="AB180" s="578"/>
      <c r="AC180" s="577"/>
      <c r="AD180" s="578"/>
      <c r="AE180" s="577"/>
      <c r="AF180" s="579"/>
      <c r="AG180" s="577"/>
      <c r="AH180" s="579"/>
      <c r="AI180" s="577"/>
      <c r="AJ180" s="579"/>
      <c r="AK180" s="577"/>
      <c r="AL180" s="579"/>
      <c r="AM180" s="580"/>
      <c r="AN180" s="579"/>
      <c r="AO180" s="577"/>
      <c r="AP180" s="579"/>
      <c r="AQ180" s="580"/>
      <c r="AR180" s="579"/>
      <c r="AS180" s="579"/>
      <c r="AT180" s="579"/>
      <c r="AU180" s="580"/>
      <c r="AV180" s="579"/>
      <c r="AW180" s="579"/>
      <c r="AX180" s="158"/>
      <c r="AY180" s="154"/>
      <c r="AZ180">
        <f ca="1">INDIRECT(ADDRESS(ROW()+1,COLUMN(Arbeitszeit!xDay),,,"Arbeitszeit"))</f>
        <v>7</v>
      </c>
    </row>
    <row r="181" spans="1:52">
      <c r="A181" s="520">
        <f>Arbeitszeit!A182</f>
        <v>43641</v>
      </c>
      <c r="B181" s="521">
        <f t="shared" si="8"/>
        <v>43641</v>
      </c>
      <c r="C181" s="191">
        <f t="shared" si="9"/>
        <v>26</v>
      </c>
      <c r="D181" s="190">
        <f t="shared" si="10"/>
        <v>43616</v>
      </c>
      <c r="E181" s="589">
        <f>Arbeitszeit!V182*24</f>
        <v>0</v>
      </c>
      <c r="F181" s="349">
        <f t="shared" si="11"/>
        <v>0</v>
      </c>
      <c r="G181" s="155">
        <f>IF(Arbeitszeit!F182=Urlaub,B_WorkTime*24,)</f>
        <v>0</v>
      </c>
      <c r="H181" s="153"/>
      <c r="I181" s="155">
        <f>IF(Arbeitszeit!F182=Krank,B_WorkTime*24,)</f>
        <v>0</v>
      </c>
      <c r="J181" s="153"/>
      <c r="K181" s="156"/>
      <c r="L181" s="157"/>
      <c r="M181" s="577"/>
      <c r="N181" s="578"/>
      <c r="O181" s="577"/>
      <c r="P181" s="578"/>
      <c r="Q181" s="577"/>
      <c r="R181" s="578"/>
      <c r="S181" s="577"/>
      <c r="T181" s="578"/>
      <c r="U181" s="577"/>
      <c r="V181" s="578"/>
      <c r="W181" s="577"/>
      <c r="X181" s="578"/>
      <c r="Y181" s="577"/>
      <c r="Z181" s="578"/>
      <c r="AA181" s="577"/>
      <c r="AB181" s="578"/>
      <c r="AC181" s="577"/>
      <c r="AD181" s="578"/>
      <c r="AE181" s="577"/>
      <c r="AF181" s="579"/>
      <c r="AG181" s="577"/>
      <c r="AH181" s="579"/>
      <c r="AI181" s="577"/>
      <c r="AJ181" s="579"/>
      <c r="AK181" s="577"/>
      <c r="AL181" s="579"/>
      <c r="AM181" s="580"/>
      <c r="AN181" s="579"/>
      <c r="AO181" s="577"/>
      <c r="AP181" s="579"/>
      <c r="AQ181" s="580"/>
      <c r="AR181" s="579"/>
      <c r="AS181" s="579"/>
      <c r="AT181" s="579"/>
      <c r="AU181" s="580"/>
      <c r="AV181" s="579"/>
      <c r="AW181" s="579"/>
      <c r="AX181" s="158"/>
      <c r="AY181" s="154"/>
      <c r="AZ181">
        <f ca="1">INDIRECT(ADDRESS(ROW()+1,COLUMN(Arbeitszeit!xDay),,,"Arbeitszeit"))</f>
        <v>1</v>
      </c>
    </row>
    <row r="182" spans="1:52">
      <c r="A182" s="520">
        <f>Arbeitszeit!A183</f>
        <v>43642</v>
      </c>
      <c r="B182" s="521">
        <f t="shared" si="8"/>
        <v>43642</v>
      </c>
      <c r="C182" s="191">
        <f t="shared" si="9"/>
        <v>26</v>
      </c>
      <c r="D182" s="190">
        <f t="shared" si="10"/>
        <v>43616</v>
      </c>
      <c r="E182" s="589">
        <f>Arbeitszeit!V183*24</f>
        <v>0</v>
      </c>
      <c r="F182" s="349">
        <f t="shared" si="11"/>
        <v>0</v>
      </c>
      <c r="G182" s="155">
        <f>IF(Arbeitszeit!F183=Urlaub,B_WorkTime*24,)</f>
        <v>0</v>
      </c>
      <c r="H182" s="153"/>
      <c r="I182" s="155">
        <f>IF(Arbeitszeit!F183=Krank,B_WorkTime*24,)</f>
        <v>0</v>
      </c>
      <c r="J182" s="153"/>
      <c r="K182" s="156"/>
      <c r="L182" s="157"/>
      <c r="M182" s="577"/>
      <c r="N182" s="578"/>
      <c r="O182" s="577"/>
      <c r="P182" s="578"/>
      <c r="Q182" s="577"/>
      <c r="R182" s="578"/>
      <c r="S182" s="577"/>
      <c r="T182" s="578"/>
      <c r="U182" s="577"/>
      <c r="V182" s="578"/>
      <c r="W182" s="577"/>
      <c r="X182" s="578"/>
      <c r="Y182" s="577"/>
      <c r="Z182" s="578"/>
      <c r="AA182" s="577"/>
      <c r="AB182" s="578"/>
      <c r="AC182" s="577"/>
      <c r="AD182" s="578"/>
      <c r="AE182" s="577"/>
      <c r="AF182" s="579"/>
      <c r="AG182" s="577"/>
      <c r="AH182" s="579"/>
      <c r="AI182" s="577"/>
      <c r="AJ182" s="579"/>
      <c r="AK182" s="577"/>
      <c r="AL182" s="579"/>
      <c r="AM182" s="580"/>
      <c r="AN182" s="579"/>
      <c r="AO182" s="577"/>
      <c r="AP182" s="579"/>
      <c r="AQ182" s="580"/>
      <c r="AR182" s="579"/>
      <c r="AS182" s="579"/>
      <c r="AT182" s="579"/>
      <c r="AU182" s="580"/>
      <c r="AV182" s="579"/>
      <c r="AW182" s="579"/>
      <c r="AX182" s="158"/>
      <c r="AY182" s="154"/>
      <c r="AZ182">
        <f ca="1">INDIRECT(ADDRESS(ROW()+1,COLUMN(Arbeitszeit!xDay),,,"Arbeitszeit"))</f>
        <v>2</v>
      </c>
    </row>
    <row r="183" spans="1:52">
      <c r="A183" s="520">
        <f>Arbeitszeit!A184</f>
        <v>43643</v>
      </c>
      <c r="B183" s="521">
        <f t="shared" si="8"/>
        <v>43643</v>
      </c>
      <c r="C183" s="191">
        <f t="shared" si="9"/>
        <v>26</v>
      </c>
      <c r="D183" s="190">
        <f t="shared" si="10"/>
        <v>43616</v>
      </c>
      <c r="E183" s="589">
        <f>Arbeitszeit!V184*24</f>
        <v>0</v>
      </c>
      <c r="F183" s="349">
        <f t="shared" si="11"/>
        <v>0</v>
      </c>
      <c r="G183" s="155">
        <f>IF(Arbeitszeit!F184=Urlaub,B_WorkTime*24,)</f>
        <v>0</v>
      </c>
      <c r="H183" s="153"/>
      <c r="I183" s="155">
        <f>IF(Arbeitszeit!F184=Krank,B_WorkTime*24,)</f>
        <v>0</v>
      </c>
      <c r="J183" s="153"/>
      <c r="K183" s="156"/>
      <c r="L183" s="157"/>
      <c r="M183" s="577"/>
      <c r="N183" s="578"/>
      <c r="O183" s="577"/>
      <c r="P183" s="578"/>
      <c r="Q183" s="577"/>
      <c r="R183" s="578"/>
      <c r="S183" s="577"/>
      <c r="T183" s="578"/>
      <c r="U183" s="577"/>
      <c r="V183" s="578"/>
      <c r="W183" s="577"/>
      <c r="X183" s="578"/>
      <c r="Y183" s="577"/>
      <c r="Z183" s="578"/>
      <c r="AA183" s="577"/>
      <c r="AB183" s="578"/>
      <c r="AC183" s="577"/>
      <c r="AD183" s="578"/>
      <c r="AE183" s="577"/>
      <c r="AF183" s="579"/>
      <c r="AG183" s="577"/>
      <c r="AH183" s="579"/>
      <c r="AI183" s="577"/>
      <c r="AJ183" s="579"/>
      <c r="AK183" s="577"/>
      <c r="AL183" s="579"/>
      <c r="AM183" s="580"/>
      <c r="AN183" s="579"/>
      <c r="AO183" s="577"/>
      <c r="AP183" s="579"/>
      <c r="AQ183" s="580"/>
      <c r="AR183" s="579"/>
      <c r="AS183" s="579"/>
      <c r="AT183" s="579"/>
      <c r="AU183" s="580"/>
      <c r="AV183" s="579"/>
      <c r="AW183" s="579"/>
      <c r="AX183" s="158"/>
      <c r="AY183" s="154"/>
      <c r="AZ183">
        <f ca="1">INDIRECT(ADDRESS(ROW()+1,COLUMN(Arbeitszeit!xDay),,,"Arbeitszeit"))</f>
        <v>3</v>
      </c>
    </row>
    <row r="184" spans="1:52">
      <c r="A184" s="520">
        <f>Arbeitszeit!A185</f>
        <v>43644</v>
      </c>
      <c r="B184" s="521">
        <f t="shared" si="8"/>
        <v>43644</v>
      </c>
      <c r="C184" s="191">
        <f t="shared" si="9"/>
        <v>26</v>
      </c>
      <c r="D184" s="190">
        <f t="shared" si="10"/>
        <v>43616</v>
      </c>
      <c r="E184" s="589">
        <f>Arbeitszeit!V185*24</f>
        <v>0</v>
      </c>
      <c r="F184" s="349">
        <f t="shared" si="11"/>
        <v>0</v>
      </c>
      <c r="G184" s="155">
        <f>IF(Arbeitszeit!F185=Urlaub,B_WorkTime*24,)</f>
        <v>0</v>
      </c>
      <c r="H184" s="153"/>
      <c r="I184" s="155">
        <f>IF(Arbeitszeit!F185=Krank,B_WorkTime*24,)</f>
        <v>0</v>
      </c>
      <c r="J184" s="153"/>
      <c r="K184" s="156"/>
      <c r="L184" s="157"/>
      <c r="M184" s="577"/>
      <c r="N184" s="578"/>
      <c r="O184" s="577"/>
      <c r="P184" s="578"/>
      <c r="Q184" s="577"/>
      <c r="R184" s="578"/>
      <c r="S184" s="577"/>
      <c r="T184" s="578"/>
      <c r="U184" s="577"/>
      <c r="V184" s="578"/>
      <c r="W184" s="577"/>
      <c r="X184" s="578"/>
      <c r="Y184" s="577"/>
      <c r="Z184" s="578"/>
      <c r="AA184" s="577"/>
      <c r="AB184" s="578"/>
      <c r="AC184" s="577"/>
      <c r="AD184" s="578"/>
      <c r="AE184" s="577"/>
      <c r="AF184" s="579"/>
      <c r="AG184" s="577"/>
      <c r="AH184" s="579"/>
      <c r="AI184" s="577"/>
      <c r="AJ184" s="579"/>
      <c r="AK184" s="577"/>
      <c r="AL184" s="579"/>
      <c r="AM184" s="580"/>
      <c r="AN184" s="579"/>
      <c r="AO184" s="577"/>
      <c r="AP184" s="579"/>
      <c r="AQ184" s="580"/>
      <c r="AR184" s="579"/>
      <c r="AS184" s="579"/>
      <c r="AT184" s="579"/>
      <c r="AU184" s="580"/>
      <c r="AV184" s="579"/>
      <c r="AW184" s="579"/>
      <c r="AX184" s="158"/>
      <c r="AY184" s="154"/>
      <c r="AZ184">
        <f ca="1">INDIRECT(ADDRESS(ROW()+1,COLUMN(Arbeitszeit!xDay),,,"Arbeitszeit"))</f>
        <v>4</v>
      </c>
    </row>
    <row r="185" spans="1:52">
      <c r="A185" s="520">
        <f>Arbeitszeit!A186</f>
        <v>43645</v>
      </c>
      <c r="B185" s="521">
        <f t="shared" si="8"/>
        <v>43645</v>
      </c>
      <c r="C185" s="191">
        <f t="shared" si="9"/>
        <v>26</v>
      </c>
      <c r="D185" s="190">
        <f t="shared" si="10"/>
        <v>43616</v>
      </c>
      <c r="E185" s="589">
        <f>Arbeitszeit!V186*24</f>
        <v>0</v>
      </c>
      <c r="F185" s="349">
        <f t="shared" si="11"/>
        <v>0</v>
      </c>
      <c r="G185" s="155">
        <f>IF(Arbeitszeit!F186=Urlaub,B_WorkTime*24,)</f>
        <v>0</v>
      </c>
      <c r="H185" s="153"/>
      <c r="I185" s="155">
        <f>IF(Arbeitszeit!F186=Krank,B_WorkTime*24,)</f>
        <v>0</v>
      </c>
      <c r="J185" s="153"/>
      <c r="K185" s="156"/>
      <c r="L185" s="157"/>
      <c r="M185" s="577"/>
      <c r="N185" s="578"/>
      <c r="O185" s="577"/>
      <c r="P185" s="578"/>
      <c r="Q185" s="577"/>
      <c r="R185" s="578"/>
      <c r="S185" s="577"/>
      <c r="T185" s="578"/>
      <c r="U185" s="577"/>
      <c r="V185" s="578"/>
      <c r="W185" s="577"/>
      <c r="X185" s="578"/>
      <c r="Y185" s="577"/>
      <c r="Z185" s="578"/>
      <c r="AA185" s="577"/>
      <c r="AB185" s="578"/>
      <c r="AC185" s="577"/>
      <c r="AD185" s="578"/>
      <c r="AE185" s="577"/>
      <c r="AF185" s="579"/>
      <c r="AG185" s="577"/>
      <c r="AH185" s="579"/>
      <c r="AI185" s="577"/>
      <c r="AJ185" s="579"/>
      <c r="AK185" s="577"/>
      <c r="AL185" s="579"/>
      <c r="AM185" s="580"/>
      <c r="AN185" s="579"/>
      <c r="AO185" s="577"/>
      <c r="AP185" s="579"/>
      <c r="AQ185" s="580"/>
      <c r="AR185" s="579"/>
      <c r="AS185" s="579"/>
      <c r="AT185" s="579"/>
      <c r="AU185" s="580"/>
      <c r="AV185" s="579"/>
      <c r="AW185" s="579"/>
      <c r="AX185" s="158"/>
      <c r="AY185" s="154"/>
      <c r="AZ185">
        <f ca="1">INDIRECT(ADDRESS(ROW()+1,COLUMN(Arbeitszeit!xDay),,,"Arbeitszeit"))</f>
        <v>5</v>
      </c>
    </row>
    <row r="186" spans="1:52">
      <c r="A186" s="520">
        <f>Arbeitszeit!A187</f>
        <v>43646</v>
      </c>
      <c r="B186" s="521">
        <f t="shared" si="8"/>
        <v>43646</v>
      </c>
      <c r="C186" s="191">
        <f t="shared" si="9"/>
        <v>26</v>
      </c>
      <c r="D186" s="190">
        <f t="shared" si="10"/>
        <v>43646</v>
      </c>
      <c r="E186" s="589">
        <f>Arbeitszeit!V187*24</f>
        <v>0</v>
      </c>
      <c r="F186" s="349">
        <f t="shared" si="11"/>
        <v>0</v>
      </c>
      <c r="G186" s="155">
        <f>IF(Arbeitszeit!F187=Urlaub,B_WorkTime*24,)</f>
        <v>0</v>
      </c>
      <c r="H186" s="153"/>
      <c r="I186" s="155">
        <f>IF(Arbeitszeit!F187=Krank,B_WorkTime*24,)</f>
        <v>0</v>
      </c>
      <c r="J186" s="153"/>
      <c r="K186" s="156"/>
      <c r="L186" s="157"/>
      <c r="M186" s="577"/>
      <c r="N186" s="578"/>
      <c r="O186" s="577"/>
      <c r="P186" s="578"/>
      <c r="Q186" s="577"/>
      <c r="R186" s="578"/>
      <c r="S186" s="577"/>
      <c r="T186" s="578"/>
      <c r="U186" s="577"/>
      <c r="V186" s="578"/>
      <c r="W186" s="577"/>
      <c r="X186" s="578"/>
      <c r="Y186" s="577"/>
      <c r="Z186" s="578"/>
      <c r="AA186" s="577"/>
      <c r="AB186" s="578"/>
      <c r="AC186" s="577"/>
      <c r="AD186" s="578"/>
      <c r="AE186" s="577"/>
      <c r="AF186" s="579"/>
      <c r="AG186" s="577"/>
      <c r="AH186" s="579"/>
      <c r="AI186" s="577"/>
      <c r="AJ186" s="579"/>
      <c r="AK186" s="577"/>
      <c r="AL186" s="579"/>
      <c r="AM186" s="580"/>
      <c r="AN186" s="579"/>
      <c r="AO186" s="577"/>
      <c r="AP186" s="579"/>
      <c r="AQ186" s="580"/>
      <c r="AR186" s="579"/>
      <c r="AS186" s="579"/>
      <c r="AT186" s="579"/>
      <c r="AU186" s="580"/>
      <c r="AV186" s="579"/>
      <c r="AW186" s="579"/>
      <c r="AX186" s="158"/>
      <c r="AY186" s="154"/>
      <c r="AZ186">
        <f ca="1">INDIRECT(ADDRESS(ROW()+1,COLUMN(Arbeitszeit!xDay),,,"Arbeitszeit"))</f>
        <v>6</v>
      </c>
    </row>
    <row r="187" spans="1:52">
      <c r="A187" s="520">
        <f>Arbeitszeit!A188</f>
        <v>43647</v>
      </c>
      <c r="B187" s="521">
        <f t="shared" si="8"/>
        <v>43647</v>
      </c>
      <c r="C187" s="191">
        <f t="shared" si="9"/>
        <v>26</v>
      </c>
      <c r="D187" s="190">
        <f t="shared" si="10"/>
        <v>43646</v>
      </c>
      <c r="E187" s="589">
        <f>Arbeitszeit!V188*24</f>
        <v>0</v>
      </c>
      <c r="F187" s="349">
        <f t="shared" si="11"/>
        <v>0</v>
      </c>
      <c r="G187" s="155">
        <f>IF(Arbeitszeit!F188=Urlaub,B_WorkTime*24,)</f>
        <v>0</v>
      </c>
      <c r="H187" s="153"/>
      <c r="I187" s="155">
        <f>IF(Arbeitszeit!F188=Krank,B_WorkTime*24,)</f>
        <v>0</v>
      </c>
      <c r="J187" s="153"/>
      <c r="K187" s="156"/>
      <c r="L187" s="157"/>
      <c r="M187" s="577"/>
      <c r="N187" s="578"/>
      <c r="O187" s="577"/>
      <c r="P187" s="578"/>
      <c r="Q187" s="577"/>
      <c r="R187" s="578"/>
      <c r="S187" s="577"/>
      <c r="T187" s="578"/>
      <c r="U187" s="577"/>
      <c r="V187" s="578"/>
      <c r="W187" s="577"/>
      <c r="X187" s="578"/>
      <c r="Y187" s="577"/>
      <c r="Z187" s="578"/>
      <c r="AA187" s="577"/>
      <c r="AB187" s="578"/>
      <c r="AC187" s="577"/>
      <c r="AD187" s="578"/>
      <c r="AE187" s="577"/>
      <c r="AF187" s="579"/>
      <c r="AG187" s="577"/>
      <c r="AH187" s="579"/>
      <c r="AI187" s="577"/>
      <c r="AJ187" s="579"/>
      <c r="AK187" s="577"/>
      <c r="AL187" s="579"/>
      <c r="AM187" s="580"/>
      <c r="AN187" s="579"/>
      <c r="AO187" s="577"/>
      <c r="AP187" s="579"/>
      <c r="AQ187" s="580"/>
      <c r="AR187" s="579"/>
      <c r="AS187" s="579"/>
      <c r="AT187" s="579"/>
      <c r="AU187" s="580"/>
      <c r="AV187" s="579"/>
      <c r="AW187" s="579"/>
      <c r="AX187" s="158"/>
      <c r="AY187" s="154"/>
      <c r="AZ187">
        <f ca="1">INDIRECT(ADDRESS(ROW()+1,COLUMN(Arbeitszeit!xDay),,,"Arbeitszeit"))</f>
        <v>7</v>
      </c>
    </row>
    <row r="188" spans="1:52">
      <c r="A188" s="520">
        <f>Arbeitszeit!A189</f>
        <v>43648</v>
      </c>
      <c r="B188" s="521">
        <f t="shared" si="8"/>
        <v>43648</v>
      </c>
      <c r="C188" s="191">
        <f t="shared" si="9"/>
        <v>27</v>
      </c>
      <c r="D188" s="190">
        <f t="shared" si="10"/>
        <v>43646</v>
      </c>
      <c r="E188" s="589">
        <f>Arbeitszeit!V189*24</f>
        <v>0</v>
      </c>
      <c r="F188" s="349">
        <f t="shared" si="11"/>
        <v>0</v>
      </c>
      <c r="G188" s="155">
        <f>IF(Arbeitszeit!F189=Urlaub,B_WorkTime*24,)</f>
        <v>0</v>
      </c>
      <c r="H188" s="153"/>
      <c r="I188" s="155">
        <f>IF(Arbeitszeit!F189=Krank,B_WorkTime*24,)</f>
        <v>0</v>
      </c>
      <c r="J188" s="153"/>
      <c r="K188" s="156"/>
      <c r="L188" s="157"/>
      <c r="M188" s="577"/>
      <c r="N188" s="578"/>
      <c r="O188" s="577"/>
      <c r="P188" s="578"/>
      <c r="Q188" s="577"/>
      <c r="R188" s="578"/>
      <c r="S188" s="577"/>
      <c r="T188" s="578"/>
      <c r="U188" s="577"/>
      <c r="V188" s="578"/>
      <c r="W188" s="577"/>
      <c r="X188" s="578"/>
      <c r="Y188" s="577"/>
      <c r="Z188" s="578"/>
      <c r="AA188" s="577"/>
      <c r="AB188" s="578"/>
      <c r="AC188" s="577"/>
      <c r="AD188" s="578"/>
      <c r="AE188" s="577"/>
      <c r="AF188" s="579"/>
      <c r="AG188" s="577"/>
      <c r="AH188" s="579"/>
      <c r="AI188" s="577"/>
      <c r="AJ188" s="579"/>
      <c r="AK188" s="577"/>
      <c r="AL188" s="579"/>
      <c r="AM188" s="580"/>
      <c r="AN188" s="579"/>
      <c r="AO188" s="577"/>
      <c r="AP188" s="579"/>
      <c r="AQ188" s="580"/>
      <c r="AR188" s="579"/>
      <c r="AS188" s="579"/>
      <c r="AT188" s="579"/>
      <c r="AU188" s="580"/>
      <c r="AV188" s="579"/>
      <c r="AW188" s="579"/>
      <c r="AX188" s="158"/>
      <c r="AY188" s="154"/>
      <c r="AZ188">
        <f ca="1">INDIRECT(ADDRESS(ROW()+1,COLUMN(Arbeitszeit!xDay),,,"Arbeitszeit"))</f>
        <v>1</v>
      </c>
    </row>
    <row r="189" spans="1:52">
      <c r="A189" s="520">
        <f>Arbeitszeit!A190</f>
        <v>43649</v>
      </c>
      <c r="B189" s="521">
        <f t="shared" si="8"/>
        <v>43649</v>
      </c>
      <c r="C189" s="191">
        <f t="shared" si="9"/>
        <v>27</v>
      </c>
      <c r="D189" s="190">
        <f t="shared" si="10"/>
        <v>43646</v>
      </c>
      <c r="E189" s="589">
        <f>Arbeitszeit!V190*24</f>
        <v>0</v>
      </c>
      <c r="F189" s="349">
        <f t="shared" si="11"/>
        <v>0</v>
      </c>
      <c r="G189" s="155">
        <f>IF(Arbeitszeit!F190=Urlaub,B_WorkTime*24,)</f>
        <v>0</v>
      </c>
      <c r="H189" s="153"/>
      <c r="I189" s="155">
        <f>IF(Arbeitszeit!F190=Krank,B_WorkTime*24,)</f>
        <v>0</v>
      </c>
      <c r="J189" s="153"/>
      <c r="K189" s="156"/>
      <c r="L189" s="157"/>
      <c r="M189" s="577"/>
      <c r="N189" s="578"/>
      <c r="O189" s="577"/>
      <c r="P189" s="578"/>
      <c r="Q189" s="577"/>
      <c r="R189" s="578"/>
      <c r="S189" s="577"/>
      <c r="T189" s="578"/>
      <c r="U189" s="577"/>
      <c r="V189" s="578"/>
      <c r="W189" s="577"/>
      <c r="X189" s="578"/>
      <c r="Y189" s="577"/>
      <c r="Z189" s="578"/>
      <c r="AA189" s="577"/>
      <c r="AB189" s="578"/>
      <c r="AC189" s="577"/>
      <c r="AD189" s="578"/>
      <c r="AE189" s="577"/>
      <c r="AF189" s="579"/>
      <c r="AG189" s="577"/>
      <c r="AH189" s="579"/>
      <c r="AI189" s="577"/>
      <c r="AJ189" s="579"/>
      <c r="AK189" s="577"/>
      <c r="AL189" s="579"/>
      <c r="AM189" s="580"/>
      <c r="AN189" s="579"/>
      <c r="AO189" s="577"/>
      <c r="AP189" s="579"/>
      <c r="AQ189" s="580"/>
      <c r="AR189" s="579"/>
      <c r="AS189" s="579"/>
      <c r="AT189" s="579"/>
      <c r="AU189" s="580"/>
      <c r="AV189" s="579"/>
      <c r="AW189" s="579"/>
      <c r="AX189" s="158"/>
      <c r="AY189" s="154"/>
      <c r="AZ189">
        <f ca="1">INDIRECT(ADDRESS(ROW()+1,COLUMN(Arbeitszeit!xDay),,,"Arbeitszeit"))</f>
        <v>2</v>
      </c>
    </row>
    <row r="190" spans="1:52">
      <c r="A190" s="520">
        <f>Arbeitszeit!A191</f>
        <v>43650</v>
      </c>
      <c r="B190" s="521">
        <f t="shared" si="8"/>
        <v>43650</v>
      </c>
      <c r="C190" s="191">
        <f t="shared" si="9"/>
        <v>27</v>
      </c>
      <c r="D190" s="190">
        <f t="shared" si="10"/>
        <v>43646</v>
      </c>
      <c r="E190" s="589">
        <f>Arbeitszeit!V191*24</f>
        <v>0</v>
      </c>
      <c r="F190" s="349">
        <f t="shared" si="11"/>
        <v>0</v>
      </c>
      <c r="G190" s="155">
        <f>IF(Arbeitszeit!F191=Urlaub,B_WorkTime*24,)</f>
        <v>0</v>
      </c>
      <c r="H190" s="153"/>
      <c r="I190" s="155">
        <f>IF(Arbeitszeit!F191=Krank,B_WorkTime*24,)</f>
        <v>0</v>
      </c>
      <c r="J190" s="153"/>
      <c r="K190" s="156"/>
      <c r="L190" s="157"/>
      <c r="M190" s="577"/>
      <c r="N190" s="578"/>
      <c r="O190" s="577"/>
      <c r="P190" s="578"/>
      <c r="Q190" s="577"/>
      <c r="R190" s="578"/>
      <c r="S190" s="577"/>
      <c r="T190" s="578"/>
      <c r="U190" s="577"/>
      <c r="V190" s="578"/>
      <c r="W190" s="577"/>
      <c r="X190" s="578"/>
      <c r="Y190" s="577"/>
      <c r="Z190" s="578"/>
      <c r="AA190" s="577"/>
      <c r="AB190" s="578"/>
      <c r="AC190" s="577"/>
      <c r="AD190" s="578"/>
      <c r="AE190" s="577"/>
      <c r="AF190" s="579"/>
      <c r="AG190" s="577"/>
      <c r="AH190" s="579"/>
      <c r="AI190" s="577"/>
      <c r="AJ190" s="579"/>
      <c r="AK190" s="577"/>
      <c r="AL190" s="579"/>
      <c r="AM190" s="580"/>
      <c r="AN190" s="579"/>
      <c r="AO190" s="577"/>
      <c r="AP190" s="579"/>
      <c r="AQ190" s="580"/>
      <c r="AR190" s="579"/>
      <c r="AS190" s="579"/>
      <c r="AT190" s="579"/>
      <c r="AU190" s="580"/>
      <c r="AV190" s="579"/>
      <c r="AW190" s="579"/>
      <c r="AX190" s="158"/>
      <c r="AY190" s="154"/>
      <c r="AZ190">
        <f ca="1">INDIRECT(ADDRESS(ROW()+1,COLUMN(Arbeitszeit!xDay),,,"Arbeitszeit"))</f>
        <v>3</v>
      </c>
    </row>
    <row r="191" spans="1:52">
      <c r="A191" s="520">
        <f>Arbeitszeit!A192</f>
        <v>43651</v>
      </c>
      <c r="B191" s="521">
        <f t="shared" si="8"/>
        <v>43651</v>
      </c>
      <c r="C191" s="191">
        <f t="shared" si="9"/>
        <v>27</v>
      </c>
      <c r="D191" s="190">
        <f t="shared" si="10"/>
        <v>43646</v>
      </c>
      <c r="E191" s="589">
        <f>Arbeitszeit!V192*24</f>
        <v>0</v>
      </c>
      <c r="F191" s="349">
        <f t="shared" si="11"/>
        <v>0</v>
      </c>
      <c r="G191" s="155">
        <f>IF(Arbeitszeit!F192=Urlaub,B_WorkTime*24,)</f>
        <v>0</v>
      </c>
      <c r="H191" s="153"/>
      <c r="I191" s="155">
        <f>IF(Arbeitszeit!F192=Krank,B_WorkTime*24,)</f>
        <v>0</v>
      </c>
      <c r="J191" s="153"/>
      <c r="K191" s="156"/>
      <c r="L191" s="157"/>
      <c r="M191" s="577"/>
      <c r="N191" s="578"/>
      <c r="O191" s="577"/>
      <c r="P191" s="578"/>
      <c r="Q191" s="577"/>
      <c r="R191" s="578"/>
      <c r="S191" s="577"/>
      <c r="T191" s="578"/>
      <c r="U191" s="577"/>
      <c r="V191" s="578"/>
      <c r="W191" s="577"/>
      <c r="X191" s="578"/>
      <c r="Y191" s="577"/>
      <c r="Z191" s="578"/>
      <c r="AA191" s="577"/>
      <c r="AB191" s="578"/>
      <c r="AC191" s="577"/>
      <c r="AD191" s="578"/>
      <c r="AE191" s="577"/>
      <c r="AF191" s="579"/>
      <c r="AG191" s="577"/>
      <c r="AH191" s="579"/>
      <c r="AI191" s="577"/>
      <c r="AJ191" s="579"/>
      <c r="AK191" s="577"/>
      <c r="AL191" s="579"/>
      <c r="AM191" s="580"/>
      <c r="AN191" s="579"/>
      <c r="AO191" s="577"/>
      <c r="AP191" s="579"/>
      <c r="AQ191" s="580"/>
      <c r="AR191" s="579"/>
      <c r="AS191" s="579"/>
      <c r="AT191" s="579"/>
      <c r="AU191" s="580"/>
      <c r="AV191" s="579"/>
      <c r="AW191" s="579"/>
      <c r="AX191" s="158"/>
      <c r="AY191" s="154"/>
      <c r="AZ191">
        <f ca="1">INDIRECT(ADDRESS(ROW()+1,COLUMN(Arbeitszeit!xDay),,,"Arbeitszeit"))</f>
        <v>4</v>
      </c>
    </row>
    <row r="192" spans="1:52">
      <c r="A192" s="520">
        <f>Arbeitszeit!A193</f>
        <v>43652</v>
      </c>
      <c r="B192" s="521">
        <f t="shared" si="8"/>
        <v>43652</v>
      </c>
      <c r="C192" s="191">
        <f t="shared" si="9"/>
        <v>27</v>
      </c>
      <c r="D192" s="190">
        <f t="shared" si="10"/>
        <v>43646</v>
      </c>
      <c r="E192" s="589">
        <f>Arbeitszeit!V193*24</f>
        <v>0</v>
      </c>
      <c r="F192" s="349">
        <f t="shared" si="11"/>
        <v>0</v>
      </c>
      <c r="G192" s="155">
        <f>IF(Arbeitszeit!F193=Urlaub,B_WorkTime*24,)</f>
        <v>0</v>
      </c>
      <c r="H192" s="153"/>
      <c r="I192" s="155">
        <f>IF(Arbeitszeit!F193=Krank,B_WorkTime*24,)</f>
        <v>0</v>
      </c>
      <c r="J192" s="153"/>
      <c r="K192" s="156"/>
      <c r="L192" s="157"/>
      <c r="M192" s="577"/>
      <c r="N192" s="578"/>
      <c r="O192" s="577"/>
      <c r="P192" s="578"/>
      <c r="Q192" s="577"/>
      <c r="R192" s="578"/>
      <c r="S192" s="577"/>
      <c r="T192" s="578"/>
      <c r="U192" s="577"/>
      <c r="V192" s="578"/>
      <c r="W192" s="577"/>
      <c r="X192" s="578"/>
      <c r="Y192" s="577"/>
      <c r="Z192" s="578"/>
      <c r="AA192" s="577"/>
      <c r="AB192" s="578"/>
      <c r="AC192" s="577"/>
      <c r="AD192" s="578"/>
      <c r="AE192" s="577"/>
      <c r="AF192" s="579"/>
      <c r="AG192" s="577"/>
      <c r="AH192" s="579"/>
      <c r="AI192" s="577"/>
      <c r="AJ192" s="579"/>
      <c r="AK192" s="577"/>
      <c r="AL192" s="579"/>
      <c r="AM192" s="580"/>
      <c r="AN192" s="579"/>
      <c r="AO192" s="577"/>
      <c r="AP192" s="579"/>
      <c r="AQ192" s="580"/>
      <c r="AR192" s="579"/>
      <c r="AS192" s="579"/>
      <c r="AT192" s="579"/>
      <c r="AU192" s="580"/>
      <c r="AV192" s="579"/>
      <c r="AW192" s="579"/>
      <c r="AX192" s="158"/>
      <c r="AY192" s="154"/>
      <c r="AZ192">
        <f ca="1">INDIRECT(ADDRESS(ROW()+1,COLUMN(Arbeitszeit!xDay),,,"Arbeitszeit"))</f>
        <v>5</v>
      </c>
    </row>
    <row r="193" spans="1:52">
      <c r="A193" s="520">
        <f>Arbeitszeit!A194</f>
        <v>43653</v>
      </c>
      <c r="B193" s="521">
        <f t="shared" si="8"/>
        <v>43653</v>
      </c>
      <c r="C193" s="191">
        <f t="shared" si="9"/>
        <v>27</v>
      </c>
      <c r="D193" s="190">
        <f t="shared" si="10"/>
        <v>43646</v>
      </c>
      <c r="E193" s="589">
        <f>Arbeitszeit!V194*24</f>
        <v>0</v>
      </c>
      <c r="F193" s="349">
        <f t="shared" si="11"/>
        <v>0</v>
      </c>
      <c r="G193" s="155">
        <f>IF(Arbeitszeit!F194=Urlaub,B_WorkTime*24,)</f>
        <v>0</v>
      </c>
      <c r="H193" s="153"/>
      <c r="I193" s="155">
        <f>IF(Arbeitszeit!F194=Krank,B_WorkTime*24,)</f>
        <v>0</v>
      </c>
      <c r="J193" s="153"/>
      <c r="K193" s="156"/>
      <c r="L193" s="157"/>
      <c r="M193" s="577"/>
      <c r="N193" s="578"/>
      <c r="O193" s="577"/>
      <c r="P193" s="578"/>
      <c r="Q193" s="577"/>
      <c r="R193" s="578"/>
      <c r="S193" s="577"/>
      <c r="T193" s="578"/>
      <c r="U193" s="577"/>
      <c r="V193" s="578"/>
      <c r="W193" s="577"/>
      <c r="X193" s="578"/>
      <c r="Y193" s="577"/>
      <c r="Z193" s="578"/>
      <c r="AA193" s="577"/>
      <c r="AB193" s="578"/>
      <c r="AC193" s="577"/>
      <c r="AD193" s="578"/>
      <c r="AE193" s="577"/>
      <c r="AF193" s="579"/>
      <c r="AG193" s="577"/>
      <c r="AH193" s="579"/>
      <c r="AI193" s="577"/>
      <c r="AJ193" s="579"/>
      <c r="AK193" s="577"/>
      <c r="AL193" s="579"/>
      <c r="AM193" s="580"/>
      <c r="AN193" s="579"/>
      <c r="AO193" s="577"/>
      <c r="AP193" s="579"/>
      <c r="AQ193" s="580"/>
      <c r="AR193" s="579"/>
      <c r="AS193" s="579"/>
      <c r="AT193" s="579"/>
      <c r="AU193" s="580"/>
      <c r="AV193" s="579"/>
      <c r="AW193" s="579"/>
      <c r="AX193" s="158"/>
      <c r="AY193" s="154"/>
      <c r="AZ193">
        <f ca="1">INDIRECT(ADDRESS(ROW()+1,COLUMN(Arbeitszeit!xDay),,,"Arbeitszeit"))</f>
        <v>6</v>
      </c>
    </row>
    <row r="194" spans="1:52">
      <c r="A194" s="520">
        <f>Arbeitszeit!A195</f>
        <v>43654</v>
      </c>
      <c r="B194" s="521">
        <f t="shared" si="8"/>
        <v>43654</v>
      </c>
      <c r="C194" s="191">
        <f t="shared" si="9"/>
        <v>27</v>
      </c>
      <c r="D194" s="190">
        <f t="shared" si="10"/>
        <v>43646</v>
      </c>
      <c r="E194" s="589">
        <f>Arbeitszeit!V195*24</f>
        <v>0</v>
      </c>
      <c r="F194" s="349">
        <f t="shared" si="11"/>
        <v>0</v>
      </c>
      <c r="G194" s="155">
        <f>IF(Arbeitszeit!F195=Urlaub,B_WorkTime*24,)</f>
        <v>0</v>
      </c>
      <c r="H194" s="153"/>
      <c r="I194" s="155">
        <f>IF(Arbeitszeit!F195=Krank,B_WorkTime*24,)</f>
        <v>0</v>
      </c>
      <c r="J194" s="153"/>
      <c r="K194" s="156"/>
      <c r="L194" s="157"/>
      <c r="M194" s="577"/>
      <c r="N194" s="578"/>
      <c r="O194" s="577"/>
      <c r="P194" s="578"/>
      <c r="Q194" s="577"/>
      <c r="R194" s="578"/>
      <c r="S194" s="577"/>
      <c r="T194" s="578"/>
      <c r="U194" s="577"/>
      <c r="V194" s="578"/>
      <c r="W194" s="577"/>
      <c r="X194" s="578"/>
      <c r="Y194" s="577"/>
      <c r="Z194" s="578"/>
      <c r="AA194" s="577"/>
      <c r="AB194" s="578"/>
      <c r="AC194" s="577"/>
      <c r="AD194" s="578"/>
      <c r="AE194" s="577"/>
      <c r="AF194" s="579"/>
      <c r="AG194" s="577"/>
      <c r="AH194" s="579"/>
      <c r="AI194" s="577"/>
      <c r="AJ194" s="579"/>
      <c r="AK194" s="577"/>
      <c r="AL194" s="579"/>
      <c r="AM194" s="580"/>
      <c r="AN194" s="579"/>
      <c r="AO194" s="577"/>
      <c r="AP194" s="579"/>
      <c r="AQ194" s="580"/>
      <c r="AR194" s="579"/>
      <c r="AS194" s="579"/>
      <c r="AT194" s="579"/>
      <c r="AU194" s="580"/>
      <c r="AV194" s="579"/>
      <c r="AW194" s="579"/>
      <c r="AX194" s="158"/>
      <c r="AY194" s="154"/>
      <c r="AZ194">
        <f ca="1">INDIRECT(ADDRESS(ROW()+1,COLUMN(Arbeitszeit!xDay),,,"Arbeitszeit"))</f>
        <v>7</v>
      </c>
    </row>
    <row r="195" spans="1:52">
      <c r="A195" s="520">
        <f>Arbeitszeit!A196</f>
        <v>43655</v>
      </c>
      <c r="B195" s="521">
        <f t="shared" si="8"/>
        <v>43655</v>
      </c>
      <c r="C195" s="191">
        <f t="shared" si="9"/>
        <v>28</v>
      </c>
      <c r="D195" s="190">
        <f t="shared" si="10"/>
        <v>43646</v>
      </c>
      <c r="E195" s="589">
        <f>Arbeitszeit!V196*24</f>
        <v>0</v>
      </c>
      <c r="F195" s="349">
        <f t="shared" si="11"/>
        <v>0</v>
      </c>
      <c r="G195" s="155">
        <f>IF(Arbeitszeit!F196=Urlaub,B_WorkTime*24,)</f>
        <v>0</v>
      </c>
      <c r="H195" s="153"/>
      <c r="I195" s="155">
        <f>IF(Arbeitszeit!F196=Krank,B_WorkTime*24,)</f>
        <v>0</v>
      </c>
      <c r="J195" s="153"/>
      <c r="K195" s="156"/>
      <c r="L195" s="157"/>
      <c r="M195" s="577"/>
      <c r="N195" s="578"/>
      <c r="O195" s="577"/>
      <c r="P195" s="578"/>
      <c r="Q195" s="577"/>
      <c r="R195" s="578"/>
      <c r="S195" s="577"/>
      <c r="T195" s="578"/>
      <c r="U195" s="577"/>
      <c r="V195" s="578"/>
      <c r="W195" s="577"/>
      <c r="X195" s="578"/>
      <c r="Y195" s="577"/>
      <c r="Z195" s="578"/>
      <c r="AA195" s="577"/>
      <c r="AB195" s="578"/>
      <c r="AC195" s="577"/>
      <c r="AD195" s="578"/>
      <c r="AE195" s="577"/>
      <c r="AF195" s="579"/>
      <c r="AG195" s="577"/>
      <c r="AH195" s="579"/>
      <c r="AI195" s="577"/>
      <c r="AJ195" s="579"/>
      <c r="AK195" s="577"/>
      <c r="AL195" s="579"/>
      <c r="AM195" s="580"/>
      <c r="AN195" s="579"/>
      <c r="AO195" s="577"/>
      <c r="AP195" s="579"/>
      <c r="AQ195" s="580"/>
      <c r="AR195" s="579"/>
      <c r="AS195" s="579"/>
      <c r="AT195" s="579"/>
      <c r="AU195" s="580"/>
      <c r="AV195" s="579"/>
      <c r="AW195" s="579"/>
      <c r="AX195" s="158"/>
      <c r="AY195" s="154"/>
      <c r="AZ195">
        <f ca="1">INDIRECT(ADDRESS(ROW()+1,COLUMN(Arbeitszeit!xDay),,,"Arbeitszeit"))</f>
        <v>1</v>
      </c>
    </row>
    <row r="196" spans="1:52">
      <c r="A196" s="520">
        <f>Arbeitszeit!A197</f>
        <v>43656</v>
      </c>
      <c r="B196" s="521">
        <f t="shared" si="8"/>
        <v>43656</v>
      </c>
      <c r="C196" s="191">
        <f t="shared" si="9"/>
        <v>28</v>
      </c>
      <c r="D196" s="190">
        <f t="shared" si="10"/>
        <v>43646</v>
      </c>
      <c r="E196" s="589">
        <f>Arbeitszeit!V197*24</f>
        <v>0</v>
      </c>
      <c r="F196" s="349">
        <f t="shared" si="11"/>
        <v>0</v>
      </c>
      <c r="G196" s="155">
        <f>IF(Arbeitszeit!F197=Urlaub,B_WorkTime*24,)</f>
        <v>0</v>
      </c>
      <c r="H196" s="153"/>
      <c r="I196" s="155">
        <f>IF(Arbeitszeit!F197=Krank,B_WorkTime*24,)</f>
        <v>0</v>
      </c>
      <c r="J196" s="153"/>
      <c r="K196" s="156"/>
      <c r="L196" s="157"/>
      <c r="M196" s="577"/>
      <c r="N196" s="578"/>
      <c r="O196" s="577"/>
      <c r="P196" s="578"/>
      <c r="Q196" s="577"/>
      <c r="R196" s="578"/>
      <c r="S196" s="577"/>
      <c r="T196" s="578"/>
      <c r="U196" s="577"/>
      <c r="V196" s="578"/>
      <c r="W196" s="577"/>
      <c r="X196" s="578"/>
      <c r="Y196" s="577"/>
      <c r="Z196" s="578"/>
      <c r="AA196" s="577"/>
      <c r="AB196" s="578"/>
      <c r="AC196" s="577"/>
      <c r="AD196" s="578"/>
      <c r="AE196" s="577"/>
      <c r="AF196" s="579"/>
      <c r="AG196" s="577"/>
      <c r="AH196" s="579"/>
      <c r="AI196" s="577"/>
      <c r="AJ196" s="579"/>
      <c r="AK196" s="577"/>
      <c r="AL196" s="579"/>
      <c r="AM196" s="580"/>
      <c r="AN196" s="579"/>
      <c r="AO196" s="577"/>
      <c r="AP196" s="579"/>
      <c r="AQ196" s="580"/>
      <c r="AR196" s="579"/>
      <c r="AS196" s="579"/>
      <c r="AT196" s="579"/>
      <c r="AU196" s="580"/>
      <c r="AV196" s="579"/>
      <c r="AW196" s="579"/>
      <c r="AX196" s="158"/>
      <c r="AY196" s="154"/>
      <c r="AZ196">
        <f ca="1">INDIRECT(ADDRESS(ROW()+1,COLUMN(Arbeitszeit!xDay),,,"Arbeitszeit"))</f>
        <v>2</v>
      </c>
    </row>
    <row r="197" spans="1:52">
      <c r="A197" s="520">
        <f>Arbeitszeit!A198</f>
        <v>43657</v>
      </c>
      <c r="B197" s="521">
        <f t="shared" si="8"/>
        <v>43657</v>
      </c>
      <c r="C197" s="191">
        <f t="shared" si="9"/>
        <v>28</v>
      </c>
      <c r="D197" s="190">
        <f t="shared" si="10"/>
        <v>43646</v>
      </c>
      <c r="E197" s="589">
        <f>Arbeitszeit!V198*24</f>
        <v>0</v>
      </c>
      <c r="F197" s="349">
        <f t="shared" si="11"/>
        <v>0</v>
      </c>
      <c r="G197" s="155">
        <f>IF(Arbeitszeit!F198=Urlaub,B_WorkTime*24,)</f>
        <v>0</v>
      </c>
      <c r="H197" s="153"/>
      <c r="I197" s="155">
        <f>IF(Arbeitszeit!F198=Krank,B_WorkTime*24,)</f>
        <v>0</v>
      </c>
      <c r="J197" s="153"/>
      <c r="K197" s="156"/>
      <c r="L197" s="157"/>
      <c r="M197" s="577"/>
      <c r="N197" s="578"/>
      <c r="O197" s="577"/>
      <c r="P197" s="578"/>
      <c r="Q197" s="577"/>
      <c r="R197" s="578"/>
      <c r="S197" s="577"/>
      <c r="T197" s="578"/>
      <c r="U197" s="577"/>
      <c r="V197" s="578"/>
      <c r="W197" s="577"/>
      <c r="X197" s="578"/>
      <c r="Y197" s="577"/>
      <c r="Z197" s="578"/>
      <c r="AA197" s="577"/>
      <c r="AB197" s="578"/>
      <c r="AC197" s="577"/>
      <c r="AD197" s="578"/>
      <c r="AE197" s="577"/>
      <c r="AF197" s="579"/>
      <c r="AG197" s="577"/>
      <c r="AH197" s="579"/>
      <c r="AI197" s="577"/>
      <c r="AJ197" s="579"/>
      <c r="AK197" s="577"/>
      <c r="AL197" s="579"/>
      <c r="AM197" s="580"/>
      <c r="AN197" s="579"/>
      <c r="AO197" s="577"/>
      <c r="AP197" s="579"/>
      <c r="AQ197" s="580"/>
      <c r="AR197" s="579"/>
      <c r="AS197" s="579"/>
      <c r="AT197" s="579"/>
      <c r="AU197" s="580"/>
      <c r="AV197" s="579"/>
      <c r="AW197" s="579"/>
      <c r="AX197" s="158"/>
      <c r="AY197" s="154"/>
      <c r="AZ197">
        <f ca="1">INDIRECT(ADDRESS(ROW()+1,COLUMN(Arbeitszeit!xDay),,,"Arbeitszeit"))</f>
        <v>3</v>
      </c>
    </row>
    <row r="198" spans="1:52">
      <c r="A198" s="520">
        <f>Arbeitszeit!A199</f>
        <v>43658</v>
      </c>
      <c r="B198" s="521">
        <f t="shared" ref="B198:B261" si="12">IF(A198="","",A198)</f>
        <v>43658</v>
      </c>
      <c r="C198" s="191">
        <f t="shared" si="9"/>
        <v>28</v>
      </c>
      <c r="D198" s="190">
        <f t="shared" si="10"/>
        <v>43646</v>
      </c>
      <c r="E198" s="589">
        <f>Arbeitszeit!V199*24</f>
        <v>0</v>
      </c>
      <c r="F198" s="349">
        <f t="shared" si="11"/>
        <v>0</v>
      </c>
      <c r="G198" s="155">
        <f>IF(Arbeitszeit!F199=Urlaub,B_WorkTime*24,)</f>
        <v>0</v>
      </c>
      <c r="H198" s="153"/>
      <c r="I198" s="155">
        <f>IF(Arbeitszeit!F199=Krank,B_WorkTime*24,)</f>
        <v>0</v>
      </c>
      <c r="J198" s="153"/>
      <c r="K198" s="156"/>
      <c r="L198" s="157"/>
      <c r="M198" s="577"/>
      <c r="N198" s="578"/>
      <c r="O198" s="577"/>
      <c r="P198" s="578"/>
      <c r="Q198" s="577"/>
      <c r="R198" s="578"/>
      <c r="S198" s="577"/>
      <c r="T198" s="578"/>
      <c r="U198" s="577"/>
      <c r="V198" s="578"/>
      <c r="W198" s="577"/>
      <c r="X198" s="578"/>
      <c r="Y198" s="577"/>
      <c r="Z198" s="578"/>
      <c r="AA198" s="577"/>
      <c r="AB198" s="578"/>
      <c r="AC198" s="577"/>
      <c r="AD198" s="578"/>
      <c r="AE198" s="577"/>
      <c r="AF198" s="579"/>
      <c r="AG198" s="577"/>
      <c r="AH198" s="579"/>
      <c r="AI198" s="577"/>
      <c r="AJ198" s="579"/>
      <c r="AK198" s="577"/>
      <c r="AL198" s="579"/>
      <c r="AM198" s="580"/>
      <c r="AN198" s="579"/>
      <c r="AO198" s="577"/>
      <c r="AP198" s="579"/>
      <c r="AQ198" s="580"/>
      <c r="AR198" s="579"/>
      <c r="AS198" s="579"/>
      <c r="AT198" s="579"/>
      <c r="AU198" s="580"/>
      <c r="AV198" s="579"/>
      <c r="AW198" s="579"/>
      <c r="AX198" s="158"/>
      <c r="AY198" s="154"/>
      <c r="AZ198">
        <f ca="1">INDIRECT(ADDRESS(ROW()+1,COLUMN(Arbeitszeit!xDay),,,"Arbeitszeit"))</f>
        <v>4</v>
      </c>
    </row>
    <row r="199" spans="1:52">
      <c r="A199" s="520">
        <f>Arbeitszeit!A200</f>
        <v>43659</v>
      </c>
      <c r="B199" s="521">
        <f t="shared" si="12"/>
        <v>43659</v>
      </c>
      <c r="C199" s="191">
        <f t="shared" ref="C199:C262" si="13">IF(A199="","",NumberOfWeek(A199))</f>
        <v>28</v>
      </c>
      <c r="D199" s="190">
        <f t="shared" ref="D199:D262" si="14">IF(A199="","",DATE(YEAR(A199),MONTH(A199),1))</f>
        <v>43646</v>
      </c>
      <c r="E199" s="589">
        <f>Arbeitszeit!V200*24</f>
        <v>0</v>
      </c>
      <c r="F199" s="349">
        <f t="shared" si="11"/>
        <v>0</v>
      </c>
      <c r="G199" s="155">
        <f>IF(Arbeitszeit!F200=Urlaub,B_WorkTime*24,)</f>
        <v>0</v>
      </c>
      <c r="H199" s="153"/>
      <c r="I199" s="155">
        <f>IF(Arbeitszeit!F200=Krank,B_WorkTime*24,)</f>
        <v>0</v>
      </c>
      <c r="J199" s="153"/>
      <c r="K199" s="156"/>
      <c r="L199" s="157"/>
      <c r="M199" s="577"/>
      <c r="N199" s="578"/>
      <c r="O199" s="577"/>
      <c r="P199" s="578"/>
      <c r="Q199" s="577"/>
      <c r="R199" s="578"/>
      <c r="S199" s="577"/>
      <c r="T199" s="578"/>
      <c r="U199" s="577"/>
      <c r="V199" s="578"/>
      <c r="W199" s="577"/>
      <c r="X199" s="578"/>
      <c r="Y199" s="577"/>
      <c r="Z199" s="578"/>
      <c r="AA199" s="577"/>
      <c r="AB199" s="578"/>
      <c r="AC199" s="577"/>
      <c r="AD199" s="578"/>
      <c r="AE199" s="577"/>
      <c r="AF199" s="579"/>
      <c r="AG199" s="577"/>
      <c r="AH199" s="579"/>
      <c r="AI199" s="577"/>
      <c r="AJ199" s="579"/>
      <c r="AK199" s="577"/>
      <c r="AL199" s="579"/>
      <c r="AM199" s="580"/>
      <c r="AN199" s="579"/>
      <c r="AO199" s="577"/>
      <c r="AP199" s="579"/>
      <c r="AQ199" s="580"/>
      <c r="AR199" s="579"/>
      <c r="AS199" s="579"/>
      <c r="AT199" s="579"/>
      <c r="AU199" s="580"/>
      <c r="AV199" s="579"/>
      <c r="AW199" s="579"/>
      <c r="AX199" s="158"/>
      <c r="AY199" s="154"/>
      <c r="AZ199">
        <f ca="1">INDIRECT(ADDRESS(ROW()+1,COLUMN(Arbeitszeit!xDay),,,"Arbeitszeit"))</f>
        <v>5</v>
      </c>
    </row>
    <row r="200" spans="1:52">
      <c r="A200" s="520">
        <f>Arbeitszeit!A201</f>
        <v>43660</v>
      </c>
      <c r="B200" s="521">
        <f t="shared" si="12"/>
        <v>43660</v>
      </c>
      <c r="C200" s="191">
        <f t="shared" si="13"/>
        <v>28</v>
      </c>
      <c r="D200" s="190">
        <f t="shared" si="14"/>
        <v>43646</v>
      </c>
      <c r="E200" s="589">
        <f>Arbeitszeit!V201*24</f>
        <v>0</v>
      </c>
      <c r="F200" s="349">
        <f t="shared" ref="F200:F263" si="15">ROUND(E200-SUM(K200:AW200),1)</f>
        <v>0</v>
      </c>
      <c r="G200" s="155">
        <f>IF(Arbeitszeit!F201=Urlaub,B_WorkTime*24,)</f>
        <v>0</v>
      </c>
      <c r="H200" s="153"/>
      <c r="I200" s="155">
        <f>IF(Arbeitszeit!F201=Krank,B_WorkTime*24,)</f>
        <v>0</v>
      </c>
      <c r="J200" s="153"/>
      <c r="K200" s="156"/>
      <c r="L200" s="157"/>
      <c r="M200" s="577"/>
      <c r="N200" s="578"/>
      <c r="O200" s="577"/>
      <c r="P200" s="578"/>
      <c r="Q200" s="577"/>
      <c r="R200" s="578"/>
      <c r="S200" s="577"/>
      <c r="T200" s="578"/>
      <c r="U200" s="577"/>
      <c r="V200" s="578"/>
      <c r="W200" s="577"/>
      <c r="X200" s="578"/>
      <c r="Y200" s="577"/>
      <c r="Z200" s="578"/>
      <c r="AA200" s="577"/>
      <c r="AB200" s="578"/>
      <c r="AC200" s="577"/>
      <c r="AD200" s="578"/>
      <c r="AE200" s="577"/>
      <c r="AF200" s="579"/>
      <c r="AG200" s="577"/>
      <c r="AH200" s="579"/>
      <c r="AI200" s="577"/>
      <c r="AJ200" s="579"/>
      <c r="AK200" s="577"/>
      <c r="AL200" s="579"/>
      <c r="AM200" s="580"/>
      <c r="AN200" s="579"/>
      <c r="AO200" s="577"/>
      <c r="AP200" s="579"/>
      <c r="AQ200" s="580"/>
      <c r="AR200" s="579"/>
      <c r="AS200" s="579"/>
      <c r="AT200" s="579"/>
      <c r="AU200" s="580"/>
      <c r="AV200" s="579"/>
      <c r="AW200" s="579"/>
      <c r="AX200" s="158"/>
      <c r="AY200" s="154"/>
      <c r="AZ200">
        <f ca="1">INDIRECT(ADDRESS(ROW()+1,COLUMN(Arbeitszeit!xDay),,,"Arbeitszeit"))</f>
        <v>6</v>
      </c>
    </row>
    <row r="201" spans="1:52">
      <c r="A201" s="520">
        <f>Arbeitszeit!A202</f>
        <v>43661</v>
      </c>
      <c r="B201" s="521">
        <f t="shared" si="12"/>
        <v>43661</v>
      </c>
      <c r="C201" s="191">
        <f t="shared" si="13"/>
        <v>28</v>
      </c>
      <c r="D201" s="190">
        <f t="shared" si="14"/>
        <v>43646</v>
      </c>
      <c r="E201" s="589">
        <f>Arbeitszeit!V202*24</f>
        <v>0</v>
      </c>
      <c r="F201" s="349">
        <f t="shared" si="15"/>
        <v>0</v>
      </c>
      <c r="G201" s="155">
        <f>IF(Arbeitszeit!F202=Urlaub,B_WorkTime*24,)</f>
        <v>0</v>
      </c>
      <c r="H201" s="153"/>
      <c r="I201" s="155">
        <f>IF(Arbeitszeit!F202=Krank,B_WorkTime*24,)</f>
        <v>0</v>
      </c>
      <c r="J201" s="153"/>
      <c r="K201" s="156"/>
      <c r="L201" s="157"/>
      <c r="M201" s="577"/>
      <c r="N201" s="578"/>
      <c r="O201" s="577"/>
      <c r="P201" s="578"/>
      <c r="Q201" s="577"/>
      <c r="R201" s="578"/>
      <c r="S201" s="577"/>
      <c r="T201" s="578"/>
      <c r="U201" s="577"/>
      <c r="V201" s="578"/>
      <c r="W201" s="577"/>
      <c r="X201" s="578"/>
      <c r="Y201" s="577"/>
      <c r="Z201" s="578"/>
      <c r="AA201" s="577"/>
      <c r="AB201" s="578"/>
      <c r="AC201" s="577"/>
      <c r="AD201" s="578"/>
      <c r="AE201" s="577"/>
      <c r="AF201" s="579"/>
      <c r="AG201" s="577"/>
      <c r="AH201" s="579"/>
      <c r="AI201" s="577"/>
      <c r="AJ201" s="579"/>
      <c r="AK201" s="577"/>
      <c r="AL201" s="579"/>
      <c r="AM201" s="580"/>
      <c r="AN201" s="579"/>
      <c r="AO201" s="577"/>
      <c r="AP201" s="579"/>
      <c r="AQ201" s="580"/>
      <c r="AR201" s="579"/>
      <c r="AS201" s="579"/>
      <c r="AT201" s="579"/>
      <c r="AU201" s="580"/>
      <c r="AV201" s="579"/>
      <c r="AW201" s="579"/>
      <c r="AX201" s="158"/>
      <c r="AY201" s="154"/>
      <c r="AZ201">
        <f ca="1">INDIRECT(ADDRESS(ROW()+1,COLUMN(Arbeitszeit!xDay),,,"Arbeitszeit"))</f>
        <v>7</v>
      </c>
    </row>
    <row r="202" spans="1:52">
      <c r="A202" s="520">
        <f>Arbeitszeit!A203</f>
        <v>43662</v>
      </c>
      <c r="B202" s="521">
        <f t="shared" si="12"/>
        <v>43662</v>
      </c>
      <c r="C202" s="191">
        <f t="shared" si="13"/>
        <v>29</v>
      </c>
      <c r="D202" s="190">
        <f t="shared" si="14"/>
        <v>43646</v>
      </c>
      <c r="E202" s="589">
        <f>Arbeitszeit!V203*24</f>
        <v>0</v>
      </c>
      <c r="F202" s="349">
        <f t="shared" si="15"/>
        <v>0</v>
      </c>
      <c r="G202" s="155">
        <f>IF(Arbeitszeit!F203=Urlaub,B_WorkTime*24,)</f>
        <v>0</v>
      </c>
      <c r="H202" s="153"/>
      <c r="I202" s="155">
        <f>IF(Arbeitszeit!F203=Krank,B_WorkTime*24,)</f>
        <v>0</v>
      </c>
      <c r="J202" s="153"/>
      <c r="K202" s="156"/>
      <c r="L202" s="157"/>
      <c r="M202" s="577"/>
      <c r="N202" s="578"/>
      <c r="O202" s="577"/>
      <c r="P202" s="578"/>
      <c r="Q202" s="577"/>
      <c r="R202" s="578"/>
      <c r="S202" s="577"/>
      <c r="T202" s="578"/>
      <c r="U202" s="577"/>
      <c r="V202" s="578"/>
      <c r="W202" s="577"/>
      <c r="X202" s="578"/>
      <c r="Y202" s="577"/>
      <c r="Z202" s="578"/>
      <c r="AA202" s="577"/>
      <c r="AB202" s="578"/>
      <c r="AC202" s="577"/>
      <c r="AD202" s="578"/>
      <c r="AE202" s="577"/>
      <c r="AF202" s="579"/>
      <c r="AG202" s="577"/>
      <c r="AH202" s="579"/>
      <c r="AI202" s="577"/>
      <c r="AJ202" s="579"/>
      <c r="AK202" s="577"/>
      <c r="AL202" s="579"/>
      <c r="AM202" s="580"/>
      <c r="AN202" s="579"/>
      <c r="AO202" s="577"/>
      <c r="AP202" s="579"/>
      <c r="AQ202" s="580"/>
      <c r="AR202" s="579"/>
      <c r="AS202" s="579"/>
      <c r="AT202" s="579"/>
      <c r="AU202" s="580"/>
      <c r="AV202" s="579"/>
      <c r="AW202" s="579"/>
      <c r="AX202" s="158"/>
      <c r="AY202" s="154"/>
      <c r="AZ202">
        <f ca="1">INDIRECT(ADDRESS(ROW()+1,COLUMN(Arbeitszeit!xDay),,,"Arbeitszeit"))</f>
        <v>1</v>
      </c>
    </row>
    <row r="203" spans="1:52">
      <c r="A203" s="520">
        <f>Arbeitszeit!A204</f>
        <v>43663</v>
      </c>
      <c r="B203" s="521">
        <f t="shared" si="12"/>
        <v>43663</v>
      </c>
      <c r="C203" s="191">
        <f t="shared" si="13"/>
        <v>29</v>
      </c>
      <c r="D203" s="190">
        <f t="shared" si="14"/>
        <v>43646</v>
      </c>
      <c r="E203" s="589">
        <f>Arbeitszeit!V204*24</f>
        <v>0</v>
      </c>
      <c r="F203" s="349">
        <f t="shared" si="15"/>
        <v>0</v>
      </c>
      <c r="G203" s="155">
        <f>IF(Arbeitszeit!F204=Urlaub,B_WorkTime*24,)</f>
        <v>0</v>
      </c>
      <c r="H203" s="153"/>
      <c r="I203" s="155">
        <f>IF(Arbeitszeit!F204=Krank,B_WorkTime*24,)</f>
        <v>0</v>
      </c>
      <c r="J203" s="153"/>
      <c r="K203" s="156"/>
      <c r="L203" s="157"/>
      <c r="M203" s="577"/>
      <c r="N203" s="578"/>
      <c r="O203" s="577"/>
      <c r="P203" s="578"/>
      <c r="Q203" s="577"/>
      <c r="R203" s="578"/>
      <c r="S203" s="577"/>
      <c r="T203" s="578"/>
      <c r="U203" s="577"/>
      <c r="V203" s="578"/>
      <c r="W203" s="577"/>
      <c r="X203" s="578"/>
      <c r="Y203" s="577"/>
      <c r="Z203" s="578"/>
      <c r="AA203" s="577"/>
      <c r="AB203" s="578"/>
      <c r="AC203" s="577"/>
      <c r="AD203" s="578"/>
      <c r="AE203" s="577"/>
      <c r="AF203" s="579"/>
      <c r="AG203" s="577"/>
      <c r="AH203" s="579"/>
      <c r="AI203" s="577"/>
      <c r="AJ203" s="579"/>
      <c r="AK203" s="577"/>
      <c r="AL203" s="579"/>
      <c r="AM203" s="580"/>
      <c r="AN203" s="579"/>
      <c r="AO203" s="577"/>
      <c r="AP203" s="579"/>
      <c r="AQ203" s="580"/>
      <c r="AR203" s="579"/>
      <c r="AS203" s="579"/>
      <c r="AT203" s="579"/>
      <c r="AU203" s="580"/>
      <c r="AV203" s="579"/>
      <c r="AW203" s="579"/>
      <c r="AX203" s="158"/>
      <c r="AY203" s="154"/>
      <c r="AZ203">
        <f ca="1">INDIRECT(ADDRESS(ROW()+1,COLUMN(Arbeitszeit!xDay),,,"Arbeitszeit"))</f>
        <v>2</v>
      </c>
    </row>
    <row r="204" spans="1:52">
      <c r="A204" s="520">
        <f>Arbeitszeit!A205</f>
        <v>43664</v>
      </c>
      <c r="B204" s="521">
        <f t="shared" si="12"/>
        <v>43664</v>
      </c>
      <c r="C204" s="191">
        <f t="shared" si="13"/>
        <v>29</v>
      </c>
      <c r="D204" s="190">
        <f t="shared" si="14"/>
        <v>43646</v>
      </c>
      <c r="E204" s="589">
        <f>Arbeitszeit!V205*24</f>
        <v>0</v>
      </c>
      <c r="F204" s="349">
        <f t="shared" si="15"/>
        <v>0</v>
      </c>
      <c r="G204" s="155">
        <f>IF(Arbeitszeit!F205=Urlaub,B_WorkTime*24,)</f>
        <v>0</v>
      </c>
      <c r="H204" s="153"/>
      <c r="I204" s="155">
        <f>IF(Arbeitszeit!F205=Krank,B_WorkTime*24,)</f>
        <v>0</v>
      </c>
      <c r="J204" s="153"/>
      <c r="K204" s="156"/>
      <c r="L204" s="157"/>
      <c r="M204" s="577"/>
      <c r="N204" s="578"/>
      <c r="O204" s="577"/>
      <c r="P204" s="578"/>
      <c r="Q204" s="577"/>
      <c r="R204" s="578"/>
      <c r="S204" s="577"/>
      <c r="T204" s="578"/>
      <c r="U204" s="577"/>
      <c r="V204" s="578"/>
      <c r="W204" s="577"/>
      <c r="X204" s="578"/>
      <c r="Y204" s="577"/>
      <c r="Z204" s="578"/>
      <c r="AA204" s="577"/>
      <c r="AB204" s="578"/>
      <c r="AC204" s="577"/>
      <c r="AD204" s="578"/>
      <c r="AE204" s="577"/>
      <c r="AF204" s="579"/>
      <c r="AG204" s="577"/>
      <c r="AH204" s="579"/>
      <c r="AI204" s="577"/>
      <c r="AJ204" s="579"/>
      <c r="AK204" s="577"/>
      <c r="AL204" s="579"/>
      <c r="AM204" s="580"/>
      <c r="AN204" s="579"/>
      <c r="AO204" s="577"/>
      <c r="AP204" s="579"/>
      <c r="AQ204" s="580"/>
      <c r="AR204" s="579"/>
      <c r="AS204" s="579"/>
      <c r="AT204" s="579"/>
      <c r="AU204" s="580"/>
      <c r="AV204" s="579"/>
      <c r="AW204" s="579"/>
      <c r="AX204" s="158"/>
      <c r="AY204" s="154"/>
      <c r="AZ204">
        <f ca="1">INDIRECT(ADDRESS(ROW()+1,COLUMN(Arbeitszeit!xDay),,,"Arbeitszeit"))</f>
        <v>3</v>
      </c>
    </row>
    <row r="205" spans="1:52">
      <c r="A205" s="520">
        <f>Arbeitszeit!A206</f>
        <v>43665</v>
      </c>
      <c r="B205" s="521">
        <f t="shared" si="12"/>
        <v>43665</v>
      </c>
      <c r="C205" s="191">
        <f t="shared" si="13"/>
        <v>29</v>
      </c>
      <c r="D205" s="190">
        <f t="shared" si="14"/>
        <v>43646</v>
      </c>
      <c r="E205" s="589">
        <f>Arbeitszeit!V206*24</f>
        <v>0</v>
      </c>
      <c r="F205" s="349">
        <f t="shared" si="15"/>
        <v>0</v>
      </c>
      <c r="G205" s="155">
        <f>IF(Arbeitszeit!F206=Urlaub,B_WorkTime*24,)</f>
        <v>0</v>
      </c>
      <c r="H205" s="153"/>
      <c r="I205" s="155">
        <f>IF(Arbeitszeit!F206=Krank,B_WorkTime*24,)</f>
        <v>0</v>
      </c>
      <c r="J205" s="153"/>
      <c r="K205" s="156"/>
      <c r="L205" s="157"/>
      <c r="M205" s="577"/>
      <c r="N205" s="578"/>
      <c r="O205" s="577"/>
      <c r="P205" s="578"/>
      <c r="Q205" s="577"/>
      <c r="R205" s="578"/>
      <c r="S205" s="577"/>
      <c r="T205" s="578"/>
      <c r="U205" s="577"/>
      <c r="V205" s="578"/>
      <c r="W205" s="577"/>
      <c r="X205" s="578"/>
      <c r="Y205" s="577"/>
      <c r="Z205" s="578"/>
      <c r="AA205" s="577"/>
      <c r="AB205" s="578"/>
      <c r="AC205" s="577"/>
      <c r="AD205" s="578"/>
      <c r="AE205" s="577"/>
      <c r="AF205" s="579"/>
      <c r="AG205" s="577"/>
      <c r="AH205" s="579"/>
      <c r="AI205" s="577"/>
      <c r="AJ205" s="579"/>
      <c r="AK205" s="577"/>
      <c r="AL205" s="579"/>
      <c r="AM205" s="580"/>
      <c r="AN205" s="579"/>
      <c r="AO205" s="577"/>
      <c r="AP205" s="579"/>
      <c r="AQ205" s="580"/>
      <c r="AR205" s="579"/>
      <c r="AS205" s="579"/>
      <c r="AT205" s="579"/>
      <c r="AU205" s="580"/>
      <c r="AV205" s="579"/>
      <c r="AW205" s="579"/>
      <c r="AX205" s="158"/>
      <c r="AY205" s="154"/>
      <c r="AZ205">
        <f ca="1">INDIRECT(ADDRESS(ROW()+1,COLUMN(Arbeitszeit!xDay),,,"Arbeitszeit"))</f>
        <v>4</v>
      </c>
    </row>
    <row r="206" spans="1:52">
      <c r="A206" s="520">
        <f>Arbeitszeit!A207</f>
        <v>43666</v>
      </c>
      <c r="B206" s="521">
        <f t="shared" si="12"/>
        <v>43666</v>
      </c>
      <c r="C206" s="191">
        <f t="shared" si="13"/>
        <v>29</v>
      </c>
      <c r="D206" s="190">
        <f t="shared" si="14"/>
        <v>43646</v>
      </c>
      <c r="E206" s="589">
        <f>Arbeitszeit!V207*24</f>
        <v>0</v>
      </c>
      <c r="F206" s="349">
        <f t="shared" si="15"/>
        <v>0</v>
      </c>
      <c r="G206" s="155">
        <f>IF(Arbeitszeit!F207=Urlaub,B_WorkTime*24,)</f>
        <v>0</v>
      </c>
      <c r="H206" s="153"/>
      <c r="I206" s="155">
        <f>IF(Arbeitszeit!F207=Krank,B_WorkTime*24,)</f>
        <v>0</v>
      </c>
      <c r="J206" s="153"/>
      <c r="K206" s="156"/>
      <c r="L206" s="157"/>
      <c r="M206" s="577"/>
      <c r="N206" s="578"/>
      <c r="O206" s="577"/>
      <c r="P206" s="578"/>
      <c r="Q206" s="577"/>
      <c r="R206" s="578"/>
      <c r="S206" s="577"/>
      <c r="T206" s="578"/>
      <c r="U206" s="577"/>
      <c r="V206" s="578"/>
      <c r="W206" s="577"/>
      <c r="X206" s="578"/>
      <c r="Y206" s="577"/>
      <c r="Z206" s="578"/>
      <c r="AA206" s="577"/>
      <c r="AB206" s="578"/>
      <c r="AC206" s="577"/>
      <c r="AD206" s="578"/>
      <c r="AE206" s="577"/>
      <c r="AF206" s="579"/>
      <c r="AG206" s="577"/>
      <c r="AH206" s="579"/>
      <c r="AI206" s="577"/>
      <c r="AJ206" s="579"/>
      <c r="AK206" s="577"/>
      <c r="AL206" s="579"/>
      <c r="AM206" s="580"/>
      <c r="AN206" s="579"/>
      <c r="AO206" s="577"/>
      <c r="AP206" s="579"/>
      <c r="AQ206" s="580"/>
      <c r="AR206" s="579"/>
      <c r="AS206" s="579"/>
      <c r="AT206" s="579"/>
      <c r="AU206" s="580"/>
      <c r="AV206" s="579"/>
      <c r="AW206" s="579"/>
      <c r="AX206" s="158"/>
      <c r="AY206" s="154"/>
      <c r="AZ206">
        <f ca="1">INDIRECT(ADDRESS(ROW()+1,COLUMN(Arbeitszeit!xDay),,,"Arbeitszeit"))</f>
        <v>5</v>
      </c>
    </row>
    <row r="207" spans="1:52">
      <c r="A207" s="520">
        <f>Arbeitszeit!A208</f>
        <v>43667</v>
      </c>
      <c r="B207" s="521">
        <f t="shared" si="12"/>
        <v>43667</v>
      </c>
      <c r="C207" s="191">
        <f t="shared" si="13"/>
        <v>29</v>
      </c>
      <c r="D207" s="190">
        <f t="shared" si="14"/>
        <v>43646</v>
      </c>
      <c r="E207" s="589">
        <f>Arbeitszeit!V208*24</f>
        <v>0</v>
      </c>
      <c r="F207" s="349">
        <f t="shared" si="15"/>
        <v>0</v>
      </c>
      <c r="G207" s="155">
        <f>IF(Arbeitszeit!F208=Urlaub,B_WorkTime*24,)</f>
        <v>0</v>
      </c>
      <c r="H207" s="153"/>
      <c r="I207" s="155">
        <f>IF(Arbeitszeit!F208=Krank,B_WorkTime*24,)</f>
        <v>0</v>
      </c>
      <c r="J207" s="153"/>
      <c r="K207" s="156"/>
      <c r="L207" s="157"/>
      <c r="M207" s="577"/>
      <c r="N207" s="578"/>
      <c r="O207" s="577"/>
      <c r="P207" s="578"/>
      <c r="Q207" s="577"/>
      <c r="R207" s="578"/>
      <c r="S207" s="577"/>
      <c r="T207" s="578"/>
      <c r="U207" s="577"/>
      <c r="V207" s="578"/>
      <c r="W207" s="577"/>
      <c r="X207" s="578"/>
      <c r="Y207" s="577"/>
      <c r="Z207" s="578"/>
      <c r="AA207" s="577"/>
      <c r="AB207" s="578"/>
      <c r="AC207" s="577"/>
      <c r="AD207" s="578"/>
      <c r="AE207" s="577"/>
      <c r="AF207" s="579"/>
      <c r="AG207" s="577"/>
      <c r="AH207" s="579"/>
      <c r="AI207" s="577"/>
      <c r="AJ207" s="579"/>
      <c r="AK207" s="577"/>
      <c r="AL207" s="579"/>
      <c r="AM207" s="580"/>
      <c r="AN207" s="579"/>
      <c r="AO207" s="577"/>
      <c r="AP207" s="579"/>
      <c r="AQ207" s="580"/>
      <c r="AR207" s="579"/>
      <c r="AS207" s="579"/>
      <c r="AT207" s="579"/>
      <c r="AU207" s="580"/>
      <c r="AV207" s="579"/>
      <c r="AW207" s="579"/>
      <c r="AX207" s="158"/>
      <c r="AY207" s="154"/>
      <c r="AZ207">
        <f ca="1">INDIRECT(ADDRESS(ROW()+1,COLUMN(Arbeitszeit!xDay),,,"Arbeitszeit"))</f>
        <v>6</v>
      </c>
    </row>
    <row r="208" spans="1:52">
      <c r="A208" s="520">
        <f>Arbeitszeit!A209</f>
        <v>43668</v>
      </c>
      <c r="B208" s="521">
        <f t="shared" si="12"/>
        <v>43668</v>
      </c>
      <c r="C208" s="191">
        <f t="shared" si="13"/>
        <v>29</v>
      </c>
      <c r="D208" s="190">
        <f t="shared" si="14"/>
        <v>43646</v>
      </c>
      <c r="E208" s="589">
        <f>Arbeitszeit!V209*24</f>
        <v>0</v>
      </c>
      <c r="F208" s="349">
        <f t="shared" si="15"/>
        <v>0</v>
      </c>
      <c r="G208" s="155">
        <f>IF(Arbeitszeit!F209=Urlaub,B_WorkTime*24,)</f>
        <v>0</v>
      </c>
      <c r="H208" s="153"/>
      <c r="I208" s="155">
        <f>IF(Arbeitszeit!F209=Krank,B_WorkTime*24,)</f>
        <v>0</v>
      </c>
      <c r="J208" s="153"/>
      <c r="K208" s="156"/>
      <c r="L208" s="157"/>
      <c r="M208" s="577"/>
      <c r="N208" s="578"/>
      <c r="O208" s="577"/>
      <c r="P208" s="578"/>
      <c r="Q208" s="577"/>
      <c r="R208" s="578"/>
      <c r="S208" s="577"/>
      <c r="T208" s="578"/>
      <c r="U208" s="577"/>
      <c r="V208" s="578"/>
      <c r="W208" s="577"/>
      <c r="X208" s="578"/>
      <c r="Y208" s="577"/>
      <c r="Z208" s="578"/>
      <c r="AA208" s="577"/>
      <c r="AB208" s="578"/>
      <c r="AC208" s="577"/>
      <c r="AD208" s="578"/>
      <c r="AE208" s="577"/>
      <c r="AF208" s="579"/>
      <c r="AG208" s="577"/>
      <c r="AH208" s="579"/>
      <c r="AI208" s="577"/>
      <c r="AJ208" s="579"/>
      <c r="AK208" s="577"/>
      <c r="AL208" s="579"/>
      <c r="AM208" s="580"/>
      <c r="AN208" s="579"/>
      <c r="AO208" s="577"/>
      <c r="AP208" s="579"/>
      <c r="AQ208" s="580"/>
      <c r="AR208" s="579"/>
      <c r="AS208" s="579"/>
      <c r="AT208" s="579"/>
      <c r="AU208" s="580"/>
      <c r="AV208" s="579"/>
      <c r="AW208" s="579"/>
      <c r="AX208" s="158"/>
      <c r="AY208" s="154"/>
      <c r="AZ208">
        <f ca="1">INDIRECT(ADDRESS(ROW()+1,COLUMN(Arbeitszeit!xDay),,,"Arbeitszeit"))</f>
        <v>7</v>
      </c>
    </row>
    <row r="209" spans="1:52">
      <c r="A209" s="520">
        <f>Arbeitszeit!A210</f>
        <v>43669</v>
      </c>
      <c r="B209" s="521">
        <f t="shared" si="12"/>
        <v>43669</v>
      </c>
      <c r="C209" s="191">
        <f t="shared" si="13"/>
        <v>30</v>
      </c>
      <c r="D209" s="190">
        <f t="shared" si="14"/>
        <v>43646</v>
      </c>
      <c r="E209" s="589">
        <f>Arbeitszeit!V210*24</f>
        <v>0</v>
      </c>
      <c r="F209" s="349">
        <f t="shared" si="15"/>
        <v>0</v>
      </c>
      <c r="G209" s="155">
        <f>IF(Arbeitszeit!F210=Urlaub,B_WorkTime*24,)</f>
        <v>0</v>
      </c>
      <c r="H209" s="153"/>
      <c r="I209" s="155">
        <f>IF(Arbeitszeit!F210=Krank,B_WorkTime*24,)</f>
        <v>0</v>
      </c>
      <c r="J209" s="153"/>
      <c r="K209" s="156"/>
      <c r="L209" s="157"/>
      <c r="M209" s="577"/>
      <c r="N209" s="578"/>
      <c r="O209" s="577"/>
      <c r="P209" s="578"/>
      <c r="Q209" s="577"/>
      <c r="R209" s="578"/>
      <c r="S209" s="577"/>
      <c r="T209" s="578"/>
      <c r="U209" s="577"/>
      <c r="V209" s="578"/>
      <c r="W209" s="577"/>
      <c r="X209" s="578"/>
      <c r="Y209" s="577"/>
      <c r="Z209" s="578"/>
      <c r="AA209" s="577"/>
      <c r="AB209" s="578"/>
      <c r="AC209" s="577"/>
      <c r="AD209" s="578"/>
      <c r="AE209" s="577"/>
      <c r="AF209" s="579"/>
      <c r="AG209" s="577"/>
      <c r="AH209" s="579"/>
      <c r="AI209" s="577"/>
      <c r="AJ209" s="579"/>
      <c r="AK209" s="577"/>
      <c r="AL209" s="579"/>
      <c r="AM209" s="580"/>
      <c r="AN209" s="579"/>
      <c r="AO209" s="577"/>
      <c r="AP209" s="579"/>
      <c r="AQ209" s="580"/>
      <c r="AR209" s="579"/>
      <c r="AS209" s="579"/>
      <c r="AT209" s="579"/>
      <c r="AU209" s="580"/>
      <c r="AV209" s="579"/>
      <c r="AW209" s="579"/>
      <c r="AX209" s="158"/>
      <c r="AY209" s="154"/>
      <c r="AZ209">
        <f ca="1">INDIRECT(ADDRESS(ROW()+1,COLUMN(Arbeitszeit!xDay),,,"Arbeitszeit"))</f>
        <v>1</v>
      </c>
    </row>
    <row r="210" spans="1:52">
      <c r="A210" s="520">
        <f>Arbeitszeit!A211</f>
        <v>43670</v>
      </c>
      <c r="B210" s="521">
        <f t="shared" si="12"/>
        <v>43670</v>
      </c>
      <c r="C210" s="191">
        <f t="shared" si="13"/>
        <v>30</v>
      </c>
      <c r="D210" s="190">
        <f t="shared" si="14"/>
        <v>43646</v>
      </c>
      <c r="E210" s="589">
        <f>Arbeitszeit!V211*24</f>
        <v>0</v>
      </c>
      <c r="F210" s="349">
        <f t="shared" si="15"/>
        <v>0</v>
      </c>
      <c r="G210" s="155">
        <f>IF(Arbeitszeit!F211=Urlaub,B_WorkTime*24,)</f>
        <v>0</v>
      </c>
      <c r="H210" s="153"/>
      <c r="I210" s="155">
        <f>IF(Arbeitszeit!F211=Krank,B_WorkTime*24,)</f>
        <v>0</v>
      </c>
      <c r="J210" s="153"/>
      <c r="K210" s="156"/>
      <c r="L210" s="157"/>
      <c r="M210" s="577"/>
      <c r="N210" s="578"/>
      <c r="O210" s="577"/>
      <c r="P210" s="578"/>
      <c r="Q210" s="577"/>
      <c r="R210" s="578"/>
      <c r="S210" s="577"/>
      <c r="T210" s="578"/>
      <c r="U210" s="577"/>
      <c r="V210" s="578"/>
      <c r="W210" s="577"/>
      <c r="X210" s="578"/>
      <c r="Y210" s="577"/>
      <c r="Z210" s="578"/>
      <c r="AA210" s="577"/>
      <c r="AB210" s="578"/>
      <c r="AC210" s="577"/>
      <c r="AD210" s="578"/>
      <c r="AE210" s="577"/>
      <c r="AF210" s="579"/>
      <c r="AG210" s="577"/>
      <c r="AH210" s="579"/>
      <c r="AI210" s="577"/>
      <c r="AJ210" s="579"/>
      <c r="AK210" s="577"/>
      <c r="AL210" s="579"/>
      <c r="AM210" s="580"/>
      <c r="AN210" s="579"/>
      <c r="AO210" s="577"/>
      <c r="AP210" s="579"/>
      <c r="AQ210" s="580"/>
      <c r="AR210" s="579"/>
      <c r="AS210" s="579"/>
      <c r="AT210" s="579"/>
      <c r="AU210" s="580"/>
      <c r="AV210" s="579"/>
      <c r="AW210" s="579"/>
      <c r="AX210" s="158"/>
      <c r="AY210" s="154"/>
      <c r="AZ210">
        <f ca="1">INDIRECT(ADDRESS(ROW()+1,COLUMN(Arbeitszeit!xDay),,,"Arbeitszeit"))</f>
        <v>2</v>
      </c>
    </row>
    <row r="211" spans="1:52">
      <c r="A211" s="520">
        <f>Arbeitszeit!A212</f>
        <v>43671</v>
      </c>
      <c r="B211" s="521">
        <f t="shared" si="12"/>
        <v>43671</v>
      </c>
      <c r="C211" s="191">
        <f t="shared" si="13"/>
        <v>30</v>
      </c>
      <c r="D211" s="190">
        <f t="shared" si="14"/>
        <v>43646</v>
      </c>
      <c r="E211" s="589">
        <f>Arbeitszeit!V212*24</f>
        <v>0</v>
      </c>
      <c r="F211" s="349">
        <f t="shared" si="15"/>
        <v>0</v>
      </c>
      <c r="G211" s="155">
        <f>IF(Arbeitszeit!F212=Urlaub,B_WorkTime*24,)</f>
        <v>0</v>
      </c>
      <c r="H211" s="153"/>
      <c r="I211" s="155">
        <f>IF(Arbeitszeit!F212=Krank,B_WorkTime*24,)</f>
        <v>0</v>
      </c>
      <c r="J211" s="153"/>
      <c r="K211" s="156"/>
      <c r="L211" s="157"/>
      <c r="M211" s="577"/>
      <c r="N211" s="578"/>
      <c r="O211" s="577"/>
      <c r="P211" s="578"/>
      <c r="Q211" s="577"/>
      <c r="R211" s="578"/>
      <c r="S211" s="577"/>
      <c r="T211" s="578"/>
      <c r="U211" s="577"/>
      <c r="V211" s="578"/>
      <c r="W211" s="577"/>
      <c r="X211" s="578"/>
      <c r="Y211" s="577"/>
      <c r="Z211" s="578"/>
      <c r="AA211" s="577"/>
      <c r="AB211" s="578"/>
      <c r="AC211" s="577"/>
      <c r="AD211" s="578"/>
      <c r="AE211" s="577"/>
      <c r="AF211" s="579"/>
      <c r="AG211" s="577"/>
      <c r="AH211" s="579"/>
      <c r="AI211" s="577"/>
      <c r="AJ211" s="579"/>
      <c r="AK211" s="577"/>
      <c r="AL211" s="579"/>
      <c r="AM211" s="580"/>
      <c r="AN211" s="579"/>
      <c r="AO211" s="577"/>
      <c r="AP211" s="579"/>
      <c r="AQ211" s="580"/>
      <c r="AR211" s="579"/>
      <c r="AS211" s="579"/>
      <c r="AT211" s="579"/>
      <c r="AU211" s="580"/>
      <c r="AV211" s="579"/>
      <c r="AW211" s="579"/>
      <c r="AX211" s="158"/>
      <c r="AY211" s="154"/>
      <c r="AZ211">
        <f ca="1">INDIRECT(ADDRESS(ROW()+1,COLUMN(Arbeitszeit!xDay),,,"Arbeitszeit"))</f>
        <v>3</v>
      </c>
    </row>
    <row r="212" spans="1:52">
      <c r="A212" s="520">
        <f>Arbeitszeit!A213</f>
        <v>43672</v>
      </c>
      <c r="B212" s="521">
        <f t="shared" si="12"/>
        <v>43672</v>
      </c>
      <c r="C212" s="191">
        <f t="shared" si="13"/>
        <v>30</v>
      </c>
      <c r="D212" s="190">
        <f t="shared" si="14"/>
        <v>43646</v>
      </c>
      <c r="E212" s="589">
        <f>Arbeitszeit!V213*24</f>
        <v>0</v>
      </c>
      <c r="F212" s="349">
        <f t="shared" si="15"/>
        <v>0</v>
      </c>
      <c r="G212" s="155">
        <f>IF(Arbeitszeit!F213=Urlaub,B_WorkTime*24,)</f>
        <v>0</v>
      </c>
      <c r="H212" s="153"/>
      <c r="I212" s="155">
        <f>IF(Arbeitszeit!F213=Krank,B_WorkTime*24,)</f>
        <v>0</v>
      </c>
      <c r="J212" s="153"/>
      <c r="K212" s="156"/>
      <c r="L212" s="157"/>
      <c r="M212" s="577"/>
      <c r="N212" s="578"/>
      <c r="O212" s="577"/>
      <c r="P212" s="578"/>
      <c r="Q212" s="577"/>
      <c r="R212" s="578"/>
      <c r="S212" s="577"/>
      <c r="T212" s="578"/>
      <c r="U212" s="577"/>
      <c r="V212" s="578"/>
      <c r="W212" s="577"/>
      <c r="X212" s="578"/>
      <c r="Y212" s="577"/>
      <c r="Z212" s="578"/>
      <c r="AA212" s="577"/>
      <c r="AB212" s="578"/>
      <c r="AC212" s="577"/>
      <c r="AD212" s="578"/>
      <c r="AE212" s="577"/>
      <c r="AF212" s="579"/>
      <c r="AG212" s="577"/>
      <c r="AH212" s="579"/>
      <c r="AI212" s="577"/>
      <c r="AJ212" s="579"/>
      <c r="AK212" s="577"/>
      <c r="AL212" s="579"/>
      <c r="AM212" s="580"/>
      <c r="AN212" s="579"/>
      <c r="AO212" s="577"/>
      <c r="AP212" s="579"/>
      <c r="AQ212" s="580"/>
      <c r="AR212" s="579"/>
      <c r="AS212" s="579"/>
      <c r="AT212" s="579"/>
      <c r="AU212" s="580"/>
      <c r="AV212" s="579"/>
      <c r="AW212" s="579"/>
      <c r="AX212" s="158"/>
      <c r="AY212" s="154"/>
      <c r="AZ212">
        <f ca="1">INDIRECT(ADDRESS(ROW()+1,COLUMN(Arbeitszeit!xDay),,,"Arbeitszeit"))</f>
        <v>4</v>
      </c>
    </row>
    <row r="213" spans="1:52">
      <c r="A213" s="520">
        <f>Arbeitszeit!A214</f>
        <v>43673</v>
      </c>
      <c r="B213" s="521">
        <f t="shared" si="12"/>
        <v>43673</v>
      </c>
      <c r="C213" s="191">
        <f t="shared" si="13"/>
        <v>30</v>
      </c>
      <c r="D213" s="190">
        <f t="shared" si="14"/>
        <v>43646</v>
      </c>
      <c r="E213" s="589">
        <f>Arbeitszeit!V214*24</f>
        <v>0</v>
      </c>
      <c r="F213" s="349">
        <f t="shared" si="15"/>
        <v>0</v>
      </c>
      <c r="G213" s="155">
        <f>IF(Arbeitszeit!F214=Urlaub,B_WorkTime*24,)</f>
        <v>0</v>
      </c>
      <c r="H213" s="153"/>
      <c r="I213" s="155">
        <f>IF(Arbeitszeit!F214=Krank,B_WorkTime*24,)</f>
        <v>0</v>
      </c>
      <c r="J213" s="153"/>
      <c r="K213" s="156"/>
      <c r="L213" s="157"/>
      <c r="M213" s="577"/>
      <c r="N213" s="578"/>
      <c r="O213" s="577"/>
      <c r="P213" s="578"/>
      <c r="Q213" s="577"/>
      <c r="R213" s="578"/>
      <c r="S213" s="577"/>
      <c r="T213" s="578"/>
      <c r="U213" s="577"/>
      <c r="V213" s="578"/>
      <c r="W213" s="577"/>
      <c r="X213" s="578"/>
      <c r="Y213" s="577"/>
      <c r="Z213" s="578"/>
      <c r="AA213" s="577"/>
      <c r="AB213" s="578"/>
      <c r="AC213" s="577"/>
      <c r="AD213" s="578"/>
      <c r="AE213" s="577"/>
      <c r="AF213" s="579"/>
      <c r="AG213" s="577"/>
      <c r="AH213" s="579"/>
      <c r="AI213" s="577"/>
      <c r="AJ213" s="579"/>
      <c r="AK213" s="577"/>
      <c r="AL213" s="579"/>
      <c r="AM213" s="580"/>
      <c r="AN213" s="579"/>
      <c r="AO213" s="577"/>
      <c r="AP213" s="579"/>
      <c r="AQ213" s="580"/>
      <c r="AR213" s="579"/>
      <c r="AS213" s="579"/>
      <c r="AT213" s="579"/>
      <c r="AU213" s="580"/>
      <c r="AV213" s="579"/>
      <c r="AW213" s="579"/>
      <c r="AX213" s="158"/>
      <c r="AY213" s="154"/>
      <c r="AZ213">
        <f ca="1">INDIRECT(ADDRESS(ROW()+1,COLUMN(Arbeitszeit!xDay),,,"Arbeitszeit"))</f>
        <v>5</v>
      </c>
    </row>
    <row r="214" spans="1:52">
      <c r="A214" s="520">
        <f>Arbeitszeit!A215</f>
        <v>43674</v>
      </c>
      <c r="B214" s="521">
        <f t="shared" si="12"/>
        <v>43674</v>
      </c>
      <c r="C214" s="191">
        <f t="shared" si="13"/>
        <v>30</v>
      </c>
      <c r="D214" s="190">
        <f t="shared" si="14"/>
        <v>43646</v>
      </c>
      <c r="E214" s="589">
        <f>Arbeitszeit!V215*24</f>
        <v>0</v>
      </c>
      <c r="F214" s="349">
        <f t="shared" si="15"/>
        <v>0</v>
      </c>
      <c r="G214" s="155">
        <f>IF(Arbeitszeit!F215=Urlaub,B_WorkTime*24,)</f>
        <v>0</v>
      </c>
      <c r="H214" s="153"/>
      <c r="I214" s="155">
        <f>IF(Arbeitszeit!F215=Krank,B_WorkTime*24,)</f>
        <v>0</v>
      </c>
      <c r="J214" s="153"/>
      <c r="K214" s="156"/>
      <c r="L214" s="157"/>
      <c r="M214" s="577"/>
      <c r="N214" s="578"/>
      <c r="O214" s="577"/>
      <c r="P214" s="578"/>
      <c r="Q214" s="577"/>
      <c r="R214" s="578"/>
      <c r="S214" s="577"/>
      <c r="T214" s="578"/>
      <c r="U214" s="577"/>
      <c r="V214" s="578"/>
      <c r="W214" s="577"/>
      <c r="X214" s="578"/>
      <c r="Y214" s="577"/>
      <c r="Z214" s="578"/>
      <c r="AA214" s="577"/>
      <c r="AB214" s="578"/>
      <c r="AC214" s="577"/>
      <c r="AD214" s="578"/>
      <c r="AE214" s="577"/>
      <c r="AF214" s="579"/>
      <c r="AG214" s="577"/>
      <c r="AH214" s="579"/>
      <c r="AI214" s="577"/>
      <c r="AJ214" s="579"/>
      <c r="AK214" s="577"/>
      <c r="AL214" s="579"/>
      <c r="AM214" s="580"/>
      <c r="AN214" s="579"/>
      <c r="AO214" s="577"/>
      <c r="AP214" s="579"/>
      <c r="AQ214" s="580"/>
      <c r="AR214" s="579"/>
      <c r="AS214" s="579"/>
      <c r="AT214" s="579"/>
      <c r="AU214" s="580"/>
      <c r="AV214" s="579"/>
      <c r="AW214" s="579"/>
      <c r="AX214" s="158"/>
      <c r="AY214" s="154"/>
      <c r="AZ214">
        <f ca="1">INDIRECT(ADDRESS(ROW()+1,COLUMN(Arbeitszeit!xDay),,,"Arbeitszeit"))</f>
        <v>6</v>
      </c>
    </row>
    <row r="215" spans="1:52">
      <c r="A215" s="520">
        <f>Arbeitszeit!A216</f>
        <v>43675</v>
      </c>
      <c r="B215" s="521">
        <f t="shared" si="12"/>
        <v>43675</v>
      </c>
      <c r="C215" s="191">
        <f t="shared" si="13"/>
        <v>30</v>
      </c>
      <c r="D215" s="190">
        <f t="shared" si="14"/>
        <v>43646</v>
      </c>
      <c r="E215" s="589">
        <f>Arbeitszeit!V216*24</f>
        <v>0</v>
      </c>
      <c r="F215" s="349">
        <f t="shared" si="15"/>
        <v>0</v>
      </c>
      <c r="G215" s="155">
        <f>IF(Arbeitszeit!F216=Urlaub,B_WorkTime*24,)</f>
        <v>0</v>
      </c>
      <c r="H215" s="153"/>
      <c r="I215" s="155">
        <f>IF(Arbeitszeit!F216=Krank,B_WorkTime*24,)</f>
        <v>0</v>
      </c>
      <c r="J215" s="153"/>
      <c r="K215" s="156"/>
      <c r="L215" s="157"/>
      <c r="M215" s="577"/>
      <c r="N215" s="578"/>
      <c r="O215" s="577"/>
      <c r="P215" s="578"/>
      <c r="Q215" s="577"/>
      <c r="R215" s="578"/>
      <c r="S215" s="577"/>
      <c r="T215" s="578"/>
      <c r="U215" s="577"/>
      <c r="V215" s="578"/>
      <c r="W215" s="577"/>
      <c r="X215" s="578"/>
      <c r="Y215" s="577"/>
      <c r="Z215" s="578"/>
      <c r="AA215" s="577"/>
      <c r="AB215" s="578"/>
      <c r="AC215" s="577"/>
      <c r="AD215" s="578"/>
      <c r="AE215" s="577"/>
      <c r="AF215" s="579"/>
      <c r="AG215" s="577"/>
      <c r="AH215" s="579"/>
      <c r="AI215" s="577"/>
      <c r="AJ215" s="579"/>
      <c r="AK215" s="577"/>
      <c r="AL215" s="579"/>
      <c r="AM215" s="580"/>
      <c r="AN215" s="579"/>
      <c r="AO215" s="577"/>
      <c r="AP215" s="579"/>
      <c r="AQ215" s="580"/>
      <c r="AR215" s="579"/>
      <c r="AS215" s="579"/>
      <c r="AT215" s="579"/>
      <c r="AU215" s="580"/>
      <c r="AV215" s="579"/>
      <c r="AW215" s="579"/>
      <c r="AX215" s="158"/>
      <c r="AY215" s="154"/>
      <c r="AZ215">
        <f ca="1">INDIRECT(ADDRESS(ROW()+1,COLUMN(Arbeitszeit!xDay),,,"Arbeitszeit"))</f>
        <v>7</v>
      </c>
    </row>
    <row r="216" spans="1:52">
      <c r="A216" s="520">
        <f>Arbeitszeit!A217</f>
        <v>43676</v>
      </c>
      <c r="B216" s="521">
        <f t="shared" si="12"/>
        <v>43676</v>
      </c>
      <c r="C216" s="191">
        <f t="shared" si="13"/>
        <v>31</v>
      </c>
      <c r="D216" s="190">
        <f t="shared" si="14"/>
        <v>43646</v>
      </c>
      <c r="E216" s="589">
        <f>Arbeitszeit!V217*24</f>
        <v>0</v>
      </c>
      <c r="F216" s="349">
        <f t="shared" si="15"/>
        <v>0</v>
      </c>
      <c r="G216" s="155">
        <f>IF(Arbeitszeit!F217=Urlaub,B_WorkTime*24,)</f>
        <v>0</v>
      </c>
      <c r="H216" s="153"/>
      <c r="I216" s="155">
        <f>IF(Arbeitszeit!F217=Krank,B_WorkTime*24,)</f>
        <v>0</v>
      </c>
      <c r="J216" s="153"/>
      <c r="K216" s="156"/>
      <c r="L216" s="157"/>
      <c r="M216" s="577"/>
      <c r="N216" s="578"/>
      <c r="O216" s="577"/>
      <c r="P216" s="578"/>
      <c r="Q216" s="577"/>
      <c r="R216" s="578"/>
      <c r="S216" s="577"/>
      <c r="T216" s="578"/>
      <c r="U216" s="577"/>
      <c r="V216" s="578"/>
      <c r="W216" s="577"/>
      <c r="X216" s="578"/>
      <c r="Y216" s="577"/>
      <c r="Z216" s="578"/>
      <c r="AA216" s="577"/>
      <c r="AB216" s="578"/>
      <c r="AC216" s="577"/>
      <c r="AD216" s="578"/>
      <c r="AE216" s="577"/>
      <c r="AF216" s="579"/>
      <c r="AG216" s="577"/>
      <c r="AH216" s="579"/>
      <c r="AI216" s="577"/>
      <c r="AJ216" s="579"/>
      <c r="AK216" s="577"/>
      <c r="AL216" s="579"/>
      <c r="AM216" s="580"/>
      <c r="AN216" s="579"/>
      <c r="AO216" s="577"/>
      <c r="AP216" s="579"/>
      <c r="AQ216" s="580"/>
      <c r="AR216" s="579"/>
      <c r="AS216" s="579"/>
      <c r="AT216" s="579"/>
      <c r="AU216" s="580"/>
      <c r="AV216" s="579"/>
      <c r="AW216" s="579"/>
      <c r="AX216" s="158"/>
      <c r="AY216" s="154"/>
      <c r="AZ216">
        <f ca="1">INDIRECT(ADDRESS(ROW()+1,COLUMN(Arbeitszeit!xDay),,,"Arbeitszeit"))</f>
        <v>1</v>
      </c>
    </row>
    <row r="217" spans="1:52">
      <c r="A217" s="520">
        <f>Arbeitszeit!A218</f>
        <v>43677</v>
      </c>
      <c r="B217" s="521">
        <f t="shared" si="12"/>
        <v>43677</v>
      </c>
      <c r="C217" s="191">
        <f t="shared" si="13"/>
        <v>31</v>
      </c>
      <c r="D217" s="190">
        <f t="shared" si="14"/>
        <v>43677</v>
      </c>
      <c r="E217" s="589">
        <f>Arbeitszeit!V218*24</f>
        <v>0</v>
      </c>
      <c r="F217" s="349">
        <f t="shared" si="15"/>
        <v>0</v>
      </c>
      <c r="G217" s="155">
        <f>IF(Arbeitszeit!F218=Urlaub,B_WorkTime*24,)</f>
        <v>0</v>
      </c>
      <c r="H217" s="153"/>
      <c r="I217" s="155">
        <f>IF(Arbeitszeit!F218=Krank,B_WorkTime*24,)</f>
        <v>0</v>
      </c>
      <c r="J217" s="153"/>
      <c r="K217" s="156"/>
      <c r="L217" s="157"/>
      <c r="M217" s="577"/>
      <c r="N217" s="578"/>
      <c r="O217" s="577"/>
      <c r="P217" s="578"/>
      <c r="Q217" s="577"/>
      <c r="R217" s="578"/>
      <c r="S217" s="577"/>
      <c r="T217" s="578"/>
      <c r="U217" s="577"/>
      <c r="V217" s="578"/>
      <c r="W217" s="577"/>
      <c r="X217" s="578"/>
      <c r="Y217" s="577"/>
      <c r="Z217" s="578"/>
      <c r="AA217" s="577"/>
      <c r="AB217" s="578"/>
      <c r="AC217" s="577"/>
      <c r="AD217" s="578"/>
      <c r="AE217" s="577"/>
      <c r="AF217" s="579"/>
      <c r="AG217" s="577"/>
      <c r="AH217" s="579"/>
      <c r="AI217" s="577"/>
      <c r="AJ217" s="579"/>
      <c r="AK217" s="577"/>
      <c r="AL217" s="579"/>
      <c r="AM217" s="580"/>
      <c r="AN217" s="579"/>
      <c r="AO217" s="577"/>
      <c r="AP217" s="579"/>
      <c r="AQ217" s="580"/>
      <c r="AR217" s="579"/>
      <c r="AS217" s="579"/>
      <c r="AT217" s="579"/>
      <c r="AU217" s="580"/>
      <c r="AV217" s="579"/>
      <c r="AW217" s="579"/>
      <c r="AX217" s="158"/>
      <c r="AY217" s="154"/>
      <c r="AZ217">
        <f ca="1">INDIRECT(ADDRESS(ROW()+1,COLUMN(Arbeitszeit!xDay),,,"Arbeitszeit"))</f>
        <v>2</v>
      </c>
    </row>
    <row r="218" spans="1:52">
      <c r="A218" s="520">
        <f>Arbeitszeit!A219</f>
        <v>43678</v>
      </c>
      <c r="B218" s="521">
        <f t="shared" si="12"/>
        <v>43678</v>
      </c>
      <c r="C218" s="191">
        <f t="shared" si="13"/>
        <v>31</v>
      </c>
      <c r="D218" s="190">
        <f t="shared" si="14"/>
        <v>43677</v>
      </c>
      <c r="E218" s="589">
        <f>Arbeitszeit!V219*24</f>
        <v>0</v>
      </c>
      <c r="F218" s="349">
        <f t="shared" si="15"/>
        <v>0</v>
      </c>
      <c r="G218" s="155">
        <f>IF(Arbeitszeit!F219=Urlaub,B_WorkTime*24,)</f>
        <v>0</v>
      </c>
      <c r="H218" s="153"/>
      <c r="I218" s="155">
        <f>IF(Arbeitszeit!F219=Krank,B_WorkTime*24,)</f>
        <v>0</v>
      </c>
      <c r="J218" s="153"/>
      <c r="K218" s="156"/>
      <c r="L218" s="157"/>
      <c r="M218" s="577"/>
      <c r="N218" s="578"/>
      <c r="O218" s="577"/>
      <c r="P218" s="578"/>
      <c r="Q218" s="577"/>
      <c r="R218" s="578"/>
      <c r="S218" s="577"/>
      <c r="T218" s="578"/>
      <c r="U218" s="577"/>
      <c r="V218" s="578"/>
      <c r="W218" s="577"/>
      <c r="X218" s="578"/>
      <c r="Y218" s="577"/>
      <c r="Z218" s="578"/>
      <c r="AA218" s="577"/>
      <c r="AB218" s="578"/>
      <c r="AC218" s="577"/>
      <c r="AD218" s="578"/>
      <c r="AE218" s="577"/>
      <c r="AF218" s="579"/>
      <c r="AG218" s="577"/>
      <c r="AH218" s="579"/>
      <c r="AI218" s="577"/>
      <c r="AJ218" s="579"/>
      <c r="AK218" s="577"/>
      <c r="AL218" s="579"/>
      <c r="AM218" s="580"/>
      <c r="AN218" s="579"/>
      <c r="AO218" s="577"/>
      <c r="AP218" s="579"/>
      <c r="AQ218" s="580"/>
      <c r="AR218" s="579"/>
      <c r="AS218" s="579"/>
      <c r="AT218" s="579"/>
      <c r="AU218" s="580"/>
      <c r="AV218" s="579"/>
      <c r="AW218" s="579"/>
      <c r="AX218" s="158"/>
      <c r="AY218" s="154"/>
      <c r="AZ218">
        <f ca="1">INDIRECT(ADDRESS(ROW()+1,COLUMN(Arbeitszeit!xDay),,,"Arbeitszeit"))</f>
        <v>3</v>
      </c>
    </row>
    <row r="219" spans="1:52">
      <c r="A219" s="520">
        <f>Arbeitszeit!A220</f>
        <v>43679</v>
      </c>
      <c r="B219" s="521">
        <f t="shared" si="12"/>
        <v>43679</v>
      </c>
      <c r="C219" s="191">
        <f t="shared" si="13"/>
        <v>31</v>
      </c>
      <c r="D219" s="190">
        <f t="shared" si="14"/>
        <v>43677</v>
      </c>
      <c r="E219" s="589">
        <f>Arbeitszeit!V220*24</f>
        <v>0</v>
      </c>
      <c r="F219" s="349">
        <f t="shared" si="15"/>
        <v>0</v>
      </c>
      <c r="G219" s="155">
        <f>IF(Arbeitszeit!F220=Urlaub,B_WorkTime*24,)</f>
        <v>0</v>
      </c>
      <c r="H219" s="153"/>
      <c r="I219" s="155">
        <f>IF(Arbeitszeit!F220=Krank,B_WorkTime*24,)</f>
        <v>0</v>
      </c>
      <c r="J219" s="153"/>
      <c r="K219" s="156"/>
      <c r="L219" s="157"/>
      <c r="M219" s="577"/>
      <c r="N219" s="578"/>
      <c r="O219" s="577"/>
      <c r="P219" s="578"/>
      <c r="Q219" s="577"/>
      <c r="R219" s="578"/>
      <c r="S219" s="577"/>
      <c r="T219" s="578"/>
      <c r="U219" s="577"/>
      <c r="V219" s="578"/>
      <c r="W219" s="577"/>
      <c r="X219" s="578"/>
      <c r="Y219" s="577"/>
      <c r="Z219" s="578"/>
      <c r="AA219" s="577"/>
      <c r="AB219" s="578"/>
      <c r="AC219" s="577"/>
      <c r="AD219" s="578"/>
      <c r="AE219" s="577"/>
      <c r="AF219" s="579"/>
      <c r="AG219" s="577"/>
      <c r="AH219" s="579"/>
      <c r="AI219" s="577"/>
      <c r="AJ219" s="579"/>
      <c r="AK219" s="577"/>
      <c r="AL219" s="579"/>
      <c r="AM219" s="580"/>
      <c r="AN219" s="579"/>
      <c r="AO219" s="577"/>
      <c r="AP219" s="579"/>
      <c r="AQ219" s="580"/>
      <c r="AR219" s="579"/>
      <c r="AS219" s="579"/>
      <c r="AT219" s="579"/>
      <c r="AU219" s="580"/>
      <c r="AV219" s="579"/>
      <c r="AW219" s="579"/>
      <c r="AX219" s="158"/>
      <c r="AY219" s="154"/>
      <c r="AZ219">
        <f ca="1">INDIRECT(ADDRESS(ROW()+1,COLUMN(Arbeitszeit!xDay),,,"Arbeitszeit"))</f>
        <v>4</v>
      </c>
    </row>
    <row r="220" spans="1:52">
      <c r="A220" s="520">
        <f>Arbeitszeit!A221</f>
        <v>43680</v>
      </c>
      <c r="B220" s="521">
        <f t="shared" si="12"/>
        <v>43680</v>
      </c>
      <c r="C220" s="191">
        <f t="shared" si="13"/>
        <v>31</v>
      </c>
      <c r="D220" s="190">
        <f t="shared" si="14"/>
        <v>43677</v>
      </c>
      <c r="E220" s="589">
        <f>Arbeitszeit!V221*24</f>
        <v>0</v>
      </c>
      <c r="F220" s="349">
        <f t="shared" si="15"/>
        <v>0</v>
      </c>
      <c r="G220" s="155">
        <f>IF(Arbeitszeit!F221=Urlaub,B_WorkTime*24,)</f>
        <v>0</v>
      </c>
      <c r="H220" s="153"/>
      <c r="I220" s="155">
        <f>IF(Arbeitszeit!F221=Krank,B_WorkTime*24,)</f>
        <v>0</v>
      </c>
      <c r="J220" s="153"/>
      <c r="K220" s="156"/>
      <c r="L220" s="157"/>
      <c r="M220" s="577"/>
      <c r="N220" s="578"/>
      <c r="O220" s="577"/>
      <c r="P220" s="578"/>
      <c r="Q220" s="577"/>
      <c r="R220" s="578"/>
      <c r="S220" s="577"/>
      <c r="T220" s="578"/>
      <c r="U220" s="577"/>
      <c r="V220" s="578"/>
      <c r="W220" s="577"/>
      <c r="X220" s="578"/>
      <c r="Y220" s="577"/>
      <c r="Z220" s="578"/>
      <c r="AA220" s="577"/>
      <c r="AB220" s="578"/>
      <c r="AC220" s="577"/>
      <c r="AD220" s="578"/>
      <c r="AE220" s="577"/>
      <c r="AF220" s="579"/>
      <c r="AG220" s="577"/>
      <c r="AH220" s="579"/>
      <c r="AI220" s="577"/>
      <c r="AJ220" s="579"/>
      <c r="AK220" s="577"/>
      <c r="AL220" s="579"/>
      <c r="AM220" s="580"/>
      <c r="AN220" s="579"/>
      <c r="AO220" s="577"/>
      <c r="AP220" s="579"/>
      <c r="AQ220" s="580"/>
      <c r="AR220" s="579"/>
      <c r="AS220" s="579"/>
      <c r="AT220" s="579"/>
      <c r="AU220" s="580"/>
      <c r="AV220" s="579"/>
      <c r="AW220" s="579"/>
      <c r="AX220" s="158"/>
      <c r="AY220" s="154"/>
      <c r="AZ220">
        <f ca="1">INDIRECT(ADDRESS(ROW()+1,COLUMN(Arbeitszeit!xDay),,,"Arbeitszeit"))</f>
        <v>5</v>
      </c>
    </row>
    <row r="221" spans="1:52">
      <c r="A221" s="520">
        <f>Arbeitszeit!A222</f>
        <v>43681</v>
      </c>
      <c r="B221" s="521">
        <f t="shared" si="12"/>
        <v>43681</v>
      </c>
      <c r="C221" s="191">
        <f t="shared" si="13"/>
        <v>31</v>
      </c>
      <c r="D221" s="190">
        <f t="shared" si="14"/>
        <v>43677</v>
      </c>
      <c r="E221" s="589">
        <f>Arbeitszeit!V222*24</f>
        <v>0</v>
      </c>
      <c r="F221" s="349">
        <f t="shared" si="15"/>
        <v>0</v>
      </c>
      <c r="G221" s="155">
        <f>IF(Arbeitszeit!F222=Urlaub,B_WorkTime*24,)</f>
        <v>0</v>
      </c>
      <c r="H221" s="153"/>
      <c r="I221" s="155">
        <f>IF(Arbeitszeit!F222=Krank,B_WorkTime*24,)</f>
        <v>0</v>
      </c>
      <c r="J221" s="153"/>
      <c r="K221" s="156"/>
      <c r="L221" s="157"/>
      <c r="M221" s="577"/>
      <c r="N221" s="578"/>
      <c r="O221" s="577"/>
      <c r="P221" s="578"/>
      <c r="Q221" s="577"/>
      <c r="R221" s="578"/>
      <c r="S221" s="577"/>
      <c r="T221" s="578"/>
      <c r="U221" s="577"/>
      <c r="V221" s="578"/>
      <c r="W221" s="577"/>
      <c r="X221" s="578"/>
      <c r="Y221" s="577"/>
      <c r="Z221" s="578"/>
      <c r="AA221" s="577"/>
      <c r="AB221" s="578"/>
      <c r="AC221" s="577"/>
      <c r="AD221" s="578"/>
      <c r="AE221" s="577"/>
      <c r="AF221" s="579"/>
      <c r="AG221" s="577"/>
      <c r="AH221" s="579"/>
      <c r="AI221" s="577"/>
      <c r="AJ221" s="579"/>
      <c r="AK221" s="577"/>
      <c r="AL221" s="579"/>
      <c r="AM221" s="580"/>
      <c r="AN221" s="579"/>
      <c r="AO221" s="577"/>
      <c r="AP221" s="579"/>
      <c r="AQ221" s="580"/>
      <c r="AR221" s="579"/>
      <c r="AS221" s="579"/>
      <c r="AT221" s="579"/>
      <c r="AU221" s="580"/>
      <c r="AV221" s="579"/>
      <c r="AW221" s="579"/>
      <c r="AX221" s="158"/>
      <c r="AY221" s="154"/>
      <c r="AZ221">
        <f ca="1">INDIRECT(ADDRESS(ROW()+1,COLUMN(Arbeitszeit!xDay),,,"Arbeitszeit"))</f>
        <v>6</v>
      </c>
    </row>
    <row r="222" spans="1:52">
      <c r="A222" s="520">
        <f>Arbeitszeit!A223</f>
        <v>43682</v>
      </c>
      <c r="B222" s="521">
        <f t="shared" si="12"/>
        <v>43682</v>
      </c>
      <c r="C222" s="191">
        <f t="shared" si="13"/>
        <v>31</v>
      </c>
      <c r="D222" s="190">
        <f t="shared" si="14"/>
        <v>43677</v>
      </c>
      <c r="E222" s="589">
        <f>Arbeitszeit!V223*24</f>
        <v>0</v>
      </c>
      <c r="F222" s="349">
        <f t="shared" si="15"/>
        <v>0</v>
      </c>
      <c r="G222" s="155">
        <f>IF(Arbeitszeit!F223=Urlaub,B_WorkTime*24,)</f>
        <v>0</v>
      </c>
      <c r="H222" s="153"/>
      <c r="I222" s="155">
        <f>IF(Arbeitszeit!F223=Krank,B_WorkTime*24,)</f>
        <v>0</v>
      </c>
      <c r="J222" s="153"/>
      <c r="K222" s="156"/>
      <c r="L222" s="157"/>
      <c r="M222" s="577"/>
      <c r="N222" s="578"/>
      <c r="O222" s="577"/>
      <c r="P222" s="578"/>
      <c r="Q222" s="577"/>
      <c r="R222" s="578"/>
      <c r="S222" s="577"/>
      <c r="T222" s="578"/>
      <c r="U222" s="577"/>
      <c r="V222" s="578"/>
      <c r="W222" s="577"/>
      <c r="X222" s="578"/>
      <c r="Y222" s="577"/>
      <c r="Z222" s="578"/>
      <c r="AA222" s="577"/>
      <c r="AB222" s="578"/>
      <c r="AC222" s="577"/>
      <c r="AD222" s="578"/>
      <c r="AE222" s="577"/>
      <c r="AF222" s="579"/>
      <c r="AG222" s="577"/>
      <c r="AH222" s="579"/>
      <c r="AI222" s="577"/>
      <c r="AJ222" s="579"/>
      <c r="AK222" s="577"/>
      <c r="AL222" s="579"/>
      <c r="AM222" s="580"/>
      <c r="AN222" s="579"/>
      <c r="AO222" s="577"/>
      <c r="AP222" s="579"/>
      <c r="AQ222" s="580"/>
      <c r="AR222" s="579"/>
      <c r="AS222" s="579"/>
      <c r="AT222" s="579"/>
      <c r="AU222" s="580"/>
      <c r="AV222" s="579"/>
      <c r="AW222" s="579"/>
      <c r="AX222" s="158"/>
      <c r="AY222" s="154"/>
      <c r="AZ222">
        <f ca="1">INDIRECT(ADDRESS(ROW()+1,COLUMN(Arbeitszeit!xDay),,,"Arbeitszeit"))</f>
        <v>7</v>
      </c>
    </row>
    <row r="223" spans="1:52">
      <c r="A223" s="520">
        <f>Arbeitszeit!A224</f>
        <v>43683</v>
      </c>
      <c r="B223" s="521">
        <f t="shared" si="12"/>
        <v>43683</v>
      </c>
      <c r="C223" s="191">
        <f t="shared" si="13"/>
        <v>32</v>
      </c>
      <c r="D223" s="190">
        <f t="shared" si="14"/>
        <v>43677</v>
      </c>
      <c r="E223" s="589">
        <f>Arbeitszeit!V224*24</f>
        <v>0</v>
      </c>
      <c r="F223" s="349">
        <f t="shared" si="15"/>
        <v>0</v>
      </c>
      <c r="G223" s="155">
        <f>IF(Arbeitszeit!F224=Urlaub,B_WorkTime*24,)</f>
        <v>0</v>
      </c>
      <c r="H223" s="153"/>
      <c r="I223" s="155">
        <f>IF(Arbeitszeit!F224=Krank,B_WorkTime*24,)</f>
        <v>0</v>
      </c>
      <c r="J223" s="153"/>
      <c r="K223" s="156"/>
      <c r="L223" s="157"/>
      <c r="M223" s="577"/>
      <c r="N223" s="578"/>
      <c r="O223" s="577"/>
      <c r="P223" s="578"/>
      <c r="Q223" s="577"/>
      <c r="R223" s="578"/>
      <c r="S223" s="577"/>
      <c r="T223" s="578"/>
      <c r="U223" s="577"/>
      <c r="V223" s="578"/>
      <c r="W223" s="577"/>
      <c r="X223" s="578"/>
      <c r="Y223" s="577"/>
      <c r="Z223" s="578"/>
      <c r="AA223" s="577"/>
      <c r="AB223" s="578"/>
      <c r="AC223" s="577"/>
      <c r="AD223" s="578"/>
      <c r="AE223" s="577"/>
      <c r="AF223" s="579"/>
      <c r="AG223" s="577"/>
      <c r="AH223" s="579"/>
      <c r="AI223" s="577"/>
      <c r="AJ223" s="579"/>
      <c r="AK223" s="577"/>
      <c r="AL223" s="579"/>
      <c r="AM223" s="580"/>
      <c r="AN223" s="579"/>
      <c r="AO223" s="577"/>
      <c r="AP223" s="579"/>
      <c r="AQ223" s="580"/>
      <c r="AR223" s="579"/>
      <c r="AS223" s="579"/>
      <c r="AT223" s="579"/>
      <c r="AU223" s="580"/>
      <c r="AV223" s="579"/>
      <c r="AW223" s="579"/>
      <c r="AX223" s="158"/>
      <c r="AY223" s="154"/>
      <c r="AZ223">
        <f ca="1">INDIRECT(ADDRESS(ROW()+1,COLUMN(Arbeitszeit!xDay),,,"Arbeitszeit"))</f>
        <v>1</v>
      </c>
    </row>
    <row r="224" spans="1:52">
      <c r="A224" s="520">
        <f>Arbeitszeit!A225</f>
        <v>43684</v>
      </c>
      <c r="B224" s="521">
        <f t="shared" si="12"/>
        <v>43684</v>
      </c>
      <c r="C224" s="191">
        <f t="shared" si="13"/>
        <v>32</v>
      </c>
      <c r="D224" s="190">
        <f t="shared" si="14"/>
        <v>43677</v>
      </c>
      <c r="E224" s="589">
        <f>Arbeitszeit!V225*24</f>
        <v>0</v>
      </c>
      <c r="F224" s="349">
        <f t="shared" si="15"/>
        <v>0</v>
      </c>
      <c r="G224" s="155">
        <f>IF(Arbeitszeit!F225=Urlaub,B_WorkTime*24,)</f>
        <v>0</v>
      </c>
      <c r="H224" s="153"/>
      <c r="I224" s="155">
        <f>IF(Arbeitszeit!F225=Krank,B_WorkTime*24,)</f>
        <v>0</v>
      </c>
      <c r="J224" s="153"/>
      <c r="K224" s="156"/>
      <c r="L224" s="157"/>
      <c r="M224" s="577"/>
      <c r="N224" s="578"/>
      <c r="O224" s="577"/>
      <c r="P224" s="578"/>
      <c r="Q224" s="577"/>
      <c r="R224" s="578"/>
      <c r="S224" s="577"/>
      <c r="T224" s="578"/>
      <c r="U224" s="577"/>
      <c r="V224" s="578"/>
      <c r="W224" s="577"/>
      <c r="X224" s="578"/>
      <c r="Y224" s="577"/>
      <c r="Z224" s="578"/>
      <c r="AA224" s="577"/>
      <c r="AB224" s="578"/>
      <c r="AC224" s="577"/>
      <c r="AD224" s="578"/>
      <c r="AE224" s="577"/>
      <c r="AF224" s="579"/>
      <c r="AG224" s="577"/>
      <c r="AH224" s="579"/>
      <c r="AI224" s="577"/>
      <c r="AJ224" s="579"/>
      <c r="AK224" s="577"/>
      <c r="AL224" s="579"/>
      <c r="AM224" s="580"/>
      <c r="AN224" s="579"/>
      <c r="AO224" s="577"/>
      <c r="AP224" s="579"/>
      <c r="AQ224" s="580"/>
      <c r="AR224" s="579"/>
      <c r="AS224" s="579"/>
      <c r="AT224" s="579"/>
      <c r="AU224" s="580"/>
      <c r="AV224" s="579"/>
      <c r="AW224" s="579"/>
      <c r="AX224" s="158"/>
      <c r="AY224" s="154"/>
      <c r="AZ224">
        <f ca="1">INDIRECT(ADDRESS(ROW()+1,COLUMN(Arbeitszeit!xDay),,,"Arbeitszeit"))</f>
        <v>2</v>
      </c>
    </row>
    <row r="225" spans="1:52">
      <c r="A225" s="520">
        <f>Arbeitszeit!A226</f>
        <v>43685</v>
      </c>
      <c r="B225" s="521">
        <f t="shared" si="12"/>
        <v>43685</v>
      </c>
      <c r="C225" s="191">
        <f t="shared" si="13"/>
        <v>32</v>
      </c>
      <c r="D225" s="190">
        <f t="shared" si="14"/>
        <v>43677</v>
      </c>
      <c r="E225" s="589">
        <f>Arbeitszeit!V226*24</f>
        <v>0</v>
      </c>
      <c r="F225" s="349">
        <f t="shared" si="15"/>
        <v>0</v>
      </c>
      <c r="G225" s="155">
        <f>IF(Arbeitszeit!F226=Urlaub,B_WorkTime*24,)</f>
        <v>0</v>
      </c>
      <c r="H225" s="153"/>
      <c r="I225" s="155">
        <f>IF(Arbeitszeit!F226=Krank,B_WorkTime*24,)</f>
        <v>0</v>
      </c>
      <c r="J225" s="153"/>
      <c r="K225" s="156"/>
      <c r="L225" s="157"/>
      <c r="M225" s="577"/>
      <c r="N225" s="578"/>
      <c r="O225" s="577"/>
      <c r="P225" s="578"/>
      <c r="Q225" s="577"/>
      <c r="R225" s="578"/>
      <c r="S225" s="577"/>
      <c r="T225" s="578"/>
      <c r="U225" s="577"/>
      <c r="V225" s="578"/>
      <c r="W225" s="577"/>
      <c r="X225" s="578"/>
      <c r="Y225" s="577"/>
      <c r="Z225" s="578"/>
      <c r="AA225" s="577"/>
      <c r="AB225" s="578"/>
      <c r="AC225" s="577"/>
      <c r="AD225" s="578"/>
      <c r="AE225" s="577"/>
      <c r="AF225" s="579"/>
      <c r="AG225" s="577"/>
      <c r="AH225" s="579"/>
      <c r="AI225" s="577"/>
      <c r="AJ225" s="579"/>
      <c r="AK225" s="577"/>
      <c r="AL225" s="579"/>
      <c r="AM225" s="580"/>
      <c r="AN225" s="579"/>
      <c r="AO225" s="577"/>
      <c r="AP225" s="579"/>
      <c r="AQ225" s="580"/>
      <c r="AR225" s="579"/>
      <c r="AS225" s="579"/>
      <c r="AT225" s="579"/>
      <c r="AU225" s="580"/>
      <c r="AV225" s="579"/>
      <c r="AW225" s="579"/>
      <c r="AX225" s="158"/>
      <c r="AY225" s="154"/>
      <c r="AZ225">
        <f ca="1">INDIRECT(ADDRESS(ROW()+1,COLUMN(Arbeitszeit!xDay),,,"Arbeitszeit"))</f>
        <v>3</v>
      </c>
    </row>
    <row r="226" spans="1:52">
      <c r="A226" s="520">
        <f>Arbeitszeit!A227</f>
        <v>43686</v>
      </c>
      <c r="B226" s="521">
        <f t="shared" si="12"/>
        <v>43686</v>
      </c>
      <c r="C226" s="191">
        <f t="shared" si="13"/>
        <v>32</v>
      </c>
      <c r="D226" s="190">
        <f t="shared" si="14"/>
        <v>43677</v>
      </c>
      <c r="E226" s="589">
        <f>Arbeitszeit!V227*24</f>
        <v>0</v>
      </c>
      <c r="F226" s="349">
        <f t="shared" si="15"/>
        <v>0</v>
      </c>
      <c r="G226" s="155">
        <f>IF(Arbeitszeit!F227=Urlaub,B_WorkTime*24,)</f>
        <v>0</v>
      </c>
      <c r="H226" s="153"/>
      <c r="I226" s="155">
        <f>IF(Arbeitszeit!F227=Krank,B_WorkTime*24,)</f>
        <v>0</v>
      </c>
      <c r="J226" s="153"/>
      <c r="K226" s="156"/>
      <c r="L226" s="157"/>
      <c r="M226" s="577"/>
      <c r="N226" s="578"/>
      <c r="O226" s="577"/>
      <c r="P226" s="578"/>
      <c r="Q226" s="577"/>
      <c r="R226" s="578"/>
      <c r="S226" s="577"/>
      <c r="T226" s="578"/>
      <c r="U226" s="577"/>
      <c r="V226" s="578"/>
      <c r="W226" s="577"/>
      <c r="X226" s="578"/>
      <c r="Y226" s="577"/>
      <c r="Z226" s="578"/>
      <c r="AA226" s="577"/>
      <c r="AB226" s="578"/>
      <c r="AC226" s="577"/>
      <c r="AD226" s="578"/>
      <c r="AE226" s="577"/>
      <c r="AF226" s="579"/>
      <c r="AG226" s="577"/>
      <c r="AH226" s="579"/>
      <c r="AI226" s="577"/>
      <c r="AJ226" s="579"/>
      <c r="AK226" s="577"/>
      <c r="AL226" s="579"/>
      <c r="AM226" s="580"/>
      <c r="AN226" s="579"/>
      <c r="AO226" s="577"/>
      <c r="AP226" s="579"/>
      <c r="AQ226" s="580"/>
      <c r="AR226" s="579"/>
      <c r="AS226" s="579"/>
      <c r="AT226" s="579"/>
      <c r="AU226" s="580"/>
      <c r="AV226" s="579"/>
      <c r="AW226" s="579"/>
      <c r="AX226" s="158"/>
      <c r="AY226" s="154"/>
      <c r="AZ226">
        <f ca="1">INDIRECT(ADDRESS(ROW()+1,COLUMN(Arbeitszeit!xDay),,,"Arbeitszeit"))</f>
        <v>4</v>
      </c>
    </row>
    <row r="227" spans="1:52">
      <c r="A227" s="520">
        <f>Arbeitszeit!A228</f>
        <v>43687</v>
      </c>
      <c r="B227" s="521">
        <f t="shared" si="12"/>
        <v>43687</v>
      </c>
      <c r="C227" s="191">
        <f t="shared" si="13"/>
        <v>32</v>
      </c>
      <c r="D227" s="190">
        <f t="shared" si="14"/>
        <v>43677</v>
      </c>
      <c r="E227" s="589">
        <f>Arbeitszeit!V228*24</f>
        <v>0</v>
      </c>
      <c r="F227" s="349">
        <f t="shared" si="15"/>
        <v>0</v>
      </c>
      <c r="G227" s="155">
        <f>IF(Arbeitszeit!F228=Urlaub,B_WorkTime*24,)</f>
        <v>0</v>
      </c>
      <c r="H227" s="153"/>
      <c r="I227" s="155">
        <f>IF(Arbeitszeit!F228=Krank,B_WorkTime*24,)</f>
        <v>0</v>
      </c>
      <c r="J227" s="153"/>
      <c r="K227" s="156"/>
      <c r="L227" s="157"/>
      <c r="M227" s="577"/>
      <c r="N227" s="578"/>
      <c r="O227" s="577"/>
      <c r="P227" s="578"/>
      <c r="Q227" s="577"/>
      <c r="R227" s="578"/>
      <c r="S227" s="577"/>
      <c r="T227" s="578"/>
      <c r="U227" s="577"/>
      <c r="V227" s="578"/>
      <c r="W227" s="577"/>
      <c r="X227" s="578"/>
      <c r="Y227" s="577"/>
      <c r="Z227" s="578"/>
      <c r="AA227" s="577"/>
      <c r="AB227" s="578"/>
      <c r="AC227" s="577"/>
      <c r="AD227" s="578"/>
      <c r="AE227" s="577"/>
      <c r="AF227" s="579"/>
      <c r="AG227" s="577"/>
      <c r="AH227" s="579"/>
      <c r="AI227" s="577"/>
      <c r="AJ227" s="579"/>
      <c r="AK227" s="577"/>
      <c r="AL227" s="579"/>
      <c r="AM227" s="580"/>
      <c r="AN227" s="579"/>
      <c r="AO227" s="577"/>
      <c r="AP227" s="579"/>
      <c r="AQ227" s="580"/>
      <c r="AR227" s="579"/>
      <c r="AS227" s="579"/>
      <c r="AT227" s="579"/>
      <c r="AU227" s="580"/>
      <c r="AV227" s="579"/>
      <c r="AW227" s="579"/>
      <c r="AX227" s="158"/>
      <c r="AY227" s="154"/>
      <c r="AZ227">
        <f ca="1">INDIRECT(ADDRESS(ROW()+1,COLUMN(Arbeitszeit!xDay),,,"Arbeitszeit"))</f>
        <v>5</v>
      </c>
    </row>
    <row r="228" spans="1:52">
      <c r="A228" s="520">
        <f>Arbeitszeit!A229</f>
        <v>43688</v>
      </c>
      <c r="B228" s="521">
        <f t="shared" si="12"/>
        <v>43688</v>
      </c>
      <c r="C228" s="191">
        <f t="shared" si="13"/>
        <v>32</v>
      </c>
      <c r="D228" s="190">
        <f t="shared" si="14"/>
        <v>43677</v>
      </c>
      <c r="E228" s="589">
        <f>Arbeitszeit!V229*24</f>
        <v>0</v>
      </c>
      <c r="F228" s="349">
        <f t="shared" si="15"/>
        <v>0</v>
      </c>
      <c r="G228" s="155">
        <f>IF(Arbeitszeit!F229=Urlaub,B_WorkTime*24,)</f>
        <v>0</v>
      </c>
      <c r="H228" s="153"/>
      <c r="I228" s="155">
        <f>IF(Arbeitszeit!F229=Krank,B_WorkTime*24,)</f>
        <v>0</v>
      </c>
      <c r="J228" s="153"/>
      <c r="K228" s="156"/>
      <c r="L228" s="157"/>
      <c r="M228" s="577"/>
      <c r="N228" s="578"/>
      <c r="O228" s="577"/>
      <c r="P228" s="578"/>
      <c r="Q228" s="577"/>
      <c r="R228" s="578"/>
      <c r="S228" s="577"/>
      <c r="T228" s="578"/>
      <c r="U228" s="577"/>
      <c r="V228" s="578"/>
      <c r="W228" s="577"/>
      <c r="X228" s="578"/>
      <c r="Y228" s="577"/>
      <c r="Z228" s="578"/>
      <c r="AA228" s="577"/>
      <c r="AB228" s="578"/>
      <c r="AC228" s="577"/>
      <c r="AD228" s="578"/>
      <c r="AE228" s="577"/>
      <c r="AF228" s="579"/>
      <c r="AG228" s="577"/>
      <c r="AH228" s="579"/>
      <c r="AI228" s="577"/>
      <c r="AJ228" s="579"/>
      <c r="AK228" s="577"/>
      <c r="AL228" s="579"/>
      <c r="AM228" s="580"/>
      <c r="AN228" s="579"/>
      <c r="AO228" s="577"/>
      <c r="AP228" s="579"/>
      <c r="AQ228" s="580"/>
      <c r="AR228" s="579"/>
      <c r="AS228" s="579"/>
      <c r="AT228" s="579"/>
      <c r="AU228" s="580"/>
      <c r="AV228" s="579"/>
      <c r="AW228" s="579"/>
      <c r="AX228" s="158"/>
      <c r="AY228" s="154"/>
      <c r="AZ228">
        <f ca="1">INDIRECT(ADDRESS(ROW()+1,COLUMN(Arbeitszeit!xDay),,,"Arbeitszeit"))</f>
        <v>6</v>
      </c>
    </row>
    <row r="229" spans="1:52">
      <c r="A229" s="520">
        <f>Arbeitszeit!A230</f>
        <v>43689</v>
      </c>
      <c r="B229" s="521">
        <f t="shared" si="12"/>
        <v>43689</v>
      </c>
      <c r="C229" s="191">
        <f t="shared" si="13"/>
        <v>32</v>
      </c>
      <c r="D229" s="190">
        <f t="shared" si="14"/>
        <v>43677</v>
      </c>
      <c r="E229" s="589">
        <f>Arbeitszeit!V230*24</f>
        <v>0</v>
      </c>
      <c r="F229" s="349">
        <f t="shared" si="15"/>
        <v>0</v>
      </c>
      <c r="G229" s="155">
        <f>IF(Arbeitszeit!F230=Urlaub,B_WorkTime*24,)</f>
        <v>0</v>
      </c>
      <c r="H229" s="153"/>
      <c r="I229" s="155">
        <f>IF(Arbeitszeit!F230=Krank,B_WorkTime*24,)</f>
        <v>0</v>
      </c>
      <c r="J229" s="153"/>
      <c r="K229" s="156"/>
      <c r="L229" s="157"/>
      <c r="M229" s="577"/>
      <c r="N229" s="578"/>
      <c r="O229" s="577"/>
      <c r="P229" s="578"/>
      <c r="Q229" s="577"/>
      <c r="R229" s="578"/>
      <c r="S229" s="577"/>
      <c r="T229" s="578"/>
      <c r="U229" s="577"/>
      <c r="V229" s="578"/>
      <c r="W229" s="577"/>
      <c r="X229" s="578"/>
      <c r="Y229" s="577"/>
      <c r="Z229" s="578"/>
      <c r="AA229" s="577"/>
      <c r="AB229" s="578"/>
      <c r="AC229" s="577"/>
      <c r="AD229" s="578"/>
      <c r="AE229" s="577"/>
      <c r="AF229" s="579"/>
      <c r="AG229" s="577"/>
      <c r="AH229" s="579"/>
      <c r="AI229" s="577"/>
      <c r="AJ229" s="579"/>
      <c r="AK229" s="577"/>
      <c r="AL229" s="579"/>
      <c r="AM229" s="580"/>
      <c r="AN229" s="579"/>
      <c r="AO229" s="577"/>
      <c r="AP229" s="579"/>
      <c r="AQ229" s="580"/>
      <c r="AR229" s="579"/>
      <c r="AS229" s="579"/>
      <c r="AT229" s="579"/>
      <c r="AU229" s="580"/>
      <c r="AV229" s="579"/>
      <c r="AW229" s="579"/>
      <c r="AX229" s="158"/>
      <c r="AY229" s="154"/>
      <c r="AZ229">
        <f ca="1">INDIRECT(ADDRESS(ROW()+1,COLUMN(Arbeitszeit!xDay),,,"Arbeitszeit"))</f>
        <v>7</v>
      </c>
    </row>
    <row r="230" spans="1:52">
      <c r="A230" s="520">
        <f>Arbeitszeit!A231</f>
        <v>43690</v>
      </c>
      <c r="B230" s="521">
        <f t="shared" si="12"/>
        <v>43690</v>
      </c>
      <c r="C230" s="191">
        <f t="shared" si="13"/>
        <v>33</v>
      </c>
      <c r="D230" s="190">
        <f t="shared" si="14"/>
        <v>43677</v>
      </c>
      <c r="E230" s="589">
        <f>Arbeitszeit!V231*24</f>
        <v>0</v>
      </c>
      <c r="F230" s="349">
        <f t="shared" si="15"/>
        <v>0</v>
      </c>
      <c r="G230" s="155">
        <f>IF(Arbeitszeit!F231=Urlaub,B_WorkTime*24,)</f>
        <v>0</v>
      </c>
      <c r="H230" s="153"/>
      <c r="I230" s="155">
        <f>IF(Arbeitszeit!F231=Krank,B_WorkTime*24,)</f>
        <v>0</v>
      </c>
      <c r="J230" s="153"/>
      <c r="K230" s="156"/>
      <c r="L230" s="157"/>
      <c r="M230" s="577"/>
      <c r="N230" s="578"/>
      <c r="O230" s="577"/>
      <c r="P230" s="578"/>
      <c r="Q230" s="577"/>
      <c r="R230" s="578"/>
      <c r="S230" s="577"/>
      <c r="T230" s="578"/>
      <c r="U230" s="577"/>
      <c r="V230" s="578"/>
      <c r="W230" s="577"/>
      <c r="X230" s="578"/>
      <c r="Y230" s="577"/>
      <c r="Z230" s="578"/>
      <c r="AA230" s="577"/>
      <c r="AB230" s="578"/>
      <c r="AC230" s="577"/>
      <c r="AD230" s="578"/>
      <c r="AE230" s="577"/>
      <c r="AF230" s="579"/>
      <c r="AG230" s="577"/>
      <c r="AH230" s="579"/>
      <c r="AI230" s="577"/>
      <c r="AJ230" s="579"/>
      <c r="AK230" s="577"/>
      <c r="AL230" s="579"/>
      <c r="AM230" s="580"/>
      <c r="AN230" s="579"/>
      <c r="AO230" s="577"/>
      <c r="AP230" s="579"/>
      <c r="AQ230" s="580"/>
      <c r="AR230" s="579"/>
      <c r="AS230" s="579"/>
      <c r="AT230" s="579"/>
      <c r="AU230" s="580"/>
      <c r="AV230" s="579"/>
      <c r="AW230" s="579"/>
      <c r="AX230" s="158"/>
      <c r="AY230" s="154"/>
      <c r="AZ230">
        <f ca="1">INDIRECT(ADDRESS(ROW()+1,COLUMN(Arbeitszeit!xDay),,,"Arbeitszeit"))</f>
        <v>1</v>
      </c>
    </row>
    <row r="231" spans="1:52">
      <c r="A231" s="520">
        <f>Arbeitszeit!A232</f>
        <v>43691</v>
      </c>
      <c r="B231" s="521">
        <f t="shared" si="12"/>
        <v>43691</v>
      </c>
      <c r="C231" s="191">
        <f t="shared" si="13"/>
        <v>33</v>
      </c>
      <c r="D231" s="190">
        <f t="shared" si="14"/>
        <v>43677</v>
      </c>
      <c r="E231" s="589">
        <f>Arbeitszeit!V232*24</f>
        <v>0</v>
      </c>
      <c r="F231" s="349">
        <f t="shared" si="15"/>
        <v>0</v>
      </c>
      <c r="G231" s="155">
        <f>IF(Arbeitszeit!F232=Urlaub,B_WorkTime*24,)</f>
        <v>0</v>
      </c>
      <c r="H231" s="153"/>
      <c r="I231" s="155">
        <f>IF(Arbeitszeit!F232=Krank,B_WorkTime*24,)</f>
        <v>0</v>
      </c>
      <c r="J231" s="153"/>
      <c r="K231" s="156"/>
      <c r="L231" s="157"/>
      <c r="M231" s="577"/>
      <c r="N231" s="578"/>
      <c r="O231" s="577"/>
      <c r="P231" s="578"/>
      <c r="Q231" s="577"/>
      <c r="R231" s="578"/>
      <c r="S231" s="577"/>
      <c r="T231" s="578"/>
      <c r="U231" s="577"/>
      <c r="V231" s="578"/>
      <c r="W231" s="577"/>
      <c r="X231" s="578"/>
      <c r="Y231" s="577"/>
      <c r="Z231" s="578"/>
      <c r="AA231" s="577"/>
      <c r="AB231" s="578"/>
      <c r="AC231" s="577"/>
      <c r="AD231" s="578"/>
      <c r="AE231" s="577"/>
      <c r="AF231" s="579"/>
      <c r="AG231" s="577"/>
      <c r="AH231" s="579"/>
      <c r="AI231" s="577"/>
      <c r="AJ231" s="579"/>
      <c r="AK231" s="577"/>
      <c r="AL231" s="579"/>
      <c r="AM231" s="580"/>
      <c r="AN231" s="579"/>
      <c r="AO231" s="577"/>
      <c r="AP231" s="579"/>
      <c r="AQ231" s="580"/>
      <c r="AR231" s="579"/>
      <c r="AS231" s="579"/>
      <c r="AT231" s="579"/>
      <c r="AU231" s="580"/>
      <c r="AV231" s="579"/>
      <c r="AW231" s="579"/>
      <c r="AX231" s="158"/>
      <c r="AY231" s="154"/>
      <c r="AZ231">
        <f ca="1">INDIRECT(ADDRESS(ROW()+1,COLUMN(Arbeitszeit!xDay),,,"Arbeitszeit"))</f>
        <v>2</v>
      </c>
    </row>
    <row r="232" spans="1:52">
      <c r="A232" s="520">
        <f>Arbeitszeit!A233</f>
        <v>43692</v>
      </c>
      <c r="B232" s="521">
        <f t="shared" si="12"/>
        <v>43692</v>
      </c>
      <c r="C232" s="191">
        <f t="shared" si="13"/>
        <v>33</v>
      </c>
      <c r="D232" s="190">
        <f t="shared" si="14"/>
        <v>43677</v>
      </c>
      <c r="E232" s="589">
        <f>Arbeitszeit!V233*24</f>
        <v>0</v>
      </c>
      <c r="F232" s="349">
        <f t="shared" si="15"/>
        <v>0</v>
      </c>
      <c r="G232" s="155">
        <f>IF(Arbeitszeit!F233=Urlaub,B_WorkTime*24,)</f>
        <v>0</v>
      </c>
      <c r="H232" s="153"/>
      <c r="I232" s="155">
        <f>IF(Arbeitszeit!F233=Krank,B_WorkTime*24,)</f>
        <v>0</v>
      </c>
      <c r="J232" s="153"/>
      <c r="K232" s="156"/>
      <c r="L232" s="157"/>
      <c r="M232" s="577"/>
      <c r="N232" s="578"/>
      <c r="O232" s="577"/>
      <c r="P232" s="578"/>
      <c r="Q232" s="577"/>
      <c r="R232" s="578"/>
      <c r="S232" s="577"/>
      <c r="T232" s="578"/>
      <c r="U232" s="577"/>
      <c r="V232" s="578"/>
      <c r="W232" s="577"/>
      <c r="X232" s="578"/>
      <c r="Y232" s="577"/>
      <c r="Z232" s="578"/>
      <c r="AA232" s="577"/>
      <c r="AB232" s="578"/>
      <c r="AC232" s="577"/>
      <c r="AD232" s="578"/>
      <c r="AE232" s="577"/>
      <c r="AF232" s="579"/>
      <c r="AG232" s="577"/>
      <c r="AH232" s="579"/>
      <c r="AI232" s="577"/>
      <c r="AJ232" s="579"/>
      <c r="AK232" s="577"/>
      <c r="AL232" s="579"/>
      <c r="AM232" s="580"/>
      <c r="AN232" s="579"/>
      <c r="AO232" s="577"/>
      <c r="AP232" s="579"/>
      <c r="AQ232" s="580"/>
      <c r="AR232" s="579"/>
      <c r="AS232" s="579"/>
      <c r="AT232" s="579"/>
      <c r="AU232" s="580"/>
      <c r="AV232" s="579"/>
      <c r="AW232" s="579"/>
      <c r="AX232" s="158"/>
      <c r="AY232" s="154"/>
      <c r="AZ232">
        <f ca="1">INDIRECT(ADDRESS(ROW()+1,COLUMN(Arbeitszeit!xDay),,,"Arbeitszeit"))</f>
        <v>3</v>
      </c>
    </row>
    <row r="233" spans="1:52">
      <c r="A233" s="520">
        <f>Arbeitszeit!A234</f>
        <v>43693</v>
      </c>
      <c r="B233" s="521">
        <f t="shared" si="12"/>
        <v>43693</v>
      </c>
      <c r="C233" s="191">
        <f t="shared" si="13"/>
        <v>33</v>
      </c>
      <c r="D233" s="190">
        <f t="shared" si="14"/>
        <v>43677</v>
      </c>
      <c r="E233" s="589">
        <f>Arbeitszeit!V234*24</f>
        <v>0</v>
      </c>
      <c r="F233" s="349">
        <f t="shared" si="15"/>
        <v>0</v>
      </c>
      <c r="G233" s="155">
        <f>IF(Arbeitszeit!F234=Urlaub,B_WorkTime*24,)</f>
        <v>0</v>
      </c>
      <c r="H233" s="153"/>
      <c r="I233" s="155">
        <f>IF(Arbeitszeit!F234=Krank,B_WorkTime*24,)</f>
        <v>0</v>
      </c>
      <c r="J233" s="153"/>
      <c r="K233" s="156"/>
      <c r="L233" s="157"/>
      <c r="M233" s="577"/>
      <c r="N233" s="578"/>
      <c r="O233" s="577"/>
      <c r="P233" s="578"/>
      <c r="Q233" s="577"/>
      <c r="R233" s="578"/>
      <c r="S233" s="577"/>
      <c r="T233" s="578"/>
      <c r="U233" s="577"/>
      <c r="V233" s="578"/>
      <c r="W233" s="577"/>
      <c r="X233" s="578"/>
      <c r="Y233" s="577"/>
      <c r="Z233" s="578"/>
      <c r="AA233" s="577"/>
      <c r="AB233" s="578"/>
      <c r="AC233" s="577"/>
      <c r="AD233" s="578"/>
      <c r="AE233" s="577"/>
      <c r="AF233" s="579"/>
      <c r="AG233" s="577"/>
      <c r="AH233" s="579"/>
      <c r="AI233" s="577"/>
      <c r="AJ233" s="579"/>
      <c r="AK233" s="577"/>
      <c r="AL233" s="579"/>
      <c r="AM233" s="580"/>
      <c r="AN233" s="579"/>
      <c r="AO233" s="577"/>
      <c r="AP233" s="579"/>
      <c r="AQ233" s="580"/>
      <c r="AR233" s="579"/>
      <c r="AS233" s="579"/>
      <c r="AT233" s="579"/>
      <c r="AU233" s="580"/>
      <c r="AV233" s="579"/>
      <c r="AW233" s="579"/>
      <c r="AX233" s="158"/>
      <c r="AY233" s="154"/>
      <c r="AZ233">
        <f ca="1">INDIRECT(ADDRESS(ROW()+1,COLUMN(Arbeitszeit!xDay),,,"Arbeitszeit"))</f>
        <v>4</v>
      </c>
    </row>
    <row r="234" spans="1:52">
      <c r="A234" s="520">
        <f>Arbeitszeit!A235</f>
        <v>43694</v>
      </c>
      <c r="B234" s="521">
        <f t="shared" si="12"/>
        <v>43694</v>
      </c>
      <c r="C234" s="191">
        <f t="shared" si="13"/>
        <v>33</v>
      </c>
      <c r="D234" s="190">
        <f t="shared" si="14"/>
        <v>43677</v>
      </c>
      <c r="E234" s="589">
        <f>Arbeitszeit!V235*24</f>
        <v>0</v>
      </c>
      <c r="F234" s="349">
        <f t="shared" si="15"/>
        <v>0</v>
      </c>
      <c r="G234" s="155">
        <f>IF(Arbeitszeit!F235=Urlaub,B_WorkTime*24,)</f>
        <v>0</v>
      </c>
      <c r="H234" s="153"/>
      <c r="I234" s="155">
        <f>IF(Arbeitszeit!F235=Krank,B_WorkTime*24,)</f>
        <v>0</v>
      </c>
      <c r="J234" s="153"/>
      <c r="K234" s="156"/>
      <c r="L234" s="157"/>
      <c r="M234" s="577"/>
      <c r="N234" s="578"/>
      <c r="O234" s="577"/>
      <c r="P234" s="578"/>
      <c r="Q234" s="577"/>
      <c r="R234" s="578"/>
      <c r="S234" s="577"/>
      <c r="T234" s="578"/>
      <c r="U234" s="577"/>
      <c r="V234" s="578"/>
      <c r="W234" s="577"/>
      <c r="X234" s="578"/>
      <c r="Y234" s="577"/>
      <c r="Z234" s="578"/>
      <c r="AA234" s="577"/>
      <c r="AB234" s="578"/>
      <c r="AC234" s="577"/>
      <c r="AD234" s="578"/>
      <c r="AE234" s="577"/>
      <c r="AF234" s="579"/>
      <c r="AG234" s="577"/>
      <c r="AH234" s="579"/>
      <c r="AI234" s="577"/>
      <c r="AJ234" s="579"/>
      <c r="AK234" s="577"/>
      <c r="AL234" s="579"/>
      <c r="AM234" s="580"/>
      <c r="AN234" s="579"/>
      <c r="AO234" s="577"/>
      <c r="AP234" s="579"/>
      <c r="AQ234" s="580"/>
      <c r="AR234" s="579"/>
      <c r="AS234" s="579"/>
      <c r="AT234" s="579"/>
      <c r="AU234" s="580"/>
      <c r="AV234" s="579"/>
      <c r="AW234" s="579"/>
      <c r="AX234" s="158"/>
      <c r="AY234" s="154"/>
      <c r="AZ234">
        <f ca="1">INDIRECT(ADDRESS(ROW()+1,COLUMN(Arbeitszeit!xDay),,,"Arbeitszeit"))</f>
        <v>5</v>
      </c>
    </row>
    <row r="235" spans="1:52">
      <c r="A235" s="520">
        <f>Arbeitszeit!A236</f>
        <v>43695</v>
      </c>
      <c r="B235" s="521">
        <f t="shared" si="12"/>
        <v>43695</v>
      </c>
      <c r="C235" s="191">
        <f t="shared" si="13"/>
        <v>33</v>
      </c>
      <c r="D235" s="190">
        <f t="shared" si="14"/>
        <v>43677</v>
      </c>
      <c r="E235" s="589">
        <f>Arbeitszeit!V236*24</f>
        <v>0</v>
      </c>
      <c r="F235" s="349">
        <f t="shared" si="15"/>
        <v>0</v>
      </c>
      <c r="G235" s="155">
        <f>IF(Arbeitszeit!F236=Urlaub,B_WorkTime*24,)</f>
        <v>0</v>
      </c>
      <c r="H235" s="153"/>
      <c r="I235" s="155">
        <f>IF(Arbeitszeit!F236=Krank,B_WorkTime*24,)</f>
        <v>0</v>
      </c>
      <c r="J235" s="153"/>
      <c r="K235" s="156"/>
      <c r="L235" s="157"/>
      <c r="M235" s="577"/>
      <c r="N235" s="578"/>
      <c r="O235" s="577"/>
      <c r="P235" s="578"/>
      <c r="Q235" s="577"/>
      <c r="R235" s="578"/>
      <c r="S235" s="577"/>
      <c r="T235" s="578"/>
      <c r="U235" s="577"/>
      <c r="V235" s="578"/>
      <c r="W235" s="577"/>
      <c r="X235" s="578"/>
      <c r="Y235" s="577"/>
      <c r="Z235" s="578"/>
      <c r="AA235" s="577"/>
      <c r="AB235" s="578"/>
      <c r="AC235" s="577"/>
      <c r="AD235" s="578"/>
      <c r="AE235" s="577"/>
      <c r="AF235" s="579"/>
      <c r="AG235" s="577"/>
      <c r="AH235" s="579"/>
      <c r="AI235" s="577"/>
      <c r="AJ235" s="579"/>
      <c r="AK235" s="577"/>
      <c r="AL235" s="579"/>
      <c r="AM235" s="580"/>
      <c r="AN235" s="579"/>
      <c r="AO235" s="577"/>
      <c r="AP235" s="579"/>
      <c r="AQ235" s="580"/>
      <c r="AR235" s="579"/>
      <c r="AS235" s="579"/>
      <c r="AT235" s="579"/>
      <c r="AU235" s="580"/>
      <c r="AV235" s="579"/>
      <c r="AW235" s="579"/>
      <c r="AX235" s="158"/>
      <c r="AY235" s="154"/>
      <c r="AZ235">
        <f ca="1">INDIRECT(ADDRESS(ROW()+1,COLUMN(Arbeitszeit!xDay),,,"Arbeitszeit"))</f>
        <v>6</v>
      </c>
    </row>
    <row r="236" spans="1:52">
      <c r="A236" s="520">
        <f>Arbeitszeit!A237</f>
        <v>43696</v>
      </c>
      <c r="B236" s="521">
        <f t="shared" si="12"/>
        <v>43696</v>
      </c>
      <c r="C236" s="191">
        <f t="shared" si="13"/>
        <v>33</v>
      </c>
      <c r="D236" s="190">
        <f t="shared" si="14"/>
        <v>43677</v>
      </c>
      <c r="E236" s="589">
        <f>Arbeitszeit!V237*24</f>
        <v>0</v>
      </c>
      <c r="F236" s="349">
        <f t="shared" si="15"/>
        <v>0</v>
      </c>
      <c r="G236" s="155">
        <f>IF(Arbeitszeit!F237=Urlaub,B_WorkTime*24,)</f>
        <v>0</v>
      </c>
      <c r="H236" s="153"/>
      <c r="I236" s="155">
        <f>IF(Arbeitszeit!F237=Krank,B_WorkTime*24,)</f>
        <v>0</v>
      </c>
      <c r="J236" s="153"/>
      <c r="K236" s="156"/>
      <c r="L236" s="157"/>
      <c r="M236" s="577"/>
      <c r="N236" s="578"/>
      <c r="O236" s="577"/>
      <c r="P236" s="578"/>
      <c r="Q236" s="577"/>
      <c r="R236" s="578"/>
      <c r="S236" s="577"/>
      <c r="T236" s="578"/>
      <c r="U236" s="577"/>
      <c r="V236" s="578"/>
      <c r="W236" s="577"/>
      <c r="X236" s="578"/>
      <c r="Y236" s="577"/>
      <c r="Z236" s="578"/>
      <c r="AA236" s="577"/>
      <c r="AB236" s="578"/>
      <c r="AC236" s="577"/>
      <c r="AD236" s="578"/>
      <c r="AE236" s="577"/>
      <c r="AF236" s="579"/>
      <c r="AG236" s="577"/>
      <c r="AH236" s="579"/>
      <c r="AI236" s="577"/>
      <c r="AJ236" s="579"/>
      <c r="AK236" s="577"/>
      <c r="AL236" s="579"/>
      <c r="AM236" s="580"/>
      <c r="AN236" s="579"/>
      <c r="AO236" s="577"/>
      <c r="AP236" s="579"/>
      <c r="AQ236" s="580"/>
      <c r="AR236" s="579"/>
      <c r="AS236" s="579"/>
      <c r="AT236" s="579"/>
      <c r="AU236" s="580"/>
      <c r="AV236" s="579"/>
      <c r="AW236" s="579"/>
      <c r="AX236" s="158"/>
      <c r="AY236" s="154"/>
      <c r="AZ236">
        <f ca="1">INDIRECT(ADDRESS(ROW()+1,COLUMN(Arbeitszeit!xDay),,,"Arbeitszeit"))</f>
        <v>7</v>
      </c>
    </row>
    <row r="237" spans="1:52">
      <c r="A237" s="520">
        <f>Arbeitszeit!A238</f>
        <v>43697</v>
      </c>
      <c r="B237" s="521">
        <f t="shared" si="12"/>
        <v>43697</v>
      </c>
      <c r="C237" s="191">
        <f t="shared" si="13"/>
        <v>34</v>
      </c>
      <c r="D237" s="190">
        <f t="shared" si="14"/>
        <v>43677</v>
      </c>
      <c r="E237" s="589">
        <f>Arbeitszeit!V238*24</f>
        <v>0</v>
      </c>
      <c r="F237" s="349">
        <f t="shared" si="15"/>
        <v>0</v>
      </c>
      <c r="G237" s="155">
        <f>IF(Arbeitszeit!F238=Urlaub,B_WorkTime*24,)</f>
        <v>0</v>
      </c>
      <c r="H237" s="153"/>
      <c r="I237" s="155">
        <f>IF(Arbeitszeit!F238=Krank,B_WorkTime*24,)</f>
        <v>0</v>
      </c>
      <c r="J237" s="153"/>
      <c r="K237" s="156"/>
      <c r="L237" s="157"/>
      <c r="M237" s="577"/>
      <c r="N237" s="578"/>
      <c r="O237" s="577"/>
      <c r="P237" s="578"/>
      <c r="Q237" s="577"/>
      <c r="R237" s="578"/>
      <c r="S237" s="577"/>
      <c r="T237" s="578"/>
      <c r="U237" s="577"/>
      <c r="V237" s="578"/>
      <c r="W237" s="577"/>
      <c r="X237" s="578"/>
      <c r="Y237" s="577"/>
      <c r="Z237" s="578"/>
      <c r="AA237" s="577"/>
      <c r="AB237" s="578"/>
      <c r="AC237" s="577"/>
      <c r="AD237" s="578"/>
      <c r="AE237" s="577"/>
      <c r="AF237" s="579"/>
      <c r="AG237" s="577"/>
      <c r="AH237" s="579"/>
      <c r="AI237" s="577"/>
      <c r="AJ237" s="579"/>
      <c r="AK237" s="577"/>
      <c r="AL237" s="579"/>
      <c r="AM237" s="580"/>
      <c r="AN237" s="579"/>
      <c r="AO237" s="577"/>
      <c r="AP237" s="579"/>
      <c r="AQ237" s="580"/>
      <c r="AR237" s="579"/>
      <c r="AS237" s="579"/>
      <c r="AT237" s="579"/>
      <c r="AU237" s="580"/>
      <c r="AV237" s="579"/>
      <c r="AW237" s="579"/>
      <c r="AX237" s="158"/>
      <c r="AY237" s="154"/>
      <c r="AZ237">
        <f ca="1">INDIRECT(ADDRESS(ROW()+1,COLUMN(Arbeitszeit!xDay),,,"Arbeitszeit"))</f>
        <v>1</v>
      </c>
    </row>
    <row r="238" spans="1:52">
      <c r="A238" s="520">
        <f>Arbeitszeit!A239</f>
        <v>43698</v>
      </c>
      <c r="B238" s="521">
        <f t="shared" si="12"/>
        <v>43698</v>
      </c>
      <c r="C238" s="191">
        <f t="shared" si="13"/>
        <v>34</v>
      </c>
      <c r="D238" s="190">
        <f t="shared" si="14"/>
        <v>43677</v>
      </c>
      <c r="E238" s="589">
        <f>Arbeitszeit!V239*24</f>
        <v>0</v>
      </c>
      <c r="F238" s="349">
        <f t="shared" si="15"/>
        <v>0</v>
      </c>
      <c r="G238" s="155">
        <f>IF(Arbeitszeit!F239=Urlaub,B_WorkTime*24,)</f>
        <v>0</v>
      </c>
      <c r="H238" s="153"/>
      <c r="I238" s="155">
        <f>IF(Arbeitszeit!F239=Krank,B_WorkTime*24,)</f>
        <v>0</v>
      </c>
      <c r="J238" s="153"/>
      <c r="K238" s="156"/>
      <c r="L238" s="157"/>
      <c r="M238" s="577"/>
      <c r="N238" s="578"/>
      <c r="O238" s="577"/>
      <c r="P238" s="578"/>
      <c r="Q238" s="577"/>
      <c r="R238" s="578"/>
      <c r="S238" s="577"/>
      <c r="T238" s="578"/>
      <c r="U238" s="577"/>
      <c r="V238" s="578"/>
      <c r="W238" s="577"/>
      <c r="X238" s="578"/>
      <c r="Y238" s="577"/>
      <c r="Z238" s="578"/>
      <c r="AA238" s="577"/>
      <c r="AB238" s="578"/>
      <c r="AC238" s="577"/>
      <c r="AD238" s="578"/>
      <c r="AE238" s="577"/>
      <c r="AF238" s="579"/>
      <c r="AG238" s="577"/>
      <c r="AH238" s="579"/>
      <c r="AI238" s="577"/>
      <c r="AJ238" s="579"/>
      <c r="AK238" s="577"/>
      <c r="AL238" s="579"/>
      <c r="AM238" s="580"/>
      <c r="AN238" s="579"/>
      <c r="AO238" s="577"/>
      <c r="AP238" s="579"/>
      <c r="AQ238" s="580"/>
      <c r="AR238" s="579"/>
      <c r="AS238" s="579"/>
      <c r="AT238" s="579"/>
      <c r="AU238" s="580"/>
      <c r="AV238" s="579"/>
      <c r="AW238" s="579"/>
      <c r="AX238" s="158"/>
      <c r="AY238" s="154"/>
      <c r="AZ238">
        <f ca="1">INDIRECT(ADDRESS(ROW()+1,COLUMN(Arbeitszeit!xDay),,,"Arbeitszeit"))</f>
        <v>2</v>
      </c>
    </row>
    <row r="239" spans="1:52">
      <c r="A239" s="520">
        <f>Arbeitszeit!A240</f>
        <v>43699</v>
      </c>
      <c r="B239" s="521">
        <f t="shared" si="12"/>
        <v>43699</v>
      </c>
      <c r="C239" s="191">
        <f t="shared" si="13"/>
        <v>34</v>
      </c>
      <c r="D239" s="190">
        <f t="shared" si="14"/>
        <v>43677</v>
      </c>
      <c r="E239" s="589">
        <f>Arbeitszeit!V240*24</f>
        <v>0</v>
      </c>
      <c r="F239" s="349">
        <f t="shared" si="15"/>
        <v>0</v>
      </c>
      <c r="G239" s="155">
        <f>IF(Arbeitszeit!F240=Urlaub,B_WorkTime*24,)</f>
        <v>0</v>
      </c>
      <c r="H239" s="153"/>
      <c r="I239" s="155">
        <f>IF(Arbeitszeit!F240=Krank,B_WorkTime*24,)</f>
        <v>0</v>
      </c>
      <c r="J239" s="153"/>
      <c r="K239" s="156"/>
      <c r="L239" s="157"/>
      <c r="M239" s="577"/>
      <c r="N239" s="578"/>
      <c r="O239" s="577"/>
      <c r="P239" s="578"/>
      <c r="Q239" s="577"/>
      <c r="R239" s="578"/>
      <c r="S239" s="577"/>
      <c r="T239" s="578"/>
      <c r="U239" s="577"/>
      <c r="V239" s="578"/>
      <c r="W239" s="577"/>
      <c r="X239" s="578"/>
      <c r="Y239" s="577"/>
      <c r="Z239" s="578"/>
      <c r="AA239" s="577"/>
      <c r="AB239" s="578"/>
      <c r="AC239" s="577"/>
      <c r="AD239" s="578"/>
      <c r="AE239" s="577"/>
      <c r="AF239" s="579"/>
      <c r="AG239" s="577"/>
      <c r="AH239" s="579"/>
      <c r="AI239" s="577"/>
      <c r="AJ239" s="579"/>
      <c r="AK239" s="577"/>
      <c r="AL239" s="579"/>
      <c r="AM239" s="580"/>
      <c r="AN239" s="579"/>
      <c r="AO239" s="577"/>
      <c r="AP239" s="579"/>
      <c r="AQ239" s="580"/>
      <c r="AR239" s="579"/>
      <c r="AS239" s="579"/>
      <c r="AT239" s="579"/>
      <c r="AU239" s="580"/>
      <c r="AV239" s="579"/>
      <c r="AW239" s="579"/>
      <c r="AX239" s="158"/>
      <c r="AY239" s="154"/>
      <c r="AZ239">
        <f ca="1">INDIRECT(ADDRESS(ROW()+1,COLUMN(Arbeitszeit!xDay),,,"Arbeitszeit"))</f>
        <v>3</v>
      </c>
    </row>
    <row r="240" spans="1:52">
      <c r="A240" s="520">
        <f>Arbeitszeit!A241</f>
        <v>43700</v>
      </c>
      <c r="B240" s="521">
        <f t="shared" si="12"/>
        <v>43700</v>
      </c>
      <c r="C240" s="191">
        <f t="shared" si="13"/>
        <v>34</v>
      </c>
      <c r="D240" s="190">
        <f t="shared" si="14"/>
        <v>43677</v>
      </c>
      <c r="E240" s="589">
        <f>Arbeitszeit!V241*24</f>
        <v>0</v>
      </c>
      <c r="F240" s="349">
        <f t="shared" si="15"/>
        <v>0</v>
      </c>
      <c r="G240" s="155">
        <f>IF(Arbeitszeit!F241=Urlaub,B_WorkTime*24,)</f>
        <v>0</v>
      </c>
      <c r="H240" s="153"/>
      <c r="I240" s="155">
        <f>IF(Arbeitszeit!F241=Krank,B_WorkTime*24,)</f>
        <v>0</v>
      </c>
      <c r="J240" s="153"/>
      <c r="K240" s="156"/>
      <c r="L240" s="157"/>
      <c r="M240" s="577"/>
      <c r="N240" s="578"/>
      <c r="O240" s="577"/>
      <c r="P240" s="578"/>
      <c r="Q240" s="577"/>
      <c r="R240" s="578"/>
      <c r="S240" s="577"/>
      <c r="T240" s="578"/>
      <c r="U240" s="577"/>
      <c r="V240" s="578"/>
      <c r="W240" s="577"/>
      <c r="X240" s="578"/>
      <c r="Y240" s="577"/>
      <c r="Z240" s="578"/>
      <c r="AA240" s="577"/>
      <c r="AB240" s="578"/>
      <c r="AC240" s="577"/>
      <c r="AD240" s="578"/>
      <c r="AE240" s="577"/>
      <c r="AF240" s="579"/>
      <c r="AG240" s="577"/>
      <c r="AH240" s="579"/>
      <c r="AI240" s="577"/>
      <c r="AJ240" s="579"/>
      <c r="AK240" s="577"/>
      <c r="AL240" s="579"/>
      <c r="AM240" s="580"/>
      <c r="AN240" s="579"/>
      <c r="AO240" s="577"/>
      <c r="AP240" s="579"/>
      <c r="AQ240" s="580"/>
      <c r="AR240" s="579"/>
      <c r="AS240" s="579"/>
      <c r="AT240" s="579"/>
      <c r="AU240" s="580"/>
      <c r="AV240" s="579"/>
      <c r="AW240" s="579"/>
      <c r="AX240" s="158"/>
      <c r="AY240" s="154"/>
      <c r="AZ240">
        <f ca="1">INDIRECT(ADDRESS(ROW()+1,COLUMN(Arbeitszeit!xDay),,,"Arbeitszeit"))</f>
        <v>4</v>
      </c>
    </row>
    <row r="241" spans="1:52">
      <c r="A241" s="520">
        <f>Arbeitszeit!A242</f>
        <v>43701</v>
      </c>
      <c r="B241" s="521">
        <f t="shared" si="12"/>
        <v>43701</v>
      </c>
      <c r="C241" s="191">
        <f t="shared" si="13"/>
        <v>34</v>
      </c>
      <c r="D241" s="190">
        <f t="shared" si="14"/>
        <v>43677</v>
      </c>
      <c r="E241" s="589">
        <f>Arbeitszeit!V242*24</f>
        <v>0</v>
      </c>
      <c r="F241" s="349">
        <f t="shared" si="15"/>
        <v>0</v>
      </c>
      <c r="G241" s="155">
        <f>IF(Arbeitszeit!F242=Urlaub,B_WorkTime*24,)</f>
        <v>0</v>
      </c>
      <c r="H241" s="153"/>
      <c r="I241" s="155">
        <f>IF(Arbeitszeit!F242=Krank,B_WorkTime*24,)</f>
        <v>0</v>
      </c>
      <c r="J241" s="153"/>
      <c r="K241" s="156"/>
      <c r="L241" s="157"/>
      <c r="M241" s="577"/>
      <c r="N241" s="578"/>
      <c r="O241" s="577"/>
      <c r="P241" s="578"/>
      <c r="Q241" s="577"/>
      <c r="R241" s="578"/>
      <c r="S241" s="577"/>
      <c r="T241" s="578"/>
      <c r="U241" s="577"/>
      <c r="V241" s="578"/>
      <c r="W241" s="577"/>
      <c r="X241" s="578"/>
      <c r="Y241" s="577"/>
      <c r="Z241" s="578"/>
      <c r="AA241" s="577"/>
      <c r="AB241" s="578"/>
      <c r="AC241" s="577"/>
      <c r="AD241" s="578"/>
      <c r="AE241" s="577"/>
      <c r="AF241" s="579"/>
      <c r="AG241" s="577"/>
      <c r="AH241" s="579"/>
      <c r="AI241" s="577"/>
      <c r="AJ241" s="579"/>
      <c r="AK241" s="577"/>
      <c r="AL241" s="579"/>
      <c r="AM241" s="580"/>
      <c r="AN241" s="579"/>
      <c r="AO241" s="577"/>
      <c r="AP241" s="579"/>
      <c r="AQ241" s="580"/>
      <c r="AR241" s="579"/>
      <c r="AS241" s="579"/>
      <c r="AT241" s="579"/>
      <c r="AU241" s="580"/>
      <c r="AV241" s="579"/>
      <c r="AW241" s="579"/>
      <c r="AX241" s="158"/>
      <c r="AY241" s="154"/>
      <c r="AZ241">
        <f ca="1">INDIRECT(ADDRESS(ROW()+1,COLUMN(Arbeitszeit!xDay),,,"Arbeitszeit"))</f>
        <v>5</v>
      </c>
    </row>
    <row r="242" spans="1:52">
      <c r="A242" s="520">
        <f>Arbeitszeit!A243</f>
        <v>43702</v>
      </c>
      <c r="B242" s="521">
        <f t="shared" si="12"/>
        <v>43702</v>
      </c>
      <c r="C242" s="191">
        <f t="shared" si="13"/>
        <v>34</v>
      </c>
      <c r="D242" s="190">
        <f t="shared" si="14"/>
        <v>43677</v>
      </c>
      <c r="E242" s="589">
        <f>Arbeitszeit!V243*24</f>
        <v>0</v>
      </c>
      <c r="F242" s="349">
        <f t="shared" si="15"/>
        <v>0</v>
      </c>
      <c r="G242" s="155">
        <f>IF(Arbeitszeit!F243=Urlaub,B_WorkTime*24,)</f>
        <v>0</v>
      </c>
      <c r="H242" s="153"/>
      <c r="I242" s="155">
        <f>IF(Arbeitszeit!F243=Krank,B_WorkTime*24,)</f>
        <v>0</v>
      </c>
      <c r="J242" s="153"/>
      <c r="K242" s="156"/>
      <c r="L242" s="157"/>
      <c r="M242" s="577"/>
      <c r="N242" s="578"/>
      <c r="O242" s="577"/>
      <c r="P242" s="578"/>
      <c r="Q242" s="577"/>
      <c r="R242" s="578"/>
      <c r="S242" s="577"/>
      <c r="T242" s="578"/>
      <c r="U242" s="577"/>
      <c r="V242" s="578"/>
      <c r="W242" s="577"/>
      <c r="X242" s="578"/>
      <c r="Y242" s="577"/>
      <c r="Z242" s="578"/>
      <c r="AA242" s="577"/>
      <c r="AB242" s="578"/>
      <c r="AC242" s="577"/>
      <c r="AD242" s="578"/>
      <c r="AE242" s="577"/>
      <c r="AF242" s="579"/>
      <c r="AG242" s="577"/>
      <c r="AH242" s="579"/>
      <c r="AI242" s="577"/>
      <c r="AJ242" s="579"/>
      <c r="AK242" s="577"/>
      <c r="AL242" s="579"/>
      <c r="AM242" s="580"/>
      <c r="AN242" s="579"/>
      <c r="AO242" s="577"/>
      <c r="AP242" s="579"/>
      <c r="AQ242" s="580"/>
      <c r="AR242" s="579"/>
      <c r="AS242" s="579"/>
      <c r="AT242" s="579"/>
      <c r="AU242" s="580"/>
      <c r="AV242" s="579"/>
      <c r="AW242" s="579"/>
      <c r="AX242" s="158"/>
      <c r="AY242" s="154"/>
      <c r="AZ242">
        <f ca="1">INDIRECT(ADDRESS(ROW()+1,COLUMN(Arbeitszeit!xDay),,,"Arbeitszeit"))</f>
        <v>6</v>
      </c>
    </row>
    <row r="243" spans="1:52">
      <c r="A243" s="520">
        <f>Arbeitszeit!A244</f>
        <v>43703</v>
      </c>
      <c r="B243" s="521">
        <f t="shared" si="12"/>
        <v>43703</v>
      </c>
      <c r="C243" s="191">
        <f t="shared" si="13"/>
        <v>34</v>
      </c>
      <c r="D243" s="190">
        <f t="shared" si="14"/>
        <v>43677</v>
      </c>
      <c r="E243" s="589">
        <f>Arbeitszeit!V244*24</f>
        <v>0</v>
      </c>
      <c r="F243" s="349">
        <f t="shared" si="15"/>
        <v>0</v>
      </c>
      <c r="G243" s="155">
        <f>IF(Arbeitszeit!F244=Urlaub,B_WorkTime*24,)</f>
        <v>0</v>
      </c>
      <c r="H243" s="153"/>
      <c r="I243" s="155">
        <f>IF(Arbeitszeit!F244=Krank,B_WorkTime*24,)</f>
        <v>0</v>
      </c>
      <c r="J243" s="153"/>
      <c r="K243" s="156"/>
      <c r="L243" s="157"/>
      <c r="M243" s="577"/>
      <c r="N243" s="578"/>
      <c r="O243" s="577"/>
      <c r="P243" s="578"/>
      <c r="Q243" s="577"/>
      <c r="R243" s="578"/>
      <c r="S243" s="577"/>
      <c r="T243" s="578"/>
      <c r="U243" s="577"/>
      <c r="V243" s="578"/>
      <c r="W243" s="577"/>
      <c r="X243" s="578"/>
      <c r="Y243" s="577"/>
      <c r="Z243" s="578"/>
      <c r="AA243" s="577"/>
      <c r="AB243" s="578"/>
      <c r="AC243" s="577"/>
      <c r="AD243" s="578"/>
      <c r="AE243" s="577"/>
      <c r="AF243" s="579"/>
      <c r="AG243" s="577"/>
      <c r="AH243" s="579"/>
      <c r="AI243" s="577"/>
      <c r="AJ243" s="579"/>
      <c r="AK243" s="577"/>
      <c r="AL243" s="579"/>
      <c r="AM243" s="580"/>
      <c r="AN243" s="579"/>
      <c r="AO243" s="577"/>
      <c r="AP243" s="579"/>
      <c r="AQ243" s="580"/>
      <c r="AR243" s="579"/>
      <c r="AS243" s="579"/>
      <c r="AT243" s="579"/>
      <c r="AU243" s="580"/>
      <c r="AV243" s="579"/>
      <c r="AW243" s="579"/>
      <c r="AX243" s="158"/>
      <c r="AY243" s="154"/>
      <c r="AZ243">
        <f ca="1">INDIRECT(ADDRESS(ROW()+1,COLUMN(Arbeitszeit!xDay),,,"Arbeitszeit"))</f>
        <v>7</v>
      </c>
    </row>
    <row r="244" spans="1:52">
      <c r="A244" s="520">
        <f>Arbeitszeit!A245</f>
        <v>43704</v>
      </c>
      <c r="B244" s="521">
        <f t="shared" si="12"/>
        <v>43704</v>
      </c>
      <c r="C244" s="191">
        <f t="shared" si="13"/>
        <v>35</v>
      </c>
      <c r="D244" s="190">
        <f t="shared" si="14"/>
        <v>43677</v>
      </c>
      <c r="E244" s="589">
        <f>Arbeitszeit!V245*24</f>
        <v>0</v>
      </c>
      <c r="F244" s="349">
        <f t="shared" si="15"/>
        <v>0</v>
      </c>
      <c r="G244" s="155">
        <f>IF(Arbeitszeit!F245=Urlaub,B_WorkTime*24,)</f>
        <v>0</v>
      </c>
      <c r="H244" s="153"/>
      <c r="I244" s="155">
        <f>IF(Arbeitszeit!F245=Krank,B_WorkTime*24,)</f>
        <v>0</v>
      </c>
      <c r="J244" s="153"/>
      <c r="K244" s="156"/>
      <c r="L244" s="157"/>
      <c r="M244" s="577"/>
      <c r="N244" s="578"/>
      <c r="O244" s="577"/>
      <c r="P244" s="578"/>
      <c r="Q244" s="577"/>
      <c r="R244" s="578"/>
      <c r="S244" s="577"/>
      <c r="T244" s="578"/>
      <c r="U244" s="577"/>
      <c r="V244" s="578"/>
      <c r="W244" s="577"/>
      <c r="X244" s="578"/>
      <c r="Y244" s="577"/>
      <c r="Z244" s="578"/>
      <c r="AA244" s="577"/>
      <c r="AB244" s="578"/>
      <c r="AC244" s="577"/>
      <c r="AD244" s="578"/>
      <c r="AE244" s="577"/>
      <c r="AF244" s="579"/>
      <c r="AG244" s="577"/>
      <c r="AH244" s="579"/>
      <c r="AI244" s="577"/>
      <c r="AJ244" s="579"/>
      <c r="AK244" s="577"/>
      <c r="AL244" s="579"/>
      <c r="AM244" s="580"/>
      <c r="AN244" s="579"/>
      <c r="AO244" s="577"/>
      <c r="AP244" s="579"/>
      <c r="AQ244" s="580"/>
      <c r="AR244" s="579"/>
      <c r="AS244" s="579"/>
      <c r="AT244" s="579"/>
      <c r="AU244" s="580"/>
      <c r="AV244" s="579"/>
      <c r="AW244" s="579"/>
      <c r="AX244" s="158"/>
      <c r="AY244" s="154"/>
      <c r="AZ244">
        <f ca="1">INDIRECT(ADDRESS(ROW()+1,COLUMN(Arbeitszeit!xDay),,,"Arbeitszeit"))</f>
        <v>1</v>
      </c>
    </row>
    <row r="245" spans="1:52">
      <c r="A245" s="520">
        <f>Arbeitszeit!A246</f>
        <v>43705</v>
      </c>
      <c r="B245" s="521">
        <f t="shared" si="12"/>
        <v>43705</v>
      </c>
      <c r="C245" s="191">
        <f t="shared" si="13"/>
        <v>35</v>
      </c>
      <c r="D245" s="190">
        <f t="shared" si="14"/>
        <v>43677</v>
      </c>
      <c r="E245" s="589">
        <f>Arbeitszeit!V246*24</f>
        <v>0</v>
      </c>
      <c r="F245" s="349">
        <f t="shared" si="15"/>
        <v>0</v>
      </c>
      <c r="G245" s="155">
        <f>IF(Arbeitszeit!F246=Urlaub,B_WorkTime*24,)</f>
        <v>0</v>
      </c>
      <c r="H245" s="153"/>
      <c r="I245" s="155">
        <f>IF(Arbeitszeit!F246=Krank,B_WorkTime*24,)</f>
        <v>0</v>
      </c>
      <c r="J245" s="153"/>
      <c r="K245" s="156"/>
      <c r="L245" s="157"/>
      <c r="M245" s="577"/>
      <c r="N245" s="578"/>
      <c r="O245" s="577"/>
      <c r="P245" s="578"/>
      <c r="Q245" s="577"/>
      <c r="R245" s="578"/>
      <c r="S245" s="577"/>
      <c r="T245" s="578"/>
      <c r="U245" s="577"/>
      <c r="V245" s="578"/>
      <c r="W245" s="577"/>
      <c r="X245" s="578"/>
      <c r="Y245" s="577"/>
      <c r="Z245" s="578"/>
      <c r="AA245" s="577"/>
      <c r="AB245" s="578"/>
      <c r="AC245" s="577"/>
      <c r="AD245" s="578"/>
      <c r="AE245" s="577"/>
      <c r="AF245" s="579"/>
      <c r="AG245" s="577"/>
      <c r="AH245" s="579"/>
      <c r="AI245" s="577"/>
      <c r="AJ245" s="579"/>
      <c r="AK245" s="577"/>
      <c r="AL245" s="579"/>
      <c r="AM245" s="580"/>
      <c r="AN245" s="579"/>
      <c r="AO245" s="577"/>
      <c r="AP245" s="579"/>
      <c r="AQ245" s="580"/>
      <c r="AR245" s="579"/>
      <c r="AS245" s="579"/>
      <c r="AT245" s="579"/>
      <c r="AU245" s="580"/>
      <c r="AV245" s="579"/>
      <c r="AW245" s="579"/>
      <c r="AX245" s="158"/>
      <c r="AY245" s="154"/>
      <c r="AZ245">
        <f ca="1">INDIRECT(ADDRESS(ROW()+1,COLUMN(Arbeitszeit!xDay),,,"Arbeitszeit"))</f>
        <v>2</v>
      </c>
    </row>
    <row r="246" spans="1:52">
      <c r="A246" s="520">
        <f>Arbeitszeit!A247</f>
        <v>43706</v>
      </c>
      <c r="B246" s="521">
        <f t="shared" si="12"/>
        <v>43706</v>
      </c>
      <c r="C246" s="191">
        <f t="shared" si="13"/>
        <v>35</v>
      </c>
      <c r="D246" s="190">
        <f t="shared" si="14"/>
        <v>43677</v>
      </c>
      <c r="E246" s="589">
        <f>Arbeitszeit!V247*24</f>
        <v>0</v>
      </c>
      <c r="F246" s="349">
        <f t="shared" si="15"/>
        <v>0</v>
      </c>
      <c r="G246" s="155">
        <f>IF(Arbeitszeit!F247=Urlaub,B_WorkTime*24,)</f>
        <v>0</v>
      </c>
      <c r="H246" s="153"/>
      <c r="I246" s="155">
        <f>IF(Arbeitszeit!F247=Krank,B_WorkTime*24,)</f>
        <v>0</v>
      </c>
      <c r="J246" s="153"/>
      <c r="K246" s="156"/>
      <c r="L246" s="157"/>
      <c r="M246" s="577"/>
      <c r="N246" s="578"/>
      <c r="O246" s="577"/>
      <c r="P246" s="578"/>
      <c r="Q246" s="577"/>
      <c r="R246" s="578"/>
      <c r="S246" s="577"/>
      <c r="T246" s="578"/>
      <c r="U246" s="577"/>
      <c r="V246" s="578"/>
      <c r="W246" s="577"/>
      <c r="X246" s="578"/>
      <c r="Y246" s="577"/>
      <c r="Z246" s="578"/>
      <c r="AA246" s="577"/>
      <c r="AB246" s="578"/>
      <c r="AC246" s="577"/>
      <c r="AD246" s="578"/>
      <c r="AE246" s="577"/>
      <c r="AF246" s="579"/>
      <c r="AG246" s="577"/>
      <c r="AH246" s="579"/>
      <c r="AI246" s="577"/>
      <c r="AJ246" s="579"/>
      <c r="AK246" s="577"/>
      <c r="AL246" s="579"/>
      <c r="AM246" s="580"/>
      <c r="AN246" s="579"/>
      <c r="AO246" s="577"/>
      <c r="AP246" s="579"/>
      <c r="AQ246" s="580"/>
      <c r="AR246" s="579"/>
      <c r="AS246" s="579"/>
      <c r="AT246" s="579"/>
      <c r="AU246" s="580"/>
      <c r="AV246" s="579"/>
      <c r="AW246" s="579"/>
      <c r="AX246" s="158"/>
      <c r="AY246" s="154"/>
      <c r="AZ246">
        <f ca="1">INDIRECT(ADDRESS(ROW()+1,COLUMN(Arbeitszeit!xDay),,,"Arbeitszeit"))</f>
        <v>3</v>
      </c>
    </row>
    <row r="247" spans="1:52">
      <c r="A247" s="520">
        <f>Arbeitszeit!A248</f>
        <v>43707</v>
      </c>
      <c r="B247" s="521">
        <f t="shared" si="12"/>
        <v>43707</v>
      </c>
      <c r="C247" s="191">
        <f t="shared" si="13"/>
        <v>35</v>
      </c>
      <c r="D247" s="190">
        <f t="shared" si="14"/>
        <v>43677</v>
      </c>
      <c r="E247" s="589">
        <f>Arbeitszeit!V248*24</f>
        <v>0</v>
      </c>
      <c r="F247" s="349">
        <f t="shared" si="15"/>
        <v>0</v>
      </c>
      <c r="G247" s="155">
        <f>IF(Arbeitszeit!F248=Urlaub,B_WorkTime*24,)</f>
        <v>0</v>
      </c>
      <c r="H247" s="153"/>
      <c r="I247" s="155">
        <f>IF(Arbeitszeit!F248=Krank,B_WorkTime*24,)</f>
        <v>0</v>
      </c>
      <c r="J247" s="153"/>
      <c r="K247" s="156"/>
      <c r="L247" s="157"/>
      <c r="M247" s="577"/>
      <c r="N247" s="578"/>
      <c r="O247" s="577"/>
      <c r="P247" s="578"/>
      <c r="Q247" s="577"/>
      <c r="R247" s="578"/>
      <c r="S247" s="577"/>
      <c r="T247" s="578"/>
      <c r="U247" s="577"/>
      <c r="V247" s="578"/>
      <c r="W247" s="577"/>
      <c r="X247" s="578"/>
      <c r="Y247" s="577"/>
      <c r="Z247" s="578"/>
      <c r="AA247" s="577"/>
      <c r="AB247" s="578"/>
      <c r="AC247" s="577"/>
      <c r="AD247" s="578"/>
      <c r="AE247" s="577"/>
      <c r="AF247" s="579"/>
      <c r="AG247" s="577"/>
      <c r="AH247" s="579"/>
      <c r="AI247" s="577"/>
      <c r="AJ247" s="579"/>
      <c r="AK247" s="577"/>
      <c r="AL247" s="579"/>
      <c r="AM247" s="580"/>
      <c r="AN247" s="579"/>
      <c r="AO247" s="577"/>
      <c r="AP247" s="579"/>
      <c r="AQ247" s="580"/>
      <c r="AR247" s="579"/>
      <c r="AS247" s="579"/>
      <c r="AT247" s="579"/>
      <c r="AU247" s="580"/>
      <c r="AV247" s="579"/>
      <c r="AW247" s="579"/>
      <c r="AX247" s="158"/>
      <c r="AY247" s="154"/>
      <c r="AZ247">
        <f ca="1">INDIRECT(ADDRESS(ROW()+1,COLUMN(Arbeitszeit!xDay),,,"Arbeitszeit"))</f>
        <v>4</v>
      </c>
    </row>
    <row r="248" spans="1:52">
      <c r="A248" s="520">
        <f>Arbeitszeit!A249</f>
        <v>43708</v>
      </c>
      <c r="B248" s="521">
        <f t="shared" si="12"/>
        <v>43708</v>
      </c>
      <c r="C248" s="191">
        <f t="shared" si="13"/>
        <v>35</v>
      </c>
      <c r="D248" s="190">
        <f t="shared" si="14"/>
        <v>43708</v>
      </c>
      <c r="E248" s="589">
        <f>Arbeitszeit!V249*24</f>
        <v>0</v>
      </c>
      <c r="F248" s="349">
        <f t="shared" si="15"/>
        <v>0</v>
      </c>
      <c r="G248" s="155">
        <f>IF(Arbeitszeit!F249=Urlaub,B_WorkTime*24,)</f>
        <v>0</v>
      </c>
      <c r="H248" s="153"/>
      <c r="I248" s="155">
        <f>IF(Arbeitszeit!F249=Krank,B_WorkTime*24,)</f>
        <v>0</v>
      </c>
      <c r="J248" s="153"/>
      <c r="K248" s="156"/>
      <c r="L248" s="157"/>
      <c r="M248" s="577"/>
      <c r="N248" s="578"/>
      <c r="O248" s="577"/>
      <c r="P248" s="578"/>
      <c r="Q248" s="577"/>
      <c r="R248" s="578"/>
      <c r="S248" s="577"/>
      <c r="T248" s="578"/>
      <c r="U248" s="577"/>
      <c r="V248" s="578"/>
      <c r="W248" s="577"/>
      <c r="X248" s="578"/>
      <c r="Y248" s="577"/>
      <c r="Z248" s="578"/>
      <c r="AA248" s="577"/>
      <c r="AB248" s="578"/>
      <c r="AC248" s="577"/>
      <c r="AD248" s="578"/>
      <c r="AE248" s="577"/>
      <c r="AF248" s="579"/>
      <c r="AG248" s="577"/>
      <c r="AH248" s="579"/>
      <c r="AI248" s="577"/>
      <c r="AJ248" s="579"/>
      <c r="AK248" s="577"/>
      <c r="AL248" s="579"/>
      <c r="AM248" s="580"/>
      <c r="AN248" s="579"/>
      <c r="AO248" s="577"/>
      <c r="AP248" s="579"/>
      <c r="AQ248" s="580"/>
      <c r="AR248" s="579"/>
      <c r="AS248" s="579"/>
      <c r="AT248" s="579"/>
      <c r="AU248" s="580"/>
      <c r="AV248" s="579"/>
      <c r="AW248" s="579"/>
      <c r="AX248" s="158"/>
      <c r="AY248" s="154"/>
      <c r="AZ248">
        <f ca="1">INDIRECT(ADDRESS(ROW()+1,COLUMN(Arbeitszeit!xDay),,,"Arbeitszeit"))</f>
        <v>5</v>
      </c>
    </row>
    <row r="249" spans="1:52">
      <c r="A249" s="520">
        <f>Arbeitszeit!A250</f>
        <v>43709</v>
      </c>
      <c r="B249" s="521">
        <f t="shared" si="12"/>
        <v>43709</v>
      </c>
      <c r="C249" s="191">
        <f t="shared" si="13"/>
        <v>35</v>
      </c>
      <c r="D249" s="190">
        <f t="shared" si="14"/>
        <v>43708</v>
      </c>
      <c r="E249" s="589">
        <f>Arbeitszeit!V250*24</f>
        <v>0</v>
      </c>
      <c r="F249" s="349">
        <f t="shared" si="15"/>
        <v>0</v>
      </c>
      <c r="G249" s="155">
        <f>IF(Arbeitszeit!F250=Urlaub,B_WorkTime*24,)</f>
        <v>0</v>
      </c>
      <c r="H249" s="153"/>
      <c r="I249" s="155">
        <f>IF(Arbeitszeit!F250=Krank,B_WorkTime*24,)</f>
        <v>0</v>
      </c>
      <c r="J249" s="153"/>
      <c r="K249" s="156"/>
      <c r="L249" s="157"/>
      <c r="M249" s="577"/>
      <c r="N249" s="578"/>
      <c r="O249" s="577"/>
      <c r="P249" s="578"/>
      <c r="Q249" s="577"/>
      <c r="R249" s="578"/>
      <c r="S249" s="577"/>
      <c r="T249" s="578"/>
      <c r="U249" s="577"/>
      <c r="V249" s="578"/>
      <c r="W249" s="577"/>
      <c r="X249" s="578"/>
      <c r="Y249" s="577"/>
      <c r="Z249" s="578"/>
      <c r="AA249" s="577"/>
      <c r="AB249" s="578"/>
      <c r="AC249" s="577"/>
      <c r="AD249" s="578"/>
      <c r="AE249" s="577"/>
      <c r="AF249" s="579"/>
      <c r="AG249" s="577"/>
      <c r="AH249" s="579"/>
      <c r="AI249" s="577"/>
      <c r="AJ249" s="579"/>
      <c r="AK249" s="577"/>
      <c r="AL249" s="579"/>
      <c r="AM249" s="580"/>
      <c r="AN249" s="579"/>
      <c r="AO249" s="577"/>
      <c r="AP249" s="579"/>
      <c r="AQ249" s="580"/>
      <c r="AR249" s="579"/>
      <c r="AS249" s="579"/>
      <c r="AT249" s="579"/>
      <c r="AU249" s="580"/>
      <c r="AV249" s="579"/>
      <c r="AW249" s="579"/>
      <c r="AX249" s="158"/>
      <c r="AY249" s="154"/>
      <c r="AZ249">
        <f ca="1">INDIRECT(ADDRESS(ROW()+1,COLUMN(Arbeitszeit!xDay),,,"Arbeitszeit"))</f>
        <v>6</v>
      </c>
    </row>
    <row r="250" spans="1:52">
      <c r="A250" s="520">
        <f>Arbeitszeit!A251</f>
        <v>43710</v>
      </c>
      <c r="B250" s="521">
        <f t="shared" si="12"/>
        <v>43710</v>
      </c>
      <c r="C250" s="191">
        <f t="shared" si="13"/>
        <v>35</v>
      </c>
      <c r="D250" s="190">
        <f t="shared" si="14"/>
        <v>43708</v>
      </c>
      <c r="E250" s="589">
        <f>Arbeitszeit!V251*24</f>
        <v>0</v>
      </c>
      <c r="F250" s="349">
        <f t="shared" si="15"/>
        <v>0</v>
      </c>
      <c r="G250" s="155">
        <f>IF(Arbeitszeit!F251=Urlaub,B_WorkTime*24,)</f>
        <v>0</v>
      </c>
      <c r="H250" s="153"/>
      <c r="I250" s="155">
        <f>IF(Arbeitszeit!F251=Krank,B_WorkTime*24,)</f>
        <v>0</v>
      </c>
      <c r="J250" s="153"/>
      <c r="K250" s="156"/>
      <c r="L250" s="157"/>
      <c r="M250" s="577"/>
      <c r="N250" s="578"/>
      <c r="O250" s="577"/>
      <c r="P250" s="578"/>
      <c r="Q250" s="577"/>
      <c r="R250" s="578"/>
      <c r="S250" s="577"/>
      <c r="T250" s="581"/>
      <c r="U250" s="577"/>
      <c r="V250" s="578"/>
      <c r="W250" s="577"/>
      <c r="X250" s="578"/>
      <c r="Y250" s="577"/>
      <c r="Z250" s="578"/>
      <c r="AA250" s="577"/>
      <c r="AB250" s="578"/>
      <c r="AC250" s="577"/>
      <c r="AD250" s="578"/>
      <c r="AE250" s="577"/>
      <c r="AF250" s="579"/>
      <c r="AG250" s="577"/>
      <c r="AH250" s="579"/>
      <c r="AI250" s="577"/>
      <c r="AJ250" s="579"/>
      <c r="AK250" s="577"/>
      <c r="AL250" s="579"/>
      <c r="AM250" s="580"/>
      <c r="AN250" s="579"/>
      <c r="AO250" s="577"/>
      <c r="AP250" s="579"/>
      <c r="AQ250" s="580"/>
      <c r="AR250" s="579"/>
      <c r="AS250" s="579"/>
      <c r="AT250" s="579"/>
      <c r="AU250" s="580"/>
      <c r="AV250" s="579"/>
      <c r="AW250" s="579"/>
      <c r="AX250" s="158"/>
      <c r="AY250" s="154"/>
      <c r="AZ250">
        <f ca="1">INDIRECT(ADDRESS(ROW()+1,COLUMN(Arbeitszeit!xDay),,,"Arbeitszeit"))</f>
        <v>7</v>
      </c>
    </row>
    <row r="251" spans="1:52">
      <c r="A251" s="520">
        <f>Arbeitszeit!A252</f>
        <v>43711</v>
      </c>
      <c r="B251" s="521">
        <f t="shared" si="12"/>
        <v>43711</v>
      </c>
      <c r="C251" s="191">
        <f t="shared" si="13"/>
        <v>36</v>
      </c>
      <c r="D251" s="190">
        <f t="shared" si="14"/>
        <v>43708</v>
      </c>
      <c r="E251" s="589">
        <f>Arbeitszeit!V252*24</f>
        <v>0</v>
      </c>
      <c r="F251" s="349">
        <f t="shared" si="15"/>
        <v>0</v>
      </c>
      <c r="G251" s="155">
        <f>IF(Arbeitszeit!F252=Urlaub,B_WorkTime*24,)</f>
        <v>0</v>
      </c>
      <c r="H251" s="153"/>
      <c r="I251" s="155">
        <f>IF(Arbeitszeit!F252=Krank,B_WorkTime*24,)</f>
        <v>0</v>
      </c>
      <c r="J251" s="153"/>
      <c r="K251" s="156"/>
      <c r="L251" s="157"/>
      <c r="M251" s="577"/>
      <c r="N251" s="578"/>
      <c r="O251" s="577"/>
      <c r="P251" s="578"/>
      <c r="Q251" s="577"/>
      <c r="R251" s="578"/>
      <c r="S251" s="577"/>
      <c r="T251" s="578"/>
      <c r="U251" s="577"/>
      <c r="V251" s="578"/>
      <c r="W251" s="577"/>
      <c r="X251" s="578"/>
      <c r="Y251" s="577"/>
      <c r="Z251" s="578"/>
      <c r="AA251" s="577"/>
      <c r="AB251" s="578"/>
      <c r="AC251" s="577"/>
      <c r="AD251" s="578"/>
      <c r="AE251" s="577"/>
      <c r="AF251" s="579"/>
      <c r="AG251" s="577"/>
      <c r="AH251" s="579"/>
      <c r="AI251" s="577"/>
      <c r="AJ251" s="579"/>
      <c r="AK251" s="577"/>
      <c r="AL251" s="579"/>
      <c r="AM251" s="580"/>
      <c r="AN251" s="579"/>
      <c r="AO251" s="577"/>
      <c r="AP251" s="579"/>
      <c r="AQ251" s="580"/>
      <c r="AR251" s="579"/>
      <c r="AS251" s="579"/>
      <c r="AT251" s="579"/>
      <c r="AU251" s="580"/>
      <c r="AV251" s="579"/>
      <c r="AW251" s="579"/>
      <c r="AX251" s="158"/>
      <c r="AY251" s="154"/>
      <c r="AZ251">
        <f ca="1">INDIRECT(ADDRESS(ROW()+1,COLUMN(Arbeitszeit!xDay),,,"Arbeitszeit"))</f>
        <v>1</v>
      </c>
    </row>
    <row r="252" spans="1:52">
      <c r="A252" s="520">
        <f>Arbeitszeit!A253</f>
        <v>43712</v>
      </c>
      <c r="B252" s="521">
        <f t="shared" si="12"/>
        <v>43712</v>
      </c>
      <c r="C252" s="191">
        <f t="shared" si="13"/>
        <v>36</v>
      </c>
      <c r="D252" s="190">
        <f t="shared" si="14"/>
        <v>43708</v>
      </c>
      <c r="E252" s="589">
        <f>Arbeitszeit!V253*24</f>
        <v>0</v>
      </c>
      <c r="F252" s="349">
        <f t="shared" si="15"/>
        <v>0</v>
      </c>
      <c r="G252" s="155">
        <f>IF(Arbeitszeit!F253=Urlaub,B_WorkTime*24,)</f>
        <v>0</v>
      </c>
      <c r="H252" s="153"/>
      <c r="I252" s="155">
        <f>IF(Arbeitszeit!F253=Krank,B_WorkTime*24,)</f>
        <v>0</v>
      </c>
      <c r="J252" s="153"/>
      <c r="K252" s="156"/>
      <c r="L252" s="157"/>
      <c r="M252" s="577"/>
      <c r="N252" s="578"/>
      <c r="O252" s="577"/>
      <c r="P252" s="578"/>
      <c r="Q252" s="577"/>
      <c r="R252" s="578"/>
      <c r="S252" s="577"/>
      <c r="T252" s="578"/>
      <c r="U252" s="577"/>
      <c r="V252" s="578"/>
      <c r="W252" s="577"/>
      <c r="X252" s="578"/>
      <c r="Y252" s="577"/>
      <c r="Z252" s="578"/>
      <c r="AA252" s="577"/>
      <c r="AB252" s="578"/>
      <c r="AC252" s="577"/>
      <c r="AD252" s="578"/>
      <c r="AE252" s="577"/>
      <c r="AF252" s="579"/>
      <c r="AG252" s="577"/>
      <c r="AH252" s="579"/>
      <c r="AI252" s="577"/>
      <c r="AJ252" s="579"/>
      <c r="AK252" s="577"/>
      <c r="AL252" s="579"/>
      <c r="AM252" s="580"/>
      <c r="AN252" s="579"/>
      <c r="AO252" s="577"/>
      <c r="AP252" s="579"/>
      <c r="AQ252" s="580"/>
      <c r="AR252" s="579"/>
      <c r="AS252" s="579"/>
      <c r="AT252" s="579"/>
      <c r="AU252" s="580"/>
      <c r="AV252" s="579"/>
      <c r="AW252" s="579"/>
      <c r="AX252" s="158"/>
      <c r="AY252" s="154"/>
      <c r="AZ252">
        <f ca="1">INDIRECT(ADDRESS(ROW()+1,COLUMN(Arbeitszeit!xDay),,,"Arbeitszeit"))</f>
        <v>2</v>
      </c>
    </row>
    <row r="253" spans="1:52">
      <c r="A253" s="520">
        <f>Arbeitszeit!A254</f>
        <v>43713</v>
      </c>
      <c r="B253" s="521">
        <f t="shared" si="12"/>
        <v>43713</v>
      </c>
      <c r="C253" s="191">
        <f t="shared" si="13"/>
        <v>36</v>
      </c>
      <c r="D253" s="190">
        <f t="shared" si="14"/>
        <v>43708</v>
      </c>
      <c r="E253" s="589">
        <f>Arbeitszeit!V254*24</f>
        <v>0</v>
      </c>
      <c r="F253" s="349">
        <f t="shared" si="15"/>
        <v>0</v>
      </c>
      <c r="G253" s="155">
        <f>IF(Arbeitszeit!F254=Urlaub,B_WorkTime*24,)</f>
        <v>0</v>
      </c>
      <c r="H253" s="153"/>
      <c r="I253" s="155">
        <f>IF(Arbeitszeit!F254=Krank,B_WorkTime*24,)</f>
        <v>0</v>
      </c>
      <c r="J253" s="153"/>
      <c r="K253" s="156"/>
      <c r="L253" s="157"/>
      <c r="M253" s="577"/>
      <c r="N253" s="578"/>
      <c r="O253" s="577"/>
      <c r="P253" s="578"/>
      <c r="Q253" s="577"/>
      <c r="R253" s="578"/>
      <c r="S253" s="577"/>
      <c r="T253" s="578"/>
      <c r="U253" s="577"/>
      <c r="V253" s="578"/>
      <c r="W253" s="577"/>
      <c r="X253" s="578"/>
      <c r="Y253" s="577"/>
      <c r="Z253" s="578"/>
      <c r="AA253" s="577"/>
      <c r="AB253" s="578"/>
      <c r="AC253" s="577"/>
      <c r="AD253" s="578"/>
      <c r="AE253" s="577"/>
      <c r="AF253" s="579"/>
      <c r="AG253" s="577"/>
      <c r="AH253" s="579"/>
      <c r="AI253" s="577"/>
      <c r="AJ253" s="579"/>
      <c r="AK253" s="577"/>
      <c r="AL253" s="579"/>
      <c r="AM253" s="580"/>
      <c r="AN253" s="579"/>
      <c r="AO253" s="577"/>
      <c r="AP253" s="579"/>
      <c r="AQ253" s="580"/>
      <c r="AR253" s="579"/>
      <c r="AS253" s="579"/>
      <c r="AT253" s="579"/>
      <c r="AU253" s="580"/>
      <c r="AV253" s="579"/>
      <c r="AW253" s="579"/>
      <c r="AX253" s="158"/>
      <c r="AY253" s="154"/>
      <c r="AZ253">
        <f ca="1">INDIRECT(ADDRESS(ROW()+1,COLUMN(Arbeitszeit!xDay),,,"Arbeitszeit"))</f>
        <v>3</v>
      </c>
    </row>
    <row r="254" spans="1:52">
      <c r="A254" s="520">
        <f>Arbeitszeit!A255</f>
        <v>43714</v>
      </c>
      <c r="B254" s="521">
        <f t="shared" si="12"/>
        <v>43714</v>
      </c>
      <c r="C254" s="191">
        <f t="shared" si="13"/>
        <v>36</v>
      </c>
      <c r="D254" s="190">
        <f t="shared" si="14"/>
        <v>43708</v>
      </c>
      <c r="E254" s="589">
        <f>Arbeitszeit!V255*24</f>
        <v>0</v>
      </c>
      <c r="F254" s="349">
        <f t="shared" si="15"/>
        <v>0</v>
      </c>
      <c r="G254" s="155">
        <f>IF(Arbeitszeit!F255=Urlaub,B_WorkTime*24,)</f>
        <v>0</v>
      </c>
      <c r="H254" s="153"/>
      <c r="I254" s="155">
        <f>IF(Arbeitszeit!F255=Krank,B_WorkTime*24,)</f>
        <v>0</v>
      </c>
      <c r="J254" s="153"/>
      <c r="K254" s="156"/>
      <c r="L254" s="157"/>
      <c r="M254" s="577"/>
      <c r="N254" s="578"/>
      <c r="O254" s="577"/>
      <c r="P254" s="578"/>
      <c r="Q254" s="577"/>
      <c r="R254" s="578"/>
      <c r="S254" s="577"/>
      <c r="T254" s="578"/>
      <c r="U254" s="577"/>
      <c r="V254" s="578"/>
      <c r="W254" s="577"/>
      <c r="X254" s="578"/>
      <c r="Y254" s="577"/>
      <c r="Z254" s="578"/>
      <c r="AA254" s="577"/>
      <c r="AB254" s="578"/>
      <c r="AC254" s="577"/>
      <c r="AD254" s="578"/>
      <c r="AE254" s="577"/>
      <c r="AF254" s="579"/>
      <c r="AG254" s="577"/>
      <c r="AH254" s="579"/>
      <c r="AI254" s="577"/>
      <c r="AJ254" s="579"/>
      <c r="AK254" s="577"/>
      <c r="AL254" s="579"/>
      <c r="AM254" s="580"/>
      <c r="AN254" s="579"/>
      <c r="AO254" s="577"/>
      <c r="AP254" s="579"/>
      <c r="AQ254" s="580"/>
      <c r="AR254" s="579"/>
      <c r="AS254" s="579"/>
      <c r="AT254" s="579"/>
      <c r="AU254" s="580"/>
      <c r="AV254" s="579"/>
      <c r="AW254" s="579"/>
      <c r="AX254" s="158"/>
      <c r="AY254" s="154"/>
      <c r="AZ254">
        <f ca="1">INDIRECT(ADDRESS(ROW()+1,COLUMN(Arbeitszeit!xDay),,,"Arbeitszeit"))</f>
        <v>4</v>
      </c>
    </row>
    <row r="255" spans="1:52">
      <c r="A255" s="520">
        <f>Arbeitszeit!A256</f>
        <v>43715</v>
      </c>
      <c r="B255" s="521">
        <f t="shared" si="12"/>
        <v>43715</v>
      </c>
      <c r="C255" s="191">
        <f t="shared" si="13"/>
        <v>36</v>
      </c>
      <c r="D255" s="190">
        <f t="shared" si="14"/>
        <v>43708</v>
      </c>
      <c r="E255" s="589">
        <f>Arbeitszeit!V256*24</f>
        <v>0</v>
      </c>
      <c r="F255" s="349">
        <f t="shared" si="15"/>
        <v>0</v>
      </c>
      <c r="G255" s="155">
        <f>IF(Arbeitszeit!F256=Urlaub,B_WorkTime*24,)</f>
        <v>0</v>
      </c>
      <c r="H255" s="153"/>
      <c r="I255" s="155">
        <f>IF(Arbeitszeit!F256=Krank,B_WorkTime*24,)</f>
        <v>0</v>
      </c>
      <c r="J255" s="153"/>
      <c r="K255" s="156"/>
      <c r="L255" s="157"/>
      <c r="M255" s="577"/>
      <c r="N255" s="578"/>
      <c r="O255" s="577"/>
      <c r="P255" s="578"/>
      <c r="Q255" s="577"/>
      <c r="R255" s="578"/>
      <c r="S255" s="577"/>
      <c r="T255" s="578"/>
      <c r="U255" s="577"/>
      <c r="V255" s="578"/>
      <c r="W255" s="577"/>
      <c r="X255" s="578"/>
      <c r="Y255" s="577"/>
      <c r="Z255" s="578"/>
      <c r="AA255" s="577"/>
      <c r="AB255" s="578"/>
      <c r="AC255" s="577"/>
      <c r="AD255" s="578"/>
      <c r="AE255" s="577"/>
      <c r="AF255" s="579"/>
      <c r="AG255" s="577"/>
      <c r="AH255" s="579"/>
      <c r="AI255" s="577"/>
      <c r="AJ255" s="579"/>
      <c r="AK255" s="577"/>
      <c r="AL255" s="579"/>
      <c r="AM255" s="580"/>
      <c r="AN255" s="579"/>
      <c r="AO255" s="577"/>
      <c r="AP255" s="579"/>
      <c r="AQ255" s="580"/>
      <c r="AR255" s="579"/>
      <c r="AS255" s="579"/>
      <c r="AT255" s="579"/>
      <c r="AU255" s="580"/>
      <c r="AV255" s="579"/>
      <c r="AW255" s="579"/>
      <c r="AX255" s="158"/>
      <c r="AY255" s="154"/>
      <c r="AZ255">
        <f ca="1">INDIRECT(ADDRESS(ROW()+1,COLUMN(Arbeitszeit!xDay),,,"Arbeitszeit"))</f>
        <v>5</v>
      </c>
    </row>
    <row r="256" spans="1:52">
      <c r="A256" s="520">
        <f>Arbeitszeit!A257</f>
        <v>43716</v>
      </c>
      <c r="B256" s="521">
        <f t="shared" si="12"/>
        <v>43716</v>
      </c>
      <c r="C256" s="191">
        <f t="shared" si="13"/>
        <v>36</v>
      </c>
      <c r="D256" s="190">
        <f t="shared" si="14"/>
        <v>43708</v>
      </c>
      <c r="E256" s="589">
        <f>Arbeitszeit!V257*24</f>
        <v>0</v>
      </c>
      <c r="F256" s="349">
        <f t="shared" si="15"/>
        <v>0</v>
      </c>
      <c r="G256" s="155">
        <f>IF(Arbeitszeit!F257=Urlaub,B_WorkTime*24,)</f>
        <v>0</v>
      </c>
      <c r="H256" s="153"/>
      <c r="I256" s="155">
        <f>IF(Arbeitszeit!F257=Krank,B_WorkTime*24,)</f>
        <v>0</v>
      </c>
      <c r="J256" s="153"/>
      <c r="K256" s="156"/>
      <c r="L256" s="157"/>
      <c r="M256" s="577"/>
      <c r="N256" s="578"/>
      <c r="O256" s="577"/>
      <c r="P256" s="578"/>
      <c r="Q256" s="577"/>
      <c r="R256" s="578"/>
      <c r="S256" s="577"/>
      <c r="T256" s="578"/>
      <c r="U256" s="577"/>
      <c r="V256" s="578"/>
      <c r="W256" s="577"/>
      <c r="X256" s="578"/>
      <c r="Y256" s="577"/>
      <c r="Z256" s="578"/>
      <c r="AA256" s="577"/>
      <c r="AB256" s="578"/>
      <c r="AC256" s="577"/>
      <c r="AD256" s="578"/>
      <c r="AE256" s="577"/>
      <c r="AF256" s="579"/>
      <c r="AG256" s="577"/>
      <c r="AH256" s="579"/>
      <c r="AI256" s="577"/>
      <c r="AJ256" s="579"/>
      <c r="AK256" s="577"/>
      <c r="AL256" s="579"/>
      <c r="AM256" s="580"/>
      <c r="AN256" s="579"/>
      <c r="AO256" s="577"/>
      <c r="AP256" s="579"/>
      <c r="AQ256" s="580"/>
      <c r="AR256" s="579"/>
      <c r="AS256" s="579"/>
      <c r="AT256" s="579"/>
      <c r="AU256" s="580"/>
      <c r="AV256" s="579"/>
      <c r="AW256" s="579"/>
      <c r="AX256" s="158"/>
      <c r="AY256" s="154"/>
      <c r="AZ256">
        <f ca="1">INDIRECT(ADDRESS(ROW()+1,COLUMN(Arbeitszeit!xDay),,,"Arbeitszeit"))</f>
        <v>6</v>
      </c>
    </row>
    <row r="257" spans="1:52">
      <c r="A257" s="520">
        <f>Arbeitszeit!A258</f>
        <v>43717</v>
      </c>
      <c r="B257" s="521">
        <f t="shared" si="12"/>
        <v>43717</v>
      </c>
      <c r="C257" s="191">
        <f t="shared" si="13"/>
        <v>36</v>
      </c>
      <c r="D257" s="190">
        <f t="shared" si="14"/>
        <v>43708</v>
      </c>
      <c r="E257" s="589">
        <f>Arbeitszeit!V258*24</f>
        <v>0</v>
      </c>
      <c r="F257" s="349">
        <f t="shared" si="15"/>
        <v>0</v>
      </c>
      <c r="G257" s="155">
        <f>IF(Arbeitszeit!F258=Urlaub,B_WorkTime*24,)</f>
        <v>0</v>
      </c>
      <c r="H257" s="153"/>
      <c r="I257" s="155">
        <f>IF(Arbeitszeit!F258=Krank,B_WorkTime*24,)</f>
        <v>0</v>
      </c>
      <c r="J257" s="153"/>
      <c r="K257" s="156"/>
      <c r="L257" s="157"/>
      <c r="M257" s="577"/>
      <c r="N257" s="578"/>
      <c r="O257" s="577"/>
      <c r="P257" s="578"/>
      <c r="Q257" s="577"/>
      <c r="R257" s="578"/>
      <c r="S257" s="577"/>
      <c r="T257" s="578"/>
      <c r="U257" s="577"/>
      <c r="V257" s="578"/>
      <c r="W257" s="577"/>
      <c r="X257" s="578"/>
      <c r="Y257" s="577"/>
      <c r="Z257" s="578"/>
      <c r="AA257" s="577"/>
      <c r="AB257" s="578"/>
      <c r="AC257" s="577"/>
      <c r="AD257" s="578"/>
      <c r="AE257" s="577"/>
      <c r="AF257" s="579"/>
      <c r="AG257" s="577"/>
      <c r="AH257" s="579"/>
      <c r="AI257" s="577"/>
      <c r="AJ257" s="579"/>
      <c r="AK257" s="577"/>
      <c r="AL257" s="579"/>
      <c r="AM257" s="580"/>
      <c r="AN257" s="579"/>
      <c r="AO257" s="577"/>
      <c r="AP257" s="579"/>
      <c r="AQ257" s="580"/>
      <c r="AR257" s="579"/>
      <c r="AS257" s="579"/>
      <c r="AT257" s="579"/>
      <c r="AU257" s="580"/>
      <c r="AV257" s="579"/>
      <c r="AW257" s="579"/>
      <c r="AX257" s="158"/>
      <c r="AY257" s="154"/>
      <c r="AZ257">
        <f ca="1">INDIRECT(ADDRESS(ROW()+1,COLUMN(Arbeitszeit!xDay),,,"Arbeitszeit"))</f>
        <v>7</v>
      </c>
    </row>
    <row r="258" spans="1:52">
      <c r="A258" s="520">
        <f>Arbeitszeit!A259</f>
        <v>43718</v>
      </c>
      <c r="B258" s="521">
        <f t="shared" si="12"/>
        <v>43718</v>
      </c>
      <c r="C258" s="191">
        <f t="shared" si="13"/>
        <v>37</v>
      </c>
      <c r="D258" s="190">
        <f t="shared" si="14"/>
        <v>43708</v>
      </c>
      <c r="E258" s="589">
        <f>Arbeitszeit!V259*24</f>
        <v>0</v>
      </c>
      <c r="F258" s="349">
        <f t="shared" si="15"/>
        <v>0</v>
      </c>
      <c r="G258" s="155">
        <f>IF(Arbeitszeit!F259=Urlaub,B_WorkTime*24,)</f>
        <v>0</v>
      </c>
      <c r="H258" s="153"/>
      <c r="I258" s="155">
        <f>IF(Arbeitszeit!F259=Krank,B_WorkTime*24,)</f>
        <v>0</v>
      </c>
      <c r="J258" s="153"/>
      <c r="K258" s="156"/>
      <c r="L258" s="157"/>
      <c r="M258" s="577"/>
      <c r="N258" s="578"/>
      <c r="O258" s="577"/>
      <c r="P258" s="578"/>
      <c r="Q258" s="577"/>
      <c r="R258" s="578"/>
      <c r="S258" s="577"/>
      <c r="T258" s="578"/>
      <c r="U258" s="577"/>
      <c r="V258" s="578"/>
      <c r="W258" s="577"/>
      <c r="X258" s="578"/>
      <c r="Y258" s="577"/>
      <c r="Z258" s="578"/>
      <c r="AA258" s="577"/>
      <c r="AB258" s="578"/>
      <c r="AC258" s="577"/>
      <c r="AD258" s="578"/>
      <c r="AE258" s="577"/>
      <c r="AF258" s="579"/>
      <c r="AG258" s="577"/>
      <c r="AH258" s="579"/>
      <c r="AI258" s="577"/>
      <c r="AJ258" s="579"/>
      <c r="AK258" s="577"/>
      <c r="AL258" s="579"/>
      <c r="AM258" s="580"/>
      <c r="AN258" s="579"/>
      <c r="AO258" s="577"/>
      <c r="AP258" s="579"/>
      <c r="AQ258" s="580"/>
      <c r="AR258" s="579"/>
      <c r="AS258" s="579"/>
      <c r="AT258" s="579"/>
      <c r="AU258" s="580"/>
      <c r="AV258" s="579"/>
      <c r="AW258" s="579"/>
      <c r="AX258" s="158"/>
      <c r="AY258" s="154"/>
      <c r="AZ258">
        <f ca="1">INDIRECT(ADDRESS(ROW()+1,COLUMN(Arbeitszeit!xDay),,,"Arbeitszeit"))</f>
        <v>1</v>
      </c>
    </row>
    <row r="259" spans="1:52">
      <c r="A259" s="520">
        <f>Arbeitszeit!A260</f>
        <v>43719</v>
      </c>
      <c r="B259" s="521">
        <f t="shared" si="12"/>
        <v>43719</v>
      </c>
      <c r="C259" s="191">
        <f t="shared" si="13"/>
        <v>37</v>
      </c>
      <c r="D259" s="190">
        <f t="shared" si="14"/>
        <v>43708</v>
      </c>
      <c r="E259" s="589">
        <f>Arbeitszeit!V260*24</f>
        <v>0</v>
      </c>
      <c r="F259" s="349">
        <f t="shared" si="15"/>
        <v>0</v>
      </c>
      <c r="G259" s="155">
        <f>IF(Arbeitszeit!F260=Urlaub,B_WorkTime*24,)</f>
        <v>0</v>
      </c>
      <c r="H259" s="153"/>
      <c r="I259" s="155">
        <f>IF(Arbeitszeit!F260=Krank,B_WorkTime*24,)</f>
        <v>0</v>
      </c>
      <c r="J259" s="153"/>
      <c r="K259" s="156"/>
      <c r="L259" s="157"/>
      <c r="M259" s="577"/>
      <c r="N259" s="578"/>
      <c r="O259" s="577"/>
      <c r="P259" s="578"/>
      <c r="Q259" s="577"/>
      <c r="R259" s="578"/>
      <c r="S259" s="577"/>
      <c r="T259" s="578"/>
      <c r="U259" s="577"/>
      <c r="V259" s="578"/>
      <c r="W259" s="577"/>
      <c r="X259" s="578"/>
      <c r="Y259" s="577"/>
      <c r="Z259" s="578"/>
      <c r="AA259" s="577"/>
      <c r="AB259" s="578"/>
      <c r="AC259" s="577"/>
      <c r="AD259" s="578"/>
      <c r="AE259" s="577"/>
      <c r="AF259" s="579"/>
      <c r="AG259" s="577"/>
      <c r="AH259" s="579"/>
      <c r="AI259" s="577"/>
      <c r="AJ259" s="579"/>
      <c r="AK259" s="577"/>
      <c r="AL259" s="579"/>
      <c r="AM259" s="580"/>
      <c r="AN259" s="579"/>
      <c r="AO259" s="577"/>
      <c r="AP259" s="579"/>
      <c r="AQ259" s="580"/>
      <c r="AR259" s="579"/>
      <c r="AS259" s="579"/>
      <c r="AT259" s="579"/>
      <c r="AU259" s="580"/>
      <c r="AV259" s="579"/>
      <c r="AW259" s="579"/>
      <c r="AX259" s="158"/>
      <c r="AY259" s="154"/>
      <c r="AZ259">
        <f ca="1">INDIRECT(ADDRESS(ROW()+1,COLUMN(Arbeitszeit!xDay),,,"Arbeitszeit"))</f>
        <v>2</v>
      </c>
    </row>
    <row r="260" spans="1:52">
      <c r="A260" s="520">
        <f>Arbeitszeit!A261</f>
        <v>43720</v>
      </c>
      <c r="B260" s="521">
        <f t="shared" si="12"/>
        <v>43720</v>
      </c>
      <c r="C260" s="191">
        <f t="shared" si="13"/>
        <v>37</v>
      </c>
      <c r="D260" s="190">
        <f t="shared" si="14"/>
        <v>43708</v>
      </c>
      <c r="E260" s="589">
        <f>Arbeitszeit!V261*24</f>
        <v>0</v>
      </c>
      <c r="F260" s="349">
        <f t="shared" si="15"/>
        <v>0</v>
      </c>
      <c r="G260" s="155">
        <f>IF(Arbeitszeit!F261=Urlaub,B_WorkTime*24,)</f>
        <v>0</v>
      </c>
      <c r="H260" s="153"/>
      <c r="I260" s="155">
        <f>IF(Arbeitszeit!F261=Krank,B_WorkTime*24,)</f>
        <v>0</v>
      </c>
      <c r="J260" s="153"/>
      <c r="K260" s="156"/>
      <c r="L260" s="157"/>
      <c r="M260" s="577"/>
      <c r="N260" s="578"/>
      <c r="O260" s="577"/>
      <c r="P260" s="578"/>
      <c r="Q260" s="577"/>
      <c r="R260" s="578"/>
      <c r="S260" s="577"/>
      <c r="T260" s="578"/>
      <c r="U260" s="577"/>
      <c r="V260" s="578"/>
      <c r="W260" s="577"/>
      <c r="X260" s="578"/>
      <c r="Y260" s="577"/>
      <c r="Z260" s="578"/>
      <c r="AA260" s="577"/>
      <c r="AB260" s="578"/>
      <c r="AC260" s="577"/>
      <c r="AD260" s="578"/>
      <c r="AE260" s="577"/>
      <c r="AF260" s="579"/>
      <c r="AG260" s="577"/>
      <c r="AH260" s="579"/>
      <c r="AI260" s="577"/>
      <c r="AJ260" s="579"/>
      <c r="AK260" s="577"/>
      <c r="AL260" s="579"/>
      <c r="AM260" s="580"/>
      <c r="AN260" s="579"/>
      <c r="AO260" s="577"/>
      <c r="AP260" s="579"/>
      <c r="AQ260" s="580"/>
      <c r="AR260" s="579"/>
      <c r="AS260" s="579"/>
      <c r="AT260" s="579"/>
      <c r="AU260" s="580"/>
      <c r="AV260" s="579"/>
      <c r="AW260" s="579"/>
      <c r="AX260" s="158"/>
      <c r="AY260" s="154"/>
      <c r="AZ260">
        <f ca="1">INDIRECT(ADDRESS(ROW()+1,COLUMN(Arbeitszeit!xDay),,,"Arbeitszeit"))</f>
        <v>3</v>
      </c>
    </row>
    <row r="261" spans="1:52">
      <c r="A261" s="520">
        <f>Arbeitszeit!A262</f>
        <v>43721</v>
      </c>
      <c r="B261" s="521">
        <f t="shared" si="12"/>
        <v>43721</v>
      </c>
      <c r="C261" s="191">
        <f t="shared" si="13"/>
        <v>37</v>
      </c>
      <c r="D261" s="190">
        <f t="shared" si="14"/>
        <v>43708</v>
      </c>
      <c r="E261" s="589">
        <f>Arbeitszeit!V262*24</f>
        <v>0</v>
      </c>
      <c r="F261" s="349">
        <f t="shared" si="15"/>
        <v>0</v>
      </c>
      <c r="G261" s="155">
        <f>IF(Arbeitszeit!F262=Urlaub,B_WorkTime*24,)</f>
        <v>0</v>
      </c>
      <c r="H261" s="153"/>
      <c r="I261" s="155">
        <f>IF(Arbeitszeit!F262=Krank,B_WorkTime*24,)</f>
        <v>0</v>
      </c>
      <c r="J261" s="153"/>
      <c r="K261" s="156"/>
      <c r="L261" s="157"/>
      <c r="M261" s="577"/>
      <c r="N261" s="578"/>
      <c r="O261" s="577"/>
      <c r="P261" s="578"/>
      <c r="Q261" s="577"/>
      <c r="R261" s="578"/>
      <c r="S261" s="577"/>
      <c r="T261" s="578"/>
      <c r="U261" s="577"/>
      <c r="V261" s="578"/>
      <c r="W261" s="577"/>
      <c r="X261" s="578"/>
      <c r="Y261" s="577"/>
      <c r="Z261" s="578"/>
      <c r="AA261" s="577"/>
      <c r="AB261" s="578"/>
      <c r="AC261" s="577"/>
      <c r="AD261" s="578"/>
      <c r="AE261" s="577"/>
      <c r="AF261" s="579"/>
      <c r="AG261" s="577"/>
      <c r="AH261" s="579"/>
      <c r="AI261" s="577"/>
      <c r="AJ261" s="579"/>
      <c r="AK261" s="577"/>
      <c r="AL261" s="579"/>
      <c r="AM261" s="580"/>
      <c r="AN261" s="579"/>
      <c r="AO261" s="577"/>
      <c r="AP261" s="579"/>
      <c r="AQ261" s="580"/>
      <c r="AR261" s="579"/>
      <c r="AS261" s="579"/>
      <c r="AT261" s="579"/>
      <c r="AU261" s="580"/>
      <c r="AV261" s="579"/>
      <c r="AW261" s="579"/>
      <c r="AX261" s="158"/>
      <c r="AY261" s="154"/>
      <c r="AZ261">
        <f ca="1">INDIRECT(ADDRESS(ROW()+1,COLUMN(Arbeitszeit!xDay),,,"Arbeitszeit"))</f>
        <v>4</v>
      </c>
    </row>
    <row r="262" spans="1:52">
      <c r="A262" s="520">
        <f>Arbeitszeit!A263</f>
        <v>43722</v>
      </c>
      <c r="B262" s="521">
        <f t="shared" ref="B262:B325" si="16">IF(A262="","",A262)</f>
        <v>43722</v>
      </c>
      <c r="C262" s="191">
        <f t="shared" si="13"/>
        <v>37</v>
      </c>
      <c r="D262" s="190">
        <f t="shared" si="14"/>
        <v>43708</v>
      </c>
      <c r="E262" s="589">
        <f>Arbeitszeit!V263*24</f>
        <v>0</v>
      </c>
      <c r="F262" s="349">
        <f t="shared" si="15"/>
        <v>0</v>
      </c>
      <c r="G262" s="155">
        <f>IF(Arbeitszeit!F263=Urlaub,B_WorkTime*24,)</f>
        <v>0</v>
      </c>
      <c r="H262" s="153"/>
      <c r="I262" s="155">
        <f>IF(Arbeitszeit!F263=Krank,B_WorkTime*24,)</f>
        <v>0</v>
      </c>
      <c r="J262" s="153"/>
      <c r="K262" s="156"/>
      <c r="L262" s="157"/>
      <c r="M262" s="577"/>
      <c r="N262" s="578"/>
      <c r="O262" s="577"/>
      <c r="P262" s="578"/>
      <c r="Q262" s="577"/>
      <c r="R262" s="578"/>
      <c r="S262" s="577"/>
      <c r="T262" s="578"/>
      <c r="U262" s="577"/>
      <c r="V262" s="578"/>
      <c r="W262" s="577"/>
      <c r="X262" s="578"/>
      <c r="Y262" s="577"/>
      <c r="Z262" s="578"/>
      <c r="AA262" s="577"/>
      <c r="AB262" s="578"/>
      <c r="AC262" s="577"/>
      <c r="AD262" s="578"/>
      <c r="AE262" s="577"/>
      <c r="AF262" s="579"/>
      <c r="AG262" s="577"/>
      <c r="AH262" s="579"/>
      <c r="AI262" s="577"/>
      <c r="AJ262" s="579"/>
      <c r="AK262" s="577"/>
      <c r="AL262" s="579"/>
      <c r="AM262" s="580"/>
      <c r="AN262" s="579"/>
      <c r="AO262" s="577"/>
      <c r="AP262" s="579"/>
      <c r="AQ262" s="580"/>
      <c r="AR262" s="579"/>
      <c r="AS262" s="579"/>
      <c r="AT262" s="579"/>
      <c r="AU262" s="580"/>
      <c r="AV262" s="579"/>
      <c r="AW262" s="579"/>
      <c r="AX262" s="158"/>
      <c r="AY262" s="154"/>
      <c r="AZ262">
        <f ca="1">INDIRECT(ADDRESS(ROW()+1,COLUMN(Arbeitszeit!xDay),,,"Arbeitszeit"))</f>
        <v>5</v>
      </c>
    </row>
    <row r="263" spans="1:52">
      <c r="A263" s="520">
        <f>Arbeitszeit!A264</f>
        <v>43723</v>
      </c>
      <c r="B263" s="521">
        <f t="shared" si="16"/>
        <v>43723</v>
      </c>
      <c r="C263" s="191">
        <f t="shared" ref="C263:C326" si="17">IF(A263="","",NumberOfWeek(A263))</f>
        <v>37</v>
      </c>
      <c r="D263" s="190">
        <f t="shared" ref="D263:D326" si="18">IF(A263="","",DATE(YEAR(A263),MONTH(A263),1))</f>
        <v>43708</v>
      </c>
      <c r="E263" s="589">
        <f>Arbeitszeit!V264*24</f>
        <v>0</v>
      </c>
      <c r="F263" s="349">
        <f t="shared" si="15"/>
        <v>0</v>
      </c>
      <c r="G263" s="155">
        <f>IF(Arbeitszeit!F264=Urlaub,B_WorkTime*24,)</f>
        <v>0</v>
      </c>
      <c r="H263" s="153"/>
      <c r="I263" s="155">
        <f>IF(Arbeitszeit!F264=Krank,B_WorkTime*24,)</f>
        <v>0</v>
      </c>
      <c r="J263" s="153"/>
      <c r="K263" s="156"/>
      <c r="L263" s="157"/>
      <c r="M263" s="577"/>
      <c r="N263" s="578"/>
      <c r="O263" s="577"/>
      <c r="P263" s="578"/>
      <c r="Q263" s="577"/>
      <c r="R263" s="578"/>
      <c r="S263" s="577"/>
      <c r="T263" s="578"/>
      <c r="U263" s="577"/>
      <c r="V263" s="578"/>
      <c r="W263" s="577"/>
      <c r="X263" s="578"/>
      <c r="Y263" s="577"/>
      <c r="Z263" s="578"/>
      <c r="AA263" s="577"/>
      <c r="AB263" s="578"/>
      <c r="AC263" s="577"/>
      <c r="AD263" s="578"/>
      <c r="AE263" s="577"/>
      <c r="AF263" s="579"/>
      <c r="AG263" s="577"/>
      <c r="AH263" s="579"/>
      <c r="AI263" s="577"/>
      <c r="AJ263" s="579"/>
      <c r="AK263" s="577"/>
      <c r="AL263" s="579"/>
      <c r="AM263" s="580"/>
      <c r="AN263" s="579"/>
      <c r="AO263" s="577"/>
      <c r="AP263" s="579"/>
      <c r="AQ263" s="580"/>
      <c r="AR263" s="579"/>
      <c r="AS263" s="579"/>
      <c r="AT263" s="579"/>
      <c r="AU263" s="580"/>
      <c r="AV263" s="579"/>
      <c r="AW263" s="579"/>
      <c r="AX263" s="158"/>
      <c r="AY263" s="154"/>
      <c r="AZ263">
        <f ca="1">INDIRECT(ADDRESS(ROW()+1,COLUMN(Arbeitszeit!xDay),,,"Arbeitszeit"))</f>
        <v>6</v>
      </c>
    </row>
    <row r="264" spans="1:52">
      <c r="A264" s="520">
        <f>Arbeitszeit!A265</f>
        <v>43724</v>
      </c>
      <c r="B264" s="521">
        <f t="shared" si="16"/>
        <v>43724</v>
      </c>
      <c r="C264" s="191">
        <f t="shared" si="17"/>
        <v>37</v>
      </c>
      <c r="D264" s="190">
        <f t="shared" si="18"/>
        <v>43708</v>
      </c>
      <c r="E264" s="589">
        <f>Arbeitszeit!V265*24</f>
        <v>0</v>
      </c>
      <c r="F264" s="349">
        <f t="shared" ref="F264:F327" si="19">ROUND(E264-SUM(K264:AW264),1)</f>
        <v>0</v>
      </c>
      <c r="G264" s="155">
        <f>IF(Arbeitszeit!F265=Urlaub,B_WorkTime*24,)</f>
        <v>0</v>
      </c>
      <c r="H264" s="153"/>
      <c r="I264" s="155">
        <f>IF(Arbeitszeit!F265=Krank,B_WorkTime*24,)</f>
        <v>0</v>
      </c>
      <c r="J264" s="153"/>
      <c r="K264" s="156"/>
      <c r="L264" s="157"/>
      <c r="M264" s="577"/>
      <c r="N264" s="578"/>
      <c r="O264" s="577"/>
      <c r="P264" s="578"/>
      <c r="Q264" s="577"/>
      <c r="R264" s="578"/>
      <c r="S264" s="577"/>
      <c r="T264" s="578"/>
      <c r="U264" s="577"/>
      <c r="V264" s="578"/>
      <c r="W264" s="577"/>
      <c r="X264" s="578"/>
      <c r="Y264" s="577"/>
      <c r="Z264" s="578"/>
      <c r="AA264" s="577"/>
      <c r="AB264" s="578"/>
      <c r="AC264" s="577"/>
      <c r="AD264" s="578"/>
      <c r="AE264" s="577"/>
      <c r="AF264" s="579"/>
      <c r="AG264" s="577"/>
      <c r="AH264" s="579"/>
      <c r="AI264" s="577"/>
      <c r="AJ264" s="579"/>
      <c r="AK264" s="577"/>
      <c r="AL264" s="579"/>
      <c r="AM264" s="580"/>
      <c r="AN264" s="579"/>
      <c r="AO264" s="577"/>
      <c r="AP264" s="579"/>
      <c r="AQ264" s="580"/>
      <c r="AR264" s="579"/>
      <c r="AS264" s="579"/>
      <c r="AT264" s="579"/>
      <c r="AU264" s="580"/>
      <c r="AV264" s="579"/>
      <c r="AW264" s="579"/>
      <c r="AX264" s="158"/>
      <c r="AY264" s="154"/>
      <c r="AZ264">
        <f ca="1">INDIRECT(ADDRESS(ROW()+1,COLUMN(Arbeitszeit!xDay),,,"Arbeitszeit"))</f>
        <v>7</v>
      </c>
    </row>
    <row r="265" spans="1:52">
      <c r="A265" s="520">
        <f>Arbeitszeit!A266</f>
        <v>43725</v>
      </c>
      <c r="B265" s="521">
        <f t="shared" si="16"/>
        <v>43725</v>
      </c>
      <c r="C265" s="191">
        <f t="shared" si="17"/>
        <v>38</v>
      </c>
      <c r="D265" s="190">
        <f t="shared" si="18"/>
        <v>43708</v>
      </c>
      <c r="E265" s="589">
        <f>Arbeitszeit!V266*24</f>
        <v>0</v>
      </c>
      <c r="F265" s="349">
        <f t="shared" si="19"/>
        <v>0</v>
      </c>
      <c r="G265" s="155">
        <f>IF(Arbeitszeit!F266=Urlaub,B_WorkTime*24,)</f>
        <v>0</v>
      </c>
      <c r="H265" s="153"/>
      <c r="I265" s="155">
        <f>IF(Arbeitszeit!F266=Krank,B_WorkTime*24,)</f>
        <v>0</v>
      </c>
      <c r="J265" s="153"/>
      <c r="K265" s="156"/>
      <c r="L265" s="157"/>
      <c r="M265" s="595"/>
      <c r="N265" s="578"/>
      <c r="O265" s="595"/>
      <c r="P265" s="578"/>
      <c r="Q265" s="577"/>
      <c r="R265" s="578"/>
      <c r="S265" s="577"/>
      <c r="T265" s="578"/>
      <c r="U265" s="577"/>
      <c r="V265" s="578"/>
      <c r="W265" s="577"/>
      <c r="X265" s="578"/>
      <c r="Y265" s="577"/>
      <c r="Z265" s="578"/>
      <c r="AA265" s="577"/>
      <c r="AB265" s="578"/>
      <c r="AC265" s="577"/>
      <c r="AD265" s="578"/>
      <c r="AE265" s="577"/>
      <c r="AF265" s="579"/>
      <c r="AG265" s="577"/>
      <c r="AH265" s="579"/>
      <c r="AI265" s="577"/>
      <c r="AJ265" s="579"/>
      <c r="AK265" s="577"/>
      <c r="AL265" s="579"/>
      <c r="AM265" s="580"/>
      <c r="AN265" s="579"/>
      <c r="AO265" s="577"/>
      <c r="AP265" s="579"/>
      <c r="AQ265" s="580"/>
      <c r="AR265" s="579"/>
      <c r="AS265" s="579"/>
      <c r="AT265" s="579"/>
      <c r="AU265" s="580"/>
      <c r="AV265" s="579"/>
      <c r="AW265" s="579"/>
      <c r="AX265" s="158"/>
      <c r="AY265" s="154"/>
      <c r="AZ265">
        <f ca="1">INDIRECT(ADDRESS(ROW()+1,COLUMN(Arbeitszeit!xDay),,,"Arbeitszeit"))</f>
        <v>1</v>
      </c>
    </row>
    <row r="266" spans="1:52">
      <c r="A266" s="520">
        <f>Arbeitszeit!A267</f>
        <v>43726</v>
      </c>
      <c r="B266" s="521">
        <f t="shared" si="16"/>
        <v>43726</v>
      </c>
      <c r="C266" s="191">
        <f t="shared" si="17"/>
        <v>38</v>
      </c>
      <c r="D266" s="190">
        <f t="shared" si="18"/>
        <v>43708</v>
      </c>
      <c r="E266" s="589">
        <f>Arbeitszeit!V267*24</f>
        <v>0</v>
      </c>
      <c r="F266" s="349">
        <f t="shared" si="19"/>
        <v>0</v>
      </c>
      <c r="G266" s="155">
        <f>IF(Arbeitszeit!F267=Urlaub,B_WorkTime*24,)</f>
        <v>0</v>
      </c>
      <c r="H266" s="153"/>
      <c r="I266" s="155">
        <f>IF(Arbeitszeit!F267=Krank,B_WorkTime*24,)</f>
        <v>0</v>
      </c>
      <c r="J266" s="153"/>
      <c r="K266" s="156"/>
      <c r="L266" s="157"/>
      <c r="M266" s="577"/>
      <c r="N266" s="578"/>
      <c r="O266" s="577"/>
      <c r="P266" s="578"/>
      <c r="Q266" s="577"/>
      <c r="R266" s="578"/>
      <c r="S266" s="577"/>
      <c r="T266" s="578"/>
      <c r="U266" s="577"/>
      <c r="V266" s="578"/>
      <c r="W266" s="577"/>
      <c r="X266" s="578"/>
      <c r="Y266" s="577"/>
      <c r="Z266" s="578"/>
      <c r="AA266" s="577"/>
      <c r="AB266" s="578"/>
      <c r="AC266" s="577"/>
      <c r="AD266" s="578"/>
      <c r="AE266" s="577"/>
      <c r="AF266" s="579"/>
      <c r="AG266" s="577"/>
      <c r="AH266" s="579"/>
      <c r="AI266" s="577"/>
      <c r="AJ266" s="579"/>
      <c r="AK266" s="577"/>
      <c r="AL266" s="579"/>
      <c r="AM266" s="580"/>
      <c r="AN266" s="579"/>
      <c r="AO266" s="577"/>
      <c r="AP266" s="579"/>
      <c r="AQ266" s="580"/>
      <c r="AR266" s="579"/>
      <c r="AS266" s="579"/>
      <c r="AT266" s="579"/>
      <c r="AU266" s="580"/>
      <c r="AV266" s="579"/>
      <c r="AW266" s="579"/>
      <c r="AX266" s="158"/>
      <c r="AY266" s="154"/>
      <c r="AZ266">
        <f ca="1">INDIRECT(ADDRESS(ROW()+1,COLUMN(Arbeitszeit!xDay),,,"Arbeitszeit"))</f>
        <v>2</v>
      </c>
    </row>
    <row r="267" spans="1:52">
      <c r="A267" s="520">
        <f>Arbeitszeit!A268</f>
        <v>43727</v>
      </c>
      <c r="B267" s="521">
        <f t="shared" si="16"/>
        <v>43727</v>
      </c>
      <c r="C267" s="191">
        <f t="shared" si="17"/>
        <v>38</v>
      </c>
      <c r="D267" s="190">
        <f t="shared" si="18"/>
        <v>43708</v>
      </c>
      <c r="E267" s="589">
        <f>Arbeitszeit!V268*24</f>
        <v>0</v>
      </c>
      <c r="F267" s="349">
        <f t="shared" si="19"/>
        <v>0</v>
      </c>
      <c r="G267" s="155">
        <f>IF(Arbeitszeit!F268=Urlaub,B_WorkTime*24,)</f>
        <v>0</v>
      </c>
      <c r="H267" s="153"/>
      <c r="I267" s="155">
        <f>IF(Arbeitszeit!F268=Krank,B_WorkTime*24,)</f>
        <v>0</v>
      </c>
      <c r="J267" s="153"/>
      <c r="K267" s="156"/>
      <c r="L267" s="157"/>
      <c r="M267" s="577"/>
      <c r="N267" s="578"/>
      <c r="O267" s="577"/>
      <c r="P267" s="578"/>
      <c r="Q267" s="577"/>
      <c r="R267" s="578"/>
      <c r="S267" s="577"/>
      <c r="T267" s="578"/>
      <c r="U267" s="577"/>
      <c r="V267" s="578"/>
      <c r="W267" s="577"/>
      <c r="X267" s="578"/>
      <c r="Y267" s="577"/>
      <c r="Z267" s="578"/>
      <c r="AA267" s="577"/>
      <c r="AB267" s="578"/>
      <c r="AC267" s="577"/>
      <c r="AD267" s="578"/>
      <c r="AE267" s="577"/>
      <c r="AF267" s="579"/>
      <c r="AG267" s="577"/>
      <c r="AH267" s="579"/>
      <c r="AI267" s="577"/>
      <c r="AJ267" s="579"/>
      <c r="AK267" s="577"/>
      <c r="AL267" s="579"/>
      <c r="AM267" s="580"/>
      <c r="AN267" s="579"/>
      <c r="AO267" s="577"/>
      <c r="AP267" s="579"/>
      <c r="AQ267" s="580"/>
      <c r="AR267" s="579"/>
      <c r="AS267" s="579"/>
      <c r="AT267" s="579"/>
      <c r="AU267" s="580"/>
      <c r="AV267" s="579"/>
      <c r="AW267" s="579"/>
      <c r="AX267" s="158"/>
      <c r="AY267" s="154"/>
      <c r="AZ267">
        <f ca="1">INDIRECT(ADDRESS(ROW()+1,COLUMN(Arbeitszeit!xDay),,,"Arbeitszeit"))</f>
        <v>3</v>
      </c>
    </row>
    <row r="268" spans="1:52">
      <c r="A268" s="520">
        <f>Arbeitszeit!A269</f>
        <v>43728</v>
      </c>
      <c r="B268" s="521">
        <f t="shared" si="16"/>
        <v>43728</v>
      </c>
      <c r="C268" s="191">
        <f t="shared" si="17"/>
        <v>38</v>
      </c>
      <c r="D268" s="190">
        <f t="shared" si="18"/>
        <v>43708</v>
      </c>
      <c r="E268" s="589">
        <f>Arbeitszeit!V269*24</f>
        <v>0</v>
      </c>
      <c r="F268" s="349">
        <f t="shared" si="19"/>
        <v>0</v>
      </c>
      <c r="G268" s="155">
        <f>IF(Arbeitszeit!F269=Urlaub,B_WorkTime*24,)</f>
        <v>0</v>
      </c>
      <c r="H268" s="153"/>
      <c r="I268" s="155">
        <f>IF(Arbeitszeit!F269=Krank,B_WorkTime*24,)</f>
        <v>0</v>
      </c>
      <c r="J268" s="153"/>
      <c r="K268" s="156"/>
      <c r="L268" s="157"/>
      <c r="M268" s="577"/>
      <c r="N268" s="578"/>
      <c r="O268" s="577"/>
      <c r="P268" s="578"/>
      <c r="Q268" s="577"/>
      <c r="R268" s="578"/>
      <c r="S268" s="577"/>
      <c r="T268" s="578"/>
      <c r="U268" s="577"/>
      <c r="V268" s="578"/>
      <c r="W268" s="577"/>
      <c r="X268" s="578"/>
      <c r="Y268" s="577"/>
      <c r="Z268" s="578"/>
      <c r="AA268" s="577"/>
      <c r="AB268" s="578"/>
      <c r="AC268" s="577"/>
      <c r="AD268" s="578"/>
      <c r="AE268" s="577"/>
      <c r="AF268" s="579"/>
      <c r="AG268" s="577"/>
      <c r="AH268" s="579"/>
      <c r="AI268" s="577"/>
      <c r="AJ268" s="579"/>
      <c r="AK268" s="577"/>
      <c r="AL268" s="579"/>
      <c r="AM268" s="580"/>
      <c r="AN268" s="579"/>
      <c r="AO268" s="577"/>
      <c r="AP268" s="579"/>
      <c r="AQ268" s="580"/>
      <c r="AR268" s="579"/>
      <c r="AS268" s="579"/>
      <c r="AT268" s="579"/>
      <c r="AU268" s="580"/>
      <c r="AV268" s="579"/>
      <c r="AW268" s="579"/>
      <c r="AX268" s="158"/>
      <c r="AY268" s="154"/>
      <c r="AZ268">
        <f ca="1">INDIRECT(ADDRESS(ROW()+1,COLUMN(Arbeitszeit!xDay),,,"Arbeitszeit"))</f>
        <v>4</v>
      </c>
    </row>
    <row r="269" spans="1:52">
      <c r="A269" s="520">
        <f>Arbeitszeit!A270</f>
        <v>43729</v>
      </c>
      <c r="B269" s="521">
        <f t="shared" si="16"/>
        <v>43729</v>
      </c>
      <c r="C269" s="191">
        <f t="shared" si="17"/>
        <v>38</v>
      </c>
      <c r="D269" s="190">
        <f t="shared" si="18"/>
        <v>43708</v>
      </c>
      <c r="E269" s="589">
        <f>Arbeitszeit!V270*24</f>
        <v>0</v>
      </c>
      <c r="F269" s="349">
        <f t="shared" si="19"/>
        <v>0</v>
      </c>
      <c r="G269" s="155">
        <f>IF(Arbeitszeit!F270=Urlaub,B_WorkTime*24,)</f>
        <v>0</v>
      </c>
      <c r="H269" s="153"/>
      <c r="I269" s="155">
        <f>IF(Arbeitszeit!F270=Krank,B_WorkTime*24,)</f>
        <v>0</v>
      </c>
      <c r="J269" s="153"/>
      <c r="K269" s="156"/>
      <c r="L269" s="157"/>
      <c r="M269" s="577"/>
      <c r="N269" s="578"/>
      <c r="O269" s="577"/>
      <c r="P269" s="578"/>
      <c r="Q269" s="577"/>
      <c r="R269" s="578"/>
      <c r="S269" s="577"/>
      <c r="T269" s="578"/>
      <c r="U269" s="577"/>
      <c r="V269" s="578"/>
      <c r="W269" s="577"/>
      <c r="X269" s="578"/>
      <c r="Y269" s="577"/>
      <c r="Z269" s="578"/>
      <c r="AA269" s="577"/>
      <c r="AB269" s="578"/>
      <c r="AC269" s="577"/>
      <c r="AD269" s="578"/>
      <c r="AE269" s="577"/>
      <c r="AF269" s="579"/>
      <c r="AG269" s="577"/>
      <c r="AH269" s="579"/>
      <c r="AI269" s="577"/>
      <c r="AJ269" s="579"/>
      <c r="AK269" s="577"/>
      <c r="AL269" s="579"/>
      <c r="AM269" s="580"/>
      <c r="AN269" s="579"/>
      <c r="AO269" s="577"/>
      <c r="AP269" s="579"/>
      <c r="AQ269" s="580"/>
      <c r="AR269" s="579"/>
      <c r="AS269" s="579"/>
      <c r="AT269" s="579"/>
      <c r="AU269" s="580"/>
      <c r="AV269" s="579"/>
      <c r="AW269" s="579"/>
      <c r="AX269" s="158"/>
      <c r="AY269" s="154"/>
      <c r="AZ269">
        <f ca="1">INDIRECT(ADDRESS(ROW()+1,COLUMN(Arbeitszeit!xDay),,,"Arbeitszeit"))</f>
        <v>5</v>
      </c>
    </row>
    <row r="270" spans="1:52">
      <c r="A270" s="520">
        <f>Arbeitszeit!A271</f>
        <v>43730</v>
      </c>
      <c r="B270" s="521">
        <f t="shared" si="16"/>
        <v>43730</v>
      </c>
      <c r="C270" s="191">
        <f t="shared" si="17"/>
        <v>38</v>
      </c>
      <c r="D270" s="190">
        <f t="shared" si="18"/>
        <v>43708</v>
      </c>
      <c r="E270" s="589">
        <f>Arbeitszeit!V271*24</f>
        <v>0</v>
      </c>
      <c r="F270" s="349">
        <f t="shared" si="19"/>
        <v>0</v>
      </c>
      <c r="G270" s="155">
        <f>IF(Arbeitszeit!F271=Urlaub,B_WorkTime*24,)</f>
        <v>0</v>
      </c>
      <c r="H270" s="153"/>
      <c r="I270" s="155">
        <f>IF(Arbeitszeit!F271=Krank,B_WorkTime*24,)</f>
        <v>0</v>
      </c>
      <c r="J270" s="153"/>
      <c r="K270" s="156"/>
      <c r="L270" s="157"/>
      <c r="M270" s="577"/>
      <c r="N270" s="578"/>
      <c r="O270" s="577"/>
      <c r="P270" s="578"/>
      <c r="Q270" s="577"/>
      <c r="R270" s="578"/>
      <c r="S270" s="577"/>
      <c r="T270" s="578"/>
      <c r="U270" s="577"/>
      <c r="V270" s="578"/>
      <c r="W270" s="577"/>
      <c r="X270" s="578"/>
      <c r="Y270" s="577"/>
      <c r="Z270" s="578"/>
      <c r="AA270" s="577"/>
      <c r="AB270" s="578"/>
      <c r="AC270" s="577"/>
      <c r="AD270" s="578"/>
      <c r="AE270" s="577"/>
      <c r="AF270" s="579"/>
      <c r="AG270" s="577"/>
      <c r="AH270" s="579"/>
      <c r="AI270" s="577"/>
      <c r="AJ270" s="579"/>
      <c r="AK270" s="577"/>
      <c r="AL270" s="579"/>
      <c r="AM270" s="580"/>
      <c r="AN270" s="579"/>
      <c r="AO270" s="577"/>
      <c r="AP270" s="579"/>
      <c r="AQ270" s="580"/>
      <c r="AR270" s="579"/>
      <c r="AS270" s="579"/>
      <c r="AT270" s="579"/>
      <c r="AU270" s="580"/>
      <c r="AV270" s="579"/>
      <c r="AW270" s="579"/>
      <c r="AX270" s="158"/>
      <c r="AY270" s="154"/>
      <c r="AZ270">
        <f ca="1">INDIRECT(ADDRESS(ROW()+1,COLUMN(Arbeitszeit!xDay),,,"Arbeitszeit"))</f>
        <v>6</v>
      </c>
    </row>
    <row r="271" spans="1:52">
      <c r="A271" s="520">
        <f>Arbeitszeit!A272</f>
        <v>43731</v>
      </c>
      <c r="B271" s="521">
        <f t="shared" si="16"/>
        <v>43731</v>
      </c>
      <c r="C271" s="191">
        <f t="shared" si="17"/>
        <v>38</v>
      </c>
      <c r="D271" s="190">
        <f t="shared" si="18"/>
        <v>43708</v>
      </c>
      <c r="E271" s="589">
        <f>Arbeitszeit!V272*24</f>
        <v>0</v>
      </c>
      <c r="F271" s="349">
        <f t="shared" si="19"/>
        <v>0</v>
      </c>
      <c r="G271" s="155">
        <f>IF(Arbeitszeit!F272=Urlaub,B_WorkTime*24,)</f>
        <v>0</v>
      </c>
      <c r="H271" s="153"/>
      <c r="I271" s="155">
        <f>IF(Arbeitszeit!F272=Krank,B_WorkTime*24,)</f>
        <v>0</v>
      </c>
      <c r="J271" s="153"/>
      <c r="K271" s="156"/>
      <c r="L271" s="157"/>
      <c r="M271" s="577"/>
      <c r="N271" s="578"/>
      <c r="O271" s="577"/>
      <c r="P271" s="578"/>
      <c r="Q271" s="577"/>
      <c r="R271" s="578"/>
      <c r="S271" s="577"/>
      <c r="T271" s="578"/>
      <c r="U271" s="577"/>
      <c r="V271" s="578"/>
      <c r="W271" s="577"/>
      <c r="X271" s="578"/>
      <c r="Y271" s="577"/>
      <c r="Z271" s="578"/>
      <c r="AA271" s="577"/>
      <c r="AB271" s="578"/>
      <c r="AC271" s="577"/>
      <c r="AD271" s="578"/>
      <c r="AE271" s="577"/>
      <c r="AF271" s="579"/>
      <c r="AG271" s="577"/>
      <c r="AH271" s="579"/>
      <c r="AI271" s="577"/>
      <c r="AJ271" s="579"/>
      <c r="AK271" s="577"/>
      <c r="AL271" s="579"/>
      <c r="AM271" s="580"/>
      <c r="AN271" s="579"/>
      <c r="AO271" s="577"/>
      <c r="AP271" s="579"/>
      <c r="AQ271" s="580"/>
      <c r="AR271" s="579"/>
      <c r="AS271" s="579"/>
      <c r="AT271" s="579"/>
      <c r="AU271" s="580"/>
      <c r="AV271" s="579"/>
      <c r="AW271" s="579"/>
      <c r="AX271" s="158"/>
      <c r="AY271" s="154"/>
      <c r="AZ271">
        <f ca="1">INDIRECT(ADDRESS(ROW()+1,COLUMN(Arbeitszeit!xDay),,,"Arbeitszeit"))</f>
        <v>7</v>
      </c>
    </row>
    <row r="272" spans="1:52">
      <c r="A272" s="520">
        <f>Arbeitszeit!A273</f>
        <v>43732</v>
      </c>
      <c r="B272" s="521">
        <f t="shared" si="16"/>
        <v>43732</v>
      </c>
      <c r="C272" s="191">
        <f t="shared" si="17"/>
        <v>39</v>
      </c>
      <c r="D272" s="190">
        <f t="shared" si="18"/>
        <v>43708</v>
      </c>
      <c r="E272" s="589">
        <f>Arbeitszeit!V273*24</f>
        <v>0</v>
      </c>
      <c r="F272" s="349">
        <f t="shared" si="19"/>
        <v>0</v>
      </c>
      <c r="G272" s="155">
        <f>IF(Arbeitszeit!F273=Urlaub,B_WorkTime*24,)</f>
        <v>0</v>
      </c>
      <c r="H272" s="153"/>
      <c r="I272" s="155">
        <f>IF(Arbeitszeit!F273=Krank,B_WorkTime*24,)</f>
        <v>0</v>
      </c>
      <c r="J272" s="153"/>
      <c r="K272" s="156"/>
      <c r="L272" s="157"/>
      <c r="M272" s="577"/>
      <c r="N272" s="578"/>
      <c r="O272" s="577"/>
      <c r="P272" s="578"/>
      <c r="Q272" s="577"/>
      <c r="R272" s="578"/>
      <c r="S272" s="577"/>
      <c r="T272" s="578"/>
      <c r="U272" s="577"/>
      <c r="V272" s="578"/>
      <c r="W272" s="577"/>
      <c r="X272" s="578"/>
      <c r="Y272" s="577"/>
      <c r="Z272" s="578"/>
      <c r="AA272" s="577"/>
      <c r="AB272" s="578"/>
      <c r="AC272" s="577"/>
      <c r="AD272" s="578"/>
      <c r="AE272" s="577"/>
      <c r="AF272" s="579"/>
      <c r="AG272" s="577"/>
      <c r="AH272" s="579"/>
      <c r="AI272" s="577"/>
      <c r="AJ272" s="579"/>
      <c r="AK272" s="577"/>
      <c r="AL272" s="579"/>
      <c r="AM272" s="580"/>
      <c r="AN272" s="579"/>
      <c r="AO272" s="577"/>
      <c r="AP272" s="579"/>
      <c r="AQ272" s="580"/>
      <c r="AR272" s="579"/>
      <c r="AS272" s="579"/>
      <c r="AT272" s="579"/>
      <c r="AU272" s="580"/>
      <c r="AV272" s="579"/>
      <c r="AW272" s="579"/>
      <c r="AX272" s="158"/>
      <c r="AY272" s="154"/>
      <c r="AZ272">
        <f ca="1">INDIRECT(ADDRESS(ROW()+1,COLUMN(Arbeitszeit!xDay),,,"Arbeitszeit"))</f>
        <v>1</v>
      </c>
    </row>
    <row r="273" spans="1:52">
      <c r="A273" s="520">
        <f>Arbeitszeit!A274</f>
        <v>43733</v>
      </c>
      <c r="B273" s="521">
        <f t="shared" si="16"/>
        <v>43733</v>
      </c>
      <c r="C273" s="191">
        <f t="shared" si="17"/>
        <v>39</v>
      </c>
      <c r="D273" s="190">
        <f t="shared" si="18"/>
        <v>43708</v>
      </c>
      <c r="E273" s="589">
        <f>Arbeitszeit!V274*24</f>
        <v>0</v>
      </c>
      <c r="F273" s="349">
        <f t="shared" si="19"/>
        <v>0</v>
      </c>
      <c r="G273" s="155">
        <f>IF(Arbeitszeit!F274=Urlaub,B_WorkTime*24,)</f>
        <v>0</v>
      </c>
      <c r="H273" s="153"/>
      <c r="I273" s="155">
        <f>IF(Arbeitszeit!F274=Krank,B_WorkTime*24,)</f>
        <v>0</v>
      </c>
      <c r="J273" s="153"/>
      <c r="K273" s="156"/>
      <c r="L273" s="157"/>
      <c r="M273" s="577"/>
      <c r="N273" s="578"/>
      <c r="O273" s="577"/>
      <c r="P273" s="578"/>
      <c r="Q273" s="577"/>
      <c r="R273" s="578"/>
      <c r="S273" s="577"/>
      <c r="T273" s="578"/>
      <c r="U273" s="577"/>
      <c r="V273" s="578"/>
      <c r="W273" s="577"/>
      <c r="X273" s="578"/>
      <c r="Y273" s="577"/>
      <c r="Z273" s="578"/>
      <c r="AA273" s="577"/>
      <c r="AB273" s="578"/>
      <c r="AC273" s="577"/>
      <c r="AD273" s="578"/>
      <c r="AE273" s="577"/>
      <c r="AF273" s="579"/>
      <c r="AG273" s="577"/>
      <c r="AH273" s="579"/>
      <c r="AI273" s="577"/>
      <c r="AJ273" s="579"/>
      <c r="AK273" s="577"/>
      <c r="AL273" s="579"/>
      <c r="AM273" s="580"/>
      <c r="AN273" s="579"/>
      <c r="AO273" s="577"/>
      <c r="AP273" s="579"/>
      <c r="AQ273" s="580"/>
      <c r="AR273" s="579"/>
      <c r="AS273" s="579"/>
      <c r="AT273" s="579"/>
      <c r="AU273" s="580"/>
      <c r="AV273" s="579"/>
      <c r="AW273" s="579"/>
      <c r="AX273" s="158"/>
      <c r="AY273" s="154"/>
      <c r="AZ273">
        <f ca="1">INDIRECT(ADDRESS(ROW()+1,COLUMN(Arbeitszeit!xDay),,,"Arbeitszeit"))</f>
        <v>2</v>
      </c>
    </row>
    <row r="274" spans="1:52">
      <c r="A274" s="520">
        <f>Arbeitszeit!A275</f>
        <v>43734</v>
      </c>
      <c r="B274" s="521">
        <f t="shared" si="16"/>
        <v>43734</v>
      </c>
      <c r="C274" s="191">
        <f t="shared" si="17"/>
        <v>39</v>
      </c>
      <c r="D274" s="190">
        <f t="shared" si="18"/>
        <v>43708</v>
      </c>
      <c r="E274" s="589">
        <f>Arbeitszeit!V275*24</f>
        <v>0</v>
      </c>
      <c r="F274" s="349">
        <f t="shared" si="19"/>
        <v>0</v>
      </c>
      <c r="G274" s="155">
        <f>IF(Arbeitszeit!F275=Urlaub,B_WorkTime*24,)</f>
        <v>0</v>
      </c>
      <c r="H274" s="153"/>
      <c r="I274" s="155">
        <f>IF(Arbeitszeit!F275=Krank,B_WorkTime*24,)</f>
        <v>0</v>
      </c>
      <c r="J274" s="153"/>
      <c r="K274" s="156"/>
      <c r="L274" s="157"/>
      <c r="M274" s="577"/>
      <c r="N274" s="578"/>
      <c r="O274" s="577"/>
      <c r="P274" s="578"/>
      <c r="Q274" s="577"/>
      <c r="R274" s="578"/>
      <c r="S274" s="577"/>
      <c r="T274" s="578"/>
      <c r="U274" s="577"/>
      <c r="V274" s="578"/>
      <c r="W274" s="577"/>
      <c r="X274" s="578"/>
      <c r="Y274" s="577"/>
      <c r="Z274" s="578"/>
      <c r="AA274" s="577"/>
      <c r="AB274" s="578"/>
      <c r="AC274" s="577"/>
      <c r="AD274" s="578"/>
      <c r="AE274" s="577"/>
      <c r="AF274" s="579"/>
      <c r="AG274" s="577"/>
      <c r="AH274" s="579"/>
      <c r="AI274" s="577"/>
      <c r="AJ274" s="579"/>
      <c r="AK274" s="577"/>
      <c r="AL274" s="579"/>
      <c r="AM274" s="580"/>
      <c r="AN274" s="579"/>
      <c r="AO274" s="577"/>
      <c r="AP274" s="579"/>
      <c r="AQ274" s="580"/>
      <c r="AR274" s="579"/>
      <c r="AS274" s="579"/>
      <c r="AT274" s="579"/>
      <c r="AU274" s="580"/>
      <c r="AV274" s="579"/>
      <c r="AW274" s="579"/>
      <c r="AX274" s="158"/>
      <c r="AY274" s="154"/>
      <c r="AZ274">
        <f ca="1">INDIRECT(ADDRESS(ROW()+1,COLUMN(Arbeitszeit!xDay),,,"Arbeitszeit"))</f>
        <v>3</v>
      </c>
    </row>
    <row r="275" spans="1:52">
      <c r="A275" s="520">
        <f>Arbeitszeit!A276</f>
        <v>43735</v>
      </c>
      <c r="B275" s="521">
        <f t="shared" si="16"/>
        <v>43735</v>
      </c>
      <c r="C275" s="191">
        <f t="shared" si="17"/>
        <v>39</v>
      </c>
      <c r="D275" s="190">
        <f t="shared" si="18"/>
        <v>43708</v>
      </c>
      <c r="E275" s="589">
        <f>Arbeitszeit!V276*24</f>
        <v>0</v>
      </c>
      <c r="F275" s="349">
        <f t="shared" si="19"/>
        <v>0</v>
      </c>
      <c r="G275" s="155">
        <f>IF(Arbeitszeit!F276=Urlaub,B_WorkTime*24,)</f>
        <v>0</v>
      </c>
      <c r="H275" s="153"/>
      <c r="I275" s="155">
        <f>IF(Arbeitszeit!F276=Krank,B_WorkTime*24,)</f>
        <v>0</v>
      </c>
      <c r="J275" s="153"/>
      <c r="K275" s="156"/>
      <c r="L275" s="157"/>
      <c r="M275" s="577"/>
      <c r="N275" s="578"/>
      <c r="O275" s="577"/>
      <c r="P275" s="578"/>
      <c r="Q275" s="577"/>
      <c r="R275" s="578"/>
      <c r="S275" s="577"/>
      <c r="T275" s="578"/>
      <c r="U275" s="577"/>
      <c r="V275" s="578"/>
      <c r="W275" s="577"/>
      <c r="X275" s="578"/>
      <c r="Y275" s="577"/>
      <c r="Z275" s="578"/>
      <c r="AA275" s="577"/>
      <c r="AB275" s="578"/>
      <c r="AC275" s="577"/>
      <c r="AD275" s="578"/>
      <c r="AE275" s="577"/>
      <c r="AF275" s="579"/>
      <c r="AG275" s="577"/>
      <c r="AH275" s="579"/>
      <c r="AI275" s="577"/>
      <c r="AJ275" s="579"/>
      <c r="AK275" s="577"/>
      <c r="AL275" s="579"/>
      <c r="AM275" s="580"/>
      <c r="AN275" s="579"/>
      <c r="AO275" s="577"/>
      <c r="AP275" s="579"/>
      <c r="AQ275" s="580"/>
      <c r="AR275" s="579"/>
      <c r="AS275" s="579"/>
      <c r="AT275" s="579"/>
      <c r="AU275" s="580"/>
      <c r="AV275" s="579"/>
      <c r="AW275" s="579"/>
      <c r="AX275" s="158"/>
      <c r="AY275" s="154"/>
      <c r="AZ275">
        <f ca="1">INDIRECT(ADDRESS(ROW()+1,COLUMN(Arbeitszeit!xDay),,,"Arbeitszeit"))</f>
        <v>4</v>
      </c>
    </row>
    <row r="276" spans="1:52">
      <c r="A276" s="520">
        <f>Arbeitszeit!A277</f>
        <v>43736</v>
      </c>
      <c r="B276" s="521">
        <f t="shared" si="16"/>
        <v>43736</v>
      </c>
      <c r="C276" s="191">
        <f t="shared" si="17"/>
        <v>39</v>
      </c>
      <c r="D276" s="190">
        <f t="shared" si="18"/>
        <v>43708</v>
      </c>
      <c r="E276" s="589">
        <f>Arbeitszeit!V277*24</f>
        <v>0</v>
      </c>
      <c r="F276" s="349">
        <f t="shared" si="19"/>
        <v>0</v>
      </c>
      <c r="G276" s="155">
        <f>IF(Arbeitszeit!F277=Urlaub,B_WorkTime*24,)</f>
        <v>0</v>
      </c>
      <c r="H276" s="153"/>
      <c r="I276" s="155">
        <f>IF(Arbeitszeit!F277=Krank,B_WorkTime*24,)</f>
        <v>0</v>
      </c>
      <c r="J276" s="153"/>
      <c r="K276" s="156"/>
      <c r="L276" s="157"/>
      <c r="M276" s="577"/>
      <c r="N276" s="578"/>
      <c r="O276" s="577"/>
      <c r="P276" s="578"/>
      <c r="Q276" s="577"/>
      <c r="R276" s="578"/>
      <c r="S276" s="577"/>
      <c r="T276" s="578"/>
      <c r="U276" s="577"/>
      <c r="V276" s="578"/>
      <c r="W276" s="577"/>
      <c r="X276" s="578"/>
      <c r="Y276" s="577"/>
      <c r="Z276" s="578"/>
      <c r="AA276" s="577"/>
      <c r="AB276" s="578"/>
      <c r="AC276" s="577"/>
      <c r="AD276" s="578"/>
      <c r="AE276" s="577"/>
      <c r="AF276" s="579"/>
      <c r="AG276" s="577"/>
      <c r="AH276" s="579"/>
      <c r="AI276" s="577"/>
      <c r="AJ276" s="579"/>
      <c r="AK276" s="577"/>
      <c r="AL276" s="579"/>
      <c r="AM276" s="580"/>
      <c r="AN276" s="579"/>
      <c r="AO276" s="577"/>
      <c r="AP276" s="579"/>
      <c r="AQ276" s="580"/>
      <c r="AR276" s="579"/>
      <c r="AS276" s="579"/>
      <c r="AT276" s="579"/>
      <c r="AU276" s="580"/>
      <c r="AV276" s="579"/>
      <c r="AW276" s="579"/>
      <c r="AX276" s="158"/>
      <c r="AY276" s="154"/>
      <c r="AZ276">
        <f ca="1">INDIRECT(ADDRESS(ROW()+1,COLUMN(Arbeitszeit!xDay),,,"Arbeitszeit"))</f>
        <v>5</v>
      </c>
    </row>
    <row r="277" spans="1:52">
      <c r="A277" s="520">
        <f>Arbeitszeit!A278</f>
        <v>43737</v>
      </c>
      <c r="B277" s="521">
        <f t="shared" si="16"/>
        <v>43737</v>
      </c>
      <c r="C277" s="191">
        <f t="shared" si="17"/>
        <v>39</v>
      </c>
      <c r="D277" s="190">
        <f t="shared" si="18"/>
        <v>43708</v>
      </c>
      <c r="E277" s="589">
        <f>Arbeitszeit!V278*24</f>
        <v>0</v>
      </c>
      <c r="F277" s="349">
        <f t="shared" si="19"/>
        <v>0</v>
      </c>
      <c r="G277" s="155">
        <f>IF(Arbeitszeit!F278=Urlaub,B_WorkTime*24,)</f>
        <v>0</v>
      </c>
      <c r="H277" s="153"/>
      <c r="I277" s="155">
        <f>IF(Arbeitszeit!F278=Krank,B_WorkTime*24,)</f>
        <v>0</v>
      </c>
      <c r="J277" s="153"/>
      <c r="K277" s="156"/>
      <c r="L277" s="157"/>
      <c r="M277" s="577"/>
      <c r="N277" s="578"/>
      <c r="O277" s="577"/>
      <c r="P277" s="578"/>
      <c r="Q277" s="577"/>
      <c r="R277" s="578"/>
      <c r="S277" s="577"/>
      <c r="T277" s="578"/>
      <c r="U277" s="577"/>
      <c r="V277" s="578"/>
      <c r="W277" s="577"/>
      <c r="X277" s="578"/>
      <c r="Y277" s="577"/>
      <c r="Z277" s="578"/>
      <c r="AA277" s="577"/>
      <c r="AB277" s="578"/>
      <c r="AC277" s="577"/>
      <c r="AD277" s="578"/>
      <c r="AE277" s="577"/>
      <c r="AF277" s="579"/>
      <c r="AG277" s="577"/>
      <c r="AH277" s="579"/>
      <c r="AI277" s="577"/>
      <c r="AJ277" s="579"/>
      <c r="AK277" s="577"/>
      <c r="AL277" s="579"/>
      <c r="AM277" s="580"/>
      <c r="AN277" s="579"/>
      <c r="AO277" s="577"/>
      <c r="AP277" s="579"/>
      <c r="AQ277" s="580"/>
      <c r="AR277" s="579"/>
      <c r="AS277" s="579"/>
      <c r="AT277" s="579"/>
      <c r="AU277" s="580"/>
      <c r="AV277" s="579"/>
      <c r="AW277" s="579"/>
      <c r="AX277" s="158"/>
      <c r="AY277" s="154"/>
      <c r="AZ277">
        <f ca="1">INDIRECT(ADDRESS(ROW()+1,COLUMN(Arbeitszeit!xDay),,,"Arbeitszeit"))</f>
        <v>6</v>
      </c>
    </row>
    <row r="278" spans="1:52">
      <c r="A278" s="520">
        <f>Arbeitszeit!A279</f>
        <v>43738</v>
      </c>
      <c r="B278" s="521">
        <f t="shared" si="16"/>
        <v>43738</v>
      </c>
      <c r="C278" s="191">
        <f t="shared" si="17"/>
        <v>39</v>
      </c>
      <c r="D278" s="190">
        <f t="shared" si="18"/>
        <v>43738</v>
      </c>
      <c r="E278" s="589">
        <f>Arbeitszeit!V279*24</f>
        <v>0</v>
      </c>
      <c r="F278" s="349">
        <f t="shared" si="19"/>
        <v>0</v>
      </c>
      <c r="G278" s="155">
        <f>IF(Arbeitszeit!F279=Urlaub,B_WorkTime*24,)</f>
        <v>0</v>
      </c>
      <c r="H278" s="153"/>
      <c r="I278" s="155">
        <f>IF(Arbeitszeit!F279=Krank,B_WorkTime*24,)</f>
        <v>0</v>
      </c>
      <c r="J278" s="153"/>
      <c r="K278" s="156"/>
      <c r="L278" s="157"/>
      <c r="M278" s="577"/>
      <c r="N278" s="578"/>
      <c r="O278" s="577"/>
      <c r="P278" s="578"/>
      <c r="Q278" s="577"/>
      <c r="R278" s="578"/>
      <c r="S278" s="577"/>
      <c r="T278" s="578"/>
      <c r="U278" s="577"/>
      <c r="V278" s="578"/>
      <c r="W278" s="577"/>
      <c r="X278" s="578"/>
      <c r="Y278" s="577"/>
      <c r="Z278" s="578"/>
      <c r="AA278" s="577"/>
      <c r="AB278" s="578"/>
      <c r="AC278" s="577"/>
      <c r="AD278" s="578"/>
      <c r="AE278" s="577"/>
      <c r="AF278" s="579"/>
      <c r="AG278" s="577"/>
      <c r="AH278" s="579"/>
      <c r="AI278" s="577"/>
      <c r="AJ278" s="579"/>
      <c r="AK278" s="577"/>
      <c r="AL278" s="579"/>
      <c r="AM278" s="580"/>
      <c r="AN278" s="579"/>
      <c r="AO278" s="577"/>
      <c r="AP278" s="579"/>
      <c r="AQ278" s="580"/>
      <c r="AR278" s="579"/>
      <c r="AS278" s="579"/>
      <c r="AT278" s="579"/>
      <c r="AU278" s="580"/>
      <c r="AV278" s="579"/>
      <c r="AW278" s="579"/>
      <c r="AX278" s="158"/>
      <c r="AY278" s="154"/>
      <c r="AZ278">
        <f ca="1">INDIRECT(ADDRESS(ROW()+1,COLUMN(Arbeitszeit!xDay),,,"Arbeitszeit"))</f>
        <v>7</v>
      </c>
    </row>
    <row r="279" spans="1:52">
      <c r="A279" s="520">
        <f>Arbeitszeit!A280</f>
        <v>43739</v>
      </c>
      <c r="B279" s="521">
        <f t="shared" si="16"/>
        <v>43739</v>
      </c>
      <c r="C279" s="191">
        <f t="shared" si="17"/>
        <v>40</v>
      </c>
      <c r="D279" s="190">
        <f t="shared" si="18"/>
        <v>43738</v>
      </c>
      <c r="E279" s="589">
        <f>Arbeitszeit!V280*24</f>
        <v>0</v>
      </c>
      <c r="F279" s="349">
        <f t="shared" si="19"/>
        <v>0</v>
      </c>
      <c r="G279" s="155">
        <f>IF(Arbeitszeit!F280=Urlaub,B_WorkTime*24,)</f>
        <v>0</v>
      </c>
      <c r="H279" s="153"/>
      <c r="I279" s="155">
        <f>IF(Arbeitszeit!F280=Krank,B_WorkTime*24,)</f>
        <v>0</v>
      </c>
      <c r="J279" s="153"/>
      <c r="K279" s="156"/>
      <c r="L279" s="157"/>
      <c r="M279" s="577"/>
      <c r="N279" s="578"/>
      <c r="O279" s="577"/>
      <c r="P279" s="578"/>
      <c r="Q279" s="577"/>
      <c r="R279" s="578"/>
      <c r="S279" s="577"/>
      <c r="T279" s="578"/>
      <c r="U279" s="577"/>
      <c r="V279" s="578"/>
      <c r="W279" s="577"/>
      <c r="X279" s="578"/>
      <c r="Y279" s="577"/>
      <c r="Z279" s="578"/>
      <c r="AA279" s="577"/>
      <c r="AB279" s="578"/>
      <c r="AC279" s="577"/>
      <c r="AD279" s="578"/>
      <c r="AE279" s="577"/>
      <c r="AF279" s="579"/>
      <c r="AG279" s="577"/>
      <c r="AH279" s="579"/>
      <c r="AI279" s="577"/>
      <c r="AJ279" s="579"/>
      <c r="AK279" s="577"/>
      <c r="AL279" s="579"/>
      <c r="AM279" s="580"/>
      <c r="AN279" s="579"/>
      <c r="AO279" s="577"/>
      <c r="AP279" s="579"/>
      <c r="AQ279" s="580"/>
      <c r="AR279" s="579"/>
      <c r="AS279" s="579"/>
      <c r="AT279" s="579"/>
      <c r="AU279" s="580"/>
      <c r="AV279" s="579"/>
      <c r="AW279" s="579"/>
      <c r="AX279" s="158"/>
      <c r="AY279" s="154"/>
      <c r="AZ279">
        <f ca="1">INDIRECT(ADDRESS(ROW()+1,COLUMN(Arbeitszeit!xDay),,,"Arbeitszeit"))</f>
        <v>1</v>
      </c>
    </row>
    <row r="280" spans="1:52">
      <c r="A280" s="520">
        <f>Arbeitszeit!A281</f>
        <v>43740</v>
      </c>
      <c r="B280" s="521">
        <f t="shared" si="16"/>
        <v>43740</v>
      </c>
      <c r="C280" s="191">
        <f t="shared" si="17"/>
        <v>40</v>
      </c>
      <c r="D280" s="190">
        <f t="shared" si="18"/>
        <v>43738</v>
      </c>
      <c r="E280" s="589">
        <f>Arbeitszeit!V281*24</f>
        <v>0</v>
      </c>
      <c r="F280" s="349">
        <f t="shared" si="19"/>
        <v>0</v>
      </c>
      <c r="G280" s="155">
        <f>IF(Arbeitszeit!F281=Urlaub,B_WorkTime*24,)</f>
        <v>0</v>
      </c>
      <c r="H280" s="153"/>
      <c r="I280" s="155">
        <f>IF(Arbeitszeit!F281=Krank,B_WorkTime*24,)</f>
        <v>0</v>
      </c>
      <c r="J280" s="153"/>
      <c r="K280" s="156"/>
      <c r="L280" s="157"/>
      <c r="M280" s="577"/>
      <c r="N280" s="578"/>
      <c r="O280" s="577"/>
      <c r="P280" s="578"/>
      <c r="Q280" s="577"/>
      <c r="R280" s="578"/>
      <c r="S280" s="577"/>
      <c r="T280" s="578"/>
      <c r="U280" s="577"/>
      <c r="V280" s="578"/>
      <c r="W280" s="577"/>
      <c r="X280" s="578"/>
      <c r="Y280" s="577"/>
      <c r="Z280" s="578"/>
      <c r="AA280" s="577"/>
      <c r="AB280" s="578"/>
      <c r="AC280" s="577"/>
      <c r="AD280" s="578"/>
      <c r="AE280" s="577"/>
      <c r="AF280" s="579"/>
      <c r="AG280" s="577"/>
      <c r="AH280" s="579"/>
      <c r="AI280" s="577"/>
      <c r="AJ280" s="579"/>
      <c r="AK280" s="577"/>
      <c r="AL280" s="579"/>
      <c r="AM280" s="580"/>
      <c r="AN280" s="579"/>
      <c r="AO280" s="577"/>
      <c r="AP280" s="579"/>
      <c r="AQ280" s="580"/>
      <c r="AR280" s="579"/>
      <c r="AS280" s="579"/>
      <c r="AT280" s="579"/>
      <c r="AU280" s="580"/>
      <c r="AV280" s="579"/>
      <c r="AW280" s="579"/>
      <c r="AX280" s="158"/>
      <c r="AY280" s="154"/>
      <c r="AZ280">
        <f ca="1">INDIRECT(ADDRESS(ROW()+1,COLUMN(Arbeitszeit!xDay),,,"Arbeitszeit"))</f>
        <v>8</v>
      </c>
    </row>
    <row r="281" spans="1:52">
      <c r="A281" s="520">
        <f>Arbeitszeit!A282</f>
        <v>43741</v>
      </c>
      <c r="B281" s="521">
        <f t="shared" si="16"/>
        <v>43741</v>
      </c>
      <c r="C281" s="191">
        <f t="shared" si="17"/>
        <v>40</v>
      </c>
      <c r="D281" s="190">
        <f t="shared" si="18"/>
        <v>43738</v>
      </c>
      <c r="E281" s="589">
        <f>Arbeitszeit!V282*24</f>
        <v>0</v>
      </c>
      <c r="F281" s="349">
        <f t="shared" si="19"/>
        <v>0</v>
      </c>
      <c r="G281" s="155">
        <f>IF(Arbeitszeit!F282=Urlaub,B_WorkTime*24,)</f>
        <v>0</v>
      </c>
      <c r="H281" s="153"/>
      <c r="I281" s="155">
        <f>IF(Arbeitszeit!F282=Krank,B_WorkTime*24,)</f>
        <v>0</v>
      </c>
      <c r="J281" s="153"/>
      <c r="K281" s="156"/>
      <c r="L281" s="157"/>
      <c r="M281" s="577"/>
      <c r="N281" s="578"/>
      <c r="O281" s="577"/>
      <c r="P281" s="578"/>
      <c r="Q281" s="577"/>
      <c r="R281" s="578"/>
      <c r="S281" s="577"/>
      <c r="T281" s="578"/>
      <c r="U281" s="577"/>
      <c r="V281" s="578"/>
      <c r="W281" s="577"/>
      <c r="X281" s="578"/>
      <c r="Y281" s="577"/>
      <c r="Z281" s="578"/>
      <c r="AA281" s="577"/>
      <c r="AB281" s="578"/>
      <c r="AC281" s="577"/>
      <c r="AD281" s="578"/>
      <c r="AE281" s="577"/>
      <c r="AF281" s="579"/>
      <c r="AG281" s="577"/>
      <c r="AH281" s="579"/>
      <c r="AI281" s="577"/>
      <c r="AJ281" s="579"/>
      <c r="AK281" s="577"/>
      <c r="AL281" s="579"/>
      <c r="AM281" s="580"/>
      <c r="AN281" s="579"/>
      <c r="AO281" s="577"/>
      <c r="AP281" s="579"/>
      <c r="AQ281" s="580"/>
      <c r="AR281" s="579"/>
      <c r="AS281" s="579"/>
      <c r="AT281" s="579"/>
      <c r="AU281" s="580"/>
      <c r="AV281" s="579"/>
      <c r="AW281" s="579"/>
      <c r="AX281" s="158"/>
      <c r="AY281" s="154"/>
      <c r="AZ281">
        <f ca="1">INDIRECT(ADDRESS(ROW()+1,COLUMN(Arbeitszeit!xDay),,,"Arbeitszeit"))</f>
        <v>3</v>
      </c>
    </row>
    <row r="282" spans="1:52">
      <c r="A282" s="520">
        <f>Arbeitszeit!A283</f>
        <v>43742</v>
      </c>
      <c r="B282" s="521">
        <f t="shared" si="16"/>
        <v>43742</v>
      </c>
      <c r="C282" s="191">
        <f t="shared" si="17"/>
        <v>40</v>
      </c>
      <c r="D282" s="190">
        <f t="shared" si="18"/>
        <v>43738</v>
      </c>
      <c r="E282" s="589">
        <f>Arbeitszeit!V283*24</f>
        <v>0</v>
      </c>
      <c r="F282" s="349">
        <f t="shared" si="19"/>
        <v>0</v>
      </c>
      <c r="G282" s="155">
        <f>IF(Arbeitszeit!F283=Urlaub,B_WorkTime*24,)</f>
        <v>0</v>
      </c>
      <c r="H282" s="153"/>
      <c r="I282" s="155">
        <f>IF(Arbeitszeit!F283=Krank,B_WorkTime*24,)</f>
        <v>0</v>
      </c>
      <c r="J282" s="153"/>
      <c r="K282" s="156"/>
      <c r="L282" s="157"/>
      <c r="M282" s="577"/>
      <c r="N282" s="578"/>
      <c r="O282" s="577"/>
      <c r="P282" s="578"/>
      <c r="Q282" s="577"/>
      <c r="R282" s="578"/>
      <c r="S282" s="577"/>
      <c r="T282" s="578"/>
      <c r="U282" s="577"/>
      <c r="V282" s="578"/>
      <c r="W282" s="577"/>
      <c r="X282" s="578"/>
      <c r="Y282" s="577"/>
      <c r="Z282" s="578"/>
      <c r="AA282" s="577"/>
      <c r="AB282" s="578"/>
      <c r="AC282" s="577"/>
      <c r="AD282" s="578"/>
      <c r="AE282" s="577"/>
      <c r="AF282" s="579"/>
      <c r="AG282" s="577"/>
      <c r="AH282" s="579"/>
      <c r="AI282" s="577"/>
      <c r="AJ282" s="579"/>
      <c r="AK282" s="577"/>
      <c r="AL282" s="579"/>
      <c r="AM282" s="580"/>
      <c r="AN282" s="579"/>
      <c r="AO282" s="577"/>
      <c r="AP282" s="579"/>
      <c r="AQ282" s="580"/>
      <c r="AR282" s="579"/>
      <c r="AS282" s="579"/>
      <c r="AT282" s="579"/>
      <c r="AU282" s="580"/>
      <c r="AV282" s="579"/>
      <c r="AW282" s="579"/>
      <c r="AX282" s="158"/>
      <c r="AY282" s="154"/>
      <c r="AZ282">
        <f ca="1">INDIRECT(ADDRESS(ROW()+1,COLUMN(Arbeitszeit!xDay),,,"Arbeitszeit"))</f>
        <v>4</v>
      </c>
    </row>
    <row r="283" spans="1:52">
      <c r="A283" s="520">
        <f>Arbeitszeit!A284</f>
        <v>43743</v>
      </c>
      <c r="B283" s="521">
        <f t="shared" si="16"/>
        <v>43743</v>
      </c>
      <c r="C283" s="191">
        <f t="shared" si="17"/>
        <v>40</v>
      </c>
      <c r="D283" s="190">
        <f t="shared" si="18"/>
        <v>43738</v>
      </c>
      <c r="E283" s="589">
        <f>Arbeitszeit!V284*24</f>
        <v>0</v>
      </c>
      <c r="F283" s="349">
        <f t="shared" si="19"/>
        <v>0</v>
      </c>
      <c r="G283" s="155">
        <f>IF(Arbeitszeit!F284=Urlaub,B_WorkTime*24,)</f>
        <v>0</v>
      </c>
      <c r="H283" s="153"/>
      <c r="I283" s="155">
        <f>IF(Arbeitszeit!F284=Krank,B_WorkTime*24,)</f>
        <v>0</v>
      </c>
      <c r="J283" s="153"/>
      <c r="K283" s="156"/>
      <c r="L283" s="157"/>
      <c r="M283" s="577"/>
      <c r="N283" s="578"/>
      <c r="O283" s="577"/>
      <c r="P283" s="578"/>
      <c r="Q283" s="577"/>
      <c r="R283" s="578"/>
      <c r="S283" s="577"/>
      <c r="T283" s="578"/>
      <c r="U283" s="577"/>
      <c r="V283" s="578"/>
      <c r="W283" s="577"/>
      <c r="X283" s="578"/>
      <c r="Y283" s="577"/>
      <c r="Z283" s="578"/>
      <c r="AA283" s="577"/>
      <c r="AB283" s="578"/>
      <c r="AC283" s="577"/>
      <c r="AD283" s="578"/>
      <c r="AE283" s="577"/>
      <c r="AF283" s="579"/>
      <c r="AG283" s="577"/>
      <c r="AH283" s="579"/>
      <c r="AI283" s="577"/>
      <c r="AJ283" s="579"/>
      <c r="AK283" s="577"/>
      <c r="AL283" s="579"/>
      <c r="AM283" s="580"/>
      <c r="AN283" s="579"/>
      <c r="AO283" s="577"/>
      <c r="AP283" s="579"/>
      <c r="AQ283" s="580"/>
      <c r="AR283" s="579"/>
      <c r="AS283" s="579"/>
      <c r="AT283" s="579"/>
      <c r="AU283" s="580"/>
      <c r="AV283" s="579"/>
      <c r="AW283" s="579"/>
      <c r="AX283" s="158"/>
      <c r="AY283" s="154"/>
      <c r="AZ283">
        <f ca="1">INDIRECT(ADDRESS(ROW()+1,COLUMN(Arbeitszeit!xDay),,,"Arbeitszeit"))</f>
        <v>5</v>
      </c>
    </row>
    <row r="284" spans="1:52">
      <c r="A284" s="520">
        <f>Arbeitszeit!A285</f>
        <v>43744</v>
      </c>
      <c r="B284" s="521">
        <f t="shared" si="16"/>
        <v>43744</v>
      </c>
      <c r="C284" s="191">
        <f t="shared" si="17"/>
        <v>40</v>
      </c>
      <c r="D284" s="190">
        <f t="shared" si="18"/>
        <v>43738</v>
      </c>
      <c r="E284" s="589">
        <f>Arbeitszeit!V285*24</f>
        <v>0</v>
      </c>
      <c r="F284" s="349">
        <f t="shared" si="19"/>
        <v>0</v>
      </c>
      <c r="G284" s="155">
        <f>IF(Arbeitszeit!F285=Urlaub,B_WorkTime*24,)</f>
        <v>0</v>
      </c>
      <c r="H284" s="153"/>
      <c r="I284" s="155">
        <f>IF(Arbeitszeit!F285=Krank,B_WorkTime*24,)</f>
        <v>0</v>
      </c>
      <c r="J284" s="153"/>
      <c r="K284" s="156"/>
      <c r="L284" s="157"/>
      <c r="M284" s="577"/>
      <c r="N284" s="578"/>
      <c r="O284" s="577"/>
      <c r="P284" s="578"/>
      <c r="Q284" s="577"/>
      <c r="R284" s="578"/>
      <c r="S284" s="577"/>
      <c r="T284" s="578"/>
      <c r="U284" s="577"/>
      <c r="V284" s="578"/>
      <c r="W284" s="577"/>
      <c r="X284" s="578"/>
      <c r="Y284" s="577"/>
      <c r="Z284" s="578"/>
      <c r="AA284" s="577"/>
      <c r="AB284" s="578"/>
      <c r="AC284" s="577"/>
      <c r="AD284" s="578"/>
      <c r="AE284" s="577"/>
      <c r="AF284" s="579"/>
      <c r="AG284" s="577"/>
      <c r="AH284" s="579"/>
      <c r="AI284" s="577"/>
      <c r="AJ284" s="579"/>
      <c r="AK284" s="577"/>
      <c r="AL284" s="579"/>
      <c r="AM284" s="580"/>
      <c r="AN284" s="579"/>
      <c r="AO284" s="577"/>
      <c r="AP284" s="579"/>
      <c r="AQ284" s="580"/>
      <c r="AR284" s="579"/>
      <c r="AS284" s="579"/>
      <c r="AT284" s="579"/>
      <c r="AU284" s="580"/>
      <c r="AV284" s="579"/>
      <c r="AW284" s="579"/>
      <c r="AX284" s="158"/>
      <c r="AY284" s="154"/>
      <c r="AZ284">
        <f ca="1">INDIRECT(ADDRESS(ROW()+1,COLUMN(Arbeitszeit!xDay),,,"Arbeitszeit"))</f>
        <v>6</v>
      </c>
    </row>
    <row r="285" spans="1:52">
      <c r="A285" s="520">
        <f>Arbeitszeit!A286</f>
        <v>43745</v>
      </c>
      <c r="B285" s="521">
        <f t="shared" si="16"/>
        <v>43745</v>
      </c>
      <c r="C285" s="191">
        <f t="shared" si="17"/>
        <v>40</v>
      </c>
      <c r="D285" s="190">
        <f t="shared" si="18"/>
        <v>43738</v>
      </c>
      <c r="E285" s="589">
        <f>Arbeitszeit!V286*24</f>
        <v>0</v>
      </c>
      <c r="F285" s="349">
        <f t="shared" si="19"/>
        <v>0</v>
      </c>
      <c r="G285" s="155">
        <f>IF(Arbeitszeit!F286=Urlaub,B_WorkTime*24,)</f>
        <v>0</v>
      </c>
      <c r="H285" s="153"/>
      <c r="I285" s="155">
        <f>IF(Arbeitszeit!F286=Krank,B_WorkTime*24,)</f>
        <v>0</v>
      </c>
      <c r="J285" s="153"/>
      <c r="K285" s="156"/>
      <c r="L285" s="157"/>
      <c r="M285" s="577"/>
      <c r="N285" s="578"/>
      <c r="O285" s="577"/>
      <c r="P285" s="578"/>
      <c r="Q285" s="577"/>
      <c r="R285" s="578"/>
      <c r="S285" s="577"/>
      <c r="T285" s="578"/>
      <c r="U285" s="577"/>
      <c r="V285" s="578"/>
      <c r="W285" s="577"/>
      <c r="X285" s="578"/>
      <c r="Y285" s="577"/>
      <c r="Z285" s="578"/>
      <c r="AA285" s="577"/>
      <c r="AB285" s="578"/>
      <c r="AC285" s="577"/>
      <c r="AD285" s="578"/>
      <c r="AE285" s="577"/>
      <c r="AF285" s="579"/>
      <c r="AG285" s="577"/>
      <c r="AH285" s="579"/>
      <c r="AI285" s="577"/>
      <c r="AJ285" s="579"/>
      <c r="AK285" s="577"/>
      <c r="AL285" s="579"/>
      <c r="AM285" s="580"/>
      <c r="AN285" s="579"/>
      <c r="AO285" s="577"/>
      <c r="AP285" s="579"/>
      <c r="AQ285" s="580"/>
      <c r="AR285" s="579"/>
      <c r="AS285" s="579"/>
      <c r="AT285" s="579"/>
      <c r="AU285" s="580"/>
      <c r="AV285" s="579"/>
      <c r="AW285" s="579"/>
      <c r="AX285" s="158"/>
      <c r="AY285" s="154"/>
      <c r="AZ285">
        <f ca="1">INDIRECT(ADDRESS(ROW()+1,COLUMN(Arbeitszeit!xDay),,,"Arbeitszeit"))</f>
        <v>7</v>
      </c>
    </row>
    <row r="286" spans="1:52">
      <c r="A286" s="520">
        <f>Arbeitszeit!A287</f>
        <v>43746</v>
      </c>
      <c r="B286" s="521">
        <f t="shared" si="16"/>
        <v>43746</v>
      </c>
      <c r="C286" s="191">
        <f t="shared" si="17"/>
        <v>41</v>
      </c>
      <c r="D286" s="190">
        <f t="shared" si="18"/>
        <v>43738</v>
      </c>
      <c r="E286" s="589">
        <f>Arbeitszeit!V287*24</f>
        <v>0</v>
      </c>
      <c r="F286" s="349">
        <f t="shared" si="19"/>
        <v>0</v>
      </c>
      <c r="G286" s="155">
        <f>IF(Arbeitszeit!F287=Urlaub,B_WorkTime*24,)</f>
        <v>0</v>
      </c>
      <c r="H286" s="153"/>
      <c r="I286" s="155">
        <f>IF(Arbeitszeit!F287=Krank,B_WorkTime*24,)</f>
        <v>0</v>
      </c>
      <c r="J286" s="153"/>
      <c r="K286" s="156"/>
      <c r="L286" s="157"/>
      <c r="M286" s="577"/>
      <c r="N286" s="578"/>
      <c r="O286" s="577"/>
      <c r="P286" s="578"/>
      <c r="Q286" s="577"/>
      <c r="R286" s="578"/>
      <c r="S286" s="577"/>
      <c r="T286" s="578"/>
      <c r="U286" s="577"/>
      <c r="V286" s="578"/>
      <c r="W286" s="577"/>
      <c r="X286" s="578"/>
      <c r="Y286" s="577"/>
      <c r="Z286" s="578"/>
      <c r="AA286" s="577"/>
      <c r="AB286" s="578"/>
      <c r="AC286" s="577"/>
      <c r="AD286" s="578"/>
      <c r="AE286" s="577"/>
      <c r="AF286" s="579"/>
      <c r="AG286" s="577"/>
      <c r="AH286" s="579"/>
      <c r="AI286" s="577"/>
      <c r="AJ286" s="579"/>
      <c r="AK286" s="577"/>
      <c r="AL286" s="579"/>
      <c r="AM286" s="580"/>
      <c r="AN286" s="579"/>
      <c r="AO286" s="577"/>
      <c r="AP286" s="579"/>
      <c r="AQ286" s="580"/>
      <c r="AR286" s="579"/>
      <c r="AS286" s="579"/>
      <c r="AT286" s="579"/>
      <c r="AU286" s="580"/>
      <c r="AV286" s="579"/>
      <c r="AW286" s="579"/>
      <c r="AX286" s="158"/>
      <c r="AY286" s="154"/>
      <c r="AZ286">
        <f ca="1">INDIRECT(ADDRESS(ROW()+1,COLUMN(Arbeitszeit!xDay),,,"Arbeitszeit"))</f>
        <v>1</v>
      </c>
    </row>
    <row r="287" spans="1:52">
      <c r="A287" s="520">
        <f>Arbeitszeit!A288</f>
        <v>43747</v>
      </c>
      <c r="B287" s="521">
        <f t="shared" si="16"/>
        <v>43747</v>
      </c>
      <c r="C287" s="191">
        <f t="shared" si="17"/>
        <v>41</v>
      </c>
      <c r="D287" s="190">
        <f t="shared" si="18"/>
        <v>43738</v>
      </c>
      <c r="E287" s="589">
        <f>Arbeitszeit!V288*24</f>
        <v>0</v>
      </c>
      <c r="F287" s="349">
        <f t="shared" si="19"/>
        <v>0</v>
      </c>
      <c r="G287" s="155">
        <f>IF(Arbeitszeit!F288=Urlaub,B_WorkTime*24,)</f>
        <v>0</v>
      </c>
      <c r="H287" s="153"/>
      <c r="I287" s="155">
        <f>IF(Arbeitszeit!F288=Krank,B_WorkTime*24,)</f>
        <v>0</v>
      </c>
      <c r="J287" s="153"/>
      <c r="K287" s="156"/>
      <c r="L287" s="157"/>
      <c r="M287" s="577"/>
      <c r="N287" s="578"/>
      <c r="O287" s="577"/>
      <c r="P287" s="578"/>
      <c r="Q287" s="577"/>
      <c r="R287" s="578"/>
      <c r="S287" s="577"/>
      <c r="T287" s="578"/>
      <c r="U287" s="577"/>
      <c r="V287" s="578"/>
      <c r="W287" s="577"/>
      <c r="X287" s="578"/>
      <c r="Y287" s="577"/>
      <c r="Z287" s="578"/>
      <c r="AA287" s="577"/>
      <c r="AB287" s="578"/>
      <c r="AC287" s="577"/>
      <c r="AD287" s="578"/>
      <c r="AE287" s="577"/>
      <c r="AF287" s="579"/>
      <c r="AG287" s="577"/>
      <c r="AH287" s="579"/>
      <c r="AI287" s="577"/>
      <c r="AJ287" s="579"/>
      <c r="AK287" s="577"/>
      <c r="AL287" s="579"/>
      <c r="AM287" s="580"/>
      <c r="AN287" s="579"/>
      <c r="AO287" s="577"/>
      <c r="AP287" s="579"/>
      <c r="AQ287" s="580"/>
      <c r="AR287" s="579"/>
      <c r="AS287" s="579"/>
      <c r="AT287" s="579"/>
      <c r="AU287" s="580"/>
      <c r="AV287" s="579"/>
      <c r="AW287" s="579"/>
      <c r="AX287" s="158"/>
      <c r="AY287" s="154"/>
      <c r="AZ287">
        <f ca="1">INDIRECT(ADDRESS(ROW()+1,COLUMN(Arbeitszeit!xDay),,,"Arbeitszeit"))</f>
        <v>2</v>
      </c>
    </row>
    <row r="288" spans="1:52">
      <c r="A288" s="520">
        <f>Arbeitszeit!A289</f>
        <v>43748</v>
      </c>
      <c r="B288" s="521">
        <f t="shared" si="16"/>
        <v>43748</v>
      </c>
      <c r="C288" s="191">
        <f t="shared" si="17"/>
        <v>41</v>
      </c>
      <c r="D288" s="190">
        <f t="shared" si="18"/>
        <v>43738</v>
      </c>
      <c r="E288" s="589">
        <f>Arbeitszeit!V289*24</f>
        <v>0</v>
      </c>
      <c r="F288" s="349">
        <f t="shared" si="19"/>
        <v>0</v>
      </c>
      <c r="G288" s="155">
        <f>IF(Arbeitszeit!F289=Urlaub,B_WorkTime*24,)</f>
        <v>0</v>
      </c>
      <c r="H288" s="153"/>
      <c r="I288" s="155">
        <f>IF(Arbeitszeit!F289=Krank,B_WorkTime*24,)</f>
        <v>0</v>
      </c>
      <c r="J288" s="153"/>
      <c r="K288" s="156"/>
      <c r="L288" s="157"/>
      <c r="M288" s="577"/>
      <c r="N288" s="578"/>
      <c r="O288" s="577"/>
      <c r="P288" s="578"/>
      <c r="Q288" s="577"/>
      <c r="R288" s="578"/>
      <c r="S288" s="577"/>
      <c r="T288" s="578"/>
      <c r="U288" s="577"/>
      <c r="V288" s="578"/>
      <c r="W288" s="577"/>
      <c r="X288" s="578"/>
      <c r="Y288" s="577"/>
      <c r="Z288" s="578"/>
      <c r="AA288" s="577"/>
      <c r="AB288" s="578"/>
      <c r="AC288" s="577"/>
      <c r="AD288" s="578"/>
      <c r="AE288" s="577"/>
      <c r="AF288" s="579"/>
      <c r="AG288" s="577"/>
      <c r="AH288" s="579"/>
      <c r="AI288" s="577"/>
      <c r="AJ288" s="579"/>
      <c r="AK288" s="577"/>
      <c r="AL288" s="579"/>
      <c r="AM288" s="580"/>
      <c r="AN288" s="579"/>
      <c r="AO288" s="577"/>
      <c r="AP288" s="579"/>
      <c r="AQ288" s="580"/>
      <c r="AR288" s="579"/>
      <c r="AS288" s="579"/>
      <c r="AT288" s="579"/>
      <c r="AU288" s="580"/>
      <c r="AV288" s="579"/>
      <c r="AW288" s="579"/>
      <c r="AX288" s="158"/>
      <c r="AY288" s="154"/>
      <c r="AZ288">
        <f ca="1">INDIRECT(ADDRESS(ROW()+1,COLUMN(Arbeitszeit!xDay),,,"Arbeitszeit"))</f>
        <v>3</v>
      </c>
    </row>
    <row r="289" spans="1:52">
      <c r="A289" s="520">
        <f>Arbeitszeit!A290</f>
        <v>43749</v>
      </c>
      <c r="B289" s="521">
        <f t="shared" si="16"/>
        <v>43749</v>
      </c>
      <c r="C289" s="191">
        <f t="shared" si="17"/>
        <v>41</v>
      </c>
      <c r="D289" s="190">
        <f t="shared" si="18"/>
        <v>43738</v>
      </c>
      <c r="E289" s="589">
        <f>Arbeitszeit!V290*24</f>
        <v>0</v>
      </c>
      <c r="F289" s="349">
        <f t="shared" si="19"/>
        <v>0</v>
      </c>
      <c r="G289" s="155">
        <f>IF(Arbeitszeit!F290=Urlaub,B_WorkTime*24,)</f>
        <v>0</v>
      </c>
      <c r="H289" s="153"/>
      <c r="I289" s="155">
        <f>IF(Arbeitszeit!F290=Krank,B_WorkTime*24,)</f>
        <v>0</v>
      </c>
      <c r="J289" s="153"/>
      <c r="K289" s="156"/>
      <c r="L289" s="157"/>
      <c r="M289" s="577"/>
      <c r="N289" s="578"/>
      <c r="O289" s="577"/>
      <c r="P289" s="578"/>
      <c r="Q289" s="577"/>
      <c r="R289" s="578"/>
      <c r="S289" s="577"/>
      <c r="T289" s="578"/>
      <c r="U289" s="577"/>
      <c r="V289" s="578"/>
      <c r="W289" s="577"/>
      <c r="X289" s="578"/>
      <c r="Y289" s="577"/>
      <c r="Z289" s="578"/>
      <c r="AA289" s="577"/>
      <c r="AB289" s="578"/>
      <c r="AC289" s="577"/>
      <c r="AD289" s="578"/>
      <c r="AE289" s="577"/>
      <c r="AF289" s="579"/>
      <c r="AG289" s="577"/>
      <c r="AH289" s="579"/>
      <c r="AI289" s="577"/>
      <c r="AJ289" s="579"/>
      <c r="AK289" s="577"/>
      <c r="AL289" s="579"/>
      <c r="AM289" s="580"/>
      <c r="AN289" s="579"/>
      <c r="AO289" s="577"/>
      <c r="AP289" s="579"/>
      <c r="AQ289" s="580"/>
      <c r="AR289" s="579"/>
      <c r="AS289" s="579"/>
      <c r="AT289" s="579"/>
      <c r="AU289" s="580"/>
      <c r="AV289" s="579"/>
      <c r="AW289" s="579"/>
      <c r="AX289" s="158"/>
      <c r="AY289" s="154"/>
      <c r="AZ289">
        <f ca="1">INDIRECT(ADDRESS(ROW()+1,COLUMN(Arbeitszeit!xDay),,,"Arbeitszeit"))</f>
        <v>4</v>
      </c>
    </row>
    <row r="290" spans="1:52">
      <c r="A290" s="520">
        <f>Arbeitszeit!A291</f>
        <v>43750</v>
      </c>
      <c r="B290" s="521">
        <f t="shared" si="16"/>
        <v>43750</v>
      </c>
      <c r="C290" s="191">
        <f t="shared" si="17"/>
        <v>41</v>
      </c>
      <c r="D290" s="190">
        <f t="shared" si="18"/>
        <v>43738</v>
      </c>
      <c r="E290" s="589">
        <f>Arbeitszeit!V291*24</f>
        <v>0</v>
      </c>
      <c r="F290" s="349">
        <f t="shared" si="19"/>
        <v>0</v>
      </c>
      <c r="G290" s="155">
        <f>IF(Arbeitszeit!F291=Urlaub,B_WorkTime*24,)</f>
        <v>0</v>
      </c>
      <c r="H290" s="153"/>
      <c r="I290" s="155">
        <f>IF(Arbeitszeit!F291=Krank,B_WorkTime*24,)</f>
        <v>0</v>
      </c>
      <c r="J290" s="153"/>
      <c r="K290" s="156"/>
      <c r="L290" s="157"/>
      <c r="M290" s="577"/>
      <c r="N290" s="578"/>
      <c r="O290" s="577"/>
      <c r="P290" s="578"/>
      <c r="Q290" s="577"/>
      <c r="R290" s="578"/>
      <c r="S290" s="577"/>
      <c r="T290" s="578"/>
      <c r="U290" s="577"/>
      <c r="V290" s="578"/>
      <c r="W290" s="577"/>
      <c r="X290" s="578"/>
      <c r="Y290" s="577"/>
      <c r="Z290" s="578"/>
      <c r="AA290" s="577"/>
      <c r="AB290" s="578"/>
      <c r="AC290" s="577"/>
      <c r="AD290" s="578"/>
      <c r="AE290" s="577"/>
      <c r="AF290" s="579"/>
      <c r="AG290" s="577"/>
      <c r="AH290" s="579"/>
      <c r="AI290" s="577"/>
      <c r="AJ290" s="579"/>
      <c r="AK290" s="577"/>
      <c r="AL290" s="579"/>
      <c r="AM290" s="580"/>
      <c r="AN290" s="579"/>
      <c r="AO290" s="577"/>
      <c r="AP290" s="579"/>
      <c r="AQ290" s="580"/>
      <c r="AR290" s="579"/>
      <c r="AS290" s="579"/>
      <c r="AT290" s="579"/>
      <c r="AU290" s="580"/>
      <c r="AV290" s="579"/>
      <c r="AW290" s="579"/>
      <c r="AX290" s="158"/>
      <c r="AY290" s="154"/>
      <c r="AZ290">
        <f ca="1">INDIRECT(ADDRESS(ROW()+1,COLUMN(Arbeitszeit!xDay),,,"Arbeitszeit"))</f>
        <v>5</v>
      </c>
    </row>
    <row r="291" spans="1:52">
      <c r="A291" s="520">
        <f>Arbeitszeit!A292</f>
        <v>43751</v>
      </c>
      <c r="B291" s="521">
        <f t="shared" si="16"/>
        <v>43751</v>
      </c>
      <c r="C291" s="191">
        <f t="shared" si="17"/>
        <v>41</v>
      </c>
      <c r="D291" s="190">
        <f t="shared" si="18"/>
        <v>43738</v>
      </c>
      <c r="E291" s="589">
        <f>Arbeitszeit!V292*24</f>
        <v>0</v>
      </c>
      <c r="F291" s="349">
        <f t="shared" si="19"/>
        <v>0</v>
      </c>
      <c r="G291" s="155">
        <f>IF(Arbeitszeit!F292=Urlaub,B_WorkTime*24,)</f>
        <v>0</v>
      </c>
      <c r="H291" s="153"/>
      <c r="I291" s="155">
        <f>IF(Arbeitszeit!F292=Krank,B_WorkTime*24,)</f>
        <v>0</v>
      </c>
      <c r="J291" s="153"/>
      <c r="K291" s="156"/>
      <c r="L291" s="157"/>
      <c r="M291" s="577"/>
      <c r="N291" s="578"/>
      <c r="O291" s="577"/>
      <c r="P291" s="578"/>
      <c r="Q291" s="577"/>
      <c r="R291" s="578"/>
      <c r="S291" s="577"/>
      <c r="T291" s="578"/>
      <c r="U291" s="577"/>
      <c r="V291" s="578"/>
      <c r="W291" s="577"/>
      <c r="X291" s="578"/>
      <c r="Y291" s="577"/>
      <c r="Z291" s="578"/>
      <c r="AA291" s="577"/>
      <c r="AB291" s="578"/>
      <c r="AC291" s="577"/>
      <c r="AD291" s="578"/>
      <c r="AE291" s="577"/>
      <c r="AF291" s="579"/>
      <c r="AG291" s="577"/>
      <c r="AH291" s="579"/>
      <c r="AI291" s="577"/>
      <c r="AJ291" s="579"/>
      <c r="AK291" s="577"/>
      <c r="AL291" s="579"/>
      <c r="AM291" s="580"/>
      <c r="AN291" s="579"/>
      <c r="AO291" s="577"/>
      <c r="AP291" s="579"/>
      <c r="AQ291" s="580"/>
      <c r="AR291" s="579"/>
      <c r="AS291" s="579"/>
      <c r="AT291" s="579"/>
      <c r="AU291" s="580"/>
      <c r="AV291" s="579"/>
      <c r="AW291" s="579"/>
      <c r="AX291" s="158"/>
      <c r="AY291" s="154"/>
      <c r="AZ291">
        <f ca="1">INDIRECT(ADDRESS(ROW()+1,COLUMN(Arbeitszeit!xDay),,,"Arbeitszeit"))</f>
        <v>6</v>
      </c>
    </row>
    <row r="292" spans="1:52">
      <c r="A292" s="520">
        <f>Arbeitszeit!A293</f>
        <v>43752</v>
      </c>
      <c r="B292" s="521">
        <f t="shared" si="16"/>
        <v>43752</v>
      </c>
      <c r="C292" s="191">
        <f t="shared" si="17"/>
        <v>41</v>
      </c>
      <c r="D292" s="190">
        <f t="shared" si="18"/>
        <v>43738</v>
      </c>
      <c r="E292" s="589">
        <f>Arbeitszeit!V293*24</f>
        <v>0</v>
      </c>
      <c r="F292" s="349">
        <f t="shared" si="19"/>
        <v>0</v>
      </c>
      <c r="G292" s="155">
        <f>IF(Arbeitszeit!F293=Urlaub,B_WorkTime*24,)</f>
        <v>0</v>
      </c>
      <c r="H292" s="153"/>
      <c r="I292" s="155">
        <f>IF(Arbeitszeit!F293=Krank,B_WorkTime*24,)</f>
        <v>0</v>
      </c>
      <c r="J292" s="153"/>
      <c r="K292" s="156"/>
      <c r="L292" s="157"/>
      <c r="M292" s="577"/>
      <c r="N292" s="578"/>
      <c r="O292" s="577"/>
      <c r="P292" s="578"/>
      <c r="Q292" s="577"/>
      <c r="R292" s="578"/>
      <c r="S292" s="577"/>
      <c r="T292" s="578"/>
      <c r="U292" s="577"/>
      <c r="V292" s="578"/>
      <c r="W292" s="577"/>
      <c r="X292" s="578"/>
      <c r="Y292" s="577"/>
      <c r="Z292" s="578"/>
      <c r="AA292" s="577"/>
      <c r="AB292" s="578"/>
      <c r="AC292" s="577"/>
      <c r="AD292" s="578"/>
      <c r="AE292" s="577"/>
      <c r="AF292" s="579"/>
      <c r="AG292" s="577"/>
      <c r="AH292" s="579"/>
      <c r="AI292" s="577"/>
      <c r="AJ292" s="579"/>
      <c r="AK292" s="577"/>
      <c r="AL292" s="579"/>
      <c r="AM292" s="580"/>
      <c r="AN292" s="579"/>
      <c r="AO292" s="577"/>
      <c r="AP292" s="579"/>
      <c r="AQ292" s="580"/>
      <c r="AR292" s="579"/>
      <c r="AS292" s="579"/>
      <c r="AT292" s="579"/>
      <c r="AU292" s="580"/>
      <c r="AV292" s="579"/>
      <c r="AW292" s="579"/>
      <c r="AX292" s="158"/>
      <c r="AY292" s="154"/>
      <c r="AZ292">
        <f ca="1">INDIRECT(ADDRESS(ROW()+1,COLUMN(Arbeitszeit!xDay),,,"Arbeitszeit"))</f>
        <v>7</v>
      </c>
    </row>
    <row r="293" spans="1:52">
      <c r="A293" s="520">
        <f>Arbeitszeit!A294</f>
        <v>43753</v>
      </c>
      <c r="B293" s="521">
        <f t="shared" si="16"/>
        <v>43753</v>
      </c>
      <c r="C293" s="191">
        <f t="shared" si="17"/>
        <v>42</v>
      </c>
      <c r="D293" s="190">
        <f t="shared" si="18"/>
        <v>43738</v>
      </c>
      <c r="E293" s="589">
        <f>Arbeitszeit!V294*24</f>
        <v>0</v>
      </c>
      <c r="F293" s="349">
        <f t="shared" si="19"/>
        <v>0</v>
      </c>
      <c r="G293" s="155">
        <f>IF(Arbeitszeit!F294=Urlaub,B_WorkTime*24,)</f>
        <v>0</v>
      </c>
      <c r="H293" s="153"/>
      <c r="I293" s="155">
        <f>IF(Arbeitszeit!F294=Krank,B_WorkTime*24,)</f>
        <v>0</v>
      </c>
      <c r="J293" s="153"/>
      <c r="K293" s="156"/>
      <c r="L293" s="157"/>
      <c r="M293" s="577"/>
      <c r="N293" s="578"/>
      <c r="O293" s="577"/>
      <c r="P293" s="578"/>
      <c r="Q293" s="577"/>
      <c r="R293" s="578"/>
      <c r="S293" s="577"/>
      <c r="T293" s="578"/>
      <c r="U293" s="577"/>
      <c r="V293" s="578"/>
      <c r="W293" s="577"/>
      <c r="X293" s="578"/>
      <c r="Y293" s="577"/>
      <c r="Z293" s="578"/>
      <c r="AA293" s="577"/>
      <c r="AB293" s="578"/>
      <c r="AC293" s="577"/>
      <c r="AD293" s="578"/>
      <c r="AE293" s="577"/>
      <c r="AF293" s="579"/>
      <c r="AG293" s="577"/>
      <c r="AH293" s="579"/>
      <c r="AI293" s="577"/>
      <c r="AJ293" s="579"/>
      <c r="AK293" s="577"/>
      <c r="AL293" s="579"/>
      <c r="AM293" s="580"/>
      <c r="AN293" s="579"/>
      <c r="AO293" s="577"/>
      <c r="AP293" s="579"/>
      <c r="AQ293" s="580"/>
      <c r="AR293" s="579"/>
      <c r="AS293" s="579"/>
      <c r="AT293" s="579"/>
      <c r="AU293" s="580"/>
      <c r="AV293" s="579"/>
      <c r="AW293" s="579"/>
      <c r="AX293" s="158"/>
      <c r="AY293" s="154"/>
      <c r="AZ293">
        <f ca="1">INDIRECT(ADDRESS(ROW()+1,COLUMN(Arbeitszeit!xDay),,,"Arbeitszeit"))</f>
        <v>1</v>
      </c>
    </row>
    <row r="294" spans="1:52">
      <c r="A294" s="520">
        <f>Arbeitszeit!A295</f>
        <v>43754</v>
      </c>
      <c r="B294" s="521">
        <f t="shared" si="16"/>
        <v>43754</v>
      </c>
      <c r="C294" s="191">
        <f t="shared" si="17"/>
        <v>42</v>
      </c>
      <c r="D294" s="190">
        <f t="shared" si="18"/>
        <v>43738</v>
      </c>
      <c r="E294" s="589">
        <f>Arbeitszeit!V295*24</f>
        <v>0</v>
      </c>
      <c r="F294" s="349">
        <f t="shared" si="19"/>
        <v>0</v>
      </c>
      <c r="G294" s="155">
        <f>IF(Arbeitszeit!F295=Urlaub,B_WorkTime*24,)</f>
        <v>0</v>
      </c>
      <c r="H294" s="153"/>
      <c r="I294" s="155">
        <f>IF(Arbeitszeit!F295=Krank,B_WorkTime*24,)</f>
        <v>0</v>
      </c>
      <c r="J294" s="153"/>
      <c r="K294" s="156"/>
      <c r="L294" s="157"/>
      <c r="M294" s="577"/>
      <c r="N294" s="578"/>
      <c r="O294" s="577"/>
      <c r="P294" s="578"/>
      <c r="Q294" s="577"/>
      <c r="R294" s="578"/>
      <c r="S294" s="577"/>
      <c r="T294" s="578"/>
      <c r="U294" s="577"/>
      <c r="V294" s="578"/>
      <c r="W294" s="577"/>
      <c r="X294" s="578"/>
      <c r="Y294" s="577"/>
      <c r="Z294" s="578"/>
      <c r="AA294" s="577"/>
      <c r="AB294" s="578"/>
      <c r="AC294" s="577"/>
      <c r="AD294" s="578"/>
      <c r="AE294" s="577"/>
      <c r="AF294" s="579"/>
      <c r="AG294" s="577"/>
      <c r="AH294" s="579"/>
      <c r="AI294" s="577"/>
      <c r="AJ294" s="579"/>
      <c r="AK294" s="577"/>
      <c r="AL294" s="579"/>
      <c r="AM294" s="580"/>
      <c r="AN294" s="579"/>
      <c r="AO294" s="577"/>
      <c r="AP294" s="579"/>
      <c r="AQ294" s="580"/>
      <c r="AR294" s="579"/>
      <c r="AS294" s="579"/>
      <c r="AT294" s="579"/>
      <c r="AU294" s="580"/>
      <c r="AV294" s="579"/>
      <c r="AW294" s="579"/>
      <c r="AX294" s="158"/>
      <c r="AY294" s="154"/>
      <c r="AZ294">
        <f ca="1">INDIRECT(ADDRESS(ROW()+1,COLUMN(Arbeitszeit!xDay),,,"Arbeitszeit"))</f>
        <v>2</v>
      </c>
    </row>
    <row r="295" spans="1:52">
      <c r="A295" s="520">
        <f>Arbeitszeit!A296</f>
        <v>43755</v>
      </c>
      <c r="B295" s="521">
        <f t="shared" si="16"/>
        <v>43755</v>
      </c>
      <c r="C295" s="191">
        <f t="shared" si="17"/>
        <v>42</v>
      </c>
      <c r="D295" s="190">
        <f t="shared" si="18"/>
        <v>43738</v>
      </c>
      <c r="E295" s="589">
        <f>Arbeitszeit!V296*24</f>
        <v>0</v>
      </c>
      <c r="F295" s="349">
        <f t="shared" si="19"/>
        <v>0</v>
      </c>
      <c r="G295" s="155">
        <f>IF(Arbeitszeit!F296=Urlaub,B_WorkTime*24,)</f>
        <v>0</v>
      </c>
      <c r="H295" s="153"/>
      <c r="I295" s="155">
        <f>IF(Arbeitszeit!F296=Krank,B_WorkTime*24,)</f>
        <v>0</v>
      </c>
      <c r="J295" s="153"/>
      <c r="K295" s="156"/>
      <c r="L295" s="157"/>
      <c r="M295" s="577"/>
      <c r="N295" s="578"/>
      <c r="O295" s="577"/>
      <c r="P295" s="578"/>
      <c r="Q295" s="577"/>
      <c r="R295" s="578"/>
      <c r="S295" s="577"/>
      <c r="T295" s="578"/>
      <c r="U295" s="577"/>
      <c r="V295" s="578"/>
      <c r="W295" s="577"/>
      <c r="X295" s="578"/>
      <c r="Y295" s="577"/>
      <c r="Z295" s="578"/>
      <c r="AA295" s="577"/>
      <c r="AB295" s="578"/>
      <c r="AC295" s="577"/>
      <c r="AD295" s="578"/>
      <c r="AE295" s="577"/>
      <c r="AF295" s="579"/>
      <c r="AG295" s="577"/>
      <c r="AH295" s="579"/>
      <c r="AI295" s="577"/>
      <c r="AJ295" s="579"/>
      <c r="AK295" s="577"/>
      <c r="AL295" s="579"/>
      <c r="AM295" s="580"/>
      <c r="AN295" s="579"/>
      <c r="AO295" s="577"/>
      <c r="AP295" s="579"/>
      <c r="AQ295" s="580"/>
      <c r="AR295" s="579"/>
      <c r="AS295" s="579"/>
      <c r="AT295" s="579"/>
      <c r="AU295" s="580"/>
      <c r="AV295" s="579"/>
      <c r="AW295" s="579"/>
      <c r="AX295" s="158"/>
      <c r="AY295" s="154"/>
      <c r="AZ295">
        <f ca="1">INDIRECT(ADDRESS(ROW()+1,COLUMN(Arbeitszeit!xDay),,,"Arbeitszeit"))</f>
        <v>3</v>
      </c>
    </row>
    <row r="296" spans="1:52">
      <c r="A296" s="520">
        <f>Arbeitszeit!A297</f>
        <v>43756</v>
      </c>
      <c r="B296" s="521">
        <f t="shared" si="16"/>
        <v>43756</v>
      </c>
      <c r="C296" s="191">
        <f t="shared" si="17"/>
        <v>42</v>
      </c>
      <c r="D296" s="190">
        <f t="shared" si="18"/>
        <v>43738</v>
      </c>
      <c r="E296" s="589">
        <f>Arbeitszeit!V297*24</f>
        <v>0</v>
      </c>
      <c r="F296" s="349">
        <f t="shared" si="19"/>
        <v>0</v>
      </c>
      <c r="G296" s="155">
        <f>IF(Arbeitszeit!F297=Urlaub,B_WorkTime*24,)</f>
        <v>0</v>
      </c>
      <c r="H296" s="153"/>
      <c r="I296" s="155">
        <f>IF(Arbeitszeit!F297=Krank,B_WorkTime*24,)</f>
        <v>0</v>
      </c>
      <c r="J296" s="153"/>
      <c r="K296" s="156"/>
      <c r="L296" s="157"/>
      <c r="M296" s="577"/>
      <c r="N296" s="578"/>
      <c r="O296" s="577"/>
      <c r="P296" s="578"/>
      <c r="Q296" s="577"/>
      <c r="R296" s="578"/>
      <c r="S296" s="577"/>
      <c r="T296" s="578"/>
      <c r="U296" s="577"/>
      <c r="V296" s="578"/>
      <c r="W296" s="577"/>
      <c r="X296" s="578"/>
      <c r="Y296" s="577"/>
      <c r="Z296" s="578"/>
      <c r="AA296" s="577"/>
      <c r="AB296" s="578"/>
      <c r="AC296" s="577"/>
      <c r="AD296" s="578"/>
      <c r="AE296" s="577"/>
      <c r="AF296" s="579"/>
      <c r="AG296" s="577"/>
      <c r="AH296" s="579"/>
      <c r="AI296" s="577"/>
      <c r="AJ296" s="579"/>
      <c r="AK296" s="577"/>
      <c r="AL296" s="579"/>
      <c r="AM296" s="580"/>
      <c r="AN296" s="579"/>
      <c r="AO296" s="577"/>
      <c r="AP296" s="579"/>
      <c r="AQ296" s="580"/>
      <c r="AR296" s="579"/>
      <c r="AS296" s="579"/>
      <c r="AT296" s="579"/>
      <c r="AU296" s="580"/>
      <c r="AV296" s="579"/>
      <c r="AW296" s="579"/>
      <c r="AX296" s="158"/>
      <c r="AY296" s="154"/>
      <c r="AZ296">
        <f ca="1">INDIRECT(ADDRESS(ROW()+1,COLUMN(Arbeitszeit!xDay),,,"Arbeitszeit"))</f>
        <v>4</v>
      </c>
    </row>
    <row r="297" spans="1:52">
      <c r="A297" s="520">
        <f>Arbeitszeit!A298</f>
        <v>43757</v>
      </c>
      <c r="B297" s="521">
        <f t="shared" si="16"/>
        <v>43757</v>
      </c>
      <c r="C297" s="191">
        <f t="shared" si="17"/>
        <v>42</v>
      </c>
      <c r="D297" s="190">
        <f t="shared" si="18"/>
        <v>43738</v>
      </c>
      <c r="E297" s="589">
        <f>Arbeitszeit!V298*24</f>
        <v>0</v>
      </c>
      <c r="F297" s="349">
        <f t="shared" si="19"/>
        <v>0</v>
      </c>
      <c r="G297" s="155">
        <f>IF(Arbeitszeit!F298=Urlaub,B_WorkTime*24,)</f>
        <v>0</v>
      </c>
      <c r="H297" s="153"/>
      <c r="I297" s="155">
        <f>IF(Arbeitszeit!F298=Krank,B_WorkTime*24,)</f>
        <v>0</v>
      </c>
      <c r="J297" s="153"/>
      <c r="K297" s="156"/>
      <c r="L297" s="157"/>
      <c r="M297" s="577"/>
      <c r="N297" s="578"/>
      <c r="O297" s="577"/>
      <c r="P297" s="578"/>
      <c r="Q297" s="577"/>
      <c r="R297" s="578"/>
      <c r="S297" s="577"/>
      <c r="T297" s="578"/>
      <c r="U297" s="577"/>
      <c r="V297" s="578"/>
      <c r="W297" s="577"/>
      <c r="X297" s="578"/>
      <c r="Y297" s="577"/>
      <c r="Z297" s="578"/>
      <c r="AA297" s="577"/>
      <c r="AB297" s="578"/>
      <c r="AC297" s="577"/>
      <c r="AD297" s="578"/>
      <c r="AE297" s="577"/>
      <c r="AF297" s="579"/>
      <c r="AG297" s="577"/>
      <c r="AH297" s="579"/>
      <c r="AI297" s="577"/>
      <c r="AJ297" s="579"/>
      <c r="AK297" s="577"/>
      <c r="AL297" s="579"/>
      <c r="AM297" s="580"/>
      <c r="AN297" s="579"/>
      <c r="AO297" s="577"/>
      <c r="AP297" s="579"/>
      <c r="AQ297" s="580"/>
      <c r="AR297" s="579"/>
      <c r="AS297" s="579"/>
      <c r="AT297" s="579"/>
      <c r="AU297" s="580"/>
      <c r="AV297" s="579"/>
      <c r="AW297" s="579"/>
      <c r="AX297" s="158"/>
      <c r="AY297" s="154"/>
      <c r="AZ297">
        <f ca="1">INDIRECT(ADDRESS(ROW()+1,COLUMN(Arbeitszeit!xDay),,,"Arbeitszeit"))</f>
        <v>5</v>
      </c>
    </row>
    <row r="298" spans="1:52">
      <c r="A298" s="520">
        <f>Arbeitszeit!A299</f>
        <v>43758</v>
      </c>
      <c r="B298" s="521">
        <f t="shared" si="16"/>
        <v>43758</v>
      </c>
      <c r="C298" s="191">
        <f t="shared" si="17"/>
        <v>42</v>
      </c>
      <c r="D298" s="190">
        <f t="shared" si="18"/>
        <v>43738</v>
      </c>
      <c r="E298" s="589">
        <f>Arbeitszeit!V299*24</f>
        <v>0</v>
      </c>
      <c r="F298" s="349">
        <f t="shared" si="19"/>
        <v>0</v>
      </c>
      <c r="G298" s="155">
        <f>IF(Arbeitszeit!F299=Urlaub,B_WorkTime*24,)</f>
        <v>0</v>
      </c>
      <c r="H298" s="153"/>
      <c r="I298" s="155">
        <f>IF(Arbeitszeit!F299=Krank,B_WorkTime*24,)</f>
        <v>0</v>
      </c>
      <c r="J298" s="153"/>
      <c r="K298" s="156"/>
      <c r="L298" s="157"/>
      <c r="M298" s="577"/>
      <c r="N298" s="578"/>
      <c r="O298" s="577"/>
      <c r="P298" s="578"/>
      <c r="Q298" s="577"/>
      <c r="R298" s="578"/>
      <c r="S298" s="577"/>
      <c r="T298" s="578"/>
      <c r="U298" s="577"/>
      <c r="V298" s="578"/>
      <c r="W298" s="577"/>
      <c r="X298" s="578"/>
      <c r="Y298" s="577"/>
      <c r="Z298" s="578"/>
      <c r="AA298" s="577"/>
      <c r="AB298" s="578"/>
      <c r="AC298" s="577"/>
      <c r="AD298" s="578"/>
      <c r="AE298" s="577"/>
      <c r="AF298" s="579"/>
      <c r="AG298" s="577"/>
      <c r="AH298" s="579"/>
      <c r="AI298" s="577"/>
      <c r="AJ298" s="579"/>
      <c r="AK298" s="577"/>
      <c r="AL298" s="579"/>
      <c r="AM298" s="580"/>
      <c r="AN298" s="579"/>
      <c r="AO298" s="577"/>
      <c r="AP298" s="579"/>
      <c r="AQ298" s="580"/>
      <c r="AR298" s="579"/>
      <c r="AS298" s="579"/>
      <c r="AT298" s="579"/>
      <c r="AU298" s="580"/>
      <c r="AV298" s="579"/>
      <c r="AW298" s="579"/>
      <c r="AX298" s="158"/>
      <c r="AY298" s="154"/>
      <c r="AZ298">
        <f ca="1">INDIRECT(ADDRESS(ROW()+1,COLUMN(Arbeitszeit!xDay),,,"Arbeitszeit"))</f>
        <v>6</v>
      </c>
    </row>
    <row r="299" spans="1:52">
      <c r="A299" s="520">
        <f>Arbeitszeit!A300</f>
        <v>43759</v>
      </c>
      <c r="B299" s="521">
        <f t="shared" si="16"/>
        <v>43759</v>
      </c>
      <c r="C299" s="191">
        <f t="shared" si="17"/>
        <v>42</v>
      </c>
      <c r="D299" s="190">
        <f t="shared" si="18"/>
        <v>43738</v>
      </c>
      <c r="E299" s="589">
        <f>Arbeitszeit!V300*24</f>
        <v>0</v>
      </c>
      <c r="F299" s="349">
        <f t="shared" si="19"/>
        <v>0</v>
      </c>
      <c r="G299" s="155">
        <f>IF(Arbeitszeit!F300=Urlaub,B_WorkTime*24,)</f>
        <v>0</v>
      </c>
      <c r="H299" s="153"/>
      <c r="I299" s="155">
        <f>IF(Arbeitszeit!F300=Krank,B_WorkTime*24,)</f>
        <v>0</v>
      </c>
      <c r="J299" s="153"/>
      <c r="K299" s="156"/>
      <c r="L299" s="157"/>
      <c r="M299" s="577"/>
      <c r="N299" s="578"/>
      <c r="O299" s="577"/>
      <c r="P299" s="578"/>
      <c r="Q299" s="577"/>
      <c r="R299" s="578"/>
      <c r="S299" s="577"/>
      <c r="T299" s="578"/>
      <c r="U299" s="577"/>
      <c r="V299" s="578"/>
      <c r="W299" s="577"/>
      <c r="X299" s="578"/>
      <c r="Y299" s="577"/>
      <c r="Z299" s="578"/>
      <c r="AA299" s="577"/>
      <c r="AB299" s="578"/>
      <c r="AC299" s="577"/>
      <c r="AD299" s="578"/>
      <c r="AE299" s="577"/>
      <c r="AF299" s="579"/>
      <c r="AG299" s="577"/>
      <c r="AH299" s="579"/>
      <c r="AI299" s="577"/>
      <c r="AJ299" s="579"/>
      <c r="AK299" s="577"/>
      <c r="AL299" s="579"/>
      <c r="AM299" s="580"/>
      <c r="AN299" s="579"/>
      <c r="AO299" s="577"/>
      <c r="AP299" s="579"/>
      <c r="AQ299" s="580"/>
      <c r="AR299" s="579"/>
      <c r="AS299" s="579"/>
      <c r="AT299" s="579"/>
      <c r="AU299" s="580"/>
      <c r="AV299" s="579"/>
      <c r="AW299" s="579"/>
      <c r="AX299" s="158"/>
      <c r="AY299" s="154"/>
      <c r="AZ299">
        <f ca="1">INDIRECT(ADDRESS(ROW()+1,COLUMN(Arbeitszeit!xDay),,,"Arbeitszeit"))</f>
        <v>7</v>
      </c>
    </row>
    <row r="300" spans="1:52">
      <c r="A300" s="520">
        <f>Arbeitszeit!A301</f>
        <v>43760</v>
      </c>
      <c r="B300" s="521">
        <f t="shared" si="16"/>
        <v>43760</v>
      </c>
      <c r="C300" s="191">
        <f t="shared" si="17"/>
        <v>43</v>
      </c>
      <c r="D300" s="190">
        <f t="shared" si="18"/>
        <v>43738</v>
      </c>
      <c r="E300" s="589">
        <f>Arbeitszeit!V301*24</f>
        <v>0</v>
      </c>
      <c r="F300" s="349">
        <f t="shared" si="19"/>
        <v>0</v>
      </c>
      <c r="G300" s="155">
        <f>IF(Arbeitszeit!F301=Urlaub,B_WorkTime*24,)</f>
        <v>0</v>
      </c>
      <c r="H300" s="153"/>
      <c r="I300" s="155">
        <f>IF(Arbeitszeit!F301=Krank,B_WorkTime*24,)</f>
        <v>0</v>
      </c>
      <c r="J300" s="153"/>
      <c r="K300" s="156"/>
      <c r="L300" s="157"/>
      <c r="M300" s="577"/>
      <c r="N300" s="578"/>
      <c r="O300" s="577"/>
      <c r="P300" s="578"/>
      <c r="Q300" s="577"/>
      <c r="R300" s="578"/>
      <c r="S300" s="577"/>
      <c r="T300" s="578"/>
      <c r="U300" s="577"/>
      <c r="V300" s="578"/>
      <c r="W300" s="577"/>
      <c r="X300" s="578"/>
      <c r="Y300" s="577"/>
      <c r="Z300" s="578"/>
      <c r="AA300" s="577"/>
      <c r="AB300" s="578"/>
      <c r="AC300" s="577"/>
      <c r="AD300" s="578"/>
      <c r="AE300" s="577"/>
      <c r="AF300" s="579"/>
      <c r="AG300" s="577"/>
      <c r="AH300" s="579"/>
      <c r="AI300" s="577"/>
      <c r="AJ300" s="579"/>
      <c r="AK300" s="577"/>
      <c r="AL300" s="579"/>
      <c r="AM300" s="580"/>
      <c r="AN300" s="579"/>
      <c r="AO300" s="577"/>
      <c r="AP300" s="579"/>
      <c r="AQ300" s="580"/>
      <c r="AR300" s="579"/>
      <c r="AS300" s="579"/>
      <c r="AT300" s="579"/>
      <c r="AU300" s="580"/>
      <c r="AV300" s="579"/>
      <c r="AW300" s="579"/>
      <c r="AX300" s="158"/>
      <c r="AY300" s="154"/>
      <c r="AZ300">
        <f ca="1">INDIRECT(ADDRESS(ROW()+1,COLUMN(Arbeitszeit!xDay),,,"Arbeitszeit"))</f>
        <v>1</v>
      </c>
    </row>
    <row r="301" spans="1:52">
      <c r="A301" s="520">
        <f>Arbeitszeit!A302</f>
        <v>43761</v>
      </c>
      <c r="B301" s="521">
        <f t="shared" si="16"/>
        <v>43761</v>
      </c>
      <c r="C301" s="191">
        <f t="shared" si="17"/>
        <v>43</v>
      </c>
      <c r="D301" s="190">
        <f t="shared" si="18"/>
        <v>43738</v>
      </c>
      <c r="E301" s="589">
        <f>Arbeitszeit!V302*24</f>
        <v>0</v>
      </c>
      <c r="F301" s="349">
        <f t="shared" si="19"/>
        <v>0</v>
      </c>
      <c r="G301" s="155">
        <f>IF(Arbeitszeit!F302=Urlaub,B_WorkTime*24,)</f>
        <v>0</v>
      </c>
      <c r="H301" s="153"/>
      <c r="I301" s="155">
        <f>IF(Arbeitszeit!F302=Krank,B_WorkTime*24,)</f>
        <v>0</v>
      </c>
      <c r="J301" s="153"/>
      <c r="K301" s="156"/>
      <c r="L301" s="157"/>
      <c r="M301" s="577"/>
      <c r="N301" s="578"/>
      <c r="O301" s="577"/>
      <c r="P301" s="578"/>
      <c r="Q301" s="577"/>
      <c r="R301" s="578"/>
      <c r="S301" s="577"/>
      <c r="T301" s="578"/>
      <c r="U301" s="577"/>
      <c r="V301" s="578"/>
      <c r="W301" s="577"/>
      <c r="X301" s="578"/>
      <c r="Y301" s="577"/>
      <c r="Z301" s="578"/>
      <c r="AA301" s="577"/>
      <c r="AB301" s="578"/>
      <c r="AC301" s="577"/>
      <c r="AD301" s="578"/>
      <c r="AE301" s="577"/>
      <c r="AF301" s="579"/>
      <c r="AG301" s="577"/>
      <c r="AH301" s="579"/>
      <c r="AI301" s="577"/>
      <c r="AJ301" s="579"/>
      <c r="AK301" s="577"/>
      <c r="AL301" s="579"/>
      <c r="AM301" s="580"/>
      <c r="AN301" s="579"/>
      <c r="AO301" s="577"/>
      <c r="AP301" s="579"/>
      <c r="AQ301" s="580"/>
      <c r="AR301" s="579"/>
      <c r="AS301" s="579"/>
      <c r="AT301" s="579"/>
      <c r="AU301" s="580"/>
      <c r="AV301" s="579"/>
      <c r="AW301" s="579"/>
      <c r="AX301" s="158"/>
      <c r="AY301" s="154"/>
      <c r="AZ301">
        <f ca="1">INDIRECT(ADDRESS(ROW()+1,COLUMN(Arbeitszeit!xDay),,,"Arbeitszeit"))</f>
        <v>2</v>
      </c>
    </row>
    <row r="302" spans="1:52">
      <c r="A302" s="520">
        <f>Arbeitszeit!A303</f>
        <v>43762</v>
      </c>
      <c r="B302" s="521">
        <f t="shared" si="16"/>
        <v>43762</v>
      </c>
      <c r="C302" s="191">
        <f t="shared" si="17"/>
        <v>43</v>
      </c>
      <c r="D302" s="190">
        <f t="shared" si="18"/>
        <v>43738</v>
      </c>
      <c r="E302" s="589">
        <f>Arbeitszeit!V303*24</f>
        <v>0</v>
      </c>
      <c r="F302" s="349">
        <f t="shared" si="19"/>
        <v>0</v>
      </c>
      <c r="G302" s="155">
        <f>IF(Arbeitszeit!F303=Urlaub,B_WorkTime*24,)</f>
        <v>0</v>
      </c>
      <c r="H302" s="153"/>
      <c r="I302" s="155">
        <f>IF(Arbeitszeit!F303=Krank,B_WorkTime*24,)</f>
        <v>0</v>
      </c>
      <c r="J302" s="153"/>
      <c r="K302" s="156"/>
      <c r="L302" s="157"/>
      <c r="M302" s="577"/>
      <c r="N302" s="578"/>
      <c r="O302" s="577"/>
      <c r="P302" s="578"/>
      <c r="Q302" s="577"/>
      <c r="R302" s="578"/>
      <c r="S302" s="577"/>
      <c r="T302" s="578"/>
      <c r="U302" s="577"/>
      <c r="V302" s="578"/>
      <c r="W302" s="577"/>
      <c r="X302" s="578"/>
      <c r="Y302" s="577"/>
      <c r="Z302" s="578"/>
      <c r="AA302" s="577"/>
      <c r="AB302" s="578"/>
      <c r="AC302" s="577"/>
      <c r="AD302" s="578"/>
      <c r="AE302" s="577"/>
      <c r="AF302" s="579"/>
      <c r="AG302" s="577"/>
      <c r="AH302" s="579"/>
      <c r="AI302" s="577"/>
      <c r="AJ302" s="579"/>
      <c r="AK302" s="577"/>
      <c r="AL302" s="579"/>
      <c r="AM302" s="580"/>
      <c r="AN302" s="579"/>
      <c r="AO302" s="577"/>
      <c r="AP302" s="579"/>
      <c r="AQ302" s="580"/>
      <c r="AR302" s="579"/>
      <c r="AS302" s="579"/>
      <c r="AT302" s="579"/>
      <c r="AU302" s="580"/>
      <c r="AV302" s="579"/>
      <c r="AW302" s="579"/>
      <c r="AX302" s="158"/>
      <c r="AY302" s="154"/>
      <c r="AZ302">
        <f ca="1">INDIRECT(ADDRESS(ROW()+1,COLUMN(Arbeitszeit!xDay),,,"Arbeitszeit"))</f>
        <v>3</v>
      </c>
    </row>
    <row r="303" spans="1:52">
      <c r="A303" s="520">
        <f>Arbeitszeit!A304</f>
        <v>43763</v>
      </c>
      <c r="B303" s="521">
        <f t="shared" si="16"/>
        <v>43763</v>
      </c>
      <c r="C303" s="191">
        <f t="shared" si="17"/>
        <v>43</v>
      </c>
      <c r="D303" s="190">
        <f t="shared" si="18"/>
        <v>43738</v>
      </c>
      <c r="E303" s="589">
        <f>Arbeitszeit!V304*24</f>
        <v>0</v>
      </c>
      <c r="F303" s="349">
        <f t="shared" si="19"/>
        <v>0</v>
      </c>
      <c r="G303" s="155">
        <f>IF(Arbeitszeit!F304=Urlaub,B_WorkTime*24,)</f>
        <v>0</v>
      </c>
      <c r="H303" s="153"/>
      <c r="I303" s="155">
        <f>IF(Arbeitszeit!F304=Krank,B_WorkTime*24,)</f>
        <v>0</v>
      </c>
      <c r="J303" s="153"/>
      <c r="K303" s="156"/>
      <c r="L303" s="157"/>
      <c r="M303" s="577"/>
      <c r="N303" s="578"/>
      <c r="O303" s="577"/>
      <c r="P303" s="578"/>
      <c r="Q303" s="577"/>
      <c r="R303" s="578"/>
      <c r="S303" s="577"/>
      <c r="T303" s="578"/>
      <c r="U303" s="577"/>
      <c r="V303" s="578"/>
      <c r="W303" s="577"/>
      <c r="X303" s="578"/>
      <c r="Y303" s="577"/>
      <c r="Z303" s="578"/>
      <c r="AA303" s="577"/>
      <c r="AB303" s="578"/>
      <c r="AC303" s="577"/>
      <c r="AD303" s="578"/>
      <c r="AE303" s="577"/>
      <c r="AF303" s="579"/>
      <c r="AG303" s="577"/>
      <c r="AH303" s="579"/>
      <c r="AI303" s="577"/>
      <c r="AJ303" s="579"/>
      <c r="AK303" s="577"/>
      <c r="AL303" s="579"/>
      <c r="AM303" s="580"/>
      <c r="AN303" s="579"/>
      <c r="AO303" s="577"/>
      <c r="AP303" s="579"/>
      <c r="AQ303" s="580"/>
      <c r="AR303" s="579"/>
      <c r="AS303" s="579"/>
      <c r="AT303" s="579"/>
      <c r="AU303" s="580"/>
      <c r="AV303" s="579"/>
      <c r="AW303" s="579"/>
      <c r="AX303" s="158"/>
      <c r="AY303" s="154"/>
      <c r="AZ303">
        <f ca="1">INDIRECT(ADDRESS(ROW()+1,COLUMN(Arbeitszeit!xDay),,,"Arbeitszeit"))</f>
        <v>4</v>
      </c>
    </row>
    <row r="304" spans="1:52">
      <c r="A304" s="520">
        <f>Arbeitszeit!A305</f>
        <v>43764</v>
      </c>
      <c r="B304" s="521">
        <f t="shared" si="16"/>
        <v>43764</v>
      </c>
      <c r="C304" s="191">
        <f t="shared" si="17"/>
        <v>43</v>
      </c>
      <c r="D304" s="190">
        <f t="shared" si="18"/>
        <v>43738</v>
      </c>
      <c r="E304" s="589">
        <f>Arbeitszeit!V305*24</f>
        <v>0</v>
      </c>
      <c r="F304" s="349">
        <f t="shared" si="19"/>
        <v>0</v>
      </c>
      <c r="G304" s="155">
        <f>IF(Arbeitszeit!F305=Urlaub,B_WorkTime*24,)</f>
        <v>0</v>
      </c>
      <c r="H304" s="153"/>
      <c r="I304" s="155">
        <f>IF(Arbeitszeit!F305=Krank,B_WorkTime*24,)</f>
        <v>0</v>
      </c>
      <c r="J304" s="153"/>
      <c r="K304" s="156"/>
      <c r="L304" s="157"/>
      <c r="M304" s="577"/>
      <c r="N304" s="578"/>
      <c r="O304" s="577"/>
      <c r="P304" s="578"/>
      <c r="Q304" s="577"/>
      <c r="R304" s="578"/>
      <c r="S304" s="577"/>
      <c r="T304" s="578"/>
      <c r="U304" s="577"/>
      <c r="V304" s="578"/>
      <c r="W304" s="577"/>
      <c r="X304" s="578"/>
      <c r="Y304" s="577"/>
      <c r="Z304" s="578"/>
      <c r="AA304" s="577"/>
      <c r="AB304" s="578"/>
      <c r="AC304" s="577"/>
      <c r="AD304" s="578"/>
      <c r="AE304" s="577"/>
      <c r="AF304" s="579"/>
      <c r="AG304" s="577"/>
      <c r="AH304" s="579"/>
      <c r="AI304" s="577"/>
      <c r="AJ304" s="579"/>
      <c r="AK304" s="577"/>
      <c r="AL304" s="579"/>
      <c r="AM304" s="580"/>
      <c r="AN304" s="579"/>
      <c r="AO304" s="577"/>
      <c r="AP304" s="579"/>
      <c r="AQ304" s="580"/>
      <c r="AR304" s="579"/>
      <c r="AS304" s="579"/>
      <c r="AT304" s="579"/>
      <c r="AU304" s="580"/>
      <c r="AV304" s="579"/>
      <c r="AW304" s="579"/>
      <c r="AX304" s="158"/>
      <c r="AY304" s="154"/>
      <c r="AZ304">
        <f ca="1">INDIRECT(ADDRESS(ROW()+1,COLUMN(Arbeitszeit!xDay),,,"Arbeitszeit"))</f>
        <v>5</v>
      </c>
    </row>
    <row r="305" spans="1:52">
      <c r="A305" s="520">
        <f>Arbeitszeit!A306</f>
        <v>43765</v>
      </c>
      <c r="B305" s="521">
        <f t="shared" si="16"/>
        <v>43765</v>
      </c>
      <c r="C305" s="191">
        <f t="shared" si="17"/>
        <v>43</v>
      </c>
      <c r="D305" s="190">
        <f t="shared" si="18"/>
        <v>43738</v>
      </c>
      <c r="E305" s="589">
        <f>Arbeitszeit!V306*24</f>
        <v>0</v>
      </c>
      <c r="F305" s="349">
        <f t="shared" si="19"/>
        <v>0</v>
      </c>
      <c r="G305" s="155">
        <f>IF(Arbeitszeit!F306=Urlaub,B_WorkTime*24,)</f>
        <v>0</v>
      </c>
      <c r="H305" s="153"/>
      <c r="I305" s="155">
        <f>IF(Arbeitszeit!F306=Krank,B_WorkTime*24,)</f>
        <v>0</v>
      </c>
      <c r="J305" s="153"/>
      <c r="K305" s="156"/>
      <c r="L305" s="157"/>
      <c r="M305" s="577"/>
      <c r="N305" s="51"/>
      <c r="O305" s="577"/>
      <c r="P305" s="578"/>
      <c r="Q305" s="577"/>
      <c r="R305" s="578"/>
      <c r="S305" s="577"/>
      <c r="T305" s="578"/>
      <c r="U305" s="577"/>
      <c r="V305" s="578"/>
      <c r="W305" s="577"/>
      <c r="X305" s="578"/>
      <c r="Y305" s="577"/>
      <c r="Z305" s="578"/>
      <c r="AA305" s="577"/>
      <c r="AB305" s="578"/>
      <c r="AC305" s="577"/>
      <c r="AD305" s="578"/>
      <c r="AE305" s="577"/>
      <c r="AF305" s="579"/>
      <c r="AG305" s="577"/>
      <c r="AH305" s="579"/>
      <c r="AI305" s="577"/>
      <c r="AJ305" s="579"/>
      <c r="AK305" s="577"/>
      <c r="AL305" s="579"/>
      <c r="AM305" s="580"/>
      <c r="AN305" s="579"/>
      <c r="AO305" s="577"/>
      <c r="AP305" s="579"/>
      <c r="AQ305" s="580"/>
      <c r="AR305" s="579"/>
      <c r="AS305" s="579"/>
      <c r="AT305" s="579"/>
      <c r="AU305" s="580"/>
      <c r="AV305" s="579"/>
      <c r="AW305" s="579"/>
      <c r="AX305" s="158"/>
      <c r="AY305" s="154"/>
      <c r="AZ305">
        <f ca="1">INDIRECT(ADDRESS(ROW()+1,COLUMN(Arbeitszeit!xDay),,,"Arbeitszeit"))</f>
        <v>6</v>
      </c>
    </row>
    <row r="306" spans="1:52">
      <c r="A306" s="520">
        <f>Arbeitszeit!A307</f>
        <v>43766</v>
      </c>
      <c r="B306" s="521">
        <f t="shared" si="16"/>
        <v>43766</v>
      </c>
      <c r="C306" s="191">
        <f t="shared" si="17"/>
        <v>43</v>
      </c>
      <c r="D306" s="190">
        <f t="shared" si="18"/>
        <v>43738</v>
      </c>
      <c r="E306" s="589">
        <f>Arbeitszeit!V307*24</f>
        <v>0</v>
      </c>
      <c r="F306" s="349">
        <f t="shared" si="19"/>
        <v>0</v>
      </c>
      <c r="G306" s="155">
        <f>IF(Arbeitszeit!F307=Urlaub,B_WorkTime*24,)</f>
        <v>0</v>
      </c>
      <c r="H306" s="153"/>
      <c r="I306" s="155">
        <f>IF(Arbeitszeit!F307=Krank,B_WorkTime*24,)</f>
        <v>0</v>
      </c>
      <c r="J306" s="153"/>
      <c r="K306" s="156"/>
      <c r="L306" s="157"/>
      <c r="M306" s="577"/>
      <c r="N306" s="578"/>
      <c r="O306" s="577"/>
      <c r="P306" s="578"/>
      <c r="Q306" s="577"/>
      <c r="R306" s="578"/>
      <c r="S306" s="577"/>
      <c r="T306" s="578"/>
      <c r="U306" s="577"/>
      <c r="V306" s="578"/>
      <c r="W306" s="577"/>
      <c r="X306" s="578"/>
      <c r="Y306" s="577"/>
      <c r="Z306" s="578"/>
      <c r="AA306" s="577"/>
      <c r="AB306" s="578"/>
      <c r="AC306" s="577"/>
      <c r="AD306" s="578"/>
      <c r="AE306" s="577"/>
      <c r="AF306" s="579"/>
      <c r="AG306" s="577"/>
      <c r="AH306" s="579"/>
      <c r="AI306" s="577"/>
      <c r="AJ306" s="579"/>
      <c r="AK306" s="577"/>
      <c r="AL306" s="579"/>
      <c r="AM306" s="580"/>
      <c r="AN306" s="579"/>
      <c r="AO306" s="577"/>
      <c r="AP306" s="579"/>
      <c r="AQ306" s="580"/>
      <c r="AR306" s="579"/>
      <c r="AS306" s="579"/>
      <c r="AT306" s="579"/>
      <c r="AU306" s="580"/>
      <c r="AV306" s="579"/>
      <c r="AW306" s="579"/>
      <c r="AX306" s="158"/>
      <c r="AY306" s="154"/>
      <c r="AZ306">
        <f ca="1">INDIRECT(ADDRESS(ROW()+1,COLUMN(Arbeitszeit!xDay),,,"Arbeitszeit"))</f>
        <v>7</v>
      </c>
    </row>
    <row r="307" spans="1:52">
      <c r="A307" s="520">
        <f>Arbeitszeit!A308</f>
        <v>43767</v>
      </c>
      <c r="B307" s="521">
        <f t="shared" si="16"/>
        <v>43767</v>
      </c>
      <c r="C307" s="191">
        <f t="shared" si="17"/>
        <v>44</v>
      </c>
      <c r="D307" s="190">
        <f t="shared" si="18"/>
        <v>43738</v>
      </c>
      <c r="E307" s="589">
        <f>Arbeitszeit!V308*24</f>
        <v>0</v>
      </c>
      <c r="F307" s="349">
        <f t="shared" si="19"/>
        <v>0</v>
      </c>
      <c r="G307" s="155">
        <f>IF(Arbeitszeit!F308=Urlaub,B_WorkTime*24,)</f>
        <v>0</v>
      </c>
      <c r="H307" s="153"/>
      <c r="I307" s="155">
        <f>IF(Arbeitszeit!F308=Krank,B_WorkTime*24,)</f>
        <v>0</v>
      </c>
      <c r="J307" s="153"/>
      <c r="K307" s="156"/>
      <c r="L307" s="157"/>
      <c r="M307" s="577"/>
      <c r="N307" s="578"/>
      <c r="O307" s="577"/>
      <c r="P307" s="578"/>
      <c r="Q307" s="577"/>
      <c r="R307" s="578"/>
      <c r="S307" s="577"/>
      <c r="T307" s="578"/>
      <c r="U307" s="577"/>
      <c r="V307" s="578"/>
      <c r="W307" s="577"/>
      <c r="X307" s="578"/>
      <c r="Y307" s="577"/>
      <c r="Z307" s="578"/>
      <c r="AA307" s="577"/>
      <c r="AB307" s="578"/>
      <c r="AC307" s="577"/>
      <c r="AD307" s="578"/>
      <c r="AE307" s="577"/>
      <c r="AF307" s="579"/>
      <c r="AG307" s="577"/>
      <c r="AH307" s="579"/>
      <c r="AI307" s="577"/>
      <c r="AJ307" s="579"/>
      <c r="AK307" s="577"/>
      <c r="AL307" s="579"/>
      <c r="AM307" s="580"/>
      <c r="AN307" s="579"/>
      <c r="AO307" s="577"/>
      <c r="AP307" s="579"/>
      <c r="AQ307" s="580"/>
      <c r="AR307" s="579"/>
      <c r="AS307" s="579"/>
      <c r="AT307" s="579"/>
      <c r="AU307" s="580"/>
      <c r="AV307" s="579"/>
      <c r="AW307" s="579"/>
      <c r="AX307" s="158"/>
      <c r="AY307" s="154"/>
      <c r="AZ307">
        <f ca="1">INDIRECT(ADDRESS(ROW()+1,COLUMN(Arbeitszeit!xDay),,,"Arbeitszeit"))</f>
        <v>1</v>
      </c>
    </row>
    <row r="308" spans="1:52">
      <c r="A308" s="520">
        <f>Arbeitszeit!A309</f>
        <v>43768</v>
      </c>
      <c r="B308" s="521">
        <f t="shared" si="16"/>
        <v>43768</v>
      </c>
      <c r="C308" s="191">
        <f t="shared" si="17"/>
        <v>44</v>
      </c>
      <c r="D308" s="190">
        <f t="shared" si="18"/>
        <v>43738</v>
      </c>
      <c r="E308" s="589">
        <f>Arbeitszeit!V309*24</f>
        <v>0</v>
      </c>
      <c r="F308" s="349">
        <f t="shared" si="19"/>
        <v>0</v>
      </c>
      <c r="G308" s="155">
        <f>IF(Arbeitszeit!F309=Urlaub,B_WorkTime*24,)</f>
        <v>0</v>
      </c>
      <c r="H308" s="153"/>
      <c r="I308" s="155">
        <f>IF(Arbeitszeit!F309=Krank,B_WorkTime*24,)</f>
        <v>0</v>
      </c>
      <c r="J308" s="153"/>
      <c r="K308" s="156"/>
      <c r="L308" s="157"/>
      <c r="M308" s="577"/>
      <c r="N308" s="578"/>
      <c r="O308" s="577"/>
      <c r="P308" s="578"/>
      <c r="Q308" s="577"/>
      <c r="R308" s="578"/>
      <c r="S308" s="577"/>
      <c r="T308" s="578"/>
      <c r="U308" s="577"/>
      <c r="V308" s="578"/>
      <c r="W308" s="577"/>
      <c r="X308" s="578"/>
      <c r="Y308" s="577"/>
      <c r="Z308" s="578"/>
      <c r="AA308" s="577"/>
      <c r="AB308" s="578"/>
      <c r="AC308" s="577"/>
      <c r="AD308" s="578"/>
      <c r="AE308" s="577"/>
      <c r="AF308" s="579"/>
      <c r="AG308" s="577"/>
      <c r="AH308" s="579"/>
      <c r="AI308" s="577"/>
      <c r="AJ308" s="579"/>
      <c r="AK308" s="577"/>
      <c r="AL308" s="579"/>
      <c r="AM308" s="580"/>
      <c r="AN308" s="579"/>
      <c r="AO308" s="577"/>
      <c r="AP308" s="579"/>
      <c r="AQ308" s="580"/>
      <c r="AR308" s="579"/>
      <c r="AS308" s="579"/>
      <c r="AT308" s="579"/>
      <c r="AU308" s="580"/>
      <c r="AV308" s="579"/>
      <c r="AW308" s="579"/>
      <c r="AX308" s="158"/>
      <c r="AY308" s="154"/>
      <c r="AZ308">
        <f ca="1">INDIRECT(ADDRESS(ROW()+1,COLUMN(Arbeitszeit!xDay),,,"Arbeitszeit"))</f>
        <v>2</v>
      </c>
    </row>
    <row r="309" spans="1:52">
      <c r="A309" s="520">
        <f>Arbeitszeit!A310</f>
        <v>43769</v>
      </c>
      <c r="B309" s="521">
        <f t="shared" si="16"/>
        <v>43769</v>
      </c>
      <c r="C309" s="191">
        <f t="shared" si="17"/>
        <v>44</v>
      </c>
      <c r="D309" s="190">
        <f t="shared" si="18"/>
        <v>43769</v>
      </c>
      <c r="E309" s="589">
        <f>Arbeitszeit!V310*24</f>
        <v>0</v>
      </c>
      <c r="F309" s="349">
        <f t="shared" si="19"/>
        <v>0</v>
      </c>
      <c r="G309" s="155">
        <f>IF(Arbeitszeit!F310=Urlaub,B_WorkTime*24,)</f>
        <v>0</v>
      </c>
      <c r="H309" s="153"/>
      <c r="I309" s="155">
        <f>IF(Arbeitszeit!F310=Krank,B_WorkTime*24,)</f>
        <v>0</v>
      </c>
      <c r="J309" s="153"/>
      <c r="K309" s="156"/>
      <c r="L309" s="157"/>
      <c r="M309" s="577"/>
      <c r="N309" s="578"/>
      <c r="O309" s="577"/>
      <c r="P309" s="578"/>
      <c r="Q309" s="577"/>
      <c r="R309" s="578"/>
      <c r="S309" s="577"/>
      <c r="T309" s="578"/>
      <c r="U309" s="577"/>
      <c r="V309" s="578"/>
      <c r="W309" s="577"/>
      <c r="X309" s="578"/>
      <c r="Y309" s="577"/>
      <c r="Z309" s="578"/>
      <c r="AA309" s="577"/>
      <c r="AB309" s="578"/>
      <c r="AC309" s="577"/>
      <c r="AD309" s="578"/>
      <c r="AE309" s="577"/>
      <c r="AF309" s="579"/>
      <c r="AG309" s="577"/>
      <c r="AH309" s="579"/>
      <c r="AI309" s="577"/>
      <c r="AJ309" s="579"/>
      <c r="AK309" s="577"/>
      <c r="AL309" s="579"/>
      <c r="AM309" s="580"/>
      <c r="AN309" s="579"/>
      <c r="AO309" s="577"/>
      <c r="AP309" s="579"/>
      <c r="AQ309" s="580"/>
      <c r="AR309" s="579"/>
      <c r="AS309" s="579"/>
      <c r="AT309" s="579"/>
      <c r="AU309" s="580"/>
      <c r="AV309" s="579"/>
      <c r="AW309" s="579"/>
      <c r="AX309" s="158"/>
      <c r="AY309" s="154"/>
      <c r="AZ309">
        <f ca="1">INDIRECT(ADDRESS(ROW()+1,COLUMN(Arbeitszeit!xDay),,,"Arbeitszeit"))</f>
        <v>8</v>
      </c>
    </row>
    <row r="310" spans="1:52">
      <c r="A310" s="520">
        <f>Arbeitszeit!A311</f>
        <v>43770</v>
      </c>
      <c r="B310" s="521">
        <f t="shared" si="16"/>
        <v>43770</v>
      </c>
      <c r="C310" s="191">
        <f t="shared" si="17"/>
        <v>44</v>
      </c>
      <c r="D310" s="190">
        <f t="shared" si="18"/>
        <v>43769</v>
      </c>
      <c r="E310" s="589">
        <f>Arbeitszeit!V311*24</f>
        <v>0</v>
      </c>
      <c r="F310" s="349">
        <f t="shared" si="19"/>
        <v>0</v>
      </c>
      <c r="G310" s="155">
        <f>IF(Arbeitszeit!F311=Urlaub,B_WorkTime*24,)</f>
        <v>0</v>
      </c>
      <c r="H310" s="153"/>
      <c r="I310" s="155">
        <f>IF(Arbeitszeit!F311=Krank,B_WorkTime*24,)</f>
        <v>0</v>
      </c>
      <c r="J310" s="153"/>
      <c r="K310" s="156"/>
      <c r="L310" s="157"/>
      <c r="M310" s="577"/>
      <c r="N310" s="578"/>
      <c r="O310" s="577"/>
      <c r="P310" s="578"/>
      <c r="Q310" s="577"/>
      <c r="R310" s="578"/>
      <c r="S310" s="577"/>
      <c r="T310" s="578"/>
      <c r="U310" s="577"/>
      <c r="V310" s="578"/>
      <c r="W310" s="577"/>
      <c r="X310" s="578"/>
      <c r="Y310" s="577"/>
      <c r="Z310" s="578"/>
      <c r="AA310" s="577"/>
      <c r="AB310" s="578"/>
      <c r="AC310" s="577"/>
      <c r="AD310" s="578"/>
      <c r="AE310" s="577"/>
      <c r="AF310" s="579"/>
      <c r="AG310" s="577"/>
      <c r="AH310" s="579"/>
      <c r="AI310" s="577"/>
      <c r="AJ310" s="579"/>
      <c r="AK310" s="577"/>
      <c r="AL310" s="579"/>
      <c r="AM310" s="580"/>
      <c r="AN310" s="579"/>
      <c r="AO310" s="577"/>
      <c r="AP310" s="579"/>
      <c r="AQ310" s="580"/>
      <c r="AR310" s="579"/>
      <c r="AS310" s="579"/>
      <c r="AT310" s="579"/>
      <c r="AU310" s="580"/>
      <c r="AV310" s="579"/>
      <c r="AW310" s="579"/>
      <c r="AX310" s="158"/>
      <c r="AY310" s="154"/>
      <c r="AZ310">
        <f ca="1">INDIRECT(ADDRESS(ROW()+1,COLUMN(Arbeitszeit!xDay),,,"Arbeitszeit"))</f>
        <v>4</v>
      </c>
    </row>
    <row r="311" spans="1:52">
      <c r="A311" s="520">
        <f>Arbeitszeit!A312</f>
        <v>43771</v>
      </c>
      <c r="B311" s="521">
        <f t="shared" si="16"/>
        <v>43771</v>
      </c>
      <c r="C311" s="191">
        <f t="shared" si="17"/>
        <v>44</v>
      </c>
      <c r="D311" s="190">
        <f t="shared" si="18"/>
        <v>43769</v>
      </c>
      <c r="E311" s="589">
        <f>Arbeitszeit!V312*24</f>
        <v>0</v>
      </c>
      <c r="F311" s="349">
        <f t="shared" si="19"/>
        <v>0</v>
      </c>
      <c r="G311" s="155">
        <f>IF(Arbeitszeit!F312=Urlaub,B_WorkTime*24,)</f>
        <v>0</v>
      </c>
      <c r="H311" s="153"/>
      <c r="I311" s="155">
        <f>IF(Arbeitszeit!F312=Krank,B_WorkTime*24,)</f>
        <v>0</v>
      </c>
      <c r="J311" s="153"/>
      <c r="K311" s="156"/>
      <c r="L311" s="157"/>
      <c r="M311" s="577"/>
      <c r="N311" s="578"/>
      <c r="O311" s="577"/>
      <c r="P311" s="578"/>
      <c r="Q311" s="577"/>
      <c r="R311" s="578"/>
      <c r="S311" s="577"/>
      <c r="T311" s="578"/>
      <c r="U311" s="577"/>
      <c r="V311" s="578"/>
      <c r="W311" s="577"/>
      <c r="X311" s="578"/>
      <c r="Y311" s="577"/>
      <c r="Z311" s="578"/>
      <c r="AA311" s="577"/>
      <c r="AB311" s="578"/>
      <c r="AC311" s="577"/>
      <c r="AD311" s="578"/>
      <c r="AE311" s="577"/>
      <c r="AF311" s="579"/>
      <c r="AG311" s="577"/>
      <c r="AH311" s="579"/>
      <c r="AI311" s="577"/>
      <c r="AJ311" s="579"/>
      <c r="AK311" s="577"/>
      <c r="AL311" s="579"/>
      <c r="AM311" s="580"/>
      <c r="AN311" s="579"/>
      <c r="AO311" s="577"/>
      <c r="AP311" s="579"/>
      <c r="AQ311" s="580"/>
      <c r="AR311" s="579"/>
      <c r="AS311" s="579"/>
      <c r="AT311" s="579"/>
      <c r="AU311" s="580"/>
      <c r="AV311" s="579"/>
      <c r="AW311" s="579"/>
      <c r="AX311" s="158"/>
      <c r="AY311" s="154"/>
      <c r="AZ311">
        <f ca="1">INDIRECT(ADDRESS(ROW()+1,COLUMN(Arbeitszeit!xDay),,,"Arbeitszeit"))</f>
        <v>5</v>
      </c>
    </row>
    <row r="312" spans="1:52">
      <c r="A312" s="520">
        <f>Arbeitszeit!A313</f>
        <v>43772</v>
      </c>
      <c r="B312" s="521">
        <f t="shared" si="16"/>
        <v>43772</v>
      </c>
      <c r="C312" s="191">
        <f t="shared" si="17"/>
        <v>44</v>
      </c>
      <c r="D312" s="190">
        <f t="shared" si="18"/>
        <v>43769</v>
      </c>
      <c r="E312" s="589">
        <f>Arbeitszeit!V313*24</f>
        <v>0</v>
      </c>
      <c r="F312" s="349">
        <f t="shared" si="19"/>
        <v>0</v>
      </c>
      <c r="G312" s="155">
        <f>IF(Arbeitszeit!F313=Urlaub,B_WorkTime*24,)</f>
        <v>0</v>
      </c>
      <c r="H312" s="153"/>
      <c r="I312" s="155">
        <f>IF(Arbeitszeit!F313=Krank,B_WorkTime*24,)</f>
        <v>0</v>
      </c>
      <c r="J312" s="153"/>
      <c r="K312" s="156"/>
      <c r="L312" s="157"/>
      <c r="M312" s="577"/>
      <c r="N312" s="578"/>
      <c r="O312" s="577"/>
      <c r="P312" s="578"/>
      <c r="Q312" s="577"/>
      <c r="R312" s="578"/>
      <c r="S312" s="577"/>
      <c r="T312" s="578"/>
      <c r="U312" s="577"/>
      <c r="V312" s="578"/>
      <c r="W312" s="577"/>
      <c r="X312" s="578"/>
      <c r="Y312" s="577"/>
      <c r="Z312" s="578"/>
      <c r="AA312" s="577"/>
      <c r="AB312" s="578"/>
      <c r="AC312" s="577"/>
      <c r="AD312" s="578"/>
      <c r="AE312" s="577"/>
      <c r="AF312" s="579"/>
      <c r="AG312" s="577"/>
      <c r="AH312" s="579"/>
      <c r="AI312" s="577"/>
      <c r="AJ312" s="579"/>
      <c r="AK312" s="577"/>
      <c r="AL312" s="579"/>
      <c r="AM312" s="580"/>
      <c r="AN312" s="579"/>
      <c r="AO312" s="577"/>
      <c r="AP312" s="579"/>
      <c r="AQ312" s="580"/>
      <c r="AR312" s="579"/>
      <c r="AS312" s="579"/>
      <c r="AT312" s="579"/>
      <c r="AU312" s="580"/>
      <c r="AV312" s="579"/>
      <c r="AW312" s="579"/>
      <c r="AX312" s="158"/>
      <c r="AY312" s="154"/>
      <c r="AZ312">
        <f ca="1">INDIRECT(ADDRESS(ROW()+1,COLUMN(Arbeitszeit!xDay),,,"Arbeitszeit"))</f>
        <v>6</v>
      </c>
    </row>
    <row r="313" spans="1:52">
      <c r="A313" s="520">
        <f>Arbeitszeit!A314</f>
        <v>43773</v>
      </c>
      <c r="B313" s="521">
        <f t="shared" si="16"/>
        <v>43773</v>
      </c>
      <c r="C313" s="191">
        <f t="shared" si="17"/>
        <v>44</v>
      </c>
      <c r="D313" s="190">
        <f t="shared" si="18"/>
        <v>43769</v>
      </c>
      <c r="E313" s="589">
        <f>Arbeitszeit!V314*24</f>
        <v>0</v>
      </c>
      <c r="F313" s="349">
        <f t="shared" si="19"/>
        <v>0</v>
      </c>
      <c r="G313" s="155">
        <f>IF(Arbeitszeit!F314=Urlaub,B_WorkTime*24,)</f>
        <v>0</v>
      </c>
      <c r="H313" s="153"/>
      <c r="I313" s="155">
        <f>IF(Arbeitszeit!F314=Krank,B_WorkTime*24,)</f>
        <v>0</v>
      </c>
      <c r="J313" s="153"/>
      <c r="K313" s="156"/>
      <c r="L313" s="157"/>
      <c r="M313" s="577"/>
      <c r="N313" s="578"/>
      <c r="O313" s="577"/>
      <c r="P313" s="578"/>
      <c r="Q313" s="577"/>
      <c r="R313" s="578"/>
      <c r="S313" s="577"/>
      <c r="T313" s="578"/>
      <c r="U313" s="577"/>
      <c r="V313" s="578"/>
      <c r="W313" s="577"/>
      <c r="X313" s="578"/>
      <c r="Y313" s="577"/>
      <c r="Z313" s="578"/>
      <c r="AA313" s="577"/>
      <c r="AB313" s="578"/>
      <c r="AC313" s="577"/>
      <c r="AD313" s="578"/>
      <c r="AE313" s="577"/>
      <c r="AF313" s="579"/>
      <c r="AG313" s="577"/>
      <c r="AH313" s="579"/>
      <c r="AI313" s="577"/>
      <c r="AJ313" s="579"/>
      <c r="AK313" s="577"/>
      <c r="AL313" s="579"/>
      <c r="AM313" s="580"/>
      <c r="AN313" s="579"/>
      <c r="AO313" s="577"/>
      <c r="AP313" s="579"/>
      <c r="AQ313" s="580"/>
      <c r="AR313" s="579"/>
      <c r="AS313" s="579"/>
      <c r="AT313" s="579"/>
      <c r="AU313" s="580"/>
      <c r="AV313" s="579"/>
      <c r="AW313" s="579"/>
      <c r="AX313" s="158"/>
      <c r="AY313" s="154"/>
      <c r="AZ313">
        <f ca="1">INDIRECT(ADDRESS(ROW()+1,COLUMN(Arbeitszeit!xDay),,,"Arbeitszeit"))</f>
        <v>7</v>
      </c>
    </row>
    <row r="314" spans="1:52">
      <c r="A314" s="520">
        <f>Arbeitszeit!A315</f>
        <v>43774</v>
      </c>
      <c r="B314" s="521">
        <f t="shared" si="16"/>
        <v>43774</v>
      </c>
      <c r="C314" s="191">
        <f t="shared" si="17"/>
        <v>45</v>
      </c>
      <c r="D314" s="190">
        <f t="shared" si="18"/>
        <v>43769</v>
      </c>
      <c r="E314" s="589">
        <f>Arbeitszeit!V315*24</f>
        <v>0</v>
      </c>
      <c r="F314" s="349">
        <f t="shared" si="19"/>
        <v>0</v>
      </c>
      <c r="G314" s="155">
        <f>IF(Arbeitszeit!F315=Urlaub,B_WorkTime*24,)</f>
        <v>0</v>
      </c>
      <c r="H314" s="153"/>
      <c r="I314" s="155">
        <f>IF(Arbeitszeit!F315=Krank,B_WorkTime*24,)</f>
        <v>0</v>
      </c>
      <c r="J314" s="153"/>
      <c r="K314" s="156"/>
      <c r="L314" s="157"/>
      <c r="M314" s="577"/>
      <c r="N314" s="578"/>
      <c r="O314" s="577"/>
      <c r="P314" s="578"/>
      <c r="Q314" s="577"/>
      <c r="R314" s="578"/>
      <c r="S314" s="577"/>
      <c r="T314" s="578"/>
      <c r="U314" s="577"/>
      <c r="V314" s="578"/>
      <c r="W314" s="577"/>
      <c r="X314" s="578"/>
      <c r="Y314" s="577"/>
      <c r="Z314" s="578"/>
      <c r="AA314" s="577"/>
      <c r="AB314" s="578"/>
      <c r="AC314" s="577"/>
      <c r="AD314" s="578"/>
      <c r="AE314" s="577"/>
      <c r="AF314" s="579"/>
      <c r="AG314" s="577"/>
      <c r="AH314" s="579"/>
      <c r="AI314" s="577"/>
      <c r="AJ314" s="579"/>
      <c r="AK314" s="577"/>
      <c r="AL314" s="579"/>
      <c r="AM314" s="580"/>
      <c r="AN314" s="579"/>
      <c r="AO314" s="577"/>
      <c r="AP314" s="579"/>
      <c r="AQ314" s="580"/>
      <c r="AR314" s="579"/>
      <c r="AS314" s="579"/>
      <c r="AT314" s="579"/>
      <c r="AU314" s="580"/>
      <c r="AV314" s="579"/>
      <c r="AW314" s="579"/>
      <c r="AX314" s="158"/>
      <c r="AY314" s="154"/>
      <c r="AZ314">
        <f ca="1">INDIRECT(ADDRESS(ROW()+1,COLUMN(Arbeitszeit!xDay),,,"Arbeitszeit"))</f>
        <v>1</v>
      </c>
    </row>
    <row r="315" spans="1:52">
      <c r="A315" s="520">
        <f>Arbeitszeit!A316</f>
        <v>43775</v>
      </c>
      <c r="B315" s="521">
        <f t="shared" si="16"/>
        <v>43775</v>
      </c>
      <c r="C315" s="191">
        <f t="shared" si="17"/>
        <v>45</v>
      </c>
      <c r="D315" s="190">
        <f t="shared" si="18"/>
        <v>43769</v>
      </c>
      <c r="E315" s="589">
        <f>Arbeitszeit!V316*24</f>
        <v>0</v>
      </c>
      <c r="F315" s="349">
        <f t="shared" si="19"/>
        <v>0</v>
      </c>
      <c r="G315" s="155">
        <f>IF(Arbeitszeit!F316=Urlaub,B_WorkTime*24,)</f>
        <v>0</v>
      </c>
      <c r="H315" s="153"/>
      <c r="I315" s="155">
        <f>IF(Arbeitszeit!F316=Krank,B_WorkTime*24,)</f>
        <v>0</v>
      </c>
      <c r="J315" s="153"/>
      <c r="K315" s="156"/>
      <c r="L315" s="157"/>
      <c r="M315" s="577"/>
      <c r="N315" s="578"/>
      <c r="O315" s="577"/>
      <c r="P315" s="578"/>
      <c r="Q315" s="577"/>
      <c r="R315" s="578"/>
      <c r="S315" s="577"/>
      <c r="T315" s="578"/>
      <c r="U315" s="577"/>
      <c r="V315" s="578"/>
      <c r="W315" s="577"/>
      <c r="X315" s="578"/>
      <c r="Y315" s="577"/>
      <c r="Z315" s="578"/>
      <c r="AA315" s="577"/>
      <c r="AB315" s="578"/>
      <c r="AC315" s="577"/>
      <c r="AD315" s="578"/>
      <c r="AE315" s="577"/>
      <c r="AF315" s="579"/>
      <c r="AG315" s="577"/>
      <c r="AH315" s="579"/>
      <c r="AI315" s="577"/>
      <c r="AJ315" s="579"/>
      <c r="AK315" s="577"/>
      <c r="AL315" s="579"/>
      <c r="AM315" s="580"/>
      <c r="AN315" s="579"/>
      <c r="AO315" s="577"/>
      <c r="AP315" s="579"/>
      <c r="AQ315" s="580"/>
      <c r="AR315" s="579"/>
      <c r="AS315" s="579"/>
      <c r="AT315" s="579"/>
      <c r="AU315" s="580"/>
      <c r="AV315" s="579"/>
      <c r="AW315" s="579"/>
      <c r="AX315" s="158"/>
      <c r="AY315" s="154"/>
      <c r="AZ315">
        <f ca="1">INDIRECT(ADDRESS(ROW()+1,COLUMN(Arbeitszeit!xDay),,,"Arbeitszeit"))</f>
        <v>2</v>
      </c>
    </row>
    <row r="316" spans="1:52">
      <c r="A316" s="520">
        <f>Arbeitszeit!A317</f>
        <v>43776</v>
      </c>
      <c r="B316" s="521">
        <f t="shared" si="16"/>
        <v>43776</v>
      </c>
      <c r="C316" s="191">
        <f t="shared" si="17"/>
        <v>45</v>
      </c>
      <c r="D316" s="190">
        <f t="shared" si="18"/>
        <v>43769</v>
      </c>
      <c r="E316" s="589">
        <f>Arbeitszeit!V317*24</f>
        <v>0</v>
      </c>
      <c r="F316" s="349">
        <f t="shared" si="19"/>
        <v>0</v>
      </c>
      <c r="G316" s="155">
        <f>IF(Arbeitszeit!F317=Urlaub,B_WorkTime*24,)</f>
        <v>0</v>
      </c>
      <c r="H316" s="153"/>
      <c r="I316" s="155">
        <f>IF(Arbeitszeit!F317=Krank,B_WorkTime*24,)</f>
        <v>0</v>
      </c>
      <c r="J316" s="153"/>
      <c r="K316" s="156"/>
      <c r="L316" s="157"/>
      <c r="M316" s="577"/>
      <c r="N316" s="578"/>
      <c r="O316" s="577"/>
      <c r="P316" s="578"/>
      <c r="Q316" s="577"/>
      <c r="R316" s="578"/>
      <c r="S316" s="577"/>
      <c r="T316" s="578"/>
      <c r="U316" s="577"/>
      <c r="V316" s="578"/>
      <c r="W316" s="577"/>
      <c r="X316" s="578"/>
      <c r="Y316" s="577"/>
      <c r="Z316" s="578"/>
      <c r="AA316" s="577"/>
      <c r="AB316" s="578"/>
      <c r="AC316" s="577"/>
      <c r="AD316" s="578"/>
      <c r="AE316" s="577"/>
      <c r="AF316" s="579"/>
      <c r="AG316" s="577"/>
      <c r="AH316" s="579"/>
      <c r="AI316" s="577"/>
      <c r="AJ316" s="579"/>
      <c r="AK316" s="577"/>
      <c r="AL316" s="579"/>
      <c r="AM316" s="580"/>
      <c r="AN316" s="579"/>
      <c r="AO316" s="577"/>
      <c r="AP316" s="579"/>
      <c r="AQ316" s="580"/>
      <c r="AR316" s="579"/>
      <c r="AS316" s="579"/>
      <c r="AT316" s="579"/>
      <c r="AU316" s="580"/>
      <c r="AV316" s="579"/>
      <c r="AW316" s="579"/>
      <c r="AX316" s="158"/>
      <c r="AY316" s="154"/>
      <c r="AZ316">
        <f ca="1">INDIRECT(ADDRESS(ROW()+1,COLUMN(Arbeitszeit!xDay),,,"Arbeitszeit"))</f>
        <v>3</v>
      </c>
    </row>
    <row r="317" spans="1:52">
      <c r="A317" s="520">
        <f>Arbeitszeit!A318</f>
        <v>43777</v>
      </c>
      <c r="B317" s="521">
        <f t="shared" si="16"/>
        <v>43777</v>
      </c>
      <c r="C317" s="191">
        <f t="shared" si="17"/>
        <v>45</v>
      </c>
      <c r="D317" s="190">
        <f t="shared" si="18"/>
        <v>43769</v>
      </c>
      <c r="E317" s="589">
        <f>Arbeitszeit!V318*24</f>
        <v>0</v>
      </c>
      <c r="F317" s="349">
        <f t="shared" si="19"/>
        <v>0</v>
      </c>
      <c r="G317" s="155">
        <f>IF(Arbeitszeit!F318=Urlaub,B_WorkTime*24,)</f>
        <v>0</v>
      </c>
      <c r="H317" s="153"/>
      <c r="I317" s="155">
        <f>IF(Arbeitszeit!F318=Krank,B_WorkTime*24,)</f>
        <v>0</v>
      </c>
      <c r="J317" s="153"/>
      <c r="K317" s="156"/>
      <c r="L317" s="157"/>
      <c r="M317" s="577"/>
      <c r="N317" s="578"/>
      <c r="O317" s="577"/>
      <c r="P317" s="578"/>
      <c r="Q317" s="577"/>
      <c r="R317" s="578"/>
      <c r="S317" s="577"/>
      <c r="T317" s="578"/>
      <c r="U317" s="577"/>
      <c r="V317" s="578"/>
      <c r="W317" s="577"/>
      <c r="X317" s="578"/>
      <c r="Y317" s="577"/>
      <c r="Z317" s="578"/>
      <c r="AA317" s="577"/>
      <c r="AB317" s="578"/>
      <c r="AC317" s="577"/>
      <c r="AD317" s="578"/>
      <c r="AE317" s="577"/>
      <c r="AF317" s="579"/>
      <c r="AG317" s="577"/>
      <c r="AH317" s="579"/>
      <c r="AI317" s="577"/>
      <c r="AJ317" s="579"/>
      <c r="AK317" s="577"/>
      <c r="AL317" s="579"/>
      <c r="AM317" s="580"/>
      <c r="AN317" s="579"/>
      <c r="AO317" s="577"/>
      <c r="AP317" s="579"/>
      <c r="AQ317" s="580"/>
      <c r="AR317" s="579"/>
      <c r="AS317" s="579"/>
      <c r="AT317" s="579"/>
      <c r="AU317" s="580"/>
      <c r="AV317" s="579"/>
      <c r="AW317" s="579"/>
      <c r="AX317" s="158"/>
      <c r="AY317" s="154"/>
      <c r="AZ317">
        <f ca="1">INDIRECT(ADDRESS(ROW()+1,COLUMN(Arbeitszeit!xDay),,,"Arbeitszeit"))</f>
        <v>4</v>
      </c>
    </row>
    <row r="318" spans="1:52">
      <c r="A318" s="520">
        <f>Arbeitszeit!A319</f>
        <v>43778</v>
      </c>
      <c r="B318" s="521">
        <f t="shared" si="16"/>
        <v>43778</v>
      </c>
      <c r="C318" s="191">
        <f t="shared" si="17"/>
        <v>45</v>
      </c>
      <c r="D318" s="190">
        <f t="shared" si="18"/>
        <v>43769</v>
      </c>
      <c r="E318" s="589">
        <f>Arbeitszeit!V319*24</f>
        <v>0</v>
      </c>
      <c r="F318" s="349">
        <f t="shared" si="19"/>
        <v>0</v>
      </c>
      <c r="G318" s="155">
        <f>IF(Arbeitszeit!F319=Urlaub,B_WorkTime*24,)</f>
        <v>0</v>
      </c>
      <c r="H318" s="153"/>
      <c r="I318" s="155">
        <f>IF(Arbeitszeit!F319=Krank,B_WorkTime*24,)</f>
        <v>0</v>
      </c>
      <c r="J318" s="153"/>
      <c r="K318" s="156"/>
      <c r="L318" s="157"/>
      <c r="M318" s="577"/>
      <c r="N318" s="578"/>
      <c r="O318" s="577"/>
      <c r="P318" s="578"/>
      <c r="Q318" s="577"/>
      <c r="R318" s="578"/>
      <c r="S318" s="577"/>
      <c r="T318" s="582"/>
      <c r="U318" s="577"/>
      <c r="V318" s="578"/>
      <c r="W318" s="577"/>
      <c r="X318" s="578"/>
      <c r="Y318" s="577"/>
      <c r="Z318" s="578"/>
      <c r="AA318" s="577"/>
      <c r="AB318" s="578"/>
      <c r="AC318" s="577"/>
      <c r="AD318" s="578"/>
      <c r="AE318" s="577"/>
      <c r="AF318" s="579"/>
      <c r="AG318" s="577"/>
      <c r="AH318" s="579"/>
      <c r="AI318" s="577"/>
      <c r="AJ318" s="579"/>
      <c r="AK318" s="577"/>
      <c r="AL318" s="579"/>
      <c r="AM318" s="580"/>
      <c r="AN318" s="579"/>
      <c r="AO318" s="577"/>
      <c r="AP318" s="579"/>
      <c r="AQ318" s="580"/>
      <c r="AR318" s="579"/>
      <c r="AS318" s="579"/>
      <c r="AT318" s="579"/>
      <c r="AU318" s="580"/>
      <c r="AV318" s="579"/>
      <c r="AW318" s="579"/>
      <c r="AX318" s="158"/>
      <c r="AY318" s="154"/>
      <c r="AZ318">
        <f ca="1">INDIRECT(ADDRESS(ROW()+1,COLUMN(Arbeitszeit!xDay),,,"Arbeitszeit"))</f>
        <v>5</v>
      </c>
    </row>
    <row r="319" spans="1:52">
      <c r="A319" s="520">
        <f>Arbeitszeit!A320</f>
        <v>43779</v>
      </c>
      <c r="B319" s="521">
        <f t="shared" si="16"/>
        <v>43779</v>
      </c>
      <c r="C319" s="191">
        <f t="shared" si="17"/>
        <v>45</v>
      </c>
      <c r="D319" s="190">
        <f t="shared" si="18"/>
        <v>43769</v>
      </c>
      <c r="E319" s="589">
        <f>Arbeitszeit!V320*24</f>
        <v>0</v>
      </c>
      <c r="F319" s="349">
        <f t="shared" si="19"/>
        <v>0</v>
      </c>
      <c r="G319" s="155">
        <f>IF(Arbeitszeit!F320=Urlaub,B_WorkTime*24,)</f>
        <v>0</v>
      </c>
      <c r="H319" s="153"/>
      <c r="I319" s="155">
        <f>IF(Arbeitszeit!F320=Krank,B_WorkTime*24,)</f>
        <v>0</v>
      </c>
      <c r="J319" s="153"/>
      <c r="K319" s="156"/>
      <c r="L319" s="157"/>
      <c r="M319" s="577"/>
      <c r="N319" s="578"/>
      <c r="O319" s="577"/>
      <c r="P319" s="578"/>
      <c r="Q319" s="577"/>
      <c r="R319" s="578"/>
      <c r="S319" s="577"/>
      <c r="T319" s="578"/>
      <c r="U319" s="577"/>
      <c r="V319" s="578"/>
      <c r="W319" s="577"/>
      <c r="X319" s="578"/>
      <c r="Y319" s="577"/>
      <c r="Z319" s="578"/>
      <c r="AA319" s="577"/>
      <c r="AB319" s="578"/>
      <c r="AC319" s="577"/>
      <c r="AD319" s="578"/>
      <c r="AE319" s="577"/>
      <c r="AF319" s="579"/>
      <c r="AG319" s="577"/>
      <c r="AH319" s="579"/>
      <c r="AI319" s="577"/>
      <c r="AJ319" s="579"/>
      <c r="AK319" s="577"/>
      <c r="AL319" s="579"/>
      <c r="AM319" s="580"/>
      <c r="AN319" s="579"/>
      <c r="AO319" s="577"/>
      <c r="AP319" s="579"/>
      <c r="AQ319" s="580"/>
      <c r="AR319" s="579"/>
      <c r="AS319" s="579"/>
      <c r="AT319" s="579"/>
      <c r="AU319" s="580"/>
      <c r="AV319" s="579"/>
      <c r="AW319" s="579"/>
      <c r="AX319" s="158"/>
      <c r="AY319" s="154"/>
      <c r="AZ319">
        <f ca="1">INDIRECT(ADDRESS(ROW()+1,COLUMN(Arbeitszeit!xDay),,,"Arbeitszeit"))</f>
        <v>6</v>
      </c>
    </row>
    <row r="320" spans="1:52">
      <c r="A320" s="520">
        <f>Arbeitszeit!A321</f>
        <v>43780</v>
      </c>
      <c r="B320" s="521">
        <f t="shared" si="16"/>
        <v>43780</v>
      </c>
      <c r="C320" s="191">
        <f t="shared" si="17"/>
        <v>45</v>
      </c>
      <c r="D320" s="190">
        <f t="shared" si="18"/>
        <v>43769</v>
      </c>
      <c r="E320" s="589">
        <f>Arbeitszeit!V321*24</f>
        <v>0</v>
      </c>
      <c r="F320" s="349">
        <f t="shared" si="19"/>
        <v>0</v>
      </c>
      <c r="G320" s="155">
        <f>IF(Arbeitszeit!F321=Urlaub,B_WorkTime*24,)</f>
        <v>0</v>
      </c>
      <c r="H320" s="153"/>
      <c r="I320" s="155">
        <f>IF(Arbeitszeit!F321=Krank,B_WorkTime*24,)</f>
        <v>0</v>
      </c>
      <c r="J320" s="153"/>
      <c r="K320" s="156"/>
      <c r="L320" s="157"/>
      <c r="M320" s="577"/>
      <c r="N320" s="578"/>
      <c r="O320" s="577"/>
      <c r="P320" s="578"/>
      <c r="Q320" s="577"/>
      <c r="R320" s="578"/>
      <c r="S320" s="577"/>
      <c r="T320" s="578"/>
      <c r="U320" s="577"/>
      <c r="V320" s="578"/>
      <c r="W320" s="577"/>
      <c r="X320" s="578"/>
      <c r="Y320" s="577"/>
      <c r="Z320" s="578"/>
      <c r="AA320" s="577"/>
      <c r="AB320" s="578"/>
      <c r="AC320" s="577"/>
      <c r="AD320" s="578"/>
      <c r="AE320" s="577"/>
      <c r="AF320" s="579"/>
      <c r="AG320" s="577"/>
      <c r="AH320" s="579"/>
      <c r="AI320" s="577"/>
      <c r="AJ320" s="579"/>
      <c r="AK320" s="577"/>
      <c r="AL320" s="579"/>
      <c r="AM320" s="580"/>
      <c r="AN320" s="579"/>
      <c r="AO320" s="577"/>
      <c r="AP320" s="579"/>
      <c r="AQ320" s="580"/>
      <c r="AR320" s="579"/>
      <c r="AS320" s="579"/>
      <c r="AT320" s="579"/>
      <c r="AU320" s="580"/>
      <c r="AV320" s="579"/>
      <c r="AW320" s="579"/>
      <c r="AX320" s="158"/>
      <c r="AY320" s="154"/>
      <c r="AZ320">
        <f ca="1">INDIRECT(ADDRESS(ROW()+1,COLUMN(Arbeitszeit!xDay),,,"Arbeitszeit"))</f>
        <v>7</v>
      </c>
    </row>
    <row r="321" spans="1:52">
      <c r="A321" s="520">
        <f>Arbeitszeit!A322</f>
        <v>43781</v>
      </c>
      <c r="B321" s="521">
        <f t="shared" si="16"/>
        <v>43781</v>
      </c>
      <c r="C321" s="191">
        <f t="shared" si="17"/>
        <v>46</v>
      </c>
      <c r="D321" s="190">
        <f t="shared" si="18"/>
        <v>43769</v>
      </c>
      <c r="E321" s="589">
        <f>Arbeitszeit!V322*24</f>
        <v>0</v>
      </c>
      <c r="F321" s="349">
        <f t="shared" si="19"/>
        <v>0</v>
      </c>
      <c r="G321" s="155">
        <f>IF(Arbeitszeit!F322=Urlaub,B_WorkTime*24,)</f>
        <v>0</v>
      </c>
      <c r="H321" s="153"/>
      <c r="I321" s="155">
        <f>IF(Arbeitszeit!F322=Krank,B_WorkTime*24,)</f>
        <v>0</v>
      </c>
      <c r="J321" s="153"/>
      <c r="K321" s="156"/>
      <c r="L321" s="157"/>
      <c r="M321" s="577"/>
      <c r="N321" s="578"/>
      <c r="O321" s="577"/>
      <c r="P321" s="578"/>
      <c r="Q321" s="577"/>
      <c r="R321" s="578"/>
      <c r="S321" s="577"/>
      <c r="T321" s="578"/>
      <c r="U321" s="577"/>
      <c r="V321" s="578"/>
      <c r="W321" s="577"/>
      <c r="X321" s="578"/>
      <c r="Y321" s="577"/>
      <c r="Z321" s="578"/>
      <c r="AA321" s="577"/>
      <c r="AB321" s="578"/>
      <c r="AC321" s="577"/>
      <c r="AD321" s="578"/>
      <c r="AE321" s="577"/>
      <c r="AF321" s="579"/>
      <c r="AG321" s="577"/>
      <c r="AH321" s="579"/>
      <c r="AI321" s="577"/>
      <c r="AJ321" s="579"/>
      <c r="AK321" s="577"/>
      <c r="AL321" s="579"/>
      <c r="AM321" s="580"/>
      <c r="AN321" s="579"/>
      <c r="AO321" s="577"/>
      <c r="AP321" s="579"/>
      <c r="AQ321" s="580"/>
      <c r="AR321" s="579"/>
      <c r="AS321" s="579"/>
      <c r="AT321" s="579"/>
      <c r="AU321" s="580"/>
      <c r="AV321" s="579"/>
      <c r="AW321" s="579"/>
      <c r="AX321" s="158"/>
      <c r="AY321" s="154"/>
      <c r="AZ321">
        <f ca="1">INDIRECT(ADDRESS(ROW()+1,COLUMN(Arbeitszeit!xDay),,,"Arbeitszeit"))</f>
        <v>1</v>
      </c>
    </row>
    <row r="322" spans="1:52">
      <c r="A322" s="520">
        <f>Arbeitszeit!A323</f>
        <v>43782</v>
      </c>
      <c r="B322" s="521">
        <f t="shared" si="16"/>
        <v>43782</v>
      </c>
      <c r="C322" s="191">
        <f t="shared" si="17"/>
        <v>46</v>
      </c>
      <c r="D322" s="190">
        <f t="shared" si="18"/>
        <v>43769</v>
      </c>
      <c r="E322" s="589">
        <f>Arbeitszeit!V323*24</f>
        <v>0</v>
      </c>
      <c r="F322" s="349">
        <f t="shared" si="19"/>
        <v>0</v>
      </c>
      <c r="G322" s="155">
        <f>IF(Arbeitszeit!F323=Urlaub,B_WorkTime*24,)</f>
        <v>0</v>
      </c>
      <c r="H322" s="153"/>
      <c r="I322" s="155">
        <f>IF(Arbeitszeit!F323=Krank,B_WorkTime*24,)</f>
        <v>0</v>
      </c>
      <c r="J322" s="153"/>
      <c r="K322" s="156"/>
      <c r="L322" s="157"/>
      <c r="M322" s="577"/>
      <c r="N322" s="578"/>
      <c r="O322" s="577"/>
      <c r="P322" s="578"/>
      <c r="Q322" s="577"/>
      <c r="R322" s="578"/>
      <c r="S322" s="577"/>
      <c r="T322" s="578"/>
      <c r="U322" s="577"/>
      <c r="V322" s="578"/>
      <c r="W322" s="577"/>
      <c r="X322" s="578"/>
      <c r="Y322" s="577"/>
      <c r="Z322" s="578"/>
      <c r="AA322" s="577"/>
      <c r="AB322" s="578"/>
      <c r="AC322" s="577"/>
      <c r="AD322" s="578"/>
      <c r="AE322" s="577"/>
      <c r="AF322" s="579"/>
      <c r="AG322" s="577"/>
      <c r="AH322" s="579"/>
      <c r="AI322" s="577"/>
      <c r="AJ322" s="579"/>
      <c r="AK322" s="577"/>
      <c r="AL322" s="579"/>
      <c r="AM322" s="580"/>
      <c r="AN322" s="579"/>
      <c r="AO322" s="577"/>
      <c r="AP322" s="579"/>
      <c r="AQ322" s="580"/>
      <c r="AR322" s="579"/>
      <c r="AS322" s="579"/>
      <c r="AT322" s="579"/>
      <c r="AU322" s="580"/>
      <c r="AV322" s="579"/>
      <c r="AW322" s="579"/>
      <c r="AX322" s="158"/>
      <c r="AY322" s="154"/>
      <c r="AZ322">
        <f ca="1">INDIRECT(ADDRESS(ROW()+1,COLUMN(Arbeitszeit!xDay),,,"Arbeitszeit"))</f>
        <v>2</v>
      </c>
    </row>
    <row r="323" spans="1:52">
      <c r="A323" s="520">
        <f>Arbeitszeit!A324</f>
        <v>43783</v>
      </c>
      <c r="B323" s="521">
        <f t="shared" si="16"/>
        <v>43783</v>
      </c>
      <c r="C323" s="191">
        <f t="shared" si="17"/>
        <v>46</v>
      </c>
      <c r="D323" s="190">
        <f t="shared" si="18"/>
        <v>43769</v>
      </c>
      <c r="E323" s="589">
        <f>Arbeitszeit!V324*24</f>
        <v>0</v>
      </c>
      <c r="F323" s="349">
        <f t="shared" si="19"/>
        <v>0</v>
      </c>
      <c r="G323" s="155">
        <f>IF(Arbeitszeit!F324=Urlaub,B_WorkTime*24,)</f>
        <v>0</v>
      </c>
      <c r="H323" s="153"/>
      <c r="I323" s="155">
        <f>IF(Arbeitszeit!F324=Krank,B_WorkTime*24,)</f>
        <v>0</v>
      </c>
      <c r="J323" s="153"/>
      <c r="K323" s="156"/>
      <c r="L323" s="157"/>
      <c r="M323" s="577"/>
      <c r="N323" s="578"/>
      <c r="O323" s="577"/>
      <c r="P323" s="578"/>
      <c r="Q323" s="577"/>
      <c r="R323" s="578"/>
      <c r="S323" s="577"/>
      <c r="T323" s="578"/>
      <c r="U323" s="577"/>
      <c r="V323" s="578"/>
      <c r="W323" s="577"/>
      <c r="X323" s="578"/>
      <c r="Y323" s="577"/>
      <c r="Z323" s="578"/>
      <c r="AA323" s="577"/>
      <c r="AB323" s="578"/>
      <c r="AC323" s="577"/>
      <c r="AD323" s="578"/>
      <c r="AE323" s="577"/>
      <c r="AF323" s="579"/>
      <c r="AG323" s="577"/>
      <c r="AH323" s="579"/>
      <c r="AI323" s="577"/>
      <c r="AJ323" s="579"/>
      <c r="AK323" s="577"/>
      <c r="AL323" s="579"/>
      <c r="AM323" s="580"/>
      <c r="AN323" s="579"/>
      <c r="AO323" s="577"/>
      <c r="AP323" s="579"/>
      <c r="AQ323" s="580"/>
      <c r="AR323" s="579"/>
      <c r="AS323" s="579"/>
      <c r="AT323" s="579"/>
      <c r="AU323" s="580"/>
      <c r="AV323" s="579"/>
      <c r="AW323" s="579"/>
      <c r="AX323" s="158"/>
      <c r="AY323" s="154"/>
      <c r="AZ323">
        <f ca="1">INDIRECT(ADDRESS(ROW()+1,COLUMN(Arbeitszeit!xDay),,,"Arbeitszeit"))</f>
        <v>3</v>
      </c>
    </row>
    <row r="324" spans="1:52">
      <c r="A324" s="520">
        <f>Arbeitszeit!A325</f>
        <v>43784</v>
      </c>
      <c r="B324" s="521">
        <f t="shared" si="16"/>
        <v>43784</v>
      </c>
      <c r="C324" s="191">
        <f t="shared" si="17"/>
        <v>46</v>
      </c>
      <c r="D324" s="190">
        <f t="shared" si="18"/>
        <v>43769</v>
      </c>
      <c r="E324" s="589">
        <f>Arbeitszeit!V325*24</f>
        <v>0</v>
      </c>
      <c r="F324" s="349">
        <f t="shared" si="19"/>
        <v>0</v>
      </c>
      <c r="G324" s="155">
        <f>IF(Arbeitszeit!F325=Urlaub,B_WorkTime*24,)</f>
        <v>0</v>
      </c>
      <c r="H324" s="153"/>
      <c r="I324" s="155">
        <f>IF(Arbeitszeit!F325=Krank,B_WorkTime*24,)</f>
        <v>0</v>
      </c>
      <c r="J324" s="153"/>
      <c r="K324" s="156"/>
      <c r="L324" s="157"/>
      <c r="M324" s="577"/>
      <c r="N324" s="578"/>
      <c r="O324" s="577"/>
      <c r="P324" s="578"/>
      <c r="Q324" s="577"/>
      <c r="R324" s="578"/>
      <c r="S324" s="577"/>
      <c r="T324" s="578"/>
      <c r="U324" s="577"/>
      <c r="V324" s="578"/>
      <c r="W324" s="577"/>
      <c r="X324" s="578"/>
      <c r="Y324" s="577"/>
      <c r="Z324" s="578"/>
      <c r="AA324" s="577"/>
      <c r="AB324" s="578"/>
      <c r="AC324" s="577"/>
      <c r="AD324" s="578"/>
      <c r="AE324" s="577"/>
      <c r="AF324" s="579"/>
      <c r="AG324" s="577"/>
      <c r="AH324" s="579"/>
      <c r="AI324" s="577"/>
      <c r="AJ324" s="579"/>
      <c r="AK324" s="577"/>
      <c r="AL324" s="579"/>
      <c r="AM324" s="580"/>
      <c r="AN324" s="579"/>
      <c r="AO324" s="577"/>
      <c r="AP324" s="579"/>
      <c r="AQ324" s="580"/>
      <c r="AR324" s="579"/>
      <c r="AS324" s="579"/>
      <c r="AT324" s="579"/>
      <c r="AU324" s="580"/>
      <c r="AV324" s="579"/>
      <c r="AW324" s="579"/>
      <c r="AX324" s="158"/>
      <c r="AY324" s="154"/>
      <c r="AZ324">
        <f ca="1">INDIRECT(ADDRESS(ROW()+1,COLUMN(Arbeitszeit!xDay),,,"Arbeitszeit"))</f>
        <v>4</v>
      </c>
    </row>
    <row r="325" spans="1:52">
      <c r="A325" s="520">
        <f>Arbeitszeit!A326</f>
        <v>43785</v>
      </c>
      <c r="B325" s="521">
        <f t="shared" si="16"/>
        <v>43785</v>
      </c>
      <c r="C325" s="191">
        <f t="shared" si="17"/>
        <v>46</v>
      </c>
      <c r="D325" s="190">
        <f t="shared" si="18"/>
        <v>43769</v>
      </c>
      <c r="E325" s="589">
        <f>Arbeitszeit!V326*24</f>
        <v>0</v>
      </c>
      <c r="F325" s="349">
        <f t="shared" si="19"/>
        <v>0</v>
      </c>
      <c r="G325" s="155">
        <f>IF(Arbeitszeit!F326=Urlaub,B_WorkTime*24,)</f>
        <v>0</v>
      </c>
      <c r="H325" s="153"/>
      <c r="I325" s="155">
        <f>IF(Arbeitszeit!F326=Krank,B_WorkTime*24,)</f>
        <v>0</v>
      </c>
      <c r="J325" s="153"/>
      <c r="K325" s="156"/>
      <c r="L325" s="157"/>
      <c r="M325" s="577"/>
      <c r="N325" s="578"/>
      <c r="O325" s="577"/>
      <c r="P325" s="578"/>
      <c r="Q325" s="577"/>
      <c r="R325" s="578"/>
      <c r="S325" s="577"/>
      <c r="T325" s="578"/>
      <c r="U325" s="577"/>
      <c r="V325" s="578"/>
      <c r="W325" s="577"/>
      <c r="X325" s="578"/>
      <c r="Y325" s="577"/>
      <c r="Z325" s="578"/>
      <c r="AA325" s="577"/>
      <c r="AB325" s="578"/>
      <c r="AC325" s="577"/>
      <c r="AD325" s="578"/>
      <c r="AE325" s="577"/>
      <c r="AF325" s="579"/>
      <c r="AG325" s="577"/>
      <c r="AH325" s="579"/>
      <c r="AI325" s="577"/>
      <c r="AJ325" s="579"/>
      <c r="AK325" s="577"/>
      <c r="AL325" s="579"/>
      <c r="AM325" s="580"/>
      <c r="AN325" s="579"/>
      <c r="AO325" s="577"/>
      <c r="AP325" s="579"/>
      <c r="AQ325" s="580"/>
      <c r="AR325" s="579"/>
      <c r="AS325" s="579"/>
      <c r="AT325" s="579"/>
      <c r="AU325" s="580"/>
      <c r="AV325" s="579"/>
      <c r="AW325" s="579"/>
      <c r="AX325" s="158"/>
      <c r="AY325" s="154"/>
      <c r="AZ325">
        <f ca="1">INDIRECT(ADDRESS(ROW()+1,COLUMN(Arbeitszeit!xDay),,,"Arbeitszeit"))</f>
        <v>5</v>
      </c>
    </row>
    <row r="326" spans="1:52">
      <c r="A326" s="520">
        <f>Arbeitszeit!A327</f>
        <v>43786</v>
      </c>
      <c r="B326" s="521">
        <f t="shared" ref="B326:B372" si="20">IF(A326="","",A326)</f>
        <v>43786</v>
      </c>
      <c r="C326" s="191">
        <f t="shared" si="17"/>
        <v>46</v>
      </c>
      <c r="D326" s="190">
        <f t="shared" si="18"/>
        <v>43769</v>
      </c>
      <c r="E326" s="589">
        <f>Arbeitszeit!V327*24</f>
        <v>0</v>
      </c>
      <c r="F326" s="349">
        <f t="shared" si="19"/>
        <v>0</v>
      </c>
      <c r="G326" s="155">
        <f>IF(Arbeitszeit!F327=Urlaub,B_WorkTime*24,)</f>
        <v>0</v>
      </c>
      <c r="H326" s="153"/>
      <c r="I326" s="155">
        <f>IF(Arbeitszeit!F327=Krank,B_WorkTime*24,)</f>
        <v>0</v>
      </c>
      <c r="J326" s="153"/>
      <c r="K326" s="156"/>
      <c r="L326" s="157"/>
      <c r="M326" s="577"/>
      <c r="N326" s="578"/>
      <c r="O326" s="577"/>
      <c r="P326" s="578"/>
      <c r="Q326" s="577"/>
      <c r="R326" s="578"/>
      <c r="S326" s="577"/>
      <c r="T326" s="578"/>
      <c r="U326" s="577"/>
      <c r="V326" s="578"/>
      <c r="W326" s="577"/>
      <c r="X326" s="578"/>
      <c r="Y326" s="577"/>
      <c r="Z326" s="578"/>
      <c r="AA326" s="577"/>
      <c r="AB326" s="578"/>
      <c r="AC326" s="577"/>
      <c r="AD326" s="578"/>
      <c r="AE326" s="577"/>
      <c r="AF326" s="579"/>
      <c r="AG326" s="577"/>
      <c r="AH326" s="579"/>
      <c r="AI326" s="577"/>
      <c r="AJ326" s="579"/>
      <c r="AK326" s="577"/>
      <c r="AL326" s="579"/>
      <c r="AM326" s="580"/>
      <c r="AN326" s="579"/>
      <c r="AO326" s="577"/>
      <c r="AP326" s="579"/>
      <c r="AQ326" s="580"/>
      <c r="AR326" s="579"/>
      <c r="AS326" s="579"/>
      <c r="AT326" s="579"/>
      <c r="AU326" s="580"/>
      <c r="AV326" s="579"/>
      <c r="AW326" s="579"/>
      <c r="AX326" s="158"/>
      <c r="AY326" s="154"/>
      <c r="AZ326">
        <f ca="1">INDIRECT(ADDRESS(ROW()+1,COLUMN(Arbeitszeit!xDay),,,"Arbeitszeit"))</f>
        <v>6</v>
      </c>
    </row>
    <row r="327" spans="1:52">
      <c r="A327" s="520">
        <f>Arbeitszeit!A328</f>
        <v>43787</v>
      </c>
      <c r="B327" s="521">
        <f t="shared" si="20"/>
        <v>43787</v>
      </c>
      <c r="C327" s="191">
        <f t="shared" ref="C327:C372" si="21">IF(A327="","",NumberOfWeek(A327))</f>
        <v>46</v>
      </c>
      <c r="D327" s="190">
        <f t="shared" ref="D327:D372" si="22">IF(A327="","",DATE(YEAR(A327),MONTH(A327),1))</f>
        <v>43769</v>
      </c>
      <c r="E327" s="589">
        <f>Arbeitszeit!V328*24</f>
        <v>0</v>
      </c>
      <c r="F327" s="349">
        <f t="shared" si="19"/>
        <v>0</v>
      </c>
      <c r="G327" s="155">
        <f>IF(Arbeitszeit!F328=Urlaub,B_WorkTime*24,)</f>
        <v>0</v>
      </c>
      <c r="H327" s="153"/>
      <c r="I327" s="155">
        <f>IF(Arbeitszeit!F328=Krank,B_WorkTime*24,)</f>
        <v>0</v>
      </c>
      <c r="J327" s="153"/>
      <c r="K327" s="156"/>
      <c r="L327" s="157"/>
      <c r="M327" s="577"/>
      <c r="N327" s="578"/>
      <c r="O327" s="577"/>
      <c r="P327" s="578"/>
      <c r="Q327" s="577"/>
      <c r="R327" s="578"/>
      <c r="S327" s="577"/>
      <c r="T327" s="578"/>
      <c r="U327" s="577"/>
      <c r="V327" s="578"/>
      <c r="W327" s="577"/>
      <c r="X327" s="578"/>
      <c r="Y327" s="577"/>
      <c r="Z327" s="578"/>
      <c r="AA327" s="577"/>
      <c r="AB327" s="578"/>
      <c r="AC327" s="577"/>
      <c r="AD327" s="578"/>
      <c r="AE327" s="577"/>
      <c r="AF327" s="579"/>
      <c r="AG327" s="577"/>
      <c r="AH327" s="579"/>
      <c r="AI327" s="577"/>
      <c r="AJ327" s="579"/>
      <c r="AK327" s="577"/>
      <c r="AL327" s="579"/>
      <c r="AM327" s="580"/>
      <c r="AN327" s="579"/>
      <c r="AO327" s="577"/>
      <c r="AP327" s="579"/>
      <c r="AQ327" s="580"/>
      <c r="AR327" s="579"/>
      <c r="AS327" s="579"/>
      <c r="AT327" s="579"/>
      <c r="AU327" s="580"/>
      <c r="AV327" s="579"/>
      <c r="AW327" s="579"/>
      <c r="AX327" s="158"/>
      <c r="AY327" s="154"/>
      <c r="AZ327">
        <f ca="1">INDIRECT(ADDRESS(ROW()+1,COLUMN(Arbeitszeit!xDay),,,"Arbeitszeit"))</f>
        <v>7</v>
      </c>
    </row>
    <row r="328" spans="1:52">
      <c r="A328" s="520">
        <f>Arbeitszeit!A329</f>
        <v>43788</v>
      </c>
      <c r="B328" s="521">
        <f t="shared" si="20"/>
        <v>43788</v>
      </c>
      <c r="C328" s="191">
        <f t="shared" si="21"/>
        <v>47</v>
      </c>
      <c r="D328" s="190">
        <f t="shared" si="22"/>
        <v>43769</v>
      </c>
      <c r="E328" s="589">
        <f>Arbeitszeit!V329*24</f>
        <v>0</v>
      </c>
      <c r="F328" s="349">
        <f t="shared" ref="F328:F372" si="23">ROUND(E328-SUM(K328:AW328),1)</f>
        <v>0</v>
      </c>
      <c r="G328" s="155">
        <f>IF(Arbeitszeit!F329=Urlaub,B_WorkTime*24,)</f>
        <v>0</v>
      </c>
      <c r="H328" s="153"/>
      <c r="I328" s="155">
        <f>IF(Arbeitszeit!F329=Krank,B_WorkTime*24,)</f>
        <v>0</v>
      </c>
      <c r="J328" s="153"/>
      <c r="K328" s="156"/>
      <c r="L328" s="157"/>
      <c r="M328" s="577"/>
      <c r="N328" s="578"/>
      <c r="O328" s="577"/>
      <c r="P328" s="578"/>
      <c r="Q328" s="577"/>
      <c r="R328" s="578"/>
      <c r="S328" s="577"/>
      <c r="T328" s="578"/>
      <c r="U328" s="577"/>
      <c r="V328" s="578"/>
      <c r="W328" s="577"/>
      <c r="X328" s="578"/>
      <c r="Y328" s="577"/>
      <c r="Z328" s="578"/>
      <c r="AA328" s="577"/>
      <c r="AB328" s="578"/>
      <c r="AC328" s="577"/>
      <c r="AD328" s="578"/>
      <c r="AE328" s="577"/>
      <c r="AF328" s="579"/>
      <c r="AG328" s="577"/>
      <c r="AH328" s="579"/>
      <c r="AI328" s="577"/>
      <c r="AJ328" s="579"/>
      <c r="AK328" s="577"/>
      <c r="AL328" s="579"/>
      <c r="AM328" s="580"/>
      <c r="AN328" s="579"/>
      <c r="AO328" s="577"/>
      <c r="AP328" s="579"/>
      <c r="AQ328" s="580"/>
      <c r="AR328" s="579"/>
      <c r="AS328" s="579"/>
      <c r="AT328" s="579"/>
      <c r="AU328" s="580"/>
      <c r="AV328" s="579"/>
      <c r="AW328" s="579"/>
      <c r="AX328" s="158"/>
      <c r="AY328" s="154"/>
      <c r="AZ328">
        <f ca="1">INDIRECT(ADDRESS(ROW()+1,COLUMN(Arbeitszeit!xDay),,,"Arbeitszeit"))</f>
        <v>1</v>
      </c>
    </row>
    <row r="329" spans="1:52">
      <c r="A329" s="520">
        <f>Arbeitszeit!A330</f>
        <v>43789</v>
      </c>
      <c r="B329" s="521">
        <f t="shared" si="20"/>
        <v>43789</v>
      </c>
      <c r="C329" s="191">
        <f t="shared" si="21"/>
        <v>47</v>
      </c>
      <c r="D329" s="190">
        <f t="shared" si="22"/>
        <v>43769</v>
      </c>
      <c r="E329" s="589">
        <f>Arbeitszeit!V330*24</f>
        <v>0</v>
      </c>
      <c r="F329" s="349">
        <f t="shared" si="23"/>
        <v>0</v>
      </c>
      <c r="G329" s="155">
        <f>IF(Arbeitszeit!F330=Urlaub,B_WorkTime*24,)</f>
        <v>0</v>
      </c>
      <c r="H329" s="153"/>
      <c r="I329" s="155">
        <f>IF(Arbeitszeit!F330=Krank,B_WorkTime*24,)</f>
        <v>0</v>
      </c>
      <c r="J329" s="153"/>
      <c r="K329" s="156"/>
      <c r="L329" s="157"/>
      <c r="M329" s="577"/>
      <c r="N329" s="578"/>
      <c r="O329" s="577"/>
      <c r="P329" s="578"/>
      <c r="Q329" s="577"/>
      <c r="R329" s="578"/>
      <c r="S329" s="577"/>
      <c r="T329" s="578"/>
      <c r="U329" s="577"/>
      <c r="V329" s="578"/>
      <c r="W329" s="577"/>
      <c r="X329" s="578"/>
      <c r="Y329" s="577"/>
      <c r="Z329" s="578"/>
      <c r="AA329" s="577"/>
      <c r="AB329" s="578"/>
      <c r="AC329" s="577"/>
      <c r="AD329" s="578"/>
      <c r="AE329" s="577"/>
      <c r="AF329" s="579"/>
      <c r="AG329" s="577"/>
      <c r="AH329" s="579"/>
      <c r="AI329" s="577"/>
      <c r="AJ329" s="579"/>
      <c r="AK329" s="577"/>
      <c r="AL329" s="579"/>
      <c r="AM329" s="580"/>
      <c r="AN329" s="579"/>
      <c r="AO329" s="577"/>
      <c r="AP329" s="579"/>
      <c r="AQ329" s="580"/>
      <c r="AR329" s="579"/>
      <c r="AS329" s="579"/>
      <c r="AT329" s="579"/>
      <c r="AU329" s="580"/>
      <c r="AV329" s="579"/>
      <c r="AW329" s="579"/>
      <c r="AX329" s="158"/>
      <c r="AY329" s="154"/>
      <c r="AZ329">
        <f ca="1">INDIRECT(ADDRESS(ROW()+1,COLUMN(Arbeitszeit!xDay),,,"Arbeitszeit"))</f>
        <v>2</v>
      </c>
    </row>
    <row r="330" spans="1:52">
      <c r="A330" s="520">
        <f>Arbeitszeit!A331</f>
        <v>43790</v>
      </c>
      <c r="B330" s="521">
        <f t="shared" si="20"/>
        <v>43790</v>
      </c>
      <c r="C330" s="191">
        <f t="shared" si="21"/>
        <v>47</v>
      </c>
      <c r="D330" s="190">
        <f t="shared" si="22"/>
        <v>43769</v>
      </c>
      <c r="E330" s="589">
        <f>Arbeitszeit!V331*24</f>
        <v>0</v>
      </c>
      <c r="F330" s="349">
        <f t="shared" si="23"/>
        <v>0</v>
      </c>
      <c r="G330" s="155">
        <f>IF(Arbeitszeit!F331=Urlaub,B_WorkTime*24,)</f>
        <v>0</v>
      </c>
      <c r="H330" s="153"/>
      <c r="I330" s="155">
        <f>IF(Arbeitszeit!F331=Krank,B_WorkTime*24,)</f>
        <v>0</v>
      </c>
      <c r="J330" s="153"/>
      <c r="K330" s="156"/>
      <c r="L330" s="157"/>
      <c r="M330" s="577"/>
      <c r="N330" s="578"/>
      <c r="O330" s="577"/>
      <c r="P330" s="578"/>
      <c r="Q330" s="577"/>
      <c r="R330" s="578"/>
      <c r="S330" s="577"/>
      <c r="T330" s="578"/>
      <c r="U330" s="577"/>
      <c r="V330" s="578"/>
      <c r="W330" s="577"/>
      <c r="X330" s="578"/>
      <c r="Y330" s="577"/>
      <c r="Z330" s="578"/>
      <c r="AA330" s="577"/>
      <c r="AB330" s="578"/>
      <c r="AC330" s="577"/>
      <c r="AD330" s="578"/>
      <c r="AE330" s="577"/>
      <c r="AF330" s="579"/>
      <c r="AG330" s="577"/>
      <c r="AH330" s="579"/>
      <c r="AI330" s="577"/>
      <c r="AJ330" s="579"/>
      <c r="AK330" s="577"/>
      <c r="AL330" s="579"/>
      <c r="AM330" s="580"/>
      <c r="AN330" s="579"/>
      <c r="AO330" s="577"/>
      <c r="AP330" s="579"/>
      <c r="AQ330" s="580"/>
      <c r="AR330" s="579"/>
      <c r="AS330" s="579"/>
      <c r="AT330" s="579"/>
      <c r="AU330" s="580"/>
      <c r="AV330" s="579"/>
      <c r="AW330" s="579"/>
      <c r="AX330" s="158"/>
      <c r="AY330" s="154"/>
      <c r="AZ330">
        <f ca="1">INDIRECT(ADDRESS(ROW()+1,COLUMN(Arbeitszeit!xDay),,,"Arbeitszeit"))</f>
        <v>3</v>
      </c>
    </row>
    <row r="331" spans="1:52">
      <c r="A331" s="520">
        <f>Arbeitszeit!A332</f>
        <v>43791</v>
      </c>
      <c r="B331" s="521">
        <f t="shared" si="20"/>
        <v>43791</v>
      </c>
      <c r="C331" s="191">
        <f t="shared" si="21"/>
        <v>47</v>
      </c>
      <c r="D331" s="190">
        <f t="shared" si="22"/>
        <v>43769</v>
      </c>
      <c r="E331" s="589">
        <f>Arbeitszeit!V332*24</f>
        <v>0</v>
      </c>
      <c r="F331" s="349">
        <f t="shared" si="23"/>
        <v>0</v>
      </c>
      <c r="G331" s="155">
        <f>IF(Arbeitszeit!F332=Urlaub,B_WorkTime*24,)</f>
        <v>0</v>
      </c>
      <c r="H331" s="153"/>
      <c r="I331" s="155">
        <f>IF(Arbeitszeit!F332=Krank,B_WorkTime*24,)</f>
        <v>0</v>
      </c>
      <c r="J331" s="153"/>
      <c r="K331" s="156"/>
      <c r="L331" s="157"/>
      <c r="M331" s="577"/>
      <c r="N331" s="578"/>
      <c r="O331" s="577"/>
      <c r="P331" s="578"/>
      <c r="Q331" s="577"/>
      <c r="R331" s="578"/>
      <c r="S331" s="577"/>
      <c r="T331" s="578"/>
      <c r="U331" s="577"/>
      <c r="V331" s="578"/>
      <c r="W331" s="577"/>
      <c r="X331" s="578"/>
      <c r="Y331" s="577"/>
      <c r="Z331" s="578"/>
      <c r="AA331" s="577"/>
      <c r="AB331" s="578"/>
      <c r="AC331" s="577"/>
      <c r="AD331" s="578"/>
      <c r="AE331" s="577"/>
      <c r="AF331" s="579"/>
      <c r="AG331" s="577"/>
      <c r="AH331" s="579"/>
      <c r="AI331" s="577"/>
      <c r="AJ331" s="579"/>
      <c r="AK331" s="577"/>
      <c r="AL331" s="579"/>
      <c r="AM331" s="580"/>
      <c r="AN331" s="579"/>
      <c r="AO331" s="577"/>
      <c r="AP331" s="579"/>
      <c r="AQ331" s="580"/>
      <c r="AR331" s="579"/>
      <c r="AS331" s="579"/>
      <c r="AT331" s="579"/>
      <c r="AU331" s="580"/>
      <c r="AV331" s="579"/>
      <c r="AW331" s="579"/>
      <c r="AX331" s="158"/>
      <c r="AY331" s="154"/>
      <c r="AZ331">
        <f ca="1">INDIRECT(ADDRESS(ROW()+1,COLUMN(Arbeitszeit!xDay),,,"Arbeitszeit"))</f>
        <v>4</v>
      </c>
    </row>
    <row r="332" spans="1:52">
      <c r="A332" s="520">
        <f>Arbeitszeit!A333</f>
        <v>43792</v>
      </c>
      <c r="B332" s="521">
        <f t="shared" si="20"/>
        <v>43792</v>
      </c>
      <c r="C332" s="191">
        <f t="shared" si="21"/>
        <v>47</v>
      </c>
      <c r="D332" s="190">
        <f t="shared" si="22"/>
        <v>43769</v>
      </c>
      <c r="E332" s="589">
        <f>Arbeitszeit!V333*24</f>
        <v>0</v>
      </c>
      <c r="F332" s="349">
        <f t="shared" si="23"/>
        <v>0</v>
      </c>
      <c r="G332" s="155">
        <f>IF(Arbeitszeit!F333=Urlaub,B_WorkTime*24,)</f>
        <v>0</v>
      </c>
      <c r="H332" s="153"/>
      <c r="I332" s="155">
        <f>IF(Arbeitszeit!F333=Krank,B_WorkTime*24,)</f>
        <v>0</v>
      </c>
      <c r="J332" s="153"/>
      <c r="K332" s="156"/>
      <c r="L332" s="157"/>
      <c r="M332" s="577"/>
      <c r="N332" s="578"/>
      <c r="O332" s="577"/>
      <c r="P332" s="578"/>
      <c r="Q332" s="577"/>
      <c r="R332" s="578"/>
      <c r="S332" s="577"/>
      <c r="T332" s="578"/>
      <c r="U332" s="577"/>
      <c r="V332" s="578"/>
      <c r="W332" s="577"/>
      <c r="X332" s="578"/>
      <c r="Y332" s="577"/>
      <c r="Z332" s="578"/>
      <c r="AA332" s="577"/>
      <c r="AB332" s="578"/>
      <c r="AC332" s="577"/>
      <c r="AD332" s="578"/>
      <c r="AE332" s="577"/>
      <c r="AF332" s="579"/>
      <c r="AG332" s="577"/>
      <c r="AH332" s="579"/>
      <c r="AI332" s="577"/>
      <c r="AJ332" s="579"/>
      <c r="AK332" s="577"/>
      <c r="AL332" s="579"/>
      <c r="AM332" s="580"/>
      <c r="AN332" s="579"/>
      <c r="AO332" s="577"/>
      <c r="AP332" s="579"/>
      <c r="AQ332" s="580"/>
      <c r="AR332" s="579"/>
      <c r="AS332" s="579"/>
      <c r="AT332" s="579"/>
      <c r="AU332" s="580"/>
      <c r="AV332" s="579"/>
      <c r="AW332" s="579"/>
      <c r="AX332" s="158"/>
      <c r="AY332" s="154"/>
      <c r="AZ332">
        <f ca="1">INDIRECT(ADDRESS(ROW()+1,COLUMN(Arbeitszeit!xDay),,,"Arbeitszeit"))</f>
        <v>5</v>
      </c>
    </row>
    <row r="333" spans="1:52">
      <c r="A333" s="520">
        <f>Arbeitszeit!A334</f>
        <v>43793</v>
      </c>
      <c r="B333" s="521">
        <f t="shared" si="20"/>
        <v>43793</v>
      </c>
      <c r="C333" s="191">
        <f t="shared" si="21"/>
        <v>47</v>
      </c>
      <c r="D333" s="190">
        <f t="shared" si="22"/>
        <v>43769</v>
      </c>
      <c r="E333" s="589">
        <f>Arbeitszeit!V334*24</f>
        <v>0</v>
      </c>
      <c r="F333" s="349">
        <f t="shared" si="23"/>
        <v>0</v>
      </c>
      <c r="G333" s="155">
        <f>IF(Arbeitszeit!F334=Urlaub,B_WorkTime*24,)</f>
        <v>0</v>
      </c>
      <c r="H333" s="153"/>
      <c r="I333" s="155">
        <f>IF(Arbeitszeit!F334=Krank,B_WorkTime*24,)</f>
        <v>0</v>
      </c>
      <c r="J333" s="153"/>
      <c r="K333" s="156"/>
      <c r="L333" s="157"/>
      <c r="M333" s="577"/>
      <c r="N333" s="578"/>
      <c r="O333" s="577"/>
      <c r="P333" s="578"/>
      <c r="Q333" s="577"/>
      <c r="R333" s="578"/>
      <c r="S333" s="577"/>
      <c r="T333" s="578"/>
      <c r="U333" s="577"/>
      <c r="V333" s="578"/>
      <c r="W333" s="577"/>
      <c r="X333" s="578"/>
      <c r="Y333" s="577"/>
      <c r="Z333" s="578"/>
      <c r="AA333" s="577"/>
      <c r="AB333" s="578"/>
      <c r="AC333" s="577"/>
      <c r="AD333" s="578"/>
      <c r="AE333" s="577"/>
      <c r="AF333" s="579"/>
      <c r="AG333" s="577"/>
      <c r="AH333" s="579"/>
      <c r="AI333" s="577"/>
      <c r="AJ333" s="579"/>
      <c r="AK333" s="577"/>
      <c r="AL333" s="579"/>
      <c r="AM333" s="580"/>
      <c r="AN333" s="579"/>
      <c r="AO333" s="577"/>
      <c r="AP333" s="579"/>
      <c r="AQ333" s="580"/>
      <c r="AR333" s="579"/>
      <c r="AS333" s="579"/>
      <c r="AT333" s="579"/>
      <c r="AU333" s="580"/>
      <c r="AV333" s="579"/>
      <c r="AW333" s="579"/>
      <c r="AX333" s="158"/>
      <c r="AY333" s="154"/>
      <c r="AZ333">
        <f ca="1">INDIRECT(ADDRESS(ROW()+1,COLUMN(Arbeitszeit!xDay),,,"Arbeitszeit"))</f>
        <v>6</v>
      </c>
    </row>
    <row r="334" spans="1:52">
      <c r="A334" s="520">
        <f>Arbeitszeit!A335</f>
        <v>43794</v>
      </c>
      <c r="B334" s="521">
        <f t="shared" si="20"/>
        <v>43794</v>
      </c>
      <c r="C334" s="191">
        <f t="shared" si="21"/>
        <v>47</v>
      </c>
      <c r="D334" s="190">
        <f t="shared" si="22"/>
        <v>43769</v>
      </c>
      <c r="E334" s="589">
        <f>Arbeitszeit!V335*24</f>
        <v>0</v>
      </c>
      <c r="F334" s="349">
        <f t="shared" si="23"/>
        <v>0</v>
      </c>
      <c r="G334" s="155">
        <f>IF(Arbeitszeit!F335=Urlaub,B_WorkTime*24,)</f>
        <v>0</v>
      </c>
      <c r="H334" s="153"/>
      <c r="I334" s="155">
        <f>IF(Arbeitszeit!F335=Krank,B_WorkTime*24,)</f>
        <v>0</v>
      </c>
      <c r="J334" s="153"/>
      <c r="K334" s="156"/>
      <c r="L334" s="157"/>
      <c r="M334" s="577"/>
      <c r="N334" s="578"/>
      <c r="O334" s="577"/>
      <c r="P334" s="578"/>
      <c r="Q334" s="577"/>
      <c r="R334" s="578"/>
      <c r="S334" s="577"/>
      <c r="T334" s="578"/>
      <c r="U334" s="577"/>
      <c r="V334" s="578"/>
      <c r="W334" s="577"/>
      <c r="X334" s="578"/>
      <c r="Y334" s="577"/>
      <c r="Z334" s="578"/>
      <c r="AA334" s="577"/>
      <c r="AB334" s="578"/>
      <c r="AC334" s="577"/>
      <c r="AD334" s="578"/>
      <c r="AE334" s="577"/>
      <c r="AF334" s="579"/>
      <c r="AG334" s="577"/>
      <c r="AH334" s="579"/>
      <c r="AI334" s="577"/>
      <c r="AJ334" s="579"/>
      <c r="AK334" s="577"/>
      <c r="AL334" s="579"/>
      <c r="AM334" s="580"/>
      <c r="AN334" s="579"/>
      <c r="AO334" s="577"/>
      <c r="AP334" s="579"/>
      <c r="AQ334" s="580"/>
      <c r="AR334" s="579"/>
      <c r="AS334" s="579"/>
      <c r="AT334" s="579"/>
      <c r="AU334" s="580"/>
      <c r="AV334" s="579"/>
      <c r="AW334" s="579"/>
      <c r="AX334" s="158"/>
      <c r="AY334" s="154"/>
      <c r="AZ334">
        <f ca="1">INDIRECT(ADDRESS(ROW()+1,COLUMN(Arbeitszeit!xDay),,,"Arbeitszeit"))</f>
        <v>7</v>
      </c>
    </row>
    <row r="335" spans="1:52">
      <c r="A335" s="520">
        <f>Arbeitszeit!A336</f>
        <v>43795</v>
      </c>
      <c r="B335" s="521">
        <f t="shared" si="20"/>
        <v>43795</v>
      </c>
      <c r="C335" s="191">
        <f t="shared" si="21"/>
        <v>48</v>
      </c>
      <c r="D335" s="190">
        <f t="shared" si="22"/>
        <v>43769</v>
      </c>
      <c r="E335" s="589">
        <f>Arbeitszeit!V336*24</f>
        <v>0</v>
      </c>
      <c r="F335" s="349">
        <f t="shared" si="23"/>
        <v>0</v>
      </c>
      <c r="G335" s="155">
        <f>IF(Arbeitszeit!F336=Urlaub,B_WorkTime*24,)</f>
        <v>0</v>
      </c>
      <c r="H335" s="153"/>
      <c r="I335" s="155">
        <f>IF(Arbeitszeit!F336=Krank,B_WorkTime*24,)</f>
        <v>0</v>
      </c>
      <c r="J335" s="153"/>
      <c r="K335" s="156"/>
      <c r="L335" s="157"/>
      <c r="M335" s="577"/>
      <c r="N335" s="578"/>
      <c r="O335" s="577"/>
      <c r="P335" s="578"/>
      <c r="Q335" s="577"/>
      <c r="R335" s="578"/>
      <c r="S335" s="577"/>
      <c r="T335" s="578"/>
      <c r="U335" s="577"/>
      <c r="V335" s="578"/>
      <c r="W335" s="577"/>
      <c r="X335" s="578"/>
      <c r="Y335" s="577"/>
      <c r="Z335" s="578"/>
      <c r="AA335" s="577"/>
      <c r="AB335" s="578"/>
      <c r="AC335" s="577"/>
      <c r="AD335" s="578"/>
      <c r="AE335" s="577"/>
      <c r="AF335" s="579"/>
      <c r="AG335" s="577"/>
      <c r="AH335" s="579"/>
      <c r="AI335" s="577"/>
      <c r="AJ335" s="579"/>
      <c r="AK335" s="577"/>
      <c r="AL335" s="579"/>
      <c r="AM335" s="580"/>
      <c r="AN335" s="579"/>
      <c r="AO335" s="577"/>
      <c r="AP335" s="579"/>
      <c r="AQ335" s="580"/>
      <c r="AR335" s="579"/>
      <c r="AS335" s="579"/>
      <c r="AT335" s="579"/>
      <c r="AU335" s="580"/>
      <c r="AV335" s="579"/>
      <c r="AW335" s="579"/>
      <c r="AX335" s="158"/>
      <c r="AY335" s="154"/>
      <c r="AZ335">
        <f ca="1">INDIRECT(ADDRESS(ROW()+1,COLUMN(Arbeitszeit!xDay),,,"Arbeitszeit"))</f>
        <v>1</v>
      </c>
    </row>
    <row r="336" spans="1:52">
      <c r="A336" s="520">
        <f>Arbeitszeit!A337</f>
        <v>43796</v>
      </c>
      <c r="B336" s="521">
        <f t="shared" si="20"/>
        <v>43796</v>
      </c>
      <c r="C336" s="191">
        <f t="shared" si="21"/>
        <v>48</v>
      </c>
      <c r="D336" s="190">
        <f t="shared" si="22"/>
        <v>43769</v>
      </c>
      <c r="E336" s="589">
        <f>Arbeitszeit!V337*24</f>
        <v>0</v>
      </c>
      <c r="F336" s="349">
        <f t="shared" si="23"/>
        <v>0</v>
      </c>
      <c r="G336" s="155">
        <f>IF(Arbeitszeit!F337=Urlaub,B_WorkTime*24,)</f>
        <v>0</v>
      </c>
      <c r="H336" s="153"/>
      <c r="I336" s="155">
        <f>IF(Arbeitszeit!F337=Krank,B_WorkTime*24,)</f>
        <v>0</v>
      </c>
      <c r="J336" s="153"/>
      <c r="K336" s="156"/>
      <c r="L336" s="157"/>
      <c r="M336" s="577"/>
      <c r="N336" s="578"/>
      <c r="O336" s="577"/>
      <c r="P336" s="578"/>
      <c r="Q336" s="577"/>
      <c r="R336" s="578"/>
      <c r="S336" s="577"/>
      <c r="T336" s="578"/>
      <c r="U336" s="577"/>
      <c r="V336" s="578"/>
      <c r="W336" s="577"/>
      <c r="X336" s="578"/>
      <c r="Y336" s="577"/>
      <c r="Z336" s="578"/>
      <c r="AA336" s="577"/>
      <c r="AB336" s="578"/>
      <c r="AC336" s="577"/>
      <c r="AD336" s="578"/>
      <c r="AE336" s="577"/>
      <c r="AF336" s="579"/>
      <c r="AG336" s="577"/>
      <c r="AH336" s="579"/>
      <c r="AI336" s="577"/>
      <c r="AJ336" s="579"/>
      <c r="AK336" s="577"/>
      <c r="AL336" s="579"/>
      <c r="AM336" s="580"/>
      <c r="AN336" s="579"/>
      <c r="AO336" s="577"/>
      <c r="AP336" s="579"/>
      <c r="AQ336" s="580"/>
      <c r="AR336" s="579"/>
      <c r="AS336" s="579"/>
      <c r="AT336" s="579"/>
      <c r="AU336" s="580"/>
      <c r="AV336" s="579"/>
      <c r="AW336" s="579"/>
      <c r="AX336" s="158"/>
      <c r="AY336" s="154"/>
      <c r="AZ336">
        <f ca="1">INDIRECT(ADDRESS(ROW()+1,COLUMN(Arbeitszeit!xDay),,,"Arbeitszeit"))</f>
        <v>2</v>
      </c>
    </row>
    <row r="337" spans="1:52">
      <c r="A337" s="520">
        <f>Arbeitszeit!A338</f>
        <v>43797</v>
      </c>
      <c r="B337" s="521">
        <f t="shared" si="20"/>
        <v>43797</v>
      </c>
      <c r="C337" s="191">
        <f t="shared" si="21"/>
        <v>48</v>
      </c>
      <c r="D337" s="190">
        <f t="shared" si="22"/>
        <v>43769</v>
      </c>
      <c r="E337" s="589">
        <f>Arbeitszeit!V338*24</f>
        <v>0</v>
      </c>
      <c r="F337" s="349">
        <f t="shared" si="23"/>
        <v>0</v>
      </c>
      <c r="G337" s="155">
        <f>IF(Arbeitszeit!F338=Urlaub,B_WorkTime*24,)</f>
        <v>0</v>
      </c>
      <c r="H337" s="153"/>
      <c r="I337" s="155">
        <f>IF(Arbeitszeit!F338=Krank,B_WorkTime*24,)</f>
        <v>0</v>
      </c>
      <c r="J337" s="153"/>
      <c r="K337" s="156"/>
      <c r="L337" s="157"/>
      <c r="M337" s="577"/>
      <c r="N337" s="578"/>
      <c r="O337" s="577"/>
      <c r="P337" s="578"/>
      <c r="Q337" s="577"/>
      <c r="R337" s="578"/>
      <c r="S337" s="577"/>
      <c r="T337" s="578"/>
      <c r="U337" s="577"/>
      <c r="V337" s="578"/>
      <c r="W337" s="577"/>
      <c r="X337" s="578"/>
      <c r="Y337" s="577"/>
      <c r="Z337" s="578"/>
      <c r="AA337" s="577"/>
      <c r="AB337" s="578"/>
      <c r="AC337" s="577"/>
      <c r="AD337" s="578"/>
      <c r="AE337" s="577"/>
      <c r="AF337" s="579"/>
      <c r="AG337" s="577"/>
      <c r="AH337" s="579"/>
      <c r="AI337" s="577"/>
      <c r="AJ337" s="579"/>
      <c r="AK337" s="577"/>
      <c r="AL337" s="579"/>
      <c r="AM337" s="580"/>
      <c r="AN337" s="579"/>
      <c r="AO337" s="577"/>
      <c r="AP337" s="579"/>
      <c r="AQ337" s="580"/>
      <c r="AR337" s="579"/>
      <c r="AS337" s="579"/>
      <c r="AT337" s="579"/>
      <c r="AU337" s="580"/>
      <c r="AV337" s="579"/>
      <c r="AW337" s="579"/>
      <c r="AX337" s="158"/>
      <c r="AY337" s="154"/>
      <c r="AZ337">
        <f ca="1">INDIRECT(ADDRESS(ROW()+1,COLUMN(Arbeitszeit!xDay),,,"Arbeitszeit"))</f>
        <v>3</v>
      </c>
    </row>
    <row r="338" spans="1:52">
      <c r="A338" s="520">
        <f>Arbeitszeit!A339</f>
        <v>43798</v>
      </c>
      <c r="B338" s="521">
        <f t="shared" si="20"/>
        <v>43798</v>
      </c>
      <c r="C338" s="191">
        <f t="shared" si="21"/>
        <v>48</v>
      </c>
      <c r="D338" s="190">
        <f t="shared" si="22"/>
        <v>43769</v>
      </c>
      <c r="E338" s="589">
        <f>Arbeitszeit!V339*24</f>
        <v>0</v>
      </c>
      <c r="F338" s="349">
        <f t="shared" si="23"/>
        <v>0</v>
      </c>
      <c r="G338" s="155">
        <f>IF(Arbeitszeit!F339=Urlaub,B_WorkTime*24,)</f>
        <v>0</v>
      </c>
      <c r="H338" s="153"/>
      <c r="I338" s="155">
        <f>IF(Arbeitszeit!F339=Krank,B_WorkTime*24,)</f>
        <v>0</v>
      </c>
      <c r="J338" s="153"/>
      <c r="K338" s="156"/>
      <c r="L338" s="157"/>
      <c r="M338" s="577"/>
      <c r="N338" s="578"/>
      <c r="O338" s="577"/>
      <c r="P338" s="578"/>
      <c r="Q338" s="577"/>
      <c r="R338" s="578"/>
      <c r="S338" s="577"/>
      <c r="T338" s="578"/>
      <c r="U338" s="577"/>
      <c r="V338" s="578"/>
      <c r="W338" s="577"/>
      <c r="X338" s="578"/>
      <c r="Y338" s="577"/>
      <c r="Z338" s="578"/>
      <c r="AA338" s="577"/>
      <c r="AB338" s="578"/>
      <c r="AC338" s="577"/>
      <c r="AD338" s="578"/>
      <c r="AE338" s="577"/>
      <c r="AF338" s="579"/>
      <c r="AG338" s="577"/>
      <c r="AH338" s="579"/>
      <c r="AI338" s="577"/>
      <c r="AJ338" s="579"/>
      <c r="AK338" s="577"/>
      <c r="AL338" s="579"/>
      <c r="AM338" s="580"/>
      <c r="AN338" s="579"/>
      <c r="AO338" s="577"/>
      <c r="AP338" s="579"/>
      <c r="AQ338" s="580"/>
      <c r="AR338" s="579"/>
      <c r="AS338" s="579"/>
      <c r="AT338" s="579"/>
      <c r="AU338" s="580"/>
      <c r="AV338" s="579"/>
      <c r="AW338" s="579"/>
      <c r="AX338" s="158"/>
      <c r="AY338" s="154"/>
      <c r="AZ338">
        <f ca="1">INDIRECT(ADDRESS(ROW()+1,COLUMN(Arbeitszeit!xDay),,,"Arbeitszeit"))</f>
        <v>4</v>
      </c>
    </row>
    <row r="339" spans="1:52">
      <c r="A339" s="520">
        <f>Arbeitszeit!A340</f>
        <v>43799</v>
      </c>
      <c r="B339" s="521">
        <f t="shared" si="20"/>
        <v>43799</v>
      </c>
      <c r="C339" s="191">
        <f t="shared" si="21"/>
        <v>48</v>
      </c>
      <c r="D339" s="190">
        <f t="shared" si="22"/>
        <v>43799</v>
      </c>
      <c r="E339" s="589">
        <f>Arbeitszeit!V340*24</f>
        <v>0</v>
      </c>
      <c r="F339" s="349">
        <f t="shared" si="23"/>
        <v>0</v>
      </c>
      <c r="G339" s="155">
        <f>IF(Arbeitszeit!F340=Urlaub,B_WorkTime*24,)</f>
        <v>0</v>
      </c>
      <c r="H339" s="153"/>
      <c r="I339" s="155">
        <f>IF(Arbeitszeit!F340=Krank,B_WorkTime*24,)</f>
        <v>0</v>
      </c>
      <c r="J339" s="153"/>
      <c r="K339" s="156"/>
      <c r="L339" s="157"/>
      <c r="M339" s="577"/>
      <c r="N339" s="578"/>
      <c r="O339" s="577"/>
      <c r="P339" s="578"/>
      <c r="Q339" s="577"/>
      <c r="R339" s="578"/>
      <c r="S339" s="577"/>
      <c r="T339" s="578"/>
      <c r="U339" s="577"/>
      <c r="V339" s="578"/>
      <c r="W339" s="577"/>
      <c r="X339" s="578"/>
      <c r="Y339" s="577"/>
      <c r="Z339" s="578"/>
      <c r="AA339" s="577"/>
      <c r="AB339" s="578"/>
      <c r="AC339" s="577"/>
      <c r="AD339" s="578"/>
      <c r="AE339" s="577"/>
      <c r="AF339" s="579"/>
      <c r="AG339" s="577"/>
      <c r="AH339" s="579"/>
      <c r="AI339" s="577"/>
      <c r="AJ339" s="579"/>
      <c r="AK339" s="577"/>
      <c r="AL339" s="579"/>
      <c r="AM339" s="580"/>
      <c r="AN339" s="579"/>
      <c r="AO339" s="577"/>
      <c r="AP339" s="579"/>
      <c r="AQ339" s="580"/>
      <c r="AR339" s="579"/>
      <c r="AS339" s="579"/>
      <c r="AT339" s="579"/>
      <c r="AU339" s="580"/>
      <c r="AV339" s="579"/>
      <c r="AW339" s="579"/>
      <c r="AX339" s="158"/>
      <c r="AY339" s="154"/>
      <c r="AZ339">
        <f ca="1">INDIRECT(ADDRESS(ROW()+1,COLUMN(Arbeitszeit!xDay),,,"Arbeitszeit"))</f>
        <v>5</v>
      </c>
    </row>
    <row r="340" spans="1:52">
      <c r="A340" s="520">
        <f>Arbeitszeit!A341</f>
        <v>43800</v>
      </c>
      <c r="B340" s="521">
        <f t="shared" si="20"/>
        <v>43800</v>
      </c>
      <c r="C340" s="191">
        <f t="shared" si="21"/>
        <v>48</v>
      </c>
      <c r="D340" s="190">
        <f t="shared" si="22"/>
        <v>43799</v>
      </c>
      <c r="E340" s="589">
        <f>Arbeitszeit!V341*24</f>
        <v>0</v>
      </c>
      <c r="F340" s="349">
        <f t="shared" si="23"/>
        <v>0</v>
      </c>
      <c r="G340" s="155">
        <f>IF(Arbeitszeit!F341=Urlaub,B_WorkTime*24,)</f>
        <v>0</v>
      </c>
      <c r="H340" s="153"/>
      <c r="I340" s="155">
        <f>IF(Arbeitszeit!F341=Krank,B_WorkTime*24,)</f>
        <v>0</v>
      </c>
      <c r="J340" s="153"/>
      <c r="K340" s="156"/>
      <c r="L340" s="157"/>
      <c r="M340" s="577"/>
      <c r="N340" s="578"/>
      <c r="O340" s="577"/>
      <c r="P340" s="578"/>
      <c r="Q340" s="577"/>
      <c r="R340" s="578"/>
      <c r="S340" s="577"/>
      <c r="T340" s="578"/>
      <c r="U340" s="577"/>
      <c r="V340" s="578"/>
      <c r="W340" s="577"/>
      <c r="X340" s="578"/>
      <c r="Y340" s="577"/>
      <c r="Z340" s="578"/>
      <c r="AA340" s="577"/>
      <c r="AB340" s="578"/>
      <c r="AC340" s="577"/>
      <c r="AD340" s="578"/>
      <c r="AE340" s="577"/>
      <c r="AF340" s="579"/>
      <c r="AG340" s="577"/>
      <c r="AH340" s="579"/>
      <c r="AI340" s="577"/>
      <c r="AJ340" s="579"/>
      <c r="AK340" s="577"/>
      <c r="AL340" s="579"/>
      <c r="AM340" s="580"/>
      <c r="AN340" s="579"/>
      <c r="AO340" s="577"/>
      <c r="AP340" s="579"/>
      <c r="AQ340" s="580"/>
      <c r="AR340" s="579"/>
      <c r="AS340" s="579"/>
      <c r="AT340" s="579"/>
      <c r="AU340" s="580"/>
      <c r="AV340" s="579"/>
      <c r="AW340" s="579"/>
      <c r="AX340" s="158"/>
      <c r="AY340" s="154"/>
      <c r="AZ340">
        <f ca="1">INDIRECT(ADDRESS(ROW()+1,COLUMN(Arbeitszeit!xDay),,,"Arbeitszeit"))</f>
        <v>6</v>
      </c>
    </row>
    <row r="341" spans="1:52">
      <c r="A341" s="520">
        <f>Arbeitszeit!A342</f>
        <v>43801</v>
      </c>
      <c r="B341" s="521">
        <f t="shared" si="20"/>
        <v>43801</v>
      </c>
      <c r="C341" s="191">
        <f t="shared" si="21"/>
        <v>48</v>
      </c>
      <c r="D341" s="190">
        <f t="shared" si="22"/>
        <v>43799</v>
      </c>
      <c r="E341" s="589">
        <f>Arbeitszeit!V342*24</f>
        <v>0</v>
      </c>
      <c r="F341" s="349">
        <f t="shared" si="23"/>
        <v>0</v>
      </c>
      <c r="G341" s="155">
        <f>IF(Arbeitszeit!F342=Urlaub,B_WorkTime*24,)</f>
        <v>0</v>
      </c>
      <c r="H341" s="153"/>
      <c r="I341" s="155">
        <f>IF(Arbeitszeit!F342=Krank,B_WorkTime*24,)</f>
        <v>0</v>
      </c>
      <c r="J341" s="153"/>
      <c r="K341" s="156"/>
      <c r="L341" s="157"/>
      <c r="M341" s="577"/>
      <c r="N341" s="578"/>
      <c r="O341" s="577"/>
      <c r="P341" s="578"/>
      <c r="Q341" s="577"/>
      <c r="R341" s="578"/>
      <c r="S341" s="577"/>
      <c r="T341" s="578"/>
      <c r="U341" s="577"/>
      <c r="V341" s="578"/>
      <c r="W341" s="577"/>
      <c r="X341" s="578"/>
      <c r="Y341" s="577"/>
      <c r="Z341" s="578"/>
      <c r="AA341" s="577"/>
      <c r="AB341" s="578"/>
      <c r="AC341" s="577"/>
      <c r="AD341" s="578"/>
      <c r="AE341" s="577"/>
      <c r="AF341" s="579"/>
      <c r="AG341" s="577"/>
      <c r="AH341" s="579"/>
      <c r="AI341" s="577"/>
      <c r="AJ341" s="579"/>
      <c r="AK341" s="577"/>
      <c r="AL341" s="579"/>
      <c r="AM341" s="580"/>
      <c r="AN341" s="579"/>
      <c r="AO341" s="577"/>
      <c r="AP341" s="579"/>
      <c r="AQ341" s="580"/>
      <c r="AR341" s="579"/>
      <c r="AS341" s="579"/>
      <c r="AT341" s="579"/>
      <c r="AU341" s="580"/>
      <c r="AV341" s="579"/>
      <c r="AW341" s="579"/>
      <c r="AX341" s="158"/>
      <c r="AY341" s="154"/>
      <c r="AZ341">
        <f ca="1">INDIRECT(ADDRESS(ROW()+1,COLUMN(Arbeitszeit!xDay),,,"Arbeitszeit"))</f>
        <v>7</v>
      </c>
    </row>
    <row r="342" spans="1:52">
      <c r="A342" s="520">
        <f>Arbeitszeit!A343</f>
        <v>43802</v>
      </c>
      <c r="B342" s="521">
        <f t="shared" si="20"/>
        <v>43802</v>
      </c>
      <c r="C342" s="191">
        <f t="shared" si="21"/>
        <v>49</v>
      </c>
      <c r="D342" s="190">
        <f t="shared" si="22"/>
        <v>43799</v>
      </c>
      <c r="E342" s="589">
        <f>Arbeitszeit!V343*24</f>
        <v>0</v>
      </c>
      <c r="F342" s="349">
        <f t="shared" si="23"/>
        <v>0</v>
      </c>
      <c r="G342" s="155">
        <f>IF(Arbeitszeit!F343=Urlaub,B_WorkTime*24,)</f>
        <v>0</v>
      </c>
      <c r="H342" s="153"/>
      <c r="I342" s="155">
        <f>IF(Arbeitszeit!F343=Krank,B_WorkTime*24,)</f>
        <v>0</v>
      </c>
      <c r="J342" s="153"/>
      <c r="K342" s="156"/>
      <c r="L342" s="157"/>
      <c r="M342" s="577"/>
      <c r="N342" s="578"/>
      <c r="O342" s="577"/>
      <c r="P342" s="578"/>
      <c r="Q342" s="577"/>
      <c r="R342" s="578"/>
      <c r="S342" s="577"/>
      <c r="T342" s="578"/>
      <c r="U342" s="577"/>
      <c r="V342" s="578"/>
      <c r="W342" s="577"/>
      <c r="X342" s="578"/>
      <c r="Y342" s="577"/>
      <c r="Z342" s="578"/>
      <c r="AA342" s="577"/>
      <c r="AB342" s="578"/>
      <c r="AC342" s="577"/>
      <c r="AD342" s="578"/>
      <c r="AE342" s="577"/>
      <c r="AF342" s="579"/>
      <c r="AG342" s="577"/>
      <c r="AH342" s="579"/>
      <c r="AI342" s="577"/>
      <c r="AJ342" s="579"/>
      <c r="AK342" s="577"/>
      <c r="AL342" s="579"/>
      <c r="AM342" s="580"/>
      <c r="AN342" s="579"/>
      <c r="AO342" s="577"/>
      <c r="AP342" s="579"/>
      <c r="AQ342" s="580"/>
      <c r="AR342" s="579"/>
      <c r="AS342" s="579"/>
      <c r="AT342" s="579"/>
      <c r="AU342" s="580"/>
      <c r="AV342" s="579"/>
      <c r="AW342" s="579"/>
      <c r="AX342" s="158"/>
      <c r="AY342" s="154"/>
      <c r="AZ342">
        <f ca="1">INDIRECT(ADDRESS(ROW()+1,COLUMN(Arbeitszeit!xDay),,,"Arbeitszeit"))</f>
        <v>1</v>
      </c>
    </row>
    <row r="343" spans="1:52">
      <c r="A343" s="520">
        <f>Arbeitszeit!A344</f>
        <v>43803</v>
      </c>
      <c r="B343" s="521">
        <f t="shared" si="20"/>
        <v>43803</v>
      </c>
      <c r="C343" s="191">
        <f t="shared" si="21"/>
        <v>49</v>
      </c>
      <c r="D343" s="190">
        <f t="shared" si="22"/>
        <v>43799</v>
      </c>
      <c r="E343" s="589">
        <f>Arbeitszeit!V344*24</f>
        <v>0</v>
      </c>
      <c r="F343" s="349">
        <f t="shared" si="23"/>
        <v>0</v>
      </c>
      <c r="G343" s="155">
        <f>IF(Arbeitszeit!F344=Urlaub,B_WorkTime*24,)</f>
        <v>0</v>
      </c>
      <c r="H343" s="153"/>
      <c r="I343" s="155">
        <f>IF(Arbeitszeit!F344=Krank,B_WorkTime*24,)</f>
        <v>0</v>
      </c>
      <c r="J343" s="153"/>
      <c r="K343" s="156"/>
      <c r="L343" s="157"/>
      <c r="M343" s="577"/>
      <c r="N343" s="578"/>
      <c r="O343" s="577"/>
      <c r="P343" s="578"/>
      <c r="Q343" s="577"/>
      <c r="R343" s="578"/>
      <c r="S343" s="577"/>
      <c r="T343" s="578"/>
      <c r="U343" s="577"/>
      <c r="V343" s="578"/>
      <c r="W343" s="577"/>
      <c r="X343" s="578"/>
      <c r="Y343" s="577"/>
      <c r="Z343" s="578"/>
      <c r="AA343" s="577"/>
      <c r="AB343" s="578"/>
      <c r="AC343" s="577"/>
      <c r="AD343" s="578"/>
      <c r="AE343" s="577"/>
      <c r="AF343" s="579"/>
      <c r="AG343" s="577"/>
      <c r="AH343" s="579"/>
      <c r="AI343" s="577"/>
      <c r="AJ343" s="579"/>
      <c r="AK343" s="577"/>
      <c r="AL343" s="579"/>
      <c r="AM343" s="580"/>
      <c r="AN343" s="579"/>
      <c r="AO343" s="577"/>
      <c r="AP343" s="579"/>
      <c r="AQ343" s="580"/>
      <c r="AR343" s="579"/>
      <c r="AS343" s="579"/>
      <c r="AT343" s="579"/>
      <c r="AU343" s="580"/>
      <c r="AV343" s="579"/>
      <c r="AW343" s="579"/>
      <c r="AX343" s="158"/>
      <c r="AY343" s="154"/>
      <c r="AZ343">
        <f ca="1">INDIRECT(ADDRESS(ROW()+1,COLUMN(Arbeitszeit!xDay),,,"Arbeitszeit"))</f>
        <v>2</v>
      </c>
    </row>
    <row r="344" spans="1:52">
      <c r="A344" s="520">
        <f>Arbeitszeit!A345</f>
        <v>43804</v>
      </c>
      <c r="B344" s="521">
        <f t="shared" si="20"/>
        <v>43804</v>
      </c>
      <c r="C344" s="191">
        <f t="shared" si="21"/>
        <v>49</v>
      </c>
      <c r="D344" s="190">
        <f t="shared" si="22"/>
        <v>43799</v>
      </c>
      <c r="E344" s="589">
        <f>Arbeitszeit!V345*24</f>
        <v>0</v>
      </c>
      <c r="F344" s="349">
        <f t="shared" si="23"/>
        <v>0</v>
      </c>
      <c r="G344" s="155">
        <f>IF(Arbeitszeit!F345=Urlaub,B_WorkTime*24,)</f>
        <v>0</v>
      </c>
      <c r="H344" s="153"/>
      <c r="I344" s="155">
        <f>IF(Arbeitszeit!F345=Krank,B_WorkTime*24,)</f>
        <v>0</v>
      </c>
      <c r="J344" s="153"/>
      <c r="K344" s="156"/>
      <c r="L344" s="157"/>
      <c r="M344" s="577"/>
      <c r="N344" s="578"/>
      <c r="O344" s="577"/>
      <c r="P344" s="578"/>
      <c r="Q344" s="577"/>
      <c r="R344" s="578"/>
      <c r="S344" s="577"/>
      <c r="T344" s="578"/>
      <c r="U344" s="577"/>
      <c r="V344" s="578"/>
      <c r="W344" s="577"/>
      <c r="X344" s="578"/>
      <c r="Y344" s="577"/>
      <c r="Z344" s="578"/>
      <c r="AA344" s="577"/>
      <c r="AB344" s="578"/>
      <c r="AC344" s="577"/>
      <c r="AD344" s="578"/>
      <c r="AE344" s="577"/>
      <c r="AF344" s="579"/>
      <c r="AG344" s="577"/>
      <c r="AH344" s="579"/>
      <c r="AI344" s="577"/>
      <c r="AJ344" s="579"/>
      <c r="AK344" s="577"/>
      <c r="AL344" s="579"/>
      <c r="AM344" s="580"/>
      <c r="AN344" s="579"/>
      <c r="AO344" s="577"/>
      <c r="AP344" s="579"/>
      <c r="AQ344" s="580"/>
      <c r="AR344" s="579"/>
      <c r="AS344" s="579"/>
      <c r="AT344" s="579"/>
      <c r="AU344" s="580"/>
      <c r="AV344" s="579"/>
      <c r="AW344" s="579"/>
      <c r="AX344" s="158"/>
      <c r="AY344" s="154"/>
      <c r="AZ344">
        <f ca="1">INDIRECT(ADDRESS(ROW()+1,COLUMN(Arbeitszeit!xDay),,,"Arbeitszeit"))</f>
        <v>3</v>
      </c>
    </row>
    <row r="345" spans="1:52">
      <c r="A345" s="520">
        <f>Arbeitszeit!A346</f>
        <v>43805</v>
      </c>
      <c r="B345" s="521">
        <f t="shared" si="20"/>
        <v>43805</v>
      </c>
      <c r="C345" s="191">
        <f t="shared" si="21"/>
        <v>49</v>
      </c>
      <c r="D345" s="190">
        <f t="shared" si="22"/>
        <v>43799</v>
      </c>
      <c r="E345" s="589">
        <f>Arbeitszeit!V346*24</f>
        <v>0</v>
      </c>
      <c r="F345" s="349">
        <f t="shared" si="23"/>
        <v>0</v>
      </c>
      <c r="G345" s="155">
        <f>IF(Arbeitszeit!F346=Urlaub,B_WorkTime*24,)</f>
        <v>0</v>
      </c>
      <c r="H345" s="153"/>
      <c r="I345" s="155">
        <f>IF(Arbeitszeit!F346=Krank,B_WorkTime*24,)</f>
        <v>0</v>
      </c>
      <c r="J345" s="153"/>
      <c r="K345" s="156"/>
      <c r="L345" s="157"/>
      <c r="M345" s="577"/>
      <c r="N345" s="578"/>
      <c r="O345" s="577"/>
      <c r="P345" s="578"/>
      <c r="Q345" s="577"/>
      <c r="R345" s="578"/>
      <c r="S345" s="577"/>
      <c r="T345" s="578"/>
      <c r="U345" s="577"/>
      <c r="V345" s="578"/>
      <c r="W345" s="577"/>
      <c r="X345" s="578"/>
      <c r="Y345" s="577"/>
      <c r="Z345" s="578"/>
      <c r="AA345" s="577"/>
      <c r="AB345" s="578"/>
      <c r="AC345" s="577"/>
      <c r="AD345" s="578"/>
      <c r="AE345" s="577"/>
      <c r="AF345" s="579"/>
      <c r="AG345" s="577"/>
      <c r="AH345" s="579"/>
      <c r="AI345" s="577"/>
      <c r="AJ345" s="579"/>
      <c r="AK345" s="577"/>
      <c r="AL345" s="579"/>
      <c r="AM345" s="580"/>
      <c r="AN345" s="579"/>
      <c r="AO345" s="577"/>
      <c r="AP345" s="579"/>
      <c r="AQ345" s="580"/>
      <c r="AR345" s="579"/>
      <c r="AS345" s="579"/>
      <c r="AT345" s="579"/>
      <c r="AU345" s="580"/>
      <c r="AV345" s="579"/>
      <c r="AW345" s="579"/>
      <c r="AX345" s="158"/>
      <c r="AY345" s="154"/>
      <c r="AZ345">
        <f ca="1">INDIRECT(ADDRESS(ROW()+1,COLUMN(Arbeitszeit!xDay),,,"Arbeitszeit"))</f>
        <v>4</v>
      </c>
    </row>
    <row r="346" spans="1:52">
      <c r="A346" s="520">
        <f>Arbeitszeit!A347</f>
        <v>43806</v>
      </c>
      <c r="B346" s="521">
        <f t="shared" si="20"/>
        <v>43806</v>
      </c>
      <c r="C346" s="191">
        <f t="shared" si="21"/>
        <v>49</v>
      </c>
      <c r="D346" s="190">
        <f t="shared" si="22"/>
        <v>43799</v>
      </c>
      <c r="E346" s="589">
        <f>Arbeitszeit!V347*24</f>
        <v>0</v>
      </c>
      <c r="F346" s="349">
        <f t="shared" si="23"/>
        <v>0</v>
      </c>
      <c r="G346" s="155">
        <f>IF(Arbeitszeit!F347=Urlaub,B_WorkTime*24,)</f>
        <v>0</v>
      </c>
      <c r="H346" s="153"/>
      <c r="I346" s="155">
        <f>IF(Arbeitszeit!F347=Krank,B_WorkTime*24,)</f>
        <v>0</v>
      </c>
      <c r="J346" s="153"/>
      <c r="K346" s="156"/>
      <c r="L346" s="157"/>
      <c r="M346" s="577"/>
      <c r="N346" s="578"/>
      <c r="O346" s="577"/>
      <c r="P346" s="578"/>
      <c r="Q346" s="577"/>
      <c r="R346" s="578"/>
      <c r="S346" s="577"/>
      <c r="T346" s="578"/>
      <c r="U346" s="577"/>
      <c r="V346" s="578"/>
      <c r="W346" s="577"/>
      <c r="X346" s="578"/>
      <c r="Y346" s="577"/>
      <c r="Z346" s="578"/>
      <c r="AA346" s="577"/>
      <c r="AB346" s="578"/>
      <c r="AC346" s="577"/>
      <c r="AD346" s="578"/>
      <c r="AE346" s="577"/>
      <c r="AF346" s="579"/>
      <c r="AG346" s="577"/>
      <c r="AH346" s="579"/>
      <c r="AI346" s="577"/>
      <c r="AJ346" s="579"/>
      <c r="AK346" s="577"/>
      <c r="AL346" s="579"/>
      <c r="AM346" s="580"/>
      <c r="AN346" s="579"/>
      <c r="AO346" s="577"/>
      <c r="AP346" s="579"/>
      <c r="AQ346" s="580"/>
      <c r="AR346" s="579"/>
      <c r="AS346" s="579"/>
      <c r="AT346" s="579"/>
      <c r="AU346" s="580"/>
      <c r="AV346" s="579"/>
      <c r="AW346" s="579"/>
      <c r="AX346" s="158"/>
      <c r="AY346" s="154"/>
      <c r="AZ346">
        <f ca="1">INDIRECT(ADDRESS(ROW()+1,COLUMN(Arbeitszeit!xDay),,,"Arbeitszeit"))</f>
        <v>5</v>
      </c>
    </row>
    <row r="347" spans="1:52">
      <c r="A347" s="520">
        <f>Arbeitszeit!A348</f>
        <v>43807</v>
      </c>
      <c r="B347" s="521">
        <f t="shared" si="20"/>
        <v>43807</v>
      </c>
      <c r="C347" s="191">
        <f t="shared" si="21"/>
        <v>49</v>
      </c>
      <c r="D347" s="190">
        <f t="shared" si="22"/>
        <v>43799</v>
      </c>
      <c r="E347" s="589">
        <f>Arbeitszeit!V348*24</f>
        <v>0</v>
      </c>
      <c r="F347" s="349">
        <f t="shared" si="23"/>
        <v>0</v>
      </c>
      <c r="G347" s="155">
        <f>IF(Arbeitszeit!F348=Urlaub,B_WorkTime*24,)</f>
        <v>0</v>
      </c>
      <c r="H347" s="153"/>
      <c r="I347" s="155">
        <f>IF(Arbeitszeit!F348=Krank,B_WorkTime*24,)</f>
        <v>0</v>
      </c>
      <c r="J347" s="153"/>
      <c r="K347" s="156"/>
      <c r="L347" s="157"/>
      <c r="M347" s="577"/>
      <c r="N347" s="578"/>
      <c r="O347" s="577"/>
      <c r="P347" s="578"/>
      <c r="Q347" s="577"/>
      <c r="R347" s="578"/>
      <c r="S347" s="577"/>
      <c r="T347" s="578"/>
      <c r="U347" s="577"/>
      <c r="V347" s="578"/>
      <c r="W347" s="577"/>
      <c r="X347" s="578"/>
      <c r="Y347" s="577"/>
      <c r="Z347" s="578"/>
      <c r="AA347" s="577"/>
      <c r="AB347" s="578"/>
      <c r="AC347" s="577"/>
      <c r="AD347" s="578"/>
      <c r="AE347" s="577"/>
      <c r="AF347" s="579"/>
      <c r="AG347" s="577"/>
      <c r="AH347" s="579"/>
      <c r="AI347" s="577"/>
      <c r="AJ347" s="579"/>
      <c r="AK347" s="577"/>
      <c r="AL347" s="579"/>
      <c r="AM347" s="580"/>
      <c r="AN347" s="579"/>
      <c r="AO347" s="577"/>
      <c r="AP347" s="579"/>
      <c r="AQ347" s="580"/>
      <c r="AR347" s="579"/>
      <c r="AS347" s="579"/>
      <c r="AT347" s="579"/>
      <c r="AU347" s="580"/>
      <c r="AV347" s="579"/>
      <c r="AW347" s="579"/>
      <c r="AX347" s="158"/>
      <c r="AY347" s="154"/>
      <c r="AZ347">
        <f ca="1">INDIRECT(ADDRESS(ROW()+1,COLUMN(Arbeitszeit!xDay),,,"Arbeitszeit"))</f>
        <v>6</v>
      </c>
    </row>
    <row r="348" spans="1:52">
      <c r="A348" s="520">
        <f>Arbeitszeit!A349</f>
        <v>43808</v>
      </c>
      <c r="B348" s="521">
        <f t="shared" si="20"/>
        <v>43808</v>
      </c>
      <c r="C348" s="191">
        <f t="shared" si="21"/>
        <v>49</v>
      </c>
      <c r="D348" s="190">
        <f t="shared" si="22"/>
        <v>43799</v>
      </c>
      <c r="E348" s="589">
        <f>Arbeitszeit!V349*24</f>
        <v>0</v>
      </c>
      <c r="F348" s="349">
        <f t="shared" si="23"/>
        <v>0</v>
      </c>
      <c r="G348" s="155">
        <f>IF(Arbeitszeit!F349=Urlaub,B_WorkTime*24,)</f>
        <v>0</v>
      </c>
      <c r="H348" s="153"/>
      <c r="I348" s="155">
        <f>IF(Arbeitszeit!F349=Krank,B_WorkTime*24,)</f>
        <v>0</v>
      </c>
      <c r="J348" s="153"/>
      <c r="K348" s="156"/>
      <c r="L348" s="157"/>
      <c r="M348" s="577"/>
      <c r="N348" s="578"/>
      <c r="O348" s="577"/>
      <c r="P348" s="578"/>
      <c r="Q348" s="577"/>
      <c r="R348" s="578"/>
      <c r="S348" s="577"/>
      <c r="T348" s="578"/>
      <c r="U348" s="577"/>
      <c r="V348" s="578"/>
      <c r="W348" s="577"/>
      <c r="X348" s="578"/>
      <c r="Y348" s="577"/>
      <c r="Z348" s="578"/>
      <c r="AA348" s="577"/>
      <c r="AB348" s="578"/>
      <c r="AC348" s="577"/>
      <c r="AD348" s="578"/>
      <c r="AE348" s="577"/>
      <c r="AF348" s="579"/>
      <c r="AG348" s="577"/>
      <c r="AH348" s="579"/>
      <c r="AI348" s="577"/>
      <c r="AJ348" s="579"/>
      <c r="AK348" s="577"/>
      <c r="AL348" s="579"/>
      <c r="AM348" s="580"/>
      <c r="AN348" s="579"/>
      <c r="AO348" s="577"/>
      <c r="AP348" s="579"/>
      <c r="AQ348" s="580"/>
      <c r="AR348" s="579"/>
      <c r="AS348" s="579"/>
      <c r="AT348" s="579"/>
      <c r="AU348" s="580"/>
      <c r="AV348" s="579"/>
      <c r="AW348" s="579"/>
      <c r="AX348" s="158"/>
      <c r="AY348" s="154"/>
      <c r="AZ348">
        <f ca="1">INDIRECT(ADDRESS(ROW()+1,COLUMN(Arbeitszeit!xDay),,,"Arbeitszeit"))</f>
        <v>7</v>
      </c>
    </row>
    <row r="349" spans="1:52">
      <c r="A349" s="520">
        <f>Arbeitszeit!A350</f>
        <v>43809</v>
      </c>
      <c r="B349" s="521">
        <f t="shared" si="20"/>
        <v>43809</v>
      </c>
      <c r="C349" s="191">
        <f t="shared" si="21"/>
        <v>50</v>
      </c>
      <c r="D349" s="190">
        <f t="shared" si="22"/>
        <v>43799</v>
      </c>
      <c r="E349" s="589">
        <f>Arbeitszeit!V350*24</f>
        <v>0</v>
      </c>
      <c r="F349" s="349">
        <f t="shared" si="23"/>
        <v>0</v>
      </c>
      <c r="G349" s="155">
        <f>IF(Arbeitszeit!F350=Urlaub,B_WorkTime*24,)</f>
        <v>0</v>
      </c>
      <c r="H349" s="153"/>
      <c r="I349" s="155">
        <f>IF(Arbeitszeit!F350=Krank,B_WorkTime*24,)</f>
        <v>0</v>
      </c>
      <c r="J349" s="153"/>
      <c r="K349" s="156"/>
      <c r="L349" s="157"/>
      <c r="M349" s="577"/>
      <c r="N349" s="578"/>
      <c r="O349" s="577"/>
      <c r="P349" s="578"/>
      <c r="Q349" s="577"/>
      <c r="R349" s="578"/>
      <c r="S349" s="577"/>
      <c r="T349" s="578"/>
      <c r="U349" s="577"/>
      <c r="V349" s="578"/>
      <c r="W349" s="577"/>
      <c r="X349" s="578"/>
      <c r="Y349" s="577"/>
      <c r="Z349" s="578"/>
      <c r="AA349" s="577"/>
      <c r="AB349" s="578"/>
      <c r="AC349" s="577"/>
      <c r="AD349" s="578"/>
      <c r="AE349" s="577"/>
      <c r="AF349" s="579"/>
      <c r="AG349" s="577"/>
      <c r="AH349" s="579"/>
      <c r="AI349" s="577"/>
      <c r="AJ349" s="579"/>
      <c r="AK349" s="577"/>
      <c r="AL349" s="579"/>
      <c r="AM349" s="580"/>
      <c r="AN349" s="579"/>
      <c r="AO349" s="577"/>
      <c r="AP349" s="579"/>
      <c r="AQ349" s="580"/>
      <c r="AR349" s="579"/>
      <c r="AS349" s="579"/>
      <c r="AT349" s="579"/>
      <c r="AU349" s="580"/>
      <c r="AV349" s="579"/>
      <c r="AW349" s="579"/>
      <c r="AX349" s="158"/>
      <c r="AY349" s="154"/>
      <c r="AZ349">
        <f ca="1">INDIRECT(ADDRESS(ROW()+1,COLUMN(Arbeitszeit!xDay),,,"Arbeitszeit"))</f>
        <v>1</v>
      </c>
    </row>
    <row r="350" spans="1:52">
      <c r="A350" s="520">
        <f>Arbeitszeit!A351</f>
        <v>43810</v>
      </c>
      <c r="B350" s="521">
        <f t="shared" si="20"/>
        <v>43810</v>
      </c>
      <c r="C350" s="191">
        <f t="shared" si="21"/>
        <v>50</v>
      </c>
      <c r="D350" s="190">
        <f t="shared" si="22"/>
        <v>43799</v>
      </c>
      <c r="E350" s="589">
        <f>Arbeitszeit!V351*24</f>
        <v>0</v>
      </c>
      <c r="F350" s="349">
        <f t="shared" si="23"/>
        <v>0</v>
      </c>
      <c r="G350" s="155">
        <f>IF(Arbeitszeit!F351=Urlaub,B_WorkTime*24,)</f>
        <v>0</v>
      </c>
      <c r="H350" s="153"/>
      <c r="I350" s="155">
        <f>IF(Arbeitszeit!F351=Krank,B_WorkTime*24,)</f>
        <v>0</v>
      </c>
      <c r="J350" s="153"/>
      <c r="K350" s="156"/>
      <c r="L350" s="157"/>
      <c r="M350" s="577"/>
      <c r="N350" s="578"/>
      <c r="O350" s="577"/>
      <c r="P350" s="578"/>
      <c r="Q350" s="577"/>
      <c r="R350" s="578"/>
      <c r="S350" s="577"/>
      <c r="T350" s="578"/>
      <c r="U350" s="577"/>
      <c r="V350" s="578"/>
      <c r="W350" s="577"/>
      <c r="X350" s="578"/>
      <c r="Y350" s="577"/>
      <c r="Z350" s="578"/>
      <c r="AA350" s="577"/>
      <c r="AB350" s="578"/>
      <c r="AC350" s="577"/>
      <c r="AD350" s="578"/>
      <c r="AE350" s="577"/>
      <c r="AF350" s="579"/>
      <c r="AG350" s="577"/>
      <c r="AH350" s="579"/>
      <c r="AI350" s="577"/>
      <c r="AJ350" s="579"/>
      <c r="AK350" s="577"/>
      <c r="AL350" s="579"/>
      <c r="AM350" s="580"/>
      <c r="AN350" s="579"/>
      <c r="AO350" s="577"/>
      <c r="AP350" s="579"/>
      <c r="AQ350" s="580"/>
      <c r="AR350" s="579"/>
      <c r="AS350" s="579"/>
      <c r="AT350" s="579"/>
      <c r="AU350" s="580"/>
      <c r="AV350" s="579"/>
      <c r="AW350" s="579"/>
      <c r="AX350" s="158"/>
      <c r="AY350" s="154"/>
      <c r="AZ350">
        <f ca="1">INDIRECT(ADDRESS(ROW()+1,COLUMN(Arbeitszeit!xDay),,,"Arbeitszeit"))</f>
        <v>2</v>
      </c>
    </row>
    <row r="351" spans="1:52">
      <c r="A351" s="520">
        <f>Arbeitszeit!A352</f>
        <v>43811</v>
      </c>
      <c r="B351" s="521">
        <f t="shared" si="20"/>
        <v>43811</v>
      </c>
      <c r="C351" s="191">
        <f t="shared" si="21"/>
        <v>50</v>
      </c>
      <c r="D351" s="190">
        <f t="shared" si="22"/>
        <v>43799</v>
      </c>
      <c r="E351" s="589">
        <f>Arbeitszeit!V352*24</f>
        <v>0</v>
      </c>
      <c r="F351" s="349">
        <f t="shared" si="23"/>
        <v>0</v>
      </c>
      <c r="G351" s="155">
        <f>IF(Arbeitszeit!F352=Urlaub,B_WorkTime*24,)</f>
        <v>0</v>
      </c>
      <c r="H351" s="153"/>
      <c r="I351" s="155">
        <f>IF(Arbeitszeit!F352=Krank,B_WorkTime*24,)</f>
        <v>0</v>
      </c>
      <c r="J351" s="153"/>
      <c r="K351" s="156"/>
      <c r="L351" s="157"/>
      <c r="M351" s="577"/>
      <c r="N351" s="578"/>
      <c r="O351" s="577"/>
      <c r="P351" s="578"/>
      <c r="Q351" s="577"/>
      <c r="R351" s="578"/>
      <c r="S351" s="577"/>
      <c r="T351" s="578"/>
      <c r="U351" s="577"/>
      <c r="V351" s="578"/>
      <c r="W351" s="577"/>
      <c r="X351" s="578"/>
      <c r="Y351" s="577"/>
      <c r="Z351" s="578"/>
      <c r="AA351" s="577"/>
      <c r="AB351" s="578"/>
      <c r="AC351" s="577"/>
      <c r="AD351" s="578"/>
      <c r="AE351" s="577"/>
      <c r="AF351" s="579"/>
      <c r="AG351" s="577"/>
      <c r="AH351" s="579"/>
      <c r="AI351" s="577"/>
      <c r="AJ351" s="579"/>
      <c r="AK351" s="577"/>
      <c r="AL351" s="579"/>
      <c r="AM351" s="580"/>
      <c r="AN351" s="579"/>
      <c r="AO351" s="577"/>
      <c r="AP351" s="579"/>
      <c r="AQ351" s="580"/>
      <c r="AR351" s="579"/>
      <c r="AS351" s="579"/>
      <c r="AT351" s="579"/>
      <c r="AU351" s="580"/>
      <c r="AV351" s="579"/>
      <c r="AW351" s="579"/>
      <c r="AX351" s="158"/>
      <c r="AY351" s="154"/>
      <c r="AZ351">
        <f ca="1">INDIRECT(ADDRESS(ROW()+1,COLUMN(Arbeitszeit!xDay),,,"Arbeitszeit"))</f>
        <v>3</v>
      </c>
    </row>
    <row r="352" spans="1:52">
      <c r="A352" s="520">
        <f>Arbeitszeit!A353</f>
        <v>43812</v>
      </c>
      <c r="B352" s="521">
        <f t="shared" si="20"/>
        <v>43812</v>
      </c>
      <c r="C352" s="191">
        <f t="shared" si="21"/>
        <v>50</v>
      </c>
      <c r="D352" s="190">
        <f t="shared" si="22"/>
        <v>43799</v>
      </c>
      <c r="E352" s="589">
        <f>Arbeitszeit!V353*24</f>
        <v>0</v>
      </c>
      <c r="F352" s="349">
        <f t="shared" si="23"/>
        <v>0</v>
      </c>
      <c r="G352" s="155">
        <f>IF(Arbeitszeit!F353=Urlaub,B_WorkTime*24,)</f>
        <v>0</v>
      </c>
      <c r="H352" s="153"/>
      <c r="I352" s="155">
        <f>IF(Arbeitszeit!F353=Krank,B_WorkTime*24,)</f>
        <v>0</v>
      </c>
      <c r="J352" s="153"/>
      <c r="K352" s="156"/>
      <c r="L352" s="157"/>
      <c r="M352" s="577"/>
      <c r="N352" s="578"/>
      <c r="O352" s="577"/>
      <c r="P352" s="578"/>
      <c r="Q352" s="577"/>
      <c r="R352" s="578"/>
      <c r="S352" s="577"/>
      <c r="T352" s="578"/>
      <c r="U352" s="577"/>
      <c r="V352" s="578"/>
      <c r="W352" s="577"/>
      <c r="X352" s="578"/>
      <c r="Y352" s="577"/>
      <c r="Z352" s="578"/>
      <c r="AA352" s="577"/>
      <c r="AB352" s="578"/>
      <c r="AC352" s="577"/>
      <c r="AD352" s="578"/>
      <c r="AE352" s="577"/>
      <c r="AF352" s="579"/>
      <c r="AG352" s="577"/>
      <c r="AH352" s="579"/>
      <c r="AI352" s="577"/>
      <c r="AJ352" s="579"/>
      <c r="AK352" s="577"/>
      <c r="AL352" s="579"/>
      <c r="AM352" s="580"/>
      <c r="AN352" s="579"/>
      <c r="AO352" s="577"/>
      <c r="AP352" s="579"/>
      <c r="AQ352" s="580"/>
      <c r="AR352" s="579"/>
      <c r="AS352" s="579"/>
      <c r="AT352" s="579"/>
      <c r="AU352" s="580"/>
      <c r="AV352" s="579"/>
      <c r="AW352" s="579"/>
      <c r="AX352" s="158"/>
      <c r="AY352" s="154"/>
      <c r="AZ352">
        <f ca="1">INDIRECT(ADDRESS(ROW()+1,COLUMN(Arbeitszeit!xDay),,,"Arbeitszeit"))</f>
        <v>4</v>
      </c>
    </row>
    <row r="353" spans="1:52">
      <c r="A353" s="520">
        <f>Arbeitszeit!A354</f>
        <v>43813</v>
      </c>
      <c r="B353" s="521">
        <f t="shared" si="20"/>
        <v>43813</v>
      </c>
      <c r="C353" s="191">
        <f t="shared" si="21"/>
        <v>50</v>
      </c>
      <c r="D353" s="190">
        <f t="shared" si="22"/>
        <v>43799</v>
      </c>
      <c r="E353" s="589">
        <f>Arbeitszeit!V354*24</f>
        <v>0</v>
      </c>
      <c r="F353" s="349">
        <f t="shared" si="23"/>
        <v>0</v>
      </c>
      <c r="G353" s="155">
        <f>IF(Arbeitszeit!F354=Urlaub,B_WorkTime*24,)</f>
        <v>0</v>
      </c>
      <c r="H353" s="153"/>
      <c r="I353" s="155">
        <f>IF(Arbeitszeit!F354=Krank,B_WorkTime*24,)</f>
        <v>0</v>
      </c>
      <c r="J353" s="153"/>
      <c r="K353" s="156"/>
      <c r="L353" s="157"/>
      <c r="M353" s="577"/>
      <c r="N353" s="578"/>
      <c r="O353" s="577"/>
      <c r="P353" s="578"/>
      <c r="Q353" s="577"/>
      <c r="R353" s="578"/>
      <c r="S353" s="577"/>
      <c r="T353" s="578"/>
      <c r="U353" s="577"/>
      <c r="V353" s="578"/>
      <c r="W353" s="577"/>
      <c r="X353" s="578"/>
      <c r="Y353" s="577"/>
      <c r="Z353" s="578"/>
      <c r="AA353" s="577"/>
      <c r="AB353" s="578"/>
      <c r="AC353" s="577"/>
      <c r="AD353" s="578"/>
      <c r="AE353" s="577"/>
      <c r="AF353" s="579"/>
      <c r="AG353" s="577"/>
      <c r="AH353" s="579"/>
      <c r="AI353" s="577"/>
      <c r="AJ353" s="579"/>
      <c r="AK353" s="577"/>
      <c r="AL353" s="579"/>
      <c r="AM353" s="580"/>
      <c r="AN353" s="579"/>
      <c r="AO353" s="577"/>
      <c r="AP353" s="579"/>
      <c r="AQ353" s="580"/>
      <c r="AR353" s="579"/>
      <c r="AS353" s="579"/>
      <c r="AT353" s="579"/>
      <c r="AU353" s="580"/>
      <c r="AV353" s="579"/>
      <c r="AW353" s="579"/>
      <c r="AX353" s="158"/>
      <c r="AY353" s="154"/>
      <c r="AZ353">
        <f ca="1">INDIRECT(ADDRESS(ROW()+1,COLUMN(Arbeitszeit!xDay),,,"Arbeitszeit"))</f>
        <v>5</v>
      </c>
    </row>
    <row r="354" spans="1:52">
      <c r="A354" s="520">
        <f>Arbeitszeit!A355</f>
        <v>43814</v>
      </c>
      <c r="B354" s="521">
        <f t="shared" si="20"/>
        <v>43814</v>
      </c>
      <c r="C354" s="191">
        <f t="shared" si="21"/>
        <v>50</v>
      </c>
      <c r="D354" s="190">
        <f t="shared" si="22"/>
        <v>43799</v>
      </c>
      <c r="E354" s="589">
        <f>Arbeitszeit!V355*24</f>
        <v>0</v>
      </c>
      <c r="F354" s="349">
        <f t="shared" si="23"/>
        <v>0</v>
      </c>
      <c r="G354" s="155">
        <f>IF(Arbeitszeit!F355=Urlaub,B_WorkTime*24,)</f>
        <v>0</v>
      </c>
      <c r="H354" s="153"/>
      <c r="I354" s="155">
        <f>IF(Arbeitszeit!F355=Krank,B_WorkTime*24,)</f>
        <v>0</v>
      </c>
      <c r="J354" s="153"/>
      <c r="K354" s="156"/>
      <c r="L354" s="157"/>
      <c r="M354" s="577"/>
      <c r="N354" s="578"/>
      <c r="O354" s="577"/>
      <c r="P354" s="578"/>
      <c r="Q354" s="577"/>
      <c r="R354" s="578"/>
      <c r="S354" s="577"/>
      <c r="T354" s="578"/>
      <c r="U354" s="577"/>
      <c r="V354" s="578"/>
      <c r="W354" s="577"/>
      <c r="X354" s="578"/>
      <c r="Y354" s="577"/>
      <c r="Z354" s="578"/>
      <c r="AA354" s="577"/>
      <c r="AB354" s="578"/>
      <c r="AC354" s="577"/>
      <c r="AD354" s="578"/>
      <c r="AE354" s="577"/>
      <c r="AF354" s="579"/>
      <c r="AG354" s="577"/>
      <c r="AH354" s="579"/>
      <c r="AI354" s="577"/>
      <c r="AJ354" s="579"/>
      <c r="AK354" s="577"/>
      <c r="AL354" s="579"/>
      <c r="AM354" s="580"/>
      <c r="AN354" s="579"/>
      <c r="AO354" s="577"/>
      <c r="AP354" s="579"/>
      <c r="AQ354" s="580"/>
      <c r="AR354" s="579"/>
      <c r="AS354" s="579"/>
      <c r="AT354" s="579"/>
      <c r="AU354" s="580"/>
      <c r="AV354" s="579"/>
      <c r="AW354" s="579"/>
      <c r="AX354" s="158"/>
      <c r="AY354" s="154"/>
      <c r="AZ354">
        <f ca="1">INDIRECT(ADDRESS(ROW()+1,COLUMN(Arbeitszeit!xDay),,,"Arbeitszeit"))</f>
        <v>6</v>
      </c>
    </row>
    <row r="355" spans="1:52">
      <c r="A355" s="520">
        <f>Arbeitszeit!A356</f>
        <v>43815</v>
      </c>
      <c r="B355" s="521">
        <f t="shared" si="20"/>
        <v>43815</v>
      </c>
      <c r="C355" s="191">
        <f t="shared" si="21"/>
        <v>50</v>
      </c>
      <c r="D355" s="190">
        <f t="shared" si="22"/>
        <v>43799</v>
      </c>
      <c r="E355" s="589">
        <f>Arbeitszeit!V356*24</f>
        <v>0</v>
      </c>
      <c r="F355" s="349">
        <f t="shared" si="23"/>
        <v>0</v>
      </c>
      <c r="G355" s="155">
        <f>IF(Arbeitszeit!F356=Urlaub,B_WorkTime*24,)</f>
        <v>0</v>
      </c>
      <c r="H355" s="153"/>
      <c r="I355" s="155">
        <f>IF(Arbeitszeit!F356=Krank,B_WorkTime*24,)</f>
        <v>0</v>
      </c>
      <c r="J355" s="153"/>
      <c r="K355" s="156"/>
      <c r="L355" s="157"/>
      <c r="M355" s="577"/>
      <c r="N355" s="578"/>
      <c r="O355" s="577"/>
      <c r="P355" s="578"/>
      <c r="Q355" s="577"/>
      <c r="R355" s="578"/>
      <c r="S355" s="577"/>
      <c r="T355" s="578"/>
      <c r="U355" s="577"/>
      <c r="V355" s="578"/>
      <c r="W355" s="577"/>
      <c r="X355" s="578"/>
      <c r="Y355" s="577"/>
      <c r="Z355" s="578"/>
      <c r="AA355" s="577"/>
      <c r="AB355" s="578"/>
      <c r="AC355" s="577"/>
      <c r="AD355" s="578"/>
      <c r="AE355" s="577"/>
      <c r="AF355" s="579"/>
      <c r="AG355" s="577"/>
      <c r="AH355" s="579"/>
      <c r="AI355" s="577"/>
      <c r="AJ355" s="579"/>
      <c r="AK355" s="577"/>
      <c r="AL355" s="579"/>
      <c r="AM355" s="580"/>
      <c r="AN355" s="579"/>
      <c r="AO355" s="577"/>
      <c r="AP355" s="579"/>
      <c r="AQ355" s="580"/>
      <c r="AR355" s="579"/>
      <c r="AS355" s="579"/>
      <c r="AT355" s="579"/>
      <c r="AU355" s="580"/>
      <c r="AV355" s="579"/>
      <c r="AW355" s="579"/>
      <c r="AX355" s="158"/>
      <c r="AY355" s="154"/>
      <c r="AZ355">
        <f ca="1">INDIRECT(ADDRESS(ROW()+1,COLUMN(Arbeitszeit!xDay),,,"Arbeitszeit"))</f>
        <v>7</v>
      </c>
    </row>
    <row r="356" spans="1:52">
      <c r="A356" s="520">
        <f>Arbeitszeit!A357</f>
        <v>43816</v>
      </c>
      <c r="B356" s="521">
        <f t="shared" si="20"/>
        <v>43816</v>
      </c>
      <c r="C356" s="191">
        <f t="shared" si="21"/>
        <v>51</v>
      </c>
      <c r="D356" s="190">
        <f t="shared" si="22"/>
        <v>43799</v>
      </c>
      <c r="E356" s="589">
        <f>Arbeitszeit!V357*24</f>
        <v>0</v>
      </c>
      <c r="F356" s="349">
        <f t="shared" si="23"/>
        <v>0</v>
      </c>
      <c r="G356" s="155">
        <f>IF(Arbeitszeit!F357=Urlaub,B_WorkTime*24,)</f>
        <v>0</v>
      </c>
      <c r="H356" s="153"/>
      <c r="I356" s="155">
        <f>IF(Arbeitszeit!F357=Krank,B_WorkTime*24,)</f>
        <v>0</v>
      </c>
      <c r="J356" s="153"/>
      <c r="K356" s="156"/>
      <c r="L356" s="157"/>
      <c r="M356" s="577"/>
      <c r="N356" s="578"/>
      <c r="O356" s="577"/>
      <c r="P356" s="578"/>
      <c r="Q356" s="577"/>
      <c r="R356" s="578"/>
      <c r="S356" s="577"/>
      <c r="T356" s="578"/>
      <c r="U356" s="577"/>
      <c r="V356" s="578"/>
      <c r="W356" s="577"/>
      <c r="X356" s="578"/>
      <c r="Y356" s="577"/>
      <c r="Z356" s="578"/>
      <c r="AA356" s="577"/>
      <c r="AB356" s="578"/>
      <c r="AC356" s="577"/>
      <c r="AD356" s="578"/>
      <c r="AE356" s="577"/>
      <c r="AF356" s="579"/>
      <c r="AG356" s="577"/>
      <c r="AH356" s="579"/>
      <c r="AI356" s="577"/>
      <c r="AJ356" s="579"/>
      <c r="AK356" s="577"/>
      <c r="AL356" s="579"/>
      <c r="AM356" s="580"/>
      <c r="AN356" s="579"/>
      <c r="AO356" s="577"/>
      <c r="AP356" s="579"/>
      <c r="AQ356" s="580"/>
      <c r="AR356" s="579"/>
      <c r="AS356" s="579"/>
      <c r="AT356" s="579"/>
      <c r="AU356" s="580"/>
      <c r="AV356" s="579"/>
      <c r="AW356" s="579"/>
      <c r="AX356" s="158"/>
      <c r="AY356" s="154"/>
      <c r="AZ356">
        <f ca="1">INDIRECT(ADDRESS(ROW()+1,COLUMN(Arbeitszeit!xDay),,,"Arbeitszeit"))</f>
        <v>1</v>
      </c>
    </row>
    <row r="357" spans="1:52">
      <c r="A357" s="520">
        <f>Arbeitszeit!A358</f>
        <v>43817</v>
      </c>
      <c r="B357" s="521">
        <f t="shared" si="20"/>
        <v>43817</v>
      </c>
      <c r="C357" s="191">
        <f t="shared" si="21"/>
        <v>51</v>
      </c>
      <c r="D357" s="190">
        <f t="shared" si="22"/>
        <v>43799</v>
      </c>
      <c r="E357" s="589">
        <f>Arbeitszeit!V358*24</f>
        <v>0</v>
      </c>
      <c r="F357" s="349">
        <f t="shared" si="23"/>
        <v>0</v>
      </c>
      <c r="G357" s="155">
        <f>IF(Arbeitszeit!F358=Urlaub,B_WorkTime*24,)</f>
        <v>0</v>
      </c>
      <c r="H357" s="153"/>
      <c r="I357" s="155">
        <f>IF(Arbeitszeit!F358=Krank,B_WorkTime*24,)</f>
        <v>0</v>
      </c>
      <c r="J357" s="153"/>
      <c r="K357" s="156"/>
      <c r="L357" s="157"/>
      <c r="M357" s="577"/>
      <c r="N357" s="578"/>
      <c r="O357" s="577"/>
      <c r="P357" s="578"/>
      <c r="Q357" s="577"/>
      <c r="R357" s="578"/>
      <c r="S357" s="577"/>
      <c r="T357" s="578"/>
      <c r="U357" s="577"/>
      <c r="V357" s="578"/>
      <c r="W357" s="577"/>
      <c r="X357" s="578"/>
      <c r="Y357" s="577"/>
      <c r="Z357" s="578"/>
      <c r="AA357" s="577"/>
      <c r="AB357" s="578"/>
      <c r="AC357" s="577"/>
      <c r="AD357" s="578"/>
      <c r="AE357" s="577"/>
      <c r="AF357" s="579"/>
      <c r="AG357" s="577"/>
      <c r="AH357" s="579"/>
      <c r="AI357" s="577"/>
      <c r="AJ357" s="579"/>
      <c r="AK357" s="577"/>
      <c r="AL357" s="579"/>
      <c r="AM357" s="580"/>
      <c r="AN357" s="579"/>
      <c r="AO357" s="577"/>
      <c r="AP357" s="579"/>
      <c r="AQ357" s="580"/>
      <c r="AR357" s="579"/>
      <c r="AS357" s="579"/>
      <c r="AT357" s="579"/>
      <c r="AU357" s="580"/>
      <c r="AV357" s="579"/>
      <c r="AW357" s="579"/>
      <c r="AX357" s="158"/>
      <c r="AY357" s="154"/>
      <c r="AZ357">
        <f ca="1">INDIRECT(ADDRESS(ROW()+1,COLUMN(Arbeitszeit!xDay),,,"Arbeitszeit"))</f>
        <v>2</v>
      </c>
    </row>
    <row r="358" spans="1:52">
      <c r="A358" s="520">
        <f>Arbeitszeit!A359</f>
        <v>43818</v>
      </c>
      <c r="B358" s="521">
        <f t="shared" si="20"/>
        <v>43818</v>
      </c>
      <c r="C358" s="191">
        <f t="shared" si="21"/>
        <v>51</v>
      </c>
      <c r="D358" s="190">
        <f t="shared" si="22"/>
        <v>43799</v>
      </c>
      <c r="E358" s="589">
        <f>Arbeitszeit!V359*24</f>
        <v>0</v>
      </c>
      <c r="F358" s="349">
        <f t="shared" si="23"/>
        <v>0</v>
      </c>
      <c r="G358" s="155">
        <f>IF(Arbeitszeit!F359=Urlaub,B_WorkTime*24,)</f>
        <v>0</v>
      </c>
      <c r="H358" s="153"/>
      <c r="I358" s="155">
        <f>IF(Arbeitszeit!F359=Krank,B_WorkTime*24,)</f>
        <v>0</v>
      </c>
      <c r="J358" s="153"/>
      <c r="K358" s="156"/>
      <c r="L358" s="157"/>
      <c r="M358" s="577"/>
      <c r="N358" s="578"/>
      <c r="O358" s="577"/>
      <c r="P358" s="578"/>
      <c r="Q358" s="577"/>
      <c r="R358" s="578"/>
      <c r="S358" s="577"/>
      <c r="T358" s="578"/>
      <c r="U358" s="577"/>
      <c r="V358" s="578"/>
      <c r="W358" s="577"/>
      <c r="X358" s="578"/>
      <c r="Y358" s="577"/>
      <c r="Z358" s="578"/>
      <c r="AA358" s="577"/>
      <c r="AB358" s="578"/>
      <c r="AC358" s="577"/>
      <c r="AD358" s="578"/>
      <c r="AE358" s="577"/>
      <c r="AF358" s="579"/>
      <c r="AG358" s="577"/>
      <c r="AH358" s="579"/>
      <c r="AI358" s="577"/>
      <c r="AJ358" s="579"/>
      <c r="AK358" s="577"/>
      <c r="AL358" s="579"/>
      <c r="AM358" s="580"/>
      <c r="AN358" s="579"/>
      <c r="AO358" s="577"/>
      <c r="AP358" s="579"/>
      <c r="AQ358" s="580"/>
      <c r="AR358" s="579"/>
      <c r="AS358" s="579"/>
      <c r="AT358" s="579"/>
      <c r="AU358" s="580"/>
      <c r="AV358" s="579"/>
      <c r="AW358" s="579"/>
      <c r="AX358" s="158"/>
      <c r="AY358" s="154"/>
      <c r="AZ358">
        <f ca="1">INDIRECT(ADDRESS(ROW()+1,COLUMN(Arbeitszeit!xDay),,,"Arbeitszeit"))</f>
        <v>3</v>
      </c>
    </row>
    <row r="359" spans="1:52">
      <c r="A359" s="520">
        <f>Arbeitszeit!A360</f>
        <v>43819</v>
      </c>
      <c r="B359" s="521">
        <f t="shared" si="20"/>
        <v>43819</v>
      </c>
      <c r="C359" s="191">
        <f t="shared" si="21"/>
        <v>51</v>
      </c>
      <c r="D359" s="190">
        <f t="shared" si="22"/>
        <v>43799</v>
      </c>
      <c r="E359" s="589">
        <f>Arbeitszeit!V360*24</f>
        <v>0</v>
      </c>
      <c r="F359" s="349">
        <f t="shared" si="23"/>
        <v>0</v>
      </c>
      <c r="G359" s="155">
        <f>IF(Arbeitszeit!F360=Urlaub,B_WorkTime*24,)</f>
        <v>0</v>
      </c>
      <c r="H359" s="153"/>
      <c r="I359" s="155">
        <f>IF(Arbeitszeit!F360=Krank,B_WorkTime*24,)</f>
        <v>0</v>
      </c>
      <c r="J359" s="153"/>
      <c r="K359" s="156"/>
      <c r="L359" s="157"/>
      <c r="M359" s="577"/>
      <c r="N359" s="578"/>
      <c r="O359" s="577"/>
      <c r="P359" s="578"/>
      <c r="Q359" s="577"/>
      <c r="R359" s="578"/>
      <c r="S359" s="577"/>
      <c r="T359" s="578"/>
      <c r="U359" s="577"/>
      <c r="V359" s="578"/>
      <c r="W359" s="577"/>
      <c r="X359" s="578"/>
      <c r="Y359" s="577"/>
      <c r="Z359" s="578"/>
      <c r="AA359" s="577"/>
      <c r="AB359" s="578"/>
      <c r="AC359" s="577"/>
      <c r="AD359" s="578"/>
      <c r="AE359" s="577"/>
      <c r="AF359" s="579"/>
      <c r="AG359" s="577"/>
      <c r="AH359" s="579"/>
      <c r="AI359" s="577"/>
      <c r="AJ359" s="579"/>
      <c r="AK359" s="577"/>
      <c r="AL359" s="579"/>
      <c r="AM359" s="580"/>
      <c r="AN359" s="579"/>
      <c r="AO359" s="577"/>
      <c r="AP359" s="579"/>
      <c r="AQ359" s="580"/>
      <c r="AR359" s="579"/>
      <c r="AS359" s="579"/>
      <c r="AT359" s="579"/>
      <c r="AU359" s="580"/>
      <c r="AV359" s="579"/>
      <c r="AW359" s="579"/>
      <c r="AX359" s="158"/>
      <c r="AY359" s="154"/>
      <c r="AZ359">
        <f ca="1">INDIRECT(ADDRESS(ROW()+1,COLUMN(Arbeitszeit!xDay),,,"Arbeitszeit"))</f>
        <v>4</v>
      </c>
    </row>
    <row r="360" spans="1:52">
      <c r="A360" s="520">
        <f>Arbeitszeit!A361</f>
        <v>43820</v>
      </c>
      <c r="B360" s="521">
        <f t="shared" si="20"/>
        <v>43820</v>
      </c>
      <c r="C360" s="191">
        <f t="shared" si="21"/>
        <v>51</v>
      </c>
      <c r="D360" s="190">
        <f t="shared" si="22"/>
        <v>43799</v>
      </c>
      <c r="E360" s="589">
        <f>Arbeitszeit!V361*24</f>
        <v>0</v>
      </c>
      <c r="F360" s="349">
        <f t="shared" si="23"/>
        <v>0</v>
      </c>
      <c r="G360" s="155">
        <f>IF(Arbeitszeit!F361=Urlaub,B_WorkTime*24,)</f>
        <v>0</v>
      </c>
      <c r="H360" s="153"/>
      <c r="I360" s="155">
        <f>IF(Arbeitszeit!F361=Krank,B_WorkTime*24,)</f>
        <v>0</v>
      </c>
      <c r="J360" s="153"/>
      <c r="K360" s="156"/>
      <c r="L360" s="157"/>
      <c r="M360" s="577"/>
      <c r="N360" s="578"/>
      <c r="O360" s="577"/>
      <c r="P360" s="578"/>
      <c r="Q360" s="577"/>
      <c r="R360" s="578"/>
      <c r="S360" s="577"/>
      <c r="T360" s="578"/>
      <c r="U360" s="577"/>
      <c r="V360" s="578"/>
      <c r="W360" s="577"/>
      <c r="X360" s="578"/>
      <c r="Y360" s="577"/>
      <c r="Z360" s="578"/>
      <c r="AA360" s="577"/>
      <c r="AB360" s="578"/>
      <c r="AC360" s="577"/>
      <c r="AD360" s="578"/>
      <c r="AE360" s="577"/>
      <c r="AF360" s="579"/>
      <c r="AG360" s="577"/>
      <c r="AH360" s="579"/>
      <c r="AI360" s="577"/>
      <c r="AJ360" s="579"/>
      <c r="AK360" s="577"/>
      <c r="AL360" s="579"/>
      <c r="AM360" s="580"/>
      <c r="AN360" s="579"/>
      <c r="AO360" s="577"/>
      <c r="AP360" s="579"/>
      <c r="AQ360" s="580"/>
      <c r="AR360" s="579"/>
      <c r="AS360" s="579"/>
      <c r="AT360" s="579"/>
      <c r="AU360" s="580"/>
      <c r="AV360" s="579"/>
      <c r="AW360" s="579"/>
      <c r="AX360" s="158"/>
      <c r="AY360" s="154"/>
      <c r="AZ360">
        <f ca="1">INDIRECT(ADDRESS(ROW()+1,COLUMN(Arbeitszeit!xDay),,,"Arbeitszeit"))</f>
        <v>5</v>
      </c>
    </row>
    <row r="361" spans="1:52">
      <c r="A361" s="520">
        <f>Arbeitszeit!A362</f>
        <v>43821</v>
      </c>
      <c r="B361" s="521">
        <f t="shared" si="20"/>
        <v>43821</v>
      </c>
      <c r="C361" s="191">
        <f t="shared" si="21"/>
        <v>51</v>
      </c>
      <c r="D361" s="190">
        <f t="shared" si="22"/>
        <v>43799</v>
      </c>
      <c r="E361" s="589">
        <f>Arbeitszeit!V362*24</f>
        <v>0</v>
      </c>
      <c r="F361" s="349">
        <f t="shared" si="23"/>
        <v>0</v>
      </c>
      <c r="G361" s="155">
        <f>IF(Arbeitszeit!F362=Urlaub,B_WorkTime*24,)</f>
        <v>0</v>
      </c>
      <c r="H361" s="153"/>
      <c r="I361" s="155">
        <f>IF(Arbeitszeit!F362=Krank,B_WorkTime*24,)</f>
        <v>0</v>
      </c>
      <c r="J361" s="153"/>
      <c r="K361" s="156"/>
      <c r="L361" s="157"/>
      <c r="M361" s="577"/>
      <c r="N361" s="578"/>
      <c r="O361" s="577"/>
      <c r="P361" s="578"/>
      <c r="Q361" s="577"/>
      <c r="R361" s="578"/>
      <c r="S361" s="577"/>
      <c r="T361" s="578"/>
      <c r="U361" s="577"/>
      <c r="V361" s="578"/>
      <c r="W361" s="577"/>
      <c r="X361" s="578"/>
      <c r="Y361" s="577"/>
      <c r="Z361" s="578"/>
      <c r="AA361" s="577"/>
      <c r="AB361" s="578"/>
      <c r="AC361" s="577"/>
      <c r="AD361" s="578"/>
      <c r="AE361" s="577"/>
      <c r="AF361" s="579"/>
      <c r="AG361" s="577"/>
      <c r="AH361" s="579"/>
      <c r="AI361" s="577"/>
      <c r="AJ361" s="579"/>
      <c r="AK361" s="577"/>
      <c r="AL361" s="579"/>
      <c r="AM361" s="580"/>
      <c r="AN361" s="579"/>
      <c r="AO361" s="577"/>
      <c r="AP361" s="579"/>
      <c r="AQ361" s="580"/>
      <c r="AR361" s="579"/>
      <c r="AS361" s="579"/>
      <c r="AT361" s="579"/>
      <c r="AU361" s="580"/>
      <c r="AV361" s="579"/>
      <c r="AW361" s="579"/>
      <c r="AX361" s="158"/>
      <c r="AY361" s="154"/>
      <c r="AZ361">
        <f ca="1">INDIRECT(ADDRESS(ROW()+1,COLUMN(Arbeitszeit!xDay),,,"Arbeitszeit"))</f>
        <v>6</v>
      </c>
    </row>
    <row r="362" spans="1:52">
      <c r="A362" s="520">
        <f>Arbeitszeit!A363</f>
        <v>43822</v>
      </c>
      <c r="B362" s="521">
        <f t="shared" si="20"/>
        <v>43822</v>
      </c>
      <c r="C362" s="191">
        <f t="shared" si="21"/>
        <v>51</v>
      </c>
      <c r="D362" s="190">
        <f t="shared" si="22"/>
        <v>43799</v>
      </c>
      <c r="E362" s="589">
        <f>Arbeitszeit!V363*24</f>
        <v>0</v>
      </c>
      <c r="F362" s="349">
        <f t="shared" si="23"/>
        <v>0</v>
      </c>
      <c r="G362" s="155">
        <f>IF(Arbeitszeit!F363=Urlaub,B_WorkTime*24,)</f>
        <v>0</v>
      </c>
      <c r="H362" s="153"/>
      <c r="I362" s="155">
        <f>IF(Arbeitszeit!F363=Krank,B_WorkTime*24,)</f>
        <v>0</v>
      </c>
      <c r="J362" s="153"/>
      <c r="K362" s="156"/>
      <c r="L362" s="157"/>
      <c r="M362" s="577"/>
      <c r="N362" s="578"/>
      <c r="O362" s="577"/>
      <c r="P362" s="578"/>
      <c r="Q362" s="577"/>
      <c r="R362" s="578"/>
      <c r="S362" s="577"/>
      <c r="T362" s="578"/>
      <c r="U362" s="577"/>
      <c r="V362" s="578"/>
      <c r="W362" s="577"/>
      <c r="X362" s="578"/>
      <c r="Y362" s="577"/>
      <c r="Z362" s="578"/>
      <c r="AA362" s="577"/>
      <c r="AB362" s="578"/>
      <c r="AC362" s="577"/>
      <c r="AD362" s="578"/>
      <c r="AE362" s="577"/>
      <c r="AF362" s="579"/>
      <c r="AG362" s="577"/>
      <c r="AH362" s="579"/>
      <c r="AI362" s="577"/>
      <c r="AJ362" s="579"/>
      <c r="AK362" s="577"/>
      <c r="AL362" s="579"/>
      <c r="AM362" s="580"/>
      <c r="AN362" s="579"/>
      <c r="AO362" s="577"/>
      <c r="AP362" s="579"/>
      <c r="AQ362" s="580"/>
      <c r="AR362" s="579"/>
      <c r="AS362" s="579"/>
      <c r="AT362" s="579"/>
      <c r="AU362" s="580"/>
      <c r="AV362" s="579"/>
      <c r="AW362" s="579"/>
      <c r="AX362" s="158"/>
      <c r="AY362" s="154"/>
      <c r="AZ362">
        <f ca="1">INDIRECT(ADDRESS(ROW()+1,COLUMN(Arbeitszeit!xDay),,,"Arbeitszeit"))</f>
        <v>7</v>
      </c>
    </row>
    <row r="363" spans="1:52">
      <c r="A363" s="520">
        <f>Arbeitszeit!A364</f>
        <v>43823</v>
      </c>
      <c r="B363" s="521">
        <f t="shared" si="20"/>
        <v>43823</v>
      </c>
      <c r="C363" s="191">
        <f t="shared" si="21"/>
        <v>52</v>
      </c>
      <c r="D363" s="190">
        <f t="shared" si="22"/>
        <v>43799</v>
      </c>
      <c r="E363" s="589">
        <f>Arbeitszeit!V364*24</f>
        <v>0</v>
      </c>
      <c r="F363" s="349">
        <f t="shared" si="23"/>
        <v>0</v>
      </c>
      <c r="G363" s="155">
        <f>IF(Arbeitszeit!F364=Urlaub,B_WorkTime*24,)</f>
        <v>0</v>
      </c>
      <c r="H363" s="153"/>
      <c r="I363" s="155">
        <f>IF(Arbeitszeit!F364=Krank,B_WorkTime*24,)</f>
        <v>0</v>
      </c>
      <c r="J363" s="153"/>
      <c r="K363" s="156"/>
      <c r="L363" s="157"/>
      <c r="M363" s="577"/>
      <c r="N363" s="578"/>
      <c r="O363" s="577"/>
      <c r="P363" s="578"/>
      <c r="Q363" s="577"/>
      <c r="R363" s="578"/>
      <c r="S363" s="577"/>
      <c r="T363" s="578"/>
      <c r="U363" s="577"/>
      <c r="V363" s="578"/>
      <c r="W363" s="577"/>
      <c r="X363" s="578"/>
      <c r="Y363" s="577"/>
      <c r="Z363" s="578"/>
      <c r="AA363" s="577"/>
      <c r="AB363" s="578"/>
      <c r="AC363" s="577"/>
      <c r="AD363" s="578"/>
      <c r="AE363" s="577"/>
      <c r="AF363" s="579"/>
      <c r="AG363" s="577"/>
      <c r="AH363" s="579"/>
      <c r="AI363" s="577"/>
      <c r="AJ363" s="579"/>
      <c r="AK363" s="577"/>
      <c r="AL363" s="579"/>
      <c r="AM363" s="580"/>
      <c r="AN363" s="579"/>
      <c r="AO363" s="577"/>
      <c r="AP363" s="579"/>
      <c r="AQ363" s="580"/>
      <c r="AR363" s="579"/>
      <c r="AS363" s="579"/>
      <c r="AT363" s="579"/>
      <c r="AU363" s="580"/>
      <c r="AV363" s="579"/>
      <c r="AW363" s="579"/>
      <c r="AX363" s="158"/>
      <c r="AY363" s="154"/>
      <c r="AZ363">
        <f ca="1">INDIRECT(ADDRESS(ROW()+1,COLUMN(Arbeitszeit!xDay),,,"Arbeitszeit"))</f>
        <v>8</v>
      </c>
    </row>
    <row r="364" spans="1:52">
      <c r="A364" s="520">
        <f>Arbeitszeit!A365</f>
        <v>43824</v>
      </c>
      <c r="B364" s="521">
        <f t="shared" si="20"/>
        <v>43824</v>
      </c>
      <c r="C364" s="191">
        <f t="shared" si="21"/>
        <v>52</v>
      </c>
      <c r="D364" s="190">
        <f t="shared" si="22"/>
        <v>43799</v>
      </c>
      <c r="E364" s="589">
        <f>Arbeitszeit!V365*24</f>
        <v>0</v>
      </c>
      <c r="F364" s="349">
        <f t="shared" si="23"/>
        <v>0</v>
      </c>
      <c r="G364" s="155">
        <f>IF(Arbeitszeit!F365=Urlaub,B_WorkTime*24,)</f>
        <v>0</v>
      </c>
      <c r="H364" s="153"/>
      <c r="I364" s="155">
        <f>IF(Arbeitszeit!F365=Krank,B_WorkTime*24,)</f>
        <v>0</v>
      </c>
      <c r="J364" s="153"/>
      <c r="K364" s="156"/>
      <c r="L364" s="157"/>
      <c r="M364" s="577"/>
      <c r="N364" s="578"/>
      <c r="O364" s="577"/>
      <c r="P364" s="578"/>
      <c r="Q364" s="577"/>
      <c r="R364" s="578"/>
      <c r="S364" s="577"/>
      <c r="T364" s="578"/>
      <c r="U364" s="577"/>
      <c r="V364" s="578"/>
      <c r="W364" s="577"/>
      <c r="X364" s="578"/>
      <c r="Y364" s="577"/>
      <c r="Z364" s="578"/>
      <c r="AA364" s="577"/>
      <c r="AB364" s="578"/>
      <c r="AC364" s="577"/>
      <c r="AD364" s="578"/>
      <c r="AE364" s="577"/>
      <c r="AF364" s="579"/>
      <c r="AG364" s="577"/>
      <c r="AH364" s="579"/>
      <c r="AI364" s="577"/>
      <c r="AJ364" s="579"/>
      <c r="AK364" s="577"/>
      <c r="AL364" s="579"/>
      <c r="AM364" s="580"/>
      <c r="AN364" s="579"/>
      <c r="AO364" s="577"/>
      <c r="AP364" s="579"/>
      <c r="AQ364" s="580"/>
      <c r="AR364" s="579"/>
      <c r="AS364" s="579"/>
      <c r="AT364" s="579"/>
      <c r="AU364" s="580"/>
      <c r="AV364" s="579"/>
      <c r="AW364" s="579"/>
      <c r="AX364" s="158"/>
      <c r="AY364" s="154"/>
      <c r="AZ364">
        <f ca="1">INDIRECT(ADDRESS(ROW()+1,COLUMN(Arbeitszeit!xDay),,,"Arbeitszeit"))</f>
        <v>8</v>
      </c>
    </row>
    <row r="365" spans="1:52">
      <c r="A365" s="520">
        <f>Arbeitszeit!A366</f>
        <v>43825</v>
      </c>
      <c r="B365" s="521">
        <f t="shared" si="20"/>
        <v>43825</v>
      </c>
      <c r="C365" s="191">
        <f t="shared" si="21"/>
        <v>52</v>
      </c>
      <c r="D365" s="190">
        <f t="shared" si="22"/>
        <v>43799</v>
      </c>
      <c r="E365" s="589">
        <f>Arbeitszeit!V366*24</f>
        <v>0</v>
      </c>
      <c r="F365" s="349">
        <f t="shared" si="23"/>
        <v>0</v>
      </c>
      <c r="G365" s="155">
        <f>IF(Arbeitszeit!F366=Urlaub,B_WorkTime*24,)</f>
        <v>0</v>
      </c>
      <c r="H365" s="153"/>
      <c r="I365" s="155">
        <f>IF(Arbeitszeit!F366=Krank,B_WorkTime*24,)</f>
        <v>0</v>
      </c>
      <c r="J365" s="153"/>
      <c r="K365" s="156"/>
      <c r="L365" s="157"/>
      <c r="M365" s="577"/>
      <c r="N365" s="578"/>
      <c r="O365" s="577"/>
      <c r="P365" s="578"/>
      <c r="Q365" s="577"/>
      <c r="R365" s="578"/>
      <c r="S365" s="577"/>
      <c r="T365" s="578"/>
      <c r="U365" s="577"/>
      <c r="V365" s="578"/>
      <c r="W365" s="577"/>
      <c r="X365" s="578"/>
      <c r="Y365" s="577"/>
      <c r="Z365" s="578"/>
      <c r="AA365" s="577"/>
      <c r="AB365" s="578"/>
      <c r="AC365" s="577"/>
      <c r="AD365" s="578"/>
      <c r="AE365" s="577"/>
      <c r="AF365" s="579"/>
      <c r="AG365" s="577"/>
      <c r="AH365" s="579"/>
      <c r="AI365" s="577"/>
      <c r="AJ365" s="579"/>
      <c r="AK365" s="577"/>
      <c r="AL365" s="579"/>
      <c r="AM365" s="580"/>
      <c r="AN365" s="579"/>
      <c r="AO365" s="577"/>
      <c r="AP365" s="579"/>
      <c r="AQ365" s="580"/>
      <c r="AR365" s="579"/>
      <c r="AS365" s="579"/>
      <c r="AT365" s="579"/>
      <c r="AU365" s="580"/>
      <c r="AV365" s="579"/>
      <c r="AW365" s="579"/>
      <c r="AX365" s="158"/>
      <c r="AY365" s="154"/>
      <c r="AZ365">
        <f ca="1">INDIRECT(ADDRESS(ROW()+1,COLUMN(Arbeitszeit!xDay),,,"Arbeitszeit"))</f>
        <v>3</v>
      </c>
    </row>
    <row r="366" spans="1:52">
      <c r="A366" s="520">
        <f>Arbeitszeit!A367</f>
        <v>43826</v>
      </c>
      <c r="B366" s="521">
        <f t="shared" si="20"/>
        <v>43826</v>
      </c>
      <c r="C366" s="191">
        <f t="shared" si="21"/>
        <v>52</v>
      </c>
      <c r="D366" s="190">
        <f t="shared" si="22"/>
        <v>43799</v>
      </c>
      <c r="E366" s="589">
        <f>Arbeitszeit!V367*24</f>
        <v>0</v>
      </c>
      <c r="F366" s="349">
        <f t="shared" si="23"/>
        <v>0</v>
      </c>
      <c r="G366" s="155">
        <f>IF(Arbeitszeit!F367=Urlaub,B_WorkTime*24,)</f>
        <v>0</v>
      </c>
      <c r="H366" s="153"/>
      <c r="I366" s="155">
        <f>IF(Arbeitszeit!F367=Krank,B_WorkTime*24,)</f>
        <v>0</v>
      </c>
      <c r="J366" s="153"/>
      <c r="K366" s="156"/>
      <c r="L366" s="157"/>
      <c r="M366" s="577"/>
      <c r="N366" s="578"/>
      <c r="O366" s="577"/>
      <c r="P366" s="578"/>
      <c r="Q366" s="577"/>
      <c r="R366" s="578"/>
      <c r="S366" s="577"/>
      <c r="T366" s="578"/>
      <c r="U366" s="577"/>
      <c r="V366" s="578"/>
      <c r="W366" s="577"/>
      <c r="X366" s="578"/>
      <c r="Y366" s="577"/>
      <c r="Z366" s="578"/>
      <c r="AA366" s="577"/>
      <c r="AB366" s="578"/>
      <c r="AC366" s="577"/>
      <c r="AD366" s="578"/>
      <c r="AE366" s="577"/>
      <c r="AF366" s="579"/>
      <c r="AG366" s="577"/>
      <c r="AH366" s="579"/>
      <c r="AI366" s="577"/>
      <c r="AJ366" s="579"/>
      <c r="AK366" s="577"/>
      <c r="AL366" s="579"/>
      <c r="AM366" s="580"/>
      <c r="AN366" s="579"/>
      <c r="AO366" s="577"/>
      <c r="AP366" s="579"/>
      <c r="AQ366" s="580"/>
      <c r="AR366" s="579"/>
      <c r="AS366" s="579"/>
      <c r="AT366" s="579"/>
      <c r="AU366" s="580"/>
      <c r="AV366" s="579"/>
      <c r="AW366" s="579"/>
      <c r="AX366" s="158"/>
      <c r="AY366" s="154"/>
      <c r="AZ366">
        <f ca="1">INDIRECT(ADDRESS(ROW()+1,COLUMN(Arbeitszeit!xDay),,,"Arbeitszeit"))</f>
        <v>4</v>
      </c>
    </row>
    <row r="367" spans="1:52">
      <c r="A367" s="520">
        <f>Arbeitszeit!A368</f>
        <v>43827</v>
      </c>
      <c r="B367" s="521">
        <f t="shared" si="20"/>
        <v>43827</v>
      </c>
      <c r="C367" s="191">
        <f t="shared" si="21"/>
        <v>52</v>
      </c>
      <c r="D367" s="190">
        <f t="shared" si="22"/>
        <v>43799</v>
      </c>
      <c r="E367" s="589">
        <f>Arbeitszeit!V368*24</f>
        <v>0</v>
      </c>
      <c r="F367" s="349">
        <f t="shared" si="23"/>
        <v>0</v>
      </c>
      <c r="G367" s="155">
        <f>IF(Arbeitszeit!F368=Urlaub,B_WorkTime*24,)</f>
        <v>0</v>
      </c>
      <c r="H367" s="153"/>
      <c r="I367" s="155">
        <f>IF(Arbeitszeit!F368=Krank,B_WorkTime*24,)</f>
        <v>0</v>
      </c>
      <c r="J367" s="153"/>
      <c r="K367" s="156"/>
      <c r="L367" s="157"/>
      <c r="M367" s="577"/>
      <c r="N367" s="578"/>
      <c r="O367" s="577"/>
      <c r="P367" s="578"/>
      <c r="Q367" s="577"/>
      <c r="R367" s="578"/>
      <c r="S367" s="577"/>
      <c r="T367" s="578"/>
      <c r="U367" s="577"/>
      <c r="V367" s="578"/>
      <c r="W367" s="577"/>
      <c r="X367" s="578"/>
      <c r="Y367" s="577"/>
      <c r="Z367" s="578"/>
      <c r="AA367" s="577"/>
      <c r="AB367" s="578"/>
      <c r="AC367" s="577"/>
      <c r="AD367" s="578"/>
      <c r="AE367" s="577"/>
      <c r="AF367" s="579"/>
      <c r="AG367" s="577"/>
      <c r="AH367" s="579"/>
      <c r="AI367" s="577"/>
      <c r="AJ367" s="579"/>
      <c r="AK367" s="577"/>
      <c r="AL367" s="579"/>
      <c r="AM367" s="580"/>
      <c r="AN367" s="579"/>
      <c r="AO367" s="577"/>
      <c r="AP367" s="579"/>
      <c r="AQ367" s="580"/>
      <c r="AR367" s="579"/>
      <c r="AS367" s="579"/>
      <c r="AT367" s="579"/>
      <c r="AU367" s="580"/>
      <c r="AV367" s="579"/>
      <c r="AW367" s="579"/>
      <c r="AX367" s="158"/>
      <c r="AY367" s="154"/>
      <c r="AZ367">
        <f ca="1">INDIRECT(ADDRESS(ROW()+1,COLUMN(Arbeitszeit!xDay),,,"Arbeitszeit"))</f>
        <v>5</v>
      </c>
    </row>
    <row r="368" spans="1:52">
      <c r="A368" s="520">
        <f>Arbeitszeit!A369</f>
        <v>43828</v>
      </c>
      <c r="B368" s="521">
        <f t="shared" si="20"/>
        <v>43828</v>
      </c>
      <c r="C368" s="191">
        <f t="shared" si="21"/>
        <v>52</v>
      </c>
      <c r="D368" s="190">
        <f t="shared" si="22"/>
        <v>43799</v>
      </c>
      <c r="E368" s="589">
        <f>Arbeitszeit!V369*24</f>
        <v>0</v>
      </c>
      <c r="F368" s="349">
        <f t="shared" si="23"/>
        <v>0</v>
      </c>
      <c r="G368" s="155">
        <f>IF(Arbeitszeit!F369=Urlaub,B_WorkTime*24,)</f>
        <v>0</v>
      </c>
      <c r="H368" s="153"/>
      <c r="I368" s="155">
        <f>IF(Arbeitszeit!F369=Krank,B_WorkTime*24,)</f>
        <v>0</v>
      </c>
      <c r="J368" s="153"/>
      <c r="K368" s="156"/>
      <c r="L368" s="157"/>
      <c r="M368" s="577"/>
      <c r="N368" s="578"/>
      <c r="O368" s="577"/>
      <c r="P368" s="578"/>
      <c r="Q368" s="577"/>
      <c r="R368" s="578"/>
      <c r="S368" s="577"/>
      <c r="T368" s="578"/>
      <c r="U368" s="577"/>
      <c r="V368" s="578"/>
      <c r="W368" s="577"/>
      <c r="X368" s="578"/>
      <c r="Y368" s="577"/>
      <c r="Z368" s="578"/>
      <c r="AA368" s="577"/>
      <c r="AB368" s="578"/>
      <c r="AC368" s="577"/>
      <c r="AD368" s="578"/>
      <c r="AE368" s="577"/>
      <c r="AF368" s="579"/>
      <c r="AG368" s="577"/>
      <c r="AH368" s="579"/>
      <c r="AI368" s="577"/>
      <c r="AJ368" s="579"/>
      <c r="AK368" s="577"/>
      <c r="AL368" s="579"/>
      <c r="AM368" s="580"/>
      <c r="AN368" s="579"/>
      <c r="AO368" s="577"/>
      <c r="AP368" s="579"/>
      <c r="AQ368" s="580"/>
      <c r="AR368" s="579"/>
      <c r="AS368" s="579"/>
      <c r="AT368" s="579"/>
      <c r="AU368" s="580"/>
      <c r="AV368" s="579"/>
      <c r="AW368" s="579"/>
      <c r="AX368" s="158"/>
      <c r="AY368" s="154"/>
      <c r="AZ368">
        <f ca="1">INDIRECT(ADDRESS(ROW()+1,COLUMN(Arbeitszeit!xDay),,,"Arbeitszeit"))</f>
        <v>6</v>
      </c>
    </row>
    <row r="369" spans="1:52">
      <c r="A369" s="520">
        <f>Arbeitszeit!A370</f>
        <v>43829</v>
      </c>
      <c r="B369" s="521">
        <f t="shared" si="20"/>
        <v>43829</v>
      </c>
      <c r="C369" s="191">
        <f t="shared" si="21"/>
        <v>52</v>
      </c>
      <c r="D369" s="190">
        <f t="shared" si="22"/>
        <v>43799</v>
      </c>
      <c r="E369" s="589">
        <f>Arbeitszeit!V370*24</f>
        <v>0</v>
      </c>
      <c r="F369" s="349">
        <f t="shared" si="23"/>
        <v>0</v>
      </c>
      <c r="G369" s="155">
        <f>IF(Arbeitszeit!F370=Urlaub,B_WorkTime*24,)</f>
        <v>0</v>
      </c>
      <c r="H369" s="153"/>
      <c r="I369" s="155">
        <f>IF(Arbeitszeit!F370=Krank,B_WorkTime*24,)</f>
        <v>0</v>
      </c>
      <c r="J369" s="153"/>
      <c r="K369" s="156"/>
      <c r="L369" s="157"/>
      <c r="M369" s="577"/>
      <c r="N369" s="578"/>
      <c r="O369" s="577"/>
      <c r="P369" s="578"/>
      <c r="Q369" s="577"/>
      <c r="R369" s="578"/>
      <c r="S369" s="577"/>
      <c r="T369" s="578"/>
      <c r="U369" s="577"/>
      <c r="V369" s="578"/>
      <c r="W369" s="577"/>
      <c r="X369" s="578"/>
      <c r="Y369" s="577"/>
      <c r="Z369" s="578"/>
      <c r="AA369" s="577"/>
      <c r="AB369" s="578"/>
      <c r="AC369" s="577"/>
      <c r="AD369" s="578"/>
      <c r="AE369" s="577"/>
      <c r="AF369" s="579"/>
      <c r="AG369" s="577"/>
      <c r="AH369" s="579"/>
      <c r="AI369" s="577"/>
      <c r="AJ369" s="579"/>
      <c r="AK369" s="577"/>
      <c r="AL369" s="579"/>
      <c r="AM369" s="580"/>
      <c r="AN369" s="579"/>
      <c r="AO369" s="577"/>
      <c r="AP369" s="579"/>
      <c r="AQ369" s="580"/>
      <c r="AR369" s="579"/>
      <c r="AS369" s="579"/>
      <c r="AT369" s="579"/>
      <c r="AU369" s="580"/>
      <c r="AV369" s="579"/>
      <c r="AW369" s="579"/>
      <c r="AX369" s="158"/>
      <c r="AY369" s="154"/>
      <c r="AZ369">
        <f ca="1">INDIRECT(ADDRESS(ROW()+1,COLUMN(Arbeitszeit!xDay),,,"Arbeitszeit"))</f>
        <v>7</v>
      </c>
    </row>
    <row r="370" spans="1:52" ht="15" customHeight="1">
      <c r="A370" s="520" t="str">
        <f>Arbeitszeit!A371</f>
        <v/>
      </c>
      <c r="B370" s="521" t="str">
        <f t="shared" si="20"/>
        <v/>
      </c>
      <c r="C370" s="191" t="str">
        <f t="shared" si="21"/>
        <v/>
      </c>
      <c r="D370" s="190" t="str">
        <f t="shared" si="22"/>
        <v/>
      </c>
      <c r="E370" s="589">
        <f>Arbeitszeit!V371*24</f>
        <v>0</v>
      </c>
      <c r="F370" s="349">
        <f t="shared" si="23"/>
        <v>0</v>
      </c>
      <c r="G370" s="155">
        <f>IF(Arbeitszeit!F371=Urlaub,B_WorkTime*24,)</f>
        <v>0</v>
      </c>
      <c r="H370" s="153"/>
      <c r="I370" s="155">
        <f>IF(Arbeitszeit!F371=Krank,B_WorkTime*24,)</f>
        <v>0</v>
      </c>
      <c r="J370" s="153"/>
      <c r="K370" s="156"/>
      <c r="L370" s="157"/>
      <c r="M370" s="577"/>
      <c r="N370" s="578"/>
      <c r="O370" s="577"/>
      <c r="P370" s="578"/>
      <c r="Q370" s="577"/>
      <c r="R370" s="578"/>
      <c r="S370" s="577"/>
      <c r="T370" s="578"/>
      <c r="U370" s="577"/>
      <c r="V370" s="578"/>
      <c r="W370" s="577"/>
      <c r="X370" s="578"/>
      <c r="Y370" s="577"/>
      <c r="Z370" s="578"/>
      <c r="AA370" s="577"/>
      <c r="AB370" s="578"/>
      <c r="AC370" s="577"/>
      <c r="AD370" s="578"/>
      <c r="AE370" s="577"/>
      <c r="AF370" s="579"/>
      <c r="AG370" s="577"/>
      <c r="AH370" s="579"/>
      <c r="AI370" s="577"/>
      <c r="AJ370" s="579"/>
      <c r="AK370" s="577"/>
      <c r="AL370" s="579"/>
      <c r="AM370" s="580"/>
      <c r="AN370" s="579"/>
      <c r="AO370" s="577"/>
      <c r="AP370" s="579"/>
      <c r="AQ370" s="580"/>
      <c r="AR370" s="579"/>
      <c r="AS370" s="579"/>
      <c r="AT370" s="579"/>
      <c r="AU370" s="580"/>
      <c r="AV370" s="579"/>
      <c r="AW370" s="579"/>
      <c r="AX370" s="158"/>
      <c r="AY370" s="154"/>
      <c r="AZ370">
        <f ca="1">INDIRECT(ADDRESS(ROW()+1,COLUMN(Arbeitszeit!xDay),,,"Arbeitszeit"))</f>
        <v>0</v>
      </c>
    </row>
    <row r="371" spans="1:52" ht="15" customHeight="1">
      <c r="A371" s="520" t="str">
        <f>Arbeitszeit!A372</f>
        <v/>
      </c>
      <c r="B371" s="521" t="str">
        <f t="shared" si="20"/>
        <v/>
      </c>
      <c r="C371" s="191" t="str">
        <f t="shared" si="21"/>
        <v/>
      </c>
      <c r="D371" s="190" t="str">
        <f t="shared" si="22"/>
        <v/>
      </c>
      <c r="E371" s="589">
        <f>Arbeitszeit!V372*24</f>
        <v>0</v>
      </c>
      <c r="F371" s="349">
        <f t="shared" si="23"/>
        <v>0</v>
      </c>
      <c r="G371" s="155">
        <f>IF(Arbeitszeit!F372=Urlaub,B_WorkTime*24,)</f>
        <v>0</v>
      </c>
      <c r="H371" s="153"/>
      <c r="I371" s="155">
        <f>IF(Arbeitszeit!F372=Krank,B_WorkTime*24,)</f>
        <v>0</v>
      </c>
      <c r="J371" s="153"/>
      <c r="K371" s="156"/>
      <c r="L371" s="157"/>
      <c r="M371" s="577"/>
      <c r="N371" s="578"/>
      <c r="O371" s="577"/>
      <c r="P371" s="578"/>
      <c r="Q371" s="577"/>
      <c r="R371" s="578"/>
      <c r="S371" s="577"/>
      <c r="T371" s="578"/>
      <c r="U371" s="577"/>
      <c r="V371" s="578"/>
      <c r="W371" s="577"/>
      <c r="X371" s="578"/>
      <c r="Y371" s="577"/>
      <c r="Z371" s="578"/>
      <c r="AA371" s="577"/>
      <c r="AB371" s="578"/>
      <c r="AC371" s="577"/>
      <c r="AD371" s="578"/>
      <c r="AE371" s="577"/>
      <c r="AF371" s="579"/>
      <c r="AG371" s="577"/>
      <c r="AH371" s="579"/>
      <c r="AI371" s="577"/>
      <c r="AJ371" s="579"/>
      <c r="AK371" s="577"/>
      <c r="AL371" s="579"/>
      <c r="AM371" s="580"/>
      <c r="AN371" s="579"/>
      <c r="AO371" s="577"/>
      <c r="AP371" s="579"/>
      <c r="AQ371" s="580"/>
      <c r="AR371" s="579"/>
      <c r="AS371" s="579"/>
      <c r="AT371" s="579"/>
      <c r="AU371" s="580"/>
      <c r="AV371" s="579"/>
      <c r="AW371" s="579"/>
      <c r="AX371" s="158"/>
      <c r="AY371" s="154"/>
      <c r="AZ371">
        <f ca="1">INDIRECT(ADDRESS(ROW()+1,COLUMN(Arbeitszeit!xDay),,,"Arbeitszeit"))</f>
        <v>0</v>
      </c>
    </row>
    <row r="372" spans="1:52">
      <c r="A372" s="520" t="str">
        <f>Arbeitszeit!A373</f>
        <v/>
      </c>
      <c r="B372" s="521" t="str">
        <f t="shared" si="20"/>
        <v/>
      </c>
      <c r="C372" s="191" t="str">
        <f t="shared" si="21"/>
        <v/>
      </c>
      <c r="D372" s="190" t="str">
        <f t="shared" si="22"/>
        <v/>
      </c>
      <c r="E372" s="589">
        <f>Arbeitszeit!V373*24</f>
        <v>0</v>
      </c>
      <c r="F372" s="349">
        <f t="shared" si="23"/>
        <v>0</v>
      </c>
      <c r="G372" s="155">
        <f>IF(Arbeitszeit!F373=Urlaub,B_WorkTime*24,)</f>
        <v>0</v>
      </c>
      <c r="H372" s="153"/>
      <c r="I372" s="155">
        <f>IF(Arbeitszeit!F373=Krank,B_WorkTime*24,)</f>
        <v>0</v>
      </c>
      <c r="J372" s="153"/>
      <c r="K372" s="156"/>
      <c r="L372" s="157"/>
      <c r="M372" s="577"/>
      <c r="N372" s="578"/>
      <c r="O372" s="577"/>
      <c r="P372" s="578"/>
      <c r="Q372" s="577"/>
      <c r="R372" s="578"/>
      <c r="S372" s="577"/>
      <c r="T372" s="578"/>
      <c r="U372" s="577"/>
      <c r="V372" s="578"/>
      <c r="W372" s="577"/>
      <c r="X372" s="578"/>
      <c r="Y372" s="577"/>
      <c r="Z372" s="578"/>
      <c r="AA372" s="577"/>
      <c r="AB372" s="578"/>
      <c r="AC372" s="577"/>
      <c r="AD372" s="578"/>
      <c r="AE372" s="577"/>
      <c r="AF372" s="579"/>
      <c r="AG372" s="577"/>
      <c r="AH372" s="579"/>
      <c r="AI372" s="577"/>
      <c r="AJ372" s="579"/>
      <c r="AK372" s="577"/>
      <c r="AL372" s="579"/>
      <c r="AM372" s="580"/>
      <c r="AN372" s="579"/>
      <c r="AO372" s="577"/>
      <c r="AP372" s="579"/>
      <c r="AQ372" s="580"/>
      <c r="AR372" s="579"/>
      <c r="AS372" s="579"/>
      <c r="AT372" s="579"/>
      <c r="AU372" s="580"/>
      <c r="AV372" s="579"/>
      <c r="AW372" s="579"/>
      <c r="AX372" s="158"/>
      <c r="AY372" s="154"/>
      <c r="AZ372">
        <f ca="1">INDIRECT(ADDRESS(ROW()+1,COLUMN(Arbeitszeit!xDay),,,"Arbeitszeit"))</f>
        <v>0</v>
      </c>
    </row>
    <row r="373" spans="1:52" ht="6" customHeight="1">
      <c r="E373" s="590"/>
      <c r="F373" s="160"/>
      <c r="G373" s="161"/>
      <c r="H373" s="161"/>
      <c r="I373" s="161"/>
      <c r="J373" s="161"/>
      <c r="K373" s="162"/>
      <c r="L373" s="356"/>
      <c r="M373" s="583"/>
      <c r="N373" s="584"/>
      <c r="O373" s="584"/>
      <c r="P373" s="584"/>
      <c r="Q373" s="584"/>
      <c r="R373" s="584"/>
      <c r="S373" s="584"/>
      <c r="T373" s="584"/>
      <c r="U373" s="584"/>
      <c r="V373" s="584"/>
      <c r="W373" s="584"/>
      <c r="X373" s="584"/>
      <c r="Y373" s="584"/>
      <c r="Z373" s="584"/>
      <c r="AA373" s="584"/>
      <c r="AB373" s="584"/>
      <c r="AC373" s="583"/>
      <c r="AD373" s="584"/>
      <c r="AE373" s="584"/>
      <c r="AF373" s="585"/>
      <c r="AG373" s="584"/>
      <c r="AH373" s="585"/>
      <c r="AI373" s="584"/>
      <c r="AJ373" s="585"/>
      <c r="AK373" s="584"/>
      <c r="AL373" s="585"/>
      <c r="AM373" s="586"/>
      <c r="AN373" s="585"/>
      <c r="AO373" s="584"/>
      <c r="AP373" s="585"/>
      <c r="AQ373" s="586"/>
      <c r="AR373" s="585"/>
      <c r="AS373" s="585"/>
      <c r="AT373" s="585"/>
      <c r="AU373" s="586"/>
      <c r="AV373" s="585"/>
      <c r="AW373" s="585"/>
      <c r="AX373" s="163"/>
      <c r="AY373" s="164"/>
    </row>
    <row r="374" spans="1:52" s="10" customFormat="1">
      <c r="A374" s="390" t="s">
        <v>52</v>
      </c>
      <c r="B374" s="391"/>
      <c r="C374" s="391"/>
      <c r="D374" s="391"/>
      <c r="E374" s="591">
        <f>SUBTOTAL(9,E4:E373)</f>
        <v>0</v>
      </c>
      <c r="F374" s="392">
        <f>SUBTOTAL(9,F4:F373)</f>
        <v>0</v>
      </c>
      <c r="G374" s="392">
        <f>SUBTOTAL(9,G4:G373)</f>
        <v>0</v>
      </c>
      <c r="H374" s="392"/>
      <c r="I374" s="392">
        <f>SUBTOTAL(9,I4:I373)</f>
        <v>0</v>
      </c>
      <c r="J374" s="392"/>
      <c r="K374" s="392">
        <f>SUBTOTAL(9,K4:K373)</f>
        <v>0</v>
      </c>
      <c r="L374" s="392">
        <f t="shared" ref="L374:AW374" si="24">SUBTOTAL(9,L4:L373)</f>
        <v>0</v>
      </c>
      <c r="M374" s="587">
        <f t="shared" si="24"/>
        <v>0</v>
      </c>
      <c r="N374" s="587"/>
      <c r="O374" s="587">
        <f t="shared" si="24"/>
        <v>0</v>
      </c>
      <c r="P374" s="587"/>
      <c r="Q374" s="587">
        <f t="shared" si="24"/>
        <v>0</v>
      </c>
      <c r="R374" s="587"/>
      <c r="S374" s="587">
        <f t="shared" si="24"/>
        <v>0</v>
      </c>
      <c r="T374" s="587"/>
      <c r="U374" s="587">
        <f t="shared" si="24"/>
        <v>0</v>
      </c>
      <c r="V374" s="587"/>
      <c r="W374" s="587">
        <f t="shared" si="24"/>
        <v>0</v>
      </c>
      <c r="X374" s="587"/>
      <c r="Y374" s="587">
        <f t="shared" si="24"/>
        <v>0</v>
      </c>
      <c r="Z374" s="587"/>
      <c r="AA374" s="587">
        <f t="shared" si="24"/>
        <v>0</v>
      </c>
      <c r="AB374" s="587"/>
      <c r="AC374" s="587">
        <f t="shared" si="24"/>
        <v>0</v>
      </c>
      <c r="AD374" s="587"/>
      <c r="AE374" s="587">
        <f t="shared" si="24"/>
        <v>0</v>
      </c>
      <c r="AF374" s="587"/>
      <c r="AG374" s="587">
        <f t="shared" si="24"/>
        <v>0</v>
      </c>
      <c r="AH374" s="587"/>
      <c r="AI374" s="587">
        <f t="shared" si="24"/>
        <v>0</v>
      </c>
      <c r="AJ374" s="587"/>
      <c r="AK374" s="587">
        <f t="shared" si="24"/>
        <v>0</v>
      </c>
      <c r="AL374" s="587"/>
      <c r="AM374" s="587">
        <f t="shared" si="24"/>
        <v>0</v>
      </c>
      <c r="AN374" s="587"/>
      <c r="AO374" s="587">
        <f t="shared" si="24"/>
        <v>0</v>
      </c>
      <c r="AP374" s="587"/>
      <c r="AQ374" s="587">
        <f t="shared" si="24"/>
        <v>0</v>
      </c>
      <c r="AR374" s="587"/>
      <c r="AS374" s="587">
        <f t="shared" si="24"/>
        <v>0</v>
      </c>
      <c r="AT374" s="587"/>
      <c r="AU374" s="587">
        <f t="shared" si="24"/>
        <v>0</v>
      </c>
      <c r="AV374" s="587"/>
      <c r="AW374" s="587">
        <f t="shared" si="24"/>
        <v>0</v>
      </c>
      <c r="AX374" s="393"/>
      <c r="AY374" s="394"/>
    </row>
    <row r="375" spans="1:52">
      <c r="A375" s="395" t="s">
        <v>53</v>
      </c>
      <c r="B375" s="396"/>
      <c r="C375" s="396"/>
      <c r="D375" s="396"/>
      <c r="E375" s="592"/>
    </row>
  </sheetData>
  <autoFilter ref="A3:AY372" xr:uid="{00000000-0009-0000-0000-000003000000}"/>
  <mergeCells count="3">
    <mergeCell ref="D1:E1"/>
    <mergeCell ref="A1:B1"/>
    <mergeCell ref="A2:F2"/>
  </mergeCells>
  <phoneticPr fontId="0" type="noConversion"/>
  <conditionalFormatting sqref="A5:D372 O5:AZ372 N5:N304 N306:N372 M5:M320 M322:M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BC11" sqref="BC11"/>
    </sheetView>
  </sheetViews>
  <sheetFormatPr defaultColWidth="11.5703125" defaultRowHeight="12.75" outlineLevelCol="1"/>
  <cols>
    <col min="1" max="1" width="10.5703125" customWidth="1"/>
    <col min="2" max="2" width="6.140625" customWidth="1"/>
    <col min="3" max="3" width="4.85546875" customWidth="1"/>
    <col min="4" max="4" width="9" customWidth="1"/>
    <col min="5" max="5" width="19.5703125" style="314"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20" width="6"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8.7109375" customWidth="1"/>
    <col min="54" max="54" width="7.140625" hidden="1" customWidth="1"/>
    <col min="55" max="55" width="30.7109375" customWidth="1"/>
  </cols>
  <sheetData>
    <row r="1" spans="1:55">
      <c r="D1" s="4" t="s">
        <v>95</v>
      </c>
      <c r="E1" s="326" t="str">
        <f>B_PersonName</f>
        <v>Mustermann</v>
      </c>
      <c r="H1" s="4" t="s">
        <v>96</v>
      </c>
      <c r="I1" t="str">
        <f>B_Department</f>
        <v>Siemens</v>
      </c>
      <c r="U1" s="4" t="s">
        <v>201</v>
      </c>
      <c r="V1" s="2" t="str">
        <f>B_Pers</f>
        <v>999999</v>
      </c>
    </row>
    <row r="2" spans="1:55" ht="13.5" thickBot="1">
      <c r="A2" s="309" t="str">
        <f ca="1">CELL("filename",A2)</f>
        <v>D:\_pdata\GLAZ\andi\[vGlaz2023.xlsm]Arbeitszeit</v>
      </c>
      <c r="B2" s="141"/>
      <c r="C2" s="120"/>
      <c r="E2" s="327"/>
    </row>
    <row r="3" spans="1:55" ht="14.25" thickTop="1" thickBot="1">
      <c r="A3" s="311">
        <f>DATE(YEAR(B_Year),MONTH(B_Year),1)</f>
        <v>43465</v>
      </c>
      <c r="B3" s="311" t="s">
        <v>144</v>
      </c>
      <c r="C3" s="673">
        <f>MAX(db_jZeit)</f>
        <v>43829</v>
      </c>
      <c r="D3" s="674"/>
      <c r="E3" s="328"/>
      <c r="F3" s="310" t="s">
        <v>230</v>
      </c>
      <c r="V3" s="48"/>
      <c r="X3" s="226">
        <f>B_Pause1Dauer+B_Pause2Dauer+B_WalkTime</f>
        <v>4.027777777777778E-2</v>
      </c>
      <c r="AC3" s="227">
        <f>B_OverTime</f>
        <v>0</v>
      </c>
      <c r="AD3" s="324">
        <f>B_WorkTimeMax</f>
        <v>0.41666666666666669</v>
      </c>
      <c r="AF3" s="124"/>
      <c r="AG3" s="124"/>
      <c r="AH3" s="630" t="s">
        <v>232</v>
      </c>
      <c r="AI3" s="111" t="s">
        <v>231</v>
      </c>
    </row>
    <row r="4" spans="1:55" ht="24.75" customHeight="1" thickBot="1">
      <c r="A4" s="228" t="s">
        <v>176</v>
      </c>
      <c r="B4" s="229" t="s">
        <v>41</v>
      </c>
      <c r="C4" s="229" t="s">
        <v>22</v>
      </c>
      <c r="D4" s="230" t="s">
        <v>180</v>
      </c>
      <c r="E4" s="231" t="s">
        <v>97</v>
      </c>
      <c r="F4" s="232" t="s">
        <v>98</v>
      </c>
      <c r="G4" s="233" t="s">
        <v>177</v>
      </c>
      <c r="H4" s="240" t="s">
        <v>35</v>
      </c>
      <c r="I4" s="240" t="s">
        <v>199</v>
      </c>
      <c r="J4" s="597" t="s">
        <v>214</v>
      </c>
      <c r="K4" s="240" t="s">
        <v>36</v>
      </c>
      <c r="L4" s="240" t="s">
        <v>198</v>
      </c>
      <c r="M4" s="597" t="s">
        <v>215</v>
      </c>
      <c r="N4" s="555" t="s">
        <v>196</v>
      </c>
      <c r="O4" s="555" t="s">
        <v>197</v>
      </c>
      <c r="P4" s="240"/>
      <c r="Q4" s="597" t="s">
        <v>216</v>
      </c>
      <c r="R4" s="486" t="s">
        <v>77</v>
      </c>
      <c r="S4" s="486" t="s">
        <v>223</v>
      </c>
      <c r="T4" s="486" t="s">
        <v>224</v>
      </c>
      <c r="U4" s="487" t="s">
        <v>76</v>
      </c>
      <c r="V4" s="234" t="s">
        <v>101</v>
      </c>
      <c r="W4" s="234" t="s">
        <v>134</v>
      </c>
      <c r="X4" s="235" t="s">
        <v>172</v>
      </c>
      <c r="Y4" s="236" t="s">
        <v>102</v>
      </c>
      <c r="Z4" s="236" t="s">
        <v>185</v>
      </c>
      <c r="AA4" s="237" t="s">
        <v>103</v>
      </c>
      <c r="AB4" s="238" t="s">
        <v>179</v>
      </c>
      <c r="AC4" s="239" t="s">
        <v>178</v>
      </c>
      <c r="AD4" s="236" t="str">
        <f>"&gt; "&amp; HOUR(B_WorkTimeMax) &amp;" Std"</f>
        <v>&gt; 10 Std</v>
      </c>
      <c r="AE4" s="245" t="s">
        <v>127</v>
      </c>
      <c r="AF4" s="679" t="s">
        <v>25</v>
      </c>
      <c r="AG4" s="680"/>
      <c r="AH4" s="597"/>
      <c r="AI4" s="629" t="s">
        <v>195</v>
      </c>
      <c r="AJ4" s="241" t="s">
        <v>104</v>
      </c>
      <c r="AK4" s="242" t="s">
        <v>105</v>
      </c>
      <c r="AL4" s="242" t="s">
        <v>106</v>
      </c>
      <c r="AM4" s="243" t="s">
        <v>24</v>
      </c>
      <c r="AN4" s="244" t="str">
        <f>"sum "&amp;AD4</f>
        <v>sum &gt; 10 Std</v>
      </c>
      <c r="AO4" s="244" t="s">
        <v>183</v>
      </c>
      <c r="AP4" s="244" t="s">
        <v>188</v>
      </c>
      <c r="AQ4" s="244" t="s">
        <v>115</v>
      </c>
      <c r="AR4" s="244" t="s">
        <v>114</v>
      </c>
      <c r="AS4" s="244" t="s">
        <v>182</v>
      </c>
      <c r="AT4" s="244" t="s">
        <v>184</v>
      </c>
      <c r="AU4" s="244" t="s">
        <v>186</v>
      </c>
      <c r="AV4" s="244" t="s">
        <v>187</v>
      </c>
      <c r="AY4" s="601" t="s">
        <v>217</v>
      </c>
      <c r="AZ4" s="486" t="s">
        <v>218</v>
      </c>
      <c r="BA4" s="486" t="s">
        <v>239</v>
      </c>
      <c r="BB4" s="486" t="s">
        <v>245</v>
      </c>
      <c r="BC4" s="486" t="s">
        <v>236</v>
      </c>
    </row>
    <row r="5" spans="1:55" ht="12.75" customHeight="1">
      <c r="A5" s="301">
        <f>A6-1</f>
        <v>43464</v>
      </c>
      <c r="B5" s="302"/>
      <c r="C5" s="303"/>
      <c r="D5" s="304" t="str">
        <f>IF(A5="","",IF(YEAR(xJahr)=YEAR(A5),DATE(YEAR(A5),MONTH(A5),1),""))</f>
        <v/>
      </c>
      <c r="E5" s="421" t="s">
        <v>129</v>
      </c>
      <c r="F5" s="422"/>
      <c r="G5" s="423" t="str">
        <f>IF(ISBLANK(F5),IF(ISBLANK(H5),"",0),CODE(UPPER(F5)))</f>
        <v/>
      </c>
      <c r="H5" s="424"/>
      <c r="I5" s="424"/>
      <c r="J5" s="424"/>
      <c r="K5" s="424"/>
      <c r="L5" s="424"/>
      <c r="M5" s="424">
        <f>IF(L5&lt;K5,L5+1,L5)</f>
        <v>0</v>
      </c>
      <c r="N5" s="425"/>
      <c r="O5" s="425">
        <f>IF(N5&gt;0,N5+IF((J5-H5+M5-K5)&lt;Y5,Y5-(J5-H5+M5-K5),TIME(0,10,0))+IF((K5-J5+N5-M5)&gt;xNoWorkTime,0,xNoWorkTime-(K5-J5+N5-M5)),0)</f>
        <v>0</v>
      </c>
      <c r="P5" s="425"/>
      <c r="Q5" s="424">
        <f>IF(O5&lt;N5,O5+1,O5)</f>
        <v>0</v>
      </c>
      <c r="R5" s="425"/>
      <c r="S5" s="425"/>
      <c r="T5" s="425"/>
      <c r="U5" s="425"/>
      <c r="V5" s="426">
        <f>IF(AM5&lt;Feiertag,IF(F5="S",Z5,(IF((R5-U5)&gt;XWorkTimeMax,XWorkTimeMax,IF((R5-U5)&gt;0,R5-U5,0)))),0)</f>
        <v>0</v>
      </c>
      <c r="W5" s="427"/>
      <c r="X5" s="428">
        <f>xNoWorkTime</f>
        <v>4.027777777777778E-2</v>
      </c>
      <c r="Y5" s="429"/>
      <c r="Z5" s="430"/>
      <c r="AA5" s="431"/>
      <c r="AB5" s="432" t="str">
        <f>IF(AM5=Feiertag,"",IF((V5-Y5)&lt;0,"*",""))</f>
        <v/>
      </c>
      <c r="AC5" s="433">
        <f>xOverTime</f>
        <v>0</v>
      </c>
      <c r="AD5" s="434" t="str">
        <f>IF((R5-U5)&gt;XWorkTimeMax,(R5-U5-XWorkTimeMax),"")</f>
        <v/>
      </c>
      <c r="AE5" s="225">
        <f>xVorjahrSaldo+SUM(AA5)-AF5</f>
        <v>0</v>
      </c>
      <c r="AF5" s="434"/>
      <c r="AG5" s="434"/>
      <c r="AH5" s="434"/>
      <c r="AI5" s="434"/>
      <c r="AJ5" s="434">
        <f>IF(ISNUMBER(V5 ), IF( V5 &gt;= Y5, Y5, V5 ),"")</f>
        <v>0</v>
      </c>
      <c r="AK5" s="434">
        <f>IF( ISNUMBER( V5 ), IF( V5 &gt;= Y5, V5 - Y5, "" ), "" )</f>
        <v>0</v>
      </c>
      <c r="AL5" s="434" t="str">
        <f>IF( AND(ISNUMBER( V5 ),ISNUMBER( Y5 )), IF( V5 &gt;= Y5, "", Y5 - V5 ), "" )</f>
        <v/>
      </c>
      <c r="AM5" s="434">
        <f>IF(A5="",0,IF(ISERROR(VLOOKUP(A5,db_Feiertag,2,FALSE)),WEEKDAY(A5,2),Feiertag))</f>
        <v>6</v>
      </c>
      <c r="AN5" s="434"/>
      <c r="AO5" s="434">
        <f>xVorjahrSaldo</f>
        <v>0</v>
      </c>
      <c r="AP5" s="434">
        <f>IF(OR(G5=-1,G5=82),-1,IF(OR(G5=0,G5=83),1,0))</f>
        <v>0</v>
      </c>
      <c r="AQ5" s="434"/>
      <c r="AR5" s="434"/>
      <c r="AS5" s="434">
        <f>$A$378</f>
        <v>0</v>
      </c>
      <c r="AT5" s="434">
        <f>$A$378</f>
        <v>0</v>
      </c>
      <c r="AU5" s="434"/>
      <c r="AV5" s="434"/>
      <c r="AW5" s="434"/>
      <c r="AX5" s="434" t="b">
        <f ca="1">INDIRECT(ADDRESS(ROW(),COLUMN(xDay)))&gt;5</f>
        <v>1</v>
      </c>
      <c r="AY5" s="434">
        <f>AE5</f>
        <v>0</v>
      </c>
      <c r="AZ5" s="225">
        <f>AE5</f>
        <v>0</v>
      </c>
      <c r="BA5" s="427"/>
      <c r="BB5" s="427">
        <f>IF(ISNA(MATCH(BA5,B_Arbeitsort,0)),0,MATCH(BA5,B_Arbeitsort,0))</f>
        <v>0</v>
      </c>
      <c r="BC5" s="427"/>
    </row>
    <row r="6" spans="1:55" ht="15.75">
      <c r="A6" s="305">
        <f>xJahr</f>
        <v>43465</v>
      </c>
      <c r="B6" s="306">
        <f>IF(A6="","",A6)</f>
        <v>43465</v>
      </c>
      <c r="C6" s="307">
        <f>IF(A6="","",NumberOfWeek(A6))</f>
        <v>52</v>
      </c>
      <c r="D6" s="308">
        <f>IF(A6="","",DATE(YEAR(A6),MONTH(A6),1))</f>
        <v>43465</v>
      </c>
      <c r="E6" s="318" t="str">
        <f>IF((R6-U6)&gt;XWorkTimeMax,$Z$4,IF(AV6=Feiertag,VLOOKUP(B6,db_Feiertag,2,FALSE),""))</f>
        <v>Neujahr</v>
      </c>
      <c r="F6" s="5"/>
      <c r="G6" s="6" t="str">
        <f>IF(ISBLANK(F6),IF(ISBLANK(H6),"",0),CODE(UPPER(F6)))</f>
        <v/>
      </c>
      <c r="H6" s="7"/>
      <c r="I6" s="7">
        <f>IF(H6&gt;0,H6+Y6+X6+AC6,0)</f>
        <v>0</v>
      </c>
      <c r="J6" s="113">
        <f>IF(K6&gt;I6,IF(I6&lt;H6,I6+1,I6)-B_WalkTime,IF(I6&lt;H6,I6+1,I6))</f>
        <v>0</v>
      </c>
      <c r="K6" s="7"/>
      <c r="L6" s="7">
        <f>IF(K6&gt;0,K6+IF((J6-H6)&lt;Y6,Y6-(J6-H6),TIME(0,10,0))+IF((K6-J6)&gt;xNoWorkTime,0,xNoWorkTime-(K6-J6)),0)</f>
        <v>0</v>
      </c>
      <c r="M6" s="113">
        <f>IF(L6&lt;K6,L6+1,L6)</f>
        <v>0</v>
      </c>
      <c r="N6" s="113"/>
      <c r="O6" s="113">
        <f>IF(N6&gt;0,N6+IF((J6-H6+M6-K6)&lt;Y6,Y6-(J6-H6+M6-K6),TIME(0,10,0))+IF((K6-J6+N6-M6)&gt;xNoWorkTime,0,xNoWorkTime-(K6-J6+N6-M6)),0)</f>
        <v>0</v>
      </c>
      <c r="P6" s="113"/>
      <c r="Q6" s="113">
        <f>IF(O6&lt;N6,O6+1,O6)</f>
        <v>0</v>
      </c>
      <c r="R6" s="113">
        <f>J6-H6+M6-K6+Q6-N6</f>
        <v>0</v>
      </c>
      <c r="S6" s="113">
        <f>IF(K6&gt;0,K6-I6,0)+IF(N6&gt;0,N6-L6)</f>
        <v>0</v>
      </c>
      <c r="T6" s="113">
        <f>IF(H6&gt;0,(IF(R6&gt;B_Pause1Nach,B_Pause1Dauer+IF(BA6="Büro",B_WalkTime,0),IF(BA6="Büro",B_WalkTime,0))+IF(R6&gt;B_Pause2Nach,B_Pause2Dauer,0)),0)</f>
        <v>0</v>
      </c>
      <c r="U6" s="113">
        <f>IF(T6&gt;S6,T6-S6,0)</f>
        <v>0</v>
      </c>
      <c r="V6" s="146">
        <f>IF(F6="S",Z6,(IF((R6-U6)&gt;XWorkTimeMax,XWorkTimeMax,IF((R6-U6)&gt;0,R6-U6,0))))</f>
        <v>0</v>
      </c>
      <c r="W6" s="66"/>
      <c r="X6" s="115">
        <f>xNoWorkTime</f>
        <v>4.027777777777778E-2</v>
      </c>
      <c r="Y6" s="110">
        <f>IF(AND((AM6&lt;Feiertag),(G6&lt;&gt;85)),IF(OR(F6="B",F6="G",F6="S",H6&gt;0),H6-H6+Z6,0),0)</f>
        <v>0</v>
      </c>
      <c r="Z6" s="111" t="str">
        <f>IF(AND(AM6&gt;0,AM6&lt;Feiertag),INDEX(Arbeitszeit,AM6),"")</f>
        <v/>
      </c>
      <c r="AA6" s="112">
        <f>V6-Y6</f>
        <v>0</v>
      </c>
      <c r="AB6" s="67" t="str">
        <f>IF((V6-Y6)&lt;0,"*","")</f>
        <v/>
      </c>
      <c r="AC6" s="193">
        <f>xOverTime</f>
        <v>0</v>
      </c>
      <c r="AD6" s="144" t="str">
        <f>IF((R6-U6)&gt;XWorkTimeMax,(R6-U6-XWorkTimeMax),"")</f>
        <v/>
      </c>
      <c r="AE6" s="225">
        <f>IF(AW6,(AE5+SUM(AA6)+(IF(AG6="+",AF6,-AF6))),)</f>
        <v>0</v>
      </c>
      <c r="AF6" s="110"/>
      <c r="AG6" s="627"/>
      <c r="AH6" s="110"/>
      <c r="AI6" s="110" t="str">
        <f>IF(AND(AF6&lt;&gt;"",AF6&lt;=V6),V6-AF6,"")</f>
        <v/>
      </c>
      <c r="AJ6" s="718">
        <f>IF(ISNUMBER(V6 ), IF( V6 &gt;= Y6, Y6, V6 ),"")</f>
        <v>0</v>
      </c>
      <c r="AK6" s="718">
        <f>IF( ISNUMBER( V6 ), IF( V6 &gt;= Y6, V6 - Y6, "" ), "" )</f>
        <v>0</v>
      </c>
      <c r="AL6" s="718" t="str">
        <f>IF( AND(ISNUMBER( V6 ),ISNUMBER( Y6 )), IF( V6 &gt;= Y6, "", Y6 - V6 ), "" )</f>
        <v/>
      </c>
      <c r="AM6" s="719">
        <f>IF(A6="",0,IF(ISERROR(VLOOKUP(A6,db_Feiertag,2,FALSE)),WEEKDAY(A6,2),Feiertag))</f>
        <v>8</v>
      </c>
      <c r="AN6" s="122">
        <f>SUM($AD$5:AD7)</f>
        <v>0</v>
      </c>
      <c r="AO6" s="122">
        <f ca="1">IF(D6=D5,AO5,OFFSET(AO6,-1,COLUMN(db_jSaldoGes)-COLUMN()))</f>
        <v>0</v>
      </c>
      <c r="AP6" s="126">
        <f>IF(OR($G6=-1,$G6=82),-1,IF(OR($G6=0,$G6=83),1,0))</f>
        <v>0</v>
      </c>
      <c r="AQ6" s="126">
        <f>IF($F6=Krank,1,IF($F6="J",-1,0))</f>
        <v>0</v>
      </c>
      <c r="AR6" s="126">
        <f>IF($F6=Urlaub,1,IF($F6="T",-1,0))</f>
        <v>0</v>
      </c>
      <c r="AS6" s="125">
        <f>IF(A6="","",AS5-IF(F6=Urlaub,1,0)+IF(AND(MONTH(A6)=1,DAY(A6)=1),B_UrlaubNeu,0))</f>
        <v>30</v>
      </c>
      <c r="AT6" s="125">
        <f ca="1">IF(A6="","",IF(D6=D5,AT5,OFFSET(AT6,-1,COLUMN(db_jUrlRest)-COLUMN()))+IF(AND(MONTH(A6)=1,DAY(A6)=1),B_UrlaubNeu,0))</f>
        <v>30</v>
      </c>
      <c r="AU6" s="135">
        <f>(IF(ISNUMBER(V6),V6,0)+IF(ISNUMBER(AD6),AD6,0))*24</f>
        <v>0</v>
      </c>
      <c r="AV6" s="125">
        <f>IF(ISNUMBER(AD6),K_ArbeitOverMax,IF(AND(ISNUMBER(AA6),AA6&gt;0),K_ArbeitOverTime,IF(AND(ISNUMBER(V6),V6&gt;0),K_ArbeitNormal,IF(F6=Krank,K_Krank,IF(F6=Urlaub,K_Urlaub,IF(AM6=Feiertag,K_Feiertag,IF(OR(AM6=6,AM6=7),K_Wochenende,0)))))))+IF(F6=Gleittag,K_Gleittag,0)</f>
        <v>8</v>
      </c>
      <c r="AW6" s="719" t="b">
        <f>OR((F6&gt;0),(NOT(ISBLANK(H6))),SUM(H6:H$373),SUM(G6:G$373))</f>
        <v>0</v>
      </c>
      <c r="AX6" s="719" t="b">
        <f ca="1">INDIRECT(ADDRESS(ROW(),COLUMN(xDay)))&gt;5</f>
        <v>1</v>
      </c>
      <c r="AY6" s="720">
        <f>IF(OR(R6&lt;&gt;0,F6&lt;&gt;0),AA6,IF(Z6="",0,-Z6))+(IF(AG6="+",AF6,-AF6))</f>
        <v>0</v>
      </c>
      <c r="AZ6" s="225">
        <f>SUM(AY$5:AY6)</f>
        <v>0</v>
      </c>
      <c r="BA6" s="643"/>
      <c r="BB6" s="658">
        <f>IF(ISNA(MATCH(BA6,B_Arbeitsort,0)),0,MATCH(BA6,B_Arbeitsort,0))</f>
        <v>0</v>
      </c>
      <c r="BC6" s="643"/>
    </row>
    <row r="7" spans="1:55" ht="15.75">
      <c r="A7" s="305">
        <f>IF(A6="","",IF((A6+1)&gt;=DATE(YEAR(xJahr)+1,MONTH(xJahr),DAY(xJahr)),"",A6+1))</f>
        <v>43466</v>
      </c>
      <c r="B7" s="306">
        <f>IF(A7="","",A7)</f>
        <v>43466</v>
      </c>
      <c r="C7" s="307">
        <f>IF(A7="","",NumberOfWeek(A7))</f>
        <v>1</v>
      </c>
      <c r="D7" s="308">
        <f>IF(A7="","",DATE(YEAR(A7),MONTH(A7),1))</f>
        <v>43465</v>
      </c>
      <c r="E7" s="318" t="str">
        <f>IF((R7-U7)&gt;XWorkTimeMax,$Z$4,IF(AV7=Feiertag,VLOOKUP(B7,db_Feiertag,2,FALSE),""))</f>
        <v/>
      </c>
      <c r="F7" s="5"/>
      <c r="G7" s="6" t="str">
        <f>IF(ISBLANK(F7),IF(ISBLANK(H7),"",0),CODE(UPPER(F7)))</f>
        <v/>
      </c>
      <c r="H7" s="7"/>
      <c r="I7" s="7">
        <f>IF(H7&gt;0,H7+Y7+X7+AC7,0)</f>
        <v>0</v>
      </c>
      <c r="J7" s="113">
        <f>IF(K7&gt;I7,IF(I7&lt;H7,I7+1,I7)-B_WalkTime,IF(I7&lt;H7,I7+1,I7))</f>
        <v>0</v>
      </c>
      <c r="K7" s="7"/>
      <c r="L7" s="7">
        <f>IF(K7&gt;0,K7+IF((J7-H7)&lt;Y7,Y7-(J7-H7),TIME(0,10,0))+IF((K7-J7)&gt;xNoWorkTime,0,xNoWorkTime-(K7-J7)),0)</f>
        <v>0</v>
      </c>
      <c r="M7" s="113">
        <f>IF(L7&lt;K7,L7+1,L7)</f>
        <v>0</v>
      </c>
      <c r="N7" s="113"/>
      <c r="O7" s="113">
        <f>IF(N7&gt;0,N7+IF((J7-H7+M7-K7)&lt;Y7,Y7-(J7-H7+M7-K7),TIME(0,10,0))+IF((K7-J7+N7-M7)&gt;xNoWorkTime,0,xNoWorkTime-(K7-J7+N7-M7)),0)</f>
        <v>0</v>
      </c>
      <c r="P7" s="113"/>
      <c r="Q7" s="113">
        <f>IF(O7&lt;N7,O7+1,O7)</f>
        <v>0</v>
      </c>
      <c r="R7" s="113">
        <f>J7-H7+M7-K7+Q7-N7</f>
        <v>0</v>
      </c>
      <c r="S7" s="113">
        <f>IF(K7&gt;0,K7-I7,0)+IF(N7&gt;0,N7-L7)</f>
        <v>0</v>
      </c>
      <c r="T7" s="113">
        <f>IF(H7&gt;0,(IF(R7&gt;B_Pause1Nach,B_Pause1Dauer+IF(BA7="Büro",B_WalkTime,0),IF(BA7="Büro",B_WalkTime,0))+IF(R7&gt;B_Pause2Nach,B_Pause2Dauer,0)),0)</f>
        <v>0</v>
      </c>
      <c r="U7" s="113">
        <f>IF(T7&gt;S7,T7-S7,0)</f>
        <v>0</v>
      </c>
      <c r="V7" s="146">
        <f>IF(F7="S",Z7,(IF((R7-U7)&gt;XWorkTimeMax,XWorkTimeMax,IF((R7-U7)&gt;0,R7-U7,0))))</f>
        <v>0</v>
      </c>
      <c r="W7" s="66"/>
      <c r="X7" s="115">
        <f>xNoWorkTime</f>
        <v>4.027777777777778E-2</v>
      </c>
      <c r="Y7" s="110">
        <f>IF(AND((AM7&lt;Feiertag),(G7&lt;&gt;85)),IF(OR(F7="B",F7="G",F7="S",H7&gt;0),H7-H7+Z7,0),0)</f>
        <v>0</v>
      </c>
      <c r="Z7" s="111">
        <f>IF(AND(AM7&gt;0,AM7&lt;Feiertag),INDEX(Arbeitszeit,AM7),"")</f>
        <v>0.29166666666666669</v>
      </c>
      <c r="AA7" s="112">
        <f>V7-Y7</f>
        <v>0</v>
      </c>
      <c r="AB7" s="67" t="str">
        <f>IF((V7-Y7)&lt;0,"*","")</f>
        <v/>
      </c>
      <c r="AC7" s="193">
        <f>xOverTime</f>
        <v>0</v>
      </c>
      <c r="AD7" s="144" t="str">
        <f>IF((R7-U7)&gt;XWorkTimeMax,(R7-U7-XWorkTimeMax),"")</f>
        <v/>
      </c>
      <c r="AE7" s="225">
        <f>IF(AW7,(AE6+SUM(AA7)+(IF(AG7="+",AF7,-AF7))),)</f>
        <v>0</v>
      </c>
      <c r="AF7" s="110"/>
      <c r="AG7" s="627"/>
      <c r="AH7" s="110"/>
      <c r="AI7" s="110" t="str">
        <f>IF(AND(AF7&lt;&gt;"",AF7&lt;=V7),V7-AF7,"")</f>
        <v/>
      </c>
      <c r="AJ7" s="68">
        <f>IF(ISNUMBER(V7 ), IF( V7 &gt;= Y7, Y7, V7 ),"")</f>
        <v>0</v>
      </c>
      <c r="AK7" s="68">
        <f>IF( ISNUMBER( V7 ), IF( V7 &gt;= Y7, V7 - Y7, "" ), "" )</f>
        <v>0</v>
      </c>
      <c r="AL7" s="68" t="str">
        <f>IF( AND(ISNUMBER( V7 ),ISNUMBER( Y7 )), IF( V7 &gt;= Y7, "", Y7 - V7 ), "" )</f>
        <v/>
      </c>
      <c r="AM7">
        <f>IF(A7="",0,IF(ISERROR(VLOOKUP(A7,db_Feiertag,2,FALSE)),WEEKDAY(A7,2),Feiertag))</f>
        <v>1</v>
      </c>
      <c r="AN7" s="122">
        <f>SUM($AD$6:AD7)</f>
        <v>0</v>
      </c>
      <c r="AO7" s="122">
        <f ca="1">IF(D7=D6,AO6,OFFSET(AO7,-1,COLUMN(db_jSaldoGes)-COLUMN()))</f>
        <v>0</v>
      </c>
      <c r="AP7" s="126">
        <f>IF(OR($G7=-1,$G7=82),-1,IF(OR($G7=0,$G7=83),1,0))</f>
        <v>0</v>
      </c>
      <c r="AQ7" s="126">
        <f>IF($F7=Krank,1,IF($F7="J",-1,0))</f>
        <v>0</v>
      </c>
      <c r="AR7" s="126">
        <f>IF($F7=Urlaub,1,IF($F7="T",-1,0))</f>
        <v>0</v>
      </c>
      <c r="AS7" s="125">
        <f>IF(A7="","",AS6-IF(F7=Urlaub,1,0)+IF(AND(MONTH(A7)=1,DAY(A7)=1),B_UrlaubNeu,0))</f>
        <v>30</v>
      </c>
      <c r="AT7" s="125">
        <f ca="1">IF(A7="","",IF(D7=D6,AT6,OFFSET(AT7,-1,COLUMN(db_jUrlRest)-COLUMN()))+IF(AND(MONTH(A7)=1,DAY(A7)=1),B_UrlaubNeu,0))</f>
        <v>30</v>
      </c>
      <c r="AU7" s="135">
        <f>(IF(ISNUMBER(V7),V7,0)+IF(ISNUMBER(AD7),AD7,0))*24</f>
        <v>0</v>
      </c>
      <c r="AV7" s="125">
        <f>IF(ISNUMBER(AD7),K_ArbeitOverMax,IF(AND(ISNUMBER(AA7),AA7&gt;0),K_ArbeitOverTime,IF(AND(ISNUMBER(V7),V7&gt;0),K_ArbeitNormal,IF(F7=Krank,K_Krank,IF(F7=Urlaub,K_Urlaub,IF(AM7=Feiertag,K_Feiertag,IF(OR(AM7=6,AM7=7),K_Wochenende,0)))))))+IF(F7=Gleittag,K_Gleittag,0)</f>
        <v>0</v>
      </c>
      <c r="AW7" t="b">
        <f>OR((F7&gt;0),(NOT(ISBLANK(H7))),SUM(H7:H$373),SUM(G7:G$373))</f>
        <v>0</v>
      </c>
      <c r="AX7" t="b">
        <f ca="1">INDIRECT(ADDRESS(ROW(),COLUMN(xDay)))&gt;5</f>
        <v>0</v>
      </c>
      <c r="AY7" s="600">
        <f>IF(OR(R7&lt;&gt;0,F7&lt;&gt;0),AA7,IF(Z7="",0,-Z7))+(IF(AG7="+",AF7,-AF7))</f>
        <v>-0.29166666666666669</v>
      </c>
      <c r="AZ7" s="225">
        <f>SUM(AY$5:AY7)</f>
        <v>-0.29166666666666669</v>
      </c>
      <c r="BA7" s="658"/>
      <c r="BB7" s="658">
        <f>IF(ISNA(MATCH(BA7,B_Arbeitsort,0)),0,MATCH(BA7,B_Arbeitsort,0))</f>
        <v>0</v>
      </c>
      <c r="BC7" s="658"/>
    </row>
    <row r="8" spans="1:55" ht="15.75">
      <c r="A8" s="305">
        <f>IF(A7="","",IF((A7+1)&gt;=DATE(YEAR(xJahr)+1,MONTH(xJahr),DAY(xJahr)),"",A7+1))</f>
        <v>43467</v>
      </c>
      <c r="B8" s="306">
        <f>IF(A8="","",A8)</f>
        <v>43467</v>
      </c>
      <c r="C8" s="307">
        <f>IF(A8="","",NumberOfWeek(A8))</f>
        <v>1</v>
      </c>
      <c r="D8" s="308">
        <f>IF(A8="","",DATE(YEAR(A8),MONTH(A8),1))</f>
        <v>43465</v>
      </c>
      <c r="E8" s="318" t="str">
        <f>IF((R8-U8)&gt;XWorkTimeMax,$Z$4,IF(AV8=Feiertag,VLOOKUP(B8,db_Feiertag,2,FALSE),""))</f>
        <v/>
      </c>
      <c r="F8" s="5"/>
      <c r="G8" s="6" t="str">
        <f>IF(ISBLANK(F8),IF(ISBLANK(H8),"",0),CODE(UPPER(F8)))</f>
        <v/>
      </c>
      <c r="H8" s="7"/>
      <c r="I8" s="7">
        <f>IF(H8&gt;0,H8+Y8+X8+AC8,0)</f>
        <v>0</v>
      </c>
      <c r="J8" s="113">
        <f>IF(K8&gt;I8,IF(I8&lt;H8,I8+1,I8)-B_WalkTime,IF(I8&lt;H8,I8+1,I8))</f>
        <v>0</v>
      </c>
      <c r="K8" s="7"/>
      <c r="L8" s="7">
        <f>IF(K8&gt;0,K8+IF((J8-H8)&lt;Y8,Y8-(J8-H8),TIME(0,10,0))+IF((K8-J8)&gt;xNoWorkTime,0,xNoWorkTime-(K8-J8)),0)</f>
        <v>0</v>
      </c>
      <c r="M8" s="113">
        <f>IF(L8&lt;K8,L8+1,L8)</f>
        <v>0</v>
      </c>
      <c r="N8" s="113"/>
      <c r="O8" s="113">
        <f>IF(N8&gt;0,N8+IF((J8-H8+M8-K8)&lt;Y8,Y8-(J8-H8+M8-K8),TIME(0,10,0))+IF((K8-J8+N8-M8)&gt;xNoWorkTime,0,xNoWorkTime-(K8-J8+N8-M8)),0)</f>
        <v>0</v>
      </c>
      <c r="P8" s="113"/>
      <c r="Q8" s="113">
        <f>IF(O8&lt;N8,O8+1,O8)</f>
        <v>0</v>
      </c>
      <c r="R8" s="113">
        <f>J8-H8+M8-K8+Q8-N8</f>
        <v>0</v>
      </c>
      <c r="S8" s="113">
        <f>IF(K8&gt;0,K8-I8,0)+IF(N8&gt;0,N8-L8)</f>
        <v>0</v>
      </c>
      <c r="T8" s="113">
        <f>IF(H8&gt;0,(IF(R8&gt;B_Pause1Nach,B_Pause1Dauer+IF(BA8="Büro",B_WalkTime,0),IF(BA8="Büro",B_WalkTime,0))+IF(R8&gt;B_Pause2Nach,B_Pause2Dauer,0)),0)</f>
        <v>0</v>
      </c>
      <c r="U8" s="113">
        <f>IF(T8&gt;S8,T8-S8,0)</f>
        <v>0</v>
      </c>
      <c r="V8" s="146">
        <f>IF(F8="S",Z8,(IF((R8-U8)&gt;XWorkTimeMax,XWorkTimeMax,IF((R8-U8)&gt;0,R8-U8,0))))</f>
        <v>0</v>
      </c>
      <c r="W8" s="66"/>
      <c r="X8" s="115">
        <f>xNoWorkTime</f>
        <v>4.027777777777778E-2</v>
      </c>
      <c r="Y8" s="110">
        <f>IF(AND((AM8&lt;Feiertag),(G8&lt;&gt;85)),IF(OR(F8="B",F8="G",F8="S",H8&gt;0),H8-H8+Z8,0),0)</f>
        <v>0</v>
      </c>
      <c r="Z8" s="111">
        <f>IF(AND(AM8&gt;0,AM8&lt;Feiertag),INDEX(Arbeitszeit,AM8),"")</f>
        <v>0.29166666666666669</v>
      </c>
      <c r="AA8" s="112">
        <f>V8-Y8</f>
        <v>0</v>
      </c>
      <c r="AB8" s="67" t="str">
        <f>IF((V8-Y8)&lt;0,"*","")</f>
        <v/>
      </c>
      <c r="AC8" s="193">
        <f>xOverTime</f>
        <v>0</v>
      </c>
      <c r="AD8" s="144" t="str">
        <f>IF((R8-U8)&gt;XWorkTimeMax,(R8-U8-XWorkTimeMax),"")</f>
        <v/>
      </c>
      <c r="AE8" s="225">
        <f>IF(AW8,(AE7+SUM(AA8)+(IF(AG8="+",AF8,-AF8))),)</f>
        <v>0</v>
      </c>
      <c r="AF8" s="110"/>
      <c r="AG8" s="627"/>
      <c r="AH8" s="110"/>
      <c r="AI8" s="110" t="str">
        <f>IF(AND(AF8&lt;&gt;"",AF8&lt;=V8),V8-AF8,"")</f>
        <v/>
      </c>
      <c r="AJ8" s="68">
        <f>IF(ISNUMBER(V8 ), IF( V8 &gt;= Y8, Y8, V8 ),"")</f>
        <v>0</v>
      </c>
      <c r="AK8" s="68">
        <f>IF( ISNUMBER( V8 ), IF( V8 &gt;= Y8, V8 - Y8, "" ), "" )</f>
        <v>0</v>
      </c>
      <c r="AL8" s="68" t="str">
        <f>IF( AND(ISNUMBER( V8 ),ISNUMBER( Y8 )), IF( V8 &gt;= Y8, "", Y8 - V8 ), "" )</f>
        <v/>
      </c>
      <c r="AM8">
        <f>IF(A8="",0,IF(ISERROR(VLOOKUP(A8,db_Feiertag,2,FALSE)),WEEKDAY(A8,2),Feiertag))</f>
        <v>2</v>
      </c>
      <c r="AN8" s="122">
        <f>SUM($AD$6:AD8)</f>
        <v>0</v>
      </c>
      <c r="AO8" s="122">
        <f ca="1">IF(D8=D7,AO7,OFFSET(AO8,-1,COLUMN(db_jSaldoGes)-COLUMN()))</f>
        <v>0</v>
      </c>
      <c r="AP8" s="126">
        <f>IF(OR($G8=-1,$G8=82),-1,IF(OR($G8=0,$G8=83),1,0))</f>
        <v>0</v>
      </c>
      <c r="AQ8" s="126">
        <f>IF($F8=Krank,1,IF($F8="J",-1,0))</f>
        <v>0</v>
      </c>
      <c r="AR8" s="126">
        <f>IF($F8=Urlaub,1,IF($F8="T",-1,0))</f>
        <v>0</v>
      </c>
      <c r="AS8" s="125">
        <f>IF(A8="","",AS7-IF(F8=Urlaub,1,0)+IF(AND(MONTH(A8)=1,DAY(A8)=1),B_UrlaubNeu,0))</f>
        <v>30</v>
      </c>
      <c r="AT8" s="125">
        <f ca="1">IF(A8="","",IF(D8=D7,AT7,OFFSET(AT8,-1,COLUMN(db_jUrlRest)-COLUMN()))+IF(AND(MONTH(A8)=1,DAY(A8)=1),B_UrlaubNeu,0))</f>
        <v>30</v>
      </c>
      <c r="AU8" s="135">
        <f>(IF(ISNUMBER(V8),V8,0)+IF(ISNUMBER(AD8),AD8,0))*24</f>
        <v>0</v>
      </c>
      <c r="AV8" s="125">
        <f>IF(ISNUMBER(AD8),K_ArbeitOverMax,IF(AND(ISNUMBER(AA8),AA8&gt;0),K_ArbeitOverTime,IF(AND(ISNUMBER(V8),V8&gt;0),K_ArbeitNormal,IF(F8=Krank,K_Krank,IF(F8=Urlaub,K_Urlaub,IF(AM8=Feiertag,K_Feiertag,IF(OR(AM8=6,AM8=7),K_Wochenende,0)))))))+IF(F8=Gleittag,K_Gleittag,0)</f>
        <v>0</v>
      </c>
      <c r="AW8" t="b">
        <f>OR((F8&gt;0),(NOT(ISBLANK(H8))),SUM(H8:H$373),SUM(G8:G$373))</f>
        <v>0</v>
      </c>
      <c r="AX8" t="b">
        <f ca="1">INDIRECT(ADDRESS(ROW(),COLUMN(xDay)))&gt;5</f>
        <v>0</v>
      </c>
      <c r="AY8" s="600">
        <f>IF(OR(R8&lt;&gt;0,F8&lt;&gt;0),AA8,IF(Z8="",0,-Z8))+(IF(AG8="+",AF8,-AF8))</f>
        <v>-0.29166666666666669</v>
      </c>
      <c r="AZ8" s="225">
        <f>SUM(AY$5:AY8)</f>
        <v>-0.58333333333333337</v>
      </c>
      <c r="BA8" s="658"/>
      <c r="BB8" s="658">
        <f>IF(ISNA(MATCH(BA8,B_Arbeitsort,0)),0,MATCH(BA8,B_Arbeitsort,0))</f>
        <v>0</v>
      </c>
      <c r="BC8" s="658"/>
    </row>
    <row r="9" spans="1:55" ht="15.75">
      <c r="A9" s="305">
        <f>IF(A8="","",IF((A8+1)&gt;=DATE(YEAR(xJahr)+1,MONTH(xJahr),DAY(xJahr)),"",A8+1))</f>
        <v>43468</v>
      </c>
      <c r="B9" s="306">
        <f>IF(A9="","",A9)</f>
        <v>43468</v>
      </c>
      <c r="C9" s="307">
        <f>IF(A9="","",NumberOfWeek(A9))</f>
        <v>1</v>
      </c>
      <c r="D9" s="308">
        <f>IF(A9="","",DATE(YEAR(A9),MONTH(A9),1))</f>
        <v>43465</v>
      </c>
      <c r="E9" s="318" t="str">
        <f>IF((R9-U9)&gt;XWorkTimeMax,$Z$4,IF(AV9=Feiertag,VLOOKUP(B9,db_Feiertag,2,FALSE),""))</f>
        <v/>
      </c>
      <c r="F9" s="5"/>
      <c r="G9" s="6" t="str">
        <f>IF(ISBLANK(F9),IF(ISBLANK(H9),"",0),CODE(UPPER(F9)))</f>
        <v/>
      </c>
      <c r="H9" s="7"/>
      <c r="I9" s="7">
        <f>IF(H9&gt;0,H9+Y9+X9+AC9,0)</f>
        <v>0</v>
      </c>
      <c r="J9" s="113">
        <f>IF(K9&gt;I9,IF(I9&lt;H9,I9+1,I9)-B_WalkTime,IF(I9&lt;H9,I9+1,I9))</f>
        <v>0</v>
      </c>
      <c r="K9" s="7"/>
      <c r="L9" s="7">
        <f>IF(K9&gt;0,K9+IF((J9-H9)&lt;Y9,Y9-(J9-H9),TIME(0,10,0))+IF((K9-J9)&gt;xNoWorkTime,0,xNoWorkTime-(K9-J9)),0)</f>
        <v>0</v>
      </c>
      <c r="M9" s="113">
        <f>IF(L9&lt;K9,L9+1,L9)</f>
        <v>0</v>
      </c>
      <c r="N9" s="113"/>
      <c r="O9" s="113">
        <f>IF(N9&gt;0,N9+IF((J9-H9+M9-K9)&lt;Y9,Y9-(J9-H9+M9-K9),TIME(0,10,0))+IF((K9-J9+N9-M9)&gt;xNoWorkTime,0,xNoWorkTime-(K9-J9+N9-M9)),0)</f>
        <v>0</v>
      </c>
      <c r="P9" s="113"/>
      <c r="Q9" s="113">
        <f>IF(O9&lt;N9,O9+1,O9)</f>
        <v>0</v>
      </c>
      <c r="R9" s="113">
        <f>J9-H9+M9-K9+Q9-N9</f>
        <v>0</v>
      </c>
      <c r="S9" s="113">
        <f>IF(K9&gt;0,K9-I9,0)+IF(N9&gt;0,N9-L9)</f>
        <v>0</v>
      </c>
      <c r="T9" s="113">
        <f>IF(H9&gt;0,(IF(R9&gt;B_Pause1Nach,B_Pause1Dauer+IF(BA9="Büro",B_WalkTime,0),IF(BA9="Büro",B_WalkTime,0))+IF(R9&gt;B_Pause2Nach,B_Pause2Dauer,0)),0)</f>
        <v>0</v>
      </c>
      <c r="U9" s="113">
        <f>IF(T9&gt;S9,T9-S9,0)</f>
        <v>0</v>
      </c>
      <c r="V9" s="146">
        <f>IF(F9="S",Z9,(IF((R9-U9)&gt;XWorkTimeMax,XWorkTimeMax,IF((R9-U9)&gt;0,R9-U9,0))))</f>
        <v>0</v>
      </c>
      <c r="W9" s="66"/>
      <c r="X9" s="115">
        <f>xNoWorkTime</f>
        <v>4.027777777777778E-2</v>
      </c>
      <c r="Y9" s="110">
        <f>IF(AND((AM9&lt;Feiertag),(G9&lt;&gt;85)),IF(OR(F9="B",F9="G",F9="S",H9&gt;0),H9-H9+Z9,0),0)</f>
        <v>0</v>
      </c>
      <c r="Z9" s="111">
        <f>IF(AND(AM9&gt;0,AM9&lt;Feiertag),INDEX(Arbeitszeit,AM9),"")</f>
        <v>0.29166666666666669</v>
      </c>
      <c r="AA9" s="112">
        <f>V9-Y9</f>
        <v>0</v>
      </c>
      <c r="AB9" s="67" t="str">
        <f>IF((V9-Y9)&lt;0,"*","")</f>
        <v/>
      </c>
      <c r="AC9" s="193">
        <f>xOverTime</f>
        <v>0</v>
      </c>
      <c r="AD9" s="144" t="str">
        <f>IF((R9-U9)&gt;XWorkTimeMax,(R9-U9-XWorkTimeMax),"")</f>
        <v/>
      </c>
      <c r="AE9" s="225">
        <f>IF(AW9,(AE8+SUM(AA9)+(IF(AG9="+",AF9,-AF9))),)</f>
        <v>0</v>
      </c>
      <c r="AF9" s="110"/>
      <c r="AG9" s="627"/>
      <c r="AH9" s="110"/>
      <c r="AI9" s="110" t="str">
        <f>IF(AND(AF9&lt;&gt;"",AF9&lt;=V9),V9-AF9,"")</f>
        <v/>
      </c>
      <c r="AJ9" s="68">
        <f>IF(ISNUMBER(V9 ), IF( V9 &gt;= Y9, Y9, V9 ),"")</f>
        <v>0</v>
      </c>
      <c r="AK9" s="68">
        <f>IF( ISNUMBER( V9 ), IF( V9 &gt;= Y9, V9 - Y9, "" ), "" )</f>
        <v>0</v>
      </c>
      <c r="AL9" s="68" t="str">
        <f>IF( AND(ISNUMBER( V9 ),ISNUMBER( Y9 )), IF( V9 &gt;= Y9, "", Y9 - V9 ), "" )</f>
        <v/>
      </c>
      <c r="AM9">
        <f>IF(A9="",0,IF(ISERROR(VLOOKUP(A9,db_Feiertag,2,FALSE)),WEEKDAY(A9,2),Feiertag))</f>
        <v>3</v>
      </c>
      <c r="AN9" s="122">
        <f>SUM($AD$6:AD9)</f>
        <v>0</v>
      </c>
      <c r="AO9" s="122">
        <f ca="1">IF(D9=D8,AO8,OFFSET(AO9,-1,COLUMN(db_jSaldoGes)-COLUMN()))</f>
        <v>0</v>
      </c>
      <c r="AP9" s="126">
        <f>IF(OR($G9=-1,$G9=82),-1,IF(OR($G9=0,$G9=83),1,0))</f>
        <v>0</v>
      </c>
      <c r="AQ9" s="126">
        <f>IF($F9=Krank,1,IF($F9="J",-1,0))</f>
        <v>0</v>
      </c>
      <c r="AR9" s="126">
        <f>IF($F9=Urlaub,1,IF($F9="T",-1,0))</f>
        <v>0</v>
      </c>
      <c r="AS9" s="125">
        <f>IF(A9="","",AS8-IF(F9=Urlaub,1,0)+IF(AND(MONTH(A9)=1,DAY(A9)=1),B_UrlaubNeu,0))</f>
        <v>30</v>
      </c>
      <c r="AT9" s="125">
        <f ca="1">IF(A9="","",IF(D9=D8,AT8,OFFSET(AT9,-1,COLUMN(db_jUrlRest)-COLUMN()))+IF(AND(MONTH(A9)=1,DAY(A9)=1),B_UrlaubNeu,0))</f>
        <v>30</v>
      </c>
      <c r="AU9" s="135">
        <f>(IF(ISNUMBER(V9),V9,0)+IF(ISNUMBER(AD9),AD9,0))*24</f>
        <v>0</v>
      </c>
      <c r="AV9" s="125">
        <f>IF(ISNUMBER(AD9),K_ArbeitOverMax,IF(AND(ISNUMBER(AA9),AA9&gt;0),K_ArbeitOverTime,IF(AND(ISNUMBER(V9),V9&gt;0),K_ArbeitNormal,IF(F9=Krank,K_Krank,IF(F9=Urlaub,K_Urlaub,IF(AM9=Feiertag,K_Feiertag,IF(OR(AM9=6,AM9=7),K_Wochenende,0)))))))+IF(F9=Gleittag,K_Gleittag,0)</f>
        <v>0</v>
      </c>
      <c r="AW9" t="b">
        <f>OR((F9&gt;0),(NOT(ISBLANK(H9))),SUM(H9:H$373),SUM(G9:G$373))</f>
        <v>0</v>
      </c>
      <c r="AX9" t="b">
        <f ca="1">INDIRECT(ADDRESS(ROW(),COLUMN(xDay)))&gt;5</f>
        <v>0</v>
      </c>
      <c r="AY9" s="600">
        <f>IF(OR(R9&lt;&gt;0,F9&lt;&gt;0),AA9,IF(Z9="",0,-Z9))+(IF(AG9="+",AF9,-AF9))</f>
        <v>-0.29166666666666669</v>
      </c>
      <c r="AZ9" s="225">
        <f>SUM(AY$5:AY9)</f>
        <v>-0.875</v>
      </c>
      <c r="BA9" s="658"/>
      <c r="BB9" s="658">
        <f>IF(ISNA(MATCH(BA9,B_Arbeitsort,0)),0,MATCH(BA9,B_Arbeitsort,0))</f>
        <v>0</v>
      </c>
      <c r="BC9" s="658"/>
    </row>
    <row r="10" spans="1:55" ht="15.75">
      <c r="A10" s="305">
        <f>IF(A9="","",IF((A9+1)&gt;=DATE(YEAR(xJahr)+1,MONTH(xJahr),DAY(xJahr)),"",A9+1))</f>
        <v>43469</v>
      </c>
      <c r="B10" s="306">
        <f>IF(A10="","",A10)</f>
        <v>43469</v>
      </c>
      <c r="C10" s="307">
        <f>IF(A10="","",NumberOfWeek(A10))</f>
        <v>1</v>
      </c>
      <c r="D10" s="308">
        <f>IF(A10="","",DATE(YEAR(A10),MONTH(A10),1))</f>
        <v>43465</v>
      </c>
      <c r="E10" s="318" t="str">
        <f>IF((R10-U10)&gt;XWorkTimeMax,$Z$4,IF(AV10=Feiertag,VLOOKUP(B10,db_Feiertag,2,FALSE),""))</f>
        <v/>
      </c>
      <c r="F10" s="5"/>
      <c r="G10" s="6" t="str">
        <f>IF(ISBLANK(F10),IF(ISBLANK(H10),"",0),CODE(UPPER(F10)))</f>
        <v/>
      </c>
      <c r="H10" s="7"/>
      <c r="I10" s="7">
        <f>IF(H10&gt;0,H10+Y10+X10+AC10,0)</f>
        <v>0</v>
      </c>
      <c r="J10" s="113">
        <f>IF(K10&gt;I10,IF(I10&lt;H10,I10+1,I10)-B_WalkTime,IF(I10&lt;H10,I10+1,I10))</f>
        <v>0</v>
      </c>
      <c r="K10" s="7"/>
      <c r="L10" s="7">
        <f>IF(K10&gt;0,K10+IF((J10-H10)&lt;Y10,Y10-(J10-H10),TIME(0,10,0))+IF((K10-J10)&gt;xNoWorkTime,0,xNoWorkTime-(K10-J10)),0)</f>
        <v>0</v>
      </c>
      <c r="M10" s="113">
        <f>IF(L10&lt;K10,L10+1,L10)</f>
        <v>0</v>
      </c>
      <c r="N10" s="113"/>
      <c r="O10" s="113">
        <f>IF(N10&gt;0,N10+IF((J10-H10+M10-K10)&lt;Y10,Y10-(J10-H10+M10-K10),TIME(0,10,0))+IF((K10-J10+N10-M10)&gt;xNoWorkTime,0,xNoWorkTime-(K10-J10+N10-M10)),0)</f>
        <v>0</v>
      </c>
      <c r="P10" s="113"/>
      <c r="Q10" s="113">
        <f>IF(O10&lt;N10,O10+1,O10)</f>
        <v>0</v>
      </c>
      <c r="R10" s="113">
        <f>J10-H10+M10-K10+Q10-N10</f>
        <v>0</v>
      </c>
      <c r="S10" s="113">
        <f>IF(K10&gt;0,K10-I10,0)+IF(N10&gt;0,N10-L10)</f>
        <v>0</v>
      </c>
      <c r="T10" s="113">
        <f>IF(H10&gt;0,(IF(R10&gt;B_Pause1Nach,B_Pause1Dauer+IF(BA10="Büro",B_WalkTime,0),IF(BA10="Büro",B_WalkTime,0))+IF(R10&gt;B_Pause2Nach,B_Pause2Dauer,0)),0)</f>
        <v>0</v>
      </c>
      <c r="U10" s="113">
        <f>IF(T10&gt;S10,T10-S10,0)</f>
        <v>0</v>
      </c>
      <c r="V10" s="146">
        <f>IF(F10="S",Z10,(IF((R10-U10)&gt;XWorkTimeMax,XWorkTimeMax,IF((R10-U10)&gt;0,R10-U10,0))))</f>
        <v>0</v>
      </c>
      <c r="W10" s="66"/>
      <c r="X10" s="115">
        <f>xNoWorkTime</f>
        <v>4.027777777777778E-2</v>
      </c>
      <c r="Y10" s="110">
        <f>IF(AND((AM10&lt;Feiertag),(G10&lt;&gt;85)),IF(OR(F10="B",F10="G",F10="S",H10&gt;0),H10-H10+Z10,0),0)</f>
        <v>0</v>
      </c>
      <c r="Z10" s="111">
        <f>IF(AND(AM10&gt;0,AM10&lt;Feiertag),INDEX(Arbeitszeit,AM10),"")</f>
        <v>0.29166666666666669</v>
      </c>
      <c r="AA10" s="112">
        <f>V10-Y10</f>
        <v>0</v>
      </c>
      <c r="AB10" s="67" t="str">
        <f>IF((V10-Y10)&lt;0,"*","")</f>
        <v/>
      </c>
      <c r="AC10" s="193">
        <f>xOverTime</f>
        <v>0</v>
      </c>
      <c r="AD10" s="144" t="str">
        <f>IF((R10-U10)&gt;XWorkTimeMax,(R10-U10-XWorkTimeMax),"")</f>
        <v/>
      </c>
      <c r="AE10" s="225">
        <f>IF(AW10,(AE9+SUM(AA10)+(IF(AG10="+",AF10,-AF10))),)</f>
        <v>0</v>
      </c>
      <c r="AF10" s="110"/>
      <c r="AG10" s="627"/>
      <c r="AH10" s="110"/>
      <c r="AI10" s="110" t="str">
        <f>IF(AND(AF10&lt;&gt;"",AF10&lt;=V10),V10-AF10,"")</f>
        <v/>
      </c>
      <c r="AJ10" s="68">
        <f>IF(ISNUMBER(V10 ), IF( V10 &gt;= Y10, Y10, V10 ),"")</f>
        <v>0</v>
      </c>
      <c r="AK10" s="68">
        <f>IF( ISNUMBER( V10 ), IF( V10 &gt;= Y10, V10 - Y10, "" ), "" )</f>
        <v>0</v>
      </c>
      <c r="AL10" s="68" t="str">
        <f>IF( AND(ISNUMBER( V10 ),ISNUMBER( Y10 )), IF( V10 &gt;= Y10, "", Y10 - V10 ), "" )</f>
        <v/>
      </c>
      <c r="AM10">
        <f>IF(A10="",0,IF(ISERROR(VLOOKUP(A10,db_Feiertag,2,FALSE)),WEEKDAY(A10,2),Feiertag))</f>
        <v>4</v>
      </c>
      <c r="AN10" s="122">
        <f>SUM($AD$6:AD10)</f>
        <v>0</v>
      </c>
      <c r="AO10" s="122">
        <f ca="1">IF(D10=D9,AO9,OFFSET(AO10,-1,COLUMN(db_jSaldoGes)-COLUMN()))</f>
        <v>0</v>
      </c>
      <c r="AP10" s="126">
        <f>IF(OR($G10=-1,$G10=82),-1,IF(OR($G10=0,$G10=83),1,0))</f>
        <v>0</v>
      </c>
      <c r="AQ10" s="126">
        <f>IF($F10=Krank,1,IF($F10="J",-1,0))</f>
        <v>0</v>
      </c>
      <c r="AR10" s="126">
        <f>IF($F10=Urlaub,1,IF($F10="T",-1,0))</f>
        <v>0</v>
      </c>
      <c r="AS10" s="125">
        <f>IF(A10="","",AS9-IF(F10=Urlaub,1,0)+IF(AND(MONTH(A10)=1,DAY(A10)=1),B_UrlaubNeu,0))</f>
        <v>30</v>
      </c>
      <c r="AT10" s="125">
        <f ca="1">IF(A10="","",IF(D10=D9,AT9,OFFSET(AT10,-1,COLUMN(db_jUrlRest)-COLUMN()))+IF(AND(MONTH(A10)=1,DAY(A10)=1),B_UrlaubNeu,0))</f>
        <v>30</v>
      </c>
      <c r="AU10" s="135">
        <f>(IF(ISNUMBER(V10),V10,0)+IF(ISNUMBER(AD10),AD10,0))*24</f>
        <v>0</v>
      </c>
      <c r="AV10" s="125">
        <f>IF(ISNUMBER(AD10),K_ArbeitOverMax,IF(AND(ISNUMBER(AA10),AA10&gt;0),K_ArbeitOverTime,IF(AND(ISNUMBER(V10),V10&gt;0),K_ArbeitNormal,IF(F10=Krank,K_Krank,IF(F10=Urlaub,K_Urlaub,IF(AM10=Feiertag,K_Feiertag,IF(OR(AM10=6,AM10=7),K_Wochenende,0)))))))+IF(F10=Gleittag,K_Gleittag,0)</f>
        <v>0</v>
      </c>
      <c r="AW10" t="b">
        <f>OR((F10&gt;0),(NOT(ISBLANK(H10))),SUM(H10:H$373),SUM(G10:G$373))</f>
        <v>0</v>
      </c>
      <c r="AX10" t="b">
        <f ca="1">INDIRECT(ADDRESS(ROW(),COLUMN(xDay)))&gt;5</f>
        <v>0</v>
      </c>
      <c r="AY10" s="600">
        <f>IF(OR(R10&lt;&gt;0,F10&lt;&gt;0),AA10,IF(Z10="",0,-Z10))+(IF(AG10="+",AF10,-AF10))</f>
        <v>-0.29166666666666669</v>
      </c>
      <c r="AZ10" s="225">
        <f>SUM(AY$5:AY10)</f>
        <v>-1.1666666666666667</v>
      </c>
      <c r="BA10" s="658"/>
      <c r="BB10" s="658">
        <f>IF(ISNA(MATCH(BA10,B_Arbeitsort,0)),0,MATCH(BA10,B_Arbeitsort,0))</f>
        <v>0</v>
      </c>
      <c r="BC10" s="658"/>
    </row>
    <row r="11" spans="1:55" ht="15.75">
      <c r="A11" s="305">
        <f>IF(A10="","",IF((A10+1)&gt;=DATE(YEAR(xJahr)+1,MONTH(xJahr),DAY(xJahr)),"",A10+1))</f>
        <v>43470</v>
      </c>
      <c r="B11" s="306">
        <f>IF(A11="","",A11)</f>
        <v>43470</v>
      </c>
      <c r="C11" s="307">
        <f>IF(A11="","",NumberOfWeek(A11))</f>
        <v>1</v>
      </c>
      <c r="D11" s="308">
        <f>IF(A11="","",DATE(YEAR(A11),MONTH(A11),1))</f>
        <v>43465</v>
      </c>
      <c r="E11" s="318" t="str">
        <f>IF((R11-U11)&gt;XWorkTimeMax,$Z$4,IF(AV11=Feiertag,VLOOKUP(B11,db_Feiertag,2,FALSE),""))</f>
        <v>hl. Dreikönig</v>
      </c>
      <c r="F11" s="5"/>
      <c r="G11" s="6" t="str">
        <f>IF(ISBLANK(F11),IF(ISBLANK(H11),"",0),CODE(UPPER(F11)))</f>
        <v/>
      </c>
      <c r="H11" s="7"/>
      <c r="I11" s="7">
        <f>IF(H11&gt;0,H11+Y11+X11+AC11,0)</f>
        <v>0</v>
      </c>
      <c r="J11" s="113">
        <f>IF(K11&gt;I11,IF(I11&lt;H11,I11+1,I11)-B_WalkTime,IF(I11&lt;H11,I11+1,I11))</f>
        <v>0</v>
      </c>
      <c r="K11" s="7"/>
      <c r="L11" s="7">
        <f>IF(K11&gt;0,K11+IF((J11-H11)&lt;Y11,Y11-(J11-H11),TIME(0,10,0))+IF((K11-J11)&gt;xNoWorkTime,0,xNoWorkTime-(K11-J11)),0)</f>
        <v>0</v>
      </c>
      <c r="M11" s="113">
        <f>IF(L11&lt;K11,L11+1,L11)</f>
        <v>0</v>
      </c>
      <c r="N11" s="113"/>
      <c r="O11" s="113">
        <f>IF(N11&gt;0,N11+IF((J11-H11+M11-K11)&lt;Y11,Y11-(J11-H11+M11-K11),TIME(0,10,0))+IF((K11-J11+N11-M11)&gt;xNoWorkTime,0,xNoWorkTime-(K11-J11+N11-M11)),0)</f>
        <v>0</v>
      </c>
      <c r="P11" s="113"/>
      <c r="Q11" s="113">
        <f>IF(O11&lt;N11,O11+1,O11)</f>
        <v>0</v>
      </c>
      <c r="R11" s="113">
        <f>J11-H11+M11-K11+Q11-N11</f>
        <v>0</v>
      </c>
      <c r="S11" s="113">
        <f>IF(K11&gt;0,K11-I11,0)+IF(N11&gt;0,N11-L11)</f>
        <v>0</v>
      </c>
      <c r="T11" s="113">
        <f>IF(H11&gt;0,(IF(R11&gt;B_Pause1Nach,B_Pause1Dauer+IF(BA11="Büro",B_WalkTime,0),IF(BA11="Büro",B_WalkTime,0))+IF(R11&gt;B_Pause2Nach,B_Pause2Dauer,0)),0)</f>
        <v>0</v>
      </c>
      <c r="U11" s="113">
        <f>IF(T11&gt;S11,T11-S11,0)</f>
        <v>0</v>
      </c>
      <c r="V11" s="146">
        <f>IF(F11="S",Z11,(IF((R11-U11)&gt;XWorkTimeMax,XWorkTimeMax,IF((R11-U11)&gt;0,R11-U11,0))))</f>
        <v>0</v>
      </c>
      <c r="W11" s="66"/>
      <c r="X11" s="115">
        <f>xNoWorkTime</f>
        <v>4.027777777777778E-2</v>
      </c>
      <c r="Y11" s="110">
        <f>IF(AND((AM11&lt;Feiertag),(G11&lt;&gt;85)),IF(OR(F11="B",F11="G",F11="S",H11&gt;0),H11-H11+Z11,0),0)</f>
        <v>0</v>
      </c>
      <c r="Z11" s="111" t="str">
        <f>IF(AND(AM11&gt;0,AM11&lt;Feiertag),INDEX(Arbeitszeit,AM11),"")</f>
        <v/>
      </c>
      <c r="AA11" s="112">
        <f>V11-Y11</f>
        <v>0</v>
      </c>
      <c r="AB11" s="67" t="str">
        <f>IF((V11-Y11)&lt;0,"*","")</f>
        <v/>
      </c>
      <c r="AC11" s="193">
        <f>xOverTime</f>
        <v>0</v>
      </c>
      <c r="AD11" s="144" t="str">
        <f>IF((R11-U11)&gt;XWorkTimeMax,(R11-U11-XWorkTimeMax),"")</f>
        <v/>
      </c>
      <c r="AE11" s="225">
        <f>IF(AW11,(AE10+SUM(AA11)+(IF(AG11="+",AF11,-AF11))),)</f>
        <v>0</v>
      </c>
      <c r="AF11" s="110"/>
      <c r="AG11" s="627"/>
      <c r="AH11" s="110"/>
      <c r="AI11" s="110" t="str">
        <f>IF(AND(AF11&lt;&gt;"",AF11&lt;=V11),V11-AF11,"")</f>
        <v/>
      </c>
      <c r="AJ11" s="68">
        <f>IF(ISNUMBER(V11 ), IF( V11 &gt;= Y11, Y11, V11 ),"")</f>
        <v>0</v>
      </c>
      <c r="AK11" s="68">
        <f>IF( ISNUMBER( V11 ), IF( V11 &gt;= Y11, V11 - Y11, "" ), "" )</f>
        <v>0</v>
      </c>
      <c r="AL11" s="68" t="str">
        <f>IF( AND(ISNUMBER( V11 ),ISNUMBER( Y11 )), IF( V11 &gt;= Y11, "", Y11 - V11 ), "" )</f>
        <v/>
      </c>
      <c r="AM11">
        <f>IF(A11="",0,IF(ISERROR(VLOOKUP(A11,db_Feiertag,2,FALSE)),WEEKDAY(A11,2),Feiertag))</f>
        <v>8</v>
      </c>
      <c r="AN11" s="122">
        <f>SUM($AD$6:AD11)</f>
        <v>0</v>
      </c>
      <c r="AO11" s="122">
        <f ca="1">IF(D11=D10,AO10,OFFSET(AO11,-1,COLUMN(db_jSaldoGes)-COLUMN()))</f>
        <v>0</v>
      </c>
      <c r="AP11" s="126">
        <f>IF(OR($G11=-1,$G11=82),-1,IF(OR($G11=0,$G11=83),1,0))</f>
        <v>0</v>
      </c>
      <c r="AQ11" s="126">
        <f>IF($F11=Krank,1,IF($F11="J",-1,0))</f>
        <v>0</v>
      </c>
      <c r="AR11" s="126">
        <f>IF($F11=Urlaub,1,IF($F11="T",-1,0))</f>
        <v>0</v>
      </c>
      <c r="AS11" s="125">
        <f>IF(A11="","",AS10-IF(F11=Urlaub,1,0)+IF(AND(MONTH(A11)=1,DAY(A11)=1),B_UrlaubNeu,0))</f>
        <v>30</v>
      </c>
      <c r="AT11" s="125">
        <f ca="1">IF(A11="","",IF(D11=D10,AT10,OFFSET(AT11,-1,COLUMN(db_jUrlRest)-COLUMN()))+IF(AND(MONTH(A11)=1,DAY(A11)=1),B_UrlaubNeu,0))</f>
        <v>30</v>
      </c>
      <c r="AU11" s="135">
        <f>(IF(ISNUMBER(V11),V11,0)+IF(ISNUMBER(AD11),AD11,0))*24</f>
        <v>0</v>
      </c>
      <c r="AV11" s="125">
        <f>IF(ISNUMBER(AD11),K_ArbeitOverMax,IF(AND(ISNUMBER(AA11),AA11&gt;0),K_ArbeitOverTime,IF(AND(ISNUMBER(V11),V11&gt;0),K_ArbeitNormal,IF(F11=Krank,K_Krank,IF(F11=Urlaub,K_Urlaub,IF(AM11=Feiertag,K_Feiertag,IF(OR(AM11=6,AM11=7),K_Wochenende,0)))))))+IF(F11=Gleittag,K_Gleittag,0)</f>
        <v>8</v>
      </c>
      <c r="AW11" t="b">
        <f>OR((F11&gt;0),(NOT(ISBLANK(H11))),SUM(H11:H$373),SUM(G11:G$373))</f>
        <v>0</v>
      </c>
      <c r="AX11" t="b">
        <f ca="1">INDIRECT(ADDRESS(ROW(),COLUMN(xDay)))&gt;5</f>
        <v>1</v>
      </c>
      <c r="AY11" s="600">
        <f>IF(OR(R11&lt;&gt;0,F11&lt;&gt;0),AA11,IF(Z11="",0,-Z11))+(IF(AG11="+",AF11,-AF11))</f>
        <v>0</v>
      </c>
      <c r="AZ11" s="225">
        <f>SUM(AY$5:AY11)</f>
        <v>-1.1666666666666667</v>
      </c>
      <c r="BA11" s="643"/>
      <c r="BB11" s="658">
        <f>IF(ISNA(MATCH(BA11,B_Arbeitsort,0)),0,MATCH(BA11,B_Arbeitsort,0))</f>
        <v>0</v>
      </c>
      <c r="BC11" s="643"/>
    </row>
    <row r="12" spans="1:55" ht="15.75">
      <c r="A12" s="305">
        <f>IF(A11="","",IF((A11+1)&gt;=DATE(YEAR(xJahr)+1,MONTH(xJahr),DAY(xJahr)),"",A11+1))</f>
        <v>43471</v>
      </c>
      <c r="B12" s="306">
        <f>IF(A12="","",A12)</f>
        <v>43471</v>
      </c>
      <c r="C12" s="307">
        <f>IF(A12="","",NumberOfWeek(A12))</f>
        <v>1</v>
      </c>
      <c r="D12" s="308">
        <f>IF(A12="","",DATE(YEAR(A12),MONTH(A12),1))</f>
        <v>43465</v>
      </c>
      <c r="E12" s="318" t="str">
        <f>IF((R12-U12)&gt;XWorkTimeMax,$Z$4,IF(AV12=Feiertag,VLOOKUP(B12,db_Feiertag,2,FALSE),""))</f>
        <v/>
      </c>
      <c r="F12" s="5"/>
      <c r="G12" s="6" t="str">
        <f>IF(ISBLANK(F12),IF(ISBLANK(H12),"",0),CODE(UPPER(F12)))</f>
        <v/>
      </c>
      <c r="H12" s="7"/>
      <c r="I12" s="7">
        <f>IF(H12&gt;0,H12+Y12+X12+AC12,0)</f>
        <v>0</v>
      </c>
      <c r="J12" s="113">
        <f>IF(K12&gt;I12,IF(I12&lt;H12,I12+1,I12)-B_WalkTime,IF(I12&lt;H12,I12+1,I12))</f>
        <v>0</v>
      </c>
      <c r="K12" s="7"/>
      <c r="L12" s="7">
        <f>IF(K12&gt;0,K12+IF((J12-H12)&lt;Y12,Y12-(J12-H12),TIME(0,10,0))+IF((K12-J12)&gt;xNoWorkTime,0,xNoWorkTime-(K12-J12)),0)</f>
        <v>0</v>
      </c>
      <c r="M12" s="113">
        <f>IF(L12&lt;K12,L12+1,L12)</f>
        <v>0</v>
      </c>
      <c r="N12" s="113"/>
      <c r="O12" s="113">
        <f>IF(N12&gt;0,N12+IF((J12-H12+M12-K12)&lt;Y12,Y12-(J12-H12+M12-K12),TIME(0,10,0))+IF((K12-J12+N12-M12)&gt;xNoWorkTime,0,xNoWorkTime-(K12-J12+N12-M12)),0)</f>
        <v>0</v>
      </c>
      <c r="P12" s="113"/>
      <c r="Q12" s="113">
        <f>IF(O12&lt;N12,O12+1,O12)</f>
        <v>0</v>
      </c>
      <c r="R12" s="113">
        <f>J12-H12+M12-K12+Q12-N12</f>
        <v>0</v>
      </c>
      <c r="S12" s="113">
        <f>IF(K12&gt;0,K12-I12,0)+IF(N12&gt;0,N12-L12)</f>
        <v>0</v>
      </c>
      <c r="T12" s="113">
        <f>IF(H12&gt;0,(IF(R12&gt;B_Pause1Nach,B_Pause1Dauer+IF(BA12="Büro",B_WalkTime,0),IF(BA12="Büro",B_WalkTime,0))+IF(R12&gt;B_Pause2Nach,B_Pause2Dauer,0)),0)</f>
        <v>0</v>
      </c>
      <c r="U12" s="113">
        <f>IF(T12&gt;S12,T12-S12,0)</f>
        <v>0</v>
      </c>
      <c r="V12" s="146">
        <f>IF(F12="S",Z12,(IF((R12-U12)&gt;XWorkTimeMax,XWorkTimeMax,IF((R12-U12)&gt;0,R12-U12,0))))</f>
        <v>0</v>
      </c>
      <c r="W12" s="66"/>
      <c r="X12" s="115">
        <f>xNoWorkTime</f>
        <v>4.027777777777778E-2</v>
      </c>
      <c r="Y12" s="110">
        <f>IF(AND((AM12&lt;Feiertag),(G12&lt;&gt;85)),IF(OR(F12="B",F12="G",F12="S",H12&gt;0),H12-H12+Z12,0),0)</f>
        <v>0</v>
      </c>
      <c r="Z12" s="111">
        <f>IF(AND(AM12&gt;0,AM12&lt;Feiertag),INDEX(Arbeitszeit,AM12),"")</f>
        <v>0</v>
      </c>
      <c r="AA12" s="112">
        <f>V12-Y12</f>
        <v>0</v>
      </c>
      <c r="AB12" s="67" t="str">
        <f>IF((V12-Y12)&lt;0,"*","")</f>
        <v/>
      </c>
      <c r="AC12" s="193">
        <f>xOverTime</f>
        <v>0</v>
      </c>
      <c r="AD12" s="144" t="str">
        <f>IF((R12-U12)&gt;XWorkTimeMax,(R12-U12-XWorkTimeMax),"")</f>
        <v/>
      </c>
      <c r="AE12" s="225">
        <f>IF(AW12,(AE11+SUM(AA12)+(IF(AG12="+",AF12,-AF12))),)</f>
        <v>0</v>
      </c>
      <c r="AF12" s="110"/>
      <c r="AG12" s="627"/>
      <c r="AH12" s="110"/>
      <c r="AI12" s="110" t="str">
        <f>IF(AND(AF12&lt;&gt;"",AF12&lt;=V12),V12-AF12,"")</f>
        <v/>
      </c>
      <c r="AJ12" s="68">
        <f>IF(ISNUMBER(V12 ), IF( V12 &gt;= Y12, Y12, V12 ),"")</f>
        <v>0</v>
      </c>
      <c r="AK12" s="68">
        <f>IF( ISNUMBER( V12 ), IF( V12 &gt;= Y12, V12 - Y12, "" ), "" )</f>
        <v>0</v>
      </c>
      <c r="AL12" s="68" t="str">
        <f>IF( AND(ISNUMBER( V12 ),ISNUMBER( Y12 )), IF( V12 &gt;= Y12, "", Y12 - V12 ), "" )</f>
        <v/>
      </c>
      <c r="AM12">
        <f>IF(A12="",0,IF(ISERROR(VLOOKUP(A12,db_Feiertag,2,FALSE)),WEEKDAY(A12,2),Feiertag))</f>
        <v>6</v>
      </c>
      <c r="AN12" s="122">
        <f>SUM($AD$6:AD12)</f>
        <v>0</v>
      </c>
      <c r="AO12" s="122">
        <f ca="1">IF(D12=D11,AO11,OFFSET(AO12,-1,COLUMN(db_jSaldoGes)-COLUMN()))</f>
        <v>0</v>
      </c>
      <c r="AP12" s="126">
        <f>IF(OR($G12=-1,$G12=82),-1,IF(OR($G12=0,$G12=83),1,0))</f>
        <v>0</v>
      </c>
      <c r="AQ12" s="126">
        <f>IF($F12=Krank,1,IF($F12="J",-1,0))</f>
        <v>0</v>
      </c>
      <c r="AR12" s="126">
        <f>IF($F12=Urlaub,1,IF($F12="T",-1,0))</f>
        <v>0</v>
      </c>
      <c r="AS12" s="125">
        <f>IF(A12="","",AS11-IF(F12=Urlaub,1,0)+IF(AND(MONTH(A12)=1,DAY(A12)=1),B_UrlaubNeu,0))</f>
        <v>30</v>
      </c>
      <c r="AT12" s="125">
        <f ca="1">IF(A12="","",IF(D12=D11,AT11,OFFSET(AT12,-1,COLUMN(db_jUrlRest)-COLUMN()))+IF(AND(MONTH(A12)=1,DAY(A12)=1),B_UrlaubNeu,0))</f>
        <v>30</v>
      </c>
      <c r="AU12" s="135">
        <f>(IF(ISNUMBER(V12),V12,0)+IF(ISNUMBER(AD12),AD12,0))*24</f>
        <v>0</v>
      </c>
      <c r="AV12" s="125">
        <f>IF(ISNUMBER(AD12),K_ArbeitOverMax,IF(AND(ISNUMBER(AA12),AA12&gt;0),K_ArbeitOverTime,IF(AND(ISNUMBER(V12),V12&gt;0),K_ArbeitNormal,IF(F12=Krank,K_Krank,IF(F12=Urlaub,K_Urlaub,IF(AM12=Feiertag,K_Feiertag,IF(OR(AM12=6,AM12=7),K_Wochenende,0)))))))+IF(F12=Gleittag,K_Gleittag,0)</f>
        <v>7</v>
      </c>
      <c r="AW12" t="b">
        <f>OR((F12&gt;0),(NOT(ISBLANK(H12))),SUM(H12:H$373),SUM(G12:G$373))</f>
        <v>0</v>
      </c>
      <c r="AX12" t="b">
        <f ca="1">INDIRECT(ADDRESS(ROW(),COLUMN(xDay)))&gt;5</f>
        <v>1</v>
      </c>
      <c r="AY12" s="600">
        <f>IF(OR(R12&lt;&gt;0,F12&lt;&gt;0),AA12,IF(Z12="",0,-Z12))+(IF(AG12="+",AF12,-AF12))</f>
        <v>0</v>
      </c>
      <c r="AZ12" s="225">
        <f>SUM(AY$5:AY12)</f>
        <v>-1.1666666666666667</v>
      </c>
      <c r="BA12" s="643"/>
      <c r="BB12" s="658">
        <f>IF(ISNA(MATCH(BA12,B_Arbeitsort,0)),0,MATCH(BA12,B_Arbeitsort,0))</f>
        <v>0</v>
      </c>
      <c r="BC12" s="643"/>
    </row>
    <row r="13" spans="1:55" ht="15.75">
      <c r="A13" s="305">
        <f>IF(A12="","",IF((A12+1)&gt;=DATE(YEAR(xJahr)+1,MONTH(xJahr),DAY(xJahr)),"",A12+1))</f>
        <v>43472</v>
      </c>
      <c r="B13" s="306">
        <f>IF(A13="","",A13)</f>
        <v>43472</v>
      </c>
      <c r="C13" s="307">
        <f>IF(A13="","",NumberOfWeek(A13))</f>
        <v>1</v>
      </c>
      <c r="D13" s="308">
        <f>IF(A13="","",DATE(YEAR(A13),MONTH(A13),1))</f>
        <v>43465</v>
      </c>
      <c r="E13" s="318" t="str">
        <f>IF((R13-U13)&gt;XWorkTimeMax,$Z$4,IF(AV13=Feiertag,VLOOKUP(B13,db_Feiertag,2,FALSE),""))</f>
        <v/>
      </c>
      <c r="F13" s="5"/>
      <c r="G13" s="6" t="str">
        <f>IF(ISBLANK(F13),IF(ISBLANK(H13),"",0),CODE(UPPER(F13)))</f>
        <v/>
      </c>
      <c r="H13" s="7"/>
      <c r="I13" s="7">
        <f>IF(H13&gt;0,H13+Y13+X13+AC13,0)</f>
        <v>0</v>
      </c>
      <c r="J13" s="113">
        <f>IF(K13&gt;I13,IF(I13&lt;H13,I13+1,I13)-B_WalkTime,IF(I13&lt;H13,I13+1,I13))</f>
        <v>0</v>
      </c>
      <c r="K13" s="7"/>
      <c r="L13" s="7">
        <f>IF(K13&gt;0,K13+IF((J13-H13)&lt;Y13,Y13-(J13-H13),TIME(0,10,0))+IF((K13-J13)&gt;xNoWorkTime,0,xNoWorkTime-(K13-J13)),0)</f>
        <v>0</v>
      </c>
      <c r="M13" s="113">
        <f>IF(L13&lt;K13,L13+1,L13)</f>
        <v>0</v>
      </c>
      <c r="N13" s="113"/>
      <c r="O13" s="113">
        <f>IF(N13&gt;0,N13+IF((J13-H13+M13-K13)&lt;Y13,Y13-(J13-H13+M13-K13),TIME(0,10,0))+IF((K13-J13+N13-M13)&gt;xNoWorkTime,0,xNoWorkTime-(K13-J13+N13-M13)),0)</f>
        <v>0</v>
      </c>
      <c r="P13" s="113"/>
      <c r="Q13" s="113">
        <f>IF(O13&lt;N13,O13+1,O13)</f>
        <v>0</v>
      </c>
      <c r="R13" s="113">
        <f>J13-H13+M13-K13+Q13-N13</f>
        <v>0</v>
      </c>
      <c r="S13" s="113">
        <f>IF(K13&gt;0,K13-I13,0)+IF(N13&gt;0,N13-L13)</f>
        <v>0</v>
      </c>
      <c r="T13" s="113">
        <f>IF(H13&gt;0,(IF(R13&gt;B_Pause1Nach,B_Pause1Dauer+IF(BA13="Büro",B_WalkTime,0),IF(BA13="Büro",B_WalkTime,0))+IF(R13&gt;B_Pause2Nach,B_Pause2Dauer,0)),0)</f>
        <v>0</v>
      </c>
      <c r="U13" s="113">
        <f>IF(T13&gt;S13,T13-S13,0)</f>
        <v>0</v>
      </c>
      <c r="V13" s="146">
        <f>IF(F13="S",Z13,(IF((R13-U13)&gt;XWorkTimeMax,XWorkTimeMax,IF((R13-U13)&gt;0,R13-U13,0))))</f>
        <v>0</v>
      </c>
      <c r="W13" s="66"/>
      <c r="X13" s="115">
        <f>xNoWorkTime</f>
        <v>4.027777777777778E-2</v>
      </c>
      <c r="Y13" s="110">
        <f>IF(AND((AM13&lt;Feiertag),(G13&lt;&gt;85)),IF(OR(F13="B",F13="G",F13="S",H13&gt;0),H13-H13+Z13,0),0)</f>
        <v>0</v>
      </c>
      <c r="Z13" s="111">
        <f>IF(AND(AM13&gt;0,AM13&lt;Feiertag),INDEX(Arbeitszeit,AM13),"")</f>
        <v>0</v>
      </c>
      <c r="AA13" s="112">
        <f>V13-Y13</f>
        <v>0</v>
      </c>
      <c r="AB13" s="67" t="str">
        <f>IF((V13-Y13)&lt;0,"*","")</f>
        <v/>
      </c>
      <c r="AC13" s="193">
        <f>xOverTime</f>
        <v>0</v>
      </c>
      <c r="AD13" s="144" t="str">
        <f>IF((R13-U13)&gt;XWorkTimeMax,(R13-U13-XWorkTimeMax),"")</f>
        <v/>
      </c>
      <c r="AE13" s="225">
        <f>IF(AW13,(AE12+SUM(AA13)+(IF(AG13="+",AF13,-AF13))),)</f>
        <v>0</v>
      </c>
      <c r="AF13" s="110"/>
      <c r="AG13" s="627"/>
      <c r="AH13" s="628">
        <f>IF(AG13="+",AF13,-AF13)</f>
        <v>0</v>
      </c>
      <c r="AI13" s="110" t="str">
        <f>IF(AND(AF13&lt;&gt;"",AF13&lt;=V13),V13+AH13,"")</f>
        <v/>
      </c>
      <c r="AJ13" s="68">
        <f>IF(ISNUMBER(V13 ), IF( V13 &gt;= Y13, Y13, V13 ),"")</f>
        <v>0</v>
      </c>
      <c r="AK13" s="68">
        <f>IF( ISNUMBER( V13 ), IF( V13 &gt;= Y13, V13 - Y13, "" ), "" )</f>
        <v>0</v>
      </c>
      <c r="AL13" s="68" t="str">
        <f>IF( AND(ISNUMBER( V13 ),ISNUMBER( Y13 )), IF( V13 &gt;= Y13, "", Y13 - V13 ), "" )</f>
        <v/>
      </c>
      <c r="AM13">
        <f>IF(A13="",0,IF(ISERROR(VLOOKUP(A13,db_Feiertag,2,FALSE)),WEEKDAY(A13,2),Feiertag))</f>
        <v>7</v>
      </c>
      <c r="AN13" s="122">
        <f>SUM($AD$6:AD13)</f>
        <v>0</v>
      </c>
      <c r="AO13" s="122">
        <f ca="1">IF(D13=D12,AO12,OFFSET(AO13,-1,COLUMN(db_jSaldoGes)-COLUMN()))</f>
        <v>0</v>
      </c>
      <c r="AP13" s="126">
        <f>IF(OR($G13=-1,$G13=82),-1,IF(OR($G13=0,$G13=83),1,0))</f>
        <v>0</v>
      </c>
      <c r="AQ13" s="126">
        <f>IF($F13=Krank,1,IF($F13="J",-1,0))</f>
        <v>0</v>
      </c>
      <c r="AR13" s="126">
        <f>IF($F13=Urlaub,1,IF($F13="T",-1,0))</f>
        <v>0</v>
      </c>
      <c r="AS13" s="125">
        <f>IF(A13="","",AS12-IF(F13=Urlaub,1,0)+IF(AND(MONTH(A13)=1,DAY(A13)=1),B_UrlaubNeu,0))</f>
        <v>30</v>
      </c>
      <c r="AT13" s="125">
        <f ca="1">IF(A13="","",IF(D13=D12,AT12,OFFSET(AT13,-1,COLUMN(db_jUrlRest)-COLUMN()))+IF(AND(MONTH(A13)=1,DAY(A13)=1),B_UrlaubNeu,0))</f>
        <v>30</v>
      </c>
      <c r="AU13" s="135">
        <f>(IF(ISNUMBER(V13),V13,0)+IF(ISNUMBER(AD13),AD13,0))*24</f>
        <v>0</v>
      </c>
      <c r="AV13" s="125">
        <f>IF(ISNUMBER(AD13),K_ArbeitOverMax,IF(AND(ISNUMBER(AA13),AA13&gt;0),K_ArbeitOverTime,IF(AND(ISNUMBER(V13),V13&gt;0),K_ArbeitNormal,IF(F13=Krank,K_Krank,IF(F13=Urlaub,K_Urlaub,IF(AM13=Feiertag,K_Feiertag,IF(OR(AM13=6,AM13=7),K_Wochenende,0)))))))+IF(F13=Gleittag,K_Gleittag,0)</f>
        <v>7</v>
      </c>
      <c r="AW13" t="b">
        <f>OR((F13&gt;0),(NOT(ISBLANK(H13))),SUM(H13:H$373),SUM(G13:G$373))</f>
        <v>0</v>
      </c>
      <c r="AX13" t="b">
        <f ca="1">INDIRECT(ADDRESS(ROW(),COLUMN(xDay)))&gt;5</f>
        <v>1</v>
      </c>
      <c r="AY13" s="600">
        <f>IF(OR(R13&lt;&gt;0,F13&lt;&gt;0),AA13,IF(Z13="",0,-Z13))+(IF(AG13="+",AF13,-AF13))</f>
        <v>0</v>
      </c>
      <c r="AZ13" s="225">
        <f>SUM(AY$5:AY13)</f>
        <v>-1.1666666666666667</v>
      </c>
      <c r="BA13" s="643"/>
      <c r="BB13" s="658">
        <f>IF(ISNA(MATCH(BA13,B_Arbeitsort,0)),0,MATCH(BA13,B_Arbeitsort,0))</f>
        <v>0</v>
      </c>
      <c r="BC13" s="643"/>
    </row>
    <row r="14" spans="1:55" ht="15.75">
      <c r="A14" s="305">
        <f>IF(A13="","",IF((A13+1)&gt;=DATE(YEAR(xJahr)+1,MONTH(xJahr),DAY(xJahr)),"",A13+1))</f>
        <v>43473</v>
      </c>
      <c r="B14" s="306">
        <f>IF(A14="","",A14)</f>
        <v>43473</v>
      </c>
      <c r="C14" s="307">
        <f>IF(A14="","",NumberOfWeek(A14))</f>
        <v>2</v>
      </c>
      <c r="D14" s="308">
        <f>IF(A14="","",DATE(YEAR(A14),MONTH(A14),1))</f>
        <v>43465</v>
      </c>
      <c r="E14" s="318" t="str">
        <f>IF((R14-U14)&gt;XWorkTimeMax,$Z$4,IF(AV14=Feiertag,VLOOKUP(B14,db_Feiertag,2,FALSE),""))</f>
        <v/>
      </c>
      <c r="F14" s="5"/>
      <c r="G14" s="6" t="str">
        <f>IF(ISBLANK(F14),IF(ISBLANK(H14),"",0),CODE(UPPER(F14)))</f>
        <v/>
      </c>
      <c r="H14" s="7"/>
      <c r="I14" s="7">
        <f>IF(H14&gt;0,H14+Y14+X14+AC14,0)</f>
        <v>0</v>
      </c>
      <c r="J14" s="113">
        <f>IF(K14&gt;I14,IF(I14&lt;H14,I14+1,I14)-B_WalkTime,IF(I14&lt;H14,I14+1,I14))</f>
        <v>0</v>
      </c>
      <c r="K14" s="7"/>
      <c r="L14" s="7">
        <f>IF(K14&gt;0,K14+IF((J14-H14)&lt;Y14,Y14-(J14-H14),TIME(0,10,0))+IF((K14-J14)&gt;xNoWorkTime,0,xNoWorkTime-(K14-J14)),0)</f>
        <v>0</v>
      </c>
      <c r="M14" s="113">
        <f>IF(L14&lt;K14,L14+1,L14)</f>
        <v>0</v>
      </c>
      <c r="N14" s="113"/>
      <c r="O14" s="113">
        <f>IF(N14&gt;0,N14+IF((J14-H14+M14-K14)&lt;Y14,Y14-(J14-H14+M14-K14),TIME(0,10,0))+IF((K14-J14+N14-M14)&gt;xNoWorkTime,0,xNoWorkTime-(K14-J14+N14-M14)),0)</f>
        <v>0</v>
      </c>
      <c r="P14" s="113"/>
      <c r="Q14" s="113">
        <f>IF(O14&lt;N14,O14+1,O14)</f>
        <v>0</v>
      </c>
      <c r="R14" s="113">
        <f>J14-H14+M14-K14+Q14-N14</f>
        <v>0</v>
      </c>
      <c r="S14" s="113">
        <f>IF(K14&gt;0,K14-I14,0)+IF(N14&gt;0,N14-L14)</f>
        <v>0</v>
      </c>
      <c r="T14" s="113">
        <f>IF(H14&gt;0,(IF(R14&gt;B_Pause1Nach,B_Pause1Dauer+IF(BA14="Büro",B_WalkTime,0),IF(BA14="Büro",B_WalkTime,0))+IF(R14&gt;B_Pause2Nach,B_Pause2Dauer,0)),0)</f>
        <v>0</v>
      </c>
      <c r="U14" s="113">
        <f>IF(T14&gt;S14,T14-S14,0)</f>
        <v>0</v>
      </c>
      <c r="V14" s="146">
        <f>IF(F14="S",Z14,(IF((R14-U14)&gt;XWorkTimeMax,XWorkTimeMax,IF((R14-U14)&gt;0,R14-U14,0))))</f>
        <v>0</v>
      </c>
      <c r="W14" s="66"/>
      <c r="X14" s="115">
        <f>xNoWorkTime</f>
        <v>4.027777777777778E-2</v>
      </c>
      <c r="Y14" s="110">
        <f>IF(AND((AM14&lt;Feiertag),(G14&lt;&gt;85)),IF(OR(F14="B",F14="G",F14="S",H14&gt;0),H14-H14+Z14,0),0)</f>
        <v>0</v>
      </c>
      <c r="Z14" s="111">
        <f>IF(AND(AM14&gt;0,AM14&lt;Feiertag),INDEX(Arbeitszeit,AM14),"")</f>
        <v>0.29166666666666669</v>
      </c>
      <c r="AA14" s="112">
        <f>V14-Y14</f>
        <v>0</v>
      </c>
      <c r="AB14" s="67" t="str">
        <f>IF((V14-Y14)&lt;0,"*","")</f>
        <v/>
      </c>
      <c r="AC14" s="193">
        <f>xOverTime</f>
        <v>0</v>
      </c>
      <c r="AD14" s="144" t="str">
        <f>IF((R14-U14)&gt;XWorkTimeMax,(R14-U14-XWorkTimeMax),"")</f>
        <v/>
      </c>
      <c r="AE14" s="225">
        <f>IF(AW14,(AE13+SUM(AA14)+(IF(AG14="+",AF14,-AF14))),)</f>
        <v>0</v>
      </c>
      <c r="AF14" s="110"/>
      <c r="AG14" s="627"/>
      <c r="AH14" s="110"/>
      <c r="AI14" s="110" t="str">
        <f>IF(AND(AF14&lt;&gt;"",AF14&lt;=V14),V14-AF14,"")</f>
        <v/>
      </c>
      <c r="AJ14" s="68">
        <f>IF(ISNUMBER(V14 ), IF( V14 &gt;= Y14, Y14, V14 ),"")</f>
        <v>0</v>
      </c>
      <c r="AK14" s="68">
        <f>IF( ISNUMBER( V14 ), IF( V14 &gt;= Y14, V14 - Y14, "" ), "" )</f>
        <v>0</v>
      </c>
      <c r="AL14" s="68" t="str">
        <f>IF( AND(ISNUMBER( V14 ),ISNUMBER( Y14 )), IF( V14 &gt;= Y14, "", Y14 - V14 ), "" )</f>
        <v/>
      </c>
      <c r="AM14">
        <f>IF(A14="",0,IF(ISERROR(VLOOKUP(A14,db_Feiertag,2,FALSE)),WEEKDAY(A14,2),Feiertag))</f>
        <v>1</v>
      </c>
      <c r="AN14" s="122">
        <f>SUM($AD$6:AD14)</f>
        <v>0</v>
      </c>
      <c r="AO14" s="122">
        <f ca="1">IF(D14=D13,AO13,OFFSET(AO14,-1,COLUMN(db_jSaldoGes)-COLUMN()))</f>
        <v>0</v>
      </c>
      <c r="AP14" s="126">
        <f>IF(OR($G14=-1,$G14=82),-1,IF(OR($G14=0,$G14=83),1,0))</f>
        <v>0</v>
      </c>
      <c r="AQ14" s="126">
        <f>IF($F14=Krank,1,IF($F14="J",-1,0))</f>
        <v>0</v>
      </c>
      <c r="AR14" s="126">
        <f>IF($F14=Urlaub,1,IF($F14="T",-1,0))</f>
        <v>0</v>
      </c>
      <c r="AS14" s="125">
        <f>IF(A14="","",AS13-IF(F14=Urlaub,1,0)+IF(AND(MONTH(A14)=1,DAY(A14)=1),B_UrlaubNeu,0))</f>
        <v>30</v>
      </c>
      <c r="AT14" s="125">
        <f ca="1">IF(A14="","",IF(D14=D13,AT13,OFFSET(AT14,-1,COLUMN(db_jUrlRest)-COLUMN()))+IF(AND(MONTH(A14)=1,DAY(A14)=1),B_UrlaubNeu,0))</f>
        <v>30</v>
      </c>
      <c r="AU14" s="135">
        <f>(IF(ISNUMBER(V14),V14,0)+IF(ISNUMBER(AD14),AD14,0))*24</f>
        <v>0</v>
      </c>
      <c r="AV14" s="125">
        <f>IF(ISNUMBER(AD14),K_ArbeitOverMax,IF(AND(ISNUMBER(AA14),AA14&gt;0),K_ArbeitOverTime,IF(AND(ISNUMBER(V14),V14&gt;0),K_ArbeitNormal,IF(F14=Krank,K_Krank,IF(F14=Urlaub,K_Urlaub,IF(AM14=Feiertag,K_Feiertag,IF(OR(AM14=6,AM14=7),K_Wochenende,0)))))))+IF(F14=Gleittag,K_Gleittag,0)</f>
        <v>0</v>
      </c>
      <c r="AW14" t="b">
        <f>OR((F14&gt;0),(NOT(ISBLANK(H14))),SUM(H14:H$373),SUM(G14:G$373))</f>
        <v>0</v>
      </c>
      <c r="AX14" t="b">
        <f ca="1">INDIRECT(ADDRESS(ROW(),COLUMN(xDay)))&gt;5</f>
        <v>0</v>
      </c>
      <c r="AY14" s="600">
        <f>IF(OR(R14&lt;&gt;0,F14&lt;&gt;0),AA14,IF(Z14="",0,-Z14))+(IF(AG14="+",AF14,-AF14))</f>
        <v>-0.29166666666666669</v>
      </c>
      <c r="AZ14" s="225">
        <f>SUM(AY$5:AY14)</f>
        <v>-1.4583333333333335</v>
      </c>
      <c r="BA14" s="658"/>
      <c r="BB14" s="658">
        <f>IF(ISNA(MATCH(BA14,B_Arbeitsort,0)),0,MATCH(BA14,B_Arbeitsort,0))</f>
        <v>0</v>
      </c>
      <c r="BC14" s="658"/>
    </row>
    <row r="15" spans="1:55" ht="15.75">
      <c r="A15" s="305">
        <f>IF(A14="","",IF((A14+1)&gt;=DATE(YEAR(xJahr)+1,MONTH(xJahr),DAY(xJahr)),"",A14+1))</f>
        <v>43474</v>
      </c>
      <c r="B15" s="306">
        <f>IF(A15="","",A15)</f>
        <v>43474</v>
      </c>
      <c r="C15" s="307">
        <f>IF(A15="","",NumberOfWeek(A15))</f>
        <v>2</v>
      </c>
      <c r="D15" s="308">
        <f>IF(A15="","",DATE(YEAR(A15),MONTH(A15),1))</f>
        <v>43465</v>
      </c>
      <c r="E15" s="318" t="str">
        <f>IF((R15-U15)&gt;XWorkTimeMax,$Z$4,IF(AV15=Feiertag,VLOOKUP(B15,db_Feiertag,2,FALSE),""))</f>
        <v/>
      </c>
      <c r="F15" s="5"/>
      <c r="G15" s="6" t="str">
        <f>IF(ISBLANK(F15),IF(ISBLANK(H15),"",0),CODE(UPPER(F15)))</f>
        <v/>
      </c>
      <c r="H15" s="7"/>
      <c r="I15" s="7">
        <f>IF(H15&gt;0,H15+Y15+X15+AC15,0)</f>
        <v>0</v>
      </c>
      <c r="J15" s="113">
        <f>IF(K15&gt;I15,IF(I15&lt;H15,I15+1,I15)-B_WalkTime,IF(I15&lt;H15,I15+1,I15))</f>
        <v>0</v>
      </c>
      <c r="K15" s="7"/>
      <c r="L15" s="7">
        <f>IF(K15&gt;0,K15+IF((J15-H15)&lt;Y15,Y15-(J15-H15),TIME(0,10,0))+IF((K15-J15)&gt;xNoWorkTime,0,xNoWorkTime-(K15-J15)),0)</f>
        <v>0</v>
      </c>
      <c r="M15" s="113">
        <f>IF(L15&lt;K15,L15+1,L15)</f>
        <v>0</v>
      </c>
      <c r="N15" s="113"/>
      <c r="O15" s="113">
        <f>IF(N15&gt;0,N15+IF((J15-H15+M15-K15)&lt;Y15,Y15-(J15-H15+M15-K15),TIME(0,10,0))+IF((K15-J15+N15-M15)&gt;xNoWorkTime,0,xNoWorkTime-(K15-J15+N15-M15)),0)</f>
        <v>0</v>
      </c>
      <c r="P15" s="113"/>
      <c r="Q15" s="113">
        <f>IF(O15&lt;N15,O15+1,O15)</f>
        <v>0</v>
      </c>
      <c r="R15" s="113">
        <f>J15-H15+M15-K15+Q15-N15</f>
        <v>0</v>
      </c>
      <c r="S15" s="113">
        <f>IF(K15&gt;0,K15-I15,0)+IF(N15&gt;0,N15-L15)</f>
        <v>0</v>
      </c>
      <c r="T15" s="113">
        <f>IF(H15&gt;0,(IF(R15&gt;B_Pause1Nach,B_Pause1Dauer+IF(BA15="Büro",B_WalkTime,0),IF(BA15="Büro",B_WalkTime,0))+IF(R15&gt;B_Pause2Nach,B_Pause2Dauer,0)),0)</f>
        <v>0</v>
      </c>
      <c r="U15" s="113">
        <f>IF(T15&gt;S15,T15-S15,0)</f>
        <v>0</v>
      </c>
      <c r="V15" s="146">
        <f>IF(F15="S",Z15,(IF((R15-U15)&gt;XWorkTimeMax,XWorkTimeMax,IF((R15-U15)&gt;0,R15-U15,0))))</f>
        <v>0</v>
      </c>
      <c r="W15" s="66"/>
      <c r="X15" s="115">
        <f>xNoWorkTime</f>
        <v>4.027777777777778E-2</v>
      </c>
      <c r="Y15" s="110">
        <f>IF(AND((AM15&lt;Feiertag),(G15&lt;&gt;85)),IF(OR(F15="B",F15="G",F15="S",H15&gt;0),H15-H15+Z15,0),0)</f>
        <v>0</v>
      </c>
      <c r="Z15" s="111">
        <f>IF(AND(AM15&gt;0,AM15&lt;Feiertag),INDEX(Arbeitszeit,AM15),"")</f>
        <v>0.29166666666666669</v>
      </c>
      <c r="AA15" s="112">
        <f>V15-Y15</f>
        <v>0</v>
      </c>
      <c r="AB15" s="67" t="str">
        <f>IF((V15-Y15)&lt;0,"*","")</f>
        <v/>
      </c>
      <c r="AC15" s="193">
        <f>xOverTime</f>
        <v>0</v>
      </c>
      <c r="AD15" s="144" t="str">
        <f>IF((R15-U15)&gt;XWorkTimeMax,(R15-U15-XWorkTimeMax),"")</f>
        <v/>
      </c>
      <c r="AE15" s="225">
        <f>IF(AW15,(AE14+SUM(AA15)+(IF(AG15="+",AF15,-AF15))),)</f>
        <v>0</v>
      </c>
      <c r="AF15" s="110"/>
      <c r="AG15" s="627"/>
      <c r="AH15" s="110"/>
      <c r="AI15" s="110" t="str">
        <f>IF(AND(AF15&lt;&gt;"",AF15&lt;=V15),V15-AF15,"")</f>
        <v/>
      </c>
      <c r="AJ15" s="68">
        <f>IF(ISNUMBER(V15 ), IF( V15 &gt;= Y15, Y15, V15 ),"")</f>
        <v>0</v>
      </c>
      <c r="AK15" s="68">
        <f>IF( ISNUMBER( V15 ), IF( V15 &gt;= Y15, V15 - Y15, "" ), "" )</f>
        <v>0</v>
      </c>
      <c r="AL15" s="68" t="str">
        <f>IF( AND(ISNUMBER( V15 ),ISNUMBER( Y15 )), IF( V15 &gt;= Y15, "", Y15 - V15 ), "" )</f>
        <v/>
      </c>
      <c r="AM15">
        <f>IF(A15="",0,IF(ISERROR(VLOOKUP(A15,db_Feiertag,2,FALSE)),WEEKDAY(A15,2),Feiertag))</f>
        <v>2</v>
      </c>
      <c r="AN15" s="122">
        <f>SUM($AD$6:AD15)</f>
        <v>0</v>
      </c>
      <c r="AO15" s="122">
        <f ca="1">IF(D15=D14,AO14,OFFSET(AO15,-1,COLUMN(db_jSaldoGes)-COLUMN()))</f>
        <v>0</v>
      </c>
      <c r="AP15" s="126">
        <f>IF(OR($G15=-1,$G15=82),-1,IF(OR($G15=0,$G15=83),1,0))</f>
        <v>0</v>
      </c>
      <c r="AQ15" s="126">
        <f>IF($F15=Krank,1,IF($F15="J",-1,0))</f>
        <v>0</v>
      </c>
      <c r="AR15" s="126">
        <f>IF($F15=Urlaub,1,IF($F15="T",-1,0))</f>
        <v>0</v>
      </c>
      <c r="AS15" s="125">
        <f>IF(A15="","",AS14-IF(F15=Urlaub,1,0)+IF(AND(MONTH(A15)=1,DAY(A15)=1),B_UrlaubNeu,0))</f>
        <v>30</v>
      </c>
      <c r="AT15" s="125">
        <f ca="1">IF(A15="","",IF(D15=D14,AT14,OFFSET(AT15,-1,COLUMN(db_jUrlRest)-COLUMN()))+IF(AND(MONTH(A15)=1,DAY(A15)=1),B_UrlaubNeu,0))</f>
        <v>30</v>
      </c>
      <c r="AU15" s="135">
        <f>(IF(ISNUMBER(V15),V15,0)+IF(ISNUMBER(AD15),AD15,0))*24</f>
        <v>0</v>
      </c>
      <c r="AV15" s="125">
        <f>IF(ISNUMBER(AD15),K_ArbeitOverMax,IF(AND(ISNUMBER(AA15),AA15&gt;0),K_ArbeitOverTime,IF(AND(ISNUMBER(V15),V15&gt;0),K_ArbeitNormal,IF(F15=Krank,K_Krank,IF(F15=Urlaub,K_Urlaub,IF(AM15=Feiertag,K_Feiertag,IF(OR(AM15=6,AM15=7),K_Wochenende,0)))))))+IF(F15=Gleittag,K_Gleittag,0)</f>
        <v>0</v>
      </c>
      <c r="AW15" t="b">
        <f>OR((F15&gt;0),(NOT(ISBLANK(H15))),SUM(H15:H$373),SUM(G15:G$373))</f>
        <v>0</v>
      </c>
      <c r="AX15" t="b">
        <f ca="1">INDIRECT(ADDRESS(ROW(),COLUMN(xDay)))&gt;5</f>
        <v>0</v>
      </c>
      <c r="AY15" s="600">
        <f>IF(OR(R15&lt;&gt;0,F15&lt;&gt;0),AA15,IF(Z15="",0,-Z15))+(IF(AG15="+",AF15,-AF15))</f>
        <v>-0.29166666666666669</v>
      </c>
      <c r="AZ15" s="225">
        <f>SUM(AY$5:AY15)</f>
        <v>-1.7500000000000002</v>
      </c>
      <c r="BA15" s="658" t="s">
        <v>234</v>
      </c>
      <c r="BB15" s="658">
        <f>IF(ISNA(MATCH(BA15,B_Arbeitsort,0)),0,MATCH(BA15,B_Arbeitsort,0))</f>
        <v>1</v>
      </c>
      <c r="BC15" s="658"/>
    </row>
    <row r="16" spans="1:55" ht="15.75">
      <c r="A16" s="305">
        <f>IF(A15="","",IF((A15+1)&gt;=DATE(YEAR(xJahr)+1,MONTH(xJahr),DAY(xJahr)),"",A15+1))</f>
        <v>43475</v>
      </c>
      <c r="B16" s="306">
        <f>IF(A16="","",A16)</f>
        <v>43475</v>
      </c>
      <c r="C16" s="307">
        <f>IF(A16="","",NumberOfWeek(A16))</f>
        <v>2</v>
      </c>
      <c r="D16" s="308">
        <f>IF(A16="","",DATE(YEAR(A16),MONTH(A16),1))</f>
        <v>43465</v>
      </c>
      <c r="E16" s="318" t="str">
        <f>IF((R16-U16)&gt;XWorkTimeMax,$Z$4,IF(AV16=Feiertag,VLOOKUP(B16,db_Feiertag,2,FALSE),""))</f>
        <v/>
      </c>
      <c r="F16" s="5"/>
      <c r="G16" s="6" t="str">
        <f>IF(ISBLANK(F16),IF(ISBLANK(H16),"",0),CODE(UPPER(F16)))</f>
        <v/>
      </c>
      <c r="H16" s="7"/>
      <c r="I16" s="7">
        <f>IF(H16&gt;0,H16+Y16+X16+AC16,0)</f>
        <v>0</v>
      </c>
      <c r="J16" s="113">
        <f>IF(K16&gt;I16,IF(I16&lt;H16,I16+1,I16)-B_WalkTime,IF(I16&lt;H16,I16+1,I16))</f>
        <v>0</v>
      </c>
      <c r="K16" s="7"/>
      <c r="L16" s="7">
        <f>IF(K16&gt;0,K16+IF((J16-H16)&lt;Y16,Y16-(J16-H16),TIME(0,10,0))+IF((K16-J16)&gt;xNoWorkTime,0,xNoWorkTime-(K16-J16)),0)</f>
        <v>0</v>
      </c>
      <c r="M16" s="113">
        <f>IF(L16&lt;K16,L16+1,L16)</f>
        <v>0</v>
      </c>
      <c r="N16" s="113"/>
      <c r="O16" s="113">
        <f>IF(N16&gt;0,N16+IF((J16-H16+M16-K16)&lt;Y16,Y16-(J16-H16+M16-K16),TIME(0,10,0))+IF((K16-J16+N16-M16)&gt;xNoWorkTime,0,xNoWorkTime-(K16-J16+N16-M16)),0)</f>
        <v>0</v>
      </c>
      <c r="P16" s="113"/>
      <c r="Q16" s="113">
        <f>IF(O16&lt;N16,O16+1,O16)</f>
        <v>0</v>
      </c>
      <c r="R16" s="113">
        <f>J16-H16+M16-K16+Q16-N16</f>
        <v>0</v>
      </c>
      <c r="S16" s="113">
        <f>IF(K16&gt;0,K16-I16,0)+IF(N16&gt;0,N16-L16)</f>
        <v>0</v>
      </c>
      <c r="T16" s="113">
        <f>IF(H16&gt;0,(IF(R16&gt;B_Pause1Nach,B_Pause1Dauer+IF(BA16="Büro",B_WalkTime,0),IF(BA16="Büro",B_WalkTime,0))+IF(R16&gt;B_Pause2Nach,B_Pause2Dauer,0)),0)</f>
        <v>0</v>
      </c>
      <c r="U16" s="113">
        <f>IF(T16&gt;S16,T16-S16,0)</f>
        <v>0</v>
      </c>
      <c r="V16" s="146">
        <f>IF(F16="S",Z16,(IF((R16-U16)&gt;XWorkTimeMax,XWorkTimeMax,IF((R16-U16)&gt;0,R16-U16,0))))</f>
        <v>0</v>
      </c>
      <c r="W16" s="66"/>
      <c r="X16" s="115">
        <f>xNoWorkTime</f>
        <v>4.027777777777778E-2</v>
      </c>
      <c r="Y16" s="110">
        <f>IF(AND((AM16&lt;Feiertag),(G16&lt;&gt;85)),IF(OR(F16="B",F16="G",F16="S",H16&gt;0),H16-H16+Z16,0),0)</f>
        <v>0</v>
      </c>
      <c r="Z16" s="111">
        <f>IF(AND(AM16&gt;0,AM16&lt;Feiertag),INDEX(Arbeitszeit,AM16),"")</f>
        <v>0.29166666666666669</v>
      </c>
      <c r="AA16" s="112">
        <f>V16-Y16</f>
        <v>0</v>
      </c>
      <c r="AB16" s="67" t="str">
        <f>IF((V16-Y16)&lt;0,"*","")</f>
        <v/>
      </c>
      <c r="AC16" s="193">
        <f>xOverTime</f>
        <v>0</v>
      </c>
      <c r="AD16" s="144" t="str">
        <f>IF((R16-U16)&gt;XWorkTimeMax,(R16-U16-XWorkTimeMax),"")</f>
        <v/>
      </c>
      <c r="AE16" s="225">
        <f>IF(AW16,(AE15+SUM(AA16)+(IF(AG16="+",AF16,-AF16))),)</f>
        <v>0</v>
      </c>
      <c r="AF16" s="110"/>
      <c r="AG16" s="627"/>
      <c r="AH16" s="110"/>
      <c r="AI16" s="110" t="str">
        <f>IF(AND(AF16&lt;&gt;"",AF16&lt;=V16),V16-AF16,"")</f>
        <v/>
      </c>
      <c r="AJ16" s="68">
        <f>IF(ISNUMBER(V16 ), IF( V16 &gt;= Y16, Y16, V16 ),"")</f>
        <v>0</v>
      </c>
      <c r="AK16" s="68">
        <f>IF( ISNUMBER( V16 ), IF( V16 &gt;= Y16, V16 - Y16, "" ), "" )</f>
        <v>0</v>
      </c>
      <c r="AL16" s="68" t="str">
        <f>IF( AND(ISNUMBER( V16 ),ISNUMBER( Y16 )), IF( V16 &gt;= Y16, "", Y16 - V16 ), "" )</f>
        <v/>
      </c>
      <c r="AM16">
        <f>IF(A16="",0,IF(ISERROR(VLOOKUP(A16,db_Feiertag,2,FALSE)),WEEKDAY(A16,2),Feiertag))</f>
        <v>3</v>
      </c>
      <c r="AN16" s="122">
        <f>SUM($AD$6:AD16)</f>
        <v>0</v>
      </c>
      <c r="AO16" s="122">
        <f ca="1">IF(D16=D15,AO15,OFFSET(AO16,-1,COLUMN(db_jSaldoGes)-COLUMN()))</f>
        <v>0</v>
      </c>
      <c r="AP16" s="126">
        <f>IF(OR($G16=-1,$G16=82),-1,IF(OR($G16=0,$G16=83),1,0))</f>
        <v>0</v>
      </c>
      <c r="AQ16" s="126">
        <f>IF($F16=Krank,1,IF($F16="J",-1,0))</f>
        <v>0</v>
      </c>
      <c r="AR16" s="126">
        <f>IF($F16=Urlaub,1,IF($F16="T",-1,0))</f>
        <v>0</v>
      </c>
      <c r="AS16" s="125">
        <f>IF(A16="","",AS15-IF(F16=Urlaub,1,0)+IF(AND(MONTH(A16)=1,DAY(A16)=1),B_UrlaubNeu,0))</f>
        <v>30</v>
      </c>
      <c r="AT16" s="125">
        <f ca="1">IF(A16="","",IF(D16=D15,AT15,OFFSET(AT16,-1,COLUMN(db_jUrlRest)-COLUMN()))+IF(AND(MONTH(A16)=1,DAY(A16)=1),B_UrlaubNeu,0))</f>
        <v>30</v>
      </c>
      <c r="AU16" s="135">
        <f>(IF(ISNUMBER(V16),V16,0)+IF(ISNUMBER(AD16),AD16,0))*24</f>
        <v>0</v>
      </c>
      <c r="AV16" s="125">
        <f>IF(ISNUMBER(AD16),K_ArbeitOverMax,IF(AND(ISNUMBER(AA16),AA16&gt;0),K_ArbeitOverTime,IF(AND(ISNUMBER(V16),V16&gt;0),K_ArbeitNormal,IF(F16=Krank,K_Krank,IF(F16=Urlaub,K_Urlaub,IF(AM16=Feiertag,K_Feiertag,IF(OR(AM16=6,AM16=7),K_Wochenende,0)))))))+IF(F16=Gleittag,K_Gleittag,0)</f>
        <v>0</v>
      </c>
      <c r="AW16" t="b">
        <f>OR((F16&gt;0),(NOT(ISBLANK(H16))),SUM(H16:H$373),SUM(G16:G$373))</f>
        <v>0</v>
      </c>
      <c r="AX16" t="b">
        <f ca="1">INDIRECT(ADDRESS(ROW(),COLUMN(xDay)))&gt;5</f>
        <v>0</v>
      </c>
      <c r="AY16" s="600">
        <f>IF(OR(R16&lt;&gt;0,F16&lt;&gt;0),AA16,IF(Z16="",0,-Z16))+(IF(AG16="+",AF16,-AF16))</f>
        <v>-0.29166666666666669</v>
      </c>
      <c r="AZ16" s="225">
        <f>SUM(AY$5:AY16)</f>
        <v>-2.041666666666667</v>
      </c>
      <c r="BA16" s="658" t="s">
        <v>244</v>
      </c>
      <c r="BB16" s="658">
        <f>IF(ISNA(MATCH(BA16,B_Arbeitsort,0)),0,MATCH(BA16,B_Arbeitsort,0))</f>
        <v>2</v>
      </c>
      <c r="BC16" s="658"/>
    </row>
    <row r="17" spans="1:55" ht="15.75">
      <c r="A17" s="305">
        <f>IF(A16="","",IF((A16+1)&gt;=DATE(YEAR(xJahr)+1,MONTH(xJahr),DAY(xJahr)),"",A16+1))</f>
        <v>43476</v>
      </c>
      <c r="B17" s="306">
        <f>IF(A17="","",A17)</f>
        <v>43476</v>
      </c>
      <c r="C17" s="307">
        <f>IF(A17="","",NumberOfWeek(A17))</f>
        <v>2</v>
      </c>
      <c r="D17" s="308">
        <f>IF(A17="","",DATE(YEAR(A17),MONTH(A17),1))</f>
        <v>43465</v>
      </c>
      <c r="E17" s="318" t="str">
        <f>IF((R17-U17)&gt;XWorkTimeMax,$Z$4,IF(AV17=Feiertag,VLOOKUP(B17,db_Feiertag,2,FALSE),""))</f>
        <v/>
      </c>
      <c r="F17" s="5"/>
      <c r="G17" s="6" t="str">
        <f>IF(ISBLANK(F17),IF(ISBLANK(H17),"",0),CODE(UPPER(F17)))</f>
        <v/>
      </c>
      <c r="H17" s="7"/>
      <c r="I17" s="7">
        <f>IF(H17&gt;0,H17+Y17+X17+AC17,0)</f>
        <v>0</v>
      </c>
      <c r="J17" s="113">
        <f>IF(K17&gt;I17,IF(I17&lt;H17,I17+1,I17)-B_WalkTime,IF(I17&lt;H17,I17+1,I17))</f>
        <v>0</v>
      </c>
      <c r="K17" s="7"/>
      <c r="L17" s="7">
        <f>IF(K17&gt;0,K17+IF((J17-H17)&lt;Y17,Y17-(J17-H17),TIME(0,10,0))+IF((K17-J17)&gt;xNoWorkTime,0,xNoWorkTime-(K17-J17)),0)</f>
        <v>0</v>
      </c>
      <c r="M17" s="113">
        <f>IF(L17&lt;K17,L17+1,L17)</f>
        <v>0</v>
      </c>
      <c r="N17" s="113"/>
      <c r="O17" s="113">
        <f>IF(N17&gt;0,N17+IF((J17-H17+M17-K17)&lt;Y17,Y17-(J17-H17+M17-K17),TIME(0,10,0))+IF((K17-J17+N17-M17)&gt;xNoWorkTime,0,xNoWorkTime-(K17-J17+N17-M17)),0)</f>
        <v>0</v>
      </c>
      <c r="P17" s="113"/>
      <c r="Q17" s="113">
        <f>IF(O17&lt;N17,O17+1,O17)</f>
        <v>0</v>
      </c>
      <c r="R17" s="113">
        <f>J17-H17+M17-K17+Q17-N17</f>
        <v>0</v>
      </c>
      <c r="S17" s="113">
        <f>IF(K17&gt;0,K17-I17,0)+IF(N17&gt;0,N17-L17)</f>
        <v>0</v>
      </c>
      <c r="T17" s="113">
        <f>IF(H17&gt;0,(IF(R17&gt;B_Pause1Nach,B_Pause1Dauer+IF(BA17="Büro",B_WalkTime,0),IF(BA17="Büro",B_WalkTime,0))+IF(R17&gt;B_Pause2Nach,B_Pause2Dauer,0)),0)</f>
        <v>0</v>
      </c>
      <c r="U17" s="113">
        <f>IF(T17&gt;S17,T17-S17,0)</f>
        <v>0</v>
      </c>
      <c r="V17" s="146">
        <f>IF(F17="S",Z17,(IF((R17-U17)&gt;XWorkTimeMax,XWorkTimeMax,IF((R17-U17)&gt;0,R17-U17,0))))</f>
        <v>0</v>
      </c>
      <c r="W17" s="66"/>
      <c r="X17" s="115">
        <f>xNoWorkTime</f>
        <v>4.027777777777778E-2</v>
      </c>
      <c r="Y17" s="110">
        <f>IF(AND((AM17&lt;Feiertag),(G17&lt;&gt;85)),IF(OR(F17="B",F17="G",F17="S",H17&gt;0),H17-H17+Z17,0),0)</f>
        <v>0</v>
      </c>
      <c r="Z17" s="111">
        <f>IF(AND(AM17&gt;0,AM17&lt;Feiertag),INDEX(Arbeitszeit,AM17),"")</f>
        <v>0.29166666666666669</v>
      </c>
      <c r="AA17" s="112">
        <f>V17-Y17</f>
        <v>0</v>
      </c>
      <c r="AB17" s="67" t="str">
        <f>IF((V17-Y17)&lt;0,"*","")</f>
        <v/>
      </c>
      <c r="AC17" s="193">
        <f>xOverTime</f>
        <v>0</v>
      </c>
      <c r="AD17" s="144" t="str">
        <f>IF((R17-U17)&gt;XWorkTimeMax,(R17-U17-XWorkTimeMax),"")</f>
        <v/>
      </c>
      <c r="AE17" s="225">
        <f>IF(AW17,(AE16+SUM(AA17)+(IF(AG17="+",AF17,-AF17))),)</f>
        <v>0</v>
      </c>
      <c r="AF17" s="110"/>
      <c r="AG17" s="627"/>
      <c r="AH17" s="110"/>
      <c r="AI17" s="110" t="str">
        <f>IF(AND(AF17&lt;&gt;"",AF17&lt;=V17),V17-AF17,"")</f>
        <v/>
      </c>
      <c r="AJ17" s="68">
        <f>IF(ISNUMBER(V17 ), IF( V17 &gt;= Y17, Y17, V17 ),"")</f>
        <v>0</v>
      </c>
      <c r="AK17" s="68">
        <f>IF( ISNUMBER( V17 ), IF( V17 &gt;= Y17, V17 - Y17, "" ), "" )</f>
        <v>0</v>
      </c>
      <c r="AL17" s="68" t="str">
        <f>IF( AND(ISNUMBER( V17 ),ISNUMBER( Y17 )), IF( V17 &gt;= Y17, "", Y17 - V17 ), "" )</f>
        <v/>
      </c>
      <c r="AM17">
        <f>IF(A17="",0,IF(ISERROR(VLOOKUP(A17,db_Feiertag,2,FALSE)),WEEKDAY(A17,2),Feiertag))</f>
        <v>4</v>
      </c>
      <c r="AN17" s="122">
        <f>SUM($AD$6:AD17)</f>
        <v>0</v>
      </c>
      <c r="AO17" s="122">
        <f ca="1">IF(D17=D16,AO16,OFFSET(AO17,-1,COLUMN(db_jSaldoGes)-COLUMN()))</f>
        <v>0</v>
      </c>
      <c r="AP17" s="126">
        <f>IF(OR($G17=-1,$G17=82),-1,IF(OR($G17=0,$G17=83),1,0))</f>
        <v>0</v>
      </c>
      <c r="AQ17" s="126">
        <f>IF($F17=Krank,1,IF($F17="J",-1,0))</f>
        <v>0</v>
      </c>
      <c r="AR17" s="126">
        <f>IF($F17=Urlaub,1,IF($F17="T",-1,0))</f>
        <v>0</v>
      </c>
      <c r="AS17" s="125">
        <f>IF(A17="","",AS16-IF(F17=Urlaub,1,0)+IF(AND(MONTH(A17)=1,DAY(A17)=1),B_UrlaubNeu,0))</f>
        <v>30</v>
      </c>
      <c r="AT17" s="125">
        <f ca="1">IF(A17="","",IF(D17=D16,AT16,OFFSET(AT17,-1,COLUMN(db_jUrlRest)-COLUMN()))+IF(AND(MONTH(A17)=1,DAY(A17)=1),B_UrlaubNeu,0))</f>
        <v>30</v>
      </c>
      <c r="AU17" s="135">
        <f>(IF(ISNUMBER(V17),V17,0)+IF(ISNUMBER(AD17),AD17,0))*24</f>
        <v>0</v>
      </c>
      <c r="AV17" s="125">
        <f>IF(ISNUMBER(AD17),K_ArbeitOverMax,IF(AND(ISNUMBER(AA17),AA17&gt;0),K_ArbeitOverTime,IF(AND(ISNUMBER(V17),V17&gt;0),K_ArbeitNormal,IF(F17=Krank,K_Krank,IF(F17=Urlaub,K_Urlaub,IF(AM17=Feiertag,K_Feiertag,IF(OR(AM17=6,AM17=7),K_Wochenende,0)))))))+IF(F17=Gleittag,K_Gleittag,0)</f>
        <v>0</v>
      </c>
      <c r="AW17" t="b">
        <f>OR((F17&gt;0),(NOT(ISBLANK(H17))),SUM(H17:H$373),SUM(G17:G$373))</f>
        <v>0</v>
      </c>
      <c r="AX17" t="b">
        <f ca="1">INDIRECT(ADDRESS(ROW(),COLUMN(xDay)))&gt;5</f>
        <v>0</v>
      </c>
      <c r="AY17" s="600">
        <f>IF(OR(R17&lt;&gt;0,F17&lt;&gt;0),AA17,IF(Z17="",0,-Z17))+(IF(AG17="+",AF17,-AF17))</f>
        <v>-0.29166666666666669</v>
      </c>
      <c r="AZ17" s="225">
        <f>SUM(AY$5:AY17)</f>
        <v>-2.3333333333333335</v>
      </c>
      <c r="BA17" s="658" t="s">
        <v>243</v>
      </c>
      <c r="BB17" s="658">
        <f>IF(ISNA(MATCH(BA17,B_Arbeitsort,0)),0,MATCH(BA17,B_Arbeitsort,0))</f>
        <v>4</v>
      </c>
      <c r="BC17" s="658"/>
    </row>
    <row r="18" spans="1:55" ht="15.75">
      <c r="A18" s="305">
        <f>IF(A17="","",IF((A17+1)&gt;=DATE(YEAR(xJahr)+1,MONTH(xJahr),DAY(xJahr)),"",A17+1))</f>
        <v>43477</v>
      </c>
      <c r="B18" s="306">
        <f>IF(A18="","",A18)</f>
        <v>43477</v>
      </c>
      <c r="C18" s="307">
        <f>IF(A18="","",NumberOfWeek(A18))</f>
        <v>2</v>
      </c>
      <c r="D18" s="308">
        <f>IF(A18="","",DATE(YEAR(A18),MONTH(A18),1))</f>
        <v>43465</v>
      </c>
      <c r="E18" s="318" t="str">
        <f>IF((R18-U18)&gt;XWorkTimeMax,$Z$4,IF(AV18=Feiertag,VLOOKUP(B18,db_Feiertag,2,FALSE),""))</f>
        <v/>
      </c>
      <c r="F18" s="5"/>
      <c r="G18" s="6" t="str">
        <f>IF(ISBLANK(F18),IF(ISBLANK(H18),"",0),CODE(UPPER(F18)))</f>
        <v/>
      </c>
      <c r="H18" s="7"/>
      <c r="I18" s="7">
        <f>IF(H18&gt;0,H18+Y18+X18+AC18,0)</f>
        <v>0</v>
      </c>
      <c r="J18" s="113">
        <f>IF(K18&gt;I18,IF(I18&lt;H18,I18+1,I18)-B_WalkTime,IF(I18&lt;H18,I18+1,I18))</f>
        <v>0</v>
      </c>
      <c r="K18" s="7"/>
      <c r="L18" s="7">
        <f>IF(K18&gt;0,K18+IF((J18-H18)&lt;Y18,Y18-(J18-H18),TIME(0,10,0))+IF((K18-J18)&gt;xNoWorkTime,0,xNoWorkTime-(K18-J18)),0)</f>
        <v>0</v>
      </c>
      <c r="M18" s="113">
        <f>IF(L18&lt;K18,L18+1,L18)</f>
        <v>0</v>
      </c>
      <c r="N18" s="113"/>
      <c r="O18" s="113">
        <f>IF(N18&gt;0,N18+IF((J18-H18+M18-K18)&lt;Y18,Y18-(J18-H18+M18-K18),TIME(0,10,0))+IF((K18-J18+N18-M18)&gt;xNoWorkTime,0,xNoWorkTime-(K18-J18+N18-M18)),0)</f>
        <v>0</v>
      </c>
      <c r="P18" s="113"/>
      <c r="Q18" s="113">
        <f>IF(O18&lt;N18,O18+1,O18)</f>
        <v>0</v>
      </c>
      <c r="R18" s="113">
        <f>J18-H18+M18-K18+Q18-N18</f>
        <v>0</v>
      </c>
      <c r="S18" s="113">
        <f>IF(K18&gt;0,K18-I18,0)+IF(N18&gt;0,N18-L18)</f>
        <v>0</v>
      </c>
      <c r="T18" s="113">
        <f>IF(H18&gt;0,(IF(R18&gt;B_Pause1Nach,B_Pause1Dauer+IF(BA18="Büro",B_WalkTime,0),IF(BA18="Büro",B_WalkTime,0))+IF(R18&gt;B_Pause2Nach,B_Pause2Dauer,0)),0)</f>
        <v>0</v>
      </c>
      <c r="U18" s="113">
        <f>IF(T18&gt;S18,T18-S18,0)</f>
        <v>0</v>
      </c>
      <c r="V18" s="146">
        <f>IF(F18="S",Z18,(IF((R18-U18)&gt;XWorkTimeMax,XWorkTimeMax,IF((R18-U18)&gt;0,R18-U18,0))))</f>
        <v>0</v>
      </c>
      <c r="W18" s="66"/>
      <c r="X18" s="115">
        <f>xNoWorkTime</f>
        <v>4.027777777777778E-2</v>
      </c>
      <c r="Y18" s="110">
        <f>IF(AND((AM18&lt;Feiertag),(G18&lt;&gt;85)),IF(OR(F18="B",F18="G",F18="S",H18&gt;0),H18-H18+Z18,0),0)</f>
        <v>0</v>
      </c>
      <c r="Z18" s="111">
        <f>IF(AND(AM18&gt;0,AM18&lt;Feiertag),INDEX(Arbeitszeit,AM18),"")</f>
        <v>0.29166666666666669</v>
      </c>
      <c r="AA18" s="112">
        <f>V18-Y18</f>
        <v>0</v>
      </c>
      <c r="AB18" s="67" t="str">
        <f>IF((V18-Y18)&lt;0,"*","")</f>
        <v/>
      </c>
      <c r="AC18" s="193">
        <f>xOverTime</f>
        <v>0</v>
      </c>
      <c r="AD18" s="144" t="str">
        <f>IF((R18-U18)&gt;XWorkTimeMax,(R18-U18-XWorkTimeMax),"")</f>
        <v/>
      </c>
      <c r="AE18" s="225">
        <f>IF(AW18,(AE17+SUM(AA18)+(IF(AG18="+",AF18,-AF18))),)</f>
        <v>0</v>
      </c>
      <c r="AF18" s="110"/>
      <c r="AG18" s="627"/>
      <c r="AH18" s="110"/>
      <c r="AI18" s="110" t="str">
        <f>IF(AND(AF18&lt;&gt;"",AF18&lt;=V18),V18-AF18,"")</f>
        <v/>
      </c>
      <c r="AJ18" s="68">
        <f>IF(ISNUMBER(V18 ), IF( V18 &gt;= Y18, Y18, V18 ),"")</f>
        <v>0</v>
      </c>
      <c r="AK18" s="68">
        <f>IF( ISNUMBER( V18 ), IF( V18 &gt;= Y18, V18 - Y18, "" ), "" )</f>
        <v>0</v>
      </c>
      <c r="AL18" s="68" t="str">
        <f>IF( AND(ISNUMBER( V18 ),ISNUMBER( Y18 )), IF( V18 &gt;= Y18, "", Y18 - V18 ), "" )</f>
        <v/>
      </c>
      <c r="AM18">
        <f>IF(A18="",0,IF(ISERROR(VLOOKUP(A18,db_Feiertag,2,FALSE)),WEEKDAY(A18,2),Feiertag))</f>
        <v>5</v>
      </c>
      <c r="AN18" s="122">
        <f>SUM($AD$6:AD18)</f>
        <v>0</v>
      </c>
      <c r="AO18" s="122">
        <f ca="1">IF(D18=D17,AO17,OFFSET(AO18,-1,COLUMN(db_jSaldoGes)-COLUMN()))</f>
        <v>0</v>
      </c>
      <c r="AP18" s="126">
        <f>IF(OR($G18=-1,$G18=82),-1,IF(OR($G18=0,$G18=83),1,0))</f>
        <v>0</v>
      </c>
      <c r="AQ18" s="126">
        <f>IF($F18=Krank,1,IF($F18="J",-1,0))</f>
        <v>0</v>
      </c>
      <c r="AR18" s="126">
        <f>IF($F18=Urlaub,1,IF($F18="T",-1,0))</f>
        <v>0</v>
      </c>
      <c r="AS18" s="125">
        <f>IF(A18="","",AS17-IF(F18=Urlaub,1,0)+IF(AND(MONTH(A18)=1,DAY(A18)=1),B_UrlaubNeu,0))</f>
        <v>30</v>
      </c>
      <c r="AT18" s="125">
        <f ca="1">IF(A18="","",IF(D18=D17,AT17,OFFSET(AT18,-1,COLUMN(db_jUrlRest)-COLUMN()))+IF(AND(MONTH(A18)=1,DAY(A18)=1),B_UrlaubNeu,0))</f>
        <v>30</v>
      </c>
      <c r="AU18" s="135">
        <f>(IF(ISNUMBER(V18),V18,0)+IF(ISNUMBER(AD18),AD18,0))*24</f>
        <v>0</v>
      </c>
      <c r="AV18" s="125">
        <f>IF(ISNUMBER(AD18),K_ArbeitOverMax,IF(AND(ISNUMBER(AA18),AA18&gt;0),K_ArbeitOverTime,IF(AND(ISNUMBER(V18),V18&gt;0),K_ArbeitNormal,IF(F18=Krank,K_Krank,IF(F18=Urlaub,K_Urlaub,IF(AM18=Feiertag,K_Feiertag,IF(OR(AM18=6,AM18=7),K_Wochenende,0)))))))+IF(F18=Gleittag,K_Gleittag,0)</f>
        <v>0</v>
      </c>
      <c r="AW18" t="b">
        <f>OR((F18&gt;0),(NOT(ISBLANK(H18))),SUM(H18:H$373),SUM(G18:G$373))</f>
        <v>0</v>
      </c>
      <c r="AX18" t="b">
        <f ca="1">INDIRECT(ADDRESS(ROW(),COLUMN(xDay)))&gt;5</f>
        <v>0</v>
      </c>
      <c r="AY18" s="600">
        <f>IF(OR(R18&lt;&gt;0,F18&lt;&gt;0),AA18,IF(Z18="",0,-Z18))+(IF(AG18="+",AF18,-AF18))</f>
        <v>-0.29166666666666669</v>
      </c>
      <c r="AZ18" s="225">
        <f>SUM(AY$5:AY18)</f>
        <v>-2.625</v>
      </c>
      <c r="BA18" s="658" t="s">
        <v>242</v>
      </c>
      <c r="BB18" s="658">
        <f>IF(ISNA(MATCH(BA18,B_Arbeitsort,0)),0,MATCH(BA18,B_Arbeitsort,0))</f>
        <v>3</v>
      </c>
      <c r="BC18" s="658"/>
    </row>
    <row r="19" spans="1:55" ht="15.75">
      <c r="A19" s="305">
        <f>IF(A18="","",IF((A18+1)&gt;=DATE(YEAR(xJahr)+1,MONTH(xJahr),DAY(xJahr)),"",A18+1))</f>
        <v>43478</v>
      </c>
      <c r="B19" s="306">
        <f>IF(A19="","",A19)</f>
        <v>43478</v>
      </c>
      <c r="C19" s="307">
        <f>IF(A19="","",NumberOfWeek(A19))</f>
        <v>2</v>
      </c>
      <c r="D19" s="308">
        <f>IF(A19="","",DATE(YEAR(A19),MONTH(A19),1))</f>
        <v>43465</v>
      </c>
      <c r="E19" s="318" t="str">
        <f>IF((R19-U19)&gt;XWorkTimeMax,$Z$4,IF(AV19=Feiertag,VLOOKUP(B19,db_Feiertag,2,FALSE),""))</f>
        <v/>
      </c>
      <c r="F19" s="5"/>
      <c r="G19" s="6" t="str">
        <f>IF(ISBLANK(F19),IF(ISBLANK(H19),"",0),CODE(UPPER(F19)))</f>
        <v/>
      </c>
      <c r="H19" s="7"/>
      <c r="I19" s="7">
        <f>IF(H19&gt;0,H19+Y19+X19+AC19,0)</f>
        <v>0</v>
      </c>
      <c r="J19" s="113">
        <f>IF(K19&gt;I19,IF(I19&lt;H19,I19+1,I19)-B_WalkTime,IF(I19&lt;H19,I19+1,I19))</f>
        <v>0</v>
      </c>
      <c r="K19" s="7"/>
      <c r="L19" s="7">
        <f>IF(K19&gt;0,K19+IF((J19-H19)&lt;Y19,Y19-(J19-H19),TIME(0,10,0))+IF((K19-J19)&gt;xNoWorkTime,0,xNoWorkTime-(K19-J19)),0)</f>
        <v>0</v>
      </c>
      <c r="M19" s="113">
        <f>IF(L19&lt;K19,L19+1,L19)</f>
        <v>0</v>
      </c>
      <c r="N19" s="113"/>
      <c r="O19" s="113">
        <f>IF(N19&gt;0,N19+IF((J19-H19+M19-K19)&lt;Y19,Y19-(J19-H19+M19-K19),TIME(0,10,0))+IF((K19-J19+N19-M19)&gt;xNoWorkTime,0,xNoWorkTime-(K19-J19+N19-M19)),0)</f>
        <v>0</v>
      </c>
      <c r="P19" s="113"/>
      <c r="Q19" s="113">
        <f>IF(O19&lt;N19,O19+1,O19)</f>
        <v>0</v>
      </c>
      <c r="R19" s="113">
        <f>J19-H19+M19-K19+Q19-N19</f>
        <v>0</v>
      </c>
      <c r="S19" s="113">
        <f>IF(K19&gt;0,K19-I19,0)+IF(N19&gt;0,N19-L19)</f>
        <v>0</v>
      </c>
      <c r="T19" s="113">
        <f>IF(H19&gt;0,(IF(R19&gt;B_Pause1Nach,B_Pause1Dauer+IF(BA19="Büro",B_WalkTime,0),IF(BA19="Büro",B_WalkTime,0))+IF(R19&gt;B_Pause2Nach,B_Pause2Dauer,0)),0)</f>
        <v>0</v>
      </c>
      <c r="U19" s="113">
        <f>IF(T19&gt;S19,T19-S19,0)</f>
        <v>0</v>
      </c>
      <c r="V19" s="146">
        <f>IF(F19="S",Z19,(IF((R19-U19)&gt;XWorkTimeMax,XWorkTimeMax,IF((R19-U19)&gt;0,R19-U19,0))))</f>
        <v>0</v>
      </c>
      <c r="W19" s="66"/>
      <c r="X19" s="115">
        <f>xNoWorkTime</f>
        <v>4.027777777777778E-2</v>
      </c>
      <c r="Y19" s="110">
        <f>IF(AND((AM19&lt;Feiertag),(G19&lt;&gt;85)),IF(OR(F19="B",F19="G",F19="S",H19&gt;0),H19-H19+Z19,0),0)</f>
        <v>0</v>
      </c>
      <c r="Z19" s="111">
        <f>IF(AND(AM19&gt;0,AM19&lt;Feiertag),INDEX(Arbeitszeit,AM19),"")</f>
        <v>0</v>
      </c>
      <c r="AA19" s="112">
        <f>V19-Y19</f>
        <v>0</v>
      </c>
      <c r="AB19" s="67" t="str">
        <f>IF((V19-Y19)&lt;0,"*","")</f>
        <v/>
      </c>
      <c r="AC19" s="193">
        <f>xOverTime</f>
        <v>0</v>
      </c>
      <c r="AD19" s="144" t="str">
        <f>IF((R19-U19)&gt;XWorkTimeMax,(R19-U19-XWorkTimeMax),"")</f>
        <v/>
      </c>
      <c r="AE19" s="225">
        <f>IF(AW19,(AE18+SUM(AA19)+(IF(AG19="+",AF19,-AF19))),)</f>
        <v>0</v>
      </c>
      <c r="AF19" s="110"/>
      <c r="AG19" s="627"/>
      <c r="AH19" s="110"/>
      <c r="AI19" s="110" t="str">
        <f>IF(AND(AF19&lt;&gt;"",AF19&lt;=V19),V19-AF19,"")</f>
        <v/>
      </c>
      <c r="AJ19" s="68">
        <f>IF(ISNUMBER(V19 ), IF( V19 &gt;= Y19, Y19, V19 ),"")</f>
        <v>0</v>
      </c>
      <c r="AK19" s="68">
        <f>IF( ISNUMBER( V19 ), IF( V19 &gt;= Y19, V19 - Y19, "" ), "" )</f>
        <v>0</v>
      </c>
      <c r="AL19" s="68" t="str">
        <f>IF( AND(ISNUMBER( V19 ),ISNUMBER( Y19 )), IF( V19 &gt;= Y19, "", Y19 - V19 ), "" )</f>
        <v/>
      </c>
      <c r="AM19">
        <f>IF(A19="",0,IF(ISERROR(VLOOKUP(A19,db_Feiertag,2,FALSE)),WEEKDAY(A19,2),Feiertag))</f>
        <v>6</v>
      </c>
      <c r="AN19" s="122">
        <f>SUM($AD$6:AD19)</f>
        <v>0</v>
      </c>
      <c r="AO19" s="122">
        <f ca="1">IF(D19=D18,AO18,OFFSET(AO19,-1,COLUMN(db_jSaldoGes)-COLUMN()))</f>
        <v>0</v>
      </c>
      <c r="AP19" s="126">
        <f>IF(OR($G19=-1,$G19=82),-1,IF(OR($G19=0,$G19=83),1,0))</f>
        <v>0</v>
      </c>
      <c r="AQ19" s="126">
        <f>IF($F19=Krank,1,IF($F19="J",-1,0))</f>
        <v>0</v>
      </c>
      <c r="AR19" s="126">
        <f>IF($F19=Urlaub,1,IF($F19="T",-1,0))</f>
        <v>0</v>
      </c>
      <c r="AS19" s="125">
        <f>IF(A19="","",AS18-IF(F19=Urlaub,1,0)+IF(AND(MONTH(A19)=1,DAY(A19)=1),B_UrlaubNeu,0))</f>
        <v>30</v>
      </c>
      <c r="AT19" s="125">
        <f ca="1">IF(A19="","",IF(D19=D18,AT18,OFFSET(AT19,-1,COLUMN(db_jUrlRest)-COLUMN()))+IF(AND(MONTH(A19)=1,DAY(A19)=1),B_UrlaubNeu,0))</f>
        <v>30</v>
      </c>
      <c r="AU19" s="135">
        <f>(IF(ISNUMBER(V19),V19,0)+IF(ISNUMBER(AD19),AD19,0))*24</f>
        <v>0</v>
      </c>
      <c r="AV19" s="125">
        <f>IF(ISNUMBER(AD19),K_ArbeitOverMax,IF(AND(ISNUMBER(AA19),AA19&gt;0),K_ArbeitOverTime,IF(AND(ISNUMBER(V19),V19&gt;0),K_ArbeitNormal,IF(F19=Krank,K_Krank,IF(F19=Urlaub,K_Urlaub,IF(AM19=Feiertag,K_Feiertag,IF(OR(AM19=6,AM19=7),K_Wochenende,0)))))))+IF(F19=Gleittag,K_Gleittag,0)</f>
        <v>7</v>
      </c>
      <c r="AW19" t="b">
        <f>OR((F19&gt;0),(NOT(ISBLANK(H19))),SUM(H19:H$373),SUM(G19:G$373))</f>
        <v>0</v>
      </c>
      <c r="AX19" t="b">
        <f ca="1">INDIRECT(ADDRESS(ROW(),COLUMN(xDay)))&gt;5</f>
        <v>1</v>
      </c>
      <c r="AY19" s="600">
        <f>IF(OR(R19&lt;&gt;0,F19&lt;&gt;0),AA19,IF(Z19="",0,-Z19))+(IF(AG19="+",AF19,-AF19))</f>
        <v>0</v>
      </c>
      <c r="AZ19" s="225">
        <f>SUM(AY$5:AY19)</f>
        <v>-2.625</v>
      </c>
      <c r="BA19" s="643"/>
      <c r="BB19" s="658">
        <f>IF(ISNA(MATCH(BA19,B_Arbeitsort,0)),0,MATCH(BA19,B_Arbeitsort,0))</f>
        <v>0</v>
      </c>
      <c r="BC19" s="643"/>
    </row>
    <row r="20" spans="1:55" ht="15.75">
      <c r="A20" s="305">
        <f>IF(A19="","",IF((A19+1)&gt;=DATE(YEAR(xJahr)+1,MONTH(xJahr),DAY(xJahr)),"",A19+1))</f>
        <v>43479</v>
      </c>
      <c r="B20" s="306">
        <f>IF(A20="","",A20)</f>
        <v>43479</v>
      </c>
      <c r="C20" s="307">
        <f>IF(A20="","",NumberOfWeek(A20))</f>
        <v>2</v>
      </c>
      <c r="D20" s="308">
        <f>IF(A20="","",DATE(YEAR(A20),MONTH(A20),1))</f>
        <v>43465</v>
      </c>
      <c r="E20" s="318" t="str">
        <f>IF((R20-U20)&gt;XWorkTimeMax,$Z$4,IF(AV20=Feiertag,VLOOKUP(B20,db_Feiertag,2,FALSE),""))</f>
        <v/>
      </c>
      <c r="F20" s="5"/>
      <c r="G20" s="6" t="str">
        <f>IF(ISBLANK(F20),IF(ISBLANK(H20),"",0),CODE(UPPER(F20)))</f>
        <v/>
      </c>
      <c r="H20" s="7"/>
      <c r="I20" s="7">
        <f>IF(H20&gt;0,H20+Y20+X20+AC20,0)</f>
        <v>0</v>
      </c>
      <c r="J20" s="113">
        <f>IF(K20&gt;I20,IF(I20&lt;H20,I20+1,I20)-B_WalkTime,IF(I20&lt;H20,I20+1,I20))</f>
        <v>0</v>
      </c>
      <c r="K20" s="7"/>
      <c r="L20" s="7">
        <f>IF(K20&gt;0,K20+IF((J20-H20)&lt;Y20,Y20-(J20-H20),TIME(0,10,0))+IF((K20-J20)&gt;xNoWorkTime,0,xNoWorkTime-(K20-J20)),0)</f>
        <v>0</v>
      </c>
      <c r="M20" s="113">
        <f>IF(L20&lt;K20,L20+1,L20)</f>
        <v>0</v>
      </c>
      <c r="N20" s="113"/>
      <c r="O20" s="113">
        <f>IF(N20&gt;0,N20+IF((J20-H20+M20-K20)&lt;Y20,Y20-(J20-H20+M20-K20),TIME(0,10,0))+IF((K20-J20+N20-M20)&gt;xNoWorkTime,0,xNoWorkTime-(K20-J20+N20-M20)),0)</f>
        <v>0</v>
      </c>
      <c r="P20" s="113"/>
      <c r="Q20" s="113">
        <f>IF(O20&lt;N20,O20+1,O20)</f>
        <v>0</v>
      </c>
      <c r="R20" s="113">
        <f>J20-H20+M20-K20+Q20-N20</f>
        <v>0</v>
      </c>
      <c r="S20" s="113">
        <f>IF(K20&gt;0,K20-I20,0)+IF(N20&gt;0,N20-L20)</f>
        <v>0</v>
      </c>
      <c r="T20" s="113">
        <f>IF(H20&gt;0,(IF(R20&gt;B_Pause1Nach,B_Pause1Dauer+IF(BA20="Büro",B_WalkTime,0),IF(BA20="Büro",B_WalkTime,0))+IF(R20&gt;B_Pause2Nach,B_Pause2Dauer,0)),0)</f>
        <v>0</v>
      </c>
      <c r="U20" s="113">
        <f>IF(T20&gt;S20,T20-S20,0)</f>
        <v>0</v>
      </c>
      <c r="V20" s="146">
        <f>IF(F20="S",Z20,(IF((R20-U20)&gt;XWorkTimeMax,XWorkTimeMax,IF((R20-U20)&gt;0,R20-U20,0))))</f>
        <v>0</v>
      </c>
      <c r="W20" s="66"/>
      <c r="X20" s="115">
        <f>xNoWorkTime</f>
        <v>4.027777777777778E-2</v>
      </c>
      <c r="Y20" s="110">
        <f>IF(AND((AM20&lt;Feiertag),(G20&lt;&gt;85)),IF(OR(F20="B",F20="G",F20="S",H20&gt;0),H20-H20+Z20,0),0)</f>
        <v>0</v>
      </c>
      <c r="Z20" s="111">
        <f>IF(AND(AM20&gt;0,AM20&lt;Feiertag),INDEX(Arbeitszeit,AM20),"")</f>
        <v>0</v>
      </c>
      <c r="AA20" s="112">
        <f>V20-Y20</f>
        <v>0</v>
      </c>
      <c r="AB20" s="67" t="str">
        <f>IF((V20-Y20)&lt;0,"*","")</f>
        <v/>
      </c>
      <c r="AC20" s="193">
        <f>xOverTime</f>
        <v>0</v>
      </c>
      <c r="AD20" s="144" t="str">
        <f>IF((R20-U20)&gt;XWorkTimeMax,(R20-U20-XWorkTimeMax),"")</f>
        <v/>
      </c>
      <c r="AE20" s="225">
        <f>IF(AW20,(AE19+SUM(AA20)+(IF(AG20="+",AF20,-AF20))),)</f>
        <v>0</v>
      </c>
      <c r="AF20" s="110"/>
      <c r="AG20" s="627"/>
      <c r="AH20" s="110"/>
      <c r="AI20" s="110" t="str">
        <f>IF(AND(AF20&lt;&gt;"",AF20&lt;=V20),V20-AF20,"")</f>
        <v/>
      </c>
      <c r="AJ20" s="68">
        <f>IF(ISNUMBER(V20 ), IF( V20 &gt;= Y20, Y20, V20 ),"")</f>
        <v>0</v>
      </c>
      <c r="AK20" s="68">
        <f>IF( ISNUMBER( V20 ), IF( V20 &gt;= Y20, V20 - Y20, "" ), "" )</f>
        <v>0</v>
      </c>
      <c r="AL20" s="68" t="str">
        <f>IF( AND(ISNUMBER( V20 ),ISNUMBER( Y20 )), IF( V20 &gt;= Y20, "", Y20 - V20 ), "" )</f>
        <v/>
      </c>
      <c r="AM20">
        <f>IF(A20="",0,IF(ISERROR(VLOOKUP(A20,db_Feiertag,2,FALSE)),WEEKDAY(A20,2),Feiertag))</f>
        <v>7</v>
      </c>
      <c r="AN20" s="122">
        <f>SUM($AD$6:AD20)</f>
        <v>0</v>
      </c>
      <c r="AO20" s="122">
        <f ca="1">IF(D20=D19,AO19,OFFSET(AO20,-1,COLUMN(db_jSaldoGes)-COLUMN()))</f>
        <v>0</v>
      </c>
      <c r="AP20" s="126">
        <f>IF(OR($G20=-1,$G20=82),-1,IF(OR($G20=0,$G20=83),1,0))</f>
        <v>0</v>
      </c>
      <c r="AQ20" s="126">
        <f>IF($F20=Krank,1,IF($F20="J",-1,0))</f>
        <v>0</v>
      </c>
      <c r="AR20" s="126">
        <f>IF($F20=Urlaub,1,IF($F20="T",-1,0))</f>
        <v>0</v>
      </c>
      <c r="AS20" s="125">
        <f>IF(A20="","",AS19-IF(F20=Urlaub,1,0)+IF(AND(MONTH(A20)=1,DAY(A20)=1),B_UrlaubNeu,0))</f>
        <v>30</v>
      </c>
      <c r="AT20" s="125">
        <f ca="1">IF(A20="","",IF(D20=D19,AT19,OFFSET(AT20,-1,COLUMN(db_jUrlRest)-COLUMN()))+IF(AND(MONTH(A20)=1,DAY(A20)=1),B_UrlaubNeu,0))</f>
        <v>30</v>
      </c>
      <c r="AU20" s="135">
        <f>(IF(ISNUMBER(V20),V20,0)+IF(ISNUMBER(AD20),AD20,0))*24</f>
        <v>0</v>
      </c>
      <c r="AV20" s="125">
        <f>IF(ISNUMBER(AD20),K_ArbeitOverMax,IF(AND(ISNUMBER(AA20),AA20&gt;0),K_ArbeitOverTime,IF(AND(ISNUMBER(V20),V20&gt;0),K_ArbeitNormal,IF(F20=Krank,K_Krank,IF(F20=Urlaub,K_Urlaub,IF(AM20=Feiertag,K_Feiertag,IF(OR(AM20=6,AM20=7),K_Wochenende,0)))))))+IF(F20=Gleittag,K_Gleittag,0)</f>
        <v>7</v>
      </c>
      <c r="AW20" t="b">
        <f>OR((F20&gt;0),(NOT(ISBLANK(H20))),SUM(H20:H$373),SUM(G20:G$373))</f>
        <v>0</v>
      </c>
      <c r="AX20" t="b">
        <f ca="1">INDIRECT(ADDRESS(ROW(),COLUMN(xDay)))&gt;5</f>
        <v>1</v>
      </c>
      <c r="AY20" s="600">
        <f>IF(OR(R20&lt;&gt;0,F20&lt;&gt;0),AA20,IF(Z20="",0,-Z20))+(IF(AG20="+",AF20,-AF20))</f>
        <v>0</v>
      </c>
      <c r="AZ20" s="225">
        <f>SUM(AY$5:AY20)</f>
        <v>-2.625</v>
      </c>
      <c r="BA20" s="643"/>
      <c r="BB20" s="658">
        <f>IF(ISNA(MATCH(BA20,B_Arbeitsort,0)),0,MATCH(BA20,B_Arbeitsort,0))</f>
        <v>0</v>
      </c>
      <c r="BC20" s="643"/>
    </row>
    <row r="21" spans="1:55" ht="15.75">
      <c r="A21" s="305">
        <f>IF(A20="","",IF((A20+1)&gt;=DATE(YEAR(xJahr)+1,MONTH(xJahr),DAY(xJahr)),"",A20+1))</f>
        <v>43480</v>
      </c>
      <c r="B21" s="306">
        <f>IF(A21="","",A21)</f>
        <v>43480</v>
      </c>
      <c r="C21" s="307">
        <f>IF(A21="","",NumberOfWeek(A21))</f>
        <v>3</v>
      </c>
      <c r="D21" s="308">
        <f>IF(A21="","",DATE(YEAR(A21),MONTH(A21),1))</f>
        <v>43465</v>
      </c>
      <c r="E21" s="318" t="str">
        <f>IF((R21-U21)&gt;XWorkTimeMax,$Z$4,IF(AV21=Feiertag,VLOOKUP(B21,db_Feiertag,2,FALSE),""))</f>
        <v/>
      </c>
      <c r="F21" s="5"/>
      <c r="G21" s="6" t="str">
        <f>IF(ISBLANK(F21),IF(ISBLANK(H21),"",0),CODE(UPPER(F21)))</f>
        <v/>
      </c>
      <c r="H21" s="7"/>
      <c r="I21" s="7">
        <f>IF(H21&gt;0,H21+Y21+X21+AC21,0)</f>
        <v>0</v>
      </c>
      <c r="J21" s="113">
        <f>IF(K21&gt;I21,IF(I21&lt;H21,I21+1,I21)-B_WalkTime,IF(I21&lt;H21,I21+1,I21))</f>
        <v>0</v>
      </c>
      <c r="K21" s="7"/>
      <c r="L21" s="7">
        <f>IF(K21&gt;0,K21+IF((J21-H21)&lt;Y21,Y21-(J21-H21),TIME(0,10,0))+IF((K21-J21)&gt;xNoWorkTime,0,xNoWorkTime-(K21-J21)),0)</f>
        <v>0</v>
      </c>
      <c r="M21" s="113">
        <f>IF(L21&lt;K21,L21+1,L21)</f>
        <v>0</v>
      </c>
      <c r="N21" s="113"/>
      <c r="O21" s="113">
        <f>IF(N21&gt;0,N21+IF((J21-H21+M21-K21)&lt;Y21,Y21-(J21-H21+M21-K21),TIME(0,10,0))+IF((K21-J21+N21-M21)&gt;xNoWorkTime,0,xNoWorkTime-(K21-J21+N21-M21)),0)</f>
        <v>0</v>
      </c>
      <c r="P21" s="113"/>
      <c r="Q21" s="113">
        <f>IF(O21&lt;N21,O21+1,O21)</f>
        <v>0</v>
      </c>
      <c r="R21" s="113">
        <f>J21-H21+M21-K21+Q21-N21</f>
        <v>0</v>
      </c>
      <c r="S21" s="113">
        <f>IF(K21&gt;0,K21-I21,0)+IF(N21&gt;0,N21-L21)</f>
        <v>0</v>
      </c>
      <c r="T21" s="113">
        <f>IF(H21&gt;0,(IF(R21&gt;B_Pause1Nach,B_Pause1Dauer+IF(BA21="Büro",B_WalkTime,0),IF(BA21="Büro",B_WalkTime,0))+IF(R21&gt;B_Pause2Nach,B_Pause2Dauer,0)),0)</f>
        <v>0</v>
      </c>
      <c r="U21" s="113">
        <f>IF(T21&gt;S21,T21-S21,0)</f>
        <v>0</v>
      </c>
      <c r="V21" s="146">
        <f>IF(F21="S",Z21,(IF((R21-U21)&gt;XWorkTimeMax,XWorkTimeMax,IF((R21-U21)&gt;0,R21-U21,0))))</f>
        <v>0</v>
      </c>
      <c r="W21" s="66"/>
      <c r="X21" s="115">
        <f>xNoWorkTime</f>
        <v>4.027777777777778E-2</v>
      </c>
      <c r="Y21" s="110">
        <f>IF(AND((AM21&lt;Feiertag),(G21&lt;&gt;85)),IF(OR(F21="B",F21="G",F21="S",H21&gt;0),H21-H21+Z21,0),0)</f>
        <v>0</v>
      </c>
      <c r="Z21" s="111">
        <f>IF(AND(AM21&gt;0,AM21&lt;Feiertag),INDEX(Arbeitszeit,AM21),"")</f>
        <v>0.29166666666666669</v>
      </c>
      <c r="AA21" s="112">
        <f>V21-Y21</f>
        <v>0</v>
      </c>
      <c r="AB21" s="67" t="str">
        <f>IF((V21-Y21)&lt;0,"*","")</f>
        <v/>
      </c>
      <c r="AC21" s="193">
        <f>xOverTime</f>
        <v>0</v>
      </c>
      <c r="AD21" s="144" t="str">
        <f>IF((R21-U21)&gt;XWorkTimeMax,(R21-U21-XWorkTimeMax),"")</f>
        <v/>
      </c>
      <c r="AE21" s="225">
        <f>IF(AW21,(AE20+SUM(AA21)+(IF(AG21="+",AF21,-AF21))),)</f>
        <v>0</v>
      </c>
      <c r="AF21" s="110"/>
      <c r="AG21" s="627"/>
      <c r="AH21" s="110"/>
      <c r="AI21" s="110" t="str">
        <f>IF(AND(AF21&lt;&gt;"",AF21&lt;=V21),V21-AF21,"")</f>
        <v/>
      </c>
      <c r="AJ21" s="68">
        <f>IF(ISNUMBER(V21 ), IF( V21 &gt;= Y21, Y21, V21 ),"")</f>
        <v>0</v>
      </c>
      <c r="AK21" s="68">
        <f>IF( ISNUMBER( V21 ), IF( V21 &gt;= Y21, V21 - Y21, "" ), "" )</f>
        <v>0</v>
      </c>
      <c r="AL21" s="68" t="str">
        <f>IF( AND(ISNUMBER( V21 ),ISNUMBER( Y21 )), IF( V21 &gt;= Y21, "", Y21 - V21 ), "" )</f>
        <v/>
      </c>
      <c r="AM21">
        <f>IF(A21="",0,IF(ISERROR(VLOOKUP(A21,db_Feiertag,2,FALSE)),WEEKDAY(A21,2),Feiertag))</f>
        <v>1</v>
      </c>
      <c r="AN21" s="122">
        <f>SUM($AD$6:AD21)</f>
        <v>0</v>
      </c>
      <c r="AO21" s="122">
        <f ca="1">IF(D21=D20,AO20,OFFSET(AO21,-1,COLUMN(db_jSaldoGes)-COLUMN()))</f>
        <v>0</v>
      </c>
      <c r="AP21" s="126">
        <f>IF(OR($G21=-1,$G21=82),-1,IF(OR($G21=0,$G21=83),1,0))</f>
        <v>0</v>
      </c>
      <c r="AQ21" s="126">
        <f>IF($F21=Krank,1,IF($F21="J",-1,0))</f>
        <v>0</v>
      </c>
      <c r="AR21" s="126">
        <f>IF($F21=Urlaub,1,IF($F21="T",-1,0))</f>
        <v>0</v>
      </c>
      <c r="AS21" s="125">
        <f>IF(A21="","",AS20-IF(F21=Urlaub,1,0)+IF(AND(MONTH(A21)=1,DAY(A21)=1),B_UrlaubNeu,0))</f>
        <v>30</v>
      </c>
      <c r="AT21" s="125">
        <f ca="1">IF(A21="","",IF(D21=D20,AT20,OFFSET(AT21,-1,COLUMN(db_jUrlRest)-COLUMN()))+IF(AND(MONTH(A21)=1,DAY(A21)=1),B_UrlaubNeu,0))</f>
        <v>30</v>
      </c>
      <c r="AU21" s="135">
        <f>(IF(ISNUMBER(V21),V21,0)+IF(ISNUMBER(AD21),AD21,0))*24</f>
        <v>0</v>
      </c>
      <c r="AV21" s="125">
        <f>IF(ISNUMBER(AD21),K_ArbeitOverMax,IF(AND(ISNUMBER(AA21),AA21&gt;0),K_ArbeitOverTime,IF(AND(ISNUMBER(V21),V21&gt;0),K_ArbeitNormal,IF(F21=Krank,K_Krank,IF(F21=Urlaub,K_Urlaub,IF(AM21=Feiertag,K_Feiertag,IF(OR(AM21=6,AM21=7),K_Wochenende,0)))))))+IF(F21=Gleittag,K_Gleittag,0)</f>
        <v>0</v>
      </c>
      <c r="AW21" t="b">
        <f>OR((F21&gt;0),(NOT(ISBLANK(H21))),SUM(H21:H$373),SUM(G21:G$373))</f>
        <v>0</v>
      </c>
      <c r="AX21" t="b">
        <f ca="1">INDIRECT(ADDRESS(ROW(),COLUMN(xDay)))&gt;5</f>
        <v>0</v>
      </c>
      <c r="AY21" s="600">
        <f>IF(OR(R21&lt;&gt;0,F21&lt;&gt;0),AA21,IF(Z21="",0,-Z21))+(IF(AG21="+",AF21,-AF21))</f>
        <v>-0.29166666666666669</v>
      </c>
      <c r="AZ21" s="225">
        <f>SUM(AY$5:AY21)</f>
        <v>-2.9166666666666665</v>
      </c>
      <c r="BA21" s="658"/>
      <c r="BB21" s="658">
        <f>IF(ISNA(MATCH(BA21,B_Arbeitsort,0)),0,MATCH(BA21,B_Arbeitsort,0))</f>
        <v>0</v>
      </c>
      <c r="BC21" s="658"/>
    </row>
    <row r="22" spans="1:55" ht="15.75">
      <c r="A22" s="305">
        <f>IF(A21="","",IF((A21+1)&gt;=DATE(YEAR(xJahr)+1,MONTH(xJahr),DAY(xJahr)),"",A21+1))</f>
        <v>43481</v>
      </c>
      <c r="B22" s="306">
        <f>IF(A22="","",A22)</f>
        <v>43481</v>
      </c>
      <c r="C22" s="307">
        <f>IF(A22="","",NumberOfWeek(A22))</f>
        <v>3</v>
      </c>
      <c r="D22" s="308">
        <f>IF(A22="","",DATE(YEAR(A22),MONTH(A22),1))</f>
        <v>43465</v>
      </c>
      <c r="E22" s="318" t="str">
        <f>IF((R22-U22)&gt;XWorkTimeMax,$Z$4,IF(AV22=Feiertag,VLOOKUP(B22,db_Feiertag,2,FALSE),""))</f>
        <v/>
      </c>
      <c r="F22" s="5"/>
      <c r="G22" s="6" t="str">
        <f>IF(ISBLANK(F22),IF(ISBLANK(H22),"",0),CODE(UPPER(F22)))</f>
        <v/>
      </c>
      <c r="H22" s="7"/>
      <c r="I22" s="7">
        <f>IF(H22&gt;0,H22+Y22+X22+AC22,0)</f>
        <v>0</v>
      </c>
      <c r="J22" s="113">
        <f>IF(K22&gt;I22,IF(I22&lt;H22,I22+1,I22)-B_WalkTime,IF(I22&lt;H22,I22+1,I22))</f>
        <v>0</v>
      </c>
      <c r="K22" s="7"/>
      <c r="L22" s="7">
        <f>IF(K22&gt;0,K22+IF((J22-H22)&lt;Y22,Y22-(J22-H22),TIME(0,10,0))+IF((K22-J22)&gt;xNoWorkTime,0,xNoWorkTime-(K22-J22)),0)</f>
        <v>0</v>
      </c>
      <c r="M22" s="113">
        <f>IF(L22&lt;K22,L22+1,L22)</f>
        <v>0</v>
      </c>
      <c r="N22" s="113"/>
      <c r="O22" s="113">
        <f>IF(N22&gt;0,N22+IF((J22-H22+M22-K22)&lt;Y22,Y22-(J22-H22+M22-K22),TIME(0,10,0))+IF((K22-J22+N22-M22)&gt;xNoWorkTime,0,xNoWorkTime-(K22-J22+N22-M22)),0)</f>
        <v>0</v>
      </c>
      <c r="P22" s="113"/>
      <c r="Q22" s="113">
        <f>IF(O22&lt;N22,O22+1,O22)</f>
        <v>0</v>
      </c>
      <c r="R22" s="113">
        <f>J22-H22+M22-K22+Q22-N22</f>
        <v>0</v>
      </c>
      <c r="S22" s="113">
        <f>IF(K22&gt;0,K22-I22,0)+IF(N22&gt;0,N22-L22)</f>
        <v>0</v>
      </c>
      <c r="T22" s="113">
        <f>IF(H22&gt;0,(IF(R22&gt;B_Pause1Nach,B_Pause1Dauer+IF(BA22="Büro",B_WalkTime,0),IF(BA22="Büro",B_WalkTime,0))+IF(R22&gt;B_Pause2Nach,B_Pause2Dauer,0)),0)</f>
        <v>0</v>
      </c>
      <c r="U22" s="113">
        <f>IF(T22&gt;S22,T22-S22,0)</f>
        <v>0</v>
      </c>
      <c r="V22" s="146">
        <f>IF(F22="S",Z22,(IF((R22-U22)&gt;XWorkTimeMax,XWorkTimeMax,IF((R22-U22)&gt;0,R22-U22,0))))</f>
        <v>0</v>
      </c>
      <c r="W22" s="66"/>
      <c r="X22" s="115">
        <f>xNoWorkTime</f>
        <v>4.027777777777778E-2</v>
      </c>
      <c r="Y22" s="110">
        <f>IF(AND((AM22&lt;Feiertag),(G22&lt;&gt;85)),IF(OR(F22="B",F22="G",F22="S",H22&gt;0),H22-H22+Z22,0),0)</f>
        <v>0</v>
      </c>
      <c r="Z22" s="111">
        <f>IF(AND(AM22&gt;0,AM22&lt;Feiertag),INDEX(Arbeitszeit,AM22),"")</f>
        <v>0.29166666666666669</v>
      </c>
      <c r="AA22" s="112">
        <f>V22-Y22</f>
        <v>0</v>
      </c>
      <c r="AB22" s="67" t="str">
        <f>IF((V22-Y22)&lt;0,"*","")</f>
        <v/>
      </c>
      <c r="AC22" s="193">
        <f>xOverTime</f>
        <v>0</v>
      </c>
      <c r="AD22" s="144" t="str">
        <f>IF((R22-U22)&gt;XWorkTimeMax,(R22-U22-XWorkTimeMax),"")</f>
        <v/>
      </c>
      <c r="AE22" s="225">
        <f>IF(AW22,(AE21+SUM(AA22)+(IF(AG22="+",AF22,-AF22))),)</f>
        <v>0</v>
      </c>
      <c r="AF22" s="110"/>
      <c r="AG22" s="627"/>
      <c r="AH22" s="110"/>
      <c r="AI22" s="110" t="str">
        <f>IF(AND(AF22&lt;&gt;"",AF22&lt;=V22),V22-AF22,"")</f>
        <v/>
      </c>
      <c r="AJ22" s="68">
        <f>IF(ISNUMBER(V22 ), IF( V22 &gt;= Y22, Y22, V22 ),"")</f>
        <v>0</v>
      </c>
      <c r="AK22" s="68">
        <f>IF( ISNUMBER( V22 ), IF( V22 &gt;= Y22, V22 - Y22, "" ), "" )</f>
        <v>0</v>
      </c>
      <c r="AL22" s="68" t="str">
        <f>IF( AND(ISNUMBER( V22 ),ISNUMBER( Y22 )), IF( V22 &gt;= Y22, "", Y22 - V22 ), "" )</f>
        <v/>
      </c>
      <c r="AM22">
        <f>IF(A22="",0,IF(ISERROR(VLOOKUP(A22,db_Feiertag,2,FALSE)),WEEKDAY(A22,2),Feiertag))</f>
        <v>2</v>
      </c>
      <c r="AN22" s="122">
        <f>SUM($AD$6:AD22)</f>
        <v>0</v>
      </c>
      <c r="AO22" s="122">
        <f ca="1">IF(D22=D21,AO21,OFFSET(AO22,-1,COLUMN(db_jSaldoGes)-COLUMN()))</f>
        <v>0</v>
      </c>
      <c r="AP22" s="126">
        <f>IF(OR($G22=-1,$G22=82),-1,IF(OR($G22=0,$G22=83),1,0))</f>
        <v>0</v>
      </c>
      <c r="AQ22" s="126">
        <f>IF($F22=Krank,1,IF($F22="J",-1,0))</f>
        <v>0</v>
      </c>
      <c r="AR22" s="126">
        <f>IF($F22=Urlaub,1,IF($F22="T",-1,0))</f>
        <v>0</v>
      </c>
      <c r="AS22" s="125">
        <f>IF(A22="","",AS21-IF(F22=Urlaub,1,0)+IF(AND(MONTH(A22)=1,DAY(A22)=1),B_UrlaubNeu,0))</f>
        <v>30</v>
      </c>
      <c r="AT22" s="125">
        <f ca="1">IF(A22="","",IF(D22=D21,AT21,OFFSET(AT22,-1,COLUMN(db_jUrlRest)-COLUMN()))+IF(AND(MONTH(A22)=1,DAY(A22)=1),B_UrlaubNeu,0))</f>
        <v>30</v>
      </c>
      <c r="AU22" s="135">
        <f>(IF(ISNUMBER(V22),V22,0)+IF(ISNUMBER(AD22),AD22,0))*24</f>
        <v>0</v>
      </c>
      <c r="AV22" s="125">
        <f>IF(ISNUMBER(AD22),K_ArbeitOverMax,IF(AND(ISNUMBER(AA22),AA22&gt;0),K_ArbeitOverTime,IF(AND(ISNUMBER(V22),V22&gt;0),K_ArbeitNormal,IF(F22=Krank,K_Krank,IF(F22=Urlaub,K_Urlaub,IF(AM22=Feiertag,K_Feiertag,IF(OR(AM22=6,AM22=7),K_Wochenende,0)))))))+IF(F22=Gleittag,K_Gleittag,0)</f>
        <v>0</v>
      </c>
      <c r="AW22" t="b">
        <f>OR((F22&gt;0),(NOT(ISBLANK(H22))),SUM(H22:H$373),SUM(G22:G$373))</f>
        <v>0</v>
      </c>
      <c r="AX22" t="b">
        <f ca="1">INDIRECT(ADDRESS(ROW(),COLUMN(xDay)))&gt;5</f>
        <v>0</v>
      </c>
      <c r="AY22" s="600">
        <f>IF(OR(R22&lt;&gt;0,F22&lt;&gt;0),AA22,IF(Z22="",0,-Z22))+(IF(AG22="+",AF22,-AF22))</f>
        <v>-0.29166666666666669</v>
      </c>
      <c r="AZ22" s="225">
        <f>SUM(AY$5:AY22)</f>
        <v>-3.208333333333333</v>
      </c>
      <c r="BA22" s="658"/>
      <c r="BB22" s="658">
        <f>IF(ISNA(MATCH(BA22,B_Arbeitsort,0)),0,MATCH(BA22,B_Arbeitsort,0))</f>
        <v>0</v>
      </c>
      <c r="BC22" s="658"/>
    </row>
    <row r="23" spans="1:55" ht="15.75">
      <c r="A23" s="305">
        <f>IF(A22="","",IF((A22+1)&gt;=DATE(YEAR(xJahr)+1,MONTH(xJahr),DAY(xJahr)),"",A22+1))</f>
        <v>43482</v>
      </c>
      <c r="B23" s="306">
        <f>IF(A23="","",A23)</f>
        <v>43482</v>
      </c>
      <c r="C23" s="307">
        <f>IF(A23="","",NumberOfWeek(A23))</f>
        <v>3</v>
      </c>
      <c r="D23" s="308">
        <f>IF(A23="","",DATE(YEAR(A23),MONTH(A23),1))</f>
        <v>43465</v>
      </c>
      <c r="E23" s="318" t="str">
        <f>IF((R23-U23)&gt;XWorkTimeMax,$Z$4,IF(AV23=Feiertag,VLOOKUP(B23,db_Feiertag,2,FALSE),""))</f>
        <v/>
      </c>
      <c r="F23" s="5"/>
      <c r="G23" s="6" t="str">
        <f>IF(ISBLANK(F23),IF(ISBLANK(H23),"",0),CODE(UPPER(F23)))</f>
        <v/>
      </c>
      <c r="H23" s="7"/>
      <c r="I23" s="7">
        <f>IF(H23&gt;0,H23+Y23+X23+AC23,0)</f>
        <v>0</v>
      </c>
      <c r="J23" s="113">
        <f>IF(K23&gt;I23,IF(I23&lt;H23,I23+1,I23)-B_WalkTime,IF(I23&lt;H23,I23+1,I23))</f>
        <v>0</v>
      </c>
      <c r="K23" s="7"/>
      <c r="L23" s="7">
        <f>IF(K23&gt;0,K23+IF((J23-H23)&lt;Y23,Y23-(J23-H23),TIME(0,10,0))+IF((K23-J23)&gt;xNoWorkTime,0,xNoWorkTime-(K23-J23)),0)</f>
        <v>0</v>
      </c>
      <c r="M23" s="113">
        <f>IF(L23&lt;K23,L23+1,L23)</f>
        <v>0</v>
      </c>
      <c r="N23" s="113"/>
      <c r="O23" s="113">
        <f>IF(N23&gt;0,N23+IF((J23-H23+M23-K23)&lt;Y23,Y23-(J23-H23+M23-K23),TIME(0,10,0))+IF((K23-J23+N23-M23)&gt;xNoWorkTime,0,xNoWorkTime-(K23-J23+N23-M23)),0)</f>
        <v>0</v>
      </c>
      <c r="P23" s="113"/>
      <c r="Q23" s="113">
        <f>IF(O23&lt;N23,O23+1,O23)</f>
        <v>0</v>
      </c>
      <c r="R23" s="113">
        <f>J23-H23+M23-K23+Q23-N23</f>
        <v>0</v>
      </c>
      <c r="S23" s="113">
        <f>IF(K23&gt;0,K23-I23,0)+IF(N23&gt;0,N23-L23)</f>
        <v>0</v>
      </c>
      <c r="T23" s="113">
        <f>IF(H23&gt;0,(IF(R23&gt;B_Pause1Nach,B_Pause1Dauer+IF(BA23="Büro",B_WalkTime,0),IF(BA23="Büro",B_WalkTime,0))+IF(R23&gt;B_Pause2Nach,B_Pause2Dauer,0)),0)</f>
        <v>0</v>
      </c>
      <c r="U23" s="113">
        <f>IF(T23&gt;S23,T23-S23,0)</f>
        <v>0</v>
      </c>
      <c r="V23" s="146">
        <f>IF(F23="S",Z23,(IF((R23-U23)&gt;XWorkTimeMax,XWorkTimeMax,IF((R23-U23)&gt;0,R23-U23,0))))</f>
        <v>0</v>
      </c>
      <c r="W23" s="66"/>
      <c r="X23" s="115">
        <f>xNoWorkTime</f>
        <v>4.027777777777778E-2</v>
      </c>
      <c r="Y23" s="110">
        <f>IF(AND((AM23&lt;Feiertag),(G23&lt;&gt;85)),IF(OR(F23="B",F23="G",F23="S",H23&gt;0),H23-H23+Z23,0),0)</f>
        <v>0</v>
      </c>
      <c r="Z23" s="111">
        <f>IF(AND(AM23&gt;0,AM23&lt;Feiertag),INDEX(Arbeitszeit,AM23),"")</f>
        <v>0.29166666666666669</v>
      </c>
      <c r="AA23" s="112">
        <f>V23-Y23</f>
        <v>0</v>
      </c>
      <c r="AB23" s="67" t="str">
        <f>IF((V23-Y23)&lt;0,"*","")</f>
        <v/>
      </c>
      <c r="AC23" s="193">
        <f>xOverTime</f>
        <v>0</v>
      </c>
      <c r="AD23" s="144" t="str">
        <f>IF((R23-U23)&gt;XWorkTimeMax,(R23-U23-XWorkTimeMax),"")</f>
        <v/>
      </c>
      <c r="AE23" s="225">
        <f>IF(AW23,(AE22+SUM(AA23)+(IF(AG23="+",AF23,-AF23))),)</f>
        <v>0</v>
      </c>
      <c r="AF23" s="110"/>
      <c r="AG23" s="627"/>
      <c r="AH23" s="110"/>
      <c r="AI23" s="110" t="str">
        <f>IF(AND(AF23&lt;&gt;"",AF23&lt;=V23),V23-AF23,"")</f>
        <v/>
      </c>
      <c r="AJ23" s="68">
        <f>IF(ISNUMBER(V23 ), IF( V23 &gt;= Y23, Y23, V23 ),"")</f>
        <v>0</v>
      </c>
      <c r="AK23" s="68">
        <f>IF( ISNUMBER( V23 ), IF( V23 &gt;= Y23, V23 - Y23, "" ), "" )</f>
        <v>0</v>
      </c>
      <c r="AL23" s="68" t="str">
        <f>IF( AND(ISNUMBER( V23 ),ISNUMBER( Y23 )), IF( V23 &gt;= Y23, "", Y23 - V23 ), "" )</f>
        <v/>
      </c>
      <c r="AM23">
        <f>IF(A23="",0,IF(ISERROR(VLOOKUP(A23,db_Feiertag,2,FALSE)),WEEKDAY(A23,2),Feiertag))</f>
        <v>3</v>
      </c>
      <c r="AN23" s="122">
        <f>SUM($AD$6:AD23)</f>
        <v>0</v>
      </c>
      <c r="AO23" s="122">
        <f ca="1">IF(D23=D22,AO22,OFFSET(AO23,-1,COLUMN(db_jSaldoGes)-COLUMN()))</f>
        <v>0</v>
      </c>
      <c r="AP23" s="126">
        <f>IF(OR($G23=-1,$G23=82),-1,IF(OR($G23=0,$G23=83),1,0))</f>
        <v>0</v>
      </c>
      <c r="AQ23" s="126">
        <f>IF($F23=Krank,1,IF($F23="J",-1,0))</f>
        <v>0</v>
      </c>
      <c r="AR23" s="126">
        <f>IF($F23=Urlaub,1,IF($F23="T",-1,0))</f>
        <v>0</v>
      </c>
      <c r="AS23" s="125">
        <f>IF(A23="","",AS22-IF(F23=Urlaub,1,0)+IF(AND(MONTH(A23)=1,DAY(A23)=1),B_UrlaubNeu,0))</f>
        <v>30</v>
      </c>
      <c r="AT23" s="125">
        <f ca="1">IF(A23="","",IF(D23=D22,AT22,OFFSET(AT23,-1,COLUMN(db_jUrlRest)-COLUMN()))+IF(AND(MONTH(A23)=1,DAY(A23)=1),B_UrlaubNeu,0))</f>
        <v>30</v>
      </c>
      <c r="AU23" s="135">
        <f>(IF(ISNUMBER(V23),V23,0)+IF(ISNUMBER(AD23),AD23,0))*24</f>
        <v>0</v>
      </c>
      <c r="AV23" s="125">
        <f>IF(ISNUMBER(AD23),K_ArbeitOverMax,IF(AND(ISNUMBER(AA23),AA23&gt;0),K_ArbeitOverTime,IF(AND(ISNUMBER(V23),V23&gt;0),K_ArbeitNormal,IF(F23=Krank,K_Krank,IF(F23=Urlaub,K_Urlaub,IF(AM23=Feiertag,K_Feiertag,IF(OR(AM23=6,AM23=7),K_Wochenende,0)))))))+IF(F23=Gleittag,K_Gleittag,0)</f>
        <v>0</v>
      </c>
      <c r="AW23" t="b">
        <f>OR((F23&gt;0),(NOT(ISBLANK(H23))),SUM(H23:H$373),SUM(G23:G$373))</f>
        <v>0</v>
      </c>
      <c r="AX23" t="b">
        <f ca="1">INDIRECT(ADDRESS(ROW(),COLUMN(xDay)))&gt;5</f>
        <v>0</v>
      </c>
      <c r="AY23" s="600">
        <f>IF(OR(R23&lt;&gt;0,F23&lt;&gt;0),AA23,IF(Z23="",0,-Z23))+(IF(AG23="+",AF23,-AF23))</f>
        <v>-0.29166666666666669</v>
      </c>
      <c r="AZ23" s="225">
        <f>SUM(AY$5:AY23)</f>
        <v>-3.4999999999999996</v>
      </c>
      <c r="BA23" s="658"/>
      <c r="BB23" s="658">
        <f>IF(ISNA(MATCH(BA23,B_Arbeitsort,0)),0,MATCH(BA23,B_Arbeitsort,0))</f>
        <v>0</v>
      </c>
      <c r="BC23" s="658"/>
    </row>
    <row r="24" spans="1:55" ht="15.75">
      <c r="A24" s="305">
        <f>IF(A23="","",IF((A23+1)&gt;=DATE(YEAR(xJahr)+1,MONTH(xJahr),DAY(xJahr)),"",A23+1))</f>
        <v>43483</v>
      </c>
      <c r="B24" s="306">
        <f>IF(A24="","",A24)</f>
        <v>43483</v>
      </c>
      <c r="C24" s="307">
        <f>IF(A24="","",NumberOfWeek(A24))</f>
        <v>3</v>
      </c>
      <c r="D24" s="308">
        <f>IF(A24="","",DATE(YEAR(A24),MONTH(A24),1))</f>
        <v>43465</v>
      </c>
      <c r="E24" s="318" t="str">
        <f>IF((R24-U24)&gt;XWorkTimeMax,$Z$4,IF(AV24=Feiertag,VLOOKUP(B24,db_Feiertag,2,FALSE),""))</f>
        <v/>
      </c>
      <c r="F24" s="5"/>
      <c r="G24" s="6" t="str">
        <f>IF(ISBLANK(F24),IF(ISBLANK(H24),"",0),CODE(UPPER(F24)))</f>
        <v/>
      </c>
      <c r="H24" s="7"/>
      <c r="I24" s="7">
        <f>IF(H24&gt;0,H24+Y24+X24+AC24,0)</f>
        <v>0</v>
      </c>
      <c r="J24" s="113">
        <f>IF(K24&gt;I24,IF(I24&lt;H24,I24+1,I24)-B_WalkTime,IF(I24&lt;H24,I24+1,I24))</f>
        <v>0</v>
      </c>
      <c r="K24" s="7"/>
      <c r="L24" s="7">
        <f>IF(K24&gt;0,K24+IF((J24-H24)&lt;Y24,Y24-(J24-H24),TIME(0,10,0))+IF((K24-J24)&gt;xNoWorkTime,0,xNoWorkTime-(K24-J24)),0)</f>
        <v>0</v>
      </c>
      <c r="M24" s="113">
        <f>IF(L24&lt;K24,L24+1,L24)</f>
        <v>0</v>
      </c>
      <c r="N24" s="113"/>
      <c r="O24" s="113">
        <f>IF(N24&gt;0,N24+IF((J24-H24+M24-K24)&lt;Y24,Y24-(J24-H24+M24-K24),TIME(0,10,0))+IF((K24-J24+N24-M24)&gt;xNoWorkTime,0,xNoWorkTime-(K24-J24+N24-M24)),0)</f>
        <v>0</v>
      </c>
      <c r="P24" s="113"/>
      <c r="Q24" s="113">
        <f>IF(O24&lt;N24,O24+1,O24)</f>
        <v>0</v>
      </c>
      <c r="R24" s="113">
        <f>J24-H24+M24-K24+Q24-N24</f>
        <v>0</v>
      </c>
      <c r="S24" s="113">
        <f>IF(K24&gt;0,K24-I24,0)+IF(N24&gt;0,N24-L24)</f>
        <v>0</v>
      </c>
      <c r="T24" s="113">
        <f>IF(H24&gt;0,(IF(R24&gt;B_Pause1Nach,B_Pause1Dauer+IF(BA24="Büro",B_WalkTime,0),IF(BA24="Büro",B_WalkTime,0))+IF(R24&gt;B_Pause2Nach,B_Pause2Dauer,0)),0)</f>
        <v>0</v>
      </c>
      <c r="U24" s="113">
        <f>IF(T24&gt;S24,T24-S24,0)</f>
        <v>0</v>
      </c>
      <c r="V24" s="146">
        <f>IF(F24="S",Z24,(IF((R24-U24)&gt;XWorkTimeMax,XWorkTimeMax,IF((R24-U24)&gt;0,R24-U24,0))))</f>
        <v>0</v>
      </c>
      <c r="W24" s="66"/>
      <c r="X24" s="115">
        <f>xNoWorkTime</f>
        <v>4.027777777777778E-2</v>
      </c>
      <c r="Y24" s="110">
        <f>IF(AND((AM24&lt;Feiertag),(G24&lt;&gt;85)),IF(OR(F24="B",F24="G",F24="S",H24&gt;0),H24-H24+Z24,0),0)</f>
        <v>0</v>
      </c>
      <c r="Z24" s="111">
        <f>IF(AND(AM24&gt;0,AM24&lt;Feiertag),INDEX(Arbeitszeit,AM24),"")</f>
        <v>0.29166666666666669</v>
      </c>
      <c r="AA24" s="112">
        <f>V24-Y24</f>
        <v>0</v>
      </c>
      <c r="AB24" s="67" t="str">
        <f>IF((V24-Y24)&lt;0,"*","")</f>
        <v/>
      </c>
      <c r="AC24" s="193">
        <f>xOverTime</f>
        <v>0</v>
      </c>
      <c r="AD24" s="144" t="str">
        <f>IF((R24-U24)&gt;XWorkTimeMax,(R24-U24-XWorkTimeMax),"")</f>
        <v/>
      </c>
      <c r="AE24" s="225">
        <f>IF(AW24,(AE23+SUM(AA24)+(IF(AG24="+",AF24,-AF24))),)</f>
        <v>0</v>
      </c>
      <c r="AF24" s="110"/>
      <c r="AG24" s="627"/>
      <c r="AH24" s="110"/>
      <c r="AI24" s="110" t="str">
        <f>IF(AND(AF24&lt;&gt;"",AF24&lt;=V24),V24-AF24,"")</f>
        <v/>
      </c>
      <c r="AJ24" s="68">
        <f>IF(ISNUMBER(V24 ), IF( V24 &gt;= Y24, Y24, V24 ),"")</f>
        <v>0</v>
      </c>
      <c r="AK24" s="68">
        <f>IF( ISNUMBER( V24 ), IF( V24 &gt;= Y24, V24 - Y24, "" ), "" )</f>
        <v>0</v>
      </c>
      <c r="AL24" s="68" t="str">
        <f>IF( AND(ISNUMBER( V24 ),ISNUMBER( Y24 )), IF( V24 &gt;= Y24, "", Y24 - V24 ), "" )</f>
        <v/>
      </c>
      <c r="AM24">
        <f>IF(A24="",0,IF(ISERROR(VLOOKUP(A24,db_Feiertag,2,FALSE)),WEEKDAY(A24,2),Feiertag))</f>
        <v>4</v>
      </c>
      <c r="AN24" s="122">
        <f>SUM($AD$6:AD24)</f>
        <v>0</v>
      </c>
      <c r="AO24" s="122">
        <f ca="1">IF(D24=D23,AO23,OFFSET(AO24,-1,COLUMN(db_jSaldoGes)-COLUMN()))</f>
        <v>0</v>
      </c>
      <c r="AP24" s="126">
        <f>IF(OR($G24=-1,$G24=82),-1,IF(OR($G24=0,$G24=83),1,0))</f>
        <v>0</v>
      </c>
      <c r="AQ24" s="126">
        <f>IF($F24=Krank,1,IF($F24="J",-1,0))</f>
        <v>0</v>
      </c>
      <c r="AR24" s="126">
        <f>IF($F24=Urlaub,1,IF($F24="T",-1,0))</f>
        <v>0</v>
      </c>
      <c r="AS24" s="125">
        <f>IF(A24="","",AS23-IF(F24=Urlaub,1,0)+IF(AND(MONTH(A24)=1,DAY(A24)=1),B_UrlaubNeu,0))</f>
        <v>30</v>
      </c>
      <c r="AT24" s="125">
        <f ca="1">IF(A24="","",IF(D24=D23,AT23,OFFSET(AT24,-1,COLUMN(db_jUrlRest)-COLUMN()))+IF(AND(MONTH(A24)=1,DAY(A24)=1),B_UrlaubNeu,0))</f>
        <v>30</v>
      </c>
      <c r="AU24" s="135">
        <f>(IF(ISNUMBER(V24),V24,0)+IF(ISNUMBER(AD24),AD24,0))*24</f>
        <v>0</v>
      </c>
      <c r="AV24" s="125">
        <f>IF(ISNUMBER(AD24),K_ArbeitOverMax,IF(AND(ISNUMBER(AA24),AA24&gt;0),K_ArbeitOverTime,IF(AND(ISNUMBER(V24),V24&gt;0),K_ArbeitNormal,IF(F24=Krank,K_Krank,IF(F24=Urlaub,K_Urlaub,IF(AM24=Feiertag,K_Feiertag,IF(OR(AM24=6,AM24=7),K_Wochenende,0)))))))+IF(F24=Gleittag,K_Gleittag,0)</f>
        <v>0</v>
      </c>
      <c r="AW24" t="b">
        <f>OR((F24&gt;0),(NOT(ISBLANK(H24))),SUM(H24:H$373),SUM(G24:G$373))</f>
        <v>0</v>
      </c>
      <c r="AX24" t="b">
        <f ca="1">INDIRECT(ADDRESS(ROW(),COLUMN(xDay)))&gt;5</f>
        <v>0</v>
      </c>
      <c r="AY24" s="600">
        <f>IF(OR(R24&lt;&gt;0,F24&lt;&gt;0),AA24,IF(Z24="",0,-Z24))+(IF(AG24="+",AF24,-AF24))</f>
        <v>-0.29166666666666669</v>
      </c>
      <c r="AZ24" s="225">
        <f>SUM(AY$5:AY24)</f>
        <v>-3.7916666666666661</v>
      </c>
      <c r="BA24" s="658"/>
      <c r="BB24" s="658">
        <f>IF(ISNA(MATCH(BA24,B_Arbeitsort,0)),0,MATCH(BA24,B_Arbeitsort,0))</f>
        <v>0</v>
      </c>
      <c r="BC24" s="658"/>
    </row>
    <row r="25" spans="1:55" ht="15.75">
      <c r="A25" s="305">
        <f>IF(A24="","",IF((A24+1)&gt;=DATE(YEAR(xJahr)+1,MONTH(xJahr),DAY(xJahr)),"",A24+1))</f>
        <v>43484</v>
      </c>
      <c r="B25" s="306">
        <f>IF(A25="","",A25)</f>
        <v>43484</v>
      </c>
      <c r="C25" s="307">
        <f>IF(A25="","",NumberOfWeek(A25))</f>
        <v>3</v>
      </c>
      <c r="D25" s="308">
        <f>IF(A25="","",DATE(YEAR(A25),MONTH(A25),1))</f>
        <v>43465</v>
      </c>
      <c r="E25" s="318" t="str">
        <f>IF((R25-U25)&gt;XWorkTimeMax,$Z$4,IF(AV25=Feiertag,VLOOKUP(B25,db_Feiertag,2,FALSE),""))</f>
        <v/>
      </c>
      <c r="F25" s="5"/>
      <c r="G25" s="6" t="str">
        <f>IF(ISBLANK(F25),IF(ISBLANK(H25),"",0),CODE(UPPER(F25)))</f>
        <v/>
      </c>
      <c r="H25" s="7"/>
      <c r="I25" s="7">
        <f>IF(H25&gt;0,H25+Y25+X25+AC25,0)</f>
        <v>0</v>
      </c>
      <c r="J25" s="113">
        <f>IF(K25&gt;I25,IF(I25&lt;H25,I25+1,I25)-B_WalkTime,IF(I25&lt;H25,I25+1,I25))</f>
        <v>0</v>
      </c>
      <c r="K25" s="7"/>
      <c r="L25" s="7">
        <f>IF(K25&gt;0,K25+IF((J25-H25)&lt;Y25,Y25-(J25-H25),TIME(0,10,0))+IF((K25-J25)&gt;xNoWorkTime,0,xNoWorkTime-(K25-J25)),0)</f>
        <v>0</v>
      </c>
      <c r="M25" s="113">
        <f>IF(L25&lt;K25,L25+1,L25)</f>
        <v>0</v>
      </c>
      <c r="N25" s="113"/>
      <c r="O25" s="113">
        <f>IF(N25&gt;0,N25+IF((J25-H25+M25-K25)&lt;Y25,Y25-(J25-H25+M25-K25),TIME(0,10,0))+IF((K25-J25+N25-M25)&gt;xNoWorkTime,0,xNoWorkTime-(K25-J25+N25-M25)),0)</f>
        <v>0</v>
      </c>
      <c r="P25" s="113"/>
      <c r="Q25" s="113">
        <f>IF(O25&lt;N25,O25+1,O25)</f>
        <v>0</v>
      </c>
      <c r="R25" s="113">
        <f>J25-H25+M25-K25+Q25-N25</f>
        <v>0</v>
      </c>
      <c r="S25" s="113">
        <f>IF(K25&gt;0,K25-I25,0)+IF(N25&gt;0,N25-L25)</f>
        <v>0</v>
      </c>
      <c r="T25" s="113">
        <f>IF(H25&gt;0,(IF(R25&gt;B_Pause1Nach,B_Pause1Dauer+IF(BA25="Büro",B_WalkTime,0),IF(BA25="Büro",B_WalkTime,0))+IF(R25&gt;B_Pause2Nach,B_Pause2Dauer,0)),0)</f>
        <v>0</v>
      </c>
      <c r="U25" s="113">
        <f>IF(T25&gt;S25,T25-S25,0)</f>
        <v>0</v>
      </c>
      <c r="V25" s="146">
        <f>IF(F25="S",Z25,(IF((R25-U25)&gt;XWorkTimeMax,XWorkTimeMax,IF((R25-U25)&gt;0,R25-U25,0))))</f>
        <v>0</v>
      </c>
      <c r="W25" s="66"/>
      <c r="X25" s="115">
        <f>xNoWorkTime</f>
        <v>4.027777777777778E-2</v>
      </c>
      <c r="Y25" s="110">
        <f>IF(AND((AM25&lt;Feiertag),(G25&lt;&gt;85)),IF(OR(F25="B",F25="G",F25="S",H25&gt;0),H25-H25+Z25,0),0)</f>
        <v>0</v>
      </c>
      <c r="Z25" s="111">
        <f>IF(AND(AM25&gt;0,AM25&lt;Feiertag),INDEX(Arbeitszeit,AM25),"")</f>
        <v>0.29166666666666669</v>
      </c>
      <c r="AA25" s="112">
        <f>V25-Y25</f>
        <v>0</v>
      </c>
      <c r="AB25" s="67" t="str">
        <f>IF((V25-Y25)&lt;0,"*","")</f>
        <v/>
      </c>
      <c r="AC25" s="193">
        <f>xOverTime</f>
        <v>0</v>
      </c>
      <c r="AD25" s="144" t="str">
        <f>IF((R25-U25)&gt;XWorkTimeMax,(R25-U25-XWorkTimeMax),"")</f>
        <v/>
      </c>
      <c r="AE25" s="225">
        <f>IF(AW25,(AE24+SUM(AA25)+(IF(AG25="+",AF25,-AF25))),)</f>
        <v>0</v>
      </c>
      <c r="AF25" s="110"/>
      <c r="AG25" s="627"/>
      <c r="AH25" s="110"/>
      <c r="AI25" s="110" t="str">
        <f>IF(AND(AF25&lt;&gt;"",AF25&lt;=V25),V25-AF25,"")</f>
        <v/>
      </c>
      <c r="AJ25" s="68">
        <f>IF(ISNUMBER(V25 ), IF( V25 &gt;= Y25, Y25, V25 ),"")</f>
        <v>0</v>
      </c>
      <c r="AK25" s="68">
        <f>IF( ISNUMBER( V25 ), IF( V25 &gt;= Y25, V25 - Y25, "" ), "" )</f>
        <v>0</v>
      </c>
      <c r="AL25" s="68" t="str">
        <f>IF( AND(ISNUMBER( V25 ),ISNUMBER( Y25 )), IF( V25 &gt;= Y25, "", Y25 - V25 ), "" )</f>
        <v/>
      </c>
      <c r="AM25">
        <f>IF(A25="",0,IF(ISERROR(VLOOKUP(A25,db_Feiertag,2,FALSE)),WEEKDAY(A25,2),Feiertag))</f>
        <v>5</v>
      </c>
      <c r="AN25" s="122">
        <f>SUM($AD$6:AD25)</f>
        <v>0</v>
      </c>
      <c r="AO25" s="122">
        <f ca="1">IF(D25=D24,AO24,OFFSET(AO25,-1,COLUMN(db_jSaldoGes)-COLUMN()))</f>
        <v>0</v>
      </c>
      <c r="AP25" s="126">
        <f>IF(OR($G25=-1,$G25=82),-1,IF(OR($G25=0,$G25=83),1,0))</f>
        <v>0</v>
      </c>
      <c r="AQ25" s="126">
        <f>IF($F25=Krank,1,IF($F25="J",-1,0))</f>
        <v>0</v>
      </c>
      <c r="AR25" s="126">
        <f>IF($F25=Urlaub,1,IF($F25="T",-1,0))</f>
        <v>0</v>
      </c>
      <c r="AS25" s="125">
        <f>IF(A25="","",AS24-IF(F25=Urlaub,1,0)+IF(AND(MONTH(A25)=1,DAY(A25)=1),B_UrlaubNeu,0))</f>
        <v>30</v>
      </c>
      <c r="AT25" s="125">
        <f ca="1">IF(A25="","",IF(D25=D24,AT24,OFFSET(AT25,-1,COLUMN(db_jUrlRest)-COLUMN()))+IF(AND(MONTH(A25)=1,DAY(A25)=1),B_UrlaubNeu,0))</f>
        <v>30</v>
      </c>
      <c r="AU25" s="135">
        <f>(IF(ISNUMBER(V25),V25,0)+IF(ISNUMBER(AD25),AD25,0))*24</f>
        <v>0</v>
      </c>
      <c r="AV25" s="125">
        <f>IF(ISNUMBER(AD25),K_ArbeitOverMax,IF(AND(ISNUMBER(AA25),AA25&gt;0),K_ArbeitOverTime,IF(AND(ISNUMBER(V25),V25&gt;0),K_ArbeitNormal,IF(F25=Krank,K_Krank,IF(F25=Urlaub,K_Urlaub,IF(AM25=Feiertag,K_Feiertag,IF(OR(AM25=6,AM25=7),K_Wochenende,0)))))))+IF(F25=Gleittag,K_Gleittag,0)</f>
        <v>0</v>
      </c>
      <c r="AW25" t="b">
        <f>OR((F25&gt;0),(NOT(ISBLANK(H25))),SUM(H25:H$373),SUM(G25:G$373))</f>
        <v>0</v>
      </c>
      <c r="AX25" t="b">
        <f ca="1">INDIRECT(ADDRESS(ROW(),COLUMN(xDay)))&gt;5</f>
        <v>0</v>
      </c>
      <c r="AY25" s="600">
        <f>IF(OR(R25&lt;&gt;0,F25&lt;&gt;0),AA25,IF(Z25="",0,-Z25))+(IF(AG25="+",AF25,-AF25))</f>
        <v>-0.29166666666666669</v>
      </c>
      <c r="AZ25" s="225">
        <f>SUM(AY$5:AY25)</f>
        <v>-4.083333333333333</v>
      </c>
      <c r="BA25" s="658"/>
      <c r="BB25" s="658">
        <f>IF(ISNA(MATCH(BA25,B_Arbeitsort,0)),0,MATCH(BA25,B_Arbeitsort,0))</f>
        <v>0</v>
      </c>
      <c r="BC25" s="658"/>
    </row>
    <row r="26" spans="1:55" ht="15.75">
      <c r="A26" s="305">
        <f>IF(A25="","",IF((A25+1)&gt;=DATE(YEAR(xJahr)+1,MONTH(xJahr),DAY(xJahr)),"",A25+1))</f>
        <v>43485</v>
      </c>
      <c r="B26" s="306">
        <f>IF(A26="","",A26)</f>
        <v>43485</v>
      </c>
      <c r="C26" s="307">
        <f>IF(A26="","",NumberOfWeek(A26))</f>
        <v>3</v>
      </c>
      <c r="D26" s="308">
        <f>IF(A26="","",DATE(YEAR(A26),MONTH(A26),1))</f>
        <v>43465</v>
      </c>
      <c r="E26" s="318" t="str">
        <f>IF((R26-U26)&gt;XWorkTimeMax,$Z$4,IF(AV26=Feiertag,VLOOKUP(B26,db_Feiertag,2,FALSE),""))</f>
        <v/>
      </c>
      <c r="F26" s="5"/>
      <c r="G26" s="6" t="str">
        <f>IF(ISBLANK(F26),IF(ISBLANK(H26),"",0),CODE(UPPER(F26)))</f>
        <v/>
      </c>
      <c r="H26" s="7"/>
      <c r="I26" s="7">
        <f>IF(H26&gt;0,H26+Y26+X26+AC26,0)</f>
        <v>0</v>
      </c>
      <c r="J26" s="113">
        <f>IF(K26&gt;I26,IF(I26&lt;H26,I26+1,I26)-B_WalkTime,IF(I26&lt;H26,I26+1,I26))</f>
        <v>0</v>
      </c>
      <c r="K26" s="7"/>
      <c r="L26" s="7">
        <f>IF(K26&gt;0,K26+IF((J26-H26)&lt;Y26,Y26-(J26-H26),TIME(0,10,0))+IF((K26-J26)&gt;xNoWorkTime,0,xNoWorkTime-(K26-J26)),0)</f>
        <v>0</v>
      </c>
      <c r="M26" s="113">
        <f>IF(L26&lt;K26,L26+1,L26)</f>
        <v>0</v>
      </c>
      <c r="N26" s="113"/>
      <c r="O26" s="113">
        <f>IF(N26&gt;0,N26+IF((J26-H26+M26-K26)&lt;Y26,Y26-(J26-H26+M26-K26),TIME(0,10,0))+IF((K26-J26+N26-M26)&gt;xNoWorkTime,0,xNoWorkTime-(K26-J26+N26-M26)),0)</f>
        <v>0</v>
      </c>
      <c r="P26" s="113"/>
      <c r="Q26" s="113">
        <f>IF(O26&lt;N26,O26+1,O26)</f>
        <v>0</v>
      </c>
      <c r="R26" s="113">
        <f>J26-H26+M26-K26+Q26-N26</f>
        <v>0</v>
      </c>
      <c r="S26" s="113">
        <f>IF(K26&gt;0,K26-I26,0)+IF(N26&gt;0,N26-L26)</f>
        <v>0</v>
      </c>
      <c r="T26" s="113">
        <f>IF(H26&gt;0,(IF(R26&gt;B_Pause1Nach,B_Pause1Dauer+IF(BA26="Büro",B_WalkTime,0),IF(BA26="Büro",B_WalkTime,0))+IF(R26&gt;B_Pause2Nach,B_Pause2Dauer,0)),0)</f>
        <v>0</v>
      </c>
      <c r="U26" s="113">
        <f>IF(T26&gt;S26,T26-S26,0)</f>
        <v>0</v>
      </c>
      <c r="V26" s="146">
        <f>IF(F26="S",Z26,(IF((R26-U26)&gt;XWorkTimeMax,XWorkTimeMax,IF((R26-U26)&gt;0,R26-U26,0))))</f>
        <v>0</v>
      </c>
      <c r="W26" s="66"/>
      <c r="X26" s="115">
        <f>xNoWorkTime</f>
        <v>4.027777777777778E-2</v>
      </c>
      <c r="Y26" s="110">
        <f>IF(AND((AM26&lt;Feiertag),(G26&lt;&gt;85)),IF(OR(F26="B",F26="G",F26="S",H26&gt;0),H26-H26+Z26,0),0)</f>
        <v>0</v>
      </c>
      <c r="Z26" s="111">
        <f>IF(AND(AM26&gt;0,AM26&lt;Feiertag),INDEX(Arbeitszeit,AM26),"")</f>
        <v>0</v>
      </c>
      <c r="AA26" s="112">
        <f>V26-Y26</f>
        <v>0</v>
      </c>
      <c r="AB26" s="67" t="str">
        <f>IF((V26-Y26)&lt;0,"*","")</f>
        <v/>
      </c>
      <c r="AC26" s="193">
        <f>xOverTime</f>
        <v>0</v>
      </c>
      <c r="AD26" s="144" t="str">
        <f>IF((R26-U26)&gt;XWorkTimeMax,(R26-U26-XWorkTimeMax),"")</f>
        <v/>
      </c>
      <c r="AE26" s="225">
        <f>IF(AW26,(AE25+SUM(AA26)+(IF(AG26="+",AF26,-AF26))),)</f>
        <v>0</v>
      </c>
      <c r="AF26" s="110"/>
      <c r="AG26" s="627"/>
      <c r="AH26" s="110"/>
      <c r="AI26" s="110" t="str">
        <f>IF(AND(AF26&lt;&gt;"",AF26&lt;=V26),V26-AF26,"")</f>
        <v/>
      </c>
      <c r="AJ26" s="68">
        <f>IF(ISNUMBER(V26 ), IF( V26 &gt;= Y26, Y26, V26 ),"")</f>
        <v>0</v>
      </c>
      <c r="AK26" s="68">
        <f>IF( ISNUMBER( V26 ), IF( V26 &gt;= Y26, V26 - Y26, "" ), "" )</f>
        <v>0</v>
      </c>
      <c r="AL26" s="68" t="str">
        <f>IF( AND(ISNUMBER( V26 ),ISNUMBER( Y26 )), IF( V26 &gt;= Y26, "", Y26 - V26 ), "" )</f>
        <v/>
      </c>
      <c r="AM26">
        <f>IF(A26="",0,IF(ISERROR(VLOOKUP(A26,db_Feiertag,2,FALSE)),WEEKDAY(A26,2),Feiertag))</f>
        <v>6</v>
      </c>
      <c r="AN26" s="122">
        <f>SUM($AD$6:AD26)</f>
        <v>0</v>
      </c>
      <c r="AO26" s="122">
        <f ca="1">IF(D26=D25,AO25,OFFSET(AO26,-1,COLUMN(db_jSaldoGes)-COLUMN()))</f>
        <v>0</v>
      </c>
      <c r="AP26" s="126">
        <f>IF(OR($G26=-1,$G26=82),-1,IF(OR($G26=0,$G26=83),1,0))</f>
        <v>0</v>
      </c>
      <c r="AQ26" s="126">
        <f>IF($F26=Krank,1,IF($F26="J",-1,0))</f>
        <v>0</v>
      </c>
      <c r="AR26" s="126">
        <f>IF($F26=Urlaub,1,IF($F26="T",-1,0))</f>
        <v>0</v>
      </c>
      <c r="AS26" s="125">
        <f>IF(A26="","",AS25-IF(F26=Urlaub,1,0)+IF(AND(MONTH(A26)=1,DAY(A26)=1),B_UrlaubNeu,0))</f>
        <v>30</v>
      </c>
      <c r="AT26" s="125">
        <f ca="1">IF(A26="","",IF(D26=D25,AT25,OFFSET(AT26,-1,COLUMN(db_jUrlRest)-COLUMN()))+IF(AND(MONTH(A26)=1,DAY(A26)=1),B_UrlaubNeu,0))</f>
        <v>30</v>
      </c>
      <c r="AU26" s="135">
        <f>(IF(ISNUMBER(V26),V26,0)+IF(ISNUMBER(AD26),AD26,0))*24</f>
        <v>0</v>
      </c>
      <c r="AV26" s="125">
        <f>IF(ISNUMBER(AD26),K_ArbeitOverMax,IF(AND(ISNUMBER(AA26),AA26&gt;0),K_ArbeitOverTime,IF(AND(ISNUMBER(V26),V26&gt;0),K_ArbeitNormal,IF(F26=Krank,K_Krank,IF(F26=Urlaub,K_Urlaub,IF(AM26=Feiertag,K_Feiertag,IF(OR(AM26=6,AM26=7),K_Wochenende,0)))))))+IF(F26=Gleittag,K_Gleittag,0)</f>
        <v>7</v>
      </c>
      <c r="AW26" t="b">
        <f>OR((F26&gt;0),(NOT(ISBLANK(H26))),SUM(H26:H$373),SUM(G26:G$373))</f>
        <v>0</v>
      </c>
      <c r="AX26" t="b">
        <f ca="1">INDIRECT(ADDRESS(ROW(),COLUMN(xDay)))&gt;5</f>
        <v>1</v>
      </c>
      <c r="AY26" s="600">
        <f>IF(OR(R26&lt;&gt;0,F26&lt;&gt;0),AA26,IF(Z26="",0,-Z26))+(IF(AG26="+",AF26,-AF26))</f>
        <v>0</v>
      </c>
      <c r="AZ26" s="225">
        <f>SUM(AY$5:AY26)</f>
        <v>-4.083333333333333</v>
      </c>
      <c r="BA26" s="643"/>
      <c r="BB26" s="658">
        <f>IF(ISNA(MATCH(BA26,B_Arbeitsort,0)),0,MATCH(BA26,B_Arbeitsort,0))</f>
        <v>0</v>
      </c>
      <c r="BC26" s="643"/>
    </row>
    <row r="27" spans="1:55" ht="15.75">
      <c r="A27" s="305">
        <f>IF(A26="","",IF((A26+1)&gt;=DATE(YEAR(xJahr)+1,MONTH(xJahr),DAY(xJahr)),"",A26+1))</f>
        <v>43486</v>
      </c>
      <c r="B27" s="306">
        <f>IF(A27="","",A27)</f>
        <v>43486</v>
      </c>
      <c r="C27" s="307">
        <f>IF(A27="","",NumberOfWeek(A27))</f>
        <v>3</v>
      </c>
      <c r="D27" s="308">
        <f>IF(A27="","",DATE(YEAR(A27),MONTH(A27),1))</f>
        <v>43465</v>
      </c>
      <c r="E27" s="318" t="str">
        <f>IF((R27-U27)&gt;XWorkTimeMax,$Z$4,IF(AV27=Feiertag,VLOOKUP(B27,db_Feiertag,2,FALSE),""))</f>
        <v/>
      </c>
      <c r="F27" s="5"/>
      <c r="G27" s="6" t="str">
        <f>IF(ISBLANK(F27),IF(ISBLANK(H27),"",0),CODE(UPPER(F27)))</f>
        <v/>
      </c>
      <c r="H27" s="7"/>
      <c r="I27" s="7">
        <f>IF(H27&gt;0,H27+Y27+X27+AC27,0)</f>
        <v>0</v>
      </c>
      <c r="J27" s="113">
        <f>IF(K27&gt;I27,IF(I27&lt;H27,I27+1,I27)-B_WalkTime,IF(I27&lt;H27,I27+1,I27))</f>
        <v>0</v>
      </c>
      <c r="K27" s="7"/>
      <c r="L27" s="7">
        <f>IF(K27&gt;0,K27+IF((J27-H27)&lt;Y27,Y27-(J27-H27),TIME(0,10,0))+IF((K27-J27)&gt;xNoWorkTime,0,xNoWorkTime-(K27-J27)),0)</f>
        <v>0</v>
      </c>
      <c r="M27" s="113">
        <f>IF(L27&lt;K27,L27+1,L27)</f>
        <v>0</v>
      </c>
      <c r="N27" s="113"/>
      <c r="O27" s="113">
        <f>IF(N27&gt;0,N27+IF((J27-H27+M27-K27)&lt;Y27,Y27-(J27-H27+M27-K27),TIME(0,10,0))+IF((K27-J27+N27-M27)&gt;xNoWorkTime,0,xNoWorkTime-(K27-J27+N27-M27)),0)</f>
        <v>0</v>
      </c>
      <c r="P27" s="113"/>
      <c r="Q27" s="113">
        <f>IF(O27&lt;N27,O27+1,O27)</f>
        <v>0</v>
      </c>
      <c r="R27" s="113">
        <f>J27-H27+M27-K27+Q27-N27</f>
        <v>0</v>
      </c>
      <c r="S27" s="113">
        <f>IF(K27&gt;0,K27-I27,0)+IF(N27&gt;0,N27-L27)</f>
        <v>0</v>
      </c>
      <c r="T27" s="113">
        <f>IF(H27&gt;0,(IF(R27&gt;B_Pause1Nach,B_Pause1Dauer+IF(BA27="Büro",B_WalkTime,0),IF(BA27="Büro",B_WalkTime,0))+IF(R27&gt;B_Pause2Nach,B_Pause2Dauer,0)),0)</f>
        <v>0</v>
      </c>
      <c r="U27" s="113">
        <f>IF(T27&gt;S27,T27-S27,0)</f>
        <v>0</v>
      </c>
      <c r="V27" s="146">
        <f>IF(F27="S",Z27,(IF((R27-U27)&gt;XWorkTimeMax,XWorkTimeMax,IF((R27-U27)&gt;0,R27-U27,0))))</f>
        <v>0</v>
      </c>
      <c r="W27" s="66"/>
      <c r="X27" s="115">
        <f>xNoWorkTime</f>
        <v>4.027777777777778E-2</v>
      </c>
      <c r="Y27" s="110">
        <f>IF(AND((AM27&lt;Feiertag),(G27&lt;&gt;85)),IF(OR(F27="B",F27="G",F27="S",H27&gt;0),H27-H27+Z27,0),0)</f>
        <v>0</v>
      </c>
      <c r="Z27" s="111">
        <f>IF(AND(AM27&gt;0,AM27&lt;Feiertag),INDEX(Arbeitszeit,AM27),"")</f>
        <v>0</v>
      </c>
      <c r="AA27" s="112">
        <f>V27-Y27</f>
        <v>0</v>
      </c>
      <c r="AB27" s="67" t="str">
        <f>IF((V27-Y27)&lt;0,"*","")</f>
        <v/>
      </c>
      <c r="AC27" s="193">
        <f>xOverTime</f>
        <v>0</v>
      </c>
      <c r="AD27" s="144" t="str">
        <f>IF((R27-U27)&gt;XWorkTimeMax,(R27-U27-XWorkTimeMax),"")</f>
        <v/>
      </c>
      <c r="AE27" s="225">
        <f>IF(AW27,(AE26+SUM(AA27)+(IF(AG27="+",AF27,-AF27))),)</f>
        <v>0</v>
      </c>
      <c r="AF27" s="110"/>
      <c r="AG27" s="627"/>
      <c r="AH27" s="110"/>
      <c r="AI27" s="110" t="str">
        <f>IF(AND(AF27&lt;&gt;"",AF27&lt;=V27),V27-AF27,"")</f>
        <v/>
      </c>
      <c r="AJ27" s="68">
        <f>IF(ISNUMBER(V27 ), IF( V27 &gt;= Y27, Y27, V27 ),"")</f>
        <v>0</v>
      </c>
      <c r="AK27" s="68">
        <f>IF( ISNUMBER( V27 ), IF( V27 &gt;= Y27, V27 - Y27, "" ), "" )</f>
        <v>0</v>
      </c>
      <c r="AL27" s="68" t="str">
        <f>IF( AND(ISNUMBER( V27 ),ISNUMBER( Y27 )), IF( V27 &gt;= Y27, "", Y27 - V27 ), "" )</f>
        <v/>
      </c>
      <c r="AM27">
        <f>IF(A27="",0,IF(ISERROR(VLOOKUP(A27,db_Feiertag,2,FALSE)),WEEKDAY(A27,2),Feiertag))</f>
        <v>7</v>
      </c>
      <c r="AN27" s="122">
        <f>SUM($AD$6:AD27)</f>
        <v>0</v>
      </c>
      <c r="AO27" s="122">
        <f ca="1">IF(D27=D26,AO26,OFFSET(AO27,-1,COLUMN(db_jSaldoGes)-COLUMN()))</f>
        <v>0</v>
      </c>
      <c r="AP27" s="126">
        <f>IF(OR($G27=-1,$G27=82),-1,IF(OR($G27=0,$G27=83),1,0))</f>
        <v>0</v>
      </c>
      <c r="AQ27" s="126">
        <f>IF($F27=Krank,1,IF($F27="J",-1,0))</f>
        <v>0</v>
      </c>
      <c r="AR27" s="126">
        <f>IF($F27=Urlaub,1,IF($F27="T",-1,0))</f>
        <v>0</v>
      </c>
      <c r="AS27" s="125">
        <f>IF(A27="","",AS26-IF(F27=Urlaub,1,0)+IF(AND(MONTH(A27)=1,DAY(A27)=1),B_UrlaubNeu,0))</f>
        <v>30</v>
      </c>
      <c r="AT27" s="125">
        <f ca="1">IF(A27="","",IF(D27=D26,AT26,OFFSET(AT27,-1,COLUMN(db_jUrlRest)-COLUMN()))+IF(AND(MONTH(A27)=1,DAY(A27)=1),B_UrlaubNeu,0))</f>
        <v>30</v>
      </c>
      <c r="AU27" s="135">
        <f>(IF(ISNUMBER(V27),V27,0)+IF(ISNUMBER(AD27),AD27,0))*24</f>
        <v>0</v>
      </c>
      <c r="AV27" s="125">
        <f>IF(ISNUMBER(AD27),K_ArbeitOverMax,IF(AND(ISNUMBER(AA27),AA27&gt;0),K_ArbeitOverTime,IF(AND(ISNUMBER(V27),V27&gt;0),K_ArbeitNormal,IF(F27=Krank,K_Krank,IF(F27=Urlaub,K_Urlaub,IF(AM27=Feiertag,K_Feiertag,IF(OR(AM27=6,AM27=7),K_Wochenende,0)))))))+IF(F27=Gleittag,K_Gleittag,0)</f>
        <v>7</v>
      </c>
      <c r="AW27" t="b">
        <f>OR((F27&gt;0),(NOT(ISBLANK(H27))),SUM(H27:H$373),SUM(G27:G$373))</f>
        <v>0</v>
      </c>
      <c r="AX27" t="b">
        <f ca="1">INDIRECT(ADDRESS(ROW(),COLUMN(xDay)))&gt;5</f>
        <v>1</v>
      </c>
      <c r="AY27" s="600">
        <f>IF(OR(R27&lt;&gt;0,F27&lt;&gt;0),AA27,IF(Z27="",0,-Z27))+(IF(AG27="+",AF27,-AF27))</f>
        <v>0</v>
      </c>
      <c r="AZ27" s="225">
        <f>SUM(AY$5:AY27)</f>
        <v>-4.083333333333333</v>
      </c>
      <c r="BA27" s="643"/>
      <c r="BB27" s="658">
        <f>IF(ISNA(MATCH(BA27,B_Arbeitsort,0)),0,MATCH(BA27,B_Arbeitsort,0))</f>
        <v>0</v>
      </c>
      <c r="BC27" s="643"/>
    </row>
    <row r="28" spans="1:55" ht="15.75">
      <c r="A28" s="305">
        <f>IF(A27="","",IF((A27+1)&gt;=DATE(YEAR(xJahr)+1,MONTH(xJahr),DAY(xJahr)),"",A27+1))</f>
        <v>43487</v>
      </c>
      <c r="B28" s="306">
        <f>IF(A28="","",A28)</f>
        <v>43487</v>
      </c>
      <c r="C28" s="307">
        <f>IF(A28="","",NumberOfWeek(A28))</f>
        <v>4</v>
      </c>
      <c r="D28" s="308">
        <f>IF(A28="","",DATE(YEAR(A28),MONTH(A28),1))</f>
        <v>43465</v>
      </c>
      <c r="E28" s="318" t="str">
        <f>IF((R28-U28)&gt;XWorkTimeMax,$Z$4,IF(AV28=Feiertag,VLOOKUP(B28,db_Feiertag,2,FALSE),""))</f>
        <v/>
      </c>
      <c r="F28" s="5"/>
      <c r="G28" s="6" t="str">
        <f>IF(ISBLANK(F28),IF(ISBLANK(H28),"",0),CODE(UPPER(F28)))</f>
        <v/>
      </c>
      <c r="H28" s="7"/>
      <c r="I28" s="7">
        <f>IF(H28&gt;0,H28+Y28+X28+AC28,0)</f>
        <v>0</v>
      </c>
      <c r="J28" s="113">
        <f>IF(K28&gt;I28,IF(I28&lt;H28,I28+1,I28)-B_WalkTime,IF(I28&lt;H28,I28+1,I28))</f>
        <v>0</v>
      </c>
      <c r="K28" s="7"/>
      <c r="L28" s="7">
        <f>IF(K28&gt;0,K28+IF((J28-H28)&lt;Y28,Y28-(J28-H28),TIME(0,10,0))+IF((K28-J28)&gt;xNoWorkTime,0,xNoWorkTime-(K28-J28)),0)</f>
        <v>0</v>
      </c>
      <c r="M28" s="113">
        <f>IF(L28&lt;K28,L28+1,L28)</f>
        <v>0</v>
      </c>
      <c r="N28" s="113"/>
      <c r="O28" s="113">
        <f>IF(N28&gt;0,N28+IF((J28-H28+M28-K28)&lt;Y28,Y28-(J28-H28+M28-K28),TIME(0,10,0))+IF((K28-J28+N28-M28)&gt;xNoWorkTime,0,xNoWorkTime-(K28-J28+N28-M28)),0)</f>
        <v>0</v>
      </c>
      <c r="P28" s="113"/>
      <c r="Q28" s="113">
        <f>IF(O28&lt;N28,O28+1,O28)</f>
        <v>0</v>
      </c>
      <c r="R28" s="113">
        <f>J28-H28+M28-K28+Q28-N28</f>
        <v>0</v>
      </c>
      <c r="S28" s="113">
        <f>IF(K28&gt;0,K28-I28,0)+IF(N28&gt;0,N28-L28)</f>
        <v>0</v>
      </c>
      <c r="T28" s="113">
        <f>IF(H28&gt;0,(IF(R28&gt;B_Pause1Nach,B_Pause1Dauer+IF(BA28="Büro",B_WalkTime,0),IF(BA28="Büro",B_WalkTime,0))+IF(R28&gt;B_Pause2Nach,B_Pause2Dauer,0)),0)</f>
        <v>0</v>
      </c>
      <c r="U28" s="113">
        <f>IF(T28&gt;S28,T28-S28,0)</f>
        <v>0</v>
      </c>
      <c r="V28" s="146">
        <f>IF(F28="S",Z28,(IF((R28-U28)&gt;XWorkTimeMax,XWorkTimeMax,IF((R28-U28)&gt;0,R28-U28,0))))</f>
        <v>0</v>
      </c>
      <c r="W28" s="66"/>
      <c r="X28" s="115">
        <f>xNoWorkTime</f>
        <v>4.027777777777778E-2</v>
      </c>
      <c r="Y28" s="110">
        <f>IF(AND((AM28&lt;Feiertag),(G28&lt;&gt;85)),IF(OR(F28="B",F28="G",F28="S",H28&gt;0),H28-H28+Z28,0),0)</f>
        <v>0</v>
      </c>
      <c r="Z28" s="111">
        <f>IF(AND(AM28&gt;0,AM28&lt;Feiertag),INDEX(Arbeitszeit,AM28),"")</f>
        <v>0.29166666666666669</v>
      </c>
      <c r="AA28" s="112">
        <f>V28-Y28</f>
        <v>0</v>
      </c>
      <c r="AB28" s="67" t="str">
        <f>IF((V28-Y28)&lt;0,"*","")</f>
        <v/>
      </c>
      <c r="AC28" s="193">
        <f>xOverTime</f>
        <v>0</v>
      </c>
      <c r="AD28" s="144" t="str">
        <f>IF((R28-U28)&gt;XWorkTimeMax,(R28-U28-XWorkTimeMax),"")</f>
        <v/>
      </c>
      <c r="AE28" s="225">
        <f>IF(AW28,(AE27+SUM(AA28)+(IF(AG28="+",AF28,-AF28))),)</f>
        <v>0</v>
      </c>
      <c r="AF28" s="110"/>
      <c r="AG28" s="627"/>
      <c r="AH28" s="110"/>
      <c r="AI28" s="110" t="str">
        <f>IF(AND(AF28&lt;&gt;"",AF28&lt;=V28),V28-AF28,"")</f>
        <v/>
      </c>
      <c r="AJ28" s="68">
        <f>IF(ISNUMBER(V28 ), IF( V28 &gt;= Y28, Y28, V28 ),"")</f>
        <v>0</v>
      </c>
      <c r="AK28" s="68">
        <f>IF( ISNUMBER( V28 ), IF( V28 &gt;= Y28, V28 - Y28, "" ), "" )</f>
        <v>0</v>
      </c>
      <c r="AL28" s="68" t="str">
        <f>IF( AND(ISNUMBER( V28 ),ISNUMBER( Y28 )), IF( V28 &gt;= Y28, "", Y28 - V28 ), "" )</f>
        <v/>
      </c>
      <c r="AM28">
        <f>IF(A28="",0,IF(ISERROR(VLOOKUP(A28,db_Feiertag,2,FALSE)),WEEKDAY(A28,2),Feiertag))</f>
        <v>1</v>
      </c>
      <c r="AN28" s="122">
        <f>SUM($AD$6:AD28)</f>
        <v>0</v>
      </c>
      <c r="AO28" s="122">
        <f ca="1">IF(D28=D27,AO27,OFFSET(AO28,-1,COLUMN(db_jSaldoGes)-COLUMN()))</f>
        <v>0</v>
      </c>
      <c r="AP28" s="126">
        <f>IF(OR($G28=-1,$G28=82),-1,IF(OR($G28=0,$G28=83),1,0))</f>
        <v>0</v>
      </c>
      <c r="AQ28" s="126">
        <f>IF($F28=Krank,1,IF($F28="J",-1,0))</f>
        <v>0</v>
      </c>
      <c r="AR28" s="126">
        <f>IF($F28=Urlaub,1,IF($F28="T",-1,0))</f>
        <v>0</v>
      </c>
      <c r="AS28" s="125">
        <f>IF(A28="","",AS27-IF(F28=Urlaub,1,0)+IF(AND(MONTH(A28)=1,DAY(A28)=1),B_UrlaubNeu,0))</f>
        <v>30</v>
      </c>
      <c r="AT28" s="125">
        <f ca="1">IF(A28="","",IF(D28=D27,AT27,OFFSET(AT28,-1,COLUMN(db_jUrlRest)-COLUMN()))+IF(AND(MONTH(A28)=1,DAY(A28)=1),B_UrlaubNeu,0))</f>
        <v>30</v>
      </c>
      <c r="AU28" s="135">
        <f>(IF(ISNUMBER(V28),V28,0)+IF(ISNUMBER(AD28),AD28,0))*24</f>
        <v>0</v>
      </c>
      <c r="AV28" s="125">
        <f>IF(ISNUMBER(AD28),K_ArbeitOverMax,IF(AND(ISNUMBER(AA28),AA28&gt;0),K_ArbeitOverTime,IF(AND(ISNUMBER(V28),V28&gt;0),K_ArbeitNormal,IF(F28=Krank,K_Krank,IF(F28=Urlaub,K_Urlaub,IF(AM28=Feiertag,K_Feiertag,IF(OR(AM28=6,AM28=7),K_Wochenende,0)))))))+IF(F28=Gleittag,K_Gleittag,0)</f>
        <v>0</v>
      </c>
      <c r="AW28" t="b">
        <f>OR((F28&gt;0),(NOT(ISBLANK(H28))),SUM(H28:H$373),SUM(G28:G$373))</f>
        <v>0</v>
      </c>
      <c r="AX28" t="b">
        <f ca="1">INDIRECT(ADDRESS(ROW(),COLUMN(xDay)))&gt;5</f>
        <v>0</v>
      </c>
      <c r="AY28" s="600">
        <f>IF(OR(R28&lt;&gt;0,F28&lt;&gt;0),AA28,IF(Z28="",0,-Z28))+(IF(AG28="+",AF28,-AF28))</f>
        <v>-0.29166666666666669</v>
      </c>
      <c r="AZ28" s="225">
        <f>SUM(AY$5:AY28)</f>
        <v>-4.375</v>
      </c>
      <c r="BA28" s="658"/>
      <c r="BB28" s="658">
        <f>IF(ISNA(MATCH(BA28,B_Arbeitsort,0)),0,MATCH(BA28,B_Arbeitsort,0))</f>
        <v>0</v>
      </c>
      <c r="BC28" s="658"/>
    </row>
    <row r="29" spans="1:55" ht="15.75">
      <c r="A29" s="305">
        <f>IF(A28="","",IF((A28+1)&gt;=DATE(YEAR(xJahr)+1,MONTH(xJahr),DAY(xJahr)),"",A28+1))</f>
        <v>43488</v>
      </c>
      <c r="B29" s="306">
        <f>IF(A29="","",A29)</f>
        <v>43488</v>
      </c>
      <c r="C29" s="307">
        <f>IF(A29="","",NumberOfWeek(A29))</f>
        <v>4</v>
      </c>
      <c r="D29" s="308">
        <f>IF(A29="","",DATE(YEAR(A29),MONTH(A29),1))</f>
        <v>43465</v>
      </c>
      <c r="E29" s="318" t="str">
        <f>IF((R29-U29)&gt;XWorkTimeMax,$Z$4,IF(AV29=Feiertag,VLOOKUP(B29,db_Feiertag,2,FALSE),""))</f>
        <v/>
      </c>
      <c r="F29" s="5"/>
      <c r="G29" s="6" t="str">
        <f>IF(ISBLANK(F29),IF(ISBLANK(H29),"",0),CODE(UPPER(F29)))</f>
        <v/>
      </c>
      <c r="H29" s="7"/>
      <c r="I29" s="7">
        <f>IF(H29&gt;0,H29+Y29+X29+AC29,0)</f>
        <v>0</v>
      </c>
      <c r="J29" s="113">
        <f>IF(K29&gt;I29,IF(I29&lt;H29,I29+1,I29)-B_WalkTime,IF(I29&lt;H29,I29+1,I29))</f>
        <v>0</v>
      </c>
      <c r="K29" s="7"/>
      <c r="L29" s="7">
        <f>IF(K29&gt;0,K29+IF((J29-H29)&lt;Y29,Y29-(J29-H29),TIME(0,10,0))+IF((K29-J29)&gt;xNoWorkTime,0,xNoWorkTime-(K29-J29)),0)</f>
        <v>0</v>
      </c>
      <c r="M29" s="113">
        <f>IF(L29&lt;K29,L29+1,L29)</f>
        <v>0</v>
      </c>
      <c r="N29" s="113"/>
      <c r="O29" s="113">
        <f>IF(N29&gt;0,N29+IF((J29-H29+M29-K29)&lt;Y29,Y29-(J29-H29+M29-K29),TIME(0,10,0))+IF((K29-J29+N29-M29)&gt;xNoWorkTime,0,xNoWorkTime-(K29-J29+N29-M29)),0)</f>
        <v>0</v>
      </c>
      <c r="P29" s="113"/>
      <c r="Q29" s="113">
        <f>IF(O29&lt;N29,O29+1,O29)</f>
        <v>0</v>
      </c>
      <c r="R29" s="113">
        <f>J29-H29+M29-K29+Q29-N29</f>
        <v>0</v>
      </c>
      <c r="S29" s="113">
        <f>IF(K29&gt;0,K29-I29,0)+IF(N29&gt;0,N29-L29)</f>
        <v>0</v>
      </c>
      <c r="T29" s="113">
        <f>IF(H29&gt;0,(IF(R29&gt;B_Pause1Nach,B_Pause1Dauer+IF(BA29="Büro",B_WalkTime,0),IF(BA29="Büro",B_WalkTime,0))+IF(R29&gt;B_Pause2Nach,B_Pause2Dauer,0)),0)</f>
        <v>0</v>
      </c>
      <c r="U29" s="113">
        <f>IF(T29&gt;S29,T29-S29,0)</f>
        <v>0</v>
      </c>
      <c r="V29" s="146">
        <f>IF(F29="S",Z29,(IF((R29-U29)&gt;XWorkTimeMax,XWorkTimeMax,IF((R29-U29)&gt;0,R29-U29,0))))</f>
        <v>0</v>
      </c>
      <c r="W29" s="66"/>
      <c r="X29" s="115">
        <f>xNoWorkTime</f>
        <v>4.027777777777778E-2</v>
      </c>
      <c r="Y29" s="110">
        <f>IF(AND((AM29&lt;Feiertag),(G29&lt;&gt;85)),IF(OR(F29="B",F29="G",F29="S",H29&gt;0),H29-H29+Z29,0),0)</f>
        <v>0</v>
      </c>
      <c r="Z29" s="111">
        <f>IF(AND(AM29&gt;0,AM29&lt;Feiertag),INDEX(Arbeitszeit,AM29),"")</f>
        <v>0.29166666666666669</v>
      </c>
      <c r="AA29" s="112">
        <f>V29-Y29</f>
        <v>0</v>
      </c>
      <c r="AB29" s="67" t="str">
        <f>IF((V29-Y29)&lt;0,"*","")</f>
        <v/>
      </c>
      <c r="AC29" s="193">
        <f>xOverTime</f>
        <v>0</v>
      </c>
      <c r="AD29" s="144" t="str">
        <f>IF((R29-U29)&gt;XWorkTimeMax,(R29-U29-XWorkTimeMax),"")</f>
        <v/>
      </c>
      <c r="AE29" s="225">
        <f>IF(AW29,(AE28+SUM(AA29)+(IF(AG29="+",AF29,-AF29))),)</f>
        <v>0</v>
      </c>
      <c r="AF29" s="110"/>
      <c r="AG29" s="627"/>
      <c r="AH29" s="110"/>
      <c r="AI29" s="110" t="str">
        <f>IF(AND(AF29&lt;&gt;"",AF29&lt;=V29),V29-AF29,"")</f>
        <v/>
      </c>
      <c r="AJ29" s="68">
        <f>IF(ISNUMBER(V29 ), IF( V29 &gt;= Y29, Y29, V29 ),"")</f>
        <v>0</v>
      </c>
      <c r="AK29" s="68">
        <f>IF( ISNUMBER( V29 ), IF( V29 &gt;= Y29, V29 - Y29, "" ), "" )</f>
        <v>0</v>
      </c>
      <c r="AL29" s="68" t="str">
        <f>IF( AND(ISNUMBER( V29 ),ISNUMBER( Y29 )), IF( V29 &gt;= Y29, "", Y29 - V29 ), "" )</f>
        <v/>
      </c>
      <c r="AM29">
        <f>IF(A29="",0,IF(ISERROR(VLOOKUP(A29,db_Feiertag,2,FALSE)),WEEKDAY(A29,2),Feiertag))</f>
        <v>2</v>
      </c>
      <c r="AN29" s="122">
        <f>SUM($AD$6:AD29)</f>
        <v>0</v>
      </c>
      <c r="AO29" s="122">
        <f ca="1">IF(D29=D28,AO28,OFFSET(AO29,-1,COLUMN(db_jSaldoGes)-COLUMN()))</f>
        <v>0</v>
      </c>
      <c r="AP29" s="126">
        <f>IF(OR($G29=-1,$G29=82),-1,IF(OR($G29=0,$G29=83),1,0))</f>
        <v>0</v>
      </c>
      <c r="AQ29" s="126">
        <f>IF($F29=Krank,1,IF($F29="J",-1,0))</f>
        <v>0</v>
      </c>
      <c r="AR29" s="126">
        <f>IF($F29=Urlaub,1,IF($F29="T",-1,0))</f>
        <v>0</v>
      </c>
      <c r="AS29" s="125">
        <f>IF(A29="","",AS28-IF(F29=Urlaub,1,0)+IF(AND(MONTH(A29)=1,DAY(A29)=1),B_UrlaubNeu,0))</f>
        <v>30</v>
      </c>
      <c r="AT29" s="125">
        <f ca="1">IF(A29="","",IF(D29=D28,AT28,OFFSET(AT29,-1,COLUMN(db_jUrlRest)-COLUMN()))+IF(AND(MONTH(A29)=1,DAY(A29)=1),B_UrlaubNeu,0))</f>
        <v>30</v>
      </c>
      <c r="AU29" s="135">
        <f>(IF(ISNUMBER(V29),V29,0)+IF(ISNUMBER(AD29),AD29,0))*24</f>
        <v>0</v>
      </c>
      <c r="AV29" s="125">
        <f>IF(ISNUMBER(AD29),K_ArbeitOverMax,IF(AND(ISNUMBER(AA29),AA29&gt;0),K_ArbeitOverTime,IF(AND(ISNUMBER(V29),V29&gt;0),K_ArbeitNormal,IF(F29=Krank,K_Krank,IF(F29=Urlaub,K_Urlaub,IF(AM29=Feiertag,K_Feiertag,IF(OR(AM29=6,AM29=7),K_Wochenende,0)))))))+IF(F29=Gleittag,K_Gleittag,0)</f>
        <v>0</v>
      </c>
      <c r="AW29" t="b">
        <f>OR((F29&gt;0),(NOT(ISBLANK(H29))),SUM(H29:H$373),SUM(G29:G$373))</f>
        <v>0</v>
      </c>
      <c r="AX29" t="b">
        <f ca="1">INDIRECT(ADDRESS(ROW(),COLUMN(xDay)))&gt;5</f>
        <v>0</v>
      </c>
      <c r="AY29" s="600">
        <f>IF(OR(R29&lt;&gt;0,F29&lt;&gt;0),AA29,IF(Z29="",0,-Z29))+(IF(AG29="+",AF29,-AF29))</f>
        <v>-0.29166666666666669</v>
      </c>
      <c r="AZ29" s="225">
        <f>SUM(AY$5:AY29)</f>
        <v>-4.666666666666667</v>
      </c>
      <c r="BA29" s="658"/>
      <c r="BB29" s="658">
        <f>IF(ISNA(MATCH(BA29,B_Arbeitsort,0)),0,MATCH(BA29,B_Arbeitsort,0))</f>
        <v>0</v>
      </c>
      <c r="BC29" s="658"/>
    </row>
    <row r="30" spans="1:55" ht="15.75">
      <c r="A30" s="305">
        <f>IF(A29="","",IF((A29+1)&gt;=DATE(YEAR(xJahr)+1,MONTH(xJahr),DAY(xJahr)),"",A29+1))</f>
        <v>43489</v>
      </c>
      <c r="B30" s="306">
        <f>IF(A30="","",A30)</f>
        <v>43489</v>
      </c>
      <c r="C30" s="307">
        <f>IF(A30="","",NumberOfWeek(A30))</f>
        <v>4</v>
      </c>
      <c r="D30" s="308">
        <f>IF(A30="","",DATE(YEAR(A30),MONTH(A30),1))</f>
        <v>43465</v>
      </c>
      <c r="E30" s="318" t="str">
        <f>IF((R30-U30)&gt;XWorkTimeMax,$Z$4,IF(AV30=Feiertag,VLOOKUP(B30,db_Feiertag,2,FALSE),""))</f>
        <v/>
      </c>
      <c r="F30" s="5"/>
      <c r="G30" s="6" t="str">
        <f>IF(ISBLANK(F30),IF(ISBLANK(H30),"",0),CODE(UPPER(F30)))</f>
        <v/>
      </c>
      <c r="H30" s="7"/>
      <c r="I30" s="7">
        <f>IF(H30&gt;0,H30+Y30+X30+AC30,0)</f>
        <v>0</v>
      </c>
      <c r="J30" s="113">
        <f>IF(K30&gt;I30,IF(I30&lt;H30,I30+1,I30)-B_WalkTime,IF(I30&lt;H30,I30+1,I30))</f>
        <v>0</v>
      </c>
      <c r="K30" s="7"/>
      <c r="L30" s="7">
        <f>IF(K30&gt;0,K30+IF((J30-H30)&lt;Y30,Y30-(J30-H30),TIME(0,10,0))+IF((K30-J30)&gt;xNoWorkTime,0,xNoWorkTime-(K30-J30)),0)</f>
        <v>0</v>
      </c>
      <c r="M30" s="113">
        <f>IF(L30&lt;K30,L30+1,L30)</f>
        <v>0</v>
      </c>
      <c r="N30" s="113"/>
      <c r="O30" s="113">
        <f>IF(N30&gt;0,N30+IF((J30-H30+M30-K30)&lt;Y30,Y30-(J30-H30+M30-K30),TIME(0,10,0))+IF((K30-J30+N30-M30)&gt;xNoWorkTime,0,xNoWorkTime-(K30-J30+N30-M30)),0)</f>
        <v>0</v>
      </c>
      <c r="P30" s="113"/>
      <c r="Q30" s="113">
        <f>IF(O30&lt;N30,O30+1,O30)</f>
        <v>0</v>
      </c>
      <c r="R30" s="113">
        <f>J30-H30+M30-K30+Q30-N30</f>
        <v>0</v>
      </c>
      <c r="S30" s="113">
        <f>IF(K30&gt;0,K30-I30,0)+IF(N30&gt;0,N30-L30)</f>
        <v>0</v>
      </c>
      <c r="T30" s="113">
        <f>IF(H30&gt;0,(IF(R30&gt;B_Pause1Nach,B_Pause1Dauer+IF(BA30="Büro",B_WalkTime,0),IF(BA30="Büro",B_WalkTime,0))+IF(R30&gt;B_Pause2Nach,B_Pause2Dauer,0)),0)</f>
        <v>0</v>
      </c>
      <c r="U30" s="113">
        <f>IF(T30&gt;S30,T30-S30,0)</f>
        <v>0</v>
      </c>
      <c r="V30" s="146">
        <f>IF(F30="S",Z30,(IF((R30-U30)&gt;XWorkTimeMax,XWorkTimeMax,IF((R30-U30)&gt;0,R30-U30,0))))</f>
        <v>0</v>
      </c>
      <c r="W30" s="66"/>
      <c r="X30" s="115">
        <f>xNoWorkTime</f>
        <v>4.027777777777778E-2</v>
      </c>
      <c r="Y30" s="110">
        <f>IF(AND((AM30&lt;Feiertag),(G30&lt;&gt;85)),IF(OR(F30="B",F30="G",F30="S",H30&gt;0),H30-H30+Z30,0),0)</f>
        <v>0</v>
      </c>
      <c r="Z30" s="111">
        <f>IF(AND(AM30&gt;0,AM30&lt;Feiertag),INDEX(Arbeitszeit,AM30),"")</f>
        <v>0.29166666666666669</v>
      </c>
      <c r="AA30" s="112">
        <f>V30-Y30</f>
        <v>0</v>
      </c>
      <c r="AB30" s="67" t="str">
        <f>IF((V30-Y30)&lt;0,"*","")</f>
        <v/>
      </c>
      <c r="AC30" s="193">
        <f>xOverTime</f>
        <v>0</v>
      </c>
      <c r="AD30" s="144" t="str">
        <f>IF((R30-U30)&gt;XWorkTimeMax,(R30-U30-XWorkTimeMax),"")</f>
        <v/>
      </c>
      <c r="AE30" s="225">
        <f>IF(AW30,(AE29+SUM(AA30)+(IF(AG30="+",AF30,-AF30))),)</f>
        <v>0</v>
      </c>
      <c r="AF30" s="110"/>
      <c r="AG30" s="627"/>
      <c r="AH30" s="110"/>
      <c r="AI30" s="110" t="str">
        <f>IF(AND(AF30&lt;&gt;"",AF30&lt;=V30),V30-AF30,"")</f>
        <v/>
      </c>
      <c r="AJ30" s="68">
        <f>IF(ISNUMBER(V30 ), IF( V30 &gt;= Y30, Y30, V30 ),"")</f>
        <v>0</v>
      </c>
      <c r="AK30" s="68">
        <f>IF( ISNUMBER( V30 ), IF( V30 &gt;= Y30, V30 - Y30, "" ), "" )</f>
        <v>0</v>
      </c>
      <c r="AL30" s="68" t="str">
        <f>IF( AND(ISNUMBER( V30 ),ISNUMBER( Y30 )), IF( V30 &gt;= Y30, "", Y30 - V30 ), "" )</f>
        <v/>
      </c>
      <c r="AM30">
        <f>IF(A30="",0,IF(ISERROR(VLOOKUP(A30,db_Feiertag,2,FALSE)),WEEKDAY(A30,2),Feiertag))</f>
        <v>3</v>
      </c>
      <c r="AN30" s="122">
        <f>SUM($AD$6:AD30)</f>
        <v>0</v>
      </c>
      <c r="AO30" s="122">
        <f ca="1">IF(D30=D29,AO29,OFFSET(AO30,-1,COLUMN(db_jSaldoGes)-COLUMN()))</f>
        <v>0</v>
      </c>
      <c r="AP30" s="126">
        <f>IF(OR($G30=-1,$G30=82),-1,IF(OR($G30=0,$G30=83),1,0))</f>
        <v>0</v>
      </c>
      <c r="AQ30" s="126">
        <f>IF($F30=Krank,1,IF($F30="J",-1,0))</f>
        <v>0</v>
      </c>
      <c r="AR30" s="126">
        <f>IF($F30=Urlaub,1,IF($F30="T",-1,0))</f>
        <v>0</v>
      </c>
      <c r="AS30" s="125">
        <f>IF(A30="","",AS29-IF(F30=Urlaub,1,0)+IF(AND(MONTH(A30)=1,DAY(A30)=1),B_UrlaubNeu,0))</f>
        <v>30</v>
      </c>
      <c r="AT30" s="125">
        <f ca="1">IF(A30="","",IF(D30=D29,AT29,OFFSET(AT30,-1,COLUMN(db_jUrlRest)-COLUMN()))+IF(AND(MONTH(A30)=1,DAY(A30)=1),B_UrlaubNeu,0))</f>
        <v>30</v>
      </c>
      <c r="AU30" s="135">
        <f>(IF(ISNUMBER(V30),V30,0)+IF(ISNUMBER(AD30),AD30,0))*24</f>
        <v>0</v>
      </c>
      <c r="AV30" s="125">
        <f>IF(ISNUMBER(AD30),K_ArbeitOverMax,IF(AND(ISNUMBER(AA30),AA30&gt;0),K_ArbeitOverTime,IF(AND(ISNUMBER(V30),V30&gt;0),K_ArbeitNormal,IF(F30=Krank,K_Krank,IF(F30=Urlaub,K_Urlaub,IF(AM30=Feiertag,K_Feiertag,IF(OR(AM30=6,AM30=7),K_Wochenende,0)))))))+IF(F30=Gleittag,K_Gleittag,0)</f>
        <v>0</v>
      </c>
      <c r="AW30" t="b">
        <f>OR((F30&gt;0),(NOT(ISBLANK(H30))),SUM(H30:H$373),SUM(G30:G$373))</f>
        <v>0</v>
      </c>
      <c r="AX30" t="b">
        <f ca="1">INDIRECT(ADDRESS(ROW(),COLUMN(xDay)))&gt;5</f>
        <v>0</v>
      </c>
      <c r="AY30" s="600">
        <f>IF(OR(R30&lt;&gt;0,F30&lt;&gt;0),AA30,IF(Z30="",0,-Z30))+(IF(AG30="+",AF30,-AF30))</f>
        <v>-0.29166666666666669</v>
      </c>
      <c r="AZ30" s="225">
        <f>SUM(AY$5:AY30)</f>
        <v>-4.9583333333333339</v>
      </c>
      <c r="BA30" s="658"/>
      <c r="BB30" s="658">
        <f>IF(ISNA(MATCH(BA30,B_Arbeitsort,0)),0,MATCH(BA30,B_Arbeitsort,0))</f>
        <v>0</v>
      </c>
      <c r="BC30" s="658"/>
    </row>
    <row r="31" spans="1:55" ht="15.75">
      <c r="A31" s="305">
        <f>IF(A30="","",IF((A30+1)&gt;=DATE(YEAR(xJahr)+1,MONTH(xJahr),DAY(xJahr)),"",A30+1))</f>
        <v>43490</v>
      </c>
      <c r="B31" s="306">
        <f>IF(A31="","",A31)</f>
        <v>43490</v>
      </c>
      <c r="C31" s="307">
        <f>IF(A31="","",NumberOfWeek(A31))</f>
        <v>4</v>
      </c>
      <c r="D31" s="308">
        <f>IF(A31="","",DATE(YEAR(A31),MONTH(A31),1))</f>
        <v>43465</v>
      </c>
      <c r="E31" s="318" t="str">
        <f>IF((R31-U31)&gt;XWorkTimeMax,$Z$4,IF(AV31=Feiertag,VLOOKUP(B31,db_Feiertag,2,FALSE),""))</f>
        <v/>
      </c>
      <c r="F31" s="5"/>
      <c r="G31" s="6" t="str">
        <f>IF(ISBLANK(F31),IF(ISBLANK(H31),"",0),CODE(UPPER(F31)))</f>
        <v/>
      </c>
      <c r="H31" s="7"/>
      <c r="I31" s="7">
        <f>IF(H31&gt;0,H31+Y31+X31+AC31,0)</f>
        <v>0</v>
      </c>
      <c r="J31" s="113">
        <f>IF(K31&gt;I31,IF(I31&lt;H31,I31+1,I31)-B_WalkTime,IF(I31&lt;H31,I31+1,I31))</f>
        <v>0</v>
      </c>
      <c r="K31" s="7"/>
      <c r="L31" s="7">
        <f>IF(K31&gt;0,K31+IF((J31-H31)&lt;Y31,Y31-(J31-H31),TIME(0,10,0))+IF((K31-J31)&gt;xNoWorkTime,0,xNoWorkTime-(K31-J31)),0)</f>
        <v>0</v>
      </c>
      <c r="M31" s="113">
        <f>IF(L31&lt;K31,L31+1,L31)</f>
        <v>0</v>
      </c>
      <c r="N31" s="113"/>
      <c r="O31" s="113">
        <f>IF(N31&gt;0,N31+IF((J31-H31+M31-K31)&lt;Y31,Y31-(J31-H31+M31-K31),TIME(0,10,0))+IF((K31-J31+N31-M31)&gt;xNoWorkTime,0,xNoWorkTime-(K31-J31+N31-M31)),0)</f>
        <v>0</v>
      </c>
      <c r="P31" s="113"/>
      <c r="Q31" s="113">
        <f>IF(O31&lt;N31,O31+1,O31)</f>
        <v>0</v>
      </c>
      <c r="R31" s="113">
        <f>J31-H31+M31-K31+Q31-N31</f>
        <v>0</v>
      </c>
      <c r="S31" s="113">
        <f>IF(K31&gt;0,K31-I31,0)+IF(N31&gt;0,N31-L31)</f>
        <v>0</v>
      </c>
      <c r="T31" s="113">
        <f>IF(H31&gt;0,(IF(R31&gt;B_Pause1Nach,B_Pause1Dauer+IF(BA31="Büro",B_WalkTime,0),IF(BA31="Büro",B_WalkTime,0))+IF(R31&gt;B_Pause2Nach,B_Pause2Dauer,0)),0)</f>
        <v>0</v>
      </c>
      <c r="U31" s="113">
        <f>IF(T31&gt;S31,T31-S31,0)</f>
        <v>0</v>
      </c>
      <c r="V31" s="146">
        <f>IF(F31="S",Z31,(IF((R31-U31)&gt;XWorkTimeMax,XWorkTimeMax,IF((R31-U31)&gt;0,R31-U31,0))))</f>
        <v>0</v>
      </c>
      <c r="W31" s="66"/>
      <c r="X31" s="115">
        <f>xNoWorkTime</f>
        <v>4.027777777777778E-2</v>
      </c>
      <c r="Y31" s="110">
        <f>IF(AND((AM31&lt;Feiertag),(G31&lt;&gt;85)),IF(OR(F31="B",F31="G",F31="S",H31&gt;0),H31-H31+Z31,0),0)</f>
        <v>0</v>
      </c>
      <c r="Z31" s="111">
        <f>IF(AND(AM31&gt;0,AM31&lt;Feiertag),INDEX(Arbeitszeit,AM31),"")</f>
        <v>0.29166666666666669</v>
      </c>
      <c r="AA31" s="112">
        <f>V31-Y31</f>
        <v>0</v>
      </c>
      <c r="AB31" s="67" t="str">
        <f>IF((V31-Y31)&lt;0,"*","")</f>
        <v/>
      </c>
      <c r="AC31" s="193">
        <f>xOverTime</f>
        <v>0</v>
      </c>
      <c r="AD31" s="144" t="str">
        <f>IF((R31-U31)&gt;XWorkTimeMax,(R31-U31-XWorkTimeMax),"")</f>
        <v/>
      </c>
      <c r="AE31" s="225">
        <f>IF(AW31,(AE30+SUM(AA31)+(IF(AG31="+",AF31,-AF31))),)</f>
        <v>0</v>
      </c>
      <c r="AF31" s="110"/>
      <c r="AG31" s="627"/>
      <c r="AH31" s="110"/>
      <c r="AI31" s="110" t="str">
        <f>IF(AND(AF31&lt;&gt;"",AF31&lt;=V31),V31-AF31,"")</f>
        <v/>
      </c>
      <c r="AJ31" s="68">
        <f>IF(ISNUMBER(V31 ), IF( V31 &gt;= Y31, Y31, V31 ),"")</f>
        <v>0</v>
      </c>
      <c r="AK31" s="68">
        <f>IF( ISNUMBER( V31 ), IF( V31 &gt;= Y31, V31 - Y31, "" ), "" )</f>
        <v>0</v>
      </c>
      <c r="AL31" s="68" t="str">
        <f>IF( AND(ISNUMBER( V31 ),ISNUMBER( Y31 )), IF( V31 &gt;= Y31, "", Y31 - V31 ), "" )</f>
        <v/>
      </c>
      <c r="AM31">
        <f>IF(A31="",0,IF(ISERROR(VLOOKUP(A31,db_Feiertag,2,FALSE)),WEEKDAY(A31,2),Feiertag))</f>
        <v>4</v>
      </c>
      <c r="AN31" s="122">
        <f>SUM($AD$6:AD31)</f>
        <v>0</v>
      </c>
      <c r="AO31" s="122">
        <f ca="1">IF(D31=D30,AO30,OFFSET(AO31,-1,COLUMN(db_jSaldoGes)-COLUMN()))</f>
        <v>0</v>
      </c>
      <c r="AP31" s="126">
        <f>IF(OR($G31=-1,$G31=82),-1,IF(OR($G31=0,$G31=83),1,0))</f>
        <v>0</v>
      </c>
      <c r="AQ31" s="126">
        <f>IF($F31=Krank,1,IF($F31="J",-1,0))</f>
        <v>0</v>
      </c>
      <c r="AR31" s="126">
        <f>IF($F31=Urlaub,1,IF($F31="T",-1,0))</f>
        <v>0</v>
      </c>
      <c r="AS31" s="125">
        <f>IF(A31="","",AS30-IF(F31=Urlaub,1,0)+IF(AND(MONTH(A31)=1,DAY(A31)=1),B_UrlaubNeu,0))</f>
        <v>30</v>
      </c>
      <c r="AT31" s="125">
        <f ca="1">IF(A31="","",IF(D31=D30,AT30,OFFSET(AT31,-1,COLUMN(db_jUrlRest)-COLUMN()))+IF(AND(MONTH(A31)=1,DAY(A31)=1),B_UrlaubNeu,0))</f>
        <v>30</v>
      </c>
      <c r="AU31" s="135">
        <f>(IF(ISNUMBER(V31),V31,0)+IF(ISNUMBER(AD31),AD31,0))*24</f>
        <v>0</v>
      </c>
      <c r="AV31" s="125">
        <f>IF(ISNUMBER(AD31),K_ArbeitOverMax,IF(AND(ISNUMBER(AA31),AA31&gt;0),K_ArbeitOverTime,IF(AND(ISNUMBER(V31),V31&gt;0),K_ArbeitNormal,IF(F31=Krank,K_Krank,IF(F31=Urlaub,K_Urlaub,IF(AM31=Feiertag,K_Feiertag,IF(OR(AM31=6,AM31=7),K_Wochenende,0)))))))+IF(F31=Gleittag,K_Gleittag,0)</f>
        <v>0</v>
      </c>
      <c r="AW31" t="b">
        <f>OR((F31&gt;0),(NOT(ISBLANK(H31))),SUM(H31:H$373),SUM(G31:G$373))</f>
        <v>0</v>
      </c>
      <c r="AX31" t="b">
        <f ca="1">INDIRECT(ADDRESS(ROW(),COLUMN(xDay)))&gt;5</f>
        <v>0</v>
      </c>
      <c r="AY31" s="600">
        <f>IF(OR(R31&lt;&gt;0,F31&lt;&gt;0),AA31,IF(Z31="",0,-Z31))+(IF(AG31="+",AF31,-AF31))</f>
        <v>-0.29166666666666669</v>
      </c>
      <c r="AZ31" s="225">
        <f>SUM(AY$5:AY31)</f>
        <v>-5.2500000000000009</v>
      </c>
      <c r="BA31" s="658"/>
      <c r="BB31" s="658">
        <f>IF(ISNA(MATCH(BA31,B_Arbeitsort,0)),0,MATCH(BA31,B_Arbeitsort,0))</f>
        <v>0</v>
      </c>
      <c r="BC31" s="658"/>
    </row>
    <row r="32" spans="1:55" ht="15.75">
      <c r="A32" s="305">
        <f>IF(A31="","",IF((A31+1)&gt;=DATE(YEAR(xJahr)+1,MONTH(xJahr),DAY(xJahr)),"",A31+1))</f>
        <v>43491</v>
      </c>
      <c r="B32" s="306">
        <f>IF(A32="","",A32)</f>
        <v>43491</v>
      </c>
      <c r="C32" s="307">
        <f>IF(A32="","",NumberOfWeek(A32))</f>
        <v>4</v>
      </c>
      <c r="D32" s="308">
        <f>IF(A32="","",DATE(YEAR(A32),MONTH(A32),1))</f>
        <v>43465</v>
      </c>
      <c r="E32" s="318" t="str">
        <f>IF((R32-U32)&gt;XWorkTimeMax,$Z$4,IF(AV32=Feiertag,VLOOKUP(B32,db_Feiertag,2,FALSE),""))</f>
        <v/>
      </c>
      <c r="F32" s="5"/>
      <c r="G32" s="6" t="str">
        <f>IF(ISBLANK(F32),IF(ISBLANK(H32),"",0),CODE(UPPER(F32)))</f>
        <v/>
      </c>
      <c r="H32" s="7"/>
      <c r="I32" s="7">
        <f>IF(H32&gt;0,H32+Y32+X32+AC32,0)</f>
        <v>0</v>
      </c>
      <c r="J32" s="113">
        <f>IF(K32&gt;I32,IF(I32&lt;H32,I32+1,I32)-B_WalkTime,IF(I32&lt;H32,I32+1,I32))</f>
        <v>0</v>
      </c>
      <c r="K32" s="7"/>
      <c r="L32" s="7">
        <f>IF(K32&gt;0,K32+IF((J32-H32)&lt;Y32,Y32-(J32-H32),TIME(0,10,0))+IF((K32-J32)&gt;xNoWorkTime,0,xNoWorkTime-(K32-J32)),0)</f>
        <v>0</v>
      </c>
      <c r="M32" s="113">
        <f>IF(L32&lt;K32,L32+1,L32)</f>
        <v>0</v>
      </c>
      <c r="N32" s="113"/>
      <c r="O32" s="113">
        <f>IF(N32&gt;0,N32+IF((J32-H32+M32-K32)&lt;Y32,Y32-(J32-H32+M32-K32),TIME(0,10,0))+IF((K32-J32+N32-M32)&gt;xNoWorkTime,0,xNoWorkTime-(K32-J32+N32-M32)),0)</f>
        <v>0</v>
      </c>
      <c r="P32" s="113"/>
      <c r="Q32" s="113">
        <f>IF(O32&lt;N32,O32+1,O32)</f>
        <v>0</v>
      </c>
      <c r="R32" s="113">
        <f>J32-H32+M32-K32+Q32-N32</f>
        <v>0</v>
      </c>
      <c r="S32" s="113">
        <f>IF(K32&gt;0,K32-I32,0)+IF(N32&gt;0,N32-L32)</f>
        <v>0</v>
      </c>
      <c r="T32" s="113">
        <f>IF(H32&gt;0,(IF(R32&gt;B_Pause1Nach,B_Pause1Dauer+IF(BA32="Büro",B_WalkTime,0),IF(BA32="Büro",B_WalkTime,0))+IF(R32&gt;B_Pause2Nach,B_Pause2Dauer,0)),0)</f>
        <v>0</v>
      </c>
      <c r="U32" s="113">
        <f>IF(T32&gt;S32,T32-S32,0)</f>
        <v>0</v>
      </c>
      <c r="V32" s="146">
        <f>IF(F32="S",Z32,(IF((R32-U32)&gt;XWorkTimeMax,XWorkTimeMax,IF((R32-U32)&gt;0,R32-U32,0))))</f>
        <v>0</v>
      </c>
      <c r="W32" s="66"/>
      <c r="X32" s="115">
        <f>xNoWorkTime</f>
        <v>4.027777777777778E-2</v>
      </c>
      <c r="Y32" s="110">
        <f>IF(AND((AM32&lt;Feiertag),(G32&lt;&gt;85)),IF(OR(F32="B",F32="G",F32="S",H32&gt;0),H32-H32+Z32,0),0)</f>
        <v>0</v>
      </c>
      <c r="Z32" s="111">
        <f>IF(AND(AM32&gt;0,AM32&lt;Feiertag),INDEX(Arbeitszeit,AM32),"")</f>
        <v>0.29166666666666669</v>
      </c>
      <c r="AA32" s="112">
        <f>V32-Y32</f>
        <v>0</v>
      </c>
      <c r="AB32" s="67" t="str">
        <f>IF((V32-Y32)&lt;0,"*","")</f>
        <v/>
      </c>
      <c r="AC32" s="193">
        <f>xOverTime</f>
        <v>0</v>
      </c>
      <c r="AD32" s="144" t="str">
        <f>IF((R32-U32)&gt;XWorkTimeMax,(R32-U32-XWorkTimeMax),"")</f>
        <v/>
      </c>
      <c r="AE32" s="225">
        <f>IF(AW32,(AE31+SUM(AA32)+(IF(AG32="+",AF32,-AF32))),)</f>
        <v>0</v>
      </c>
      <c r="AF32" s="110"/>
      <c r="AG32" s="627"/>
      <c r="AH32" s="110"/>
      <c r="AI32" s="110" t="str">
        <f>IF(AND(AF32&lt;&gt;"",AF32&lt;=V32),V32-AF32,"")</f>
        <v/>
      </c>
      <c r="AJ32" s="68">
        <f>IF(ISNUMBER(V32 ), IF( V32 &gt;= Y32, Y32, V32 ),"")</f>
        <v>0</v>
      </c>
      <c r="AK32" s="68">
        <f>IF( ISNUMBER( V32 ), IF( V32 &gt;= Y32, V32 - Y32, "" ), "" )</f>
        <v>0</v>
      </c>
      <c r="AL32" s="68" t="str">
        <f>IF( AND(ISNUMBER( V32 ),ISNUMBER( Y32 )), IF( V32 &gt;= Y32, "", Y32 - V32 ), "" )</f>
        <v/>
      </c>
      <c r="AM32">
        <f>IF(A32="",0,IF(ISERROR(VLOOKUP(A32,db_Feiertag,2,FALSE)),WEEKDAY(A32,2),Feiertag))</f>
        <v>5</v>
      </c>
      <c r="AN32" s="122">
        <f>SUM($AD$6:AD32)</f>
        <v>0</v>
      </c>
      <c r="AO32" s="122">
        <f ca="1">IF(D32=D31,AO31,OFFSET(AO32,-1,COLUMN(db_jSaldoGes)-COLUMN()))</f>
        <v>0</v>
      </c>
      <c r="AP32" s="126">
        <f>IF(OR($G32=-1,$G32=82),-1,IF(OR($G32=0,$G32=83),1,0))</f>
        <v>0</v>
      </c>
      <c r="AQ32" s="126">
        <f>IF($F32=Krank,1,IF($F32="J",-1,0))</f>
        <v>0</v>
      </c>
      <c r="AR32" s="126">
        <f>IF($F32=Urlaub,1,IF($F32="T",-1,0))</f>
        <v>0</v>
      </c>
      <c r="AS32" s="125">
        <f>IF(A32="","",AS31-IF(F32=Urlaub,1,0)+IF(AND(MONTH(A32)=1,DAY(A32)=1),B_UrlaubNeu,0))</f>
        <v>30</v>
      </c>
      <c r="AT32" s="125">
        <f ca="1">IF(A32="","",IF(D32=D31,AT31,OFFSET(AT32,-1,COLUMN(db_jUrlRest)-COLUMN()))+IF(AND(MONTH(A32)=1,DAY(A32)=1),B_UrlaubNeu,0))</f>
        <v>30</v>
      </c>
      <c r="AU32" s="135">
        <f>(IF(ISNUMBER(V32),V32,0)+IF(ISNUMBER(AD32),AD32,0))*24</f>
        <v>0</v>
      </c>
      <c r="AV32" s="125">
        <f>IF(ISNUMBER(AD32),K_ArbeitOverMax,IF(AND(ISNUMBER(AA32),AA32&gt;0),K_ArbeitOverTime,IF(AND(ISNUMBER(V32),V32&gt;0),K_ArbeitNormal,IF(F32=Krank,K_Krank,IF(F32=Urlaub,K_Urlaub,IF(AM32=Feiertag,K_Feiertag,IF(OR(AM32=6,AM32=7),K_Wochenende,0)))))))+IF(F32=Gleittag,K_Gleittag,0)</f>
        <v>0</v>
      </c>
      <c r="AW32" t="b">
        <f>OR((F32&gt;0),(NOT(ISBLANK(H32))),SUM(H32:H$373),SUM(G32:G$373))</f>
        <v>0</v>
      </c>
      <c r="AX32" t="b">
        <f ca="1">INDIRECT(ADDRESS(ROW(),COLUMN(xDay)))&gt;5</f>
        <v>0</v>
      </c>
      <c r="AY32" s="600">
        <f>IF(OR(R32&lt;&gt;0,F32&lt;&gt;0),AA32,IF(Z32="",0,-Z32))+(IF(AG32="+",AF32,-AF32))</f>
        <v>-0.29166666666666669</v>
      </c>
      <c r="AZ32" s="225">
        <f>SUM(AY$5:AY32)</f>
        <v>-5.5416666666666679</v>
      </c>
      <c r="BA32" s="658"/>
      <c r="BB32" s="658">
        <f>IF(ISNA(MATCH(BA32,B_Arbeitsort,0)),0,MATCH(BA32,B_Arbeitsort,0))</f>
        <v>0</v>
      </c>
      <c r="BC32" s="658"/>
    </row>
    <row r="33" spans="1:55" ht="15.75">
      <c r="A33" s="305">
        <f>IF(A32="","",IF((A32+1)&gt;=DATE(YEAR(xJahr)+1,MONTH(xJahr),DAY(xJahr)),"",A32+1))</f>
        <v>43492</v>
      </c>
      <c r="B33" s="306">
        <f>IF(A33="","",A33)</f>
        <v>43492</v>
      </c>
      <c r="C33" s="307">
        <f>IF(A33="","",NumberOfWeek(A33))</f>
        <v>4</v>
      </c>
      <c r="D33" s="308">
        <f>IF(A33="","",DATE(YEAR(A33),MONTH(A33),1))</f>
        <v>43465</v>
      </c>
      <c r="E33" s="318" t="str">
        <f>IF((R33-U33)&gt;XWorkTimeMax,$Z$4,IF(AV33=Feiertag,VLOOKUP(B33,db_Feiertag,2,FALSE),""))</f>
        <v/>
      </c>
      <c r="F33" s="5"/>
      <c r="G33" s="6" t="str">
        <f>IF(ISBLANK(F33),IF(ISBLANK(H33),"",0),CODE(UPPER(F33)))</f>
        <v/>
      </c>
      <c r="H33" s="7"/>
      <c r="I33" s="7">
        <f>IF(H33&gt;0,H33+Y33+X33+AC33,0)</f>
        <v>0</v>
      </c>
      <c r="J33" s="113">
        <f>IF(K33&gt;I33,IF(I33&lt;H33,I33+1,I33)-B_WalkTime,IF(I33&lt;H33,I33+1,I33))</f>
        <v>0</v>
      </c>
      <c r="K33" s="7"/>
      <c r="L33" s="7">
        <f>IF(K33&gt;0,K33+IF((J33-H33)&lt;Y33,Y33-(J33-H33),TIME(0,10,0))+IF((K33-J33)&gt;xNoWorkTime,0,xNoWorkTime-(K33-J33)),0)</f>
        <v>0</v>
      </c>
      <c r="M33" s="113">
        <f>IF(L33&lt;K33,L33+1,L33)</f>
        <v>0</v>
      </c>
      <c r="N33" s="113"/>
      <c r="O33" s="113">
        <f>IF(N33&gt;0,N33+IF((J33-H33+M33-K33)&lt;Y33,Y33-(J33-H33+M33-K33),TIME(0,10,0))+IF((K33-J33+N33-M33)&gt;xNoWorkTime,0,xNoWorkTime-(K33-J33+N33-M33)),0)</f>
        <v>0</v>
      </c>
      <c r="P33" s="113"/>
      <c r="Q33" s="113">
        <f>IF(O33&lt;N33,O33+1,O33)</f>
        <v>0</v>
      </c>
      <c r="R33" s="113">
        <f>J33-H33+M33-K33+Q33-N33</f>
        <v>0</v>
      </c>
      <c r="S33" s="113">
        <f>IF(K33&gt;0,K33-I33,0)+IF(N33&gt;0,N33-L33)</f>
        <v>0</v>
      </c>
      <c r="T33" s="113">
        <f>IF(H33&gt;0,(IF(R33&gt;B_Pause1Nach,B_Pause1Dauer+IF(BA33="Büro",B_WalkTime,0),IF(BA33="Büro",B_WalkTime,0))+IF(R33&gt;B_Pause2Nach,B_Pause2Dauer,0)),0)</f>
        <v>0</v>
      </c>
      <c r="U33" s="113">
        <f>IF(T33&gt;S33,T33-S33,0)</f>
        <v>0</v>
      </c>
      <c r="V33" s="146">
        <f>IF(F33="S",Z33,(IF((R33-U33)&gt;XWorkTimeMax,XWorkTimeMax,IF((R33-U33)&gt;0,R33-U33,0))))</f>
        <v>0</v>
      </c>
      <c r="W33" s="66"/>
      <c r="X33" s="115">
        <f>xNoWorkTime</f>
        <v>4.027777777777778E-2</v>
      </c>
      <c r="Y33" s="110">
        <f>IF(AND((AM33&lt;Feiertag),(G33&lt;&gt;85)),IF(OR(F33="B",F33="G",F33="S",H33&gt;0),H33-H33+Z33,0),0)</f>
        <v>0</v>
      </c>
      <c r="Z33" s="111">
        <f>IF(AND(AM33&gt;0,AM33&lt;Feiertag),INDEX(Arbeitszeit,AM33),"")</f>
        <v>0</v>
      </c>
      <c r="AA33" s="112">
        <f>V33-Y33</f>
        <v>0</v>
      </c>
      <c r="AB33" s="67" t="str">
        <f>IF((V33-Y33)&lt;0,"*","")</f>
        <v/>
      </c>
      <c r="AC33" s="193">
        <f>xOverTime</f>
        <v>0</v>
      </c>
      <c r="AD33" s="144" t="str">
        <f>IF((R33-U33)&gt;XWorkTimeMax,(R33-U33-XWorkTimeMax),"")</f>
        <v/>
      </c>
      <c r="AE33" s="225">
        <f>IF(AW33,(AE32+SUM(AA33)+(IF(AG33="+",AF33,-AF33))),)</f>
        <v>0</v>
      </c>
      <c r="AF33" s="110"/>
      <c r="AG33" s="627"/>
      <c r="AH33" s="110"/>
      <c r="AI33" s="110" t="str">
        <f>IF(AND(AF33&lt;&gt;"",AF33&lt;=V33),V33-AF33,"")</f>
        <v/>
      </c>
      <c r="AJ33" s="68">
        <f>IF(ISNUMBER(V33 ), IF( V33 &gt;= Y33, Y33, V33 ),"")</f>
        <v>0</v>
      </c>
      <c r="AK33" s="68">
        <f>IF( ISNUMBER( V33 ), IF( V33 &gt;= Y33, V33 - Y33, "" ), "" )</f>
        <v>0</v>
      </c>
      <c r="AL33" s="68" t="str">
        <f>IF( AND(ISNUMBER( V33 ),ISNUMBER( Y33 )), IF( V33 &gt;= Y33, "", Y33 - V33 ), "" )</f>
        <v/>
      </c>
      <c r="AM33">
        <f>IF(A33="",0,IF(ISERROR(VLOOKUP(A33,db_Feiertag,2,FALSE)),WEEKDAY(A33,2),Feiertag))</f>
        <v>6</v>
      </c>
      <c r="AN33" s="122">
        <f>SUM($AD$6:AD33)</f>
        <v>0</v>
      </c>
      <c r="AO33" s="122">
        <f ca="1">IF(D33=D32,AO32,OFFSET(AO33,-1,COLUMN(db_jSaldoGes)-COLUMN()))</f>
        <v>0</v>
      </c>
      <c r="AP33" s="126">
        <f>IF(OR($G33=-1,$G33=82),-1,IF(OR($G33=0,$G33=83),1,0))</f>
        <v>0</v>
      </c>
      <c r="AQ33" s="126">
        <f>IF($F33=Krank,1,IF($F33="J",-1,0))</f>
        <v>0</v>
      </c>
      <c r="AR33" s="126">
        <f>IF($F33=Urlaub,1,IF($F33="T",-1,0))</f>
        <v>0</v>
      </c>
      <c r="AS33" s="125">
        <f>IF(A33="","",AS32-IF(F33=Urlaub,1,0)+IF(AND(MONTH(A33)=1,DAY(A33)=1),B_UrlaubNeu,0))</f>
        <v>30</v>
      </c>
      <c r="AT33" s="125">
        <f ca="1">IF(A33="","",IF(D33=D32,AT32,OFFSET(AT33,-1,COLUMN(db_jUrlRest)-COLUMN()))+IF(AND(MONTH(A33)=1,DAY(A33)=1),B_UrlaubNeu,0))</f>
        <v>30</v>
      </c>
      <c r="AU33" s="135">
        <f>(IF(ISNUMBER(V33),V33,0)+IF(ISNUMBER(AD33),AD33,0))*24</f>
        <v>0</v>
      </c>
      <c r="AV33" s="125">
        <f>IF(ISNUMBER(AD33),K_ArbeitOverMax,IF(AND(ISNUMBER(AA33),AA33&gt;0),K_ArbeitOverTime,IF(AND(ISNUMBER(V33),V33&gt;0),K_ArbeitNormal,IF(F33=Krank,K_Krank,IF(F33=Urlaub,K_Urlaub,IF(AM33=Feiertag,K_Feiertag,IF(OR(AM33=6,AM33=7),K_Wochenende,0)))))))+IF(F33=Gleittag,K_Gleittag,0)</f>
        <v>7</v>
      </c>
      <c r="AW33" t="b">
        <f>OR((F33&gt;0),(NOT(ISBLANK(H33))),SUM(H33:H$373),SUM(G33:G$373))</f>
        <v>0</v>
      </c>
      <c r="AX33" t="b">
        <f ca="1">INDIRECT(ADDRESS(ROW(),COLUMN(xDay)))&gt;5</f>
        <v>1</v>
      </c>
      <c r="AY33" s="600">
        <f>IF(OR(R33&lt;&gt;0,F33&lt;&gt;0),AA33,IF(Z33="",0,-Z33))+(IF(AG33="+",AF33,-AF33))</f>
        <v>0</v>
      </c>
      <c r="AZ33" s="225">
        <f>SUM(AY$5:AY33)</f>
        <v>-5.5416666666666679</v>
      </c>
      <c r="BA33" s="643"/>
      <c r="BB33" s="658">
        <f>IF(ISNA(MATCH(BA33,B_Arbeitsort,0)),0,MATCH(BA33,B_Arbeitsort,0))</f>
        <v>0</v>
      </c>
      <c r="BC33" s="643"/>
    </row>
    <row r="34" spans="1:55" ht="15.75">
      <c r="A34" s="305">
        <f>IF(A33="","",IF((A33+1)&gt;=DATE(YEAR(xJahr)+1,MONTH(xJahr),DAY(xJahr)),"",A33+1))</f>
        <v>43493</v>
      </c>
      <c r="B34" s="306">
        <f>IF(A34="","",A34)</f>
        <v>43493</v>
      </c>
      <c r="C34" s="307">
        <f>IF(A34="","",NumberOfWeek(A34))</f>
        <v>4</v>
      </c>
      <c r="D34" s="308">
        <f>IF(A34="","",DATE(YEAR(A34),MONTH(A34),1))</f>
        <v>43465</v>
      </c>
      <c r="E34" s="318" t="str">
        <f>IF((R34-U34)&gt;XWorkTimeMax,$Z$4,IF(AV34=Feiertag,VLOOKUP(B34,db_Feiertag,2,FALSE),""))</f>
        <v/>
      </c>
      <c r="F34" s="5"/>
      <c r="G34" s="6" t="str">
        <f>IF(ISBLANK(F34),IF(ISBLANK(H34),"",0),CODE(UPPER(F34)))</f>
        <v/>
      </c>
      <c r="H34" s="7"/>
      <c r="I34" s="7">
        <f>IF(H34&gt;0,H34+Y34+X34+AC34,0)</f>
        <v>0</v>
      </c>
      <c r="J34" s="113">
        <f>IF(K34&gt;I34,IF(I34&lt;H34,I34+1,I34)-B_WalkTime,IF(I34&lt;H34,I34+1,I34))</f>
        <v>0</v>
      </c>
      <c r="K34" s="7"/>
      <c r="L34" s="7">
        <f>IF(K34&gt;0,K34+IF((J34-H34)&lt;Y34,Y34-(J34-H34),TIME(0,10,0))+IF((K34-J34)&gt;xNoWorkTime,0,xNoWorkTime-(K34-J34)),0)</f>
        <v>0</v>
      </c>
      <c r="M34" s="113">
        <f>IF(L34&lt;K34,L34+1,L34)</f>
        <v>0</v>
      </c>
      <c r="N34" s="113"/>
      <c r="O34" s="113">
        <f>IF(N34&gt;0,N34+IF((J34-H34+M34-K34)&lt;Y34,Y34-(J34-H34+M34-K34),TIME(0,10,0))+IF((K34-J34+N34-M34)&gt;xNoWorkTime,0,xNoWorkTime-(K34-J34+N34-M34)),0)</f>
        <v>0</v>
      </c>
      <c r="P34" s="113"/>
      <c r="Q34" s="113">
        <f>IF(O34&lt;N34,O34+1,O34)</f>
        <v>0</v>
      </c>
      <c r="R34" s="113">
        <f>J34-H34+M34-K34+Q34-N34</f>
        <v>0</v>
      </c>
      <c r="S34" s="113">
        <f>IF(K34&gt;0,K34-I34,0)+IF(N34&gt;0,N34-L34)</f>
        <v>0</v>
      </c>
      <c r="T34" s="113">
        <f>IF(H34&gt;0,(IF(R34&gt;B_Pause1Nach,B_Pause1Dauer+IF(BA34="Büro",B_WalkTime,0),IF(BA34="Büro",B_WalkTime,0))+IF(R34&gt;B_Pause2Nach,B_Pause2Dauer,0)),0)</f>
        <v>0</v>
      </c>
      <c r="U34" s="113">
        <f>IF(T34&gt;S34,T34-S34,0)</f>
        <v>0</v>
      </c>
      <c r="V34" s="146">
        <f>IF(F34="S",Z34,(IF((R34-U34)&gt;XWorkTimeMax,XWorkTimeMax,IF((R34-U34)&gt;0,R34-U34,0))))</f>
        <v>0</v>
      </c>
      <c r="W34" s="66"/>
      <c r="X34" s="115">
        <f>xNoWorkTime</f>
        <v>4.027777777777778E-2</v>
      </c>
      <c r="Y34" s="110">
        <f>IF(AND((AM34&lt;Feiertag),(G34&lt;&gt;85)),IF(OR(F34="B",F34="G",F34="S",H34&gt;0),H34-H34+Z34,0),0)</f>
        <v>0</v>
      </c>
      <c r="Z34" s="111">
        <f>IF(AND(AM34&gt;0,AM34&lt;Feiertag),INDEX(Arbeitszeit,AM34),"")</f>
        <v>0</v>
      </c>
      <c r="AA34" s="112">
        <f>V34-Y34</f>
        <v>0</v>
      </c>
      <c r="AB34" s="67" t="str">
        <f>IF((V34-Y34)&lt;0,"*","")</f>
        <v/>
      </c>
      <c r="AC34" s="193">
        <f>xOverTime</f>
        <v>0</v>
      </c>
      <c r="AD34" s="144" t="str">
        <f>IF((R34-U34)&gt;XWorkTimeMax,(R34-U34-XWorkTimeMax),"")</f>
        <v/>
      </c>
      <c r="AE34" s="225">
        <f>IF(AW34,(AE33+SUM(AA34)+(IF(AG34="+",AF34,-AF34))),)</f>
        <v>0</v>
      </c>
      <c r="AF34" s="110"/>
      <c r="AG34" s="627"/>
      <c r="AH34" s="110"/>
      <c r="AI34" s="110" t="str">
        <f>IF(AND(AF34&lt;&gt;"",AF34&lt;=V34),V34-AF34,"")</f>
        <v/>
      </c>
      <c r="AJ34" s="68">
        <f>IF(ISNUMBER(V34 ), IF( V34 &gt;= Y34, Y34, V34 ),"")</f>
        <v>0</v>
      </c>
      <c r="AK34" s="68">
        <f>IF( ISNUMBER( V34 ), IF( V34 &gt;= Y34, V34 - Y34, "" ), "" )</f>
        <v>0</v>
      </c>
      <c r="AL34" s="68" t="str">
        <f>IF( AND(ISNUMBER( V34 ),ISNUMBER( Y34 )), IF( V34 &gt;= Y34, "", Y34 - V34 ), "" )</f>
        <v/>
      </c>
      <c r="AM34">
        <f>IF(A34="",0,IF(ISERROR(VLOOKUP(A34,db_Feiertag,2,FALSE)),WEEKDAY(A34,2),Feiertag))</f>
        <v>7</v>
      </c>
      <c r="AN34" s="122">
        <f>SUM($AD$6:AD34)</f>
        <v>0</v>
      </c>
      <c r="AO34" s="122">
        <f ca="1">IF(D34=D33,AO33,OFFSET(AO34,-1,COLUMN(db_jSaldoGes)-COLUMN()))</f>
        <v>0</v>
      </c>
      <c r="AP34" s="126">
        <f>IF(OR($G34=-1,$G34=82),-1,IF(OR($G34=0,$G34=83),1,0))</f>
        <v>0</v>
      </c>
      <c r="AQ34" s="126">
        <f>IF($F34=Krank,1,IF($F34="J",-1,0))</f>
        <v>0</v>
      </c>
      <c r="AR34" s="126">
        <f>IF($F34=Urlaub,1,IF($F34="T",-1,0))</f>
        <v>0</v>
      </c>
      <c r="AS34" s="125">
        <f>IF(A34="","",AS33-IF(F34=Urlaub,1,0)+IF(AND(MONTH(A34)=1,DAY(A34)=1),B_UrlaubNeu,0))</f>
        <v>30</v>
      </c>
      <c r="AT34" s="125">
        <f ca="1">IF(A34="","",IF(D34=D33,AT33,OFFSET(AT34,-1,COLUMN(db_jUrlRest)-COLUMN()))+IF(AND(MONTH(A34)=1,DAY(A34)=1),B_UrlaubNeu,0))</f>
        <v>30</v>
      </c>
      <c r="AU34" s="135">
        <f>(IF(ISNUMBER(V34),V34,0)+IF(ISNUMBER(AD34),AD34,0))*24</f>
        <v>0</v>
      </c>
      <c r="AV34" s="125">
        <f>IF(ISNUMBER(AD34),K_ArbeitOverMax,IF(AND(ISNUMBER(AA34),AA34&gt;0),K_ArbeitOverTime,IF(AND(ISNUMBER(V34),V34&gt;0),K_ArbeitNormal,IF(F34=Krank,K_Krank,IF(F34=Urlaub,K_Urlaub,IF(AM34=Feiertag,K_Feiertag,IF(OR(AM34=6,AM34=7),K_Wochenende,0)))))))+IF(F34=Gleittag,K_Gleittag,0)</f>
        <v>7</v>
      </c>
      <c r="AW34" t="b">
        <f>OR((F34&gt;0),(NOT(ISBLANK(H34))),SUM(H34:H$373),SUM(G34:G$373))</f>
        <v>0</v>
      </c>
      <c r="AX34" t="b">
        <f ca="1">INDIRECT(ADDRESS(ROW(),COLUMN(xDay)))&gt;5</f>
        <v>1</v>
      </c>
      <c r="AY34" s="600">
        <f>IF(OR(R34&lt;&gt;0,F34&lt;&gt;0),AA34,IF(Z34="",0,-Z34))+(IF(AG34="+",AF34,-AF34))</f>
        <v>0</v>
      </c>
      <c r="AZ34" s="225">
        <f>SUM(AY$5:AY34)</f>
        <v>-5.5416666666666679</v>
      </c>
      <c r="BA34" s="643"/>
      <c r="BB34" s="658">
        <f>IF(ISNA(MATCH(BA34,B_Arbeitsort,0)),0,MATCH(BA34,B_Arbeitsort,0))</f>
        <v>0</v>
      </c>
      <c r="BC34" s="643"/>
    </row>
    <row r="35" spans="1:55" ht="15.75">
      <c r="A35" s="305">
        <f>IF(A34="","",IF((A34+1)&gt;=DATE(YEAR(xJahr)+1,MONTH(xJahr),DAY(xJahr)),"",A34+1))</f>
        <v>43494</v>
      </c>
      <c r="B35" s="306">
        <f>IF(A35="","",A35)</f>
        <v>43494</v>
      </c>
      <c r="C35" s="307">
        <f>IF(A35="","",NumberOfWeek(A35))</f>
        <v>5</v>
      </c>
      <c r="D35" s="308">
        <f>IF(A35="","",DATE(YEAR(A35),MONTH(A35),1))</f>
        <v>43465</v>
      </c>
      <c r="E35" s="318" t="str">
        <f>IF((R35-U35)&gt;XWorkTimeMax,$Z$4,IF(AV35=Feiertag,VLOOKUP(B35,db_Feiertag,2,FALSE),""))</f>
        <v/>
      </c>
      <c r="F35" s="5"/>
      <c r="G35" s="6" t="str">
        <f>IF(ISBLANK(F35),IF(ISBLANK(H35),"",0),CODE(UPPER(F35)))</f>
        <v/>
      </c>
      <c r="H35" s="7"/>
      <c r="I35" s="7">
        <f>IF(H35&gt;0,H35+Y35+X35+AC35,0)</f>
        <v>0</v>
      </c>
      <c r="J35" s="113">
        <f>IF(K35&gt;I35,IF(I35&lt;H35,I35+1,I35)-B_WalkTime,IF(I35&lt;H35,I35+1,I35))</f>
        <v>0</v>
      </c>
      <c r="K35" s="7"/>
      <c r="L35" s="7">
        <f>IF(K35&gt;0,K35+IF((J35-H35)&lt;Y35,Y35-(J35-H35),TIME(0,10,0))+IF((K35-J35)&gt;xNoWorkTime,0,xNoWorkTime-(K35-J35)),0)</f>
        <v>0</v>
      </c>
      <c r="M35" s="113">
        <f>IF(L35&lt;K35,L35+1,L35)</f>
        <v>0</v>
      </c>
      <c r="N35" s="113"/>
      <c r="O35" s="113">
        <f>IF(N35&gt;0,N35+IF((J35-H35+M35-K35)&lt;Y35,Y35-(J35-H35+M35-K35),TIME(0,10,0))+IF((K35-J35+N35-M35)&gt;xNoWorkTime,0,xNoWorkTime-(K35-J35+N35-M35)),0)</f>
        <v>0</v>
      </c>
      <c r="P35" s="113"/>
      <c r="Q35" s="113">
        <f>IF(O35&lt;N35,O35+1,O35)</f>
        <v>0</v>
      </c>
      <c r="R35" s="113">
        <f>J35-H35+M35-K35+Q35-N35</f>
        <v>0</v>
      </c>
      <c r="S35" s="113">
        <f>IF(K35&gt;0,K35-I35,0)+IF(N35&gt;0,N35-L35)</f>
        <v>0</v>
      </c>
      <c r="T35" s="113">
        <f>IF(H35&gt;0,(IF(R35&gt;B_Pause1Nach,B_Pause1Dauer+IF(BA35="Büro",B_WalkTime,0),IF(BA35="Büro",B_WalkTime,0))+IF(R35&gt;B_Pause2Nach,B_Pause2Dauer,0)),0)</f>
        <v>0</v>
      </c>
      <c r="U35" s="113">
        <f>IF(T35&gt;S35,T35-S35,0)</f>
        <v>0</v>
      </c>
      <c r="V35" s="146">
        <f>IF(F35="S",Z35,(IF((R35-U35)&gt;XWorkTimeMax,XWorkTimeMax,IF((R35-U35)&gt;0,R35-U35,0))))</f>
        <v>0</v>
      </c>
      <c r="W35" s="66"/>
      <c r="X35" s="115">
        <f>xNoWorkTime</f>
        <v>4.027777777777778E-2</v>
      </c>
      <c r="Y35" s="110">
        <f>IF(AND((AM35&lt;Feiertag),(G35&lt;&gt;85)),IF(OR(F35="B",F35="G",F35="S",H35&gt;0),H35-H35+Z35,0),0)</f>
        <v>0</v>
      </c>
      <c r="Z35" s="111">
        <f>IF(AND(AM35&gt;0,AM35&lt;Feiertag),INDEX(Arbeitszeit,AM35),"")</f>
        <v>0.29166666666666669</v>
      </c>
      <c r="AA35" s="112">
        <f>V35-Y35</f>
        <v>0</v>
      </c>
      <c r="AB35" s="67" t="str">
        <f>IF((V35-Y35)&lt;0,"*","")</f>
        <v/>
      </c>
      <c r="AC35" s="193">
        <f>xOverTime</f>
        <v>0</v>
      </c>
      <c r="AD35" s="144" t="str">
        <f>IF((R35-U35)&gt;XWorkTimeMax,(R35-U35-XWorkTimeMax),"")</f>
        <v/>
      </c>
      <c r="AE35" s="225">
        <f>IF(AW35,(AE34+SUM(AA35)+(IF(AG35="+",AF35,-AF35))),)</f>
        <v>0</v>
      </c>
      <c r="AF35" s="110"/>
      <c r="AG35" s="627"/>
      <c r="AH35" s="110"/>
      <c r="AI35" s="110" t="str">
        <f>IF(AND(AF35&lt;&gt;"",AF35&lt;=V35),V35-AF35,"")</f>
        <v/>
      </c>
      <c r="AJ35" s="68">
        <f>IF(ISNUMBER(V35 ), IF( V35 &gt;= Y35, Y35, V35 ),"")</f>
        <v>0</v>
      </c>
      <c r="AK35" s="68">
        <f>IF( ISNUMBER( V35 ), IF( V35 &gt;= Y35, V35 - Y35, "" ), "" )</f>
        <v>0</v>
      </c>
      <c r="AL35" s="68" t="str">
        <f>IF( AND(ISNUMBER( V35 ),ISNUMBER( Y35 )), IF( V35 &gt;= Y35, "", Y35 - V35 ), "" )</f>
        <v/>
      </c>
      <c r="AM35">
        <f>IF(A35="",0,IF(ISERROR(VLOOKUP(A35,db_Feiertag,2,FALSE)),WEEKDAY(A35,2),Feiertag))</f>
        <v>1</v>
      </c>
      <c r="AN35" s="122">
        <f>SUM($AD$6:AD35)</f>
        <v>0</v>
      </c>
      <c r="AO35" s="122">
        <f ca="1">IF(D35=D34,AO34,OFFSET(AO35,-1,COLUMN(db_jSaldoGes)-COLUMN()))</f>
        <v>0</v>
      </c>
      <c r="AP35" s="126">
        <f>IF(OR($G35=-1,$G35=82),-1,IF(OR($G35=0,$G35=83),1,0))</f>
        <v>0</v>
      </c>
      <c r="AQ35" s="126">
        <f>IF($F35=Krank,1,IF($F35="J",-1,0))</f>
        <v>0</v>
      </c>
      <c r="AR35" s="126">
        <f>IF($F35=Urlaub,1,IF($F35="T",-1,0))</f>
        <v>0</v>
      </c>
      <c r="AS35" s="125">
        <f>IF(A35="","",AS34-IF(F35=Urlaub,1,0)+IF(AND(MONTH(A35)=1,DAY(A35)=1),B_UrlaubNeu,0))</f>
        <v>30</v>
      </c>
      <c r="AT35" s="125">
        <f ca="1">IF(A35="","",IF(D35=D34,AT34,OFFSET(AT35,-1,COLUMN(db_jUrlRest)-COLUMN()))+IF(AND(MONTH(A35)=1,DAY(A35)=1),B_UrlaubNeu,0))</f>
        <v>30</v>
      </c>
      <c r="AU35" s="135">
        <f>(IF(ISNUMBER(V35),V35,0)+IF(ISNUMBER(AD35),AD35,0))*24</f>
        <v>0</v>
      </c>
      <c r="AV35" s="125">
        <f>IF(ISNUMBER(AD35),K_ArbeitOverMax,IF(AND(ISNUMBER(AA35),AA35&gt;0),K_ArbeitOverTime,IF(AND(ISNUMBER(V35),V35&gt;0),K_ArbeitNormal,IF(F35=Krank,K_Krank,IF(F35=Urlaub,K_Urlaub,IF(AM35=Feiertag,K_Feiertag,IF(OR(AM35=6,AM35=7),K_Wochenende,0)))))))+IF(F35=Gleittag,K_Gleittag,0)</f>
        <v>0</v>
      </c>
      <c r="AW35" t="b">
        <f>OR((F35&gt;0),(NOT(ISBLANK(H35))),SUM(H35:H$373),SUM(G35:G$373))</f>
        <v>0</v>
      </c>
      <c r="AX35" t="b">
        <f ca="1">INDIRECT(ADDRESS(ROW(),COLUMN(xDay)))&gt;5</f>
        <v>0</v>
      </c>
      <c r="AY35" s="600">
        <f>IF(OR(R35&lt;&gt;0,F35&lt;&gt;0),AA35,IF(Z35="",0,-Z35))+(IF(AG35="+",AF35,-AF35))</f>
        <v>-0.29166666666666669</v>
      </c>
      <c r="AZ35" s="225">
        <f>SUM(AY$5:AY35)</f>
        <v>-5.8333333333333348</v>
      </c>
      <c r="BA35" s="658"/>
      <c r="BB35" s="658">
        <f>IF(ISNA(MATCH(BA35,B_Arbeitsort,0)),0,MATCH(BA35,B_Arbeitsort,0))</f>
        <v>0</v>
      </c>
      <c r="BC35" s="658"/>
    </row>
    <row r="36" spans="1:55" ht="15.75">
      <c r="A36" s="305">
        <f>IF(A35="","",IF((A35+1)&gt;=DATE(YEAR(xJahr)+1,MONTH(xJahr),DAY(xJahr)),"",A35+1))</f>
        <v>43495</v>
      </c>
      <c r="B36" s="306">
        <f>IF(A36="","",A36)</f>
        <v>43495</v>
      </c>
      <c r="C36" s="307">
        <f>IF(A36="","",NumberOfWeek(A36))</f>
        <v>5</v>
      </c>
      <c r="D36" s="308">
        <f>IF(A36="","",DATE(YEAR(A36),MONTH(A36),1))</f>
        <v>43465</v>
      </c>
      <c r="E36" s="318" t="str">
        <f>IF((R36-U36)&gt;XWorkTimeMax,$Z$4,IF(AV36=Feiertag,VLOOKUP(B36,db_Feiertag,2,FALSE),""))</f>
        <v/>
      </c>
      <c r="F36" s="5"/>
      <c r="G36" s="6" t="str">
        <f>IF(ISBLANK(F36),IF(ISBLANK(H36),"",0),CODE(UPPER(F36)))</f>
        <v/>
      </c>
      <c r="H36" s="7"/>
      <c r="I36" s="7">
        <f>IF(H36&gt;0,H36+Y36+X36+AC36,0)</f>
        <v>0</v>
      </c>
      <c r="J36" s="113">
        <f>IF(K36&gt;I36,IF(I36&lt;H36,I36+1,I36)-B_WalkTime,IF(I36&lt;H36,I36+1,I36))</f>
        <v>0</v>
      </c>
      <c r="K36" s="7"/>
      <c r="L36" s="7">
        <f>IF(K36&gt;0,K36+IF((J36-H36)&lt;Y36,Y36-(J36-H36),TIME(0,10,0))+IF((K36-J36)&gt;xNoWorkTime,0,xNoWorkTime-(K36-J36)),0)</f>
        <v>0</v>
      </c>
      <c r="M36" s="113">
        <f>IF(L36&lt;K36,L36+1,L36)</f>
        <v>0</v>
      </c>
      <c r="N36" s="113"/>
      <c r="O36" s="113">
        <f>IF(N36&gt;0,N36+IF((J36-H36+M36-K36)&lt;Y36,Y36-(J36-H36+M36-K36),TIME(0,10,0))+IF((K36-J36+N36-M36)&gt;xNoWorkTime,0,xNoWorkTime-(K36-J36+N36-M36)),0)</f>
        <v>0</v>
      </c>
      <c r="P36" s="113"/>
      <c r="Q36" s="113">
        <f>IF(O36&lt;N36,O36+1,O36)</f>
        <v>0</v>
      </c>
      <c r="R36" s="113">
        <f>J36-H36+M36-K36+Q36-N36</f>
        <v>0</v>
      </c>
      <c r="S36" s="113">
        <f>IF(K36&gt;0,K36-I36,0)+IF(N36&gt;0,N36-L36)</f>
        <v>0</v>
      </c>
      <c r="T36" s="113">
        <f>IF(H36&gt;0,(IF(R36&gt;B_Pause1Nach,B_Pause1Dauer+IF(BA36="Büro",B_WalkTime,0),IF(BA36="Büro",B_WalkTime,0))+IF(R36&gt;B_Pause2Nach,B_Pause2Dauer,0)),0)</f>
        <v>0</v>
      </c>
      <c r="U36" s="113">
        <f>IF(T36&gt;S36,T36-S36,0)</f>
        <v>0</v>
      </c>
      <c r="V36" s="146">
        <f>IF(F36="S",Z36,(IF((R36-U36)&gt;XWorkTimeMax,XWorkTimeMax,IF((R36-U36)&gt;0,R36-U36,0))))</f>
        <v>0</v>
      </c>
      <c r="W36" s="66"/>
      <c r="X36" s="115">
        <f>xNoWorkTime</f>
        <v>4.027777777777778E-2</v>
      </c>
      <c r="Y36" s="110">
        <f>IF(AND((AM36&lt;Feiertag),(G36&lt;&gt;85)),IF(OR(F36="B",F36="G",F36="S",H36&gt;0),H36-H36+Z36,0),0)</f>
        <v>0</v>
      </c>
      <c r="Z36" s="111">
        <f>IF(AND(AM36&gt;0,AM36&lt;Feiertag),INDEX(Arbeitszeit,AM36),"")</f>
        <v>0.29166666666666669</v>
      </c>
      <c r="AA36" s="112">
        <f>V36-Y36</f>
        <v>0</v>
      </c>
      <c r="AB36" s="67" t="str">
        <f>IF((V36-Y36)&lt;0,"*","")</f>
        <v/>
      </c>
      <c r="AC36" s="193">
        <f>xOverTime</f>
        <v>0</v>
      </c>
      <c r="AD36" s="144" t="str">
        <f>IF((R36-U36)&gt;XWorkTimeMax,(R36-U36-XWorkTimeMax),"")</f>
        <v/>
      </c>
      <c r="AE36" s="225">
        <f>IF(AW36,(AE35+SUM(AA36)+(IF(AG36="+",AF36,-AF36))),)</f>
        <v>0</v>
      </c>
      <c r="AF36" s="110"/>
      <c r="AG36" s="627"/>
      <c r="AH36" s="110"/>
      <c r="AI36" s="110" t="str">
        <f>IF(AND(AF36&lt;&gt;"",AF36&lt;=V36),V36-AF36,"")</f>
        <v/>
      </c>
      <c r="AJ36" s="68">
        <f>IF(ISNUMBER(V36 ), IF( V36 &gt;= Y36, Y36, V36 ),"")</f>
        <v>0</v>
      </c>
      <c r="AK36" s="68">
        <f>IF( ISNUMBER( V36 ), IF( V36 &gt;= Y36, V36 - Y36, "" ), "" )</f>
        <v>0</v>
      </c>
      <c r="AL36" s="68" t="str">
        <f>IF( AND(ISNUMBER( V36 ),ISNUMBER( Y36 )), IF( V36 &gt;= Y36, "", Y36 - V36 ), "" )</f>
        <v/>
      </c>
      <c r="AM36">
        <f>IF(A36="",0,IF(ISERROR(VLOOKUP(A36,db_Feiertag,2,FALSE)),WEEKDAY(A36,2),Feiertag))</f>
        <v>2</v>
      </c>
      <c r="AN36" s="122">
        <f>SUM($AD$6:AD36)</f>
        <v>0</v>
      </c>
      <c r="AO36" s="122">
        <f ca="1">IF(D36=D35,AO35,OFFSET(AO36,-1,COLUMN(db_jSaldoGes)-COLUMN()))</f>
        <v>0</v>
      </c>
      <c r="AP36" s="126">
        <f>IF(OR($G36=-1,$G36=82),-1,IF(OR($G36=0,$G36=83),1,0))</f>
        <v>0</v>
      </c>
      <c r="AQ36" s="126">
        <f>IF($F36=Krank,1,IF($F36="J",-1,0))</f>
        <v>0</v>
      </c>
      <c r="AR36" s="126">
        <f>IF($F36=Urlaub,1,IF($F36="T",-1,0))</f>
        <v>0</v>
      </c>
      <c r="AS36" s="125">
        <f>IF(A36="","",AS35-IF(F36=Urlaub,1,0)+IF(AND(MONTH(A36)=1,DAY(A36)=1),B_UrlaubNeu,0))</f>
        <v>30</v>
      </c>
      <c r="AT36" s="125">
        <f ca="1">IF(A36="","",IF(D36=D35,AT35,OFFSET(AT36,-1,COLUMN(db_jUrlRest)-COLUMN()))+IF(AND(MONTH(A36)=1,DAY(A36)=1),B_UrlaubNeu,0))</f>
        <v>30</v>
      </c>
      <c r="AU36" s="135">
        <f>(IF(ISNUMBER(V36),V36,0)+IF(ISNUMBER(AD36),AD36,0))*24</f>
        <v>0</v>
      </c>
      <c r="AV36" s="125">
        <f>IF(ISNUMBER(AD36),K_ArbeitOverMax,IF(AND(ISNUMBER(AA36),AA36&gt;0),K_ArbeitOverTime,IF(AND(ISNUMBER(V36),V36&gt;0),K_ArbeitNormal,IF(F36=Krank,K_Krank,IF(F36=Urlaub,K_Urlaub,IF(AM36=Feiertag,K_Feiertag,IF(OR(AM36=6,AM36=7),K_Wochenende,0)))))))+IF(F36=Gleittag,K_Gleittag,0)</f>
        <v>0</v>
      </c>
      <c r="AW36" t="b">
        <f>OR((F36&gt;0),(NOT(ISBLANK(H36))),SUM(H36:H$373),SUM(G36:G$373))</f>
        <v>0</v>
      </c>
      <c r="AX36" t="b">
        <f ca="1">INDIRECT(ADDRESS(ROW(),COLUMN(xDay)))&gt;5</f>
        <v>0</v>
      </c>
      <c r="AY36" s="600">
        <f>IF(OR(R36&lt;&gt;0,F36&lt;&gt;0),AA36,IF(Z36="",0,-Z36))+(IF(AG36="+",AF36,-AF36))</f>
        <v>-0.29166666666666669</v>
      </c>
      <c r="AZ36" s="225">
        <f>SUM(AY$5:AY36)</f>
        <v>-6.1250000000000018</v>
      </c>
      <c r="BA36" s="658"/>
      <c r="BB36" s="658">
        <f>IF(ISNA(MATCH(BA36,B_Arbeitsort,0)),0,MATCH(BA36,B_Arbeitsort,0))</f>
        <v>0</v>
      </c>
      <c r="BC36" s="658"/>
    </row>
    <row r="37" spans="1:55" ht="15.75">
      <c r="A37" s="305">
        <f>IF(A36="","",IF((A36+1)&gt;=DATE(YEAR(xJahr)+1,MONTH(xJahr),DAY(xJahr)),"",A36+1))</f>
        <v>43496</v>
      </c>
      <c r="B37" s="306">
        <f>IF(A37="","",A37)</f>
        <v>43496</v>
      </c>
      <c r="C37" s="307">
        <f>IF(A37="","",NumberOfWeek(A37))</f>
        <v>5</v>
      </c>
      <c r="D37" s="308">
        <f>IF(A37="","",DATE(YEAR(A37),MONTH(A37),1))</f>
        <v>43496</v>
      </c>
      <c r="E37" s="318" t="str">
        <f>IF((R37-U37)&gt;XWorkTimeMax,$Z$4,IF(AV37=Feiertag,VLOOKUP(B37,db_Feiertag,2,FALSE),""))</f>
        <v/>
      </c>
      <c r="F37" s="5"/>
      <c r="G37" s="6" t="str">
        <f>IF(ISBLANK(F37),IF(ISBLANK(H37),"",0),CODE(UPPER(F37)))</f>
        <v/>
      </c>
      <c r="H37" s="7"/>
      <c r="I37" s="7">
        <f>IF(H37&gt;0,H37+Y37+X37+AC37,0)</f>
        <v>0</v>
      </c>
      <c r="J37" s="113">
        <f>IF(K37&gt;I37,IF(I37&lt;H37,I37+1,I37)-B_WalkTime,IF(I37&lt;H37,I37+1,I37))</f>
        <v>0</v>
      </c>
      <c r="K37" s="7"/>
      <c r="L37" s="7">
        <f>IF(K37&gt;0,K37+IF((J37-H37)&lt;Y37,Y37-(J37-H37),TIME(0,10,0))+IF((K37-J37)&gt;xNoWorkTime,0,xNoWorkTime-(K37-J37)),0)</f>
        <v>0</v>
      </c>
      <c r="M37" s="113">
        <f>IF(L37&lt;K37,L37+1,L37)</f>
        <v>0</v>
      </c>
      <c r="N37" s="113"/>
      <c r="O37" s="113">
        <f>IF(N37&gt;0,N37+IF((J37-H37+M37-K37)&lt;Y37,Y37-(J37-H37+M37-K37),TIME(0,10,0))+IF((K37-J37+N37-M37)&gt;xNoWorkTime,0,xNoWorkTime-(K37-J37+N37-M37)),0)</f>
        <v>0</v>
      </c>
      <c r="P37" s="113"/>
      <c r="Q37" s="113">
        <f>IF(O37&lt;N37,O37+1,O37)</f>
        <v>0</v>
      </c>
      <c r="R37" s="113">
        <f>J37-H37+M37-K37+Q37-N37</f>
        <v>0</v>
      </c>
      <c r="S37" s="113">
        <f>IF(K37&gt;0,K37-I37,0)+IF(N37&gt;0,N37-L37)</f>
        <v>0</v>
      </c>
      <c r="T37" s="113">
        <f>IF(H37&gt;0,(IF(R37&gt;B_Pause1Nach,B_Pause1Dauer+IF(BA37="Büro",B_WalkTime,0),IF(BA37="Büro",B_WalkTime,0))+IF(R37&gt;B_Pause2Nach,B_Pause2Dauer,0)),0)</f>
        <v>0</v>
      </c>
      <c r="U37" s="113">
        <f>IF(T37&gt;S37,T37-S37,0)</f>
        <v>0</v>
      </c>
      <c r="V37" s="146">
        <f>IF(F37="S",Z37,(IF((R37-U37)&gt;XWorkTimeMax,XWorkTimeMax,IF((R37-U37)&gt;0,R37-U37,0))))</f>
        <v>0</v>
      </c>
      <c r="W37" s="66"/>
      <c r="X37" s="115">
        <f>xNoWorkTime</f>
        <v>4.027777777777778E-2</v>
      </c>
      <c r="Y37" s="110">
        <f>IF(AND((AM37&lt;Feiertag),(G37&lt;&gt;85)),IF(OR(F37="B",F37="G",F37="S",H37&gt;0),H37-H37+Z37,0),0)</f>
        <v>0</v>
      </c>
      <c r="Z37" s="111">
        <f>IF(AND(AM37&gt;0,AM37&lt;Feiertag),INDEX(Arbeitszeit,AM37),"")</f>
        <v>0.29166666666666669</v>
      </c>
      <c r="AA37" s="112">
        <f>V37-Y37</f>
        <v>0</v>
      </c>
      <c r="AB37" s="67" t="str">
        <f>IF((V37-Y37)&lt;0,"*","")</f>
        <v/>
      </c>
      <c r="AC37" s="193">
        <f>xOverTime</f>
        <v>0</v>
      </c>
      <c r="AD37" s="144" t="str">
        <f>IF((R37-U37)&gt;XWorkTimeMax,(R37-U37-XWorkTimeMax),"")</f>
        <v/>
      </c>
      <c r="AE37" s="225">
        <f>IF(AW37,(AE36+SUM(AA37)+(IF(AG37="+",AF37,-AF37))),)</f>
        <v>0</v>
      </c>
      <c r="AF37" s="110"/>
      <c r="AG37" s="627"/>
      <c r="AH37" s="110"/>
      <c r="AI37" s="110" t="str">
        <f>IF(AND(AF37&lt;&gt;"",AF37&lt;=V37),V37-AF37,"")</f>
        <v/>
      </c>
      <c r="AJ37" s="68">
        <f>IF(ISNUMBER(V37 ), IF( V37 &gt;= Y37, Y37, V37 ),"")</f>
        <v>0</v>
      </c>
      <c r="AK37" s="68">
        <f>IF( ISNUMBER( V37 ), IF( V37 &gt;= Y37, V37 - Y37, "" ), "" )</f>
        <v>0</v>
      </c>
      <c r="AL37" s="68" t="str">
        <f>IF( AND(ISNUMBER( V37 ),ISNUMBER( Y37 )), IF( V37 &gt;= Y37, "", Y37 - V37 ), "" )</f>
        <v/>
      </c>
      <c r="AM37">
        <f>IF(A37="",0,IF(ISERROR(VLOOKUP(A37,db_Feiertag,2,FALSE)),WEEKDAY(A37,2),Feiertag))</f>
        <v>3</v>
      </c>
      <c r="AN37" s="122">
        <f>SUM($AD$6:AD37)</f>
        <v>0</v>
      </c>
      <c r="AO37" s="122">
        <f ca="1">IF(D37=D36,AO36,OFFSET(AO37,-1,COLUMN(db_jSaldoGes)-COLUMN()))</f>
        <v>0</v>
      </c>
      <c r="AP37" s="126">
        <f>IF(OR($G37=-1,$G37=82),-1,IF(OR($G37=0,$G37=83),1,0))</f>
        <v>0</v>
      </c>
      <c r="AQ37" s="126">
        <f>IF($F37=Krank,1,IF($F37="J",-1,0))</f>
        <v>0</v>
      </c>
      <c r="AR37" s="126">
        <f>IF($F37=Urlaub,1,IF($F37="T",-1,0))</f>
        <v>0</v>
      </c>
      <c r="AS37" s="125">
        <f>IF(A37="","",AS36-IF(F37=Urlaub,1,0)+IF(AND(MONTH(A37)=1,DAY(A37)=1),B_UrlaubNeu,0))</f>
        <v>30</v>
      </c>
      <c r="AT37" s="125">
        <f ca="1">IF(A37="","",IF(D37=D36,AT36,OFFSET(AT37,-1,COLUMN(db_jUrlRest)-COLUMN()))+IF(AND(MONTH(A37)=1,DAY(A37)=1),B_UrlaubNeu,0))</f>
        <v>30</v>
      </c>
      <c r="AU37" s="135">
        <f>(IF(ISNUMBER(V37),V37,0)+IF(ISNUMBER(AD37),AD37,0))*24</f>
        <v>0</v>
      </c>
      <c r="AV37" s="125">
        <f>IF(ISNUMBER(AD37),K_ArbeitOverMax,IF(AND(ISNUMBER(AA37),AA37&gt;0),K_ArbeitOverTime,IF(AND(ISNUMBER(V37),V37&gt;0),K_ArbeitNormal,IF(F37=Krank,K_Krank,IF(F37=Urlaub,K_Urlaub,IF(AM37=Feiertag,K_Feiertag,IF(OR(AM37=6,AM37=7),K_Wochenende,0)))))))+IF(F37=Gleittag,K_Gleittag,0)</f>
        <v>0</v>
      </c>
      <c r="AW37" t="b">
        <f>OR((F37&gt;0),(NOT(ISBLANK(H37))),SUM(H37:H$373),SUM(G37:G$373))</f>
        <v>0</v>
      </c>
      <c r="AX37" t="b">
        <f ca="1">INDIRECT(ADDRESS(ROW(),COLUMN(xDay)))&gt;5</f>
        <v>0</v>
      </c>
      <c r="AY37" s="600">
        <f>IF(OR(R37&lt;&gt;0,F37&lt;&gt;0),AA37,IF(Z37="",0,-Z37))+(IF(AG37="+",AF37,-AF37))</f>
        <v>-0.29166666666666669</v>
      </c>
      <c r="AZ37" s="225">
        <f>SUM(AY$5:AY37)</f>
        <v>-6.4166666666666687</v>
      </c>
      <c r="BA37" s="658"/>
      <c r="BB37" s="658">
        <f>IF(ISNA(MATCH(BA37,B_Arbeitsort,0)),0,MATCH(BA37,B_Arbeitsort,0))</f>
        <v>0</v>
      </c>
      <c r="BC37" s="658"/>
    </row>
    <row r="38" spans="1:55" ht="15.75">
      <c r="A38" s="305">
        <f>IF(A37="","",IF((A37+1)&gt;=DATE(YEAR(xJahr)+1,MONTH(xJahr),DAY(xJahr)),"",A37+1))</f>
        <v>43497</v>
      </c>
      <c r="B38" s="306">
        <f>IF(A38="","",A38)</f>
        <v>43497</v>
      </c>
      <c r="C38" s="307">
        <f>IF(A38="","",NumberOfWeek(A38))</f>
        <v>5</v>
      </c>
      <c r="D38" s="308">
        <f>IF(A38="","",DATE(YEAR(A38),MONTH(A38),1))</f>
        <v>43496</v>
      </c>
      <c r="E38" s="318" t="str">
        <f>IF((R38-U38)&gt;XWorkTimeMax,$Z$4,IF(AV38=Feiertag,VLOOKUP(B38,db_Feiertag,2,FALSE),""))</f>
        <v/>
      </c>
      <c r="F38" s="5"/>
      <c r="G38" s="6" t="str">
        <f>IF(ISBLANK(F38),IF(ISBLANK(H38),"",0),CODE(UPPER(F38)))</f>
        <v/>
      </c>
      <c r="H38" s="7"/>
      <c r="I38" s="7">
        <f>IF(H38&gt;0,H38+Y38+X38+AC38,0)</f>
        <v>0</v>
      </c>
      <c r="J38" s="113">
        <f>IF(K38&gt;I38,IF(I38&lt;H38,I38+1,I38)-B_WalkTime,IF(I38&lt;H38,I38+1,I38))</f>
        <v>0</v>
      </c>
      <c r="K38" s="7"/>
      <c r="L38" s="7">
        <f>IF(K38&gt;0,K38+IF((J38-H38)&lt;Y38,Y38-(J38-H38),TIME(0,10,0))+IF((K38-J38)&gt;xNoWorkTime,0,xNoWorkTime-(K38-J38)),0)</f>
        <v>0</v>
      </c>
      <c r="M38" s="113">
        <f>IF(L38&lt;K38,L38+1,L38)</f>
        <v>0</v>
      </c>
      <c r="N38" s="113"/>
      <c r="O38" s="113">
        <f>IF(N38&gt;0,N38+IF((J38-H38+M38-K38)&lt;Y38,Y38-(J38-H38+M38-K38),TIME(0,10,0))+IF((K38-J38+N38-M38)&gt;xNoWorkTime,0,xNoWorkTime-(K38-J38+N38-M38)),0)</f>
        <v>0</v>
      </c>
      <c r="P38" s="113"/>
      <c r="Q38" s="113">
        <f>IF(O38&lt;N38,O38+1,O38)</f>
        <v>0</v>
      </c>
      <c r="R38" s="113">
        <f>J38-H38+M38-K38+Q38-N38</f>
        <v>0</v>
      </c>
      <c r="S38" s="113">
        <f>IF(K38&gt;0,K38-I38,0)+IF(N38&gt;0,N38-L38)</f>
        <v>0</v>
      </c>
      <c r="T38" s="113">
        <f>IF(H38&gt;0,(IF(R38&gt;B_Pause1Nach,B_Pause1Dauer+IF(BA38="Büro",B_WalkTime,0),IF(BA38="Büro",B_WalkTime,0))+IF(R38&gt;B_Pause2Nach,B_Pause2Dauer,0)),0)</f>
        <v>0</v>
      </c>
      <c r="U38" s="113">
        <f>IF(T38&gt;S38,T38-S38,0)</f>
        <v>0</v>
      </c>
      <c r="V38" s="146">
        <f>IF(F38="S",Z38,(IF((R38-U38)&gt;XWorkTimeMax,XWorkTimeMax,IF((R38-U38)&gt;0,R38-U38,0))))</f>
        <v>0</v>
      </c>
      <c r="W38" s="66"/>
      <c r="X38" s="115">
        <f>xNoWorkTime</f>
        <v>4.027777777777778E-2</v>
      </c>
      <c r="Y38" s="110">
        <f>IF(AND((AM38&lt;Feiertag),(G38&lt;&gt;85)),IF(OR(F38="B",F38="G",F38="S",H38&gt;0),H38-H38+Z38,0),0)</f>
        <v>0</v>
      </c>
      <c r="Z38" s="111">
        <f>IF(AND(AM38&gt;0,AM38&lt;Feiertag),INDEX(Arbeitszeit,AM38),"")</f>
        <v>0.29166666666666669</v>
      </c>
      <c r="AA38" s="112">
        <f>V38-Y38</f>
        <v>0</v>
      </c>
      <c r="AB38" s="67" t="str">
        <f>IF((V38-Y38)&lt;0,"*","")</f>
        <v/>
      </c>
      <c r="AC38" s="193">
        <f>xOverTime</f>
        <v>0</v>
      </c>
      <c r="AD38" s="144" t="str">
        <f>IF((R38-U38)&gt;XWorkTimeMax,(R38-U38-XWorkTimeMax),"")</f>
        <v/>
      </c>
      <c r="AE38" s="225">
        <f>IF(AW38,(AE37+SUM(AA38)+(IF(AG38="+",AF38,-AF38))),)</f>
        <v>0</v>
      </c>
      <c r="AF38" s="110"/>
      <c r="AG38" s="627"/>
      <c r="AH38" s="110"/>
      <c r="AI38" s="110" t="str">
        <f>IF(AND(AF38&lt;&gt;"",AF38&lt;=V38),V38-AF38,"")</f>
        <v/>
      </c>
      <c r="AJ38" s="68">
        <f>IF(ISNUMBER(V38 ), IF( V38 &gt;= Y38, Y38, V38 ),"")</f>
        <v>0</v>
      </c>
      <c r="AK38" s="68">
        <f>IF( ISNUMBER( V38 ), IF( V38 &gt;= Y38, V38 - Y38, "" ), "" )</f>
        <v>0</v>
      </c>
      <c r="AL38" s="68" t="str">
        <f>IF( AND(ISNUMBER( V38 ),ISNUMBER( Y38 )), IF( V38 &gt;= Y38, "", Y38 - V38 ), "" )</f>
        <v/>
      </c>
      <c r="AM38">
        <f>IF(A38="",0,IF(ISERROR(VLOOKUP(A38,db_Feiertag,2,FALSE)),WEEKDAY(A38,2),Feiertag))</f>
        <v>4</v>
      </c>
      <c r="AN38" s="122">
        <f>SUM($AD$6:AD38)</f>
        <v>0</v>
      </c>
      <c r="AO38" s="122">
        <f ca="1">IF(D38=D37,AO37,OFFSET(AO38,-1,COLUMN(db_jSaldoGes)-COLUMN()))</f>
        <v>0</v>
      </c>
      <c r="AP38" s="126">
        <f>IF(OR($G38=-1,$G38=82),-1,IF(OR($G38=0,$G38=83),1,0))</f>
        <v>0</v>
      </c>
      <c r="AQ38" s="126">
        <f>IF($F38=Krank,1,IF($F38="J",-1,0))</f>
        <v>0</v>
      </c>
      <c r="AR38" s="126">
        <f>IF($F38=Urlaub,1,IF($F38="T",-1,0))</f>
        <v>0</v>
      </c>
      <c r="AS38" s="125">
        <f>IF(A38="","",AS37-IF(F38=Urlaub,1,0)+IF(AND(MONTH(A38)=1,DAY(A38)=1),B_UrlaubNeu,0))</f>
        <v>30</v>
      </c>
      <c r="AT38" s="125">
        <f ca="1">IF(A38="","",IF(D38=D37,AT37,OFFSET(AT38,-1,COLUMN(db_jUrlRest)-COLUMN()))+IF(AND(MONTH(A38)=1,DAY(A38)=1),B_UrlaubNeu,0))</f>
        <v>30</v>
      </c>
      <c r="AU38" s="135">
        <f>(IF(ISNUMBER(V38),V38,0)+IF(ISNUMBER(AD38),AD38,0))*24</f>
        <v>0</v>
      </c>
      <c r="AV38" s="125">
        <f>IF(ISNUMBER(AD38),K_ArbeitOverMax,IF(AND(ISNUMBER(AA38),AA38&gt;0),K_ArbeitOverTime,IF(AND(ISNUMBER(V38),V38&gt;0),K_ArbeitNormal,IF(F38=Krank,K_Krank,IF(F38=Urlaub,K_Urlaub,IF(AM38=Feiertag,K_Feiertag,IF(OR(AM38=6,AM38=7),K_Wochenende,0)))))))+IF(F38=Gleittag,K_Gleittag,0)</f>
        <v>0</v>
      </c>
      <c r="AW38" t="b">
        <f>OR((F38&gt;0),(NOT(ISBLANK(H38))),SUM(H38:H$373),SUM(G38:G$373))</f>
        <v>0</v>
      </c>
      <c r="AX38" t="b">
        <f ca="1">INDIRECT(ADDRESS(ROW(),COLUMN(xDay)))&gt;5</f>
        <v>0</v>
      </c>
      <c r="AY38" s="600">
        <f>IF(OR(R38&lt;&gt;0,F38&lt;&gt;0),AA38,IF(Z38="",0,-Z38))+(IF(AG38="+",AF38,-AF38))</f>
        <v>-0.29166666666666669</v>
      </c>
      <c r="AZ38" s="225">
        <f>SUM(AY$5:AY38)</f>
        <v>-6.7083333333333357</v>
      </c>
      <c r="BA38" s="658"/>
      <c r="BB38" s="658">
        <f>IF(ISNA(MATCH(BA38,B_Arbeitsort,0)),0,MATCH(BA38,B_Arbeitsort,0))</f>
        <v>0</v>
      </c>
      <c r="BC38" s="658"/>
    </row>
    <row r="39" spans="1:55" ht="15.75">
      <c r="A39" s="305">
        <f>IF(A38="","",IF((A38+1)&gt;=DATE(YEAR(xJahr)+1,MONTH(xJahr),DAY(xJahr)),"",A38+1))</f>
        <v>43498</v>
      </c>
      <c r="B39" s="306">
        <f>IF(A39="","",A39)</f>
        <v>43498</v>
      </c>
      <c r="C39" s="307">
        <f>IF(A39="","",NumberOfWeek(A39))</f>
        <v>5</v>
      </c>
      <c r="D39" s="308">
        <f>IF(A39="","",DATE(YEAR(A39),MONTH(A39),1))</f>
        <v>43496</v>
      </c>
      <c r="E39" s="318" t="str">
        <f>IF((R39-U39)&gt;XWorkTimeMax,$Z$4,IF(AV39=Feiertag,VLOOKUP(B39,db_Feiertag,2,FALSE),""))</f>
        <v/>
      </c>
      <c r="F39" s="5"/>
      <c r="G39" s="6" t="str">
        <f>IF(ISBLANK(F39),IF(ISBLANK(H39),"",0),CODE(UPPER(F39)))</f>
        <v/>
      </c>
      <c r="H39" s="7"/>
      <c r="I39" s="7">
        <f>IF(H39&gt;0,H39+Y39+X39+AC39,0)</f>
        <v>0</v>
      </c>
      <c r="J39" s="113">
        <f>IF(K39&gt;I39,IF(I39&lt;H39,I39+1,I39)-B_WalkTime,IF(I39&lt;H39,I39+1,I39))</f>
        <v>0</v>
      </c>
      <c r="K39" s="7"/>
      <c r="L39" s="7">
        <f>IF(K39&gt;0,K39+IF((J39-H39)&lt;Y39,Y39-(J39-H39),TIME(0,10,0))+IF((K39-J39)&gt;xNoWorkTime,0,xNoWorkTime-(K39-J39)),0)</f>
        <v>0</v>
      </c>
      <c r="M39" s="113">
        <f>IF(L39&lt;K39,L39+1,L39)</f>
        <v>0</v>
      </c>
      <c r="N39" s="113"/>
      <c r="O39" s="113">
        <f>IF(N39&gt;0,N39+IF((J39-H39+M39-K39)&lt;Y39,Y39-(J39-H39+M39-K39),TIME(0,10,0))+IF((K39-J39+N39-M39)&gt;xNoWorkTime,0,xNoWorkTime-(K39-J39+N39-M39)),0)</f>
        <v>0</v>
      </c>
      <c r="P39" s="113"/>
      <c r="Q39" s="113">
        <f>IF(O39&lt;N39,O39+1,O39)</f>
        <v>0</v>
      </c>
      <c r="R39" s="113">
        <f>J39-H39+M39-K39+Q39-N39</f>
        <v>0</v>
      </c>
      <c r="S39" s="113">
        <f>IF(K39&gt;0,K39-I39,0)+IF(N39&gt;0,N39-L39)</f>
        <v>0</v>
      </c>
      <c r="T39" s="113">
        <f>IF(H39&gt;0,(IF(R39&gt;B_Pause1Nach,B_Pause1Dauer+IF(BA39="Büro",B_WalkTime,0),IF(BA39="Büro",B_WalkTime,0))+IF(R39&gt;B_Pause2Nach,B_Pause2Dauer,0)),0)</f>
        <v>0</v>
      </c>
      <c r="U39" s="113">
        <f>IF(T39&gt;S39,T39-S39,0)</f>
        <v>0</v>
      </c>
      <c r="V39" s="146">
        <f>IF(F39="S",Z39,(IF((R39-U39)&gt;XWorkTimeMax,XWorkTimeMax,IF((R39-U39)&gt;0,R39-U39,0))))</f>
        <v>0</v>
      </c>
      <c r="W39" s="66"/>
      <c r="X39" s="115">
        <f>xNoWorkTime</f>
        <v>4.027777777777778E-2</v>
      </c>
      <c r="Y39" s="110">
        <f>IF(AND((AM39&lt;Feiertag),(G39&lt;&gt;85)),IF(OR(F39="B",F39="G",F39="S",H39&gt;0),H39-H39+Z39,0),0)</f>
        <v>0</v>
      </c>
      <c r="Z39" s="111">
        <f>IF(AND(AM39&gt;0,AM39&lt;Feiertag),INDEX(Arbeitszeit,AM39),"")</f>
        <v>0.29166666666666669</v>
      </c>
      <c r="AA39" s="112">
        <f>V39-Y39</f>
        <v>0</v>
      </c>
      <c r="AB39" s="67" t="str">
        <f>IF((V39-Y39)&lt;0,"*","")</f>
        <v/>
      </c>
      <c r="AC39" s="193">
        <f>xOverTime</f>
        <v>0</v>
      </c>
      <c r="AD39" s="144" t="str">
        <f>IF((R39-U39)&gt;XWorkTimeMax,(R39-U39-XWorkTimeMax),"")</f>
        <v/>
      </c>
      <c r="AE39" s="225">
        <f>IF(AW39,(AE38+SUM(AA39)+(IF(AG39="+",AF39,-AF39))),)</f>
        <v>0</v>
      </c>
      <c r="AF39" s="110"/>
      <c r="AG39" s="627"/>
      <c r="AH39" s="110"/>
      <c r="AI39" s="110" t="str">
        <f>IF(AND(AF39&lt;&gt;"",AF39&lt;=V39),V39-AF39,"")</f>
        <v/>
      </c>
      <c r="AJ39" s="68">
        <f>IF(ISNUMBER(V39 ), IF( V39 &gt;= Y39, Y39, V39 ),"")</f>
        <v>0</v>
      </c>
      <c r="AK39" s="68">
        <f>IF( ISNUMBER( V39 ), IF( V39 &gt;= Y39, V39 - Y39, "" ), "" )</f>
        <v>0</v>
      </c>
      <c r="AL39" s="68" t="str">
        <f>IF( AND(ISNUMBER( V39 ),ISNUMBER( Y39 )), IF( V39 &gt;= Y39, "", Y39 - V39 ), "" )</f>
        <v/>
      </c>
      <c r="AM39">
        <f>IF(A39="",0,IF(ISERROR(VLOOKUP(A39,db_Feiertag,2,FALSE)),WEEKDAY(A39,2),Feiertag))</f>
        <v>5</v>
      </c>
      <c r="AN39" s="122">
        <f>SUM($AD$6:AD39)</f>
        <v>0</v>
      </c>
      <c r="AO39" s="122">
        <f ca="1">IF(D39=D38,AO38,OFFSET(AO39,-1,COLUMN(db_jSaldoGes)-COLUMN()))</f>
        <v>0</v>
      </c>
      <c r="AP39" s="126">
        <f>IF(OR($G39=-1,$G39=82),-1,IF(OR($G39=0,$G39=83),1,0))</f>
        <v>0</v>
      </c>
      <c r="AQ39" s="126">
        <f>IF($F39=Krank,1,IF($F39="J",-1,0))</f>
        <v>0</v>
      </c>
      <c r="AR39" s="126">
        <f>IF($F39=Urlaub,1,IF($F39="T",-1,0))</f>
        <v>0</v>
      </c>
      <c r="AS39" s="125">
        <f>IF(A39="","",AS38-IF(F39=Urlaub,1,0)+IF(AND(MONTH(A39)=1,DAY(A39)=1),B_UrlaubNeu,0))</f>
        <v>30</v>
      </c>
      <c r="AT39" s="125">
        <f ca="1">IF(A39="","",IF(D39=D38,AT38,OFFSET(AT39,-1,COLUMN(db_jUrlRest)-COLUMN()))+IF(AND(MONTH(A39)=1,DAY(A39)=1),B_UrlaubNeu,0))</f>
        <v>30</v>
      </c>
      <c r="AU39" s="135">
        <f>(IF(ISNUMBER(V39),V39,0)+IF(ISNUMBER(AD39),AD39,0))*24</f>
        <v>0</v>
      </c>
      <c r="AV39" s="125">
        <f>IF(ISNUMBER(AD39),K_ArbeitOverMax,IF(AND(ISNUMBER(AA39),AA39&gt;0),K_ArbeitOverTime,IF(AND(ISNUMBER(V39),V39&gt;0),K_ArbeitNormal,IF(F39=Krank,K_Krank,IF(F39=Urlaub,K_Urlaub,IF(AM39=Feiertag,K_Feiertag,IF(OR(AM39=6,AM39=7),K_Wochenende,0)))))))+IF(F39=Gleittag,K_Gleittag,0)</f>
        <v>0</v>
      </c>
      <c r="AW39" t="b">
        <f>OR((F39&gt;0),(NOT(ISBLANK(H39))),SUM(H39:H$373),SUM(G39:G$373))</f>
        <v>0</v>
      </c>
      <c r="AX39" t="b">
        <f ca="1">INDIRECT(ADDRESS(ROW(),COLUMN(xDay)))&gt;5</f>
        <v>0</v>
      </c>
      <c r="AY39" s="600">
        <f>IF(OR(R39&lt;&gt;0,F39&lt;&gt;0),AA39,IF(Z39="",0,-Z39))+(IF(AG39="+",AF39,-AF39))</f>
        <v>-0.29166666666666669</v>
      </c>
      <c r="AZ39" s="225">
        <f>SUM(AY$5:AY39)</f>
        <v>-7.0000000000000027</v>
      </c>
      <c r="BA39" s="658"/>
      <c r="BB39" s="658">
        <f>IF(ISNA(MATCH(BA39,B_Arbeitsort,0)),0,MATCH(BA39,B_Arbeitsort,0))</f>
        <v>0</v>
      </c>
      <c r="BC39" s="658"/>
    </row>
    <row r="40" spans="1:55" ht="15.75">
      <c r="A40" s="305">
        <f>IF(A39="","",IF((A39+1)&gt;=DATE(YEAR(xJahr)+1,MONTH(xJahr),DAY(xJahr)),"",A39+1))</f>
        <v>43499</v>
      </c>
      <c r="B40" s="306">
        <f>IF(A40="","",A40)</f>
        <v>43499</v>
      </c>
      <c r="C40" s="307">
        <f>IF(A40="","",NumberOfWeek(A40))</f>
        <v>5</v>
      </c>
      <c r="D40" s="308">
        <f>IF(A40="","",DATE(YEAR(A40),MONTH(A40),1))</f>
        <v>43496</v>
      </c>
      <c r="E40" s="318" t="str">
        <f>IF((R40-U40)&gt;XWorkTimeMax,$Z$4,IF(AV40=Feiertag,VLOOKUP(B40,db_Feiertag,2,FALSE),""))</f>
        <v/>
      </c>
      <c r="F40" s="5"/>
      <c r="G40" s="6" t="str">
        <f>IF(ISBLANK(F40),IF(ISBLANK(H40),"",0),CODE(UPPER(F40)))</f>
        <v/>
      </c>
      <c r="H40" s="7"/>
      <c r="I40" s="7">
        <f>IF(H40&gt;0,H40+Y40+X40+AC40,0)</f>
        <v>0</v>
      </c>
      <c r="J40" s="113">
        <f>IF(K40&gt;I40,IF(I40&lt;H40,I40+1,I40)-B_WalkTime,IF(I40&lt;H40,I40+1,I40))</f>
        <v>0</v>
      </c>
      <c r="K40" s="7"/>
      <c r="L40" s="7">
        <f>IF(K40&gt;0,K40+IF((J40-H40)&lt;Y40,Y40-(J40-H40),TIME(0,10,0))+IF((K40-J40)&gt;xNoWorkTime,0,xNoWorkTime-(K40-J40)),0)</f>
        <v>0</v>
      </c>
      <c r="M40" s="113">
        <f>IF(L40&lt;K40,L40+1,L40)</f>
        <v>0</v>
      </c>
      <c r="N40" s="113"/>
      <c r="O40" s="113">
        <f>IF(N40&gt;0,N40+IF((J40-H40+M40-K40)&lt;Y40,Y40-(J40-H40+M40-K40),TIME(0,10,0))+IF((K40-J40+N40-M40)&gt;xNoWorkTime,0,xNoWorkTime-(K40-J40+N40-M40)),0)</f>
        <v>0</v>
      </c>
      <c r="P40" s="113"/>
      <c r="Q40" s="113">
        <f>IF(O40&lt;N40,O40+1,O40)</f>
        <v>0</v>
      </c>
      <c r="R40" s="113">
        <f>J40-H40+M40-K40+Q40-N40</f>
        <v>0</v>
      </c>
      <c r="S40" s="113">
        <f>IF(K40&gt;0,K40-I40,0)+IF(N40&gt;0,N40-L40)</f>
        <v>0</v>
      </c>
      <c r="T40" s="113">
        <f>IF(H40&gt;0,(IF(R40&gt;B_Pause1Nach,B_Pause1Dauer+IF(BA40="Büro",B_WalkTime,0),IF(BA40="Büro",B_WalkTime,0))+IF(R40&gt;B_Pause2Nach,B_Pause2Dauer,0)),0)</f>
        <v>0</v>
      </c>
      <c r="U40" s="113">
        <f>IF(T40&gt;S40,T40-S40,0)</f>
        <v>0</v>
      </c>
      <c r="V40" s="146">
        <f>IF(F40="S",Z40,(IF((R40-U40)&gt;XWorkTimeMax,XWorkTimeMax,IF((R40-U40)&gt;0,R40-U40,0))))</f>
        <v>0</v>
      </c>
      <c r="W40" s="66"/>
      <c r="X40" s="115">
        <f>xNoWorkTime</f>
        <v>4.027777777777778E-2</v>
      </c>
      <c r="Y40" s="110">
        <f>IF(AND((AM40&lt;Feiertag),(G40&lt;&gt;85)),IF(OR(F40="B",F40="G",F40="S",H40&gt;0),H40-H40+Z40,0),0)</f>
        <v>0</v>
      </c>
      <c r="Z40" s="111">
        <f>IF(AND(AM40&gt;0,AM40&lt;Feiertag),INDEX(Arbeitszeit,AM40),"")</f>
        <v>0</v>
      </c>
      <c r="AA40" s="112">
        <f>V40-Y40</f>
        <v>0</v>
      </c>
      <c r="AB40" s="67" t="str">
        <f>IF((V40-Y40)&lt;0,"*","")</f>
        <v/>
      </c>
      <c r="AC40" s="193">
        <f>xOverTime</f>
        <v>0</v>
      </c>
      <c r="AD40" s="144" t="str">
        <f>IF((R40-U40)&gt;XWorkTimeMax,(R40-U40-XWorkTimeMax),"")</f>
        <v/>
      </c>
      <c r="AE40" s="225">
        <f>IF(AW40,(AE39+SUM(AA40)+(IF(AG40="+",AF40,-AF40))),)</f>
        <v>0</v>
      </c>
      <c r="AF40" s="110"/>
      <c r="AG40" s="627"/>
      <c r="AH40" s="110"/>
      <c r="AI40" s="110" t="str">
        <f>IF(AND(AF40&lt;&gt;"",AF40&lt;=V40),V40-AF40,"")</f>
        <v/>
      </c>
      <c r="AJ40" s="68">
        <f>IF(ISNUMBER(V40 ), IF( V40 &gt;= Y40, Y40, V40 ),"")</f>
        <v>0</v>
      </c>
      <c r="AK40" s="68">
        <f>IF( ISNUMBER( V40 ), IF( V40 &gt;= Y40, V40 - Y40, "" ), "" )</f>
        <v>0</v>
      </c>
      <c r="AL40" s="68" t="str">
        <f>IF( AND(ISNUMBER( V40 ),ISNUMBER( Y40 )), IF( V40 &gt;= Y40, "", Y40 - V40 ), "" )</f>
        <v/>
      </c>
      <c r="AM40">
        <f>IF(A40="",0,IF(ISERROR(VLOOKUP(A40,db_Feiertag,2,FALSE)),WEEKDAY(A40,2),Feiertag))</f>
        <v>6</v>
      </c>
      <c r="AN40" s="122">
        <f>SUM($AD$6:AD40)</f>
        <v>0</v>
      </c>
      <c r="AO40" s="122">
        <f ca="1">IF(D40=D39,AO39,OFFSET(AO40,-1,COLUMN(db_jSaldoGes)-COLUMN()))</f>
        <v>0</v>
      </c>
      <c r="AP40" s="126">
        <f>IF(OR($G40=-1,$G40=82),-1,IF(OR($G40=0,$G40=83),1,0))</f>
        <v>0</v>
      </c>
      <c r="AQ40" s="126">
        <f>IF($F40=Krank,1,IF($F40="J",-1,0))</f>
        <v>0</v>
      </c>
      <c r="AR40" s="126">
        <f>IF($F40=Urlaub,1,IF($F40="T",-1,0))</f>
        <v>0</v>
      </c>
      <c r="AS40" s="125">
        <f>IF(A40="","",AS39-IF(F40=Urlaub,1,0)+IF(AND(MONTH(A40)=1,DAY(A40)=1),B_UrlaubNeu,0))</f>
        <v>30</v>
      </c>
      <c r="AT40" s="125">
        <f ca="1">IF(A40="","",IF(D40=D39,AT39,OFFSET(AT40,-1,COLUMN(db_jUrlRest)-COLUMN()))+IF(AND(MONTH(A40)=1,DAY(A40)=1),B_UrlaubNeu,0))</f>
        <v>30</v>
      </c>
      <c r="AU40" s="135">
        <f>(IF(ISNUMBER(V40),V40,0)+IF(ISNUMBER(AD40),AD40,0))*24</f>
        <v>0</v>
      </c>
      <c r="AV40" s="125">
        <f>IF(ISNUMBER(AD40),K_ArbeitOverMax,IF(AND(ISNUMBER(AA40),AA40&gt;0),K_ArbeitOverTime,IF(AND(ISNUMBER(V40),V40&gt;0),K_ArbeitNormal,IF(F40=Krank,K_Krank,IF(F40=Urlaub,K_Urlaub,IF(AM40=Feiertag,K_Feiertag,IF(OR(AM40=6,AM40=7),K_Wochenende,0)))))))+IF(F40=Gleittag,K_Gleittag,0)</f>
        <v>7</v>
      </c>
      <c r="AW40" t="b">
        <f>OR((F40&gt;0),(NOT(ISBLANK(H40))),SUM(H40:H$373),SUM(G40:G$373))</f>
        <v>0</v>
      </c>
      <c r="AX40" t="b">
        <f ca="1">INDIRECT(ADDRESS(ROW(),COLUMN(xDay)))&gt;5</f>
        <v>1</v>
      </c>
      <c r="AY40" s="600">
        <f>IF(OR(R40&lt;&gt;0,F40&lt;&gt;0),AA40,IF(Z40="",0,-Z40))+(IF(AG40="+",AF40,-AF40))</f>
        <v>0</v>
      </c>
      <c r="AZ40" s="225">
        <f>SUM(AY$5:AY40)</f>
        <v>-7.0000000000000027</v>
      </c>
      <c r="BA40" s="643"/>
      <c r="BB40" s="658">
        <f>IF(ISNA(MATCH(BA40,B_Arbeitsort,0)),0,MATCH(BA40,B_Arbeitsort,0))</f>
        <v>0</v>
      </c>
      <c r="BC40" s="643"/>
    </row>
    <row r="41" spans="1:55" ht="15.75">
      <c r="A41" s="305">
        <f>IF(A40="","",IF((A40+1)&gt;=DATE(YEAR(xJahr)+1,MONTH(xJahr),DAY(xJahr)),"",A40+1))</f>
        <v>43500</v>
      </c>
      <c r="B41" s="306">
        <f>IF(A41="","",A41)</f>
        <v>43500</v>
      </c>
      <c r="C41" s="307">
        <f>IF(A41="","",NumberOfWeek(A41))</f>
        <v>5</v>
      </c>
      <c r="D41" s="308">
        <f>IF(A41="","",DATE(YEAR(A41),MONTH(A41),1))</f>
        <v>43496</v>
      </c>
      <c r="E41" s="318" t="str">
        <f>IF((R41-U41)&gt;XWorkTimeMax,$Z$4,IF(AV41=Feiertag,VLOOKUP(B41,db_Feiertag,2,FALSE),""))</f>
        <v/>
      </c>
      <c r="F41" s="5"/>
      <c r="G41" s="6" t="str">
        <f>IF(ISBLANK(F41),IF(ISBLANK(H41),"",0),CODE(UPPER(F41)))</f>
        <v/>
      </c>
      <c r="H41" s="7"/>
      <c r="I41" s="7">
        <f>IF(H41&gt;0,H41+Y41+X41+AC41,0)</f>
        <v>0</v>
      </c>
      <c r="J41" s="113">
        <f>IF(K41&gt;I41,IF(I41&lt;H41,I41+1,I41)-B_WalkTime,IF(I41&lt;H41,I41+1,I41))</f>
        <v>0</v>
      </c>
      <c r="K41" s="7"/>
      <c r="L41" s="7">
        <f>IF(K41&gt;0,K41+IF((J41-H41)&lt;Y41,Y41-(J41-H41),TIME(0,10,0))+IF((K41-J41)&gt;xNoWorkTime,0,xNoWorkTime-(K41-J41)),0)</f>
        <v>0</v>
      </c>
      <c r="M41" s="113">
        <f>IF(L41&lt;K41,L41+1,L41)</f>
        <v>0</v>
      </c>
      <c r="N41" s="113"/>
      <c r="O41" s="113">
        <f>IF(N41&gt;0,N41+IF((J41-H41+M41-K41)&lt;Y41,Y41-(J41-H41+M41-K41),TIME(0,10,0))+IF((K41-J41+N41-M41)&gt;xNoWorkTime,0,xNoWorkTime-(K41-J41+N41-M41)),0)</f>
        <v>0</v>
      </c>
      <c r="P41" s="113"/>
      <c r="Q41" s="113">
        <f>IF(O41&lt;N41,O41+1,O41)</f>
        <v>0</v>
      </c>
      <c r="R41" s="113">
        <f>J41-H41+M41-K41+Q41-N41</f>
        <v>0</v>
      </c>
      <c r="S41" s="113">
        <f>IF(K41&gt;0,K41-I41,0)+IF(N41&gt;0,N41-L41)</f>
        <v>0</v>
      </c>
      <c r="T41" s="113">
        <f>IF(H41&gt;0,(IF(R41&gt;B_Pause1Nach,B_Pause1Dauer+IF(BA41="Büro",B_WalkTime,0),IF(BA41="Büro",B_WalkTime,0))+IF(R41&gt;B_Pause2Nach,B_Pause2Dauer,0)),0)</f>
        <v>0</v>
      </c>
      <c r="U41" s="113">
        <f>IF(T41&gt;S41,T41-S41,0)</f>
        <v>0</v>
      </c>
      <c r="V41" s="146">
        <f>IF(F41="S",Z41,(IF((R41-U41)&gt;XWorkTimeMax,XWorkTimeMax,IF((R41-U41)&gt;0,R41-U41,0))))</f>
        <v>0</v>
      </c>
      <c r="W41" s="66"/>
      <c r="X41" s="115">
        <f>xNoWorkTime</f>
        <v>4.027777777777778E-2</v>
      </c>
      <c r="Y41" s="110">
        <f>IF(AND((AM41&lt;Feiertag),(G41&lt;&gt;85)),IF(OR(F41="B",F41="G",F41="S",H41&gt;0),H41-H41+Z41,0),0)</f>
        <v>0</v>
      </c>
      <c r="Z41" s="111">
        <f>IF(AND(AM41&gt;0,AM41&lt;Feiertag),INDEX(Arbeitszeit,AM41),"")</f>
        <v>0</v>
      </c>
      <c r="AA41" s="112">
        <f>V41-Y41</f>
        <v>0</v>
      </c>
      <c r="AB41" s="67" t="str">
        <f>IF((V41-Y41)&lt;0,"*","")</f>
        <v/>
      </c>
      <c r="AC41" s="193">
        <f>xOverTime</f>
        <v>0</v>
      </c>
      <c r="AD41" s="144" t="str">
        <f>IF((R41-U41)&gt;XWorkTimeMax,(R41-U41-XWorkTimeMax),"")</f>
        <v/>
      </c>
      <c r="AE41" s="225">
        <f>IF(AW41,(AE40+SUM(AA41)+(IF(AG41="+",AF41,-AF41))),)</f>
        <v>0</v>
      </c>
      <c r="AF41" s="110"/>
      <c r="AG41" s="627"/>
      <c r="AH41" s="110"/>
      <c r="AI41" s="110" t="str">
        <f>IF(AND(AF41&lt;&gt;"",AF41&lt;=V41),V41-AF41,"")</f>
        <v/>
      </c>
      <c r="AJ41" s="68">
        <f>IF(ISNUMBER(V41 ), IF( V41 &gt;= Y41, Y41, V41 ),"")</f>
        <v>0</v>
      </c>
      <c r="AK41" s="68">
        <f>IF( ISNUMBER( V41 ), IF( V41 &gt;= Y41, V41 - Y41, "" ), "" )</f>
        <v>0</v>
      </c>
      <c r="AL41" s="68" t="str">
        <f>IF( AND(ISNUMBER( V41 ),ISNUMBER( Y41 )), IF( V41 &gt;= Y41, "", Y41 - V41 ), "" )</f>
        <v/>
      </c>
      <c r="AM41">
        <f>IF(A41="",0,IF(ISERROR(VLOOKUP(A41,db_Feiertag,2,FALSE)),WEEKDAY(A41,2),Feiertag))</f>
        <v>7</v>
      </c>
      <c r="AN41" s="122">
        <f>SUM($AD$6:AD41)</f>
        <v>0</v>
      </c>
      <c r="AO41" s="122">
        <f ca="1">IF(D41=D40,AO40,OFFSET(AO41,-1,COLUMN(db_jSaldoGes)-COLUMN()))</f>
        <v>0</v>
      </c>
      <c r="AP41" s="126">
        <f>IF(OR($G41=-1,$G41=82),-1,IF(OR($G41=0,$G41=83),1,0))</f>
        <v>0</v>
      </c>
      <c r="AQ41" s="126">
        <f>IF($F41=Krank,1,IF($F41="J",-1,0))</f>
        <v>0</v>
      </c>
      <c r="AR41" s="126">
        <f>IF($F41=Urlaub,1,IF($F41="T",-1,0))</f>
        <v>0</v>
      </c>
      <c r="AS41" s="125">
        <f>IF(A41="","",AS40-IF(F41=Urlaub,1,0)+IF(AND(MONTH(A41)=1,DAY(A41)=1),B_UrlaubNeu,0))</f>
        <v>30</v>
      </c>
      <c r="AT41" s="125">
        <f ca="1">IF(A41="","",IF(D41=D40,AT40,OFFSET(AT41,-1,COLUMN(db_jUrlRest)-COLUMN()))+IF(AND(MONTH(A41)=1,DAY(A41)=1),B_UrlaubNeu,0))</f>
        <v>30</v>
      </c>
      <c r="AU41" s="135">
        <f>(IF(ISNUMBER(V41),V41,0)+IF(ISNUMBER(AD41),AD41,0))*24</f>
        <v>0</v>
      </c>
      <c r="AV41" s="125">
        <f>IF(ISNUMBER(AD41),K_ArbeitOverMax,IF(AND(ISNUMBER(AA41),AA41&gt;0),K_ArbeitOverTime,IF(AND(ISNUMBER(V41),V41&gt;0),K_ArbeitNormal,IF(F41=Krank,K_Krank,IF(F41=Urlaub,K_Urlaub,IF(AM41=Feiertag,K_Feiertag,IF(OR(AM41=6,AM41=7),K_Wochenende,0)))))))+IF(F41=Gleittag,K_Gleittag,0)</f>
        <v>7</v>
      </c>
      <c r="AW41" t="b">
        <f>OR((F41&gt;0),(NOT(ISBLANK(H41))),SUM(H41:H$373),SUM(G41:G$373))</f>
        <v>0</v>
      </c>
      <c r="AX41" t="b">
        <f ca="1">INDIRECT(ADDRESS(ROW(),COLUMN(xDay)))&gt;5</f>
        <v>1</v>
      </c>
      <c r="AY41" s="600">
        <f>IF(OR(R41&lt;&gt;0,F41&lt;&gt;0),AA41,IF(Z41="",0,-Z41))+(IF(AG41="+",AF41,-AF41))</f>
        <v>0</v>
      </c>
      <c r="AZ41" s="225">
        <f>SUM(AY$5:AY41)</f>
        <v>-7.0000000000000027</v>
      </c>
      <c r="BA41" s="643"/>
      <c r="BB41" s="658">
        <f>IF(ISNA(MATCH(BA41,B_Arbeitsort,0)),0,MATCH(BA41,B_Arbeitsort,0))</f>
        <v>0</v>
      </c>
      <c r="BC41" s="643"/>
    </row>
    <row r="42" spans="1:55" ht="15.75">
      <c r="A42" s="305">
        <f>IF(A41="","",IF((A41+1)&gt;=DATE(YEAR(xJahr)+1,MONTH(xJahr),DAY(xJahr)),"",A41+1))</f>
        <v>43501</v>
      </c>
      <c r="B42" s="306">
        <f>IF(A42="","",A42)</f>
        <v>43501</v>
      </c>
      <c r="C42" s="307">
        <f>IF(A42="","",NumberOfWeek(A42))</f>
        <v>6</v>
      </c>
      <c r="D42" s="308">
        <f>IF(A42="","",DATE(YEAR(A42),MONTH(A42),1))</f>
        <v>43496</v>
      </c>
      <c r="E42" s="318" t="str">
        <f>IF((R42-U42)&gt;XWorkTimeMax,$Z$4,IF(AV42=Feiertag,VLOOKUP(B42,db_Feiertag,2,FALSE),""))</f>
        <v/>
      </c>
      <c r="F42" s="5"/>
      <c r="G42" s="6" t="str">
        <f>IF(ISBLANK(F42),IF(ISBLANK(H42),"",0),CODE(UPPER(F42)))</f>
        <v/>
      </c>
      <c r="H42" s="7"/>
      <c r="I42" s="7">
        <f>IF(H42&gt;0,H42+Y42+X42+AC42,0)</f>
        <v>0</v>
      </c>
      <c r="J42" s="113">
        <f>IF(K42&gt;I42,IF(I42&lt;H42,I42+1,I42)-B_WalkTime,IF(I42&lt;H42,I42+1,I42))</f>
        <v>0</v>
      </c>
      <c r="K42" s="7"/>
      <c r="L42" s="7">
        <f>IF(K42&gt;0,K42+IF((J42-H42)&lt;Y42,Y42-(J42-H42),TIME(0,10,0))+IF((K42-J42)&gt;xNoWorkTime,0,xNoWorkTime-(K42-J42)),0)</f>
        <v>0</v>
      </c>
      <c r="M42" s="113">
        <f>IF(L42&lt;K42,L42+1,L42)</f>
        <v>0</v>
      </c>
      <c r="N42" s="113"/>
      <c r="O42" s="113">
        <f>IF(N42&gt;0,N42+IF((J42-H42+M42-K42)&lt;Y42,Y42-(J42-H42+M42-K42),TIME(0,10,0))+IF((K42-J42+N42-M42)&gt;xNoWorkTime,0,xNoWorkTime-(K42-J42+N42-M42)),0)</f>
        <v>0</v>
      </c>
      <c r="P42" s="113"/>
      <c r="Q42" s="113">
        <f>IF(O42&lt;N42,O42+1,O42)</f>
        <v>0</v>
      </c>
      <c r="R42" s="113">
        <f>J42-H42+M42-K42+Q42-N42</f>
        <v>0</v>
      </c>
      <c r="S42" s="113">
        <f>IF(K42&gt;0,K42-I42,0)+IF(N42&gt;0,N42-L42)</f>
        <v>0</v>
      </c>
      <c r="T42" s="113">
        <f>IF(H42&gt;0,(IF(R42&gt;B_Pause1Nach,B_Pause1Dauer+IF(BA42="Büro",B_WalkTime,0),IF(BA42="Büro",B_WalkTime,0))+IF(R42&gt;B_Pause2Nach,B_Pause2Dauer,0)),0)</f>
        <v>0</v>
      </c>
      <c r="U42" s="113">
        <f>IF(T42&gt;S42,T42-S42,0)</f>
        <v>0</v>
      </c>
      <c r="V42" s="146">
        <f>IF(F42="S",Z42,(IF((R42-U42)&gt;XWorkTimeMax,XWorkTimeMax,IF((R42-U42)&gt;0,R42-U42,0))))</f>
        <v>0</v>
      </c>
      <c r="W42" s="66"/>
      <c r="X42" s="115">
        <f>xNoWorkTime</f>
        <v>4.027777777777778E-2</v>
      </c>
      <c r="Y42" s="110">
        <f>IF(AND((AM42&lt;Feiertag),(G42&lt;&gt;85)),IF(OR(F42="B",F42="G",F42="S",H42&gt;0),H42-H42+Z42,0),0)</f>
        <v>0</v>
      </c>
      <c r="Z42" s="111">
        <f>IF(AND(AM42&gt;0,AM42&lt;Feiertag),INDEX(Arbeitszeit,AM42),"")</f>
        <v>0.29166666666666669</v>
      </c>
      <c r="AA42" s="112">
        <f>V42-Y42</f>
        <v>0</v>
      </c>
      <c r="AB42" s="67" t="str">
        <f>IF((V42-Y42)&lt;0,"*","")</f>
        <v/>
      </c>
      <c r="AC42" s="193">
        <f>xOverTime</f>
        <v>0</v>
      </c>
      <c r="AD42" s="144" t="str">
        <f>IF((R42-U42)&gt;XWorkTimeMax,(R42-U42-XWorkTimeMax),"")</f>
        <v/>
      </c>
      <c r="AE42" s="225">
        <f>IF(AW42,(AE41+SUM(AA42)+(IF(AG42="+",AF42,-AF42))),)</f>
        <v>0</v>
      </c>
      <c r="AF42" s="110"/>
      <c r="AG42" s="627"/>
      <c r="AH42" s="110"/>
      <c r="AI42" s="110" t="str">
        <f>IF(AND(AF42&lt;&gt;"",AF42&lt;=V42),V42-AF42,"")</f>
        <v/>
      </c>
      <c r="AJ42" s="68">
        <f>IF(ISNUMBER(V42 ), IF( V42 &gt;= Y42, Y42, V42 ),"")</f>
        <v>0</v>
      </c>
      <c r="AK42" s="68">
        <f>IF( ISNUMBER( V42 ), IF( V42 &gt;= Y42, V42 - Y42, "" ), "" )</f>
        <v>0</v>
      </c>
      <c r="AL42" s="68" t="str">
        <f>IF( AND(ISNUMBER( V42 ),ISNUMBER( Y42 )), IF( V42 &gt;= Y42, "", Y42 - V42 ), "" )</f>
        <v/>
      </c>
      <c r="AM42">
        <f>IF(A42="",0,IF(ISERROR(VLOOKUP(A42,db_Feiertag,2,FALSE)),WEEKDAY(A42,2),Feiertag))</f>
        <v>1</v>
      </c>
      <c r="AN42" s="122">
        <f>SUM($AD$6:AD42)</f>
        <v>0</v>
      </c>
      <c r="AO42" s="122">
        <f ca="1">IF(D42=D41,AO41,OFFSET(AO42,-1,COLUMN(db_jSaldoGes)-COLUMN()))</f>
        <v>0</v>
      </c>
      <c r="AP42" s="126">
        <f>IF(OR($G42=-1,$G42=82),-1,IF(OR($G42=0,$G42=83),1,0))</f>
        <v>0</v>
      </c>
      <c r="AQ42" s="126">
        <f>IF($F42=Krank,1,IF($F42="J",-1,0))</f>
        <v>0</v>
      </c>
      <c r="AR42" s="126">
        <f>IF($F42=Urlaub,1,IF($F42="T",-1,0))</f>
        <v>0</v>
      </c>
      <c r="AS42" s="125">
        <f>IF(A42="","",AS41-IF(F42=Urlaub,1,0)+IF(AND(MONTH(A42)=1,DAY(A42)=1),B_UrlaubNeu,0))</f>
        <v>30</v>
      </c>
      <c r="AT42" s="125">
        <f ca="1">IF(A42="","",IF(D42=D41,AT41,OFFSET(AT42,-1,COLUMN(db_jUrlRest)-COLUMN()))+IF(AND(MONTH(A42)=1,DAY(A42)=1),B_UrlaubNeu,0))</f>
        <v>30</v>
      </c>
      <c r="AU42" s="135">
        <f>(IF(ISNUMBER(V42),V42,0)+IF(ISNUMBER(AD42),AD42,0))*24</f>
        <v>0</v>
      </c>
      <c r="AV42" s="125">
        <f>IF(ISNUMBER(AD42),K_ArbeitOverMax,IF(AND(ISNUMBER(AA42),AA42&gt;0),K_ArbeitOverTime,IF(AND(ISNUMBER(V42),V42&gt;0),K_ArbeitNormal,IF(F42=Krank,K_Krank,IF(F42=Urlaub,K_Urlaub,IF(AM42=Feiertag,K_Feiertag,IF(OR(AM42=6,AM42=7),K_Wochenende,0)))))))+IF(F42=Gleittag,K_Gleittag,0)</f>
        <v>0</v>
      </c>
      <c r="AW42" t="b">
        <f>OR((F42&gt;0),(NOT(ISBLANK(H42))),SUM(H42:H$373),SUM(G42:G$373))</f>
        <v>0</v>
      </c>
      <c r="AX42" t="b">
        <f ca="1">INDIRECT(ADDRESS(ROW(),COLUMN(xDay)))&gt;5</f>
        <v>0</v>
      </c>
      <c r="AY42" s="600">
        <f>IF(OR(R42&lt;&gt;0,F42&lt;&gt;0),AA42,IF(Z42="",0,-Z42))+(IF(AG42="+",AF42,-AF42))</f>
        <v>-0.29166666666666669</v>
      </c>
      <c r="AZ42" s="225">
        <f>SUM(AY$5:AY42)</f>
        <v>-7.2916666666666696</v>
      </c>
      <c r="BA42" s="658"/>
      <c r="BB42" s="658">
        <f>IF(ISNA(MATCH(BA42,B_Arbeitsort,0)),0,MATCH(BA42,B_Arbeitsort,0))</f>
        <v>0</v>
      </c>
      <c r="BC42" s="658"/>
    </row>
    <row r="43" spans="1:55" ht="15.75">
      <c r="A43" s="305">
        <f>IF(A42="","",IF((A42+1)&gt;=DATE(YEAR(xJahr)+1,MONTH(xJahr),DAY(xJahr)),"",A42+1))</f>
        <v>43502</v>
      </c>
      <c r="B43" s="306">
        <f>IF(A43="","",A43)</f>
        <v>43502</v>
      </c>
      <c r="C43" s="307">
        <f>IF(A43="","",NumberOfWeek(A43))</f>
        <v>6</v>
      </c>
      <c r="D43" s="308">
        <f>IF(A43="","",DATE(YEAR(A43),MONTH(A43),1))</f>
        <v>43496</v>
      </c>
      <c r="E43" s="318" t="str">
        <f>IF((R43-U43)&gt;XWorkTimeMax,$Z$4,IF(AV43=Feiertag,VLOOKUP(B43,db_Feiertag,2,FALSE),""))</f>
        <v/>
      </c>
      <c r="F43" s="5"/>
      <c r="G43" s="6" t="str">
        <f>IF(ISBLANK(F43),IF(ISBLANK(H43),"",0),CODE(UPPER(F43)))</f>
        <v/>
      </c>
      <c r="H43" s="7"/>
      <c r="I43" s="7">
        <f>IF(H43&gt;0,H43+Y43+X43+AC43,0)</f>
        <v>0</v>
      </c>
      <c r="J43" s="113">
        <f>IF(K43&gt;I43,IF(I43&lt;H43,I43+1,I43)-B_WalkTime,IF(I43&lt;H43,I43+1,I43))</f>
        <v>0</v>
      </c>
      <c r="K43" s="7"/>
      <c r="L43" s="7">
        <f>IF(K43&gt;0,K43+IF((J43-H43)&lt;Y43,Y43-(J43-H43),TIME(0,10,0))+IF((K43-J43)&gt;xNoWorkTime,0,xNoWorkTime-(K43-J43)),0)</f>
        <v>0</v>
      </c>
      <c r="M43" s="113">
        <f>IF(L43&lt;K43,L43+1,L43)</f>
        <v>0</v>
      </c>
      <c r="N43" s="113"/>
      <c r="O43" s="113">
        <f>IF(N43&gt;0,N43+IF((J43-H43+M43-K43)&lt;Y43,Y43-(J43-H43+M43-K43),TIME(0,10,0))+IF((K43-J43+N43-M43)&gt;xNoWorkTime,0,xNoWorkTime-(K43-J43+N43-M43)),0)</f>
        <v>0</v>
      </c>
      <c r="P43" s="113"/>
      <c r="Q43" s="113">
        <f>IF(O43&lt;N43,O43+1,O43)</f>
        <v>0</v>
      </c>
      <c r="R43" s="113">
        <f>J43-H43+M43-K43+Q43-N43</f>
        <v>0</v>
      </c>
      <c r="S43" s="113">
        <f>IF(K43&gt;0,K43-I43,0)+IF(N43&gt;0,N43-L43)</f>
        <v>0</v>
      </c>
      <c r="T43" s="113">
        <f>IF(H43&gt;0,(IF(R43&gt;B_Pause1Nach,B_Pause1Dauer+IF(BA43="Büro",B_WalkTime,0),IF(BA43="Büro",B_WalkTime,0))+IF(R43&gt;B_Pause2Nach,B_Pause2Dauer,0)),0)</f>
        <v>0</v>
      </c>
      <c r="U43" s="113">
        <f>IF(T43&gt;S43,T43-S43,0)</f>
        <v>0</v>
      </c>
      <c r="V43" s="146">
        <f>IF(F43="S",Z43,(IF((R43-U43)&gt;XWorkTimeMax,XWorkTimeMax,IF((R43-U43)&gt;0,R43-U43,0))))</f>
        <v>0</v>
      </c>
      <c r="W43" s="66"/>
      <c r="X43" s="115">
        <f>xNoWorkTime</f>
        <v>4.027777777777778E-2</v>
      </c>
      <c r="Y43" s="110">
        <f>IF(AND((AM43&lt;Feiertag),(G43&lt;&gt;85)),IF(OR(F43="B",F43="G",F43="S",H43&gt;0),H43-H43+Z43,0),0)</f>
        <v>0</v>
      </c>
      <c r="Z43" s="111">
        <f>IF(AND(AM43&gt;0,AM43&lt;Feiertag),INDEX(Arbeitszeit,AM43),"")</f>
        <v>0.29166666666666669</v>
      </c>
      <c r="AA43" s="112">
        <f>V43-Y43</f>
        <v>0</v>
      </c>
      <c r="AB43" s="67" t="str">
        <f>IF((V43-Y43)&lt;0,"*","")</f>
        <v/>
      </c>
      <c r="AC43" s="193">
        <f>xOverTime</f>
        <v>0</v>
      </c>
      <c r="AD43" s="144" t="str">
        <f>IF((R43-U43)&gt;XWorkTimeMax,(R43-U43-XWorkTimeMax),"")</f>
        <v/>
      </c>
      <c r="AE43" s="225">
        <f>IF(AW43,(AE42+SUM(AA43)+(IF(AG43="+",AF43,-AF43))),)</f>
        <v>0</v>
      </c>
      <c r="AF43" s="110"/>
      <c r="AG43" s="627"/>
      <c r="AH43" s="110"/>
      <c r="AI43" s="110" t="str">
        <f>IF(AND(AF43&lt;&gt;"",AF43&lt;=V43),V43-AF43,"")</f>
        <v/>
      </c>
      <c r="AJ43" s="68">
        <f>IF(ISNUMBER(V43 ), IF( V43 &gt;= Y43, Y43, V43 ),"")</f>
        <v>0</v>
      </c>
      <c r="AK43" s="68">
        <f>IF( ISNUMBER( V43 ), IF( V43 &gt;= Y43, V43 - Y43, "" ), "" )</f>
        <v>0</v>
      </c>
      <c r="AL43" s="68" t="str">
        <f>IF( AND(ISNUMBER( V43 ),ISNUMBER( Y43 )), IF( V43 &gt;= Y43, "", Y43 - V43 ), "" )</f>
        <v/>
      </c>
      <c r="AM43">
        <f>IF(A43="",0,IF(ISERROR(VLOOKUP(A43,db_Feiertag,2,FALSE)),WEEKDAY(A43,2),Feiertag))</f>
        <v>2</v>
      </c>
      <c r="AN43" s="122">
        <f>SUM($AD$6:AD43)</f>
        <v>0</v>
      </c>
      <c r="AO43" s="122">
        <f ca="1">IF(D43=D42,AO42,OFFSET(AO43,-1,COLUMN(db_jSaldoGes)-COLUMN()))</f>
        <v>0</v>
      </c>
      <c r="AP43" s="126">
        <f>IF(OR($G43=-1,$G43=82),-1,IF(OR($G43=0,$G43=83),1,0))</f>
        <v>0</v>
      </c>
      <c r="AQ43" s="126">
        <f>IF($F43=Krank,1,IF($F43="J",-1,0))</f>
        <v>0</v>
      </c>
      <c r="AR43" s="126">
        <f>IF($F43=Urlaub,1,IF($F43="T",-1,0))</f>
        <v>0</v>
      </c>
      <c r="AS43" s="125">
        <f>IF(A43="","",AS42-IF(F43=Urlaub,1,0)+IF(AND(MONTH(A43)=1,DAY(A43)=1),B_UrlaubNeu,0))</f>
        <v>30</v>
      </c>
      <c r="AT43" s="125">
        <f ca="1">IF(A43="","",IF(D43=D42,AT42,OFFSET(AT43,-1,COLUMN(db_jUrlRest)-COLUMN()))+IF(AND(MONTH(A43)=1,DAY(A43)=1),B_UrlaubNeu,0))</f>
        <v>30</v>
      </c>
      <c r="AU43" s="135">
        <f>(IF(ISNUMBER(V43),V43,0)+IF(ISNUMBER(AD43),AD43,0))*24</f>
        <v>0</v>
      </c>
      <c r="AV43" s="125">
        <f>IF(ISNUMBER(AD43),K_ArbeitOverMax,IF(AND(ISNUMBER(AA43),AA43&gt;0),K_ArbeitOverTime,IF(AND(ISNUMBER(V43),V43&gt;0),K_ArbeitNormal,IF(F43=Krank,K_Krank,IF(F43=Urlaub,K_Urlaub,IF(AM43=Feiertag,K_Feiertag,IF(OR(AM43=6,AM43=7),K_Wochenende,0)))))))+IF(F43=Gleittag,K_Gleittag,0)</f>
        <v>0</v>
      </c>
      <c r="AW43" t="b">
        <f>OR((F43&gt;0),(NOT(ISBLANK(H43))),SUM(H43:H$373),SUM(G43:G$373))</f>
        <v>0</v>
      </c>
      <c r="AX43" t="b">
        <f ca="1">INDIRECT(ADDRESS(ROW(),COLUMN(xDay)))&gt;5</f>
        <v>0</v>
      </c>
      <c r="AY43" s="600">
        <f>IF(OR(R43&lt;&gt;0,F43&lt;&gt;0),AA43,IF(Z43="",0,-Z43))+(IF(AG43="+",AF43,-AF43))</f>
        <v>-0.29166666666666669</v>
      </c>
      <c r="AZ43" s="225">
        <f>SUM(AY$5:AY43)</f>
        <v>-7.5833333333333366</v>
      </c>
      <c r="BA43" s="658"/>
      <c r="BB43" s="658">
        <f>IF(ISNA(MATCH(BA43,B_Arbeitsort,0)),0,MATCH(BA43,B_Arbeitsort,0))</f>
        <v>0</v>
      </c>
      <c r="BC43" s="658"/>
    </row>
    <row r="44" spans="1:55" ht="15.75">
      <c r="A44" s="305">
        <f>IF(A43="","",IF((A43+1)&gt;=DATE(YEAR(xJahr)+1,MONTH(xJahr),DAY(xJahr)),"",A43+1))</f>
        <v>43503</v>
      </c>
      <c r="B44" s="306">
        <f>IF(A44="","",A44)</f>
        <v>43503</v>
      </c>
      <c r="C44" s="307">
        <f>IF(A44="","",NumberOfWeek(A44))</f>
        <v>6</v>
      </c>
      <c r="D44" s="308">
        <f>IF(A44="","",DATE(YEAR(A44),MONTH(A44),1))</f>
        <v>43496</v>
      </c>
      <c r="E44" s="318" t="str">
        <f>IF((R44-U44)&gt;XWorkTimeMax,$Z$4,IF(AV44=Feiertag,VLOOKUP(B44,db_Feiertag,2,FALSE),""))</f>
        <v/>
      </c>
      <c r="F44" s="5"/>
      <c r="G44" s="6" t="str">
        <f>IF(ISBLANK(F44),IF(ISBLANK(H44),"",0),CODE(UPPER(F44)))</f>
        <v/>
      </c>
      <c r="H44" s="7"/>
      <c r="I44" s="7">
        <f>IF(H44&gt;0,H44+Y44+X44+AC44,0)</f>
        <v>0</v>
      </c>
      <c r="J44" s="113">
        <f>IF(K44&gt;I44,IF(I44&lt;H44,I44+1,I44)-B_WalkTime,IF(I44&lt;H44,I44+1,I44))</f>
        <v>0</v>
      </c>
      <c r="K44" s="7"/>
      <c r="L44" s="7">
        <f>IF(K44&gt;0,K44+IF((J44-H44)&lt;Y44,Y44-(J44-H44),TIME(0,10,0))+IF((K44-J44)&gt;xNoWorkTime,0,xNoWorkTime-(K44-J44)),0)</f>
        <v>0</v>
      </c>
      <c r="M44" s="113">
        <f>IF(L44&lt;K44,L44+1,L44)</f>
        <v>0</v>
      </c>
      <c r="N44" s="113"/>
      <c r="O44" s="113">
        <f>IF(N44&gt;0,N44+IF((J44-H44+M44-K44)&lt;Y44,Y44-(J44-H44+M44-K44),TIME(0,10,0))+IF((K44-J44+N44-M44)&gt;xNoWorkTime,0,xNoWorkTime-(K44-J44+N44-M44)),0)</f>
        <v>0</v>
      </c>
      <c r="P44" s="113"/>
      <c r="Q44" s="113">
        <f>IF(O44&lt;N44,O44+1,O44)</f>
        <v>0</v>
      </c>
      <c r="R44" s="113">
        <f>J44-H44+M44-K44+Q44-N44</f>
        <v>0</v>
      </c>
      <c r="S44" s="113">
        <f>IF(K44&gt;0,K44-I44,0)+IF(N44&gt;0,N44-L44)</f>
        <v>0</v>
      </c>
      <c r="T44" s="113">
        <f>IF(H44&gt;0,(IF(R44&gt;B_Pause1Nach,B_Pause1Dauer+IF(BA44="Büro",B_WalkTime,0),IF(BA44="Büro",B_WalkTime,0))+IF(R44&gt;B_Pause2Nach,B_Pause2Dauer,0)),0)</f>
        <v>0</v>
      </c>
      <c r="U44" s="113">
        <f>IF(T44&gt;S44,T44-S44,0)</f>
        <v>0</v>
      </c>
      <c r="V44" s="146">
        <f>IF(F44="S",Z44,(IF((R44-U44)&gt;XWorkTimeMax,XWorkTimeMax,IF((R44-U44)&gt;0,R44-U44,0))))</f>
        <v>0</v>
      </c>
      <c r="W44" s="66"/>
      <c r="X44" s="115">
        <f>xNoWorkTime</f>
        <v>4.027777777777778E-2</v>
      </c>
      <c r="Y44" s="110">
        <f>IF(AND((AM44&lt;Feiertag),(G44&lt;&gt;85)),IF(OR(F44="B",F44="G",F44="S",H44&gt;0),H44-H44+Z44,0),0)</f>
        <v>0</v>
      </c>
      <c r="Z44" s="111">
        <f>IF(AND(AM44&gt;0,AM44&lt;Feiertag),INDEX(Arbeitszeit,AM44),"")</f>
        <v>0.29166666666666669</v>
      </c>
      <c r="AA44" s="112">
        <f>V44-Y44</f>
        <v>0</v>
      </c>
      <c r="AB44" s="67" t="str">
        <f>IF((V44-Y44)&lt;0,"*","")</f>
        <v/>
      </c>
      <c r="AC44" s="193">
        <f>xOverTime</f>
        <v>0</v>
      </c>
      <c r="AD44" s="144" t="str">
        <f>IF((R44-U44)&gt;XWorkTimeMax,(R44-U44-XWorkTimeMax),"")</f>
        <v/>
      </c>
      <c r="AE44" s="225">
        <f>IF(AW44,(AE43+SUM(AA44)+(IF(AG44="+",AF44,-AF44))),)</f>
        <v>0</v>
      </c>
      <c r="AF44" s="110"/>
      <c r="AG44" s="627"/>
      <c r="AH44" s="110"/>
      <c r="AI44" s="110" t="str">
        <f>IF(AND(AF44&lt;&gt;"",AF44&lt;=V44),V44-AF44,"")</f>
        <v/>
      </c>
      <c r="AJ44" s="68">
        <f>IF(ISNUMBER(V44 ), IF( V44 &gt;= Y44, Y44, V44 ),"")</f>
        <v>0</v>
      </c>
      <c r="AK44" s="68">
        <f>IF( ISNUMBER( V44 ), IF( V44 &gt;= Y44, V44 - Y44, "" ), "" )</f>
        <v>0</v>
      </c>
      <c r="AL44" s="68" t="str">
        <f>IF( AND(ISNUMBER( V44 ),ISNUMBER( Y44 )), IF( V44 &gt;= Y44, "", Y44 - V44 ), "" )</f>
        <v/>
      </c>
      <c r="AM44">
        <f>IF(A44="",0,IF(ISERROR(VLOOKUP(A44,db_Feiertag,2,FALSE)),WEEKDAY(A44,2),Feiertag))</f>
        <v>3</v>
      </c>
      <c r="AN44" s="122">
        <f>SUM($AD$6:AD44)</f>
        <v>0</v>
      </c>
      <c r="AO44" s="122">
        <f ca="1">IF(D44=D43,AO43,OFFSET(AO44,-1,COLUMN(db_jSaldoGes)-COLUMN()))</f>
        <v>0</v>
      </c>
      <c r="AP44" s="126">
        <f>IF(OR($G44=-1,$G44=82),-1,IF(OR($G44=0,$G44=83),1,0))</f>
        <v>0</v>
      </c>
      <c r="AQ44" s="126">
        <f>IF($F44=Krank,1,IF($F44="J",-1,0))</f>
        <v>0</v>
      </c>
      <c r="AR44" s="126">
        <f>IF($F44=Urlaub,1,IF($F44="T",-1,0))</f>
        <v>0</v>
      </c>
      <c r="AS44" s="125">
        <f>IF(A44="","",AS43-IF(F44=Urlaub,1,0)+IF(AND(MONTH(A44)=1,DAY(A44)=1),B_UrlaubNeu,0))</f>
        <v>30</v>
      </c>
      <c r="AT44" s="125">
        <f ca="1">IF(A44="","",IF(D44=D43,AT43,OFFSET(AT44,-1,COLUMN(db_jUrlRest)-COLUMN()))+IF(AND(MONTH(A44)=1,DAY(A44)=1),B_UrlaubNeu,0))</f>
        <v>30</v>
      </c>
      <c r="AU44" s="135">
        <f>(IF(ISNUMBER(V44),V44,0)+IF(ISNUMBER(AD44),AD44,0))*24</f>
        <v>0</v>
      </c>
      <c r="AV44" s="125">
        <f>IF(ISNUMBER(AD44),K_ArbeitOverMax,IF(AND(ISNUMBER(AA44),AA44&gt;0),K_ArbeitOverTime,IF(AND(ISNUMBER(V44),V44&gt;0),K_ArbeitNormal,IF(F44=Krank,K_Krank,IF(F44=Urlaub,K_Urlaub,IF(AM44=Feiertag,K_Feiertag,IF(OR(AM44=6,AM44=7),K_Wochenende,0)))))))+IF(F44=Gleittag,K_Gleittag,0)</f>
        <v>0</v>
      </c>
      <c r="AW44" t="b">
        <f>OR((F44&gt;0),(NOT(ISBLANK(H44))),SUM(H44:H$373),SUM(G44:G$373))</f>
        <v>0</v>
      </c>
      <c r="AX44" t="b">
        <f ca="1">INDIRECT(ADDRESS(ROW(),COLUMN(xDay)))&gt;5</f>
        <v>0</v>
      </c>
      <c r="AY44" s="600">
        <f>IF(OR(R44&lt;&gt;0,F44&lt;&gt;0),AA44,IF(Z44="",0,-Z44))+(IF(AG44="+",AF44,-AF44))</f>
        <v>-0.29166666666666669</v>
      </c>
      <c r="AZ44" s="225">
        <f>SUM(AY$5:AY44)</f>
        <v>-7.8750000000000036</v>
      </c>
      <c r="BA44" s="658"/>
      <c r="BB44" s="658">
        <f>IF(ISNA(MATCH(BA44,B_Arbeitsort,0)),0,MATCH(BA44,B_Arbeitsort,0))</f>
        <v>0</v>
      </c>
      <c r="BC44" s="658"/>
    </row>
    <row r="45" spans="1:55" ht="15.75">
      <c r="A45" s="305">
        <f>IF(A44="","",IF((A44+1)&gt;=DATE(YEAR(xJahr)+1,MONTH(xJahr),DAY(xJahr)),"",A44+1))</f>
        <v>43504</v>
      </c>
      <c r="B45" s="306">
        <f>IF(A45="","",A45)</f>
        <v>43504</v>
      </c>
      <c r="C45" s="307">
        <f>IF(A45="","",NumberOfWeek(A45))</f>
        <v>6</v>
      </c>
      <c r="D45" s="308">
        <f>IF(A45="","",DATE(YEAR(A45),MONTH(A45),1))</f>
        <v>43496</v>
      </c>
      <c r="E45" s="318" t="str">
        <f>IF((R45-U45)&gt;XWorkTimeMax,$Z$4,IF(AV45=Feiertag,VLOOKUP(B45,db_Feiertag,2,FALSE),""))</f>
        <v/>
      </c>
      <c r="F45" s="5"/>
      <c r="G45" s="6" t="str">
        <f>IF(ISBLANK(F45),IF(ISBLANK(H45),"",0),CODE(UPPER(F45)))</f>
        <v/>
      </c>
      <c r="H45" s="7"/>
      <c r="I45" s="7">
        <f>IF(H45&gt;0,H45+Y45+X45+AC45,0)</f>
        <v>0</v>
      </c>
      <c r="J45" s="113">
        <f>IF(K45&gt;I45,IF(I45&lt;H45,I45+1,I45)-B_WalkTime,IF(I45&lt;H45,I45+1,I45))</f>
        <v>0</v>
      </c>
      <c r="K45" s="7"/>
      <c r="L45" s="7">
        <f>IF(K45&gt;0,K45+IF((J45-H45)&lt;Y45,Y45-(J45-H45),TIME(0,10,0))+IF((K45-J45)&gt;xNoWorkTime,0,xNoWorkTime-(K45-J45)),0)</f>
        <v>0</v>
      </c>
      <c r="M45" s="113">
        <f>IF(L45&lt;K45,L45+1,L45)</f>
        <v>0</v>
      </c>
      <c r="N45" s="113"/>
      <c r="O45" s="113">
        <f>IF(N45&gt;0,N45+IF((J45-H45+M45-K45)&lt;Y45,Y45-(J45-H45+M45-K45),TIME(0,10,0))+IF((K45-J45+N45-M45)&gt;xNoWorkTime,0,xNoWorkTime-(K45-J45+N45-M45)),0)</f>
        <v>0</v>
      </c>
      <c r="P45" s="113"/>
      <c r="Q45" s="113">
        <f>IF(O45&lt;N45,O45+1,O45)</f>
        <v>0</v>
      </c>
      <c r="R45" s="113">
        <f>J45-H45+M45-K45+Q45-N45</f>
        <v>0</v>
      </c>
      <c r="S45" s="113">
        <f>IF(K45&gt;0,K45-I45,0)+IF(N45&gt;0,N45-L45)</f>
        <v>0</v>
      </c>
      <c r="T45" s="113">
        <f>IF(H45&gt;0,(IF(R45&gt;B_Pause1Nach,B_Pause1Dauer+IF(BA45="Büro",B_WalkTime,0),IF(BA45="Büro",B_WalkTime,0))+IF(R45&gt;B_Pause2Nach,B_Pause2Dauer,0)),0)</f>
        <v>0</v>
      </c>
      <c r="U45" s="113">
        <f>IF(T45&gt;S45,T45-S45,0)</f>
        <v>0</v>
      </c>
      <c r="V45" s="146">
        <f>IF(F45="S",Z45,(IF((R45-U45)&gt;XWorkTimeMax,XWorkTimeMax,IF((R45-U45)&gt;0,R45-U45,0))))</f>
        <v>0</v>
      </c>
      <c r="W45" s="66"/>
      <c r="X45" s="115">
        <f>xNoWorkTime</f>
        <v>4.027777777777778E-2</v>
      </c>
      <c r="Y45" s="110">
        <f>IF(AND((AM45&lt;Feiertag),(G45&lt;&gt;85)),IF(OR(F45="B",F45="G",F45="S",H45&gt;0),H45-H45+Z45,0),0)</f>
        <v>0</v>
      </c>
      <c r="Z45" s="111">
        <f>IF(AND(AM45&gt;0,AM45&lt;Feiertag),INDEX(Arbeitszeit,AM45),"")</f>
        <v>0.29166666666666669</v>
      </c>
      <c r="AA45" s="112">
        <f>V45-Y45</f>
        <v>0</v>
      </c>
      <c r="AB45" s="67" t="str">
        <f>IF((V45-Y45)&lt;0,"*","")</f>
        <v/>
      </c>
      <c r="AC45" s="193">
        <f>xOverTime</f>
        <v>0</v>
      </c>
      <c r="AD45" s="144" t="str">
        <f>IF((R45-U45)&gt;XWorkTimeMax,(R45-U45-XWorkTimeMax),"")</f>
        <v/>
      </c>
      <c r="AE45" s="225">
        <f>IF(AW45,(AE44+SUM(AA45)+(IF(AG45="+",AF45,-AF45))),)</f>
        <v>0</v>
      </c>
      <c r="AF45" s="110"/>
      <c r="AG45" s="627"/>
      <c r="AH45" s="110"/>
      <c r="AI45" s="110" t="str">
        <f>IF(AND(AF45&lt;&gt;"",AF45&lt;=V45),V45-AF45,"")</f>
        <v/>
      </c>
      <c r="AJ45" s="68">
        <f>IF(ISNUMBER(V45 ), IF( V45 &gt;= Y45, Y45, V45 ),"")</f>
        <v>0</v>
      </c>
      <c r="AK45" s="68">
        <f>IF( ISNUMBER( V45 ), IF( V45 &gt;= Y45, V45 - Y45, "" ), "" )</f>
        <v>0</v>
      </c>
      <c r="AL45" s="68" t="str">
        <f>IF( AND(ISNUMBER( V45 ),ISNUMBER( Y45 )), IF( V45 &gt;= Y45, "", Y45 - V45 ), "" )</f>
        <v/>
      </c>
      <c r="AM45">
        <f>IF(A45="",0,IF(ISERROR(VLOOKUP(A45,db_Feiertag,2,FALSE)),WEEKDAY(A45,2),Feiertag))</f>
        <v>4</v>
      </c>
      <c r="AN45" s="122">
        <f>SUM($AD$6:AD45)</f>
        <v>0</v>
      </c>
      <c r="AO45" s="122">
        <f ca="1">IF(D45=D44,AO44,OFFSET(AO45,-1,COLUMN(db_jSaldoGes)-COLUMN()))</f>
        <v>0</v>
      </c>
      <c r="AP45" s="126">
        <f>IF(OR($G45=-1,$G45=82),-1,IF(OR($G45=0,$G45=83),1,0))</f>
        <v>0</v>
      </c>
      <c r="AQ45" s="126">
        <f>IF($F45=Krank,1,IF($F45="J",-1,0))</f>
        <v>0</v>
      </c>
      <c r="AR45" s="126">
        <f>IF($F45=Urlaub,1,IF($F45="T",-1,0))</f>
        <v>0</v>
      </c>
      <c r="AS45" s="125">
        <f>IF(A45="","",AS44-IF(F45=Urlaub,1,0)+IF(AND(MONTH(A45)=1,DAY(A45)=1),B_UrlaubNeu,0))</f>
        <v>30</v>
      </c>
      <c r="AT45" s="125">
        <f ca="1">IF(A45="","",IF(D45=D44,AT44,OFFSET(AT45,-1,COLUMN(db_jUrlRest)-COLUMN()))+IF(AND(MONTH(A45)=1,DAY(A45)=1),B_UrlaubNeu,0))</f>
        <v>30</v>
      </c>
      <c r="AU45" s="135">
        <f>(IF(ISNUMBER(V45),V45,0)+IF(ISNUMBER(AD45),AD45,0))*24</f>
        <v>0</v>
      </c>
      <c r="AV45" s="125">
        <f>IF(ISNUMBER(AD45),K_ArbeitOverMax,IF(AND(ISNUMBER(AA45),AA45&gt;0),K_ArbeitOverTime,IF(AND(ISNUMBER(V45),V45&gt;0),K_ArbeitNormal,IF(F45=Krank,K_Krank,IF(F45=Urlaub,K_Urlaub,IF(AM45=Feiertag,K_Feiertag,IF(OR(AM45=6,AM45=7),K_Wochenende,0)))))))+IF(F45=Gleittag,K_Gleittag,0)</f>
        <v>0</v>
      </c>
      <c r="AW45" t="b">
        <f>OR((F45&gt;0),(NOT(ISBLANK(H45))),SUM(H45:H$373),SUM(G45:G$373))</f>
        <v>0</v>
      </c>
      <c r="AX45" t="b">
        <f ca="1">INDIRECT(ADDRESS(ROW(),COLUMN(xDay)))&gt;5</f>
        <v>0</v>
      </c>
      <c r="AY45" s="600">
        <f>IF(OR(R45&lt;&gt;0,F45&lt;&gt;0),AA45,IF(Z45="",0,-Z45))+(IF(AG45="+",AF45,-AF45))</f>
        <v>-0.29166666666666669</v>
      </c>
      <c r="AZ45" s="225">
        <f>SUM(AY$5:AY45)</f>
        <v>-8.1666666666666696</v>
      </c>
      <c r="BA45" s="658"/>
      <c r="BB45" s="658">
        <f>IF(ISNA(MATCH(BA45,B_Arbeitsort,0)),0,MATCH(BA45,B_Arbeitsort,0))</f>
        <v>0</v>
      </c>
      <c r="BC45" s="658"/>
    </row>
    <row r="46" spans="1:55" ht="15.75">
      <c r="A46" s="305">
        <f>IF(A45="","",IF((A45+1)&gt;=DATE(YEAR(xJahr)+1,MONTH(xJahr),DAY(xJahr)),"",A45+1))</f>
        <v>43505</v>
      </c>
      <c r="B46" s="306">
        <f>IF(A46="","",A46)</f>
        <v>43505</v>
      </c>
      <c r="C46" s="307">
        <f>IF(A46="","",NumberOfWeek(A46))</f>
        <v>6</v>
      </c>
      <c r="D46" s="308">
        <f>IF(A46="","",DATE(YEAR(A46),MONTH(A46),1))</f>
        <v>43496</v>
      </c>
      <c r="E46" s="318" t="str">
        <f>IF((R46-U46)&gt;XWorkTimeMax,$Z$4,IF(AV46=Feiertag,VLOOKUP(B46,db_Feiertag,2,FALSE),""))</f>
        <v/>
      </c>
      <c r="F46" s="5"/>
      <c r="G46" s="6" t="str">
        <f>IF(ISBLANK(F46),IF(ISBLANK(H46),"",0),CODE(UPPER(F46)))</f>
        <v/>
      </c>
      <c r="H46" s="7"/>
      <c r="I46" s="7">
        <f>IF(H46&gt;0,H46+Y46+X46+AC46,0)</f>
        <v>0</v>
      </c>
      <c r="J46" s="113">
        <f>IF(K46&gt;I46,IF(I46&lt;H46,I46+1,I46)-B_WalkTime,IF(I46&lt;H46,I46+1,I46))</f>
        <v>0</v>
      </c>
      <c r="K46" s="7"/>
      <c r="L46" s="7">
        <f>IF(K46&gt;0,K46+IF((J46-H46)&lt;Y46,Y46-(J46-H46),TIME(0,10,0))+IF((K46-J46)&gt;xNoWorkTime,0,xNoWorkTime-(K46-J46)),0)</f>
        <v>0</v>
      </c>
      <c r="M46" s="113">
        <f>IF(L46&lt;K46,L46+1,L46)</f>
        <v>0</v>
      </c>
      <c r="N46" s="113"/>
      <c r="O46" s="113">
        <f>IF(N46&gt;0,N46+IF((J46-H46+M46-K46)&lt;Y46,Y46-(J46-H46+M46-K46),TIME(0,10,0))+IF((K46-J46+N46-M46)&gt;xNoWorkTime,0,xNoWorkTime-(K46-J46+N46-M46)),0)</f>
        <v>0</v>
      </c>
      <c r="P46" s="113"/>
      <c r="Q46" s="113">
        <f>IF(O46&lt;N46,O46+1,O46)</f>
        <v>0</v>
      </c>
      <c r="R46" s="113">
        <f>J46-H46+M46-K46+Q46-N46</f>
        <v>0</v>
      </c>
      <c r="S46" s="113">
        <f>IF(K46&gt;0,K46-I46,0)+IF(N46&gt;0,N46-L46)</f>
        <v>0</v>
      </c>
      <c r="T46" s="113">
        <f>IF(H46&gt;0,(IF(R46&gt;B_Pause1Nach,B_Pause1Dauer+IF(BA46="Büro",B_WalkTime,0),IF(BA46="Büro",B_WalkTime,0))+IF(R46&gt;B_Pause2Nach,B_Pause2Dauer,0)),0)</f>
        <v>0</v>
      </c>
      <c r="U46" s="113">
        <f>IF(T46&gt;S46,T46-S46,0)</f>
        <v>0</v>
      </c>
      <c r="V46" s="146">
        <f>IF(F46="S",Z46,(IF((R46-U46)&gt;XWorkTimeMax,XWorkTimeMax,IF((R46-U46)&gt;0,R46-U46,0))))</f>
        <v>0</v>
      </c>
      <c r="W46" s="66"/>
      <c r="X46" s="115">
        <f>xNoWorkTime</f>
        <v>4.027777777777778E-2</v>
      </c>
      <c r="Y46" s="110">
        <f>IF(AND((AM46&lt;Feiertag),(G46&lt;&gt;85)),IF(OR(F46="B",F46="G",F46="S",H46&gt;0),H46-H46+Z46,0),0)</f>
        <v>0</v>
      </c>
      <c r="Z46" s="111">
        <f>IF(AND(AM46&gt;0,AM46&lt;Feiertag),INDEX(Arbeitszeit,AM46),"")</f>
        <v>0.29166666666666669</v>
      </c>
      <c r="AA46" s="112">
        <f>V46-Y46</f>
        <v>0</v>
      </c>
      <c r="AB46" s="67" t="str">
        <f>IF((V46-Y46)&lt;0,"*","")</f>
        <v/>
      </c>
      <c r="AC46" s="193">
        <f>xOverTime</f>
        <v>0</v>
      </c>
      <c r="AD46" s="144" t="str">
        <f>IF((R46-U46)&gt;XWorkTimeMax,(R46-U46-XWorkTimeMax),"")</f>
        <v/>
      </c>
      <c r="AE46" s="225">
        <f>IF(AW46,(AE45+SUM(AA46)+(IF(AG46="+",AF46,-AF46))),)</f>
        <v>0</v>
      </c>
      <c r="AF46" s="110"/>
      <c r="AG46" s="627"/>
      <c r="AH46" s="110"/>
      <c r="AI46" s="110" t="str">
        <f>IF(AND(AF46&lt;&gt;"",AF46&lt;=V46),V46-AF46,"")</f>
        <v/>
      </c>
      <c r="AJ46" s="68">
        <f>IF(ISNUMBER(V46 ), IF( V46 &gt;= Y46, Y46, V46 ),"")</f>
        <v>0</v>
      </c>
      <c r="AK46" s="68">
        <f>IF( ISNUMBER( V46 ), IF( V46 &gt;= Y46, V46 - Y46, "" ), "" )</f>
        <v>0</v>
      </c>
      <c r="AL46" s="68" t="str">
        <f>IF( AND(ISNUMBER( V46 ),ISNUMBER( Y46 )), IF( V46 &gt;= Y46, "", Y46 - V46 ), "" )</f>
        <v/>
      </c>
      <c r="AM46">
        <f>IF(A46="",0,IF(ISERROR(VLOOKUP(A46,db_Feiertag,2,FALSE)),WEEKDAY(A46,2),Feiertag))</f>
        <v>5</v>
      </c>
      <c r="AN46" s="122">
        <f>SUM($AD$6:AD46)</f>
        <v>0</v>
      </c>
      <c r="AO46" s="122">
        <f ca="1">IF(D46=D45,AO45,OFFSET(AO46,-1,COLUMN(db_jSaldoGes)-COLUMN()))</f>
        <v>0</v>
      </c>
      <c r="AP46" s="126">
        <f>IF(OR($G46=-1,$G46=82),-1,IF(OR($G46=0,$G46=83),1,0))</f>
        <v>0</v>
      </c>
      <c r="AQ46" s="126">
        <f>IF($F46=Krank,1,IF($F46="J",-1,0))</f>
        <v>0</v>
      </c>
      <c r="AR46" s="126">
        <f>IF($F46=Urlaub,1,IF($F46="T",-1,0))</f>
        <v>0</v>
      </c>
      <c r="AS46" s="125">
        <f>IF(A46="","",AS45-IF(F46=Urlaub,1,0)+IF(AND(MONTH(A46)=1,DAY(A46)=1),B_UrlaubNeu,0))</f>
        <v>30</v>
      </c>
      <c r="AT46" s="125">
        <f ca="1">IF(A46="","",IF(D46=D45,AT45,OFFSET(AT46,-1,COLUMN(db_jUrlRest)-COLUMN()))+IF(AND(MONTH(A46)=1,DAY(A46)=1),B_UrlaubNeu,0))</f>
        <v>30</v>
      </c>
      <c r="AU46" s="135">
        <f>(IF(ISNUMBER(V46),V46,0)+IF(ISNUMBER(AD46),AD46,0))*24</f>
        <v>0</v>
      </c>
      <c r="AV46" s="125">
        <f>IF(ISNUMBER(AD46),K_ArbeitOverMax,IF(AND(ISNUMBER(AA46),AA46&gt;0),K_ArbeitOverTime,IF(AND(ISNUMBER(V46),V46&gt;0),K_ArbeitNormal,IF(F46=Krank,K_Krank,IF(F46=Urlaub,K_Urlaub,IF(AM46=Feiertag,K_Feiertag,IF(OR(AM46=6,AM46=7),K_Wochenende,0)))))))+IF(F46=Gleittag,K_Gleittag,0)</f>
        <v>0</v>
      </c>
      <c r="AW46" t="b">
        <f>OR((F46&gt;0),(NOT(ISBLANK(H46))),SUM(H46:H$373),SUM(G46:G$373))</f>
        <v>0</v>
      </c>
      <c r="AX46" t="b">
        <f ca="1">INDIRECT(ADDRESS(ROW(),COLUMN(xDay)))&gt;5</f>
        <v>0</v>
      </c>
      <c r="AY46" s="600">
        <f>IF(OR(R46&lt;&gt;0,F46&lt;&gt;0),AA46,IF(Z46="",0,-Z46))+(IF(AG46="+",AF46,-AF46))</f>
        <v>-0.29166666666666669</v>
      </c>
      <c r="AZ46" s="225">
        <f>SUM(AY$5:AY46)</f>
        <v>-8.4583333333333357</v>
      </c>
      <c r="BA46" s="658"/>
      <c r="BB46" s="658">
        <f>IF(ISNA(MATCH(BA46,B_Arbeitsort,0)),0,MATCH(BA46,B_Arbeitsort,0))</f>
        <v>0</v>
      </c>
      <c r="BC46" s="658"/>
    </row>
    <row r="47" spans="1:55" ht="15.75">
      <c r="A47" s="305">
        <f>IF(A46="","",IF((A46+1)&gt;=DATE(YEAR(xJahr)+1,MONTH(xJahr),DAY(xJahr)),"",A46+1))</f>
        <v>43506</v>
      </c>
      <c r="B47" s="306">
        <f>IF(A47="","",A47)</f>
        <v>43506</v>
      </c>
      <c r="C47" s="307">
        <f>IF(A47="","",NumberOfWeek(A47))</f>
        <v>6</v>
      </c>
      <c r="D47" s="308">
        <f>IF(A47="","",DATE(YEAR(A47),MONTH(A47),1))</f>
        <v>43496</v>
      </c>
      <c r="E47" s="318" t="str">
        <f>IF((R47-U47)&gt;XWorkTimeMax,$Z$4,IF(AV47=Feiertag,VLOOKUP(B47,db_Feiertag,2,FALSE),""))</f>
        <v/>
      </c>
      <c r="F47" s="5"/>
      <c r="G47" s="6" t="str">
        <f>IF(ISBLANK(F47),IF(ISBLANK(H47),"",0),CODE(UPPER(F47)))</f>
        <v/>
      </c>
      <c r="H47" s="7"/>
      <c r="I47" s="7">
        <f>IF(H47&gt;0,H47+Y47+X47+AC47,0)</f>
        <v>0</v>
      </c>
      <c r="J47" s="113">
        <f>IF(K47&gt;I47,IF(I47&lt;H47,I47+1,I47)-B_WalkTime,IF(I47&lt;H47,I47+1,I47))</f>
        <v>0</v>
      </c>
      <c r="K47" s="7"/>
      <c r="L47" s="7">
        <f>IF(K47&gt;0,K47+IF((J47-H47)&lt;Y47,Y47-(J47-H47),TIME(0,10,0))+IF((K47-J47)&gt;xNoWorkTime,0,xNoWorkTime-(K47-J47)),0)</f>
        <v>0</v>
      </c>
      <c r="M47" s="113">
        <f>IF(L47&lt;K47,L47+1,L47)</f>
        <v>0</v>
      </c>
      <c r="N47" s="113"/>
      <c r="O47" s="113">
        <f>IF(N47&gt;0,N47+IF((J47-H47+M47-K47)&lt;Y47,Y47-(J47-H47+M47-K47),TIME(0,10,0))+IF((K47-J47+N47-M47)&gt;xNoWorkTime,0,xNoWorkTime-(K47-J47+N47-M47)),0)</f>
        <v>0</v>
      </c>
      <c r="P47" s="113"/>
      <c r="Q47" s="113">
        <f>IF(O47&lt;N47,O47+1,O47)</f>
        <v>0</v>
      </c>
      <c r="R47" s="113">
        <f>J47-H47+M47-K47+Q47-N47</f>
        <v>0</v>
      </c>
      <c r="S47" s="113">
        <f>IF(K47&gt;0,K47-I47,0)+IF(N47&gt;0,N47-L47)</f>
        <v>0</v>
      </c>
      <c r="T47" s="113">
        <f>IF(H47&gt;0,(IF(R47&gt;B_Pause1Nach,B_Pause1Dauer+IF(BA47="Büro",B_WalkTime,0),IF(BA47="Büro",B_WalkTime,0))+IF(R47&gt;B_Pause2Nach,B_Pause2Dauer,0)),0)</f>
        <v>0</v>
      </c>
      <c r="U47" s="113">
        <f>IF(T47&gt;S47,T47-S47,0)</f>
        <v>0</v>
      </c>
      <c r="V47" s="146">
        <f>IF(F47="S",Z47,(IF((R47-U47)&gt;XWorkTimeMax,XWorkTimeMax,IF((R47-U47)&gt;0,R47-U47,0))))</f>
        <v>0</v>
      </c>
      <c r="W47" s="66"/>
      <c r="X47" s="115">
        <f>xNoWorkTime</f>
        <v>4.027777777777778E-2</v>
      </c>
      <c r="Y47" s="110">
        <f>IF(AND((AM47&lt;Feiertag),(G47&lt;&gt;85)),IF(OR(F47="B",F47="G",F47="S",H47&gt;0),H47-H47+Z47,0),0)</f>
        <v>0</v>
      </c>
      <c r="Z47" s="111">
        <f>IF(AND(AM47&gt;0,AM47&lt;Feiertag),INDEX(Arbeitszeit,AM47),"")</f>
        <v>0</v>
      </c>
      <c r="AA47" s="112">
        <f>V47-Y47</f>
        <v>0</v>
      </c>
      <c r="AB47" s="67" t="str">
        <f>IF((V47-Y47)&lt;0,"*","")</f>
        <v/>
      </c>
      <c r="AC47" s="193">
        <f>xOverTime</f>
        <v>0</v>
      </c>
      <c r="AD47" s="144" t="str">
        <f>IF((R47-U47)&gt;XWorkTimeMax,(R47-U47-XWorkTimeMax),"")</f>
        <v/>
      </c>
      <c r="AE47" s="225">
        <f>IF(AW47,(AE46+SUM(AA47)+(IF(AG47="+",AF47,-AF47))),)</f>
        <v>0</v>
      </c>
      <c r="AF47" s="110"/>
      <c r="AG47" s="627"/>
      <c r="AH47" s="110"/>
      <c r="AI47" s="110" t="str">
        <f>IF(AND(AF47&lt;&gt;"",AF47&lt;=V47),V47-AF47,"")</f>
        <v/>
      </c>
      <c r="AJ47" s="68">
        <f>IF(ISNUMBER(V47 ), IF( V47 &gt;= Y47, Y47, V47 ),"")</f>
        <v>0</v>
      </c>
      <c r="AK47" s="68">
        <f>IF( ISNUMBER( V47 ), IF( V47 &gt;= Y47, V47 - Y47, "" ), "" )</f>
        <v>0</v>
      </c>
      <c r="AL47" s="68" t="str">
        <f>IF( AND(ISNUMBER( V47 ),ISNUMBER( Y47 )), IF( V47 &gt;= Y47, "", Y47 - V47 ), "" )</f>
        <v/>
      </c>
      <c r="AM47">
        <f>IF(A47="",0,IF(ISERROR(VLOOKUP(A47,db_Feiertag,2,FALSE)),WEEKDAY(A47,2),Feiertag))</f>
        <v>6</v>
      </c>
      <c r="AN47" s="122">
        <f>SUM($AD$6:AD47)</f>
        <v>0</v>
      </c>
      <c r="AO47" s="122">
        <f ca="1">IF(D47=D46,AO46,OFFSET(AO47,-1,COLUMN(db_jSaldoGes)-COLUMN()))</f>
        <v>0</v>
      </c>
      <c r="AP47" s="126">
        <f>IF(OR($G47=-1,$G47=82),-1,IF(OR($G47=0,$G47=83),1,0))</f>
        <v>0</v>
      </c>
      <c r="AQ47" s="126">
        <f>IF($F47=Krank,1,IF($F47="J",-1,0))</f>
        <v>0</v>
      </c>
      <c r="AR47" s="126">
        <f>IF($F47=Urlaub,1,IF($F47="T",-1,0))</f>
        <v>0</v>
      </c>
      <c r="AS47" s="125">
        <f>IF(A47="","",AS46-IF(F47=Urlaub,1,0)+IF(AND(MONTH(A47)=1,DAY(A47)=1),B_UrlaubNeu,0))</f>
        <v>30</v>
      </c>
      <c r="AT47" s="125">
        <f ca="1">IF(A47="","",IF(D47=D46,AT46,OFFSET(AT47,-1,COLUMN(db_jUrlRest)-COLUMN()))+IF(AND(MONTH(A47)=1,DAY(A47)=1),B_UrlaubNeu,0))</f>
        <v>30</v>
      </c>
      <c r="AU47" s="135">
        <f>(IF(ISNUMBER(V47),V47,0)+IF(ISNUMBER(AD47),AD47,0))*24</f>
        <v>0</v>
      </c>
      <c r="AV47" s="125">
        <f>IF(ISNUMBER(AD47),K_ArbeitOverMax,IF(AND(ISNUMBER(AA47),AA47&gt;0),K_ArbeitOverTime,IF(AND(ISNUMBER(V47),V47&gt;0),K_ArbeitNormal,IF(F47=Krank,K_Krank,IF(F47=Urlaub,K_Urlaub,IF(AM47=Feiertag,K_Feiertag,IF(OR(AM47=6,AM47=7),K_Wochenende,0)))))))+IF(F47=Gleittag,K_Gleittag,0)</f>
        <v>7</v>
      </c>
      <c r="AW47" t="b">
        <f>OR((F47&gt;0),(NOT(ISBLANK(H47))),SUM(H47:H$373),SUM(G47:G$373))</f>
        <v>0</v>
      </c>
      <c r="AX47" t="b">
        <f ca="1">INDIRECT(ADDRESS(ROW(),COLUMN(xDay)))&gt;5</f>
        <v>1</v>
      </c>
      <c r="AY47" s="600">
        <f>IF(OR(R47&lt;&gt;0,F47&lt;&gt;0),AA47,IF(Z47="",0,-Z47))+(IF(AG47="+",AF47,-AF47))</f>
        <v>0</v>
      </c>
      <c r="AZ47" s="225">
        <f>SUM(AY$5:AY47)</f>
        <v>-8.4583333333333357</v>
      </c>
      <c r="BA47" s="643"/>
      <c r="BB47" s="658">
        <f>IF(ISNA(MATCH(BA47,B_Arbeitsort,0)),0,MATCH(BA47,B_Arbeitsort,0))</f>
        <v>0</v>
      </c>
      <c r="BC47" s="643"/>
    </row>
    <row r="48" spans="1:55" ht="15.75">
      <c r="A48" s="305">
        <f>IF(A47="","",IF((A47+1)&gt;=DATE(YEAR(xJahr)+1,MONTH(xJahr),DAY(xJahr)),"",A47+1))</f>
        <v>43507</v>
      </c>
      <c r="B48" s="306">
        <f>IF(A48="","",A48)</f>
        <v>43507</v>
      </c>
      <c r="C48" s="307">
        <f>IF(A48="","",NumberOfWeek(A48))</f>
        <v>6</v>
      </c>
      <c r="D48" s="308">
        <f>IF(A48="","",DATE(YEAR(A48),MONTH(A48),1))</f>
        <v>43496</v>
      </c>
      <c r="E48" s="318" t="str">
        <f>IF((R48-U48)&gt;XWorkTimeMax,$Z$4,IF(AV48=Feiertag,VLOOKUP(B48,db_Feiertag,2,FALSE),""))</f>
        <v/>
      </c>
      <c r="F48" s="5"/>
      <c r="G48" s="6" t="str">
        <f>IF(ISBLANK(F48),IF(ISBLANK(H48),"",0),CODE(UPPER(F48)))</f>
        <v/>
      </c>
      <c r="H48" s="7"/>
      <c r="I48" s="7">
        <f>IF(H48&gt;0,H48+Y48+X48+AC48,0)</f>
        <v>0</v>
      </c>
      <c r="J48" s="113">
        <f>IF(K48&gt;I48,IF(I48&lt;H48,I48+1,I48)-B_WalkTime,IF(I48&lt;H48,I48+1,I48))</f>
        <v>0</v>
      </c>
      <c r="K48" s="7"/>
      <c r="L48" s="7">
        <f>IF(K48&gt;0,K48+IF((J48-H48)&lt;Y48,Y48-(J48-H48),TIME(0,10,0))+IF((K48-J48)&gt;xNoWorkTime,0,xNoWorkTime-(K48-J48)),0)</f>
        <v>0</v>
      </c>
      <c r="M48" s="113">
        <f>IF(L48&lt;K48,L48+1,L48)</f>
        <v>0</v>
      </c>
      <c r="N48" s="113"/>
      <c r="O48" s="113">
        <f>IF(N48&gt;0,N48+IF((J48-H48+M48-K48)&lt;Y48,Y48-(J48-H48+M48-K48),TIME(0,10,0))+IF((K48-J48+N48-M48)&gt;xNoWorkTime,0,xNoWorkTime-(K48-J48+N48-M48)),0)</f>
        <v>0</v>
      </c>
      <c r="P48" s="113"/>
      <c r="Q48" s="113">
        <f>IF(O48&lt;N48,O48+1,O48)</f>
        <v>0</v>
      </c>
      <c r="R48" s="113">
        <f>J48-H48+M48-K48+Q48-N48</f>
        <v>0</v>
      </c>
      <c r="S48" s="113">
        <f>IF(K48&gt;0,K48-I48,0)+IF(N48&gt;0,N48-L48)</f>
        <v>0</v>
      </c>
      <c r="T48" s="113">
        <f>IF(H48&gt;0,(IF(R48&gt;B_Pause1Nach,B_Pause1Dauer+IF(BA48="Büro",B_WalkTime,0),IF(BA48="Büro",B_WalkTime,0))+IF(R48&gt;B_Pause2Nach,B_Pause2Dauer,0)),0)</f>
        <v>0</v>
      </c>
      <c r="U48" s="113">
        <f>IF(T48&gt;S48,T48-S48,0)</f>
        <v>0</v>
      </c>
      <c r="V48" s="146">
        <f>IF(F48="S",Z48,(IF((R48-U48)&gt;XWorkTimeMax,XWorkTimeMax,IF((R48-U48)&gt;0,R48-U48,0))))</f>
        <v>0</v>
      </c>
      <c r="W48" s="66"/>
      <c r="X48" s="115">
        <f>xNoWorkTime</f>
        <v>4.027777777777778E-2</v>
      </c>
      <c r="Y48" s="110">
        <f>IF(AND((AM48&lt;Feiertag),(G48&lt;&gt;85)),IF(OR(F48="B",F48="G",F48="S",H48&gt;0),H48-H48+Z48,0),0)</f>
        <v>0</v>
      </c>
      <c r="Z48" s="111">
        <f>IF(AND(AM48&gt;0,AM48&lt;Feiertag),INDEX(Arbeitszeit,AM48),"")</f>
        <v>0</v>
      </c>
      <c r="AA48" s="112">
        <f>V48-Y48</f>
        <v>0</v>
      </c>
      <c r="AB48" s="67" t="str">
        <f>IF((V48-Y48)&lt;0,"*","")</f>
        <v/>
      </c>
      <c r="AC48" s="193">
        <f>xOverTime</f>
        <v>0</v>
      </c>
      <c r="AD48" s="144" t="str">
        <f>IF((R48-U48)&gt;XWorkTimeMax,(R48-U48-XWorkTimeMax),"")</f>
        <v/>
      </c>
      <c r="AE48" s="225">
        <f>IF(AW48,(AE47+SUM(AA48)+(IF(AG48="+",AF48,-AF48))),)</f>
        <v>0</v>
      </c>
      <c r="AF48" s="110"/>
      <c r="AG48" s="627"/>
      <c r="AH48" s="110"/>
      <c r="AI48" s="110" t="str">
        <f>IF(AND(AF48&lt;&gt;"",AF48&lt;=V48),V48-AF48,"")</f>
        <v/>
      </c>
      <c r="AJ48" s="68">
        <f>IF(ISNUMBER(V48 ), IF( V48 &gt;= Y48, Y48, V48 ),"")</f>
        <v>0</v>
      </c>
      <c r="AK48" s="68">
        <f>IF( ISNUMBER( V48 ), IF( V48 &gt;= Y48, V48 - Y48, "" ), "" )</f>
        <v>0</v>
      </c>
      <c r="AL48" s="68" t="str">
        <f>IF( AND(ISNUMBER( V48 ),ISNUMBER( Y48 )), IF( V48 &gt;= Y48, "", Y48 - V48 ), "" )</f>
        <v/>
      </c>
      <c r="AM48">
        <f>IF(A48="",0,IF(ISERROR(VLOOKUP(A48,db_Feiertag,2,FALSE)),WEEKDAY(A48,2),Feiertag))</f>
        <v>7</v>
      </c>
      <c r="AN48" s="122">
        <f>SUM($AD$6:AD48)</f>
        <v>0</v>
      </c>
      <c r="AO48" s="122">
        <f ca="1">IF(D48=D47,AO47,OFFSET(AO48,-1,COLUMN(db_jSaldoGes)-COLUMN()))</f>
        <v>0</v>
      </c>
      <c r="AP48" s="126">
        <f>IF(OR($G48=-1,$G48=82),-1,IF(OR($G48=0,$G48=83),1,0))</f>
        <v>0</v>
      </c>
      <c r="AQ48" s="126">
        <f>IF($F48=Krank,1,IF($F48="J",-1,0))</f>
        <v>0</v>
      </c>
      <c r="AR48" s="126">
        <f>IF($F48=Urlaub,1,IF($F48="T",-1,0))</f>
        <v>0</v>
      </c>
      <c r="AS48" s="125">
        <f>IF(A48="","",AS47-IF(F48=Urlaub,1,0)+IF(AND(MONTH(A48)=1,DAY(A48)=1),B_UrlaubNeu,0))</f>
        <v>30</v>
      </c>
      <c r="AT48" s="125">
        <f ca="1">IF(A48="","",IF(D48=D47,AT47,OFFSET(AT48,-1,COLUMN(db_jUrlRest)-COLUMN()))+IF(AND(MONTH(A48)=1,DAY(A48)=1),B_UrlaubNeu,0))</f>
        <v>30</v>
      </c>
      <c r="AU48" s="135">
        <f>(IF(ISNUMBER(V48),V48,0)+IF(ISNUMBER(AD48),AD48,0))*24</f>
        <v>0</v>
      </c>
      <c r="AV48" s="125">
        <f>IF(ISNUMBER(AD48),K_ArbeitOverMax,IF(AND(ISNUMBER(AA48),AA48&gt;0),K_ArbeitOverTime,IF(AND(ISNUMBER(V48),V48&gt;0),K_ArbeitNormal,IF(F48=Krank,K_Krank,IF(F48=Urlaub,K_Urlaub,IF(AM48=Feiertag,K_Feiertag,IF(OR(AM48=6,AM48=7),K_Wochenende,0)))))))+IF(F48=Gleittag,K_Gleittag,0)</f>
        <v>7</v>
      </c>
      <c r="AW48" t="b">
        <f>OR((F48&gt;0),(NOT(ISBLANK(H48))),SUM(H48:H$373),SUM(G48:G$373))</f>
        <v>0</v>
      </c>
      <c r="AX48" t="b">
        <f ca="1">INDIRECT(ADDRESS(ROW(),COLUMN(xDay)))&gt;5</f>
        <v>1</v>
      </c>
      <c r="AY48" s="600">
        <f>IF(OR(R48&lt;&gt;0,F48&lt;&gt;0),AA48,IF(Z48="",0,-Z48))+(IF(AG48="+",AF48,-AF48))</f>
        <v>0</v>
      </c>
      <c r="AZ48" s="225">
        <f>SUM(AY$5:AY48)</f>
        <v>-8.4583333333333357</v>
      </c>
      <c r="BA48" s="643"/>
      <c r="BB48" s="658">
        <f>IF(ISNA(MATCH(BA48,B_Arbeitsort,0)),0,MATCH(BA48,B_Arbeitsort,0))</f>
        <v>0</v>
      </c>
      <c r="BC48" s="643"/>
    </row>
    <row r="49" spans="1:55" ht="15.75">
      <c r="A49" s="305">
        <f>IF(A48="","",IF((A48+1)&gt;=DATE(YEAR(xJahr)+1,MONTH(xJahr),DAY(xJahr)),"",A48+1))</f>
        <v>43508</v>
      </c>
      <c r="B49" s="306">
        <f>IF(A49="","",A49)</f>
        <v>43508</v>
      </c>
      <c r="C49" s="307">
        <f>IF(A49="","",NumberOfWeek(A49))</f>
        <v>7</v>
      </c>
      <c r="D49" s="308">
        <f>IF(A49="","",DATE(YEAR(A49),MONTH(A49),1))</f>
        <v>43496</v>
      </c>
      <c r="E49" s="318" t="str">
        <f>IF((R49-U49)&gt;XWorkTimeMax,$Z$4,IF(AV49=Feiertag,VLOOKUP(B49,db_Feiertag,2,FALSE),""))</f>
        <v/>
      </c>
      <c r="F49" s="5"/>
      <c r="G49" s="6" t="str">
        <f>IF(ISBLANK(F49),IF(ISBLANK(H49),"",0),CODE(UPPER(F49)))</f>
        <v/>
      </c>
      <c r="H49" s="7"/>
      <c r="I49" s="7">
        <f>IF(H49&gt;0,H49+Y49+X49+AC49,0)</f>
        <v>0</v>
      </c>
      <c r="J49" s="113">
        <f>IF(K49&gt;I49,IF(I49&lt;H49,I49+1,I49)-B_WalkTime,IF(I49&lt;H49,I49+1,I49))</f>
        <v>0</v>
      </c>
      <c r="K49" s="7"/>
      <c r="L49" s="7">
        <f>IF(K49&gt;0,K49+IF((J49-H49)&lt;Y49,Y49-(J49-H49),TIME(0,10,0))+IF((K49-J49)&gt;xNoWorkTime,0,xNoWorkTime-(K49-J49)),0)</f>
        <v>0</v>
      </c>
      <c r="M49" s="113">
        <f>IF(L49&lt;K49,L49+1,L49)</f>
        <v>0</v>
      </c>
      <c r="N49" s="113"/>
      <c r="O49" s="113">
        <f>IF(N49&gt;0,N49+IF((J49-H49+M49-K49)&lt;Y49,Y49-(J49-H49+M49-K49),TIME(0,10,0))+IF((K49-J49+N49-M49)&gt;xNoWorkTime,0,xNoWorkTime-(K49-J49+N49-M49)),0)</f>
        <v>0</v>
      </c>
      <c r="P49" s="113"/>
      <c r="Q49" s="113">
        <f>IF(O49&lt;N49,O49+1,O49)</f>
        <v>0</v>
      </c>
      <c r="R49" s="113">
        <f>J49-H49+M49-K49+Q49-N49</f>
        <v>0</v>
      </c>
      <c r="S49" s="113">
        <f>IF(K49&gt;0,K49-I49,0)+IF(N49&gt;0,N49-L49)</f>
        <v>0</v>
      </c>
      <c r="T49" s="113">
        <f>IF(H49&gt;0,(IF(R49&gt;B_Pause1Nach,B_Pause1Dauer+IF(BA49="Büro",B_WalkTime,0),IF(BA49="Büro",B_WalkTime,0))+IF(R49&gt;B_Pause2Nach,B_Pause2Dauer,0)),0)</f>
        <v>0</v>
      </c>
      <c r="U49" s="113">
        <f>IF(T49&gt;S49,T49-S49,0)</f>
        <v>0</v>
      </c>
      <c r="V49" s="146">
        <f>IF(F49="S",Z49,(IF((R49-U49)&gt;XWorkTimeMax,XWorkTimeMax,IF((R49-U49)&gt;0,R49-U49,0))))</f>
        <v>0</v>
      </c>
      <c r="W49" s="66"/>
      <c r="X49" s="115">
        <f>xNoWorkTime</f>
        <v>4.027777777777778E-2</v>
      </c>
      <c r="Y49" s="110">
        <f>IF(AND((AM49&lt;Feiertag),(G49&lt;&gt;85)),IF(OR(F49="B",F49="G",F49="S",H49&gt;0),H49-H49+Z49,0),0)</f>
        <v>0</v>
      </c>
      <c r="Z49" s="111">
        <f>IF(AND(AM49&gt;0,AM49&lt;Feiertag),INDEX(Arbeitszeit,AM49),"")</f>
        <v>0.29166666666666669</v>
      </c>
      <c r="AA49" s="112">
        <f>V49-Y49</f>
        <v>0</v>
      </c>
      <c r="AB49" s="67" t="str">
        <f>IF((V49-Y49)&lt;0,"*","")</f>
        <v/>
      </c>
      <c r="AC49" s="193">
        <f>xOverTime</f>
        <v>0</v>
      </c>
      <c r="AD49" s="144" t="str">
        <f>IF((R49-U49)&gt;XWorkTimeMax,(R49-U49-XWorkTimeMax),"")</f>
        <v/>
      </c>
      <c r="AE49" s="225">
        <f>IF(AW49,(AE48+SUM(AA49)+(IF(AG49="+",AF49,-AF49))),)</f>
        <v>0</v>
      </c>
      <c r="AF49" s="110"/>
      <c r="AG49" s="627"/>
      <c r="AH49" s="110"/>
      <c r="AI49" s="110" t="str">
        <f>IF(AND(AF49&lt;&gt;"",AF49&lt;=V49),V49-AF49,"")</f>
        <v/>
      </c>
      <c r="AJ49" s="68">
        <f>IF(ISNUMBER(V49 ), IF( V49 &gt;= Y49, Y49, V49 ),"")</f>
        <v>0</v>
      </c>
      <c r="AK49" s="68">
        <f>IF( ISNUMBER( V49 ), IF( V49 &gt;= Y49, V49 - Y49, "" ), "" )</f>
        <v>0</v>
      </c>
      <c r="AL49" s="68" t="str">
        <f>IF( AND(ISNUMBER( V49 ),ISNUMBER( Y49 )), IF( V49 &gt;= Y49, "", Y49 - V49 ), "" )</f>
        <v/>
      </c>
      <c r="AM49">
        <f>IF(A49="",0,IF(ISERROR(VLOOKUP(A49,db_Feiertag,2,FALSE)),WEEKDAY(A49,2),Feiertag))</f>
        <v>1</v>
      </c>
      <c r="AN49" s="122">
        <f>SUM($AD$6:AD49)</f>
        <v>0</v>
      </c>
      <c r="AO49" s="122">
        <f ca="1">IF(D49=D48,AO48,OFFSET(AO49,-1,COLUMN(db_jSaldoGes)-COLUMN()))</f>
        <v>0</v>
      </c>
      <c r="AP49" s="126">
        <f>IF(OR($G49=-1,$G49=82),-1,IF(OR($G49=0,$G49=83),1,0))</f>
        <v>0</v>
      </c>
      <c r="AQ49" s="126">
        <f>IF($F49=Krank,1,IF($F49="J",-1,0))</f>
        <v>0</v>
      </c>
      <c r="AR49" s="126">
        <f>IF($F49=Urlaub,1,IF($F49="T",-1,0))</f>
        <v>0</v>
      </c>
      <c r="AS49" s="125">
        <f>IF(A49="","",AS48-IF(F49=Urlaub,1,0)+IF(AND(MONTH(A49)=1,DAY(A49)=1),B_UrlaubNeu,0))</f>
        <v>30</v>
      </c>
      <c r="AT49" s="125">
        <f ca="1">IF(A49="","",IF(D49=D48,AT48,OFFSET(AT49,-1,COLUMN(db_jUrlRest)-COLUMN()))+IF(AND(MONTH(A49)=1,DAY(A49)=1),B_UrlaubNeu,0))</f>
        <v>30</v>
      </c>
      <c r="AU49" s="135">
        <f>(IF(ISNUMBER(V49),V49,0)+IF(ISNUMBER(AD49),AD49,0))*24</f>
        <v>0</v>
      </c>
      <c r="AV49" s="125">
        <f>IF(ISNUMBER(AD49),K_ArbeitOverMax,IF(AND(ISNUMBER(AA49),AA49&gt;0),K_ArbeitOverTime,IF(AND(ISNUMBER(V49),V49&gt;0),K_ArbeitNormal,IF(F49=Krank,K_Krank,IF(F49=Urlaub,K_Urlaub,IF(AM49=Feiertag,K_Feiertag,IF(OR(AM49=6,AM49=7),K_Wochenende,0)))))))+IF(F49=Gleittag,K_Gleittag,0)</f>
        <v>0</v>
      </c>
      <c r="AW49" t="b">
        <f>OR((F49&gt;0),(NOT(ISBLANK(H49))),SUM(H49:H$373),SUM(G49:G$373))</f>
        <v>0</v>
      </c>
      <c r="AX49" t="b">
        <f ca="1">INDIRECT(ADDRESS(ROW(),COLUMN(xDay)))&gt;5</f>
        <v>0</v>
      </c>
      <c r="AY49" s="600">
        <f>IF(OR(R49&lt;&gt;0,F49&lt;&gt;0),AA49,IF(Z49="",0,-Z49))+(IF(AG49="+",AF49,-AF49))</f>
        <v>-0.29166666666666669</v>
      </c>
      <c r="AZ49" s="225">
        <f>SUM(AY$5:AY49)</f>
        <v>-8.7500000000000018</v>
      </c>
      <c r="BA49" s="658"/>
      <c r="BB49" s="658">
        <f>IF(ISNA(MATCH(BA49,B_Arbeitsort,0)),0,MATCH(BA49,B_Arbeitsort,0))</f>
        <v>0</v>
      </c>
      <c r="BC49" s="658"/>
    </row>
    <row r="50" spans="1:55" ht="15.75">
      <c r="A50" s="305">
        <f>IF(A49="","",IF((A49+1)&gt;=DATE(YEAR(xJahr)+1,MONTH(xJahr),DAY(xJahr)),"",A49+1))</f>
        <v>43509</v>
      </c>
      <c r="B50" s="306">
        <f>IF(A50="","",A50)</f>
        <v>43509</v>
      </c>
      <c r="C50" s="307">
        <f>IF(A50="","",NumberOfWeek(A50))</f>
        <v>7</v>
      </c>
      <c r="D50" s="308">
        <f>IF(A50="","",DATE(YEAR(A50),MONTH(A50),1))</f>
        <v>43496</v>
      </c>
      <c r="E50" s="318" t="str">
        <f>IF((R50-U50)&gt;XWorkTimeMax,$Z$4,IF(AV50=Feiertag,VLOOKUP(B50,db_Feiertag,2,FALSE),""))</f>
        <v/>
      </c>
      <c r="F50" s="5"/>
      <c r="G50" s="6" t="str">
        <f>IF(ISBLANK(F50),IF(ISBLANK(H50),"",0),CODE(UPPER(F50)))</f>
        <v/>
      </c>
      <c r="H50" s="7"/>
      <c r="I50" s="7">
        <f>IF(H50&gt;0,H50+Y50+X50+AC50,0)</f>
        <v>0</v>
      </c>
      <c r="J50" s="113">
        <f>IF(K50&gt;I50,IF(I50&lt;H50,I50+1,I50)-B_WalkTime,IF(I50&lt;H50,I50+1,I50))</f>
        <v>0</v>
      </c>
      <c r="K50" s="7"/>
      <c r="L50" s="7">
        <f>IF(K50&gt;0,K50+IF((J50-H50)&lt;Y50,Y50-(J50-H50),TIME(0,10,0))+IF((K50-J50)&gt;xNoWorkTime,0,xNoWorkTime-(K50-J50)),0)</f>
        <v>0</v>
      </c>
      <c r="M50" s="113">
        <f>IF(L50&lt;K50,L50+1,L50)</f>
        <v>0</v>
      </c>
      <c r="N50" s="113"/>
      <c r="O50" s="113">
        <f>IF(N50&gt;0,N50+IF((J50-H50+M50-K50)&lt;Y50,Y50-(J50-H50+M50-K50),TIME(0,10,0))+IF((K50-J50+N50-M50)&gt;xNoWorkTime,0,xNoWorkTime-(K50-J50+N50-M50)),0)</f>
        <v>0</v>
      </c>
      <c r="P50" s="113"/>
      <c r="Q50" s="113">
        <f>IF(O50&lt;N50,O50+1,O50)</f>
        <v>0</v>
      </c>
      <c r="R50" s="113">
        <f>J50-H50+M50-K50+Q50-N50</f>
        <v>0</v>
      </c>
      <c r="S50" s="113">
        <f>IF(K50&gt;0,K50-I50,0)+IF(N50&gt;0,N50-L50)</f>
        <v>0</v>
      </c>
      <c r="T50" s="113">
        <f>IF(H50&gt;0,(IF(R50&gt;B_Pause1Nach,B_Pause1Dauer+IF(BA50="Büro",B_WalkTime,0),IF(BA50="Büro",B_WalkTime,0))+IF(R50&gt;B_Pause2Nach,B_Pause2Dauer,0)),0)</f>
        <v>0</v>
      </c>
      <c r="U50" s="113">
        <f>IF(T50&gt;S50,T50-S50,0)</f>
        <v>0</v>
      </c>
      <c r="V50" s="146">
        <f>IF(F50="S",Z50,(IF((R50-U50)&gt;XWorkTimeMax,XWorkTimeMax,IF((R50-U50)&gt;0,R50-U50,0))))</f>
        <v>0</v>
      </c>
      <c r="W50" s="66"/>
      <c r="X50" s="115">
        <f>xNoWorkTime</f>
        <v>4.027777777777778E-2</v>
      </c>
      <c r="Y50" s="110">
        <f>IF(AND((AM50&lt;Feiertag),(G50&lt;&gt;85)),IF(OR(F50="B",F50="G",F50="S",H50&gt;0),H50-H50+Z50,0),0)</f>
        <v>0</v>
      </c>
      <c r="Z50" s="111">
        <f>IF(AND(AM50&gt;0,AM50&lt;Feiertag),INDEX(Arbeitszeit,AM50),"")</f>
        <v>0.29166666666666669</v>
      </c>
      <c r="AA50" s="112">
        <f>V50-Y50</f>
        <v>0</v>
      </c>
      <c r="AB50" s="67" t="str">
        <f>IF((V50-Y50)&lt;0,"*","")</f>
        <v/>
      </c>
      <c r="AC50" s="193">
        <f>xOverTime</f>
        <v>0</v>
      </c>
      <c r="AD50" s="144" t="str">
        <f>IF((R50-U50)&gt;XWorkTimeMax,(R50-U50-XWorkTimeMax),"")</f>
        <v/>
      </c>
      <c r="AE50" s="225">
        <f>IF(AW50,(AE49+SUM(AA50)+(IF(AG50="+",AF50,-AF50))),)</f>
        <v>0</v>
      </c>
      <c r="AF50" s="110"/>
      <c r="AG50" s="627"/>
      <c r="AH50" s="110"/>
      <c r="AI50" s="110" t="str">
        <f>IF(AND(AF50&lt;&gt;"",AF50&lt;=V50),V50-AF50,"")</f>
        <v/>
      </c>
      <c r="AJ50" s="68">
        <f>IF(ISNUMBER(V50 ), IF( V50 &gt;= Y50, Y50, V50 ),"")</f>
        <v>0</v>
      </c>
      <c r="AK50" s="68">
        <f>IF( ISNUMBER( V50 ), IF( V50 &gt;= Y50, V50 - Y50, "" ), "" )</f>
        <v>0</v>
      </c>
      <c r="AL50" s="68" t="str">
        <f>IF( AND(ISNUMBER( V50 ),ISNUMBER( Y50 )), IF( V50 &gt;= Y50, "", Y50 - V50 ), "" )</f>
        <v/>
      </c>
      <c r="AM50">
        <f>IF(A50="",0,IF(ISERROR(VLOOKUP(A50,db_Feiertag,2,FALSE)),WEEKDAY(A50,2),Feiertag))</f>
        <v>2</v>
      </c>
      <c r="AN50" s="122">
        <f>SUM($AD$6:AD50)</f>
        <v>0</v>
      </c>
      <c r="AO50" s="122">
        <f ca="1">IF(D50=D49,AO49,OFFSET(AO50,-1,COLUMN(db_jSaldoGes)-COLUMN()))</f>
        <v>0</v>
      </c>
      <c r="AP50" s="126">
        <f>IF(OR($G50=-1,$G50=82),-1,IF(OR($G50=0,$G50=83),1,0))</f>
        <v>0</v>
      </c>
      <c r="AQ50" s="126">
        <f>IF($F50=Krank,1,IF($F50="J",-1,0))</f>
        <v>0</v>
      </c>
      <c r="AR50" s="126">
        <f>IF($F50=Urlaub,1,IF($F50="T",-1,0))</f>
        <v>0</v>
      </c>
      <c r="AS50" s="125">
        <f>IF(A50="","",AS49-IF(F50=Urlaub,1,0)+IF(AND(MONTH(A50)=1,DAY(A50)=1),B_UrlaubNeu,0))</f>
        <v>30</v>
      </c>
      <c r="AT50" s="125">
        <f ca="1">IF(A50="","",IF(D50=D49,AT49,OFFSET(AT50,-1,COLUMN(db_jUrlRest)-COLUMN()))+IF(AND(MONTH(A50)=1,DAY(A50)=1),B_UrlaubNeu,0))</f>
        <v>30</v>
      </c>
      <c r="AU50" s="135">
        <f>(IF(ISNUMBER(V50),V50,0)+IF(ISNUMBER(AD50),AD50,0))*24</f>
        <v>0</v>
      </c>
      <c r="AV50" s="125">
        <f>IF(ISNUMBER(AD50),K_ArbeitOverMax,IF(AND(ISNUMBER(AA50),AA50&gt;0),K_ArbeitOverTime,IF(AND(ISNUMBER(V50),V50&gt;0),K_ArbeitNormal,IF(F50=Krank,K_Krank,IF(F50=Urlaub,K_Urlaub,IF(AM50=Feiertag,K_Feiertag,IF(OR(AM50=6,AM50=7),K_Wochenende,0)))))))+IF(F50=Gleittag,K_Gleittag,0)</f>
        <v>0</v>
      </c>
      <c r="AW50" t="b">
        <f>OR((F50&gt;0),(NOT(ISBLANK(H50))),SUM(H50:H$373),SUM(G50:G$373))</f>
        <v>0</v>
      </c>
      <c r="AX50" t="b">
        <f ca="1">INDIRECT(ADDRESS(ROW(),COLUMN(xDay)))&gt;5</f>
        <v>0</v>
      </c>
      <c r="AY50" s="600">
        <f>IF(OR(R50&lt;&gt;0,F50&lt;&gt;0),AA50,IF(Z50="",0,-Z50))+(IF(AG50="+",AF50,-AF50))</f>
        <v>-0.29166666666666669</v>
      </c>
      <c r="AZ50" s="225">
        <f>SUM(AY$5:AY50)</f>
        <v>-9.0416666666666679</v>
      </c>
      <c r="BA50" s="658"/>
      <c r="BB50" s="658">
        <f>IF(ISNA(MATCH(BA50,B_Arbeitsort,0)),0,MATCH(BA50,B_Arbeitsort,0))</f>
        <v>0</v>
      </c>
      <c r="BC50" s="658"/>
    </row>
    <row r="51" spans="1:55" ht="15.75">
      <c r="A51" s="305">
        <f>IF(A50="","",IF((A50+1)&gt;=DATE(YEAR(xJahr)+1,MONTH(xJahr),DAY(xJahr)),"",A50+1))</f>
        <v>43510</v>
      </c>
      <c r="B51" s="306">
        <f>IF(A51="","",A51)</f>
        <v>43510</v>
      </c>
      <c r="C51" s="307">
        <f>IF(A51="","",NumberOfWeek(A51))</f>
        <v>7</v>
      </c>
      <c r="D51" s="308">
        <f>IF(A51="","",DATE(YEAR(A51),MONTH(A51),1))</f>
        <v>43496</v>
      </c>
      <c r="E51" s="318" t="str">
        <f>IF((R51-U51)&gt;XWorkTimeMax,$Z$4,IF(AV51=Feiertag,VLOOKUP(B51,db_Feiertag,2,FALSE),""))</f>
        <v/>
      </c>
      <c r="F51" s="5"/>
      <c r="G51" s="6" t="str">
        <f>IF(ISBLANK(F51),IF(ISBLANK(H51),"",0),CODE(UPPER(F51)))</f>
        <v/>
      </c>
      <c r="H51" s="7"/>
      <c r="I51" s="7">
        <f>IF(H51&gt;0,H51+Y51+X51+AC51,0)</f>
        <v>0</v>
      </c>
      <c r="J51" s="113">
        <f>IF(K51&gt;I51,IF(I51&lt;H51,I51+1,I51)-B_WalkTime,IF(I51&lt;H51,I51+1,I51))</f>
        <v>0</v>
      </c>
      <c r="K51" s="7"/>
      <c r="L51" s="7">
        <f>IF(K51&gt;0,K51+IF((J51-H51)&lt;Y51,Y51-(J51-H51),TIME(0,10,0))+IF((K51-J51)&gt;xNoWorkTime,0,xNoWorkTime-(K51-J51)),0)</f>
        <v>0</v>
      </c>
      <c r="M51" s="113">
        <f>IF(L51&lt;K51,L51+1,L51)</f>
        <v>0</v>
      </c>
      <c r="N51" s="113"/>
      <c r="O51" s="113">
        <f>IF(N51&gt;0,N51+IF((J51-H51+M51-K51)&lt;Y51,Y51-(J51-H51+M51-K51),TIME(0,10,0))+IF((K51-J51+N51-M51)&gt;xNoWorkTime,0,xNoWorkTime-(K51-J51+N51-M51)),0)</f>
        <v>0</v>
      </c>
      <c r="P51" s="113"/>
      <c r="Q51" s="113">
        <f>IF(O51&lt;N51,O51+1,O51)</f>
        <v>0</v>
      </c>
      <c r="R51" s="113">
        <f>J51-H51+M51-K51+Q51-N51</f>
        <v>0</v>
      </c>
      <c r="S51" s="113">
        <f>IF(K51&gt;0,K51-I51,0)+IF(N51&gt;0,N51-L51)</f>
        <v>0</v>
      </c>
      <c r="T51" s="113">
        <f>IF(H51&gt;0,(IF(R51&gt;B_Pause1Nach,B_Pause1Dauer+IF(BA51="Büro",B_WalkTime,0),IF(BA51="Büro",B_WalkTime,0))+IF(R51&gt;B_Pause2Nach,B_Pause2Dauer,0)),0)</f>
        <v>0</v>
      </c>
      <c r="U51" s="113">
        <f>IF(T51&gt;S51,T51-S51,0)</f>
        <v>0</v>
      </c>
      <c r="V51" s="146">
        <f>IF(F51="S",Z51,(IF((R51-U51)&gt;XWorkTimeMax,XWorkTimeMax,IF((R51-U51)&gt;0,R51-U51,0))))</f>
        <v>0</v>
      </c>
      <c r="W51" s="66"/>
      <c r="X51" s="115">
        <f>xNoWorkTime</f>
        <v>4.027777777777778E-2</v>
      </c>
      <c r="Y51" s="110">
        <f>IF(AND((AM51&lt;Feiertag),(G51&lt;&gt;85)),IF(OR(F51="B",F51="G",F51="S",H51&gt;0),H51-H51+Z51,0),0)</f>
        <v>0</v>
      </c>
      <c r="Z51" s="111">
        <f>IF(AND(AM51&gt;0,AM51&lt;Feiertag),INDEX(Arbeitszeit,AM51),"")</f>
        <v>0.29166666666666669</v>
      </c>
      <c r="AA51" s="112">
        <f>V51-Y51</f>
        <v>0</v>
      </c>
      <c r="AB51" s="67" t="str">
        <f>IF((V51-Y51)&lt;0,"*","")</f>
        <v/>
      </c>
      <c r="AC51" s="193">
        <f>xOverTime</f>
        <v>0</v>
      </c>
      <c r="AD51" s="144" t="str">
        <f>IF((R51-U51)&gt;XWorkTimeMax,(R51-U51-XWorkTimeMax),"")</f>
        <v/>
      </c>
      <c r="AE51" s="225">
        <f>IF(AW51,(AE50+SUM(AA51)+(IF(AG51="+",AF51,-AF51))),)</f>
        <v>0</v>
      </c>
      <c r="AF51" s="110"/>
      <c r="AG51" s="627"/>
      <c r="AH51" s="110"/>
      <c r="AI51" s="110" t="str">
        <f>IF(AND(AF51&lt;&gt;"",AF51&lt;=V51),V51-AF51,"")</f>
        <v/>
      </c>
      <c r="AJ51" s="68">
        <f>IF(ISNUMBER(V51 ), IF( V51 &gt;= Y51, Y51, V51 ),"")</f>
        <v>0</v>
      </c>
      <c r="AK51" s="68">
        <f>IF( ISNUMBER( V51 ), IF( V51 &gt;= Y51, V51 - Y51, "" ), "" )</f>
        <v>0</v>
      </c>
      <c r="AL51" s="68" t="str">
        <f>IF( AND(ISNUMBER( V51 ),ISNUMBER( Y51 )), IF( V51 &gt;= Y51, "", Y51 - V51 ), "" )</f>
        <v/>
      </c>
      <c r="AM51">
        <f>IF(A51="",0,IF(ISERROR(VLOOKUP(A51,db_Feiertag,2,FALSE)),WEEKDAY(A51,2),Feiertag))</f>
        <v>3</v>
      </c>
      <c r="AN51" s="122">
        <f>SUM($AD$6:AD51)</f>
        <v>0</v>
      </c>
      <c r="AO51" s="122">
        <f ca="1">IF(D51=D50,AO50,OFFSET(AO51,-1,COLUMN(db_jSaldoGes)-COLUMN()))</f>
        <v>0</v>
      </c>
      <c r="AP51" s="126">
        <f>IF(OR($G51=-1,$G51=82),-1,IF(OR($G51=0,$G51=83),1,0))</f>
        <v>0</v>
      </c>
      <c r="AQ51" s="126">
        <f>IF($F51=Krank,1,IF($F51="J",-1,0))</f>
        <v>0</v>
      </c>
      <c r="AR51" s="126">
        <f>IF($F51=Urlaub,1,IF($F51="T",-1,0))</f>
        <v>0</v>
      </c>
      <c r="AS51" s="125">
        <f>IF(A51="","",AS50-IF(F51=Urlaub,1,0)+IF(AND(MONTH(A51)=1,DAY(A51)=1),B_UrlaubNeu,0))</f>
        <v>30</v>
      </c>
      <c r="AT51" s="125">
        <f ca="1">IF(A51="","",IF(D51=D50,AT50,OFFSET(AT51,-1,COLUMN(db_jUrlRest)-COLUMN()))+IF(AND(MONTH(A51)=1,DAY(A51)=1),B_UrlaubNeu,0))</f>
        <v>30</v>
      </c>
      <c r="AU51" s="135">
        <f>(IF(ISNUMBER(V51),V51,0)+IF(ISNUMBER(AD51),AD51,0))*24</f>
        <v>0</v>
      </c>
      <c r="AV51" s="125">
        <f>IF(ISNUMBER(AD51),K_ArbeitOverMax,IF(AND(ISNUMBER(AA51),AA51&gt;0),K_ArbeitOverTime,IF(AND(ISNUMBER(V51),V51&gt;0),K_ArbeitNormal,IF(F51=Krank,K_Krank,IF(F51=Urlaub,K_Urlaub,IF(AM51=Feiertag,K_Feiertag,IF(OR(AM51=6,AM51=7),K_Wochenende,0)))))))+IF(F51=Gleittag,K_Gleittag,0)</f>
        <v>0</v>
      </c>
      <c r="AW51" t="b">
        <f>OR((F51&gt;0),(NOT(ISBLANK(H51))),SUM(H51:H$373),SUM(G51:G$373))</f>
        <v>0</v>
      </c>
      <c r="AX51" t="b">
        <f ca="1">INDIRECT(ADDRESS(ROW(),COLUMN(xDay)))&gt;5</f>
        <v>0</v>
      </c>
      <c r="AY51" s="600">
        <f>IF(OR(R51&lt;&gt;0,F51&lt;&gt;0),AA51,IF(Z51="",0,-Z51))+(IF(AG51="+",AF51,-AF51))</f>
        <v>-0.29166666666666669</v>
      </c>
      <c r="AZ51" s="225">
        <f>SUM(AY$5:AY51)</f>
        <v>-9.3333333333333339</v>
      </c>
      <c r="BA51" s="658"/>
      <c r="BB51" s="658">
        <f>IF(ISNA(MATCH(BA51,B_Arbeitsort,0)),0,MATCH(BA51,B_Arbeitsort,0))</f>
        <v>0</v>
      </c>
      <c r="BC51" s="658"/>
    </row>
    <row r="52" spans="1:55" ht="15.75">
      <c r="A52" s="305">
        <f>IF(A51="","",IF((A51+1)&gt;=DATE(YEAR(xJahr)+1,MONTH(xJahr),DAY(xJahr)),"",A51+1))</f>
        <v>43511</v>
      </c>
      <c r="B52" s="306">
        <f>IF(A52="","",A52)</f>
        <v>43511</v>
      </c>
      <c r="C52" s="307">
        <f>IF(A52="","",NumberOfWeek(A52))</f>
        <v>7</v>
      </c>
      <c r="D52" s="308">
        <f>IF(A52="","",DATE(YEAR(A52),MONTH(A52),1))</f>
        <v>43496</v>
      </c>
      <c r="E52" s="318" t="str">
        <f>IF((R52-U52)&gt;XWorkTimeMax,$Z$4,IF(AV52=Feiertag,VLOOKUP(B52,db_Feiertag,2,FALSE),""))</f>
        <v/>
      </c>
      <c r="F52" s="5"/>
      <c r="G52" s="6" t="str">
        <f>IF(ISBLANK(F52),IF(ISBLANK(H52),"",0),CODE(UPPER(F52)))</f>
        <v/>
      </c>
      <c r="H52" s="7"/>
      <c r="I52" s="7">
        <f>IF(H52&gt;0,H52+Y52+X52+AC52,0)</f>
        <v>0</v>
      </c>
      <c r="J52" s="113">
        <f>IF(K52&gt;I52,IF(I52&lt;H52,I52+1,I52)-B_WalkTime,IF(I52&lt;H52,I52+1,I52))</f>
        <v>0</v>
      </c>
      <c r="K52" s="7"/>
      <c r="L52" s="7">
        <f>IF(K52&gt;0,K52+IF((J52-H52)&lt;Y52,Y52-(J52-H52),TIME(0,10,0))+IF((K52-J52)&gt;xNoWorkTime,0,xNoWorkTime-(K52-J52)),0)</f>
        <v>0</v>
      </c>
      <c r="M52" s="113">
        <f>IF(L52&lt;K52,L52+1,L52)</f>
        <v>0</v>
      </c>
      <c r="N52" s="113"/>
      <c r="O52" s="113">
        <f>IF(N52&gt;0,N52+IF((J52-H52+M52-K52)&lt;Y52,Y52-(J52-H52+M52-K52),TIME(0,10,0))+IF((K52-J52+N52-M52)&gt;xNoWorkTime,0,xNoWorkTime-(K52-J52+N52-M52)),0)</f>
        <v>0</v>
      </c>
      <c r="P52" s="113"/>
      <c r="Q52" s="113">
        <f>IF(O52&lt;N52,O52+1,O52)</f>
        <v>0</v>
      </c>
      <c r="R52" s="113">
        <f>J52-H52+M52-K52+Q52-N52</f>
        <v>0</v>
      </c>
      <c r="S52" s="113">
        <f>IF(K52&gt;0,K52-I52,0)+IF(N52&gt;0,N52-L52)</f>
        <v>0</v>
      </c>
      <c r="T52" s="113">
        <f>IF(H52&gt;0,(IF(R52&gt;B_Pause1Nach,B_Pause1Dauer+IF(BA52="Büro",B_WalkTime,0),IF(BA52="Büro",B_WalkTime,0))+IF(R52&gt;B_Pause2Nach,B_Pause2Dauer,0)),0)</f>
        <v>0</v>
      </c>
      <c r="U52" s="113">
        <f>IF(T52&gt;S52,T52-S52,0)</f>
        <v>0</v>
      </c>
      <c r="V52" s="146">
        <f>IF(F52="S",Z52,(IF((R52-U52)&gt;XWorkTimeMax,XWorkTimeMax,IF((R52-U52)&gt;0,R52-U52,0))))</f>
        <v>0</v>
      </c>
      <c r="W52" s="66"/>
      <c r="X52" s="115">
        <f>xNoWorkTime</f>
        <v>4.027777777777778E-2</v>
      </c>
      <c r="Y52" s="110">
        <f>IF(AND((AM52&lt;Feiertag),(G52&lt;&gt;85)),IF(OR(F52="B",F52="G",F52="S",H52&gt;0),H52-H52+Z52,0),0)</f>
        <v>0</v>
      </c>
      <c r="Z52" s="111">
        <f>IF(AND(AM52&gt;0,AM52&lt;Feiertag),INDEX(Arbeitszeit,AM52),"")</f>
        <v>0.29166666666666669</v>
      </c>
      <c r="AA52" s="112">
        <f>V52-Y52</f>
        <v>0</v>
      </c>
      <c r="AB52" s="67" t="str">
        <f>IF((V52-Y52)&lt;0,"*","")</f>
        <v/>
      </c>
      <c r="AC52" s="193">
        <f>xOverTime</f>
        <v>0</v>
      </c>
      <c r="AD52" s="144" t="str">
        <f>IF((R52-U52)&gt;XWorkTimeMax,(R52-U52-XWorkTimeMax),"")</f>
        <v/>
      </c>
      <c r="AE52" s="225">
        <f>IF(AW52,(AE51+SUM(AA52)+(IF(AG52="+",AF52,-AF52))),)</f>
        <v>0</v>
      </c>
      <c r="AF52" s="110"/>
      <c r="AG52" s="627"/>
      <c r="AH52" s="110"/>
      <c r="AI52" s="110" t="str">
        <f>IF(AND(AF52&lt;&gt;"",AF52&lt;=V52),V52-AF52,"")</f>
        <v/>
      </c>
      <c r="AJ52" s="68">
        <f>IF(ISNUMBER(V52 ), IF( V52 &gt;= Y52, Y52, V52 ),"")</f>
        <v>0</v>
      </c>
      <c r="AK52" s="68">
        <f>IF( ISNUMBER( V52 ), IF( V52 &gt;= Y52, V52 - Y52, "" ), "" )</f>
        <v>0</v>
      </c>
      <c r="AL52" s="68" t="str">
        <f>IF( AND(ISNUMBER( V52 ),ISNUMBER( Y52 )), IF( V52 &gt;= Y52, "", Y52 - V52 ), "" )</f>
        <v/>
      </c>
      <c r="AM52">
        <f>IF(A52="",0,IF(ISERROR(VLOOKUP(A52,db_Feiertag,2,FALSE)),WEEKDAY(A52,2),Feiertag))</f>
        <v>4</v>
      </c>
      <c r="AN52" s="122">
        <f>SUM($AD$6:AD52)</f>
        <v>0</v>
      </c>
      <c r="AO52" s="122">
        <f ca="1">IF(D52=D51,AO51,OFFSET(AO52,-1,COLUMN(db_jSaldoGes)-COLUMN()))</f>
        <v>0</v>
      </c>
      <c r="AP52" s="126">
        <f>IF(OR($G52=-1,$G52=82),-1,IF(OR($G52=0,$G52=83),1,0))</f>
        <v>0</v>
      </c>
      <c r="AQ52" s="126">
        <f>IF($F52=Krank,1,IF($F52="J",-1,0))</f>
        <v>0</v>
      </c>
      <c r="AR52" s="126">
        <f>IF($F52=Urlaub,1,IF($F52="T",-1,0))</f>
        <v>0</v>
      </c>
      <c r="AS52" s="125">
        <f>IF(A52="","",AS51-IF(F52=Urlaub,1,0)+IF(AND(MONTH(A52)=1,DAY(A52)=1),B_UrlaubNeu,0))</f>
        <v>30</v>
      </c>
      <c r="AT52" s="125">
        <f ca="1">IF(A52="","",IF(D52=D51,AT51,OFFSET(AT52,-1,COLUMN(db_jUrlRest)-COLUMN()))+IF(AND(MONTH(A52)=1,DAY(A52)=1),B_UrlaubNeu,0))</f>
        <v>30</v>
      </c>
      <c r="AU52" s="135">
        <f>(IF(ISNUMBER(V52),V52,0)+IF(ISNUMBER(AD52),AD52,0))*24</f>
        <v>0</v>
      </c>
      <c r="AV52" s="125">
        <f>IF(ISNUMBER(AD52),K_ArbeitOverMax,IF(AND(ISNUMBER(AA52),AA52&gt;0),K_ArbeitOverTime,IF(AND(ISNUMBER(V52),V52&gt;0),K_ArbeitNormal,IF(F52=Krank,K_Krank,IF(F52=Urlaub,K_Urlaub,IF(AM52=Feiertag,K_Feiertag,IF(OR(AM52=6,AM52=7),K_Wochenende,0)))))))+IF(F52=Gleittag,K_Gleittag,0)</f>
        <v>0</v>
      </c>
      <c r="AW52" t="b">
        <f>OR((F52&gt;0),(NOT(ISBLANK(H52))),SUM(H52:H$373),SUM(G52:G$373))</f>
        <v>0</v>
      </c>
      <c r="AX52" t="b">
        <f ca="1">INDIRECT(ADDRESS(ROW(),COLUMN(xDay)))&gt;5</f>
        <v>0</v>
      </c>
      <c r="AY52" s="600">
        <f>IF(OR(R52&lt;&gt;0,F52&lt;&gt;0),AA52,IF(Z52="",0,-Z52))+(IF(AG52="+",AF52,-AF52))</f>
        <v>-0.29166666666666669</v>
      </c>
      <c r="AZ52" s="225">
        <f>SUM(AY$5:AY52)</f>
        <v>-9.625</v>
      </c>
      <c r="BA52" s="658"/>
      <c r="BB52" s="658">
        <f>IF(ISNA(MATCH(BA52,B_Arbeitsort,0)),0,MATCH(BA52,B_Arbeitsort,0))</f>
        <v>0</v>
      </c>
      <c r="BC52" s="658"/>
    </row>
    <row r="53" spans="1:55" ht="15.75">
      <c r="A53" s="305">
        <f>IF(A52="","",IF((A52+1)&gt;=DATE(YEAR(xJahr)+1,MONTH(xJahr),DAY(xJahr)),"",A52+1))</f>
        <v>43512</v>
      </c>
      <c r="B53" s="306">
        <f>IF(A53="","",A53)</f>
        <v>43512</v>
      </c>
      <c r="C53" s="307">
        <f>IF(A53="","",NumberOfWeek(A53))</f>
        <v>7</v>
      </c>
      <c r="D53" s="308">
        <f>IF(A53="","",DATE(YEAR(A53),MONTH(A53),1))</f>
        <v>43496</v>
      </c>
      <c r="E53" s="318" t="str">
        <f>IF((R53-U53)&gt;XWorkTimeMax,$Z$4,IF(AV53=Feiertag,VLOOKUP(B53,db_Feiertag,2,FALSE),""))</f>
        <v/>
      </c>
      <c r="F53" s="5"/>
      <c r="G53" s="6" t="str">
        <f>IF(ISBLANK(F53),IF(ISBLANK(H53),"",0),CODE(UPPER(F53)))</f>
        <v/>
      </c>
      <c r="H53" s="7"/>
      <c r="I53" s="7">
        <f>IF(H53&gt;0,H53+Y53+X53+AC53,0)</f>
        <v>0</v>
      </c>
      <c r="J53" s="113">
        <f>IF(K53&gt;I53,IF(I53&lt;H53,I53+1,I53)-B_WalkTime,IF(I53&lt;H53,I53+1,I53))</f>
        <v>0</v>
      </c>
      <c r="K53" s="7"/>
      <c r="L53" s="7">
        <f>IF(K53&gt;0,K53+IF((J53-H53)&lt;Y53,Y53-(J53-H53),TIME(0,10,0))+IF((K53-J53)&gt;xNoWorkTime,0,xNoWorkTime-(K53-J53)),0)</f>
        <v>0</v>
      </c>
      <c r="M53" s="113">
        <f>IF(L53&lt;K53,L53+1,L53)</f>
        <v>0</v>
      </c>
      <c r="N53" s="113"/>
      <c r="O53" s="113">
        <f>IF(N53&gt;0,N53+IF((J53-H53+M53-K53)&lt;Y53,Y53-(J53-H53+M53-K53),TIME(0,10,0))+IF((K53-J53+N53-M53)&gt;xNoWorkTime,0,xNoWorkTime-(K53-J53+N53-M53)),0)</f>
        <v>0</v>
      </c>
      <c r="P53" s="113"/>
      <c r="Q53" s="113">
        <f>IF(O53&lt;N53,O53+1,O53)</f>
        <v>0</v>
      </c>
      <c r="R53" s="113">
        <f>J53-H53+M53-K53+Q53-N53</f>
        <v>0</v>
      </c>
      <c r="S53" s="113">
        <f>IF(K53&gt;0,K53-I53,0)+IF(N53&gt;0,N53-L53)</f>
        <v>0</v>
      </c>
      <c r="T53" s="113">
        <f>IF(H53&gt;0,(IF(R53&gt;B_Pause1Nach,B_Pause1Dauer+IF(BA53="Büro",B_WalkTime,0),IF(BA53="Büro",B_WalkTime,0))+IF(R53&gt;B_Pause2Nach,B_Pause2Dauer,0)),0)</f>
        <v>0</v>
      </c>
      <c r="U53" s="113">
        <f>IF(T53&gt;S53,T53-S53,0)</f>
        <v>0</v>
      </c>
      <c r="V53" s="146">
        <f>IF(F53="S",Z53,(IF((R53-U53)&gt;XWorkTimeMax,XWorkTimeMax,IF((R53-U53)&gt;0,R53-U53,0))))</f>
        <v>0</v>
      </c>
      <c r="W53" s="66"/>
      <c r="X53" s="115">
        <f>xNoWorkTime</f>
        <v>4.027777777777778E-2</v>
      </c>
      <c r="Y53" s="110">
        <f>IF(AND((AM53&lt;Feiertag),(G53&lt;&gt;85)),IF(OR(F53="B",F53="G",F53="S",H53&gt;0),H53-H53+Z53,0),0)</f>
        <v>0</v>
      </c>
      <c r="Z53" s="111">
        <f>IF(AND(AM53&gt;0,AM53&lt;Feiertag),INDEX(Arbeitszeit,AM53),"")</f>
        <v>0.29166666666666669</v>
      </c>
      <c r="AA53" s="112">
        <f>V53-Y53</f>
        <v>0</v>
      </c>
      <c r="AB53" s="67" t="str">
        <f>IF((V53-Y53)&lt;0,"*","")</f>
        <v/>
      </c>
      <c r="AC53" s="193">
        <f>xOverTime</f>
        <v>0</v>
      </c>
      <c r="AD53" s="144" t="str">
        <f>IF((R53-U53)&gt;XWorkTimeMax,(R53-U53-XWorkTimeMax),"")</f>
        <v/>
      </c>
      <c r="AE53" s="225">
        <f>IF(AW53,(AE52+SUM(AA53)+(IF(AG53="+",AF53,-AF53))),)</f>
        <v>0</v>
      </c>
      <c r="AF53" s="110"/>
      <c r="AG53" s="627"/>
      <c r="AH53" s="110"/>
      <c r="AI53" s="110" t="str">
        <f>IF(AND(AF53&lt;&gt;"",AF53&lt;=V53),V53-AF53,"")</f>
        <v/>
      </c>
      <c r="AJ53" s="68">
        <f>IF(ISNUMBER(V53 ), IF( V53 &gt;= Y53, Y53, V53 ),"")</f>
        <v>0</v>
      </c>
      <c r="AK53" s="68">
        <f>IF( ISNUMBER( V53 ), IF( V53 &gt;= Y53, V53 - Y53, "" ), "" )</f>
        <v>0</v>
      </c>
      <c r="AL53" s="68" t="str">
        <f>IF( AND(ISNUMBER( V53 ),ISNUMBER( Y53 )), IF( V53 &gt;= Y53, "", Y53 - V53 ), "" )</f>
        <v/>
      </c>
      <c r="AM53">
        <f>IF(A53="",0,IF(ISERROR(VLOOKUP(A53,db_Feiertag,2,FALSE)),WEEKDAY(A53,2),Feiertag))</f>
        <v>5</v>
      </c>
      <c r="AN53" s="122">
        <f>SUM($AD$6:AD53)</f>
        <v>0</v>
      </c>
      <c r="AO53" s="122">
        <f ca="1">IF(D53=D52,AO52,OFFSET(AO53,-1,COLUMN(db_jSaldoGes)-COLUMN()))</f>
        <v>0</v>
      </c>
      <c r="AP53" s="126">
        <f>IF(OR($G53=-1,$G53=82),-1,IF(OR($G53=0,$G53=83),1,0))</f>
        <v>0</v>
      </c>
      <c r="AQ53" s="126">
        <f>IF($F53=Krank,1,IF($F53="J",-1,0))</f>
        <v>0</v>
      </c>
      <c r="AR53" s="126">
        <f>IF($F53=Urlaub,1,IF($F53="T",-1,0))</f>
        <v>0</v>
      </c>
      <c r="AS53" s="125">
        <f>IF(A53="","",AS52-IF(F53=Urlaub,1,0)+IF(AND(MONTH(A53)=1,DAY(A53)=1),B_UrlaubNeu,0))</f>
        <v>30</v>
      </c>
      <c r="AT53" s="125">
        <f ca="1">IF(A53="","",IF(D53=D52,AT52,OFFSET(AT53,-1,COLUMN(db_jUrlRest)-COLUMN()))+IF(AND(MONTH(A53)=1,DAY(A53)=1),B_UrlaubNeu,0))</f>
        <v>30</v>
      </c>
      <c r="AU53" s="135">
        <f>(IF(ISNUMBER(V53),V53,0)+IF(ISNUMBER(AD53),AD53,0))*24</f>
        <v>0</v>
      </c>
      <c r="AV53" s="125">
        <f>IF(ISNUMBER(AD53),K_ArbeitOverMax,IF(AND(ISNUMBER(AA53),AA53&gt;0),K_ArbeitOverTime,IF(AND(ISNUMBER(V53),V53&gt;0),K_ArbeitNormal,IF(F53=Krank,K_Krank,IF(F53=Urlaub,K_Urlaub,IF(AM53=Feiertag,K_Feiertag,IF(OR(AM53=6,AM53=7),K_Wochenende,0)))))))+IF(F53=Gleittag,K_Gleittag,0)</f>
        <v>0</v>
      </c>
      <c r="AW53" t="b">
        <f>OR((F53&gt;0),(NOT(ISBLANK(H53))),SUM(H53:H$373),SUM(G53:G$373))</f>
        <v>0</v>
      </c>
      <c r="AX53" t="b">
        <f ca="1">INDIRECT(ADDRESS(ROW(),COLUMN(xDay)))&gt;5</f>
        <v>0</v>
      </c>
      <c r="AY53" s="600">
        <f>IF(OR(R53&lt;&gt;0,F53&lt;&gt;0),AA53,IF(Z53="",0,-Z53))+(IF(AG53="+",AF53,-AF53))</f>
        <v>-0.29166666666666669</v>
      </c>
      <c r="AZ53" s="225">
        <f>SUM(AY$5:AY53)</f>
        <v>-9.9166666666666661</v>
      </c>
      <c r="BA53" s="658"/>
      <c r="BB53" s="658">
        <f>IF(ISNA(MATCH(BA53,B_Arbeitsort,0)),0,MATCH(BA53,B_Arbeitsort,0))</f>
        <v>0</v>
      </c>
      <c r="BC53" s="658"/>
    </row>
    <row r="54" spans="1:55" ht="15.75">
      <c r="A54" s="305">
        <f>IF(A53="","",IF((A53+1)&gt;=DATE(YEAR(xJahr)+1,MONTH(xJahr),DAY(xJahr)),"",A53+1))</f>
        <v>43513</v>
      </c>
      <c r="B54" s="306">
        <f>IF(A54="","",A54)</f>
        <v>43513</v>
      </c>
      <c r="C54" s="307">
        <f>IF(A54="","",NumberOfWeek(A54))</f>
        <v>7</v>
      </c>
      <c r="D54" s="308">
        <f>IF(A54="","",DATE(YEAR(A54),MONTH(A54),1))</f>
        <v>43496</v>
      </c>
      <c r="E54" s="318" t="str">
        <f>IF((R54-U54)&gt;XWorkTimeMax,$Z$4,IF(AV54=Feiertag,VLOOKUP(B54,db_Feiertag,2,FALSE),""))</f>
        <v/>
      </c>
      <c r="F54" s="5"/>
      <c r="G54" s="6" t="str">
        <f>IF(ISBLANK(F54),IF(ISBLANK(H54),"",0),CODE(UPPER(F54)))</f>
        <v/>
      </c>
      <c r="H54" s="7"/>
      <c r="I54" s="7">
        <f>IF(H54&gt;0,H54+Y54+X54+AC54,0)</f>
        <v>0</v>
      </c>
      <c r="J54" s="113">
        <f>IF(K54&gt;I54,IF(I54&lt;H54,I54+1,I54)-B_WalkTime,IF(I54&lt;H54,I54+1,I54))</f>
        <v>0</v>
      </c>
      <c r="K54" s="7"/>
      <c r="L54" s="7">
        <f>IF(K54&gt;0,K54+IF((J54-H54)&lt;Y54,Y54-(J54-H54),TIME(0,10,0))+IF((K54-J54)&gt;xNoWorkTime,0,xNoWorkTime-(K54-J54)),0)</f>
        <v>0</v>
      </c>
      <c r="M54" s="113">
        <f>IF(L54&lt;K54,L54+1,L54)</f>
        <v>0</v>
      </c>
      <c r="N54" s="113"/>
      <c r="O54" s="113">
        <f>IF(N54&gt;0,N54+IF((J54-H54+M54-K54)&lt;Y54,Y54-(J54-H54+M54-K54),TIME(0,10,0))+IF((K54-J54+N54-M54)&gt;xNoWorkTime,0,xNoWorkTime-(K54-J54+N54-M54)),0)</f>
        <v>0</v>
      </c>
      <c r="P54" s="113"/>
      <c r="Q54" s="113">
        <f>IF(O54&lt;N54,O54+1,O54)</f>
        <v>0</v>
      </c>
      <c r="R54" s="113">
        <f>J54-H54+M54-K54+Q54-N54</f>
        <v>0</v>
      </c>
      <c r="S54" s="113">
        <f>IF(K54&gt;0,K54-I54,0)+IF(N54&gt;0,N54-L54)</f>
        <v>0</v>
      </c>
      <c r="T54" s="113">
        <f>IF(H54&gt;0,(IF(R54&gt;B_Pause1Nach,B_Pause1Dauer+IF(BA54="Büro",B_WalkTime,0),IF(BA54="Büro",B_WalkTime,0))+IF(R54&gt;B_Pause2Nach,B_Pause2Dauer,0)),0)</f>
        <v>0</v>
      </c>
      <c r="U54" s="113">
        <f>IF(T54&gt;S54,T54-S54,0)</f>
        <v>0</v>
      </c>
      <c r="V54" s="146">
        <f>IF(F54="S",Z54,(IF((R54-U54)&gt;XWorkTimeMax,XWorkTimeMax,IF((R54-U54)&gt;0,R54-U54,0))))</f>
        <v>0</v>
      </c>
      <c r="W54" s="66"/>
      <c r="X54" s="115">
        <f>xNoWorkTime</f>
        <v>4.027777777777778E-2</v>
      </c>
      <c r="Y54" s="110">
        <f>IF(AND((AM54&lt;Feiertag),(G54&lt;&gt;85)),IF(OR(F54="B",F54="G",F54="S",H54&gt;0),H54-H54+Z54,0),0)</f>
        <v>0</v>
      </c>
      <c r="Z54" s="111">
        <f>IF(AND(AM54&gt;0,AM54&lt;Feiertag),INDEX(Arbeitszeit,AM54),"")</f>
        <v>0</v>
      </c>
      <c r="AA54" s="112">
        <f>V54-Y54</f>
        <v>0</v>
      </c>
      <c r="AB54" s="67" t="str">
        <f>IF((V54-Y54)&lt;0,"*","")</f>
        <v/>
      </c>
      <c r="AC54" s="193">
        <f>xOverTime</f>
        <v>0</v>
      </c>
      <c r="AD54" s="144" t="str">
        <f>IF((R54-U54)&gt;XWorkTimeMax,(R54-U54-XWorkTimeMax),"")</f>
        <v/>
      </c>
      <c r="AE54" s="225">
        <f>IF(AW54,(AE53+SUM(AA54)+(IF(AG54="+",AF54,-AF54))),)</f>
        <v>0</v>
      </c>
      <c r="AF54" s="110"/>
      <c r="AG54" s="627"/>
      <c r="AH54" s="110"/>
      <c r="AI54" s="110" t="str">
        <f>IF(AND(AF54&lt;&gt;"",AF54&lt;=V54),V54-AF54,"")</f>
        <v/>
      </c>
      <c r="AJ54" s="68">
        <f>IF(ISNUMBER(V54 ), IF( V54 &gt;= Y54, Y54, V54 ),"")</f>
        <v>0</v>
      </c>
      <c r="AK54" s="68">
        <f>IF( ISNUMBER( V54 ), IF( V54 &gt;= Y54, V54 - Y54, "" ), "" )</f>
        <v>0</v>
      </c>
      <c r="AL54" s="68" t="str">
        <f>IF( AND(ISNUMBER( V54 ),ISNUMBER( Y54 )), IF( V54 &gt;= Y54, "", Y54 - V54 ), "" )</f>
        <v/>
      </c>
      <c r="AM54">
        <f>IF(A54="",0,IF(ISERROR(VLOOKUP(A54,db_Feiertag,2,FALSE)),WEEKDAY(A54,2),Feiertag))</f>
        <v>6</v>
      </c>
      <c r="AN54" s="122">
        <f>SUM($AD$6:AD54)</f>
        <v>0</v>
      </c>
      <c r="AO54" s="122">
        <f ca="1">IF(D54=D53,AO53,OFFSET(AO54,-1,COLUMN(db_jSaldoGes)-COLUMN()))</f>
        <v>0</v>
      </c>
      <c r="AP54" s="126">
        <f>IF(OR($G54=-1,$G54=82),-1,IF(OR($G54=0,$G54=83),1,0))</f>
        <v>0</v>
      </c>
      <c r="AQ54" s="126">
        <f>IF($F54=Krank,1,IF($F54="J",-1,0))</f>
        <v>0</v>
      </c>
      <c r="AR54" s="126">
        <f>IF($F54=Urlaub,1,IF($F54="T",-1,0))</f>
        <v>0</v>
      </c>
      <c r="AS54" s="125">
        <f>IF(A54="","",AS53-IF(F54=Urlaub,1,0)+IF(AND(MONTH(A54)=1,DAY(A54)=1),B_UrlaubNeu,0))</f>
        <v>30</v>
      </c>
      <c r="AT54" s="125">
        <f ca="1">IF(A54="","",IF(D54=D53,AT53,OFFSET(AT54,-1,COLUMN(db_jUrlRest)-COLUMN()))+IF(AND(MONTH(A54)=1,DAY(A54)=1),B_UrlaubNeu,0))</f>
        <v>30</v>
      </c>
      <c r="AU54" s="135">
        <f>(IF(ISNUMBER(V54),V54,0)+IF(ISNUMBER(AD54),AD54,0))*24</f>
        <v>0</v>
      </c>
      <c r="AV54" s="125">
        <f>IF(ISNUMBER(AD54),K_ArbeitOverMax,IF(AND(ISNUMBER(AA54),AA54&gt;0),K_ArbeitOverTime,IF(AND(ISNUMBER(V54),V54&gt;0),K_ArbeitNormal,IF(F54=Krank,K_Krank,IF(F54=Urlaub,K_Urlaub,IF(AM54=Feiertag,K_Feiertag,IF(OR(AM54=6,AM54=7),K_Wochenende,0)))))))+IF(F54=Gleittag,K_Gleittag,0)</f>
        <v>7</v>
      </c>
      <c r="AW54" t="b">
        <f>OR((F54&gt;0),(NOT(ISBLANK(H54))),SUM(H54:H$373),SUM(G54:G$373))</f>
        <v>0</v>
      </c>
      <c r="AX54" t="b">
        <f ca="1">INDIRECT(ADDRESS(ROW(),COLUMN(xDay)))&gt;5</f>
        <v>1</v>
      </c>
      <c r="AY54" s="600">
        <f>IF(OR(R54&lt;&gt;0,F54&lt;&gt;0),AA54,IF(Z54="",0,-Z54))+(IF(AG54="+",AF54,-AF54))</f>
        <v>0</v>
      </c>
      <c r="AZ54" s="225">
        <f>SUM(AY$5:AY54)</f>
        <v>-9.9166666666666661</v>
      </c>
      <c r="BA54" s="643"/>
      <c r="BB54" s="658">
        <f>IF(ISNA(MATCH(BA54,B_Arbeitsort,0)),0,MATCH(BA54,B_Arbeitsort,0))</f>
        <v>0</v>
      </c>
      <c r="BC54" s="643"/>
    </row>
    <row r="55" spans="1:55" ht="15.75">
      <c r="A55" s="305">
        <f>IF(A54="","",IF((A54+1)&gt;=DATE(YEAR(xJahr)+1,MONTH(xJahr),DAY(xJahr)),"",A54+1))</f>
        <v>43514</v>
      </c>
      <c r="B55" s="306">
        <f>IF(A55="","",A55)</f>
        <v>43514</v>
      </c>
      <c r="C55" s="307">
        <f>IF(A55="","",NumberOfWeek(A55))</f>
        <v>7</v>
      </c>
      <c r="D55" s="308">
        <f>IF(A55="","",DATE(YEAR(A55),MONTH(A55),1))</f>
        <v>43496</v>
      </c>
      <c r="E55" s="318" t="str">
        <f>IF((R55-U55)&gt;XWorkTimeMax,$Z$4,IF(AV55=Feiertag,VLOOKUP(B55,db_Feiertag,2,FALSE),""))</f>
        <v/>
      </c>
      <c r="F55" s="5"/>
      <c r="G55" s="6" t="str">
        <f>IF(ISBLANK(F55),IF(ISBLANK(H55),"",0),CODE(UPPER(F55)))</f>
        <v/>
      </c>
      <c r="H55" s="7"/>
      <c r="I55" s="7">
        <f>IF(H55&gt;0,H55+Y55+X55+AC55,0)</f>
        <v>0</v>
      </c>
      <c r="J55" s="113">
        <f>IF(K55&gt;I55,IF(I55&lt;H55,I55+1,I55)-B_WalkTime,IF(I55&lt;H55,I55+1,I55))</f>
        <v>0</v>
      </c>
      <c r="K55" s="7"/>
      <c r="L55" s="7">
        <f>IF(K55&gt;0,K55+IF((J55-H55)&lt;Y55,Y55-(J55-H55),TIME(0,10,0))+IF((K55-J55)&gt;xNoWorkTime,0,xNoWorkTime-(K55-J55)),0)</f>
        <v>0</v>
      </c>
      <c r="M55" s="113">
        <f>IF(L55&lt;K55,L55+1,L55)</f>
        <v>0</v>
      </c>
      <c r="N55" s="113"/>
      <c r="O55" s="113">
        <f>IF(N55&gt;0,N55+IF((J55-H55+M55-K55)&lt;Y55,Y55-(J55-H55+M55-K55),TIME(0,10,0))+IF((K55-J55+N55-M55)&gt;xNoWorkTime,0,xNoWorkTime-(K55-J55+N55-M55)),0)</f>
        <v>0</v>
      </c>
      <c r="P55" s="113"/>
      <c r="Q55" s="113">
        <f>IF(O55&lt;N55,O55+1,O55)</f>
        <v>0</v>
      </c>
      <c r="R55" s="113">
        <f>J55-H55+M55-K55+Q55-N55</f>
        <v>0</v>
      </c>
      <c r="S55" s="113">
        <f>IF(K55&gt;0,K55-I55,0)+IF(N55&gt;0,N55-L55)</f>
        <v>0</v>
      </c>
      <c r="T55" s="113">
        <f>IF(H55&gt;0,(IF(R55&gt;B_Pause1Nach,B_Pause1Dauer+IF(BA55="Büro",B_WalkTime,0),IF(BA55="Büro",B_WalkTime,0))+IF(R55&gt;B_Pause2Nach,B_Pause2Dauer,0)),0)</f>
        <v>0</v>
      </c>
      <c r="U55" s="113">
        <f>IF(T55&gt;S55,T55-S55,0)</f>
        <v>0</v>
      </c>
      <c r="V55" s="146">
        <f>IF(F55="S",Z55,(IF((R55-U55)&gt;XWorkTimeMax,XWorkTimeMax,IF((R55-U55)&gt;0,R55-U55,0))))</f>
        <v>0</v>
      </c>
      <c r="W55" s="66"/>
      <c r="X55" s="115">
        <f>xNoWorkTime</f>
        <v>4.027777777777778E-2</v>
      </c>
      <c r="Y55" s="110">
        <f>IF(AND((AM55&lt;Feiertag),(G55&lt;&gt;85)),IF(OR(F55="B",F55="G",F55="S",H55&gt;0),H55-H55+Z55,0),0)</f>
        <v>0</v>
      </c>
      <c r="Z55" s="111">
        <f>IF(AND(AM55&gt;0,AM55&lt;Feiertag),INDEX(Arbeitszeit,AM55),"")</f>
        <v>0</v>
      </c>
      <c r="AA55" s="112">
        <f>V55-Y55</f>
        <v>0</v>
      </c>
      <c r="AB55" s="67" t="str">
        <f>IF((V55-Y55)&lt;0,"*","")</f>
        <v/>
      </c>
      <c r="AC55" s="193">
        <f>xOverTime</f>
        <v>0</v>
      </c>
      <c r="AD55" s="144" t="str">
        <f>IF((R55-U55)&gt;XWorkTimeMax,(R55-U55-XWorkTimeMax),"")</f>
        <v/>
      </c>
      <c r="AE55" s="225">
        <f>IF(AW55,(AE54+SUM(AA55)+(IF(AG55="+",AF55,-AF55))),)</f>
        <v>0</v>
      </c>
      <c r="AF55" s="110"/>
      <c r="AG55" s="627"/>
      <c r="AH55" s="110"/>
      <c r="AI55" s="110" t="str">
        <f>IF(AND(AF55&lt;&gt;"",AF55&lt;=V55),V55-AF55,"")</f>
        <v/>
      </c>
      <c r="AJ55" s="68">
        <f>IF(ISNUMBER(V55 ), IF( V55 &gt;= Y55, Y55, V55 ),"")</f>
        <v>0</v>
      </c>
      <c r="AK55" s="68">
        <f>IF( ISNUMBER( V55 ), IF( V55 &gt;= Y55, V55 - Y55, "" ), "" )</f>
        <v>0</v>
      </c>
      <c r="AL55" s="68" t="str">
        <f>IF( AND(ISNUMBER( V55 ),ISNUMBER( Y55 )), IF( V55 &gt;= Y55, "", Y55 - V55 ), "" )</f>
        <v/>
      </c>
      <c r="AM55">
        <f>IF(A55="",0,IF(ISERROR(VLOOKUP(A55,db_Feiertag,2,FALSE)),WEEKDAY(A55,2),Feiertag))</f>
        <v>7</v>
      </c>
      <c r="AN55" s="122">
        <f>SUM($AD$6:AD55)</f>
        <v>0</v>
      </c>
      <c r="AO55" s="122">
        <f ca="1">IF(D55=D54,AO54,OFFSET(AO55,-1,COLUMN(db_jSaldoGes)-COLUMN()))</f>
        <v>0</v>
      </c>
      <c r="AP55" s="126">
        <f>IF(OR($G55=-1,$G55=82),-1,IF(OR($G55=0,$G55=83),1,0))</f>
        <v>0</v>
      </c>
      <c r="AQ55" s="126">
        <f>IF($F55=Krank,1,IF($F55="J",-1,0))</f>
        <v>0</v>
      </c>
      <c r="AR55" s="126">
        <f>IF($F55=Urlaub,1,IF($F55="T",-1,0))</f>
        <v>0</v>
      </c>
      <c r="AS55" s="125">
        <f>IF(A55="","",AS54-IF(F55=Urlaub,1,0)+IF(AND(MONTH(A55)=1,DAY(A55)=1),B_UrlaubNeu,0))</f>
        <v>30</v>
      </c>
      <c r="AT55" s="125">
        <f ca="1">IF(A55="","",IF(D55=D54,AT54,OFFSET(AT55,-1,COLUMN(db_jUrlRest)-COLUMN()))+IF(AND(MONTH(A55)=1,DAY(A55)=1),B_UrlaubNeu,0))</f>
        <v>30</v>
      </c>
      <c r="AU55" s="135">
        <f>(IF(ISNUMBER(V55),V55,0)+IF(ISNUMBER(AD55),AD55,0))*24</f>
        <v>0</v>
      </c>
      <c r="AV55" s="125">
        <f>IF(ISNUMBER(AD55),K_ArbeitOverMax,IF(AND(ISNUMBER(AA55),AA55&gt;0),K_ArbeitOverTime,IF(AND(ISNUMBER(V55),V55&gt;0),K_ArbeitNormal,IF(F55=Krank,K_Krank,IF(F55=Urlaub,K_Urlaub,IF(AM55=Feiertag,K_Feiertag,IF(OR(AM55=6,AM55=7),K_Wochenende,0)))))))+IF(F55=Gleittag,K_Gleittag,0)</f>
        <v>7</v>
      </c>
      <c r="AW55" t="b">
        <f>OR((F55&gt;0),(NOT(ISBLANK(H55))),SUM(H55:H$373),SUM(G55:G$373))</f>
        <v>0</v>
      </c>
      <c r="AX55" t="b">
        <f ca="1">INDIRECT(ADDRESS(ROW(),COLUMN(xDay)))&gt;5</f>
        <v>1</v>
      </c>
      <c r="AY55" s="600">
        <f>IF(OR(R55&lt;&gt;0,F55&lt;&gt;0),AA55,IF(Z55="",0,-Z55))+(IF(AG55="+",AF55,-AF55))</f>
        <v>0</v>
      </c>
      <c r="AZ55" s="225">
        <f>SUM(AY$5:AY55)</f>
        <v>-9.9166666666666661</v>
      </c>
      <c r="BA55" s="643"/>
      <c r="BB55" s="658">
        <f>IF(ISNA(MATCH(BA55,B_Arbeitsort,0)),0,MATCH(BA55,B_Arbeitsort,0))</f>
        <v>0</v>
      </c>
      <c r="BC55" s="643"/>
    </row>
    <row r="56" spans="1:55" ht="15.75">
      <c r="A56" s="305">
        <f>IF(A55="","",IF((A55+1)&gt;=DATE(YEAR(xJahr)+1,MONTH(xJahr),DAY(xJahr)),"",A55+1))</f>
        <v>43515</v>
      </c>
      <c r="B56" s="306">
        <f>IF(A56="","",A56)</f>
        <v>43515</v>
      </c>
      <c r="C56" s="307">
        <f>IF(A56="","",NumberOfWeek(A56))</f>
        <v>8</v>
      </c>
      <c r="D56" s="308">
        <f>IF(A56="","",DATE(YEAR(A56),MONTH(A56),1))</f>
        <v>43496</v>
      </c>
      <c r="E56" s="318" t="str">
        <f>IF((R56-U56)&gt;XWorkTimeMax,$Z$4,IF(AV56=Feiertag,VLOOKUP(B56,db_Feiertag,2,FALSE),""))</f>
        <v/>
      </c>
      <c r="F56" s="5"/>
      <c r="G56" s="6" t="str">
        <f>IF(ISBLANK(F56),IF(ISBLANK(H56),"",0),CODE(UPPER(F56)))</f>
        <v/>
      </c>
      <c r="H56" s="7"/>
      <c r="I56" s="7">
        <f>IF(H56&gt;0,H56+Y56+X56+AC56,0)</f>
        <v>0</v>
      </c>
      <c r="J56" s="113">
        <f>IF(K56&gt;I56,IF(I56&lt;H56,I56+1,I56)-B_WalkTime,IF(I56&lt;H56,I56+1,I56))</f>
        <v>0</v>
      </c>
      <c r="K56" s="7"/>
      <c r="L56" s="7">
        <f>IF(K56&gt;0,K56+IF((J56-H56)&lt;Y56,Y56-(J56-H56),TIME(0,10,0))+IF((K56-J56)&gt;xNoWorkTime,0,xNoWorkTime-(K56-J56)),0)</f>
        <v>0</v>
      </c>
      <c r="M56" s="113">
        <f>IF(L56&lt;K56,L56+1,L56)</f>
        <v>0</v>
      </c>
      <c r="N56" s="113"/>
      <c r="O56" s="113">
        <f>IF(N56&gt;0,N56+IF((J56-H56+M56-K56)&lt;Y56,Y56-(J56-H56+M56-K56),TIME(0,10,0))+IF((K56-J56+N56-M56)&gt;xNoWorkTime,0,xNoWorkTime-(K56-J56+N56-M56)),0)</f>
        <v>0</v>
      </c>
      <c r="P56" s="113"/>
      <c r="Q56" s="113">
        <f>IF(O56&lt;N56,O56+1,O56)</f>
        <v>0</v>
      </c>
      <c r="R56" s="113">
        <f>J56-H56+M56-K56+Q56-N56</f>
        <v>0</v>
      </c>
      <c r="S56" s="113">
        <f>IF(K56&gt;0,K56-I56,0)+IF(N56&gt;0,N56-L56)</f>
        <v>0</v>
      </c>
      <c r="T56" s="113">
        <f>IF(H56&gt;0,(IF(R56&gt;B_Pause1Nach,B_Pause1Dauer+IF(BA56="Büro",B_WalkTime,0),IF(BA56="Büro",B_WalkTime,0))+IF(R56&gt;B_Pause2Nach,B_Pause2Dauer,0)),0)</f>
        <v>0</v>
      </c>
      <c r="U56" s="113">
        <f>IF(T56&gt;S56,T56-S56,0)</f>
        <v>0</v>
      </c>
      <c r="V56" s="146">
        <f>IF(F56="S",Z56,(IF((R56-U56)&gt;XWorkTimeMax,XWorkTimeMax,IF((R56-U56)&gt;0,R56-U56,0))))</f>
        <v>0</v>
      </c>
      <c r="W56" s="66"/>
      <c r="X56" s="115">
        <f>xNoWorkTime</f>
        <v>4.027777777777778E-2</v>
      </c>
      <c r="Y56" s="110">
        <f>IF(AND((AM56&lt;Feiertag),(G56&lt;&gt;85)),IF(OR(F56="B",F56="G",F56="S",H56&gt;0),H56-H56+Z56,0),0)</f>
        <v>0</v>
      </c>
      <c r="Z56" s="111">
        <f>IF(AND(AM56&gt;0,AM56&lt;Feiertag),INDEX(Arbeitszeit,AM56),"")</f>
        <v>0.29166666666666669</v>
      </c>
      <c r="AA56" s="112">
        <f>V56-Y56</f>
        <v>0</v>
      </c>
      <c r="AB56" s="67" t="str">
        <f>IF((V56-Y56)&lt;0,"*","")</f>
        <v/>
      </c>
      <c r="AC56" s="193">
        <f>xOverTime</f>
        <v>0</v>
      </c>
      <c r="AD56" s="144" t="str">
        <f>IF((R56-U56)&gt;XWorkTimeMax,(R56-U56-XWorkTimeMax),"")</f>
        <v/>
      </c>
      <c r="AE56" s="225">
        <f>IF(AW56,(AE55+SUM(AA56)+(IF(AG56="+",AF56,-AF56))),)</f>
        <v>0</v>
      </c>
      <c r="AF56" s="110"/>
      <c r="AG56" s="627"/>
      <c r="AH56" s="110"/>
      <c r="AI56" s="110" t="str">
        <f>IF(AND(AF56&lt;&gt;"",AF56&lt;=V56),V56-AF56,"")</f>
        <v/>
      </c>
      <c r="AJ56" s="68">
        <f>IF(ISNUMBER(V56 ), IF( V56 &gt;= Y56, Y56, V56 ),"")</f>
        <v>0</v>
      </c>
      <c r="AK56" s="68">
        <f>IF( ISNUMBER( V56 ), IF( V56 &gt;= Y56, V56 - Y56, "" ), "" )</f>
        <v>0</v>
      </c>
      <c r="AL56" s="68" t="str">
        <f>IF( AND(ISNUMBER( V56 ),ISNUMBER( Y56 )), IF( V56 &gt;= Y56, "", Y56 - V56 ), "" )</f>
        <v/>
      </c>
      <c r="AM56">
        <f>IF(A56="",0,IF(ISERROR(VLOOKUP(A56,db_Feiertag,2,FALSE)),WEEKDAY(A56,2),Feiertag))</f>
        <v>1</v>
      </c>
      <c r="AN56" s="122">
        <f>SUM($AD$6:AD56)</f>
        <v>0</v>
      </c>
      <c r="AO56" s="122">
        <f ca="1">IF(D56=D55,AO55,OFFSET(AO56,-1,COLUMN(db_jSaldoGes)-COLUMN()))</f>
        <v>0</v>
      </c>
      <c r="AP56" s="126">
        <f>IF(OR($G56=-1,$G56=82),-1,IF(OR($G56=0,$G56=83),1,0))</f>
        <v>0</v>
      </c>
      <c r="AQ56" s="126">
        <f>IF($F56=Krank,1,IF($F56="J",-1,0))</f>
        <v>0</v>
      </c>
      <c r="AR56" s="126">
        <f>IF($F56=Urlaub,1,IF($F56="T",-1,0))</f>
        <v>0</v>
      </c>
      <c r="AS56" s="125">
        <f>IF(A56="","",AS55-IF(F56=Urlaub,1,0)+IF(AND(MONTH(A56)=1,DAY(A56)=1),B_UrlaubNeu,0))</f>
        <v>30</v>
      </c>
      <c r="AT56" s="125">
        <f ca="1">IF(A56="","",IF(D56=D55,AT55,OFFSET(AT56,-1,COLUMN(db_jUrlRest)-COLUMN()))+IF(AND(MONTH(A56)=1,DAY(A56)=1),B_UrlaubNeu,0))</f>
        <v>30</v>
      </c>
      <c r="AU56" s="135">
        <f>(IF(ISNUMBER(V56),V56,0)+IF(ISNUMBER(AD56),AD56,0))*24</f>
        <v>0</v>
      </c>
      <c r="AV56" s="125">
        <f>IF(ISNUMBER(AD56),K_ArbeitOverMax,IF(AND(ISNUMBER(AA56),AA56&gt;0),K_ArbeitOverTime,IF(AND(ISNUMBER(V56),V56&gt;0),K_ArbeitNormal,IF(F56=Krank,K_Krank,IF(F56=Urlaub,K_Urlaub,IF(AM56=Feiertag,K_Feiertag,IF(OR(AM56=6,AM56=7),K_Wochenende,0)))))))+IF(F56=Gleittag,K_Gleittag,0)</f>
        <v>0</v>
      </c>
      <c r="AW56" t="b">
        <f>OR((F56&gt;0),(NOT(ISBLANK(H56))),SUM(H56:H$373),SUM(G56:G$373))</f>
        <v>0</v>
      </c>
      <c r="AX56" t="b">
        <f ca="1">INDIRECT(ADDRESS(ROW(),COLUMN(xDay)))&gt;5</f>
        <v>0</v>
      </c>
      <c r="AY56" s="600">
        <f>IF(OR(R56&lt;&gt;0,F56&lt;&gt;0),AA56,IF(Z56="",0,-Z56))+(IF(AG56="+",AF56,-AF56))</f>
        <v>-0.29166666666666669</v>
      </c>
      <c r="AZ56" s="225">
        <f>SUM(AY$5:AY56)</f>
        <v>-10.208333333333332</v>
      </c>
      <c r="BA56" s="658"/>
      <c r="BB56" s="658">
        <f>IF(ISNA(MATCH(BA56,B_Arbeitsort,0)),0,MATCH(BA56,B_Arbeitsort,0))</f>
        <v>0</v>
      </c>
      <c r="BC56" s="658"/>
    </row>
    <row r="57" spans="1:55" ht="15.75">
      <c r="A57" s="305">
        <f>IF(A56="","",IF((A56+1)&gt;=DATE(YEAR(xJahr)+1,MONTH(xJahr),DAY(xJahr)),"",A56+1))</f>
        <v>43516</v>
      </c>
      <c r="B57" s="306">
        <f>IF(A57="","",A57)</f>
        <v>43516</v>
      </c>
      <c r="C57" s="307">
        <f>IF(A57="","",NumberOfWeek(A57))</f>
        <v>8</v>
      </c>
      <c r="D57" s="308">
        <f>IF(A57="","",DATE(YEAR(A57),MONTH(A57),1))</f>
        <v>43496</v>
      </c>
      <c r="E57" s="318" t="str">
        <f>IF((R57-U57)&gt;XWorkTimeMax,$Z$4,IF(AV57=Feiertag,VLOOKUP(B57,db_Feiertag,2,FALSE),""))</f>
        <v/>
      </c>
      <c r="F57" s="5"/>
      <c r="G57" s="6" t="str">
        <f>IF(ISBLANK(F57),IF(ISBLANK(H57),"",0),CODE(UPPER(F57)))</f>
        <v/>
      </c>
      <c r="H57" s="7"/>
      <c r="I57" s="7">
        <f>IF(H57&gt;0,H57+Y57+X57+AC57,0)</f>
        <v>0</v>
      </c>
      <c r="J57" s="113">
        <f>IF(K57&gt;I57,IF(I57&lt;H57,I57+1,I57)-B_WalkTime,IF(I57&lt;H57,I57+1,I57))</f>
        <v>0</v>
      </c>
      <c r="K57" s="7"/>
      <c r="L57" s="7">
        <f>IF(K57&gt;0,K57+IF((J57-H57)&lt;Y57,Y57-(J57-H57),TIME(0,10,0))+IF((K57-J57)&gt;xNoWorkTime,0,xNoWorkTime-(K57-J57)),0)</f>
        <v>0</v>
      </c>
      <c r="M57" s="113">
        <f>IF(L57&lt;K57,L57+1,L57)</f>
        <v>0</v>
      </c>
      <c r="N57" s="113"/>
      <c r="O57" s="113">
        <f>IF(N57&gt;0,N57+IF((J57-H57+M57-K57)&lt;Y57,Y57-(J57-H57+M57-K57),TIME(0,10,0))+IF((K57-J57+N57-M57)&gt;xNoWorkTime,0,xNoWorkTime-(K57-J57+N57-M57)),0)</f>
        <v>0</v>
      </c>
      <c r="P57" s="113"/>
      <c r="Q57" s="113">
        <f>IF(O57&lt;N57,O57+1,O57)</f>
        <v>0</v>
      </c>
      <c r="R57" s="113">
        <f>J57-H57+M57-K57+Q57-N57</f>
        <v>0</v>
      </c>
      <c r="S57" s="113">
        <f>IF(K57&gt;0,K57-I57,0)+IF(N57&gt;0,N57-L57)</f>
        <v>0</v>
      </c>
      <c r="T57" s="113">
        <f>IF(H57&gt;0,(IF(R57&gt;B_Pause1Nach,B_Pause1Dauer+IF(BA57="Büro",B_WalkTime,0),IF(BA57="Büro",B_WalkTime,0))+IF(R57&gt;B_Pause2Nach,B_Pause2Dauer,0)),0)</f>
        <v>0</v>
      </c>
      <c r="U57" s="113">
        <f>IF(T57&gt;S57,T57-S57,0)</f>
        <v>0</v>
      </c>
      <c r="V57" s="146">
        <f>IF(F57="S",Z57,(IF((R57-U57)&gt;XWorkTimeMax,XWorkTimeMax,IF((R57-U57)&gt;0,R57-U57,0))))</f>
        <v>0</v>
      </c>
      <c r="W57" s="66"/>
      <c r="X57" s="115">
        <f>xNoWorkTime</f>
        <v>4.027777777777778E-2</v>
      </c>
      <c r="Y57" s="110">
        <f>IF(AND((AM57&lt;Feiertag),(G57&lt;&gt;85)),IF(OR(F57="B",F57="G",F57="S",H57&gt;0),H57-H57+Z57,0),0)</f>
        <v>0</v>
      </c>
      <c r="Z57" s="111">
        <f>IF(AND(AM57&gt;0,AM57&lt;Feiertag),INDEX(Arbeitszeit,AM57),"")</f>
        <v>0.29166666666666669</v>
      </c>
      <c r="AA57" s="112">
        <f>V57-Y57</f>
        <v>0</v>
      </c>
      <c r="AB57" s="67" t="str">
        <f>IF((V57-Y57)&lt;0,"*","")</f>
        <v/>
      </c>
      <c r="AC57" s="193">
        <f>xOverTime</f>
        <v>0</v>
      </c>
      <c r="AD57" s="144" t="str">
        <f>IF((R57-U57)&gt;XWorkTimeMax,(R57-U57-XWorkTimeMax),"")</f>
        <v/>
      </c>
      <c r="AE57" s="225">
        <f>IF(AW57,(AE56+SUM(AA57)+(IF(AG57="+",AF57,-AF57))),)</f>
        <v>0</v>
      </c>
      <c r="AF57" s="110"/>
      <c r="AG57" s="627"/>
      <c r="AH57" s="110"/>
      <c r="AI57" s="110" t="str">
        <f>IF(AND(AF57&lt;&gt;"",AF57&lt;=V57),V57-AF57,"")</f>
        <v/>
      </c>
      <c r="AJ57" s="68">
        <f>IF(ISNUMBER(V57 ), IF( V57 &gt;= Y57, Y57, V57 ),"")</f>
        <v>0</v>
      </c>
      <c r="AK57" s="68">
        <f>IF( ISNUMBER( V57 ), IF( V57 &gt;= Y57, V57 - Y57, "" ), "" )</f>
        <v>0</v>
      </c>
      <c r="AL57" s="68" t="str">
        <f>IF( AND(ISNUMBER( V57 ),ISNUMBER( Y57 )), IF( V57 &gt;= Y57, "", Y57 - V57 ), "" )</f>
        <v/>
      </c>
      <c r="AM57">
        <f>IF(A57="",0,IF(ISERROR(VLOOKUP(A57,db_Feiertag,2,FALSE)),WEEKDAY(A57,2),Feiertag))</f>
        <v>2</v>
      </c>
      <c r="AN57" s="122">
        <f>SUM($AD$6:AD57)</f>
        <v>0</v>
      </c>
      <c r="AO57" s="122">
        <f ca="1">IF(D57=D56,AO56,OFFSET(AO57,-1,COLUMN(db_jSaldoGes)-COLUMN()))</f>
        <v>0</v>
      </c>
      <c r="AP57" s="126">
        <f>IF(OR($G57=-1,$G57=82),-1,IF(OR($G57=0,$G57=83),1,0))</f>
        <v>0</v>
      </c>
      <c r="AQ57" s="126">
        <f>IF($F57=Krank,1,IF($F57="J",-1,0))</f>
        <v>0</v>
      </c>
      <c r="AR57" s="126">
        <f>IF($F57=Urlaub,1,IF($F57="T",-1,0))</f>
        <v>0</v>
      </c>
      <c r="AS57" s="125">
        <f>IF(A57="","",AS56-IF(F57=Urlaub,1,0)+IF(AND(MONTH(A57)=1,DAY(A57)=1),B_UrlaubNeu,0))</f>
        <v>30</v>
      </c>
      <c r="AT57" s="125">
        <f ca="1">IF(A57="","",IF(D57=D56,AT56,OFFSET(AT57,-1,COLUMN(db_jUrlRest)-COLUMN()))+IF(AND(MONTH(A57)=1,DAY(A57)=1),B_UrlaubNeu,0))</f>
        <v>30</v>
      </c>
      <c r="AU57" s="135">
        <f>(IF(ISNUMBER(V57),V57,0)+IF(ISNUMBER(AD57),AD57,0))*24</f>
        <v>0</v>
      </c>
      <c r="AV57" s="125">
        <f>IF(ISNUMBER(AD57),K_ArbeitOverMax,IF(AND(ISNUMBER(AA57),AA57&gt;0),K_ArbeitOverTime,IF(AND(ISNUMBER(V57),V57&gt;0),K_ArbeitNormal,IF(F57=Krank,K_Krank,IF(F57=Urlaub,K_Urlaub,IF(AM57=Feiertag,K_Feiertag,IF(OR(AM57=6,AM57=7),K_Wochenende,0)))))))+IF(F57=Gleittag,K_Gleittag,0)</f>
        <v>0</v>
      </c>
      <c r="AW57" t="b">
        <f>OR((F57&gt;0),(NOT(ISBLANK(H57))),SUM(H57:H$373),SUM(G57:G$373))</f>
        <v>0</v>
      </c>
      <c r="AX57" t="b">
        <f ca="1">INDIRECT(ADDRESS(ROW(),COLUMN(xDay)))&gt;5</f>
        <v>0</v>
      </c>
      <c r="AY57" s="600">
        <f>IF(OR(R57&lt;&gt;0,F57&lt;&gt;0),AA57,IF(Z57="",0,-Z57))+(IF(AG57="+",AF57,-AF57))</f>
        <v>-0.29166666666666669</v>
      </c>
      <c r="AZ57" s="225">
        <f>SUM(AY$5:AY57)</f>
        <v>-10.499999999999998</v>
      </c>
      <c r="BA57" s="658"/>
      <c r="BB57" s="658">
        <f>IF(ISNA(MATCH(BA57,B_Arbeitsort,0)),0,MATCH(BA57,B_Arbeitsort,0))</f>
        <v>0</v>
      </c>
      <c r="BC57" s="658"/>
    </row>
    <row r="58" spans="1:55" ht="15.75">
      <c r="A58" s="305">
        <f>IF(A57="","",IF((A57+1)&gt;=DATE(YEAR(xJahr)+1,MONTH(xJahr),DAY(xJahr)),"",A57+1))</f>
        <v>43517</v>
      </c>
      <c r="B58" s="306">
        <f>IF(A58="","",A58)</f>
        <v>43517</v>
      </c>
      <c r="C58" s="307">
        <f>IF(A58="","",NumberOfWeek(A58))</f>
        <v>8</v>
      </c>
      <c r="D58" s="308">
        <f>IF(A58="","",DATE(YEAR(A58),MONTH(A58),1))</f>
        <v>43496</v>
      </c>
      <c r="E58" s="318" t="str">
        <f>IF((R58-U58)&gt;XWorkTimeMax,$Z$4,IF(AV58=Feiertag,VLOOKUP(B58,db_Feiertag,2,FALSE),""))</f>
        <v/>
      </c>
      <c r="F58" s="5"/>
      <c r="G58" s="6" t="str">
        <f>IF(ISBLANK(F58),IF(ISBLANK(H58),"",0),CODE(UPPER(F58)))</f>
        <v/>
      </c>
      <c r="H58" s="7"/>
      <c r="I58" s="7">
        <f>IF(H58&gt;0,H58+Y58+X58+AC58,0)</f>
        <v>0</v>
      </c>
      <c r="J58" s="113">
        <f>IF(K58&gt;I58,IF(I58&lt;H58,I58+1,I58)-B_WalkTime,IF(I58&lt;H58,I58+1,I58))</f>
        <v>0</v>
      </c>
      <c r="K58" s="7"/>
      <c r="L58" s="7">
        <f>IF(K58&gt;0,K58+IF((J58-H58)&lt;Y58,Y58-(J58-H58),TIME(0,10,0))+IF((K58-J58)&gt;xNoWorkTime,0,xNoWorkTime-(K58-J58)),0)</f>
        <v>0</v>
      </c>
      <c r="M58" s="113">
        <f>IF(L58&lt;K58,L58+1,L58)</f>
        <v>0</v>
      </c>
      <c r="N58" s="113"/>
      <c r="O58" s="113">
        <f>IF(N58&gt;0,N58+IF((J58-H58+M58-K58)&lt;Y58,Y58-(J58-H58+M58-K58),TIME(0,10,0))+IF((K58-J58+N58-M58)&gt;xNoWorkTime,0,xNoWorkTime-(K58-J58+N58-M58)),0)</f>
        <v>0</v>
      </c>
      <c r="P58" s="113"/>
      <c r="Q58" s="113">
        <f>IF(O58&lt;N58,O58+1,O58)</f>
        <v>0</v>
      </c>
      <c r="R58" s="113">
        <f>J58-H58+M58-K58+Q58-N58</f>
        <v>0</v>
      </c>
      <c r="S58" s="113">
        <f>IF(K58&gt;0,K58-I58,0)+IF(N58&gt;0,N58-L58)</f>
        <v>0</v>
      </c>
      <c r="T58" s="113">
        <f>IF(H58&gt;0,(IF(R58&gt;B_Pause1Nach,B_Pause1Dauer+IF(BA58="Büro",B_WalkTime,0),IF(BA58="Büro",B_WalkTime,0))+IF(R58&gt;B_Pause2Nach,B_Pause2Dauer,0)),0)</f>
        <v>0</v>
      </c>
      <c r="U58" s="113">
        <f>IF(T58&gt;S58,T58-S58,0)</f>
        <v>0</v>
      </c>
      <c r="V58" s="146">
        <f>IF(F58="S",Z58,(IF((R58-U58)&gt;XWorkTimeMax,XWorkTimeMax,IF((R58-U58)&gt;0,R58-U58,0))))</f>
        <v>0</v>
      </c>
      <c r="W58" s="66"/>
      <c r="X58" s="115">
        <f>xNoWorkTime</f>
        <v>4.027777777777778E-2</v>
      </c>
      <c r="Y58" s="110">
        <f>IF(AND((AM58&lt;Feiertag),(G58&lt;&gt;85)),IF(OR(F58="B",F58="G",F58="S",H58&gt;0),H58-H58+Z58,0),0)</f>
        <v>0</v>
      </c>
      <c r="Z58" s="111">
        <f>IF(AND(AM58&gt;0,AM58&lt;Feiertag),INDEX(Arbeitszeit,AM58),"")</f>
        <v>0.29166666666666669</v>
      </c>
      <c r="AA58" s="112">
        <f>V58-Y58</f>
        <v>0</v>
      </c>
      <c r="AB58" s="67" t="str">
        <f>IF((V58-Y58)&lt;0,"*","")</f>
        <v/>
      </c>
      <c r="AC58" s="193">
        <f>xOverTime</f>
        <v>0</v>
      </c>
      <c r="AD58" s="144" t="str">
        <f>IF((R58-U58)&gt;XWorkTimeMax,(R58-U58-XWorkTimeMax),"")</f>
        <v/>
      </c>
      <c r="AE58" s="225">
        <f>IF(AW58,(AE57+SUM(AA58)+(IF(AG58="+",AF58,-AF58))),)</f>
        <v>0</v>
      </c>
      <c r="AF58" s="110"/>
      <c r="AG58" s="627"/>
      <c r="AH58" s="110"/>
      <c r="AI58" s="110" t="str">
        <f>IF(AND(AF58&lt;&gt;"",AF58&lt;=V58),V58-AF58,"")</f>
        <v/>
      </c>
      <c r="AJ58" s="68">
        <f>IF(ISNUMBER(V58 ), IF( V58 &gt;= Y58, Y58, V58 ),"")</f>
        <v>0</v>
      </c>
      <c r="AK58" s="68">
        <f>IF( ISNUMBER( V58 ), IF( V58 &gt;= Y58, V58 - Y58, "" ), "" )</f>
        <v>0</v>
      </c>
      <c r="AL58" s="68" t="str">
        <f>IF( AND(ISNUMBER( V58 ),ISNUMBER( Y58 )), IF( V58 &gt;= Y58, "", Y58 - V58 ), "" )</f>
        <v/>
      </c>
      <c r="AM58">
        <f>IF(A58="",0,IF(ISERROR(VLOOKUP(A58,db_Feiertag,2,FALSE)),WEEKDAY(A58,2),Feiertag))</f>
        <v>3</v>
      </c>
      <c r="AN58" s="122">
        <f>SUM($AD$6:AD58)</f>
        <v>0</v>
      </c>
      <c r="AO58" s="122">
        <f ca="1">IF(D58=D57,AO57,OFFSET(AO58,-1,COLUMN(db_jSaldoGes)-COLUMN()))</f>
        <v>0</v>
      </c>
      <c r="AP58" s="126">
        <f>IF(OR($G58=-1,$G58=82),-1,IF(OR($G58=0,$G58=83),1,0))</f>
        <v>0</v>
      </c>
      <c r="AQ58" s="126">
        <f>IF($F58=Krank,1,IF($F58="J",-1,0))</f>
        <v>0</v>
      </c>
      <c r="AR58" s="126">
        <f>IF($F58=Urlaub,1,IF($F58="T",-1,0))</f>
        <v>0</v>
      </c>
      <c r="AS58" s="125">
        <f>IF(A58="","",AS57-IF(F58=Urlaub,1,0)+IF(AND(MONTH(A58)=1,DAY(A58)=1),B_UrlaubNeu,0))</f>
        <v>30</v>
      </c>
      <c r="AT58" s="125">
        <f ca="1">IF(A58="","",IF(D58=D57,AT57,OFFSET(AT58,-1,COLUMN(db_jUrlRest)-COLUMN()))+IF(AND(MONTH(A58)=1,DAY(A58)=1),B_UrlaubNeu,0))</f>
        <v>30</v>
      </c>
      <c r="AU58" s="135">
        <f>(IF(ISNUMBER(V58),V58,0)+IF(ISNUMBER(AD58),AD58,0))*24</f>
        <v>0</v>
      </c>
      <c r="AV58" s="125">
        <f>IF(ISNUMBER(AD58),K_ArbeitOverMax,IF(AND(ISNUMBER(AA58),AA58&gt;0),K_ArbeitOverTime,IF(AND(ISNUMBER(V58),V58&gt;0),K_ArbeitNormal,IF(F58=Krank,K_Krank,IF(F58=Urlaub,K_Urlaub,IF(AM58=Feiertag,K_Feiertag,IF(OR(AM58=6,AM58=7),K_Wochenende,0)))))))+IF(F58=Gleittag,K_Gleittag,0)</f>
        <v>0</v>
      </c>
      <c r="AW58" t="b">
        <f>OR((F58&gt;0),(NOT(ISBLANK(H58))),SUM(H58:H$373),SUM(G58:G$373))</f>
        <v>0</v>
      </c>
      <c r="AX58" t="b">
        <f ca="1">INDIRECT(ADDRESS(ROW(),COLUMN(xDay)))&gt;5</f>
        <v>0</v>
      </c>
      <c r="AY58" s="600">
        <f>IF(OR(R58&lt;&gt;0,F58&lt;&gt;0),AA58,IF(Z58="",0,-Z58))+(IF(AG58="+",AF58,-AF58))</f>
        <v>-0.29166666666666669</v>
      </c>
      <c r="AZ58" s="225">
        <f>SUM(AY$5:AY58)</f>
        <v>-10.791666666666664</v>
      </c>
      <c r="BA58" s="658"/>
      <c r="BB58" s="658">
        <f>IF(ISNA(MATCH(BA58,B_Arbeitsort,0)),0,MATCH(BA58,B_Arbeitsort,0))</f>
        <v>0</v>
      </c>
      <c r="BC58" s="658"/>
    </row>
    <row r="59" spans="1:55" ht="15.75">
      <c r="A59" s="305">
        <f>IF(A58="","",IF((A58+1)&gt;=DATE(YEAR(xJahr)+1,MONTH(xJahr),DAY(xJahr)),"",A58+1))</f>
        <v>43518</v>
      </c>
      <c r="B59" s="306">
        <f>IF(A59="","",A59)</f>
        <v>43518</v>
      </c>
      <c r="C59" s="307">
        <f>IF(A59="","",NumberOfWeek(A59))</f>
        <v>8</v>
      </c>
      <c r="D59" s="308">
        <f>IF(A59="","",DATE(YEAR(A59),MONTH(A59),1))</f>
        <v>43496</v>
      </c>
      <c r="E59" s="318" t="str">
        <f>IF((R59-U59)&gt;XWorkTimeMax,$Z$4,IF(AV59=Feiertag,VLOOKUP(B59,db_Feiertag,2,FALSE),""))</f>
        <v/>
      </c>
      <c r="F59" s="5"/>
      <c r="G59" s="6" t="str">
        <f>IF(ISBLANK(F59),IF(ISBLANK(H59),"",0),CODE(UPPER(F59)))</f>
        <v/>
      </c>
      <c r="H59" s="7"/>
      <c r="I59" s="7">
        <f>IF(H59&gt;0,H59+Y59+X59+AC59,0)</f>
        <v>0</v>
      </c>
      <c r="J59" s="113">
        <f>IF(K59&gt;I59,IF(I59&lt;H59,I59+1,I59)-B_WalkTime,IF(I59&lt;H59,I59+1,I59))</f>
        <v>0</v>
      </c>
      <c r="K59" s="7"/>
      <c r="L59" s="7">
        <f>IF(K59&gt;0,K59+IF((J59-H59)&lt;Y59,Y59-(J59-H59),TIME(0,10,0))+IF((K59-J59)&gt;xNoWorkTime,0,xNoWorkTime-(K59-J59)),0)</f>
        <v>0</v>
      </c>
      <c r="M59" s="113">
        <f>IF(L59&lt;K59,L59+1,L59)</f>
        <v>0</v>
      </c>
      <c r="N59" s="113"/>
      <c r="O59" s="113">
        <f>IF(N59&gt;0,N59+IF((J59-H59+M59-K59)&lt;Y59,Y59-(J59-H59+M59-K59),TIME(0,10,0))+IF((K59-J59+N59-M59)&gt;xNoWorkTime,0,xNoWorkTime-(K59-J59+N59-M59)),0)</f>
        <v>0</v>
      </c>
      <c r="P59" s="113"/>
      <c r="Q59" s="113">
        <f>IF(O59&lt;N59,O59+1,O59)</f>
        <v>0</v>
      </c>
      <c r="R59" s="113">
        <f>J59-H59+M59-K59+Q59-N59</f>
        <v>0</v>
      </c>
      <c r="S59" s="113">
        <f>IF(K59&gt;0,K59-I59,0)+IF(N59&gt;0,N59-L59)</f>
        <v>0</v>
      </c>
      <c r="T59" s="113">
        <f>IF(H59&gt;0,(IF(R59&gt;B_Pause1Nach,B_Pause1Dauer+IF(BA59="Büro",B_WalkTime,0),IF(BA59="Büro",B_WalkTime,0))+IF(R59&gt;B_Pause2Nach,B_Pause2Dauer,0)),0)</f>
        <v>0</v>
      </c>
      <c r="U59" s="113">
        <f>IF(T59&gt;S59,T59-S59,0)</f>
        <v>0</v>
      </c>
      <c r="V59" s="146">
        <f>IF(F59="S",Z59,(IF((R59-U59)&gt;XWorkTimeMax,XWorkTimeMax,IF((R59-U59)&gt;0,R59-U59,0))))</f>
        <v>0</v>
      </c>
      <c r="W59" s="66"/>
      <c r="X59" s="115">
        <f>xNoWorkTime</f>
        <v>4.027777777777778E-2</v>
      </c>
      <c r="Y59" s="110">
        <f>IF(AND((AM59&lt;Feiertag),(G59&lt;&gt;85)),IF(OR(F59="B",F59="G",F59="S",H59&gt;0),H59-H59+Z59,0),0)</f>
        <v>0</v>
      </c>
      <c r="Z59" s="111">
        <f>IF(AND(AM59&gt;0,AM59&lt;Feiertag),INDEX(Arbeitszeit,AM59),"")</f>
        <v>0.29166666666666669</v>
      </c>
      <c r="AA59" s="112">
        <f>V59-Y59</f>
        <v>0</v>
      </c>
      <c r="AB59" s="67" t="str">
        <f>IF((V59-Y59)&lt;0,"*","")</f>
        <v/>
      </c>
      <c r="AC59" s="193">
        <f>xOverTime</f>
        <v>0</v>
      </c>
      <c r="AD59" s="144" t="str">
        <f>IF((R59-U59)&gt;XWorkTimeMax,(R59-U59-XWorkTimeMax),"")</f>
        <v/>
      </c>
      <c r="AE59" s="225">
        <f>IF(AW59,(AE58+SUM(AA59)+(IF(AG59="+",AF59,-AF59))),)</f>
        <v>0</v>
      </c>
      <c r="AF59" s="110"/>
      <c r="AG59" s="627"/>
      <c r="AH59" s="110"/>
      <c r="AI59" s="110" t="str">
        <f>IF(AND(AF59&lt;&gt;"",AF59&lt;=V59),V59-AF59,"")</f>
        <v/>
      </c>
      <c r="AJ59" s="68">
        <f>IF(ISNUMBER(V59 ), IF( V59 &gt;= Y59, Y59, V59 ),"")</f>
        <v>0</v>
      </c>
      <c r="AK59" s="68">
        <f>IF( ISNUMBER( V59 ), IF( V59 &gt;= Y59, V59 - Y59, "" ), "" )</f>
        <v>0</v>
      </c>
      <c r="AL59" s="68" t="str">
        <f>IF( AND(ISNUMBER( V59 ),ISNUMBER( Y59 )), IF( V59 &gt;= Y59, "", Y59 - V59 ), "" )</f>
        <v/>
      </c>
      <c r="AM59">
        <f>IF(A59="",0,IF(ISERROR(VLOOKUP(A59,db_Feiertag,2,FALSE)),WEEKDAY(A59,2),Feiertag))</f>
        <v>4</v>
      </c>
      <c r="AN59" s="122">
        <f>SUM($AD$6:AD59)</f>
        <v>0</v>
      </c>
      <c r="AO59" s="122">
        <f ca="1">IF(D59=D58,AO58,OFFSET(AO59,-1,COLUMN(db_jSaldoGes)-COLUMN()))</f>
        <v>0</v>
      </c>
      <c r="AP59" s="126">
        <f>IF(OR($G59=-1,$G59=82),-1,IF(OR($G59=0,$G59=83),1,0))</f>
        <v>0</v>
      </c>
      <c r="AQ59" s="126">
        <f>IF($F59=Krank,1,IF($F59="J",-1,0))</f>
        <v>0</v>
      </c>
      <c r="AR59" s="126">
        <f>IF($F59=Urlaub,1,IF($F59="T",-1,0))</f>
        <v>0</v>
      </c>
      <c r="AS59" s="125">
        <f>IF(A59="","",AS58-IF(F59=Urlaub,1,0)+IF(AND(MONTH(A59)=1,DAY(A59)=1),B_UrlaubNeu,0))</f>
        <v>30</v>
      </c>
      <c r="AT59" s="125">
        <f ca="1">IF(A59="","",IF(D59=D58,AT58,OFFSET(AT59,-1,COLUMN(db_jUrlRest)-COLUMN()))+IF(AND(MONTH(A59)=1,DAY(A59)=1),B_UrlaubNeu,0))</f>
        <v>30</v>
      </c>
      <c r="AU59" s="135">
        <f>(IF(ISNUMBER(V59),V59,0)+IF(ISNUMBER(AD59),AD59,0))*24</f>
        <v>0</v>
      </c>
      <c r="AV59" s="125">
        <f>IF(ISNUMBER(AD59),K_ArbeitOverMax,IF(AND(ISNUMBER(AA59),AA59&gt;0),K_ArbeitOverTime,IF(AND(ISNUMBER(V59),V59&gt;0),K_ArbeitNormal,IF(F59=Krank,K_Krank,IF(F59=Urlaub,K_Urlaub,IF(AM59=Feiertag,K_Feiertag,IF(OR(AM59=6,AM59=7),K_Wochenende,0)))))))+IF(F59=Gleittag,K_Gleittag,0)</f>
        <v>0</v>
      </c>
      <c r="AW59" t="b">
        <f>OR((F59&gt;0),(NOT(ISBLANK(H59))),SUM(H59:H$373),SUM(G59:G$373))</f>
        <v>0</v>
      </c>
      <c r="AX59" t="b">
        <f ca="1">INDIRECT(ADDRESS(ROW(),COLUMN(xDay)))&gt;5</f>
        <v>0</v>
      </c>
      <c r="AY59" s="600">
        <f>IF(OR(R59&lt;&gt;0,F59&lt;&gt;0),AA59,IF(Z59="",0,-Z59))+(IF(AG59="+",AF59,-AF59))</f>
        <v>-0.29166666666666669</v>
      </c>
      <c r="AZ59" s="225">
        <f>SUM(AY$5:AY59)</f>
        <v>-11.08333333333333</v>
      </c>
      <c r="BA59" s="658"/>
      <c r="BB59" s="658">
        <f>IF(ISNA(MATCH(BA59,B_Arbeitsort,0)),0,MATCH(BA59,B_Arbeitsort,0))</f>
        <v>0</v>
      </c>
      <c r="BC59" s="658"/>
    </row>
    <row r="60" spans="1:55" ht="15.75">
      <c r="A60" s="305">
        <f>IF(A59="","",IF((A59+1)&gt;=DATE(YEAR(xJahr)+1,MONTH(xJahr),DAY(xJahr)),"",A59+1))</f>
        <v>43519</v>
      </c>
      <c r="B60" s="306">
        <f>IF(A60="","",A60)</f>
        <v>43519</v>
      </c>
      <c r="C60" s="307">
        <f>IF(A60="","",NumberOfWeek(A60))</f>
        <v>8</v>
      </c>
      <c r="D60" s="308">
        <f>IF(A60="","",DATE(YEAR(A60),MONTH(A60),1))</f>
        <v>43496</v>
      </c>
      <c r="E60" s="318" t="str">
        <f>IF((R60-U60)&gt;XWorkTimeMax,$Z$4,IF(AV60=Feiertag,VLOOKUP(B60,db_Feiertag,2,FALSE),""))</f>
        <v/>
      </c>
      <c r="F60" s="5"/>
      <c r="G60" s="6" t="str">
        <f>IF(ISBLANK(F60),IF(ISBLANK(H60),"",0),CODE(UPPER(F60)))</f>
        <v/>
      </c>
      <c r="H60" s="7"/>
      <c r="I60" s="7">
        <f>IF(H60&gt;0,H60+Y60+X60+AC60,0)</f>
        <v>0</v>
      </c>
      <c r="J60" s="113">
        <f>IF(K60&gt;I60,IF(I60&lt;H60,I60+1,I60)-B_WalkTime,IF(I60&lt;H60,I60+1,I60))</f>
        <v>0</v>
      </c>
      <c r="K60" s="7"/>
      <c r="L60" s="7">
        <f>IF(K60&gt;0,K60+IF((J60-H60)&lt;Y60,Y60-(J60-H60),TIME(0,10,0))+IF((K60-J60)&gt;xNoWorkTime,0,xNoWorkTime-(K60-J60)),0)</f>
        <v>0</v>
      </c>
      <c r="M60" s="113">
        <f>IF(L60&lt;K60,L60+1,L60)</f>
        <v>0</v>
      </c>
      <c r="N60" s="113"/>
      <c r="O60" s="113">
        <f>IF(N60&gt;0,N60+IF((J60-H60+M60-K60)&lt;Y60,Y60-(J60-H60+M60-K60),TIME(0,10,0))+IF((K60-J60+N60-M60)&gt;xNoWorkTime,0,xNoWorkTime-(K60-J60+N60-M60)),0)</f>
        <v>0</v>
      </c>
      <c r="P60" s="113"/>
      <c r="Q60" s="113">
        <f>IF(O60&lt;N60,O60+1,O60)</f>
        <v>0</v>
      </c>
      <c r="R60" s="113">
        <f>J60-H60+M60-K60+Q60-N60</f>
        <v>0</v>
      </c>
      <c r="S60" s="113">
        <f>IF(K60&gt;0,K60-I60,0)+IF(N60&gt;0,N60-L60)</f>
        <v>0</v>
      </c>
      <c r="T60" s="113">
        <f>IF(H60&gt;0,(IF(R60&gt;B_Pause1Nach,B_Pause1Dauer+IF(BA60="Büro",B_WalkTime,0),IF(BA60="Büro",B_WalkTime,0))+IF(R60&gt;B_Pause2Nach,B_Pause2Dauer,0)),0)</f>
        <v>0</v>
      </c>
      <c r="U60" s="113">
        <f>IF(T60&gt;S60,T60-S60,0)</f>
        <v>0</v>
      </c>
      <c r="V60" s="146">
        <f>IF(F60="S",Z60,(IF((R60-U60)&gt;XWorkTimeMax,XWorkTimeMax,IF((R60-U60)&gt;0,R60-U60,0))))</f>
        <v>0</v>
      </c>
      <c r="W60" s="66"/>
      <c r="X60" s="115">
        <f>xNoWorkTime</f>
        <v>4.027777777777778E-2</v>
      </c>
      <c r="Y60" s="110">
        <f>IF(AND((AM60&lt;Feiertag),(G60&lt;&gt;85)),IF(OR(F60="B",F60="G",F60="S",H60&gt;0),H60-H60+Z60,0),0)</f>
        <v>0</v>
      </c>
      <c r="Z60" s="111">
        <f>IF(AND(AM60&gt;0,AM60&lt;Feiertag),INDEX(Arbeitszeit,AM60),"")</f>
        <v>0.29166666666666669</v>
      </c>
      <c r="AA60" s="112">
        <f>V60-Y60</f>
        <v>0</v>
      </c>
      <c r="AB60" s="67" t="str">
        <f>IF((V60-Y60)&lt;0,"*","")</f>
        <v/>
      </c>
      <c r="AC60" s="193">
        <f>xOverTime</f>
        <v>0</v>
      </c>
      <c r="AD60" s="144" t="str">
        <f>IF((R60-U60)&gt;XWorkTimeMax,(R60-U60-XWorkTimeMax),"")</f>
        <v/>
      </c>
      <c r="AE60" s="225">
        <f>IF(AW60,(AE59+SUM(AA60)+(IF(AG60="+",AF60,-AF60))),)</f>
        <v>0</v>
      </c>
      <c r="AF60" s="110"/>
      <c r="AG60" s="627"/>
      <c r="AH60" s="110"/>
      <c r="AI60" s="110" t="str">
        <f>IF(AND(AF60&lt;&gt;"",AF60&lt;=V60),V60-AF60,"")</f>
        <v/>
      </c>
      <c r="AJ60" s="68">
        <f>IF(ISNUMBER(V60 ), IF( V60 &gt;= Y60, Y60, V60 ),"")</f>
        <v>0</v>
      </c>
      <c r="AK60" s="68">
        <f>IF( ISNUMBER( V60 ), IF( V60 &gt;= Y60, V60 - Y60, "" ), "" )</f>
        <v>0</v>
      </c>
      <c r="AL60" s="68" t="str">
        <f>IF( AND(ISNUMBER( V60 ),ISNUMBER( Y60 )), IF( V60 &gt;= Y60, "", Y60 - V60 ), "" )</f>
        <v/>
      </c>
      <c r="AM60">
        <f>IF(A60="",0,IF(ISERROR(VLOOKUP(A60,db_Feiertag,2,FALSE)),WEEKDAY(A60,2),Feiertag))</f>
        <v>5</v>
      </c>
      <c r="AN60" s="122">
        <f>SUM($AD$6:AD60)</f>
        <v>0</v>
      </c>
      <c r="AO60" s="122">
        <f ca="1">IF(D60=D59,AO59,OFFSET(AO60,-1,COLUMN(db_jSaldoGes)-COLUMN()))</f>
        <v>0</v>
      </c>
      <c r="AP60" s="126">
        <f>IF(OR($G60=-1,$G60=82),-1,IF(OR($G60=0,$G60=83),1,0))</f>
        <v>0</v>
      </c>
      <c r="AQ60" s="126">
        <f>IF($F60=Krank,1,IF($F60="J",-1,0))</f>
        <v>0</v>
      </c>
      <c r="AR60" s="126">
        <f>IF($F60=Urlaub,1,IF($F60="T",-1,0))</f>
        <v>0</v>
      </c>
      <c r="AS60" s="125">
        <f>IF(A60="","",AS59-IF(F60=Urlaub,1,0)+IF(AND(MONTH(A60)=1,DAY(A60)=1),B_UrlaubNeu,0))</f>
        <v>30</v>
      </c>
      <c r="AT60" s="125">
        <f ca="1">IF(A60="","",IF(D60=D59,AT59,OFFSET(AT60,-1,COLUMN(db_jUrlRest)-COLUMN()))+IF(AND(MONTH(A60)=1,DAY(A60)=1),B_UrlaubNeu,0))</f>
        <v>30</v>
      </c>
      <c r="AU60" s="135">
        <f>(IF(ISNUMBER(V60),V60,0)+IF(ISNUMBER(AD60),AD60,0))*24</f>
        <v>0</v>
      </c>
      <c r="AV60" s="125">
        <f>IF(ISNUMBER(AD60),K_ArbeitOverMax,IF(AND(ISNUMBER(AA60),AA60&gt;0),K_ArbeitOverTime,IF(AND(ISNUMBER(V60),V60&gt;0),K_ArbeitNormal,IF(F60=Krank,K_Krank,IF(F60=Urlaub,K_Urlaub,IF(AM60=Feiertag,K_Feiertag,IF(OR(AM60=6,AM60=7),K_Wochenende,0)))))))+IF(F60=Gleittag,K_Gleittag,0)</f>
        <v>0</v>
      </c>
      <c r="AW60" t="b">
        <f>OR((F60&gt;0),(NOT(ISBLANK(H60))),SUM(H60:H$373),SUM(G60:G$373))</f>
        <v>0</v>
      </c>
      <c r="AX60" t="b">
        <f ca="1">INDIRECT(ADDRESS(ROW(),COLUMN(xDay)))&gt;5</f>
        <v>0</v>
      </c>
      <c r="AY60" s="600">
        <f>IF(OR(R60&lt;&gt;0,F60&lt;&gt;0),AA60,IF(Z60="",0,-Z60))+(IF(AG60="+",AF60,-AF60))</f>
        <v>-0.29166666666666669</v>
      </c>
      <c r="AZ60" s="225">
        <f>SUM(AY$5:AY60)</f>
        <v>-11.374999999999996</v>
      </c>
      <c r="BA60" s="658"/>
      <c r="BB60" s="658">
        <f>IF(ISNA(MATCH(BA60,B_Arbeitsort,0)),0,MATCH(BA60,B_Arbeitsort,0))</f>
        <v>0</v>
      </c>
      <c r="BC60" s="658"/>
    </row>
    <row r="61" spans="1:55" ht="15.75">
      <c r="A61" s="305">
        <f>IF(A60="","",IF((A60+1)&gt;=DATE(YEAR(xJahr)+1,MONTH(xJahr),DAY(xJahr)),"",A60+1))</f>
        <v>43520</v>
      </c>
      <c r="B61" s="306">
        <f>IF(A61="","",A61)</f>
        <v>43520</v>
      </c>
      <c r="C61" s="307">
        <f>IF(A61="","",NumberOfWeek(A61))</f>
        <v>8</v>
      </c>
      <c r="D61" s="308">
        <f>IF(A61="","",DATE(YEAR(A61),MONTH(A61),1))</f>
        <v>43496</v>
      </c>
      <c r="E61" s="318" t="str">
        <f>IF((R61-U61)&gt;XWorkTimeMax,$Z$4,IF(AV61=Feiertag,VLOOKUP(B61,db_Feiertag,2,FALSE),""))</f>
        <v/>
      </c>
      <c r="F61" s="5"/>
      <c r="G61" s="6" t="str">
        <f>IF(ISBLANK(F61),IF(ISBLANK(H61),"",0),CODE(UPPER(F61)))</f>
        <v/>
      </c>
      <c r="H61" s="7"/>
      <c r="I61" s="7">
        <f>IF(H61&gt;0,H61+Y61+X61+AC61,0)</f>
        <v>0</v>
      </c>
      <c r="J61" s="113">
        <f>IF(K61&gt;I61,IF(I61&lt;H61,I61+1,I61)-B_WalkTime,IF(I61&lt;H61,I61+1,I61))</f>
        <v>0</v>
      </c>
      <c r="K61" s="7"/>
      <c r="L61" s="7">
        <f>IF(K61&gt;0,K61+IF((J61-H61)&lt;Y61,Y61-(J61-H61),TIME(0,10,0))+IF((K61-J61)&gt;xNoWorkTime,0,xNoWorkTime-(K61-J61)),0)</f>
        <v>0</v>
      </c>
      <c r="M61" s="113">
        <f>IF(L61&lt;K61,L61+1,L61)</f>
        <v>0</v>
      </c>
      <c r="N61" s="113"/>
      <c r="O61" s="113">
        <f>IF(N61&gt;0,N61+IF((J61-H61+M61-K61)&lt;Y61,Y61-(J61-H61+M61-K61),TIME(0,10,0))+IF((K61-J61+N61-M61)&gt;xNoWorkTime,0,xNoWorkTime-(K61-J61+N61-M61)),0)</f>
        <v>0</v>
      </c>
      <c r="P61" s="113"/>
      <c r="Q61" s="113">
        <f>IF(O61&lt;N61,O61+1,O61)</f>
        <v>0</v>
      </c>
      <c r="R61" s="113">
        <f>J61-H61+M61-K61+Q61-N61</f>
        <v>0</v>
      </c>
      <c r="S61" s="113">
        <f>IF(K61&gt;0,K61-I61,0)+IF(N61&gt;0,N61-L61)</f>
        <v>0</v>
      </c>
      <c r="T61" s="113">
        <f>IF(H61&gt;0,(IF(R61&gt;B_Pause1Nach,B_Pause1Dauer+IF(BA61="Büro",B_WalkTime,0),IF(BA61="Büro",B_WalkTime,0))+IF(R61&gt;B_Pause2Nach,B_Pause2Dauer,0)),0)</f>
        <v>0</v>
      </c>
      <c r="U61" s="113">
        <f>IF(T61&gt;S61,T61-S61,0)</f>
        <v>0</v>
      </c>
      <c r="V61" s="146">
        <f>IF(F61="S",Z61,(IF((R61-U61)&gt;XWorkTimeMax,XWorkTimeMax,IF((R61-U61)&gt;0,R61-U61,0))))</f>
        <v>0</v>
      </c>
      <c r="W61" s="66"/>
      <c r="X61" s="115">
        <f>xNoWorkTime</f>
        <v>4.027777777777778E-2</v>
      </c>
      <c r="Y61" s="110">
        <f>IF(AND((AM61&lt;Feiertag),(G61&lt;&gt;85)),IF(OR(F61="B",F61="G",F61="S",H61&gt;0),H61-H61+Z61,0),0)</f>
        <v>0</v>
      </c>
      <c r="Z61" s="111">
        <f>IF(AND(AM61&gt;0,AM61&lt;Feiertag),INDEX(Arbeitszeit,AM61),"")</f>
        <v>0</v>
      </c>
      <c r="AA61" s="112">
        <f>V61-Y61</f>
        <v>0</v>
      </c>
      <c r="AB61" s="67" t="str">
        <f>IF((V61-Y61)&lt;0,"*","")</f>
        <v/>
      </c>
      <c r="AC61" s="193">
        <f>xOverTime</f>
        <v>0</v>
      </c>
      <c r="AD61" s="144" t="str">
        <f>IF((R61-U61)&gt;XWorkTimeMax,(R61-U61-XWorkTimeMax),"")</f>
        <v/>
      </c>
      <c r="AE61" s="225">
        <f>IF(AW61,(AE60+SUM(AA61)+(IF(AG61="+",AF61,-AF61))),)</f>
        <v>0</v>
      </c>
      <c r="AF61" s="110"/>
      <c r="AG61" s="627"/>
      <c r="AH61" s="110"/>
      <c r="AI61" s="110" t="str">
        <f>IF(AND(AF61&lt;&gt;"",AF61&lt;=V61),V61-AF61,"")</f>
        <v/>
      </c>
      <c r="AJ61" s="68">
        <f>IF(ISNUMBER(V61 ), IF( V61 &gt;= Y61, Y61, V61 ),"")</f>
        <v>0</v>
      </c>
      <c r="AK61" s="68">
        <f>IF( ISNUMBER( V61 ), IF( V61 &gt;= Y61, V61 - Y61, "" ), "" )</f>
        <v>0</v>
      </c>
      <c r="AL61" s="68" t="str">
        <f>IF( AND(ISNUMBER( V61 ),ISNUMBER( Y61 )), IF( V61 &gt;= Y61, "", Y61 - V61 ), "" )</f>
        <v/>
      </c>
      <c r="AM61">
        <f>IF(A61="",0,IF(ISERROR(VLOOKUP(A61,db_Feiertag,2,FALSE)),WEEKDAY(A61,2),Feiertag))</f>
        <v>6</v>
      </c>
      <c r="AN61" s="122">
        <f>SUM($AD$6:AD61)</f>
        <v>0</v>
      </c>
      <c r="AO61" s="122">
        <f ca="1">IF(D61=D60,AO60,OFFSET(AO61,-1,COLUMN(db_jSaldoGes)-COLUMN()))</f>
        <v>0</v>
      </c>
      <c r="AP61" s="126">
        <f>IF(OR($G61=-1,$G61=82),-1,IF(OR($G61=0,$G61=83),1,0))</f>
        <v>0</v>
      </c>
      <c r="AQ61" s="126">
        <f>IF($F61=Krank,1,IF($F61="J",-1,0))</f>
        <v>0</v>
      </c>
      <c r="AR61" s="126">
        <f>IF($F61=Urlaub,1,IF($F61="T",-1,0))</f>
        <v>0</v>
      </c>
      <c r="AS61" s="125">
        <f>IF(A61="","",AS60-IF(F61=Urlaub,1,0)+IF(AND(MONTH(A61)=1,DAY(A61)=1),B_UrlaubNeu,0))</f>
        <v>30</v>
      </c>
      <c r="AT61" s="125">
        <f ca="1">IF(A61="","",IF(D61=D60,AT60,OFFSET(AT61,-1,COLUMN(db_jUrlRest)-COLUMN()))+IF(AND(MONTH(A61)=1,DAY(A61)=1),B_UrlaubNeu,0))</f>
        <v>30</v>
      </c>
      <c r="AU61" s="135">
        <f>(IF(ISNUMBER(V61),V61,0)+IF(ISNUMBER(AD61),AD61,0))*24</f>
        <v>0</v>
      </c>
      <c r="AV61" s="125">
        <f>IF(ISNUMBER(AD61),K_ArbeitOverMax,IF(AND(ISNUMBER(AA61),AA61&gt;0),K_ArbeitOverTime,IF(AND(ISNUMBER(V61),V61&gt;0),K_ArbeitNormal,IF(F61=Krank,K_Krank,IF(F61=Urlaub,K_Urlaub,IF(AM61=Feiertag,K_Feiertag,IF(OR(AM61=6,AM61=7),K_Wochenende,0)))))))+IF(F61=Gleittag,K_Gleittag,0)</f>
        <v>7</v>
      </c>
      <c r="AW61" t="b">
        <f>OR((F61&gt;0),(NOT(ISBLANK(H61))),SUM(H61:H$373),SUM(G61:G$373))</f>
        <v>0</v>
      </c>
      <c r="AX61" t="b">
        <f ca="1">INDIRECT(ADDRESS(ROW(),COLUMN(xDay)))&gt;5</f>
        <v>1</v>
      </c>
      <c r="AY61" s="600">
        <f>IF(OR(R61&lt;&gt;0,F61&lt;&gt;0),AA61,IF(Z61="",0,-Z61))+(IF(AG61="+",AF61,-AF61))</f>
        <v>0</v>
      </c>
      <c r="AZ61" s="225">
        <f>SUM(AY$5:AY61)</f>
        <v>-11.374999999999996</v>
      </c>
      <c r="BA61" s="643"/>
      <c r="BB61" s="658">
        <f>IF(ISNA(MATCH(BA61,B_Arbeitsort,0)),0,MATCH(BA61,B_Arbeitsort,0))</f>
        <v>0</v>
      </c>
      <c r="BC61" s="643"/>
    </row>
    <row r="62" spans="1:55" ht="15.75">
      <c r="A62" s="305">
        <f>IF(A61="","",IF((A61+1)&gt;=DATE(YEAR(xJahr)+1,MONTH(xJahr),DAY(xJahr)),"",A61+1))</f>
        <v>43521</v>
      </c>
      <c r="B62" s="306">
        <f>IF(A62="","",A62)</f>
        <v>43521</v>
      </c>
      <c r="C62" s="307">
        <f>IF(A62="","",NumberOfWeek(A62))</f>
        <v>8</v>
      </c>
      <c r="D62" s="308">
        <f>IF(A62="","",DATE(YEAR(A62),MONTH(A62),1))</f>
        <v>43496</v>
      </c>
      <c r="E62" s="318" t="str">
        <f>IF((R62-U62)&gt;XWorkTimeMax,$Z$4,IF(AV62=Feiertag,VLOOKUP(B62,db_Feiertag,2,FALSE),""))</f>
        <v/>
      </c>
      <c r="F62" s="5"/>
      <c r="G62" s="6" t="str">
        <f>IF(ISBLANK(F62),IF(ISBLANK(H62),"",0),CODE(UPPER(F62)))</f>
        <v/>
      </c>
      <c r="H62" s="7"/>
      <c r="I62" s="7">
        <f>IF(H62&gt;0,H62+Y62+X62+AC62,0)</f>
        <v>0</v>
      </c>
      <c r="J62" s="113">
        <f>IF(K62&gt;I62,IF(I62&lt;H62,I62+1,I62)-B_WalkTime,IF(I62&lt;H62,I62+1,I62))</f>
        <v>0</v>
      </c>
      <c r="K62" s="7"/>
      <c r="L62" s="7">
        <f>IF(K62&gt;0,K62+IF((J62-H62)&lt;Y62,Y62-(J62-H62),TIME(0,10,0))+IF((K62-J62)&gt;xNoWorkTime,0,xNoWorkTime-(K62-J62)),0)</f>
        <v>0</v>
      </c>
      <c r="M62" s="113">
        <f>IF(L62&lt;K62,L62+1,L62)</f>
        <v>0</v>
      </c>
      <c r="N62" s="113"/>
      <c r="O62" s="113">
        <f>IF(N62&gt;0,N62+IF((J62-H62+M62-K62)&lt;Y62,Y62-(J62-H62+M62-K62),TIME(0,10,0))+IF((K62-J62+N62-M62)&gt;xNoWorkTime,0,xNoWorkTime-(K62-J62+N62-M62)),0)</f>
        <v>0</v>
      </c>
      <c r="P62" s="113"/>
      <c r="Q62" s="113">
        <f>IF(O62&lt;N62,O62+1,O62)</f>
        <v>0</v>
      </c>
      <c r="R62" s="113">
        <f>J62-H62+M62-K62+Q62-N62</f>
        <v>0</v>
      </c>
      <c r="S62" s="113">
        <f>IF(K62&gt;0,K62-I62,0)+IF(N62&gt;0,N62-L62)</f>
        <v>0</v>
      </c>
      <c r="T62" s="113">
        <f>IF(H62&gt;0,(IF(R62&gt;B_Pause1Nach,B_Pause1Dauer+IF(BA62="Büro",B_WalkTime,0),IF(BA62="Büro",B_WalkTime,0))+IF(R62&gt;B_Pause2Nach,B_Pause2Dauer,0)),0)</f>
        <v>0</v>
      </c>
      <c r="U62" s="113">
        <f>IF(T62&gt;S62,T62-S62,0)</f>
        <v>0</v>
      </c>
      <c r="V62" s="146">
        <f>IF(F62="S",Z62,(IF((R62-U62)&gt;XWorkTimeMax,XWorkTimeMax,IF((R62-U62)&gt;0,R62-U62,0))))</f>
        <v>0</v>
      </c>
      <c r="W62" s="66"/>
      <c r="X62" s="115">
        <f>xNoWorkTime</f>
        <v>4.027777777777778E-2</v>
      </c>
      <c r="Y62" s="110">
        <f>IF(AND((AM62&lt;Feiertag),(G62&lt;&gt;85)),IF(OR(F62="B",F62="G",F62="S",H62&gt;0),H62-H62+Z62,0),0)</f>
        <v>0</v>
      </c>
      <c r="Z62" s="111">
        <f>IF(AND(AM62&gt;0,AM62&lt;Feiertag),INDEX(Arbeitszeit,AM62),"")</f>
        <v>0</v>
      </c>
      <c r="AA62" s="112">
        <f>V62-Y62</f>
        <v>0</v>
      </c>
      <c r="AB62" s="67" t="str">
        <f>IF((V62-Y62)&lt;0,"*","")</f>
        <v/>
      </c>
      <c r="AC62" s="193">
        <f>xOverTime</f>
        <v>0</v>
      </c>
      <c r="AD62" s="144" t="str">
        <f>IF((R62-U62)&gt;XWorkTimeMax,(R62-U62-XWorkTimeMax),"")</f>
        <v/>
      </c>
      <c r="AE62" s="225">
        <f>IF(AW62,(AE61+SUM(AA62)+(IF(AG62="+",AF62,-AF62))),)</f>
        <v>0</v>
      </c>
      <c r="AF62" s="110"/>
      <c r="AG62" s="627"/>
      <c r="AH62" s="110"/>
      <c r="AI62" s="110" t="str">
        <f>IF(AND(AF62&lt;&gt;"",AF62&lt;=V62),V62-AF62,"")</f>
        <v/>
      </c>
      <c r="AJ62" s="68">
        <f>IF(ISNUMBER(V62 ), IF( V62 &gt;= Y62, Y62, V62 ),"")</f>
        <v>0</v>
      </c>
      <c r="AK62" s="68">
        <f>IF( ISNUMBER( V62 ), IF( V62 &gt;= Y62, V62 - Y62, "" ), "" )</f>
        <v>0</v>
      </c>
      <c r="AL62" s="68" t="str">
        <f>IF( AND(ISNUMBER( V62 ),ISNUMBER( Y62 )), IF( V62 &gt;= Y62, "", Y62 - V62 ), "" )</f>
        <v/>
      </c>
      <c r="AM62">
        <f>IF(A62="",0,IF(ISERROR(VLOOKUP(A62,db_Feiertag,2,FALSE)),WEEKDAY(A62,2),Feiertag))</f>
        <v>7</v>
      </c>
      <c r="AN62" s="122">
        <f>SUM($AD$6:AD62)</f>
        <v>0</v>
      </c>
      <c r="AO62" s="122">
        <f ca="1">IF(D62=D61,AO61,OFFSET(AO62,-1,COLUMN(db_jSaldoGes)-COLUMN()))</f>
        <v>0</v>
      </c>
      <c r="AP62" s="126">
        <f>IF(OR($G62=-1,$G62=82),-1,IF(OR($G62=0,$G62=83),1,0))</f>
        <v>0</v>
      </c>
      <c r="AQ62" s="126">
        <f>IF($F62=Krank,1,IF($F62="J",-1,0))</f>
        <v>0</v>
      </c>
      <c r="AR62" s="126">
        <f>IF($F62=Urlaub,1,IF($F62="T",-1,0))</f>
        <v>0</v>
      </c>
      <c r="AS62" s="125">
        <f>IF(A62="","",AS61-IF(F62=Urlaub,1,0)+IF(AND(MONTH(A62)=1,DAY(A62)=1),B_UrlaubNeu,0))</f>
        <v>30</v>
      </c>
      <c r="AT62" s="125">
        <f ca="1">IF(A62="","",IF(D62=D61,AT61,OFFSET(AT62,-1,COLUMN(db_jUrlRest)-COLUMN()))+IF(AND(MONTH(A62)=1,DAY(A62)=1),B_UrlaubNeu,0))</f>
        <v>30</v>
      </c>
      <c r="AU62" s="135">
        <f>(IF(ISNUMBER(V62),V62,0)+IF(ISNUMBER(AD62),AD62,0))*24</f>
        <v>0</v>
      </c>
      <c r="AV62" s="125">
        <f>IF(ISNUMBER(AD62),K_ArbeitOverMax,IF(AND(ISNUMBER(AA62),AA62&gt;0),K_ArbeitOverTime,IF(AND(ISNUMBER(V62),V62&gt;0),K_ArbeitNormal,IF(F62=Krank,K_Krank,IF(F62=Urlaub,K_Urlaub,IF(AM62=Feiertag,K_Feiertag,IF(OR(AM62=6,AM62=7),K_Wochenende,0)))))))+IF(F62=Gleittag,K_Gleittag,0)</f>
        <v>7</v>
      </c>
      <c r="AW62" t="b">
        <f>OR((F62&gt;0),(NOT(ISBLANK(H62))),SUM(H62:H$373),SUM(G62:G$373))</f>
        <v>0</v>
      </c>
      <c r="AX62" t="b">
        <f ca="1">INDIRECT(ADDRESS(ROW(),COLUMN(xDay)))&gt;5</f>
        <v>1</v>
      </c>
      <c r="AY62" s="600">
        <f>IF(OR(R62&lt;&gt;0,F62&lt;&gt;0),AA62,IF(Z62="",0,-Z62))+(IF(AG62="+",AF62,-AF62))</f>
        <v>0</v>
      </c>
      <c r="AZ62" s="225">
        <f>SUM(AY$5:AY62)</f>
        <v>-11.374999999999996</v>
      </c>
      <c r="BA62" s="643"/>
      <c r="BB62" s="658">
        <f>IF(ISNA(MATCH(BA62,B_Arbeitsort,0)),0,MATCH(BA62,B_Arbeitsort,0))</f>
        <v>0</v>
      </c>
      <c r="BC62" s="643"/>
    </row>
    <row r="63" spans="1:55" ht="15.75">
      <c r="A63" s="305">
        <f>IF(A62="","",IF((A62+1)&gt;=DATE(YEAR(xJahr)+1,MONTH(xJahr),DAY(xJahr)),"",A62+1))</f>
        <v>43522</v>
      </c>
      <c r="B63" s="306">
        <f>IF(A63="","",A63)</f>
        <v>43522</v>
      </c>
      <c r="C63" s="307">
        <f>IF(A63="","",NumberOfWeek(A63))</f>
        <v>9</v>
      </c>
      <c r="D63" s="308">
        <f>IF(A63="","",DATE(YEAR(A63),MONTH(A63),1))</f>
        <v>43496</v>
      </c>
      <c r="E63" s="318" t="str">
        <f>IF((R63-U63)&gt;XWorkTimeMax,$Z$4,IF(AV63=Feiertag,VLOOKUP(B63,db_Feiertag,2,FALSE),""))</f>
        <v/>
      </c>
      <c r="F63" s="5"/>
      <c r="G63" s="6" t="str">
        <f>IF(ISBLANK(F63),IF(ISBLANK(H63),"",0),CODE(UPPER(F63)))</f>
        <v/>
      </c>
      <c r="H63" s="7"/>
      <c r="I63" s="7">
        <f>IF(H63&gt;0,H63+Y63+X63+AC63,0)</f>
        <v>0</v>
      </c>
      <c r="J63" s="113">
        <f>IF(K63&gt;I63,IF(I63&lt;H63,I63+1,I63)-B_WalkTime,IF(I63&lt;H63,I63+1,I63))</f>
        <v>0</v>
      </c>
      <c r="K63" s="7"/>
      <c r="L63" s="7">
        <f>IF(K63&gt;0,K63+IF((J63-H63)&lt;Y63,Y63-(J63-H63),TIME(0,10,0))+IF((K63-J63)&gt;xNoWorkTime,0,xNoWorkTime-(K63-J63)),0)</f>
        <v>0</v>
      </c>
      <c r="M63" s="113">
        <f>IF(L63&lt;K63,L63+1,L63)</f>
        <v>0</v>
      </c>
      <c r="N63" s="113"/>
      <c r="O63" s="113">
        <f>IF(N63&gt;0,N63+IF((J63-H63+M63-K63)&lt;Y63,Y63-(J63-H63+M63-K63),TIME(0,10,0))+IF((K63-J63+N63-M63)&gt;xNoWorkTime,0,xNoWorkTime-(K63-J63+N63-M63)),0)</f>
        <v>0</v>
      </c>
      <c r="P63" s="113"/>
      <c r="Q63" s="113">
        <f>IF(O63&lt;N63,O63+1,O63)</f>
        <v>0</v>
      </c>
      <c r="R63" s="113">
        <f>J63-H63+M63-K63+Q63-N63</f>
        <v>0</v>
      </c>
      <c r="S63" s="113">
        <f>IF(K63&gt;0,K63-I63,0)+IF(N63&gt;0,N63-L63)</f>
        <v>0</v>
      </c>
      <c r="T63" s="113">
        <f>IF(H63&gt;0,(IF(R63&gt;B_Pause1Nach,B_Pause1Dauer+IF(BA63="Büro",B_WalkTime,0),IF(BA63="Büro",B_WalkTime,0))+IF(R63&gt;B_Pause2Nach,B_Pause2Dauer,0)),0)</f>
        <v>0</v>
      </c>
      <c r="U63" s="113">
        <f>IF(T63&gt;S63,T63-S63,0)</f>
        <v>0</v>
      </c>
      <c r="V63" s="146">
        <f>IF(F63="S",Z63,(IF((R63-U63)&gt;XWorkTimeMax,XWorkTimeMax,IF((R63-U63)&gt;0,R63-U63,0))))</f>
        <v>0</v>
      </c>
      <c r="W63" s="66"/>
      <c r="X63" s="115">
        <f>xNoWorkTime</f>
        <v>4.027777777777778E-2</v>
      </c>
      <c r="Y63" s="110">
        <f>IF(AND((AM63&lt;Feiertag),(G63&lt;&gt;85)),IF(OR(F63="B",F63="G",F63="S",H63&gt;0),H63-H63+Z63,0),0)</f>
        <v>0</v>
      </c>
      <c r="Z63" s="111">
        <f>IF(AND(AM63&gt;0,AM63&lt;Feiertag),INDEX(Arbeitszeit,AM63),"")</f>
        <v>0.29166666666666669</v>
      </c>
      <c r="AA63" s="112">
        <f>V63-Y63</f>
        <v>0</v>
      </c>
      <c r="AB63" s="67" t="str">
        <f>IF((V63-Y63)&lt;0,"*","")</f>
        <v/>
      </c>
      <c r="AC63" s="193">
        <f>xOverTime</f>
        <v>0</v>
      </c>
      <c r="AD63" s="144" t="str">
        <f>IF((R63-U63)&gt;XWorkTimeMax,(R63-U63-XWorkTimeMax),"")</f>
        <v/>
      </c>
      <c r="AE63" s="225">
        <f>IF(AW63,(AE62+SUM(AA63)+(IF(AG63="+",AF63,-AF63))),)</f>
        <v>0</v>
      </c>
      <c r="AF63" s="110"/>
      <c r="AG63" s="627"/>
      <c r="AH63" s="110"/>
      <c r="AI63" s="110" t="str">
        <f>IF(AND(AF63&lt;&gt;"",AF63&lt;=V63),V63-AF63,"")</f>
        <v/>
      </c>
      <c r="AJ63" s="68">
        <f>IF(ISNUMBER(V63 ), IF( V63 &gt;= Y63, Y63, V63 ),"")</f>
        <v>0</v>
      </c>
      <c r="AK63" s="68">
        <f>IF( ISNUMBER( V63 ), IF( V63 &gt;= Y63, V63 - Y63, "" ), "" )</f>
        <v>0</v>
      </c>
      <c r="AL63" s="68" t="str">
        <f>IF( AND(ISNUMBER( V63 ),ISNUMBER( Y63 )), IF( V63 &gt;= Y63, "", Y63 - V63 ), "" )</f>
        <v/>
      </c>
      <c r="AM63">
        <f>IF(A63="",0,IF(ISERROR(VLOOKUP(A63,db_Feiertag,2,FALSE)),WEEKDAY(A63,2),Feiertag))</f>
        <v>1</v>
      </c>
      <c r="AN63" s="122">
        <f>SUM($AD$6:AD63)</f>
        <v>0</v>
      </c>
      <c r="AO63" s="122">
        <f ca="1">IF(D63=D62,AO62,OFFSET(AO63,-1,COLUMN(db_jSaldoGes)-COLUMN()))</f>
        <v>0</v>
      </c>
      <c r="AP63" s="126">
        <f>IF(OR($G63=-1,$G63=82),-1,IF(OR($G63=0,$G63=83),1,0))</f>
        <v>0</v>
      </c>
      <c r="AQ63" s="126">
        <f>IF($F63=Krank,1,IF($F63="J",-1,0))</f>
        <v>0</v>
      </c>
      <c r="AR63" s="126">
        <f>IF($F63=Urlaub,1,IF($F63="T",-1,0))</f>
        <v>0</v>
      </c>
      <c r="AS63" s="125">
        <f>IF(A63="","",AS62-IF(F63=Urlaub,1,0)+IF(AND(MONTH(A63)=1,DAY(A63)=1),B_UrlaubNeu,0))</f>
        <v>30</v>
      </c>
      <c r="AT63" s="125">
        <f ca="1">IF(A63="","",IF(D63=D62,AT62,OFFSET(AT63,-1,COLUMN(db_jUrlRest)-COLUMN()))+IF(AND(MONTH(A63)=1,DAY(A63)=1),B_UrlaubNeu,0))</f>
        <v>30</v>
      </c>
      <c r="AU63" s="135">
        <f>(IF(ISNUMBER(V63),V63,0)+IF(ISNUMBER(AD63),AD63,0))*24</f>
        <v>0</v>
      </c>
      <c r="AV63" s="125">
        <f>IF(ISNUMBER(AD63),K_ArbeitOverMax,IF(AND(ISNUMBER(AA63),AA63&gt;0),K_ArbeitOverTime,IF(AND(ISNUMBER(V63),V63&gt;0),K_ArbeitNormal,IF(F63=Krank,K_Krank,IF(F63=Urlaub,K_Urlaub,IF(AM63=Feiertag,K_Feiertag,IF(OR(AM63=6,AM63=7),K_Wochenende,0)))))))+IF(F63=Gleittag,K_Gleittag,0)</f>
        <v>0</v>
      </c>
      <c r="AW63" t="b">
        <f>OR((F63&gt;0),(NOT(ISBLANK(H63))),SUM(H63:H$373),SUM(G63:G$373))</f>
        <v>0</v>
      </c>
      <c r="AX63" t="b">
        <f ca="1">INDIRECT(ADDRESS(ROW(),COLUMN(xDay)))&gt;5</f>
        <v>0</v>
      </c>
      <c r="AY63" s="600">
        <f>IF(OR(R63&lt;&gt;0,F63&lt;&gt;0),AA63,IF(Z63="",0,-Z63))+(IF(AG63="+",AF63,-AF63))</f>
        <v>-0.29166666666666669</v>
      </c>
      <c r="AZ63" s="225">
        <f>SUM(AY$5:AY63)</f>
        <v>-11.666666666666663</v>
      </c>
      <c r="BA63" s="658"/>
      <c r="BB63" s="658">
        <f>IF(ISNA(MATCH(BA63,B_Arbeitsort,0)),0,MATCH(BA63,B_Arbeitsort,0))</f>
        <v>0</v>
      </c>
      <c r="BC63" s="658"/>
    </row>
    <row r="64" spans="1:55" ht="15.75">
      <c r="A64" s="305">
        <f>IF(A63="","",IF((A63+1)&gt;=DATE(YEAR(xJahr)+1,MONTH(xJahr),DAY(xJahr)),"",A63+1))</f>
        <v>43523</v>
      </c>
      <c r="B64" s="306">
        <f>IF(A64="","",A64)</f>
        <v>43523</v>
      </c>
      <c r="C64" s="307">
        <f>IF(A64="","",NumberOfWeek(A64))</f>
        <v>9</v>
      </c>
      <c r="D64" s="308">
        <f>IF(A64="","",DATE(YEAR(A64),MONTH(A64),1))</f>
        <v>43496</v>
      </c>
      <c r="E64" s="318" t="str">
        <f>IF((R64-U64)&gt;XWorkTimeMax,$Z$4,IF(AV64=Feiertag,VLOOKUP(B64,db_Feiertag,2,FALSE),""))</f>
        <v/>
      </c>
      <c r="F64" s="5"/>
      <c r="G64" s="6" t="str">
        <f>IF(ISBLANK(F64),IF(ISBLANK(H64),"",0),CODE(UPPER(F64)))</f>
        <v/>
      </c>
      <c r="H64" s="7"/>
      <c r="I64" s="7">
        <f>IF(H64&gt;0,H64+Y64+X64+AC64,0)</f>
        <v>0</v>
      </c>
      <c r="J64" s="113">
        <f>IF(K64&gt;I64,IF(I64&lt;H64,I64+1,I64)-B_WalkTime,IF(I64&lt;H64,I64+1,I64))</f>
        <v>0</v>
      </c>
      <c r="K64" s="7"/>
      <c r="L64" s="7">
        <f>IF(K64&gt;0,K64+IF((J64-H64)&lt;Y64,Y64-(J64-H64),TIME(0,10,0))+IF((K64-J64)&gt;xNoWorkTime,0,xNoWorkTime-(K64-J64)),0)</f>
        <v>0</v>
      </c>
      <c r="M64" s="113">
        <f>IF(L64&lt;K64,L64+1,L64)</f>
        <v>0</v>
      </c>
      <c r="N64" s="113"/>
      <c r="O64" s="113">
        <f>IF(N64&gt;0,N64+IF((J64-H64+M64-K64)&lt;Y64,Y64-(J64-H64+M64-K64),TIME(0,10,0))+IF((K64-J64+N64-M64)&gt;xNoWorkTime,0,xNoWorkTime-(K64-J64+N64-M64)),0)</f>
        <v>0</v>
      </c>
      <c r="P64" s="113"/>
      <c r="Q64" s="113">
        <f>IF(O64&lt;N64,O64+1,O64)</f>
        <v>0</v>
      </c>
      <c r="R64" s="113">
        <f>J64-H64+M64-K64+Q64-N64</f>
        <v>0</v>
      </c>
      <c r="S64" s="113">
        <f>IF(K64&gt;0,K64-I64,0)+IF(N64&gt;0,N64-L64)</f>
        <v>0</v>
      </c>
      <c r="T64" s="113">
        <f>IF(H64&gt;0,(IF(R64&gt;B_Pause1Nach,B_Pause1Dauer+IF(BA64="Büro",B_WalkTime,0),IF(BA64="Büro",B_WalkTime,0))+IF(R64&gt;B_Pause2Nach,B_Pause2Dauer,0)),0)</f>
        <v>0</v>
      </c>
      <c r="U64" s="113">
        <f>IF(T64&gt;S64,T64-S64,0)</f>
        <v>0</v>
      </c>
      <c r="V64" s="146">
        <f>IF(F64="S",Z64,(IF((R64-U64)&gt;XWorkTimeMax,XWorkTimeMax,IF((R64-U64)&gt;0,R64-U64,0))))</f>
        <v>0</v>
      </c>
      <c r="W64" s="66"/>
      <c r="X64" s="115">
        <f>xNoWorkTime</f>
        <v>4.027777777777778E-2</v>
      </c>
      <c r="Y64" s="110">
        <f>IF(AND((AM64&lt;Feiertag),(G64&lt;&gt;85)),IF(OR(F64="B",F64="G",F64="S",H64&gt;0),H64-H64+Z64,0),0)</f>
        <v>0</v>
      </c>
      <c r="Z64" s="111">
        <f>IF(AND(AM64&gt;0,AM64&lt;Feiertag),INDEX(Arbeitszeit,AM64),"")</f>
        <v>0.29166666666666669</v>
      </c>
      <c r="AA64" s="112">
        <f>V64-Y64</f>
        <v>0</v>
      </c>
      <c r="AB64" s="67" t="str">
        <f>IF((V64-Y64)&lt;0,"*","")</f>
        <v/>
      </c>
      <c r="AC64" s="193">
        <f>xOverTime</f>
        <v>0</v>
      </c>
      <c r="AD64" s="144" t="str">
        <f>IF((R64-U64)&gt;XWorkTimeMax,(R64-U64-XWorkTimeMax),"")</f>
        <v/>
      </c>
      <c r="AE64" s="225">
        <f>IF(AW64,(AE63+SUM(AA64)+(IF(AG64="+",AF64,-AF64))),)</f>
        <v>0</v>
      </c>
      <c r="AF64" s="110"/>
      <c r="AG64" s="627"/>
      <c r="AH64" s="110"/>
      <c r="AI64" s="110" t="str">
        <f>IF(AND(AF64&lt;&gt;"",AF64&lt;=V64),V64-AF64,"")</f>
        <v/>
      </c>
      <c r="AJ64" s="68">
        <f>IF(ISNUMBER(V64 ), IF( V64 &gt;= Y64, Y64, V64 ),"")</f>
        <v>0</v>
      </c>
      <c r="AK64" s="68">
        <f>IF( ISNUMBER( V64 ), IF( V64 &gt;= Y64, V64 - Y64, "" ), "" )</f>
        <v>0</v>
      </c>
      <c r="AL64" s="68" t="str">
        <f>IF( AND(ISNUMBER( V64 ),ISNUMBER( Y64 )), IF( V64 &gt;= Y64, "", Y64 - V64 ), "" )</f>
        <v/>
      </c>
      <c r="AM64">
        <f>IF(A64="",0,IF(ISERROR(VLOOKUP(A64,db_Feiertag,2,FALSE)),WEEKDAY(A64,2),Feiertag))</f>
        <v>2</v>
      </c>
      <c r="AN64" s="122">
        <f>SUM($AD$6:AD64)</f>
        <v>0</v>
      </c>
      <c r="AO64" s="122">
        <f ca="1">IF(D64=D63,AO63,OFFSET(AO64,-1,COLUMN(db_jSaldoGes)-COLUMN()))</f>
        <v>0</v>
      </c>
      <c r="AP64" s="126">
        <f>IF(OR($G64=-1,$G64=82),-1,IF(OR($G64=0,$G64=83),1,0))</f>
        <v>0</v>
      </c>
      <c r="AQ64" s="126">
        <f>IF($F64=Krank,1,IF($F64="J",-1,0))</f>
        <v>0</v>
      </c>
      <c r="AR64" s="126">
        <f>IF($F64=Urlaub,1,IF($F64="T",-1,0))</f>
        <v>0</v>
      </c>
      <c r="AS64" s="125">
        <f>IF(A64="","",AS63-IF(F64=Urlaub,1,0)+IF(AND(MONTH(A64)=1,DAY(A64)=1),B_UrlaubNeu,0))</f>
        <v>30</v>
      </c>
      <c r="AT64" s="125">
        <f ca="1">IF(A64="","",IF(D64=D63,AT63,OFFSET(AT64,-1,COLUMN(db_jUrlRest)-COLUMN()))+IF(AND(MONTH(A64)=1,DAY(A64)=1),B_UrlaubNeu,0))</f>
        <v>30</v>
      </c>
      <c r="AU64" s="135">
        <f>(IF(ISNUMBER(V64),V64,0)+IF(ISNUMBER(AD64),AD64,0))*24</f>
        <v>0</v>
      </c>
      <c r="AV64" s="125">
        <f>IF(ISNUMBER(AD64),K_ArbeitOverMax,IF(AND(ISNUMBER(AA64),AA64&gt;0),K_ArbeitOverTime,IF(AND(ISNUMBER(V64),V64&gt;0),K_ArbeitNormal,IF(F64=Krank,K_Krank,IF(F64=Urlaub,K_Urlaub,IF(AM64=Feiertag,K_Feiertag,IF(OR(AM64=6,AM64=7),K_Wochenende,0)))))))+IF(F64=Gleittag,K_Gleittag,0)</f>
        <v>0</v>
      </c>
      <c r="AW64" t="b">
        <f>OR((F64&gt;0),(NOT(ISBLANK(H64))),SUM(H64:H$373),SUM(G64:G$373))</f>
        <v>0</v>
      </c>
      <c r="AX64" t="b">
        <f ca="1">INDIRECT(ADDRESS(ROW(),COLUMN(xDay)))&gt;5</f>
        <v>0</v>
      </c>
      <c r="AY64" s="600">
        <f>IF(OR(R64&lt;&gt;0,F64&lt;&gt;0),AA64,IF(Z64="",0,-Z64))+(IF(AG64="+",AF64,-AF64))</f>
        <v>-0.29166666666666669</v>
      </c>
      <c r="AZ64" s="225">
        <f>SUM(AY$5:AY64)</f>
        <v>-11.958333333333329</v>
      </c>
      <c r="BA64" s="658"/>
      <c r="BB64" s="658">
        <f>IF(ISNA(MATCH(BA64,B_Arbeitsort,0)),0,MATCH(BA64,B_Arbeitsort,0))</f>
        <v>0</v>
      </c>
      <c r="BC64" s="658"/>
    </row>
    <row r="65" spans="1:55" ht="15.75">
      <c r="A65" s="305">
        <f>IF(A64="","",IF((A64+1)&gt;=DATE(YEAR(xJahr)+1,MONTH(xJahr),DAY(xJahr)),"",A64+1))</f>
        <v>43524</v>
      </c>
      <c r="B65" s="306">
        <f>IF(A65="","",A65)</f>
        <v>43524</v>
      </c>
      <c r="C65" s="307">
        <f>IF(A65="","",NumberOfWeek(A65))</f>
        <v>9</v>
      </c>
      <c r="D65" s="308">
        <f>IF(A65="","",DATE(YEAR(A65),MONTH(A65),1))</f>
        <v>43524</v>
      </c>
      <c r="E65" s="318" t="str">
        <f>IF((R65-U65)&gt;XWorkTimeMax,$Z$4,IF(AV65=Feiertag,VLOOKUP(B65,db_Feiertag,2,FALSE),""))</f>
        <v/>
      </c>
      <c r="F65" s="5"/>
      <c r="G65" s="6" t="str">
        <f>IF(ISBLANK(F65),IF(ISBLANK(H65),"",0),CODE(UPPER(F65)))</f>
        <v/>
      </c>
      <c r="H65" s="7"/>
      <c r="I65" s="7">
        <f>IF(H65&gt;0,H65+Y65+X65+AC65,0)</f>
        <v>0</v>
      </c>
      <c r="J65" s="113">
        <f>IF(K65&gt;I65,IF(I65&lt;H65,I65+1,I65)-B_WalkTime,IF(I65&lt;H65,I65+1,I65))</f>
        <v>0</v>
      </c>
      <c r="K65" s="7"/>
      <c r="L65" s="7">
        <f>IF(K65&gt;0,K65+IF((J65-H65)&lt;Y65,Y65-(J65-H65),TIME(0,10,0))+IF((K65-J65)&gt;xNoWorkTime,0,xNoWorkTime-(K65-J65)),0)</f>
        <v>0</v>
      </c>
      <c r="M65" s="113">
        <f>IF(L65&lt;K65,L65+1,L65)</f>
        <v>0</v>
      </c>
      <c r="N65" s="113"/>
      <c r="O65" s="113">
        <f>IF(N65&gt;0,N65+IF((J65-H65+M65-K65)&lt;Y65,Y65-(J65-H65+M65-K65),TIME(0,10,0))+IF((K65-J65+N65-M65)&gt;xNoWorkTime,0,xNoWorkTime-(K65-J65+N65-M65)),0)</f>
        <v>0</v>
      </c>
      <c r="P65" s="113"/>
      <c r="Q65" s="113">
        <f>IF(O65&lt;N65,O65+1,O65)</f>
        <v>0</v>
      </c>
      <c r="R65" s="113">
        <f>J65-H65+M65-K65+Q65-N65</f>
        <v>0</v>
      </c>
      <c r="S65" s="113">
        <f>IF(K65&gt;0,K65-I65,0)+IF(N65&gt;0,N65-L65)</f>
        <v>0</v>
      </c>
      <c r="T65" s="113">
        <f>IF(H65&gt;0,(IF(R65&gt;B_Pause1Nach,B_Pause1Dauer+IF(BA65="Büro",B_WalkTime,0),IF(BA65="Büro",B_WalkTime,0))+IF(R65&gt;B_Pause2Nach,B_Pause2Dauer,0)),0)</f>
        <v>0</v>
      </c>
      <c r="U65" s="113">
        <f>IF(T65&gt;S65,T65-S65,0)</f>
        <v>0</v>
      </c>
      <c r="V65" s="146">
        <f>IF(F65="S",Z65,(IF((R65-U65)&gt;XWorkTimeMax,XWorkTimeMax,IF((R65-U65)&gt;0,R65-U65,0))))</f>
        <v>0</v>
      </c>
      <c r="W65" s="66"/>
      <c r="X65" s="115">
        <f>xNoWorkTime</f>
        <v>4.027777777777778E-2</v>
      </c>
      <c r="Y65" s="110">
        <f>IF(AND((AM65&lt;Feiertag),(G65&lt;&gt;85)),IF(OR(F65="B",F65="G",F65="S",H65&gt;0),H65-H65+Z65,0),0)</f>
        <v>0</v>
      </c>
      <c r="Z65" s="111">
        <f>IF(AND(AM65&gt;0,AM65&lt;Feiertag),INDEX(Arbeitszeit,AM65),"")</f>
        <v>0.29166666666666669</v>
      </c>
      <c r="AA65" s="112">
        <f>V65-Y65</f>
        <v>0</v>
      </c>
      <c r="AB65" s="67" t="str">
        <f>IF((V65-Y65)&lt;0,"*","")</f>
        <v/>
      </c>
      <c r="AC65" s="193">
        <f>xOverTime</f>
        <v>0</v>
      </c>
      <c r="AD65" s="144" t="str">
        <f>IF((R65-U65)&gt;XWorkTimeMax,(R65-U65-XWorkTimeMax),"")</f>
        <v/>
      </c>
      <c r="AE65" s="225">
        <f>IF(AW65,(AE64+SUM(AA65)+(IF(AG65="+",AF65,-AF65))),)</f>
        <v>0</v>
      </c>
      <c r="AF65" s="110"/>
      <c r="AG65" s="627"/>
      <c r="AH65" s="110"/>
      <c r="AI65" s="110" t="str">
        <f>IF(AND(AF65&lt;&gt;"",AF65&lt;=V65),V65-AF65,"")</f>
        <v/>
      </c>
      <c r="AJ65" s="68">
        <f>IF(ISNUMBER(V65 ), IF( V65 &gt;= Y65, Y65, V65 ),"")</f>
        <v>0</v>
      </c>
      <c r="AK65" s="68">
        <f>IF( ISNUMBER( V65 ), IF( V65 &gt;= Y65, V65 - Y65, "" ), "" )</f>
        <v>0</v>
      </c>
      <c r="AL65" s="68" t="str">
        <f>IF( AND(ISNUMBER( V65 ),ISNUMBER( Y65 )), IF( V65 &gt;= Y65, "", Y65 - V65 ), "" )</f>
        <v/>
      </c>
      <c r="AM65">
        <f>IF(A65="",0,IF(ISERROR(VLOOKUP(A65,db_Feiertag,2,FALSE)),WEEKDAY(A65,2),Feiertag))</f>
        <v>3</v>
      </c>
      <c r="AN65" s="122">
        <f>SUM($AD$6:AD65)</f>
        <v>0</v>
      </c>
      <c r="AO65" s="122">
        <f ca="1">IF(D65=D64,AO64,OFFSET(AO65,-1,COLUMN(db_jSaldoGes)-COLUMN()))</f>
        <v>0</v>
      </c>
      <c r="AP65" s="126">
        <f>IF(OR($G65=-1,$G65=82),-1,IF(OR($G65=0,$G65=83),1,0))</f>
        <v>0</v>
      </c>
      <c r="AQ65" s="126">
        <f>IF($F65=Krank,1,IF($F65="J",-1,0))</f>
        <v>0</v>
      </c>
      <c r="AR65" s="126">
        <f>IF($F65=Urlaub,1,IF($F65="T",-1,0))</f>
        <v>0</v>
      </c>
      <c r="AS65" s="125">
        <f>IF(A65="","",AS64-IF(F65=Urlaub,1,0)+IF(AND(MONTH(A65)=1,DAY(A65)=1),B_UrlaubNeu,0))</f>
        <v>30</v>
      </c>
      <c r="AT65" s="125">
        <f ca="1">IF(A65="","",IF(D65=D64,AT64,OFFSET(AT65,-1,COLUMN(db_jUrlRest)-COLUMN()))+IF(AND(MONTH(A65)=1,DAY(A65)=1),B_UrlaubNeu,0))</f>
        <v>30</v>
      </c>
      <c r="AU65" s="135">
        <f>(IF(ISNUMBER(V65),V65,0)+IF(ISNUMBER(AD65),AD65,0))*24</f>
        <v>0</v>
      </c>
      <c r="AV65" s="125">
        <f>IF(ISNUMBER(AD65),K_ArbeitOverMax,IF(AND(ISNUMBER(AA65),AA65&gt;0),K_ArbeitOverTime,IF(AND(ISNUMBER(V65),V65&gt;0),K_ArbeitNormal,IF(F65=Krank,K_Krank,IF(F65=Urlaub,K_Urlaub,IF(AM65=Feiertag,K_Feiertag,IF(OR(AM65=6,AM65=7),K_Wochenende,0)))))))+IF(F65=Gleittag,K_Gleittag,0)</f>
        <v>0</v>
      </c>
      <c r="AW65" t="b">
        <f>OR((F65&gt;0),(NOT(ISBLANK(H65))),SUM(H65:H$373),SUM(G65:G$373))</f>
        <v>0</v>
      </c>
      <c r="AX65" t="b">
        <f ca="1">INDIRECT(ADDRESS(ROW(),COLUMN(xDay)))&gt;5</f>
        <v>0</v>
      </c>
      <c r="AY65" s="600">
        <f>IF(OR(R65&lt;&gt;0,F65&lt;&gt;0),AA65,IF(Z65="",0,-Z65))+(IF(AG65="+",AF65,-AF65))</f>
        <v>-0.29166666666666669</v>
      </c>
      <c r="AZ65" s="225">
        <f>SUM(AY$5:AY65)</f>
        <v>-12.249999999999995</v>
      </c>
      <c r="BA65" s="658"/>
      <c r="BB65" s="658">
        <f>IF(ISNA(MATCH(BA65,B_Arbeitsort,0)),0,MATCH(BA65,B_Arbeitsort,0))</f>
        <v>0</v>
      </c>
      <c r="BC65" s="658"/>
    </row>
    <row r="66" spans="1:55" ht="15.75">
      <c r="A66" s="305">
        <f>IF(A65="","",IF((A65+1)&gt;=DATE(YEAR(xJahr)+1,MONTH(xJahr),DAY(xJahr)),"",A65+1))</f>
        <v>43525</v>
      </c>
      <c r="B66" s="306">
        <f>IF(A66="","",A66)</f>
        <v>43525</v>
      </c>
      <c r="C66" s="307">
        <f>IF(A66="","",NumberOfWeek(A66))</f>
        <v>9</v>
      </c>
      <c r="D66" s="308">
        <f>IF(A66="","",DATE(YEAR(A66),MONTH(A66),1))</f>
        <v>43524</v>
      </c>
      <c r="E66" s="318" t="str">
        <f>IF((R66-U66)&gt;XWorkTimeMax,$Z$4,IF(AV66=Feiertag,VLOOKUP(B66,db_Feiertag,2,FALSE),""))</f>
        <v/>
      </c>
      <c r="F66" s="5"/>
      <c r="G66" s="6" t="str">
        <f>IF(ISBLANK(F66),IF(ISBLANK(H66),"",0),CODE(UPPER(F66)))</f>
        <v/>
      </c>
      <c r="H66" s="7"/>
      <c r="I66" s="7">
        <f>IF(H66&gt;0,H66+Y66+X66+AC66,0)</f>
        <v>0</v>
      </c>
      <c r="J66" s="113">
        <f>IF(K66&gt;I66,IF(I66&lt;H66,I66+1,I66)-B_WalkTime,IF(I66&lt;H66,I66+1,I66))</f>
        <v>0</v>
      </c>
      <c r="K66" s="7"/>
      <c r="L66" s="7">
        <f>IF(K66&gt;0,K66+IF((J66-H66)&lt;Y66,Y66-(J66-H66),TIME(0,10,0))+IF((K66-J66)&gt;xNoWorkTime,0,xNoWorkTime-(K66-J66)),0)</f>
        <v>0</v>
      </c>
      <c r="M66" s="113">
        <f>IF(L66&lt;K66,L66+1,L66)</f>
        <v>0</v>
      </c>
      <c r="N66" s="113"/>
      <c r="O66" s="113">
        <f>IF(N66&gt;0,N66+IF((J66-H66+M66-K66)&lt;Y66,Y66-(J66-H66+M66-K66),TIME(0,10,0))+IF((K66-J66+N66-M66)&gt;xNoWorkTime,0,xNoWorkTime-(K66-J66+N66-M66)),0)</f>
        <v>0</v>
      </c>
      <c r="P66" s="113"/>
      <c r="Q66" s="113">
        <f>IF(O66&lt;N66,O66+1,O66)</f>
        <v>0</v>
      </c>
      <c r="R66" s="113">
        <f>J66-H66+M66-K66+Q66-N66</f>
        <v>0</v>
      </c>
      <c r="S66" s="113">
        <f>IF(K66&gt;0,K66-I66,0)+IF(N66&gt;0,N66-L66)</f>
        <v>0</v>
      </c>
      <c r="T66" s="113">
        <f>IF(H66&gt;0,(IF(R66&gt;B_Pause1Nach,B_Pause1Dauer+IF(BA66="Büro",B_WalkTime,0),IF(BA66="Büro",B_WalkTime,0))+IF(R66&gt;B_Pause2Nach,B_Pause2Dauer,0)),0)</f>
        <v>0</v>
      </c>
      <c r="U66" s="113">
        <f>IF(T66&gt;S66,T66-S66,0)</f>
        <v>0</v>
      </c>
      <c r="V66" s="146">
        <f>IF(F66="S",Z66,(IF((R66-U66)&gt;XWorkTimeMax,XWorkTimeMax,IF((R66-U66)&gt;0,R66-U66,0))))</f>
        <v>0</v>
      </c>
      <c r="W66" s="66"/>
      <c r="X66" s="115">
        <f>xNoWorkTime</f>
        <v>4.027777777777778E-2</v>
      </c>
      <c r="Y66" s="110">
        <f>IF(AND((AM66&lt;Feiertag),(G66&lt;&gt;85)),IF(OR(F66="B",F66="G",F66="S",H66&gt;0),H66-H66+Z66,0),0)</f>
        <v>0</v>
      </c>
      <c r="Z66" s="111">
        <f>IF(AND(AM66&gt;0,AM66&lt;Feiertag),INDEX(Arbeitszeit,AM66),"")</f>
        <v>0.29166666666666669</v>
      </c>
      <c r="AA66" s="112">
        <f>V66-Y66</f>
        <v>0</v>
      </c>
      <c r="AB66" s="67" t="str">
        <f>IF((V66-Y66)&lt;0,"*","")</f>
        <v/>
      </c>
      <c r="AC66" s="193">
        <f>xOverTime</f>
        <v>0</v>
      </c>
      <c r="AD66" s="144" t="str">
        <f>IF((R66-U66)&gt;XWorkTimeMax,(R66-U66-XWorkTimeMax),"")</f>
        <v/>
      </c>
      <c r="AE66" s="225">
        <f>IF(AW66,(AE65+SUM(AA66)+(IF(AG66="+",AF66,-AF66))),)</f>
        <v>0</v>
      </c>
      <c r="AF66" s="110"/>
      <c r="AG66" s="627"/>
      <c r="AH66" s="110"/>
      <c r="AI66" s="110" t="str">
        <f>IF(AND(AF66&lt;&gt;"",AF66&lt;=V66),V66-AF66,"")</f>
        <v/>
      </c>
      <c r="AJ66" s="68">
        <f>IF(ISNUMBER(V66 ), IF( V66 &gt;= Y66, Y66, V66 ),"")</f>
        <v>0</v>
      </c>
      <c r="AK66" s="68">
        <f>IF( ISNUMBER( V66 ), IF( V66 &gt;= Y66, V66 - Y66, "" ), "" )</f>
        <v>0</v>
      </c>
      <c r="AL66" s="68" t="str">
        <f>IF( AND(ISNUMBER( V66 ),ISNUMBER( Y66 )), IF( V66 &gt;= Y66, "", Y66 - V66 ), "" )</f>
        <v/>
      </c>
      <c r="AM66">
        <f>IF(A66="",0,IF(ISERROR(VLOOKUP(A66,db_Feiertag,2,FALSE)),WEEKDAY(A66,2),Feiertag))</f>
        <v>4</v>
      </c>
      <c r="AN66" s="122">
        <f>SUM($AD$6:AD66)</f>
        <v>0</v>
      </c>
      <c r="AO66" s="122">
        <f ca="1">IF(D66=D65,AO65,OFFSET(AO66,-1,COLUMN(db_jSaldoGes)-COLUMN()))</f>
        <v>0</v>
      </c>
      <c r="AP66" s="126">
        <f>IF(OR($G66=-1,$G66=82),-1,IF(OR($G66=0,$G66=83),1,0))</f>
        <v>0</v>
      </c>
      <c r="AQ66" s="126">
        <f>IF($F66=Krank,1,IF($F66="J",-1,0))</f>
        <v>0</v>
      </c>
      <c r="AR66" s="126">
        <f>IF($F66=Urlaub,1,IF($F66="T",-1,0))</f>
        <v>0</v>
      </c>
      <c r="AS66" s="125">
        <f>IF(A66="","",AS65-IF(F66=Urlaub,1,0)+IF(AND(MONTH(A66)=1,DAY(A66)=1),B_UrlaubNeu,0))</f>
        <v>30</v>
      </c>
      <c r="AT66" s="125">
        <f ca="1">IF(A66="","",IF(D66=D65,AT65,OFFSET(AT66,-1,COLUMN(db_jUrlRest)-COLUMN()))+IF(AND(MONTH(A66)=1,DAY(A66)=1),B_UrlaubNeu,0))</f>
        <v>30</v>
      </c>
      <c r="AU66" s="135">
        <f>(IF(ISNUMBER(V66),V66,0)+IF(ISNUMBER(AD66),AD66,0))*24</f>
        <v>0</v>
      </c>
      <c r="AV66" s="125">
        <f>IF(ISNUMBER(AD66),K_ArbeitOverMax,IF(AND(ISNUMBER(AA66),AA66&gt;0),K_ArbeitOverTime,IF(AND(ISNUMBER(V66),V66&gt;0),K_ArbeitNormal,IF(F66=Krank,K_Krank,IF(F66=Urlaub,K_Urlaub,IF(AM66=Feiertag,K_Feiertag,IF(OR(AM66=6,AM66=7),K_Wochenende,0)))))))+IF(F66=Gleittag,K_Gleittag,0)</f>
        <v>0</v>
      </c>
      <c r="AW66" t="b">
        <f>OR((F66&gt;0),(NOT(ISBLANK(H66))),SUM(H66:H$373),SUM(G66:G$373))</f>
        <v>0</v>
      </c>
      <c r="AX66" t="b">
        <f ca="1">INDIRECT(ADDRESS(ROW(),COLUMN(xDay)))&gt;5</f>
        <v>0</v>
      </c>
      <c r="AY66" s="600">
        <f>IF(OR(R66&lt;&gt;0,F66&lt;&gt;0),AA66,IF(Z66="",0,-Z66))+(IF(AG66="+",AF66,-AF66))</f>
        <v>-0.29166666666666669</v>
      </c>
      <c r="AZ66" s="225">
        <f>SUM(AY$5:AY66)</f>
        <v>-12.541666666666661</v>
      </c>
      <c r="BA66" s="658"/>
      <c r="BB66" s="658">
        <f>IF(ISNA(MATCH(BA66,B_Arbeitsort,0)),0,MATCH(BA66,B_Arbeitsort,0))</f>
        <v>0</v>
      </c>
      <c r="BC66" s="658"/>
    </row>
    <row r="67" spans="1:55" ht="15.75">
      <c r="A67" s="305">
        <f>IF(A66="","",IF((A66+1)&gt;=DATE(YEAR(xJahr)+1,MONTH(xJahr),DAY(xJahr)),"",A66+1))</f>
        <v>43526</v>
      </c>
      <c r="B67" s="306">
        <f>IF(A67="","",A67)</f>
        <v>43526</v>
      </c>
      <c r="C67" s="307">
        <f>IF(A67="","",NumberOfWeek(A67))</f>
        <v>9</v>
      </c>
      <c r="D67" s="308">
        <f>IF(A67="","",DATE(YEAR(A67),MONTH(A67),1))</f>
        <v>43524</v>
      </c>
      <c r="E67" s="318" t="str">
        <f>IF((R67-U67)&gt;XWorkTimeMax,$Z$4,IF(AV67=Feiertag,VLOOKUP(B67,db_Feiertag,2,FALSE),""))</f>
        <v/>
      </c>
      <c r="F67" s="5"/>
      <c r="G67" s="6" t="str">
        <f>IF(ISBLANK(F67),IF(ISBLANK(H67),"",0),CODE(UPPER(F67)))</f>
        <v/>
      </c>
      <c r="H67" s="7"/>
      <c r="I67" s="7">
        <f>IF(H67&gt;0,H67+Y67+X67+AC67,0)</f>
        <v>0</v>
      </c>
      <c r="J67" s="113">
        <f>IF(K67&gt;I67,IF(I67&lt;H67,I67+1,I67)-B_WalkTime,IF(I67&lt;H67,I67+1,I67))</f>
        <v>0</v>
      </c>
      <c r="K67" s="7"/>
      <c r="L67" s="7">
        <f>IF(K67&gt;0,K67+IF((J67-H67)&lt;Y67,Y67-(J67-H67),TIME(0,10,0))+IF((K67-J67)&gt;xNoWorkTime,0,xNoWorkTime-(K67-J67)),0)</f>
        <v>0</v>
      </c>
      <c r="M67" s="113">
        <f>IF(L67&lt;K67,L67+1,L67)</f>
        <v>0</v>
      </c>
      <c r="N67" s="113"/>
      <c r="O67" s="113">
        <f>IF(N67&gt;0,N67+IF((J67-H67+M67-K67)&lt;Y67,Y67-(J67-H67+M67-K67),TIME(0,10,0))+IF((K67-J67+N67-M67)&gt;xNoWorkTime,0,xNoWorkTime-(K67-J67+N67-M67)),0)</f>
        <v>0</v>
      </c>
      <c r="P67" s="113"/>
      <c r="Q67" s="113">
        <f>IF(O67&lt;N67,O67+1,O67)</f>
        <v>0</v>
      </c>
      <c r="R67" s="113">
        <f>J67-H67+M67-K67+Q67-N67</f>
        <v>0</v>
      </c>
      <c r="S67" s="113">
        <f>IF(K67&gt;0,K67-I67,0)+IF(N67&gt;0,N67-L67)</f>
        <v>0</v>
      </c>
      <c r="T67" s="113">
        <f>IF(H67&gt;0,(IF(R67&gt;B_Pause1Nach,B_Pause1Dauer+IF(BA67="Büro",B_WalkTime,0),IF(BA67="Büro",B_WalkTime,0))+IF(R67&gt;B_Pause2Nach,B_Pause2Dauer,0)),0)</f>
        <v>0</v>
      </c>
      <c r="U67" s="113">
        <f>IF(T67&gt;S67,T67-S67,0)</f>
        <v>0</v>
      </c>
      <c r="V67" s="146">
        <f>IF(F67="S",Z67,(IF((R67-U67)&gt;XWorkTimeMax,XWorkTimeMax,IF((R67-U67)&gt;0,R67-U67,0))))</f>
        <v>0</v>
      </c>
      <c r="W67" s="66"/>
      <c r="X67" s="115">
        <f>xNoWorkTime</f>
        <v>4.027777777777778E-2</v>
      </c>
      <c r="Y67" s="110">
        <f>IF(AND((AM67&lt;Feiertag),(G67&lt;&gt;85)),IF(OR(F67="B",F67="G",F67="S",H67&gt;0),H67-H67+Z67,0),0)</f>
        <v>0</v>
      </c>
      <c r="Z67" s="111">
        <f>IF(AND(AM67&gt;0,AM67&lt;Feiertag),INDEX(Arbeitszeit,AM67),"")</f>
        <v>0.29166666666666669</v>
      </c>
      <c r="AA67" s="112">
        <f>V67-Y67</f>
        <v>0</v>
      </c>
      <c r="AB67" s="67" t="str">
        <f>IF((V67-Y67)&lt;0,"*","")</f>
        <v/>
      </c>
      <c r="AC67" s="193">
        <f>xOverTime</f>
        <v>0</v>
      </c>
      <c r="AD67" s="144" t="str">
        <f>IF((R67-U67)&gt;XWorkTimeMax,(R67-U67-XWorkTimeMax),"")</f>
        <v/>
      </c>
      <c r="AE67" s="225">
        <f>IF(AW67,(AE66+SUM(AA67)+(IF(AG67="+",AF67,-AF67))),)</f>
        <v>0</v>
      </c>
      <c r="AF67" s="110"/>
      <c r="AG67" s="627"/>
      <c r="AH67" s="110"/>
      <c r="AI67" s="110" t="str">
        <f>IF(AND(AF67&lt;&gt;"",AF67&lt;=V67),V67-AF67,"")</f>
        <v/>
      </c>
      <c r="AJ67" s="68">
        <f>IF(ISNUMBER(V67 ), IF( V67 &gt;= Y67, Y67, V67 ),"")</f>
        <v>0</v>
      </c>
      <c r="AK67" s="68">
        <f>IF( ISNUMBER( V67 ), IF( V67 &gt;= Y67, V67 - Y67, "" ), "" )</f>
        <v>0</v>
      </c>
      <c r="AL67" s="68" t="str">
        <f>IF( AND(ISNUMBER( V67 ),ISNUMBER( Y67 )), IF( V67 &gt;= Y67, "", Y67 - V67 ), "" )</f>
        <v/>
      </c>
      <c r="AM67">
        <f>IF(A67="",0,IF(ISERROR(VLOOKUP(A67,db_Feiertag,2,FALSE)),WEEKDAY(A67,2),Feiertag))</f>
        <v>5</v>
      </c>
      <c r="AN67" s="122">
        <f>SUM($AD$6:AD67)</f>
        <v>0</v>
      </c>
      <c r="AO67" s="122">
        <f ca="1">IF(D67=D66,AO66,OFFSET(AO67,-1,COLUMN(db_jSaldoGes)-COLUMN()))</f>
        <v>0</v>
      </c>
      <c r="AP67" s="126">
        <f>IF(OR($G67=-1,$G67=82),-1,IF(OR($G67=0,$G67=83),1,0))</f>
        <v>0</v>
      </c>
      <c r="AQ67" s="126">
        <f>IF($F67=Krank,1,IF($F67="J",-1,0))</f>
        <v>0</v>
      </c>
      <c r="AR67" s="126">
        <f>IF($F67=Urlaub,1,IF($F67="T",-1,0))</f>
        <v>0</v>
      </c>
      <c r="AS67" s="125">
        <f>IF(A67="","",AS66-IF(F67=Urlaub,1,0)+IF(AND(MONTH(A67)=1,DAY(A67)=1),B_UrlaubNeu,0))</f>
        <v>30</v>
      </c>
      <c r="AT67" s="125">
        <f ca="1">IF(A67="","",IF(D67=D66,AT66,OFFSET(AT67,-1,COLUMN(db_jUrlRest)-COLUMN()))+IF(AND(MONTH(A67)=1,DAY(A67)=1),B_UrlaubNeu,0))</f>
        <v>30</v>
      </c>
      <c r="AU67" s="135">
        <f>(IF(ISNUMBER(V67),V67,0)+IF(ISNUMBER(AD67),AD67,0))*24</f>
        <v>0</v>
      </c>
      <c r="AV67" s="125">
        <f>IF(ISNUMBER(AD67),K_ArbeitOverMax,IF(AND(ISNUMBER(AA67),AA67&gt;0),K_ArbeitOverTime,IF(AND(ISNUMBER(V67),V67&gt;0),K_ArbeitNormal,IF(F67=Krank,K_Krank,IF(F67=Urlaub,K_Urlaub,IF(AM67=Feiertag,K_Feiertag,IF(OR(AM67=6,AM67=7),K_Wochenende,0)))))))+IF(F67=Gleittag,K_Gleittag,0)</f>
        <v>0</v>
      </c>
      <c r="AW67" t="b">
        <f>OR((F67&gt;0),(NOT(ISBLANK(H67))),SUM(H67:H$373),SUM(G67:G$373))</f>
        <v>0</v>
      </c>
      <c r="AX67" t="b">
        <f ca="1">INDIRECT(ADDRESS(ROW(),COLUMN(xDay)))&gt;5</f>
        <v>0</v>
      </c>
      <c r="AY67" s="600">
        <f>IF(OR(R67&lt;&gt;0,F67&lt;&gt;0),AA67,IF(Z67="",0,-Z67))+(IF(AG67="+",AF67,-AF67))</f>
        <v>-0.29166666666666669</v>
      </c>
      <c r="AZ67" s="225">
        <f>SUM(AY$5:AY67)</f>
        <v>-12.833333333333327</v>
      </c>
      <c r="BA67" s="658"/>
      <c r="BB67" s="658">
        <f>IF(ISNA(MATCH(BA67,B_Arbeitsort,0)),0,MATCH(BA67,B_Arbeitsort,0))</f>
        <v>0</v>
      </c>
      <c r="BC67" s="658"/>
    </row>
    <row r="68" spans="1:55" ht="15.75">
      <c r="A68" s="305">
        <f>IF(A67="","",IF((A67+1)&gt;=DATE(YEAR(xJahr)+1,MONTH(xJahr),DAY(xJahr)),"",A67+1))</f>
        <v>43527</v>
      </c>
      <c r="B68" s="306">
        <f>IF(A68="","",A68)</f>
        <v>43527</v>
      </c>
      <c r="C68" s="307">
        <f>IF(A68="","",NumberOfWeek(A68))</f>
        <v>9</v>
      </c>
      <c r="D68" s="308">
        <f>IF(A68="","",DATE(YEAR(A68),MONTH(A68),1))</f>
        <v>43524</v>
      </c>
      <c r="E68" s="318" t="str">
        <f>IF((R68-U68)&gt;XWorkTimeMax,$Z$4,IF(AV68=Feiertag,VLOOKUP(B68,db_Feiertag,2,FALSE),""))</f>
        <v/>
      </c>
      <c r="F68" s="5"/>
      <c r="G68" s="6" t="str">
        <f>IF(ISBLANK(F68),IF(ISBLANK(H68),"",0),CODE(UPPER(F68)))</f>
        <v/>
      </c>
      <c r="H68" s="7"/>
      <c r="I68" s="7">
        <f>IF(H68&gt;0,H68+Y68+X68+AC68,0)</f>
        <v>0</v>
      </c>
      <c r="J68" s="113">
        <f>IF(K68&gt;I68,IF(I68&lt;H68,I68+1,I68)-B_WalkTime,IF(I68&lt;H68,I68+1,I68))</f>
        <v>0</v>
      </c>
      <c r="K68" s="7"/>
      <c r="L68" s="7">
        <f>IF(K68&gt;0,K68+IF((J68-H68)&lt;Y68,Y68-(J68-H68),TIME(0,10,0))+IF((K68-J68)&gt;xNoWorkTime,0,xNoWorkTime-(K68-J68)),0)</f>
        <v>0</v>
      </c>
      <c r="M68" s="113">
        <f>IF(L68&lt;K68,L68+1,L68)</f>
        <v>0</v>
      </c>
      <c r="N68" s="113"/>
      <c r="O68" s="113">
        <f>IF(N68&gt;0,N68+IF((J68-H68+M68-K68)&lt;Y68,Y68-(J68-H68+M68-K68),TIME(0,10,0))+IF((K68-J68+N68-M68)&gt;xNoWorkTime,0,xNoWorkTime-(K68-J68+N68-M68)),0)</f>
        <v>0</v>
      </c>
      <c r="P68" s="113"/>
      <c r="Q68" s="113">
        <f>IF(O68&lt;N68,O68+1,O68)</f>
        <v>0</v>
      </c>
      <c r="R68" s="113">
        <f>J68-H68+M68-K68+Q68-N68</f>
        <v>0</v>
      </c>
      <c r="S68" s="113">
        <f>IF(K68&gt;0,K68-I68,0)+IF(N68&gt;0,N68-L68)</f>
        <v>0</v>
      </c>
      <c r="T68" s="113">
        <f>IF(H68&gt;0,(IF(R68&gt;B_Pause1Nach,B_Pause1Dauer+IF(BA68="Büro",B_WalkTime,0),IF(BA68="Büro",B_WalkTime,0))+IF(R68&gt;B_Pause2Nach,B_Pause2Dauer,0)),0)</f>
        <v>0</v>
      </c>
      <c r="U68" s="113">
        <f>IF(T68&gt;S68,T68-S68,0)</f>
        <v>0</v>
      </c>
      <c r="V68" s="146">
        <f>IF(F68="S",Z68,(IF((R68-U68)&gt;XWorkTimeMax,XWorkTimeMax,IF((R68-U68)&gt;0,R68-U68,0))))</f>
        <v>0</v>
      </c>
      <c r="W68" s="66"/>
      <c r="X68" s="115">
        <f>xNoWorkTime</f>
        <v>4.027777777777778E-2</v>
      </c>
      <c r="Y68" s="110">
        <f>IF(AND((AM68&lt;Feiertag),(G68&lt;&gt;85)),IF(OR(F68="B",F68="G",F68="S",H68&gt;0),H68-H68+Z68,0),0)</f>
        <v>0</v>
      </c>
      <c r="Z68" s="111">
        <f>IF(AND(AM68&gt;0,AM68&lt;Feiertag),INDEX(Arbeitszeit,AM68),"")</f>
        <v>0</v>
      </c>
      <c r="AA68" s="112">
        <f>V68-Y68</f>
        <v>0</v>
      </c>
      <c r="AB68" s="67" t="str">
        <f>IF((V68-Y68)&lt;0,"*","")</f>
        <v/>
      </c>
      <c r="AC68" s="193">
        <f>xOverTime</f>
        <v>0</v>
      </c>
      <c r="AD68" s="144" t="str">
        <f>IF((R68-U68)&gt;XWorkTimeMax,(R68-U68-XWorkTimeMax),"")</f>
        <v/>
      </c>
      <c r="AE68" s="225">
        <f>IF(AW68,(AE67+SUM(AA68)+(IF(AG68="+",AF68,-AF68))),)</f>
        <v>0</v>
      </c>
      <c r="AF68" s="110"/>
      <c r="AG68" s="627"/>
      <c r="AH68" s="110"/>
      <c r="AI68" s="110" t="str">
        <f>IF(AND(AF68&lt;&gt;"",AF68&lt;=V68),V68-AF68,"")</f>
        <v/>
      </c>
      <c r="AJ68" s="68">
        <f>IF(ISNUMBER(V68 ), IF( V68 &gt;= Y68, Y68, V68 ),"")</f>
        <v>0</v>
      </c>
      <c r="AK68" s="68">
        <f>IF( ISNUMBER( V68 ), IF( V68 &gt;= Y68, V68 - Y68, "" ), "" )</f>
        <v>0</v>
      </c>
      <c r="AL68" s="68" t="str">
        <f>IF( AND(ISNUMBER( V68 ),ISNUMBER( Y68 )), IF( V68 &gt;= Y68, "", Y68 - V68 ), "" )</f>
        <v/>
      </c>
      <c r="AM68">
        <f>IF(A68="",0,IF(ISERROR(VLOOKUP(A68,db_Feiertag,2,FALSE)),WEEKDAY(A68,2),Feiertag))</f>
        <v>6</v>
      </c>
      <c r="AN68" s="122">
        <f>SUM($AD$6:AD68)</f>
        <v>0</v>
      </c>
      <c r="AO68" s="122">
        <f ca="1">IF(D68=D67,AO67,OFFSET(AO68,-1,COLUMN(db_jSaldoGes)-COLUMN()))</f>
        <v>0</v>
      </c>
      <c r="AP68" s="126">
        <f>IF(OR($G68=-1,$G68=82),-1,IF(OR($G68=0,$G68=83),1,0))</f>
        <v>0</v>
      </c>
      <c r="AQ68" s="126">
        <f>IF($F68=Krank,1,IF($F68="J",-1,0))</f>
        <v>0</v>
      </c>
      <c r="AR68" s="126">
        <f>IF($F68=Urlaub,1,IF($F68="T",-1,0))</f>
        <v>0</v>
      </c>
      <c r="AS68" s="125">
        <f>IF(A68="","",AS67-IF(F68=Urlaub,1,0)+IF(AND(MONTH(A68)=1,DAY(A68)=1),B_UrlaubNeu,0))</f>
        <v>30</v>
      </c>
      <c r="AT68" s="125">
        <f ca="1">IF(A68="","",IF(D68=D67,AT67,OFFSET(AT68,-1,COLUMN(db_jUrlRest)-COLUMN()))+IF(AND(MONTH(A68)=1,DAY(A68)=1),B_UrlaubNeu,0))</f>
        <v>30</v>
      </c>
      <c r="AU68" s="135">
        <f>(IF(ISNUMBER(V68),V68,0)+IF(ISNUMBER(AD68),AD68,0))*24</f>
        <v>0</v>
      </c>
      <c r="AV68" s="125">
        <f>IF(ISNUMBER(AD68),K_ArbeitOverMax,IF(AND(ISNUMBER(AA68),AA68&gt;0),K_ArbeitOverTime,IF(AND(ISNUMBER(V68),V68&gt;0),K_ArbeitNormal,IF(F68=Krank,K_Krank,IF(F68=Urlaub,K_Urlaub,IF(AM68=Feiertag,K_Feiertag,IF(OR(AM68=6,AM68=7),K_Wochenende,0)))))))+IF(F68=Gleittag,K_Gleittag,0)</f>
        <v>7</v>
      </c>
      <c r="AW68" t="b">
        <f>OR((F68&gt;0),(NOT(ISBLANK(H68))),SUM(H68:H$373),SUM(G68:G$373))</f>
        <v>0</v>
      </c>
      <c r="AX68" t="b">
        <f ca="1">INDIRECT(ADDRESS(ROW(),COLUMN(xDay)))&gt;5</f>
        <v>1</v>
      </c>
      <c r="AY68" s="600">
        <f>IF(OR(R68&lt;&gt;0,F68&lt;&gt;0),AA68,IF(Z68="",0,-Z68))+(IF(AG68="+",AF68,-AF68))</f>
        <v>0</v>
      </c>
      <c r="AZ68" s="225">
        <f>SUM(AY$5:AY68)</f>
        <v>-12.833333333333327</v>
      </c>
      <c r="BA68" s="643"/>
      <c r="BB68" s="658">
        <f>IF(ISNA(MATCH(BA68,B_Arbeitsort,0)),0,MATCH(BA68,B_Arbeitsort,0))</f>
        <v>0</v>
      </c>
      <c r="BC68" s="643"/>
    </row>
    <row r="69" spans="1:55" ht="15.75">
      <c r="A69" s="305">
        <f>IF(A68="","",IF((A68+1)&gt;=DATE(YEAR(xJahr)+1,MONTH(xJahr),DAY(xJahr)),"",A68+1))</f>
        <v>43528</v>
      </c>
      <c r="B69" s="306">
        <f>IF(A69="","",A69)</f>
        <v>43528</v>
      </c>
      <c r="C69" s="307">
        <f>IF(A69="","",NumberOfWeek(A69))</f>
        <v>9</v>
      </c>
      <c r="D69" s="308">
        <f>IF(A69="","",DATE(YEAR(A69),MONTH(A69),1))</f>
        <v>43524</v>
      </c>
      <c r="E69" s="318" t="str">
        <f>IF((R69-U69)&gt;XWorkTimeMax,$Z$4,IF(AV69=Feiertag,VLOOKUP(B69,db_Feiertag,2,FALSE),""))</f>
        <v/>
      </c>
      <c r="F69" s="5"/>
      <c r="G69" s="6" t="str">
        <f>IF(ISBLANK(F69),IF(ISBLANK(H69),"",0),CODE(UPPER(F69)))</f>
        <v/>
      </c>
      <c r="H69" s="7"/>
      <c r="I69" s="7">
        <f>IF(H69&gt;0,H69+Y69+X69+AC69,0)</f>
        <v>0</v>
      </c>
      <c r="J69" s="113">
        <f>IF(K69&gt;I69,IF(I69&lt;H69,I69+1,I69)-B_WalkTime,IF(I69&lt;H69,I69+1,I69))</f>
        <v>0</v>
      </c>
      <c r="K69" s="7"/>
      <c r="L69" s="7">
        <f>IF(K69&gt;0,K69+IF((J69-H69)&lt;Y69,Y69-(J69-H69),TIME(0,10,0))+IF((K69-J69)&gt;xNoWorkTime,0,xNoWorkTime-(K69-J69)),0)</f>
        <v>0</v>
      </c>
      <c r="M69" s="113">
        <f>IF(L69&lt;K69,L69+1,L69)</f>
        <v>0</v>
      </c>
      <c r="N69" s="113"/>
      <c r="O69" s="113">
        <f>IF(N69&gt;0,N69+IF((J69-H69+M69-K69)&lt;Y69,Y69-(J69-H69+M69-K69),TIME(0,10,0))+IF((K69-J69+N69-M69)&gt;xNoWorkTime,0,xNoWorkTime-(K69-J69+N69-M69)),0)</f>
        <v>0</v>
      </c>
      <c r="P69" s="113"/>
      <c r="Q69" s="113">
        <f>IF(O69&lt;N69,O69+1,O69)</f>
        <v>0</v>
      </c>
      <c r="R69" s="113">
        <f>J69-H69+M69-K69+Q69-N69</f>
        <v>0</v>
      </c>
      <c r="S69" s="113">
        <f>IF(K69&gt;0,K69-I69,0)+IF(N69&gt;0,N69-L69)</f>
        <v>0</v>
      </c>
      <c r="T69" s="113">
        <f>IF(H69&gt;0,(IF(R69&gt;B_Pause1Nach,B_Pause1Dauer+IF(BA69="Büro",B_WalkTime,0),IF(BA69="Büro",B_WalkTime,0))+IF(R69&gt;B_Pause2Nach,B_Pause2Dauer,0)),0)</f>
        <v>0</v>
      </c>
      <c r="U69" s="113">
        <f>IF(T69&gt;S69,T69-S69,0)</f>
        <v>0</v>
      </c>
      <c r="V69" s="146">
        <f>IF(F69="S",Z69,(IF((R69-U69)&gt;XWorkTimeMax,XWorkTimeMax,IF((R69-U69)&gt;0,R69-U69,0))))</f>
        <v>0</v>
      </c>
      <c r="W69" s="66"/>
      <c r="X69" s="115">
        <f>xNoWorkTime</f>
        <v>4.027777777777778E-2</v>
      </c>
      <c r="Y69" s="110">
        <f>IF(AND((AM69&lt;Feiertag),(G69&lt;&gt;85)),IF(OR(F69="B",F69="G",F69="S",H69&gt;0),H69-H69+Z69,0),0)</f>
        <v>0</v>
      </c>
      <c r="Z69" s="111">
        <f>IF(AND(AM69&gt;0,AM69&lt;Feiertag),INDEX(Arbeitszeit,AM69),"")</f>
        <v>0</v>
      </c>
      <c r="AA69" s="112">
        <f>V69-Y69</f>
        <v>0</v>
      </c>
      <c r="AB69" s="67" t="str">
        <f>IF((V69-Y69)&lt;0,"*","")</f>
        <v/>
      </c>
      <c r="AC69" s="193">
        <f>xOverTime</f>
        <v>0</v>
      </c>
      <c r="AD69" s="144" t="str">
        <f>IF((R69-U69)&gt;XWorkTimeMax,(R69-U69-XWorkTimeMax),"")</f>
        <v/>
      </c>
      <c r="AE69" s="225">
        <f>IF(AW69,(AE68+SUM(AA69)+(IF(AG69="+",AF69,-AF69))),)</f>
        <v>0</v>
      </c>
      <c r="AF69" s="110"/>
      <c r="AG69" s="627"/>
      <c r="AH69" s="110"/>
      <c r="AI69" s="110" t="str">
        <f>IF(AND(AF69&lt;&gt;"",AF69&lt;=V69),V69-AF69,"")</f>
        <v/>
      </c>
      <c r="AJ69" s="68">
        <f>IF(ISNUMBER(V69 ), IF( V69 &gt;= Y69, Y69, V69 ),"")</f>
        <v>0</v>
      </c>
      <c r="AK69" s="68">
        <f>IF( ISNUMBER( V69 ), IF( V69 &gt;= Y69, V69 - Y69, "" ), "" )</f>
        <v>0</v>
      </c>
      <c r="AL69" s="68" t="str">
        <f>IF( AND(ISNUMBER( V69 ),ISNUMBER( Y69 )), IF( V69 &gt;= Y69, "", Y69 - V69 ), "" )</f>
        <v/>
      </c>
      <c r="AM69">
        <f>IF(A69="",0,IF(ISERROR(VLOOKUP(A69,db_Feiertag,2,FALSE)),WEEKDAY(A69,2),Feiertag))</f>
        <v>7</v>
      </c>
      <c r="AN69" s="122">
        <f>SUM($AD$6:AD69)</f>
        <v>0</v>
      </c>
      <c r="AO69" s="122">
        <f ca="1">IF(D69=D68,AO68,OFFSET(AO69,-1,COLUMN(db_jSaldoGes)-COLUMN()))</f>
        <v>0</v>
      </c>
      <c r="AP69" s="126">
        <f>IF(OR($G69=-1,$G69=82),-1,IF(OR($G69=0,$G69=83),1,0))</f>
        <v>0</v>
      </c>
      <c r="AQ69" s="126">
        <f>IF($F69=Krank,1,IF($F69="J",-1,0))</f>
        <v>0</v>
      </c>
      <c r="AR69" s="126">
        <f>IF($F69=Urlaub,1,IF($F69="T",-1,0))</f>
        <v>0</v>
      </c>
      <c r="AS69" s="125">
        <f>IF(A69="","",AS68-IF(F69=Urlaub,1,0)+IF(AND(MONTH(A69)=1,DAY(A69)=1),B_UrlaubNeu,0))</f>
        <v>30</v>
      </c>
      <c r="AT69" s="125">
        <f ca="1">IF(A69="","",IF(D69=D68,AT68,OFFSET(AT69,-1,COLUMN(db_jUrlRest)-COLUMN()))+IF(AND(MONTH(A69)=1,DAY(A69)=1),B_UrlaubNeu,0))</f>
        <v>30</v>
      </c>
      <c r="AU69" s="135">
        <f>(IF(ISNUMBER(V69),V69,0)+IF(ISNUMBER(AD69),AD69,0))*24</f>
        <v>0</v>
      </c>
      <c r="AV69" s="125">
        <f>IF(ISNUMBER(AD69),K_ArbeitOverMax,IF(AND(ISNUMBER(AA69),AA69&gt;0),K_ArbeitOverTime,IF(AND(ISNUMBER(V69),V69&gt;0),K_ArbeitNormal,IF(F69=Krank,K_Krank,IF(F69=Urlaub,K_Urlaub,IF(AM69=Feiertag,K_Feiertag,IF(OR(AM69=6,AM69=7),K_Wochenende,0)))))))+IF(F69=Gleittag,K_Gleittag,0)</f>
        <v>7</v>
      </c>
      <c r="AW69" t="b">
        <f>OR((F69&gt;0),(NOT(ISBLANK(H69))),SUM(H69:H$373),SUM(G69:G$373))</f>
        <v>0</v>
      </c>
      <c r="AX69" t="b">
        <f ca="1">INDIRECT(ADDRESS(ROW(),COLUMN(xDay)))&gt;5</f>
        <v>1</v>
      </c>
      <c r="AY69" s="600">
        <f>IF(OR(R69&lt;&gt;0,F69&lt;&gt;0),AA69,IF(Z69="",0,-Z69))+(IF(AG69="+",AF69,-AF69))</f>
        <v>0</v>
      </c>
      <c r="AZ69" s="225">
        <f>SUM(AY$5:AY69)</f>
        <v>-12.833333333333327</v>
      </c>
      <c r="BA69" s="643"/>
      <c r="BB69" s="658">
        <f>IF(ISNA(MATCH(BA69,B_Arbeitsort,0)),0,MATCH(BA69,B_Arbeitsort,0))</f>
        <v>0</v>
      </c>
      <c r="BC69" s="643"/>
    </row>
    <row r="70" spans="1:55" ht="15.75">
      <c r="A70" s="305">
        <f>IF(A69="","",IF((A69+1)&gt;=DATE(YEAR(xJahr)+1,MONTH(xJahr),DAY(xJahr)),"",A69+1))</f>
        <v>43529</v>
      </c>
      <c r="B70" s="306">
        <f>IF(A70="","",A70)</f>
        <v>43529</v>
      </c>
      <c r="C70" s="307">
        <f>IF(A70="","",NumberOfWeek(A70))</f>
        <v>10</v>
      </c>
      <c r="D70" s="308">
        <f>IF(A70="","",DATE(YEAR(A70),MONTH(A70),1))</f>
        <v>43524</v>
      </c>
      <c r="E70" s="318" t="str">
        <f>IF((R70-U70)&gt;XWorkTimeMax,$Z$4,IF(AV70=Feiertag,VLOOKUP(B70,db_Feiertag,2,FALSE),""))</f>
        <v/>
      </c>
      <c r="F70" s="5"/>
      <c r="G70" s="6" t="str">
        <f>IF(ISBLANK(F70),IF(ISBLANK(H70),"",0),CODE(UPPER(F70)))</f>
        <v/>
      </c>
      <c r="H70" s="7"/>
      <c r="I70" s="7">
        <f>IF(H70&gt;0,H70+Y70+X70+AC70,0)</f>
        <v>0</v>
      </c>
      <c r="J70" s="113">
        <f>IF(K70&gt;I70,IF(I70&lt;H70,I70+1,I70)-B_WalkTime,IF(I70&lt;H70,I70+1,I70))</f>
        <v>0</v>
      </c>
      <c r="K70" s="7"/>
      <c r="L70" s="7">
        <f>IF(K70&gt;0,K70+IF((J70-H70)&lt;Y70,Y70-(J70-H70),TIME(0,10,0))+IF((K70-J70)&gt;xNoWorkTime,0,xNoWorkTime-(K70-J70)),0)</f>
        <v>0</v>
      </c>
      <c r="M70" s="113">
        <f>IF(L70&lt;K70,L70+1,L70)</f>
        <v>0</v>
      </c>
      <c r="N70" s="113"/>
      <c r="O70" s="113">
        <f>IF(N70&gt;0,N70+IF((J70-H70+M70-K70)&lt;Y70,Y70-(J70-H70+M70-K70),TIME(0,10,0))+IF((K70-J70+N70-M70)&gt;xNoWorkTime,0,xNoWorkTime-(K70-J70+N70-M70)),0)</f>
        <v>0</v>
      </c>
      <c r="P70" s="113"/>
      <c r="Q70" s="113">
        <f>IF(O70&lt;N70,O70+1,O70)</f>
        <v>0</v>
      </c>
      <c r="R70" s="113">
        <f>J70-H70+M70-K70+Q70-N70</f>
        <v>0</v>
      </c>
      <c r="S70" s="113">
        <f>IF(K70&gt;0,K70-I70,0)+IF(N70&gt;0,N70-L70)</f>
        <v>0</v>
      </c>
      <c r="T70" s="113">
        <f>IF(H70&gt;0,(IF(R70&gt;B_Pause1Nach,B_Pause1Dauer+IF(BA70="Büro",B_WalkTime,0),IF(BA70="Büro",B_WalkTime,0))+IF(R70&gt;B_Pause2Nach,B_Pause2Dauer,0)),0)</f>
        <v>0</v>
      </c>
      <c r="U70" s="113">
        <f>IF(T70&gt;S70,T70-S70,0)</f>
        <v>0</v>
      </c>
      <c r="V70" s="146">
        <f>IF(F70="S",Z70,(IF((R70-U70)&gt;XWorkTimeMax,XWorkTimeMax,IF((R70-U70)&gt;0,R70-U70,0))))</f>
        <v>0</v>
      </c>
      <c r="W70" s="66"/>
      <c r="X70" s="115">
        <f>xNoWorkTime</f>
        <v>4.027777777777778E-2</v>
      </c>
      <c r="Y70" s="110">
        <f>IF(AND((AM70&lt;Feiertag),(G70&lt;&gt;85)),IF(OR(F70="B",F70="G",F70="S",H70&gt;0),H70-H70+Z70,0),0)</f>
        <v>0</v>
      </c>
      <c r="Z70" s="111">
        <f>IF(AND(AM70&gt;0,AM70&lt;Feiertag),INDEX(Arbeitszeit,AM70),"")</f>
        <v>0.29166666666666669</v>
      </c>
      <c r="AA70" s="112">
        <f>V70-Y70</f>
        <v>0</v>
      </c>
      <c r="AB70" s="67" t="str">
        <f>IF((V70-Y70)&lt;0,"*","")</f>
        <v/>
      </c>
      <c r="AC70" s="193">
        <f>xOverTime</f>
        <v>0</v>
      </c>
      <c r="AD70" s="144" t="str">
        <f>IF((R70-U70)&gt;XWorkTimeMax,(R70-U70-XWorkTimeMax),"")</f>
        <v/>
      </c>
      <c r="AE70" s="225">
        <f>IF(AW70,(AE69+SUM(AA70)+(IF(AG70="+",AF70,-AF70))),)</f>
        <v>0</v>
      </c>
      <c r="AF70" s="110"/>
      <c r="AG70" s="627"/>
      <c r="AH70" s="110"/>
      <c r="AI70" s="110" t="str">
        <f>IF(AND(AF70&lt;&gt;"",AF70&lt;=V70),V70-AF70,"")</f>
        <v/>
      </c>
      <c r="AJ70" s="68">
        <f>IF(ISNUMBER(V70 ), IF( V70 &gt;= Y70, Y70, V70 ),"")</f>
        <v>0</v>
      </c>
      <c r="AK70" s="68">
        <f>IF( ISNUMBER( V70 ), IF( V70 &gt;= Y70, V70 - Y70, "" ), "" )</f>
        <v>0</v>
      </c>
      <c r="AL70" s="68" t="str">
        <f>IF( AND(ISNUMBER( V70 ),ISNUMBER( Y70 )), IF( V70 &gt;= Y70, "", Y70 - V70 ), "" )</f>
        <v/>
      </c>
      <c r="AM70">
        <f>IF(A70="",0,IF(ISERROR(VLOOKUP(A70,db_Feiertag,2,FALSE)),WEEKDAY(A70,2),Feiertag))</f>
        <v>1</v>
      </c>
      <c r="AN70" s="122">
        <f>SUM($AD$6:AD70)</f>
        <v>0</v>
      </c>
      <c r="AO70" s="122">
        <f ca="1">IF(D70=D69,AO69,OFFSET(AO70,-1,COLUMN(db_jSaldoGes)-COLUMN()))</f>
        <v>0</v>
      </c>
      <c r="AP70" s="126">
        <f>IF(OR($G70=-1,$G70=82),-1,IF(OR($G70=0,$G70=83),1,0))</f>
        <v>0</v>
      </c>
      <c r="AQ70" s="126">
        <f>IF($F70=Krank,1,IF($F70="J",-1,0))</f>
        <v>0</v>
      </c>
      <c r="AR70" s="126">
        <f>IF($F70=Urlaub,1,IF($F70="T",-1,0))</f>
        <v>0</v>
      </c>
      <c r="AS70" s="125">
        <f>IF(A70="","",AS69-IF(F70=Urlaub,1,0)+IF(AND(MONTH(A70)=1,DAY(A70)=1),B_UrlaubNeu,0))</f>
        <v>30</v>
      </c>
      <c r="AT70" s="125">
        <f ca="1">IF(A70="","",IF(D70=D69,AT69,OFFSET(AT70,-1,COLUMN(db_jUrlRest)-COLUMN()))+IF(AND(MONTH(A70)=1,DAY(A70)=1),B_UrlaubNeu,0))</f>
        <v>30</v>
      </c>
      <c r="AU70" s="135">
        <f>(IF(ISNUMBER(V70),V70,0)+IF(ISNUMBER(AD70),AD70,0))*24</f>
        <v>0</v>
      </c>
      <c r="AV70" s="125">
        <f>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ca="1">INDIRECT(ADDRESS(ROW(),COLUMN(xDay)))&gt;5</f>
        <v>0</v>
      </c>
      <c r="AY70" s="600">
        <f>IF(OR(R70&lt;&gt;0,F70&lt;&gt;0),AA70,IF(Z70="",0,-Z70))+(IF(AG70="+",AF70,-AF70))</f>
        <v>-0.29166666666666669</v>
      </c>
      <c r="AZ70" s="225">
        <f>SUM(AY$5:AY70)</f>
        <v>-13.124999999999993</v>
      </c>
      <c r="BA70" s="658"/>
      <c r="BB70" s="658">
        <f>IF(ISNA(MATCH(BA70,B_Arbeitsort,0)),0,MATCH(BA70,B_Arbeitsort,0))</f>
        <v>0</v>
      </c>
      <c r="BC70" s="658"/>
    </row>
    <row r="71" spans="1:55" ht="15.75">
      <c r="A71" s="305">
        <f>IF(A70="","",IF((A70+1)&gt;=DATE(YEAR(xJahr)+1,MONTH(xJahr),DAY(xJahr)),"",A70+1))</f>
        <v>43530</v>
      </c>
      <c r="B71" s="306">
        <f>IF(A71="","",A71)</f>
        <v>43530</v>
      </c>
      <c r="C71" s="307">
        <f>IF(A71="","",NumberOfWeek(A71))</f>
        <v>10</v>
      </c>
      <c r="D71" s="308">
        <f>IF(A71="","",DATE(YEAR(A71),MONTH(A71),1))</f>
        <v>43524</v>
      </c>
      <c r="E71" s="318" t="str">
        <f>IF((R71-U71)&gt;XWorkTimeMax,$Z$4,IF(AV71=Feiertag,VLOOKUP(B71,db_Feiertag,2,FALSE),""))</f>
        <v/>
      </c>
      <c r="F71" s="5"/>
      <c r="G71" s="6" t="str">
        <f>IF(ISBLANK(F71),IF(ISBLANK(H71),"",0),CODE(UPPER(F71)))</f>
        <v/>
      </c>
      <c r="H71" s="7"/>
      <c r="I71" s="7">
        <f>IF(H71&gt;0,H71+Y71+X71+AC71,0)</f>
        <v>0</v>
      </c>
      <c r="J71" s="113">
        <f>IF(K71&gt;I71,IF(I71&lt;H71,I71+1,I71)-B_WalkTime,IF(I71&lt;H71,I71+1,I71))</f>
        <v>0</v>
      </c>
      <c r="K71" s="7"/>
      <c r="L71" s="7">
        <f>IF(K71&gt;0,K71+IF((J71-H71)&lt;Y71,Y71-(J71-H71),TIME(0,10,0))+IF((K71-J71)&gt;xNoWorkTime,0,xNoWorkTime-(K71-J71)),0)</f>
        <v>0</v>
      </c>
      <c r="M71" s="113">
        <f>IF(L71&lt;K71,L71+1,L71)</f>
        <v>0</v>
      </c>
      <c r="N71" s="113"/>
      <c r="O71" s="113">
        <f>IF(N71&gt;0,N71+IF((J71-H71+M71-K71)&lt;Y71,Y71-(J71-H71+M71-K71),TIME(0,10,0))+IF((K71-J71+N71-M71)&gt;xNoWorkTime,0,xNoWorkTime-(K71-J71+N71-M71)),0)</f>
        <v>0</v>
      </c>
      <c r="P71" s="113"/>
      <c r="Q71" s="113">
        <f>IF(O71&lt;N71,O71+1,O71)</f>
        <v>0</v>
      </c>
      <c r="R71" s="113">
        <f>J71-H71+M71-K71+Q71-N71</f>
        <v>0</v>
      </c>
      <c r="S71" s="113">
        <f>IF(K71&gt;0,K71-I71,0)+IF(N71&gt;0,N71-L71)</f>
        <v>0</v>
      </c>
      <c r="T71" s="113">
        <f>IF(H71&gt;0,(IF(R71&gt;B_Pause1Nach,B_Pause1Dauer+IF(BA71="Büro",B_WalkTime,0),IF(BA71="Büro",B_WalkTime,0))+IF(R71&gt;B_Pause2Nach,B_Pause2Dauer,0)),0)</f>
        <v>0</v>
      </c>
      <c r="U71" s="113">
        <f>IF(T71&gt;S71,T71-S71,0)</f>
        <v>0</v>
      </c>
      <c r="V71" s="146">
        <f>IF(F71="S",Z71,(IF((R71-U71)&gt;XWorkTimeMax,XWorkTimeMax,IF((R71-U71)&gt;0,R71-U71,0))))</f>
        <v>0</v>
      </c>
      <c r="W71" s="66"/>
      <c r="X71" s="115">
        <f>xNoWorkTime</f>
        <v>4.027777777777778E-2</v>
      </c>
      <c r="Y71" s="110">
        <f>IF(AND((AM71&lt;Feiertag),(G71&lt;&gt;85)),IF(OR(F71="B",F71="G",F71="S",H71&gt;0),H71-H71+Z71,0),0)</f>
        <v>0</v>
      </c>
      <c r="Z71" s="111">
        <f>IF(AND(AM71&gt;0,AM71&lt;Feiertag),INDEX(Arbeitszeit,AM71),"")</f>
        <v>0.29166666666666669</v>
      </c>
      <c r="AA71" s="112">
        <f>V71-Y71</f>
        <v>0</v>
      </c>
      <c r="AB71" s="67" t="str">
        <f>IF((V71-Y71)&lt;0,"*","")</f>
        <v/>
      </c>
      <c r="AC71" s="193">
        <f>xOverTime</f>
        <v>0</v>
      </c>
      <c r="AD71" s="144" t="str">
        <f>IF((R71-U71)&gt;XWorkTimeMax,(R71-U71-XWorkTimeMax),"")</f>
        <v/>
      </c>
      <c r="AE71" s="225">
        <f>IF(AW71,(AE70+SUM(AA71)+(IF(AG71="+",AF71,-AF71))),)</f>
        <v>0</v>
      </c>
      <c r="AF71" s="110"/>
      <c r="AG71" s="627"/>
      <c r="AH71" s="110"/>
      <c r="AI71" s="110" t="str">
        <f>IF(AND(AF71&lt;&gt;"",AF71&lt;=V71),V71-AF71,"")</f>
        <v/>
      </c>
      <c r="AJ71" s="68">
        <f>IF(ISNUMBER(V71 ), IF( V71 &gt;= Y71, Y71, V71 ),"")</f>
        <v>0</v>
      </c>
      <c r="AK71" s="68">
        <f>IF( ISNUMBER( V71 ), IF( V71 &gt;= Y71, V71 - Y71, "" ), "" )</f>
        <v>0</v>
      </c>
      <c r="AL71" s="68" t="str">
        <f>IF( AND(ISNUMBER( V71 ),ISNUMBER( Y71 )), IF( V71 &gt;= Y71, "", Y71 - V71 ), "" )</f>
        <v/>
      </c>
      <c r="AM71">
        <f>IF(A71="",0,IF(ISERROR(VLOOKUP(A71,db_Feiertag,2,FALSE)),WEEKDAY(A71,2),Feiertag))</f>
        <v>2</v>
      </c>
      <c r="AN71" s="122">
        <f>SUM($AD$6:AD71)</f>
        <v>0</v>
      </c>
      <c r="AO71" s="122">
        <f ca="1">IF(D71=D70,AO70,OFFSET(AO71,-1,COLUMN(db_jSaldoGes)-COLUMN()))</f>
        <v>0</v>
      </c>
      <c r="AP71" s="126">
        <f>IF(OR($G71=-1,$G71=82),-1,IF(OR($G71=0,$G71=83),1,0))</f>
        <v>0</v>
      </c>
      <c r="AQ71" s="126">
        <f>IF($F71=Krank,1,IF($F71="J",-1,0))</f>
        <v>0</v>
      </c>
      <c r="AR71" s="126">
        <f>IF($F71=Urlaub,1,IF($F71="T",-1,0))</f>
        <v>0</v>
      </c>
      <c r="AS71" s="125">
        <f>IF(A71="","",AS70-IF(F71=Urlaub,1,0)+IF(AND(MONTH(A71)=1,DAY(A71)=1),B_UrlaubNeu,0))</f>
        <v>30</v>
      </c>
      <c r="AT71" s="125">
        <f ca="1">IF(A71="","",IF(D71=D70,AT70,OFFSET(AT71,-1,COLUMN(db_jUrlRest)-COLUMN()))+IF(AND(MONTH(A71)=1,DAY(A71)=1),B_UrlaubNeu,0))</f>
        <v>30</v>
      </c>
      <c r="AU71" s="135">
        <f>(IF(ISNUMBER(V71),V71,0)+IF(ISNUMBER(AD71),AD71,0))*24</f>
        <v>0</v>
      </c>
      <c r="AV71" s="125">
        <f>IF(ISNUMBER(AD71),K_ArbeitOverMax,IF(AND(ISNUMBER(AA71),AA71&gt;0),K_ArbeitOverTime,IF(AND(ISNUMBER(V71),V71&gt;0),K_ArbeitNormal,IF(F71=Krank,K_Krank,IF(F71=Urlaub,K_Urlaub,IF(AM71=Feiertag,K_Feiertag,IF(OR(AM71=6,AM71=7),K_Wochenende,0)))))))+IF(F71=Gleittag,K_Gleittag,0)</f>
        <v>0</v>
      </c>
      <c r="AW71" t="b">
        <f>OR((F71&gt;0),(NOT(ISBLANK(H71))),SUM(H71:H$373),SUM(G71:G$373))</f>
        <v>0</v>
      </c>
      <c r="AX71" t="b">
        <f ca="1">INDIRECT(ADDRESS(ROW(),COLUMN(xDay)))&gt;5</f>
        <v>0</v>
      </c>
      <c r="AY71" s="600">
        <f>IF(OR(R71&lt;&gt;0,F71&lt;&gt;0),AA71,IF(Z71="",0,-Z71))+(IF(AG71="+",AF71,-AF71))</f>
        <v>-0.29166666666666669</v>
      </c>
      <c r="AZ71" s="225">
        <f>SUM(AY$5:AY71)</f>
        <v>-13.416666666666659</v>
      </c>
      <c r="BA71" s="658"/>
      <c r="BB71" s="658">
        <f>IF(ISNA(MATCH(BA71,B_Arbeitsort,0)),0,MATCH(BA71,B_Arbeitsort,0))</f>
        <v>0</v>
      </c>
      <c r="BC71" s="658"/>
    </row>
    <row r="72" spans="1:55" ht="15.75">
      <c r="A72" s="305">
        <f>IF(A71="","",IF((A71+1)&gt;=DATE(YEAR(xJahr)+1,MONTH(xJahr),DAY(xJahr)),"",A71+1))</f>
        <v>43531</v>
      </c>
      <c r="B72" s="306">
        <f>IF(A72="","",A72)</f>
        <v>43531</v>
      </c>
      <c r="C72" s="307">
        <f>IF(A72="","",NumberOfWeek(A72))</f>
        <v>10</v>
      </c>
      <c r="D72" s="308">
        <f>IF(A72="","",DATE(YEAR(A72),MONTH(A72),1))</f>
        <v>43524</v>
      </c>
      <c r="E72" s="318" t="str">
        <f>IF((R72-U72)&gt;XWorkTimeMax,$Z$4,IF(AV72=Feiertag,VLOOKUP(B72,db_Feiertag,2,FALSE),""))</f>
        <v/>
      </c>
      <c r="F72" s="5"/>
      <c r="G72" s="6" t="str">
        <f>IF(ISBLANK(F72),IF(ISBLANK(H72),"",0),CODE(UPPER(F72)))</f>
        <v/>
      </c>
      <c r="H72" s="7"/>
      <c r="I72" s="7">
        <f>IF(H72&gt;0,H72+Y72+X72+AC72,0)</f>
        <v>0</v>
      </c>
      <c r="J72" s="113">
        <f>IF(K72&gt;I72,IF(I72&lt;H72,I72+1,I72)-B_WalkTime,IF(I72&lt;H72,I72+1,I72))</f>
        <v>0</v>
      </c>
      <c r="K72" s="7"/>
      <c r="L72" s="7">
        <f>IF(K72&gt;0,K72+IF((J72-H72)&lt;Y72,Y72-(J72-H72),TIME(0,10,0))+IF((K72-J72)&gt;xNoWorkTime,0,xNoWorkTime-(K72-J72)),0)</f>
        <v>0</v>
      </c>
      <c r="M72" s="113">
        <f>IF(L72&lt;K72,L72+1,L72)</f>
        <v>0</v>
      </c>
      <c r="N72" s="113"/>
      <c r="O72" s="113">
        <f>IF(N72&gt;0,N72+IF((J72-H72+M72-K72)&lt;Y72,Y72-(J72-H72+M72-K72),TIME(0,10,0))+IF((K72-J72+N72-M72)&gt;xNoWorkTime,0,xNoWorkTime-(K72-J72+N72-M72)),0)</f>
        <v>0</v>
      </c>
      <c r="P72" s="113"/>
      <c r="Q72" s="113">
        <f>IF(O72&lt;N72,O72+1,O72)</f>
        <v>0</v>
      </c>
      <c r="R72" s="113">
        <f>J72-H72+M72-K72+Q72-N72</f>
        <v>0</v>
      </c>
      <c r="S72" s="113">
        <f>IF(K72&gt;0,K72-I72,0)+IF(N72&gt;0,N72-L72)</f>
        <v>0</v>
      </c>
      <c r="T72" s="113">
        <f>IF(H72&gt;0,(IF(R72&gt;B_Pause1Nach,B_Pause1Dauer+IF(BA72="Büro",B_WalkTime,0),IF(BA72="Büro",B_WalkTime,0))+IF(R72&gt;B_Pause2Nach,B_Pause2Dauer,0)),0)</f>
        <v>0</v>
      </c>
      <c r="U72" s="113">
        <f>IF(T72&gt;S72,T72-S72,0)</f>
        <v>0</v>
      </c>
      <c r="V72" s="146">
        <f>IF(F72="S",Z72,(IF((R72-U72)&gt;XWorkTimeMax,XWorkTimeMax,IF((R72-U72)&gt;0,R72-U72,0))))</f>
        <v>0</v>
      </c>
      <c r="W72" s="66"/>
      <c r="X72" s="115">
        <f>xNoWorkTime</f>
        <v>4.027777777777778E-2</v>
      </c>
      <c r="Y72" s="110">
        <f>IF(AND((AM72&lt;Feiertag),(G72&lt;&gt;85)),IF(OR(F72="B",F72="G",F72="S",H72&gt;0),H72-H72+Z72,0),0)</f>
        <v>0</v>
      </c>
      <c r="Z72" s="111">
        <f>IF(AND(AM72&gt;0,AM72&lt;Feiertag),INDEX(Arbeitszeit,AM72),"")</f>
        <v>0.29166666666666669</v>
      </c>
      <c r="AA72" s="112">
        <f>V72-Y72</f>
        <v>0</v>
      </c>
      <c r="AB72" s="67" t="str">
        <f>IF((V72-Y72)&lt;0,"*","")</f>
        <v/>
      </c>
      <c r="AC72" s="193">
        <f>xOverTime</f>
        <v>0</v>
      </c>
      <c r="AD72" s="144" t="str">
        <f>IF((R72-U72)&gt;XWorkTimeMax,(R72-U72-XWorkTimeMax),"")</f>
        <v/>
      </c>
      <c r="AE72" s="225">
        <f>IF(AW72,(AE71+SUM(AA72)+(IF(AG72="+",AF72,-AF72))),)</f>
        <v>0</v>
      </c>
      <c r="AF72" s="110"/>
      <c r="AG72" s="627"/>
      <c r="AH72" s="110"/>
      <c r="AI72" s="110" t="str">
        <f>IF(AND(AF72&lt;&gt;"",AF72&lt;=V72),V72-AF72,"")</f>
        <v/>
      </c>
      <c r="AJ72" s="68">
        <f>IF(ISNUMBER(V72 ), IF( V72 &gt;= Y72, Y72, V72 ),"")</f>
        <v>0</v>
      </c>
      <c r="AK72" s="68">
        <f>IF( ISNUMBER( V72 ), IF( V72 &gt;= Y72, V72 - Y72, "" ), "" )</f>
        <v>0</v>
      </c>
      <c r="AL72" s="68" t="str">
        <f>IF( AND(ISNUMBER( V72 ),ISNUMBER( Y72 )), IF( V72 &gt;= Y72, "", Y72 - V72 ), "" )</f>
        <v/>
      </c>
      <c r="AM72">
        <f>IF(A72="",0,IF(ISERROR(VLOOKUP(A72,db_Feiertag,2,FALSE)),WEEKDAY(A72,2),Feiertag))</f>
        <v>3</v>
      </c>
      <c r="AN72" s="122">
        <f>SUM($AD$6:AD72)</f>
        <v>0</v>
      </c>
      <c r="AO72" s="122">
        <f ca="1">IF(D72=D71,AO71,OFFSET(AO72,-1,COLUMN(db_jSaldoGes)-COLUMN()))</f>
        <v>0</v>
      </c>
      <c r="AP72" s="126">
        <f>IF(OR($G72=-1,$G72=82),-1,IF(OR($G72=0,$G72=83),1,0))</f>
        <v>0</v>
      </c>
      <c r="AQ72" s="126">
        <f>IF($F72=Krank,1,IF($F72="J",-1,0))</f>
        <v>0</v>
      </c>
      <c r="AR72" s="126">
        <f>IF($F72=Urlaub,1,IF($F72="T",-1,0))</f>
        <v>0</v>
      </c>
      <c r="AS72" s="125">
        <f>IF(A72="","",AS71-IF(F72=Urlaub,1,0)+IF(AND(MONTH(A72)=1,DAY(A72)=1),B_UrlaubNeu,0))</f>
        <v>30</v>
      </c>
      <c r="AT72" s="125">
        <f ca="1">IF(A72="","",IF(D72=D71,AT71,OFFSET(AT72,-1,COLUMN(db_jUrlRest)-COLUMN()))+IF(AND(MONTH(A72)=1,DAY(A72)=1),B_UrlaubNeu,0))</f>
        <v>30</v>
      </c>
      <c r="AU72" s="135">
        <f>(IF(ISNUMBER(V72),V72,0)+IF(ISNUMBER(AD72),AD72,0))*24</f>
        <v>0</v>
      </c>
      <c r="AV72" s="125">
        <f>IF(ISNUMBER(AD72),K_ArbeitOverMax,IF(AND(ISNUMBER(AA72),AA72&gt;0),K_ArbeitOverTime,IF(AND(ISNUMBER(V72),V72&gt;0),K_ArbeitNormal,IF(F72=Krank,K_Krank,IF(F72=Urlaub,K_Urlaub,IF(AM72=Feiertag,K_Feiertag,IF(OR(AM72=6,AM72=7),K_Wochenende,0)))))))+IF(F72=Gleittag,K_Gleittag,0)</f>
        <v>0</v>
      </c>
      <c r="AW72" t="b">
        <f>OR((F72&gt;0),(NOT(ISBLANK(H72))),SUM(H72:H$373),SUM(G72:G$373))</f>
        <v>0</v>
      </c>
      <c r="AX72" t="b">
        <f ca="1">INDIRECT(ADDRESS(ROW(),COLUMN(xDay)))&gt;5</f>
        <v>0</v>
      </c>
      <c r="AY72" s="600">
        <f>IF(OR(R72&lt;&gt;0,F72&lt;&gt;0),AA72,IF(Z72="",0,-Z72))+(IF(AG72="+",AF72,-AF72))</f>
        <v>-0.29166666666666669</v>
      </c>
      <c r="AZ72" s="225">
        <f>SUM(AY$5:AY72)</f>
        <v>-13.708333333333325</v>
      </c>
      <c r="BA72" s="658"/>
      <c r="BB72" s="658">
        <f>IF(ISNA(MATCH(BA72,B_Arbeitsort,0)),0,MATCH(BA72,B_Arbeitsort,0))</f>
        <v>0</v>
      </c>
      <c r="BC72" s="658"/>
    </row>
    <row r="73" spans="1:55" ht="15.75">
      <c r="A73" s="305">
        <f>IF(A72="","",IF((A72+1)&gt;=DATE(YEAR(xJahr)+1,MONTH(xJahr),DAY(xJahr)),"",A72+1))</f>
        <v>43532</v>
      </c>
      <c r="B73" s="306">
        <f>IF(A73="","",A73)</f>
        <v>43532</v>
      </c>
      <c r="C73" s="307">
        <f>IF(A73="","",NumberOfWeek(A73))</f>
        <v>10</v>
      </c>
      <c r="D73" s="308">
        <f>IF(A73="","",DATE(YEAR(A73),MONTH(A73),1))</f>
        <v>43524</v>
      </c>
      <c r="E73" s="318" t="str">
        <f>IF((R73-U73)&gt;XWorkTimeMax,$Z$4,IF(AV73=Feiertag,VLOOKUP(B73,db_Feiertag,2,FALSE),""))</f>
        <v/>
      </c>
      <c r="F73" s="5"/>
      <c r="G73" s="6" t="str">
        <f>IF(ISBLANK(F73),IF(ISBLANK(H73),"",0),CODE(UPPER(F73)))</f>
        <v/>
      </c>
      <c r="H73" s="7"/>
      <c r="I73" s="7">
        <f>IF(H73&gt;0,H73+Y73+X73+AC73,0)</f>
        <v>0</v>
      </c>
      <c r="J73" s="113">
        <f>IF(K73&gt;I73,IF(I73&lt;H73,I73+1,I73)-B_WalkTime,IF(I73&lt;H73,I73+1,I73))</f>
        <v>0</v>
      </c>
      <c r="K73" s="7"/>
      <c r="L73" s="7">
        <f>IF(K73&gt;0,K73+IF((J73-H73)&lt;Y73,Y73-(J73-H73),TIME(0,10,0))+IF((K73-J73)&gt;xNoWorkTime,0,xNoWorkTime-(K73-J73)),0)</f>
        <v>0</v>
      </c>
      <c r="M73" s="113">
        <f>IF(L73&lt;K73,L73+1,L73)</f>
        <v>0</v>
      </c>
      <c r="N73" s="113"/>
      <c r="O73" s="113">
        <f>IF(N73&gt;0,N73+IF((J73-H73+M73-K73)&lt;Y73,Y73-(J73-H73+M73-K73),TIME(0,10,0))+IF((K73-J73+N73-M73)&gt;xNoWorkTime,0,xNoWorkTime-(K73-J73+N73-M73)),0)</f>
        <v>0</v>
      </c>
      <c r="P73" s="113"/>
      <c r="Q73" s="113">
        <f>IF(O73&lt;N73,O73+1,O73)</f>
        <v>0</v>
      </c>
      <c r="R73" s="113">
        <f>J73-H73+M73-K73+Q73-N73</f>
        <v>0</v>
      </c>
      <c r="S73" s="113">
        <f>IF(K73&gt;0,K73-I73,0)+IF(N73&gt;0,N73-L73)</f>
        <v>0</v>
      </c>
      <c r="T73" s="113">
        <f>IF(H73&gt;0,(IF(R73&gt;B_Pause1Nach,B_Pause1Dauer+IF(BA73="Büro",B_WalkTime,0),IF(BA73="Büro",B_WalkTime,0))+IF(R73&gt;B_Pause2Nach,B_Pause2Dauer,0)),0)</f>
        <v>0</v>
      </c>
      <c r="U73" s="113">
        <f>IF(T73&gt;S73,T73-S73,0)</f>
        <v>0</v>
      </c>
      <c r="V73" s="146">
        <f>IF(F73="S",Z73,(IF((R73-U73)&gt;XWorkTimeMax,XWorkTimeMax,IF((R73-U73)&gt;0,R73-U73,0))))</f>
        <v>0</v>
      </c>
      <c r="W73" s="66"/>
      <c r="X73" s="115">
        <f>xNoWorkTime</f>
        <v>4.027777777777778E-2</v>
      </c>
      <c r="Y73" s="110">
        <f>IF(AND((AM73&lt;Feiertag),(G73&lt;&gt;85)),IF(OR(F73="B",F73="G",F73="S",H73&gt;0),H73-H73+Z73,0),0)</f>
        <v>0</v>
      </c>
      <c r="Z73" s="111">
        <f>IF(AND(AM73&gt;0,AM73&lt;Feiertag),INDEX(Arbeitszeit,AM73),"")</f>
        <v>0.29166666666666669</v>
      </c>
      <c r="AA73" s="112">
        <f>V73-Y73</f>
        <v>0</v>
      </c>
      <c r="AB73" s="67" t="str">
        <f>IF((V73-Y73)&lt;0,"*","")</f>
        <v/>
      </c>
      <c r="AC73" s="193">
        <f>xOverTime</f>
        <v>0</v>
      </c>
      <c r="AD73" s="144" t="str">
        <f>IF((R73-U73)&gt;XWorkTimeMax,(R73-U73-XWorkTimeMax),"")</f>
        <v/>
      </c>
      <c r="AE73" s="225">
        <f>IF(AW73,(AE72+SUM(AA73)+(IF(AG73="+",AF73,-AF73))),)</f>
        <v>0</v>
      </c>
      <c r="AF73" s="110"/>
      <c r="AG73" s="627"/>
      <c r="AH73" s="110"/>
      <c r="AI73" s="110" t="str">
        <f>IF(AND(AF73&lt;&gt;"",AF73&lt;=V73),V73-AF73,"")</f>
        <v/>
      </c>
      <c r="AJ73" s="68">
        <f>IF(ISNUMBER(V73 ), IF( V73 &gt;= Y73, Y73, V73 ),"")</f>
        <v>0</v>
      </c>
      <c r="AK73" s="68">
        <f>IF( ISNUMBER( V73 ), IF( V73 &gt;= Y73, V73 - Y73, "" ), "" )</f>
        <v>0</v>
      </c>
      <c r="AL73" s="68" t="str">
        <f>IF( AND(ISNUMBER( V73 ),ISNUMBER( Y73 )), IF( V73 &gt;= Y73, "", Y73 - V73 ), "" )</f>
        <v/>
      </c>
      <c r="AM73">
        <f>IF(A73="",0,IF(ISERROR(VLOOKUP(A73,db_Feiertag,2,FALSE)),WEEKDAY(A73,2),Feiertag))</f>
        <v>4</v>
      </c>
      <c r="AN73" s="122">
        <f>SUM($AD$6:AD73)</f>
        <v>0</v>
      </c>
      <c r="AO73" s="122">
        <f ca="1">IF(D73=D72,AO72,OFFSET(AO73,-1,COLUMN(db_jSaldoGes)-COLUMN()))</f>
        <v>0</v>
      </c>
      <c r="AP73" s="126">
        <f>IF(OR($G73=-1,$G73=82),-1,IF(OR($G73=0,$G73=83),1,0))</f>
        <v>0</v>
      </c>
      <c r="AQ73" s="126">
        <f>IF($F73=Krank,1,IF($F73="J",-1,0))</f>
        <v>0</v>
      </c>
      <c r="AR73" s="126">
        <f>IF($F73=Urlaub,1,IF($F73="T",-1,0))</f>
        <v>0</v>
      </c>
      <c r="AS73" s="125">
        <f>IF(A73="","",AS72-IF(F73=Urlaub,1,0)+IF(AND(MONTH(A73)=1,DAY(A73)=1),B_UrlaubNeu,0))</f>
        <v>30</v>
      </c>
      <c r="AT73" s="125">
        <f ca="1">IF(A73="","",IF(D73=D72,AT72,OFFSET(AT73,-1,COLUMN(db_jUrlRest)-COLUMN()))+IF(AND(MONTH(A73)=1,DAY(A73)=1),B_UrlaubNeu,0))</f>
        <v>30</v>
      </c>
      <c r="AU73" s="135">
        <f>(IF(ISNUMBER(V73),V73,0)+IF(ISNUMBER(AD73),AD73,0))*24</f>
        <v>0</v>
      </c>
      <c r="AV73" s="125">
        <f>IF(ISNUMBER(AD73),K_ArbeitOverMax,IF(AND(ISNUMBER(AA73),AA73&gt;0),K_ArbeitOverTime,IF(AND(ISNUMBER(V73),V73&gt;0),K_ArbeitNormal,IF(F73=Krank,K_Krank,IF(F73=Urlaub,K_Urlaub,IF(AM73=Feiertag,K_Feiertag,IF(OR(AM73=6,AM73=7),K_Wochenende,0)))))))+IF(F73=Gleittag,K_Gleittag,0)</f>
        <v>0</v>
      </c>
      <c r="AW73" t="b">
        <f>OR((F73&gt;0),(NOT(ISBLANK(H73))),SUM(H73:H$373),SUM(G73:G$373))</f>
        <v>0</v>
      </c>
      <c r="AX73" t="b">
        <f ca="1">INDIRECT(ADDRESS(ROW(),COLUMN(xDay)))&gt;5</f>
        <v>0</v>
      </c>
      <c r="AY73" s="600">
        <f>IF(OR(R73&lt;&gt;0,F73&lt;&gt;0),AA73,IF(Z73="",0,-Z73))+(IF(AG73="+",AF73,-AF73))</f>
        <v>-0.29166666666666669</v>
      </c>
      <c r="AZ73" s="225">
        <f>SUM(AY$5:AY73)</f>
        <v>-13.999999999999991</v>
      </c>
      <c r="BA73" s="658"/>
      <c r="BB73" s="658">
        <f>IF(ISNA(MATCH(BA73,B_Arbeitsort,0)),0,MATCH(BA73,B_Arbeitsort,0))</f>
        <v>0</v>
      </c>
      <c r="BC73" s="658"/>
    </row>
    <row r="74" spans="1:55" ht="15.75">
      <c r="A74" s="305">
        <f>IF(A73="","",IF((A73+1)&gt;=DATE(YEAR(xJahr)+1,MONTH(xJahr),DAY(xJahr)),"",A73+1))</f>
        <v>43533</v>
      </c>
      <c r="B74" s="306">
        <f>IF(A74="","",A74)</f>
        <v>43533</v>
      </c>
      <c r="C74" s="307">
        <f>IF(A74="","",NumberOfWeek(A74))</f>
        <v>10</v>
      </c>
      <c r="D74" s="308">
        <f>IF(A74="","",DATE(YEAR(A74),MONTH(A74),1))</f>
        <v>43524</v>
      </c>
      <c r="E74" s="318" t="str">
        <f>IF((R74-U74)&gt;XWorkTimeMax,$Z$4,IF(AV74=Feiertag,VLOOKUP(B74,db_Feiertag,2,FALSE),""))</f>
        <v/>
      </c>
      <c r="F74" s="5"/>
      <c r="G74" s="6" t="str">
        <f>IF(ISBLANK(F74),IF(ISBLANK(H74),"",0),CODE(UPPER(F74)))</f>
        <v/>
      </c>
      <c r="H74" s="7"/>
      <c r="I74" s="7">
        <f>IF(H74&gt;0,H74+Y74+X74+AC74,0)</f>
        <v>0</v>
      </c>
      <c r="J74" s="113">
        <f>IF(K74&gt;I74,IF(I74&lt;H74,I74+1,I74)-B_WalkTime,IF(I74&lt;H74,I74+1,I74))</f>
        <v>0</v>
      </c>
      <c r="K74" s="7"/>
      <c r="L74" s="7">
        <f>IF(K74&gt;0,K74+IF((J74-H74)&lt;Y74,Y74-(J74-H74),TIME(0,10,0))+IF((K74-J74)&gt;xNoWorkTime,0,xNoWorkTime-(K74-J74)),0)</f>
        <v>0</v>
      </c>
      <c r="M74" s="113">
        <f>IF(L74&lt;K74,L74+1,L74)</f>
        <v>0</v>
      </c>
      <c r="N74" s="113"/>
      <c r="O74" s="113">
        <f>IF(N74&gt;0,N74+IF((J74-H74+M74-K74)&lt;Y74,Y74-(J74-H74+M74-K74),TIME(0,10,0))+IF((K74-J74+N74-M74)&gt;xNoWorkTime,0,xNoWorkTime-(K74-J74+N74-M74)),0)</f>
        <v>0</v>
      </c>
      <c r="P74" s="113"/>
      <c r="Q74" s="113">
        <f>IF(O74&lt;N74,O74+1,O74)</f>
        <v>0</v>
      </c>
      <c r="R74" s="113">
        <f>J74-H74+M74-K74+Q74-N74</f>
        <v>0</v>
      </c>
      <c r="S74" s="113">
        <f>IF(K74&gt;0,K74-I74,0)+IF(N74&gt;0,N74-L74)</f>
        <v>0</v>
      </c>
      <c r="T74" s="113">
        <f>IF(H74&gt;0,(IF(R74&gt;B_Pause1Nach,B_Pause1Dauer+IF(BA74="Büro",B_WalkTime,0),IF(BA74="Büro",B_WalkTime,0))+IF(R74&gt;B_Pause2Nach,B_Pause2Dauer,0)),0)</f>
        <v>0</v>
      </c>
      <c r="U74" s="113">
        <f>IF(T74&gt;S74,T74-S74,0)</f>
        <v>0</v>
      </c>
      <c r="V74" s="146">
        <f>IF(F74="S",Z74,(IF((R74-U74)&gt;XWorkTimeMax,XWorkTimeMax,IF((R74-U74)&gt;0,R74-U74,0))))</f>
        <v>0</v>
      </c>
      <c r="W74" s="66"/>
      <c r="X74" s="115">
        <f>xNoWorkTime</f>
        <v>4.027777777777778E-2</v>
      </c>
      <c r="Y74" s="110">
        <f>IF(AND((AM74&lt;Feiertag),(G74&lt;&gt;85)),IF(OR(F74="B",F74="G",F74="S",H74&gt;0),H74-H74+Z74,0),0)</f>
        <v>0</v>
      </c>
      <c r="Z74" s="111">
        <f>IF(AND(AM74&gt;0,AM74&lt;Feiertag),INDEX(Arbeitszeit,AM74),"")</f>
        <v>0.29166666666666669</v>
      </c>
      <c r="AA74" s="112">
        <f>V74-Y74</f>
        <v>0</v>
      </c>
      <c r="AB74" s="67" t="str">
        <f>IF((V74-Y74)&lt;0,"*","")</f>
        <v/>
      </c>
      <c r="AC74" s="193">
        <f>xOverTime</f>
        <v>0</v>
      </c>
      <c r="AD74" s="144" t="str">
        <f>IF((R74-U74)&gt;XWorkTimeMax,(R74-U74-XWorkTimeMax),"")</f>
        <v/>
      </c>
      <c r="AE74" s="225">
        <f>IF(AW74,(AE73+SUM(AA74)+(IF(AG74="+",AF74,-AF74))),)</f>
        <v>0</v>
      </c>
      <c r="AF74" s="110"/>
      <c r="AG74" s="627"/>
      <c r="AH74" s="110"/>
      <c r="AI74" s="110" t="str">
        <f>IF(AND(AF74&lt;&gt;"",AF74&lt;=V74),V74-AF74,"")</f>
        <v/>
      </c>
      <c r="AJ74" s="68">
        <f>IF(ISNUMBER(V74 ), IF( V74 &gt;= Y74, Y74, V74 ),"")</f>
        <v>0</v>
      </c>
      <c r="AK74" s="68">
        <f>IF( ISNUMBER( V74 ), IF( V74 &gt;= Y74, V74 - Y74, "" ), "" )</f>
        <v>0</v>
      </c>
      <c r="AL74" s="68" t="str">
        <f>IF( AND(ISNUMBER( V74 ),ISNUMBER( Y74 )), IF( V74 &gt;= Y74, "", Y74 - V74 ), "" )</f>
        <v/>
      </c>
      <c r="AM74">
        <f>IF(A74="",0,IF(ISERROR(VLOOKUP(A74,db_Feiertag,2,FALSE)),WEEKDAY(A74,2),Feiertag))</f>
        <v>5</v>
      </c>
      <c r="AN74" s="122">
        <f>SUM($AD$6:AD74)</f>
        <v>0</v>
      </c>
      <c r="AO74" s="122">
        <f ca="1">IF(D74=D73,AO73,OFFSET(AO74,-1,COLUMN(db_jSaldoGes)-COLUMN()))</f>
        <v>0</v>
      </c>
      <c r="AP74" s="126">
        <f>IF(OR($G74=-1,$G74=82),-1,IF(OR($G74=0,$G74=83),1,0))</f>
        <v>0</v>
      </c>
      <c r="AQ74" s="126">
        <f>IF($F74=Krank,1,IF($F74="J",-1,0))</f>
        <v>0</v>
      </c>
      <c r="AR74" s="126">
        <f>IF($F74=Urlaub,1,IF($F74="T",-1,0))</f>
        <v>0</v>
      </c>
      <c r="AS74" s="125">
        <f>IF(A74="","",AS73-IF(F74=Urlaub,1,0)+IF(AND(MONTH(A74)=1,DAY(A74)=1),B_UrlaubNeu,0))</f>
        <v>30</v>
      </c>
      <c r="AT74" s="125">
        <f ca="1">IF(A74="","",IF(D74=D73,AT73,OFFSET(AT74,-1,COLUMN(db_jUrlRest)-COLUMN()))+IF(AND(MONTH(A74)=1,DAY(A74)=1),B_UrlaubNeu,0))</f>
        <v>30</v>
      </c>
      <c r="AU74" s="135">
        <f>(IF(ISNUMBER(V74),V74,0)+IF(ISNUMBER(AD74),AD74,0))*24</f>
        <v>0</v>
      </c>
      <c r="AV74" s="125">
        <f>IF(ISNUMBER(AD74),K_ArbeitOverMax,IF(AND(ISNUMBER(AA74),AA74&gt;0),K_ArbeitOverTime,IF(AND(ISNUMBER(V74),V74&gt;0),K_ArbeitNormal,IF(F74=Krank,K_Krank,IF(F74=Urlaub,K_Urlaub,IF(AM74=Feiertag,K_Feiertag,IF(OR(AM74=6,AM74=7),K_Wochenende,0)))))))+IF(F74=Gleittag,K_Gleittag,0)</f>
        <v>0</v>
      </c>
      <c r="AW74" t="b">
        <f>OR((F74&gt;0),(NOT(ISBLANK(H74))),SUM(H74:H$373),SUM(G74:G$373))</f>
        <v>0</v>
      </c>
      <c r="AX74" t="b">
        <f ca="1">INDIRECT(ADDRESS(ROW(),COLUMN(xDay)))&gt;5</f>
        <v>0</v>
      </c>
      <c r="AY74" s="600">
        <f>IF(OR(R74&lt;&gt;0,F74&lt;&gt;0),AA74,IF(Z74="",0,-Z74))+(IF(AG74="+",AF74,-AF74))</f>
        <v>-0.29166666666666669</v>
      </c>
      <c r="AZ74" s="225">
        <f>SUM(AY$5:AY74)</f>
        <v>-14.291666666666657</v>
      </c>
      <c r="BA74" s="658"/>
      <c r="BB74" s="658">
        <f>IF(ISNA(MATCH(BA74,B_Arbeitsort,0)),0,MATCH(BA74,B_Arbeitsort,0))</f>
        <v>0</v>
      </c>
      <c r="BC74" s="658"/>
    </row>
    <row r="75" spans="1:55" ht="15.75">
      <c r="A75" s="305">
        <f>IF(A74="","",IF((A74+1)&gt;=DATE(YEAR(xJahr)+1,MONTH(xJahr),DAY(xJahr)),"",A74+1))</f>
        <v>43534</v>
      </c>
      <c r="B75" s="306">
        <f>IF(A75="","",A75)</f>
        <v>43534</v>
      </c>
      <c r="C75" s="307">
        <f>IF(A75="","",NumberOfWeek(A75))</f>
        <v>10</v>
      </c>
      <c r="D75" s="308">
        <f>IF(A75="","",DATE(YEAR(A75),MONTH(A75),1))</f>
        <v>43524</v>
      </c>
      <c r="E75" s="318" t="str">
        <f>IF((R75-U75)&gt;XWorkTimeMax,$Z$4,IF(AV75=Feiertag,VLOOKUP(B75,db_Feiertag,2,FALSE),""))</f>
        <v/>
      </c>
      <c r="F75" s="5"/>
      <c r="G75" s="6" t="str">
        <f>IF(ISBLANK(F75),IF(ISBLANK(H75),"",0),CODE(UPPER(F75)))</f>
        <v/>
      </c>
      <c r="H75" s="7"/>
      <c r="I75" s="7">
        <f>IF(H75&gt;0,H75+Y75+X75+AC75,0)</f>
        <v>0</v>
      </c>
      <c r="J75" s="113">
        <f>IF(K75&gt;I75,IF(I75&lt;H75,I75+1,I75)-B_WalkTime,IF(I75&lt;H75,I75+1,I75))</f>
        <v>0</v>
      </c>
      <c r="K75" s="7"/>
      <c r="L75" s="7">
        <f>IF(K75&gt;0,K75+IF((J75-H75)&lt;Y75,Y75-(J75-H75),TIME(0,10,0))+IF((K75-J75)&gt;xNoWorkTime,0,xNoWorkTime-(K75-J75)),0)</f>
        <v>0</v>
      </c>
      <c r="M75" s="113">
        <f>IF(L75&lt;K75,L75+1,L75)</f>
        <v>0</v>
      </c>
      <c r="N75" s="113"/>
      <c r="O75" s="113">
        <f>IF(N75&gt;0,N75+IF((J75-H75+M75-K75)&lt;Y75,Y75-(J75-H75+M75-K75),TIME(0,10,0))+IF((K75-J75+N75-M75)&gt;xNoWorkTime,0,xNoWorkTime-(K75-J75+N75-M75)),0)</f>
        <v>0</v>
      </c>
      <c r="P75" s="113"/>
      <c r="Q75" s="113">
        <f>IF(O75&lt;N75,O75+1,O75)</f>
        <v>0</v>
      </c>
      <c r="R75" s="113">
        <f>J75-H75+M75-K75+Q75-N75</f>
        <v>0</v>
      </c>
      <c r="S75" s="113">
        <f>IF(K75&gt;0,K75-I75,0)+IF(N75&gt;0,N75-L75)</f>
        <v>0</v>
      </c>
      <c r="T75" s="113">
        <f>IF(H75&gt;0,(IF(R75&gt;B_Pause1Nach,B_Pause1Dauer+IF(BA75="Büro",B_WalkTime,0),IF(BA75="Büro",B_WalkTime,0))+IF(R75&gt;B_Pause2Nach,B_Pause2Dauer,0)),0)</f>
        <v>0</v>
      </c>
      <c r="U75" s="113">
        <f>IF(T75&gt;S75,T75-S75,0)</f>
        <v>0</v>
      </c>
      <c r="V75" s="146">
        <f>IF(F75="S",Z75,(IF((R75-U75)&gt;XWorkTimeMax,XWorkTimeMax,IF((R75-U75)&gt;0,R75-U75,0))))</f>
        <v>0</v>
      </c>
      <c r="W75" s="66"/>
      <c r="X75" s="115">
        <f>xNoWorkTime</f>
        <v>4.027777777777778E-2</v>
      </c>
      <c r="Y75" s="110">
        <f>IF(AND((AM75&lt;Feiertag),(G75&lt;&gt;85)),IF(OR(F75="B",F75="G",F75="S",H75&gt;0),H75-H75+Z75,0),0)</f>
        <v>0</v>
      </c>
      <c r="Z75" s="111">
        <f>IF(AND(AM75&gt;0,AM75&lt;Feiertag),INDEX(Arbeitszeit,AM75),"")</f>
        <v>0</v>
      </c>
      <c r="AA75" s="112">
        <f>V75-Y75</f>
        <v>0</v>
      </c>
      <c r="AB75" s="67" t="str">
        <f>IF((V75-Y75)&lt;0,"*","")</f>
        <v/>
      </c>
      <c r="AC75" s="193">
        <f>xOverTime</f>
        <v>0</v>
      </c>
      <c r="AD75" s="144" t="str">
        <f>IF((R75-U75)&gt;XWorkTimeMax,(R75-U75-XWorkTimeMax),"")</f>
        <v/>
      </c>
      <c r="AE75" s="225">
        <f>IF(AW75,(AE74+SUM(AA75)+(IF(AG75="+",AF75,-AF75))),)</f>
        <v>0</v>
      </c>
      <c r="AF75" s="110"/>
      <c r="AG75" s="627"/>
      <c r="AH75" s="110"/>
      <c r="AI75" s="110" t="str">
        <f>IF(AND(AF75&lt;&gt;"",AF75&lt;=V75),V75-AF75,"")</f>
        <v/>
      </c>
      <c r="AJ75" s="68">
        <f>IF(ISNUMBER(V75 ), IF( V75 &gt;= Y75, Y75, V75 ),"")</f>
        <v>0</v>
      </c>
      <c r="AK75" s="68">
        <f>IF( ISNUMBER( V75 ), IF( V75 &gt;= Y75, V75 - Y75, "" ), "" )</f>
        <v>0</v>
      </c>
      <c r="AL75" s="68" t="str">
        <f>IF( AND(ISNUMBER( V75 ),ISNUMBER( Y75 )), IF( V75 &gt;= Y75, "", Y75 - V75 ), "" )</f>
        <v/>
      </c>
      <c r="AM75">
        <f>IF(A75="",0,IF(ISERROR(VLOOKUP(A75,db_Feiertag,2,FALSE)),WEEKDAY(A75,2),Feiertag))</f>
        <v>6</v>
      </c>
      <c r="AN75" s="122">
        <f>SUM($AD$6:AD75)</f>
        <v>0</v>
      </c>
      <c r="AO75" s="122">
        <f ca="1">IF(D75=D74,AO74,OFFSET(AO75,-1,COLUMN(db_jSaldoGes)-COLUMN()))</f>
        <v>0</v>
      </c>
      <c r="AP75" s="126">
        <f>IF(OR($G75=-1,$G75=82),-1,IF(OR($G75=0,$G75=83),1,0))</f>
        <v>0</v>
      </c>
      <c r="AQ75" s="126">
        <f>IF($F75=Krank,1,IF($F75="J",-1,0))</f>
        <v>0</v>
      </c>
      <c r="AR75" s="126">
        <f>IF($F75=Urlaub,1,IF($F75="T",-1,0))</f>
        <v>0</v>
      </c>
      <c r="AS75" s="125">
        <f>IF(A75="","",AS74-IF(F75=Urlaub,1,0)+IF(AND(MONTH(A75)=1,DAY(A75)=1),B_UrlaubNeu,0))</f>
        <v>30</v>
      </c>
      <c r="AT75" s="125">
        <f ca="1">IF(A75="","",IF(D75=D74,AT74,OFFSET(AT75,-1,COLUMN(db_jUrlRest)-COLUMN()))+IF(AND(MONTH(A75)=1,DAY(A75)=1),B_UrlaubNeu,0))</f>
        <v>30</v>
      </c>
      <c r="AU75" s="135">
        <f>(IF(ISNUMBER(V75),V75,0)+IF(ISNUMBER(AD75),AD75,0))*24</f>
        <v>0</v>
      </c>
      <c r="AV75" s="125">
        <f>IF(ISNUMBER(AD75),K_ArbeitOverMax,IF(AND(ISNUMBER(AA75),AA75&gt;0),K_ArbeitOverTime,IF(AND(ISNUMBER(V75),V75&gt;0),K_ArbeitNormal,IF(F75=Krank,K_Krank,IF(F75=Urlaub,K_Urlaub,IF(AM75=Feiertag,K_Feiertag,IF(OR(AM75=6,AM75=7),K_Wochenende,0)))))))+IF(F75=Gleittag,K_Gleittag,0)</f>
        <v>7</v>
      </c>
      <c r="AW75" t="b">
        <f>OR((F75&gt;0),(NOT(ISBLANK(H75))),SUM(H75:H$373),SUM(G75:G$373))</f>
        <v>0</v>
      </c>
      <c r="AX75" t="b">
        <f ca="1">INDIRECT(ADDRESS(ROW(),COLUMN(xDay)))&gt;5</f>
        <v>1</v>
      </c>
      <c r="AY75" s="600">
        <f>IF(OR(R75&lt;&gt;0,F75&lt;&gt;0),AA75,IF(Z75="",0,-Z75))+(IF(AG75="+",AF75,-AF75))</f>
        <v>0</v>
      </c>
      <c r="AZ75" s="225">
        <f>SUM(AY$5:AY75)</f>
        <v>-14.291666666666657</v>
      </c>
      <c r="BA75" s="643"/>
      <c r="BB75" s="658">
        <f>IF(ISNA(MATCH(BA75,B_Arbeitsort,0)),0,MATCH(BA75,B_Arbeitsort,0))</f>
        <v>0</v>
      </c>
      <c r="BC75" s="643"/>
    </row>
    <row r="76" spans="1:55" ht="15.75">
      <c r="A76" s="305">
        <f>IF(A75="","",IF((A75+1)&gt;=DATE(YEAR(xJahr)+1,MONTH(xJahr),DAY(xJahr)),"",A75+1))</f>
        <v>43535</v>
      </c>
      <c r="B76" s="306">
        <f>IF(A76="","",A76)</f>
        <v>43535</v>
      </c>
      <c r="C76" s="307">
        <f>IF(A76="","",NumberOfWeek(A76))</f>
        <v>10</v>
      </c>
      <c r="D76" s="308">
        <f>IF(A76="","",DATE(YEAR(A76),MONTH(A76),1))</f>
        <v>43524</v>
      </c>
      <c r="E76" s="318" t="str">
        <f>IF((R76-U76)&gt;XWorkTimeMax,$Z$4,IF(AV76=Feiertag,VLOOKUP(B76,db_Feiertag,2,FALSE),""))</f>
        <v/>
      </c>
      <c r="F76" s="5"/>
      <c r="G76" s="6" t="str">
        <f>IF(ISBLANK(F76),IF(ISBLANK(H76),"",0),CODE(UPPER(F76)))</f>
        <v/>
      </c>
      <c r="H76" s="7"/>
      <c r="I76" s="7">
        <f>IF(H76&gt;0,H76+Y76+X76+AC76,0)</f>
        <v>0</v>
      </c>
      <c r="J76" s="113">
        <f>IF(K76&gt;I76,IF(I76&lt;H76,I76+1,I76)-B_WalkTime,IF(I76&lt;H76,I76+1,I76))</f>
        <v>0</v>
      </c>
      <c r="K76" s="7"/>
      <c r="L76" s="7">
        <f>IF(K76&gt;0,K76+IF((J76-H76)&lt;Y76,Y76-(J76-H76),TIME(0,10,0))+IF((K76-J76)&gt;xNoWorkTime,0,xNoWorkTime-(K76-J76)),0)</f>
        <v>0</v>
      </c>
      <c r="M76" s="113">
        <f>IF(L76&lt;K76,L76+1,L76)</f>
        <v>0</v>
      </c>
      <c r="N76" s="113"/>
      <c r="O76" s="113">
        <f>IF(N76&gt;0,N76+IF((J76-H76+M76-K76)&lt;Y76,Y76-(J76-H76+M76-K76),TIME(0,10,0))+IF((K76-J76+N76-M76)&gt;xNoWorkTime,0,xNoWorkTime-(K76-J76+N76-M76)),0)</f>
        <v>0</v>
      </c>
      <c r="P76" s="113"/>
      <c r="Q76" s="113">
        <f>IF(O76&lt;N76,O76+1,O76)</f>
        <v>0</v>
      </c>
      <c r="R76" s="113">
        <f>J76-H76+M76-K76+Q76-N76</f>
        <v>0</v>
      </c>
      <c r="S76" s="113">
        <f>IF(K76&gt;0,K76-I76,0)+IF(N76&gt;0,N76-L76)</f>
        <v>0</v>
      </c>
      <c r="T76" s="113">
        <f>IF(H76&gt;0,(IF(R76&gt;B_Pause1Nach,B_Pause1Dauer+IF(BA76="Büro",B_WalkTime,0),IF(BA76="Büro",B_WalkTime,0))+IF(R76&gt;B_Pause2Nach,B_Pause2Dauer,0)),0)</f>
        <v>0</v>
      </c>
      <c r="U76" s="113">
        <f>IF(T76&gt;S76,T76-S76,0)</f>
        <v>0</v>
      </c>
      <c r="V76" s="146">
        <f>IF(F76="S",Z76,(IF((R76-U76)&gt;XWorkTimeMax,XWorkTimeMax,IF((R76-U76)&gt;0,R76-U76,0))))</f>
        <v>0</v>
      </c>
      <c r="W76" s="66"/>
      <c r="X76" s="115">
        <f>xNoWorkTime</f>
        <v>4.027777777777778E-2</v>
      </c>
      <c r="Y76" s="110">
        <f>IF(AND((AM76&lt;Feiertag),(G76&lt;&gt;85)),IF(OR(F76="B",F76="G",F76="S",H76&gt;0),H76-H76+Z76,0),0)</f>
        <v>0</v>
      </c>
      <c r="Z76" s="111">
        <f>IF(AND(AM76&gt;0,AM76&lt;Feiertag),INDEX(Arbeitszeit,AM76),"")</f>
        <v>0</v>
      </c>
      <c r="AA76" s="112">
        <f>V76-Y76</f>
        <v>0</v>
      </c>
      <c r="AB76" s="67" t="str">
        <f>IF((V76-Y76)&lt;0,"*","")</f>
        <v/>
      </c>
      <c r="AC76" s="193">
        <f>xOverTime</f>
        <v>0</v>
      </c>
      <c r="AD76" s="144" t="str">
        <f>IF((R76-U76)&gt;XWorkTimeMax,(R76-U76-XWorkTimeMax),"")</f>
        <v/>
      </c>
      <c r="AE76" s="225">
        <f>IF(AW76,(AE75+SUM(AA76)+(IF(AG76="+",AF76,-AF76))),)</f>
        <v>0</v>
      </c>
      <c r="AF76" s="110"/>
      <c r="AG76" s="627"/>
      <c r="AH76" s="110"/>
      <c r="AI76" s="110" t="str">
        <f>IF(AND(AF76&lt;&gt;"",AF76&lt;=V76),V76-AF76,"")</f>
        <v/>
      </c>
      <c r="AJ76" s="68">
        <f>IF(ISNUMBER(V76 ), IF( V76 &gt;= Y76, Y76, V76 ),"")</f>
        <v>0</v>
      </c>
      <c r="AK76" s="68">
        <f>IF( ISNUMBER( V76 ), IF( V76 &gt;= Y76, V76 - Y76, "" ), "" )</f>
        <v>0</v>
      </c>
      <c r="AL76" s="68" t="str">
        <f>IF( AND(ISNUMBER( V76 ),ISNUMBER( Y76 )), IF( V76 &gt;= Y76, "", Y76 - V76 ), "" )</f>
        <v/>
      </c>
      <c r="AM76">
        <f>IF(A76="",0,IF(ISERROR(VLOOKUP(A76,db_Feiertag,2,FALSE)),WEEKDAY(A76,2),Feiertag))</f>
        <v>7</v>
      </c>
      <c r="AN76" s="122">
        <f>SUM($AD$6:AD76)</f>
        <v>0</v>
      </c>
      <c r="AO76" s="122">
        <f ca="1">IF(D76=D75,AO75,OFFSET(AO76,-1,COLUMN(db_jSaldoGes)-COLUMN()))</f>
        <v>0</v>
      </c>
      <c r="AP76" s="126">
        <f>IF(OR($G76=-1,$G76=82),-1,IF(OR($G76=0,$G76=83),1,0))</f>
        <v>0</v>
      </c>
      <c r="AQ76" s="126">
        <f>IF($F76=Krank,1,IF($F76="J",-1,0))</f>
        <v>0</v>
      </c>
      <c r="AR76" s="126">
        <f>IF($F76=Urlaub,1,IF($F76="T",-1,0))</f>
        <v>0</v>
      </c>
      <c r="AS76" s="125">
        <f>IF(A76="","",AS75-IF(F76=Urlaub,1,0)+IF(AND(MONTH(A76)=1,DAY(A76)=1),B_UrlaubNeu,0))</f>
        <v>30</v>
      </c>
      <c r="AT76" s="125">
        <f ca="1">IF(A76="","",IF(D76=D75,AT75,OFFSET(AT76,-1,COLUMN(db_jUrlRest)-COLUMN()))+IF(AND(MONTH(A76)=1,DAY(A76)=1),B_UrlaubNeu,0))</f>
        <v>30</v>
      </c>
      <c r="AU76" s="135">
        <f>(IF(ISNUMBER(V76),V76,0)+IF(ISNUMBER(AD76),AD76,0))*24</f>
        <v>0</v>
      </c>
      <c r="AV76" s="125">
        <f>IF(ISNUMBER(AD76),K_ArbeitOverMax,IF(AND(ISNUMBER(AA76),AA76&gt;0),K_ArbeitOverTime,IF(AND(ISNUMBER(V76),V76&gt;0),K_ArbeitNormal,IF(F76=Krank,K_Krank,IF(F76=Urlaub,K_Urlaub,IF(AM76=Feiertag,K_Feiertag,IF(OR(AM76=6,AM76=7),K_Wochenende,0)))))))+IF(F76=Gleittag,K_Gleittag,0)</f>
        <v>7</v>
      </c>
      <c r="AW76" t="b">
        <f>OR((F76&gt;0),(NOT(ISBLANK(H76))),SUM(H76:H$373),SUM(G76:G$373))</f>
        <v>0</v>
      </c>
      <c r="AX76" t="b">
        <f ca="1">INDIRECT(ADDRESS(ROW(),COLUMN(xDay)))&gt;5</f>
        <v>1</v>
      </c>
      <c r="AY76" s="600">
        <f>IF(OR(R76&lt;&gt;0,F76&lt;&gt;0),AA76,IF(Z76="",0,-Z76))+(IF(AG76="+",AF76,-AF76))</f>
        <v>0</v>
      </c>
      <c r="AZ76" s="225">
        <f>SUM(AY$5:AY76)</f>
        <v>-14.291666666666657</v>
      </c>
      <c r="BA76" s="643"/>
      <c r="BB76" s="658">
        <f>IF(ISNA(MATCH(BA76,B_Arbeitsort,0)),0,MATCH(BA76,B_Arbeitsort,0))</f>
        <v>0</v>
      </c>
      <c r="BC76" s="643"/>
    </row>
    <row r="77" spans="1:55" ht="15.75">
      <c r="A77" s="305">
        <f>IF(A76="","",IF((A76+1)&gt;=DATE(YEAR(xJahr)+1,MONTH(xJahr),DAY(xJahr)),"",A76+1))</f>
        <v>43536</v>
      </c>
      <c r="B77" s="306">
        <f>IF(A77="","",A77)</f>
        <v>43536</v>
      </c>
      <c r="C77" s="307">
        <f>IF(A77="","",NumberOfWeek(A77))</f>
        <v>11</v>
      </c>
      <c r="D77" s="308">
        <f>IF(A77="","",DATE(YEAR(A77),MONTH(A77),1))</f>
        <v>43524</v>
      </c>
      <c r="E77" s="318" t="str">
        <f>IF((R77-U77)&gt;XWorkTimeMax,$Z$4,IF(AV77=Feiertag,VLOOKUP(B77,db_Feiertag,2,FALSE),""))</f>
        <v/>
      </c>
      <c r="F77" s="5"/>
      <c r="G77" s="6" t="str">
        <f>IF(ISBLANK(F77),IF(ISBLANK(H77),"",0),CODE(UPPER(F77)))</f>
        <v/>
      </c>
      <c r="H77" s="7"/>
      <c r="I77" s="7">
        <f>IF(H77&gt;0,H77+Y77+X77+AC77,0)</f>
        <v>0</v>
      </c>
      <c r="J77" s="113">
        <f>IF(K77&gt;I77,IF(I77&lt;H77,I77+1,I77)-B_WalkTime,IF(I77&lt;H77,I77+1,I77))</f>
        <v>0</v>
      </c>
      <c r="K77" s="7"/>
      <c r="L77" s="7">
        <f>IF(K77&gt;0,K77+IF((J77-H77)&lt;Y77,Y77-(J77-H77),TIME(0,10,0))+IF((K77-J77)&gt;xNoWorkTime,0,xNoWorkTime-(K77-J77)),0)</f>
        <v>0</v>
      </c>
      <c r="M77" s="113">
        <f>IF(L77&lt;K77,L77+1,L77)</f>
        <v>0</v>
      </c>
      <c r="N77" s="113"/>
      <c r="O77" s="113">
        <f>IF(N77&gt;0,N77+IF((J77-H77+M77-K77)&lt;Y77,Y77-(J77-H77+M77-K77),TIME(0,10,0))+IF((K77-J77+N77-M77)&gt;xNoWorkTime,0,xNoWorkTime-(K77-J77+N77-M77)),0)</f>
        <v>0</v>
      </c>
      <c r="P77" s="113"/>
      <c r="Q77" s="113">
        <f>IF(O77&lt;N77,O77+1,O77)</f>
        <v>0</v>
      </c>
      <c r="R77" s="113">
        <f>J77-H77+M77-K77+Q77-N77</f>
        <v>0</v>
      </c>
      <c r="S77" s="113">
        <f>IF(K77&gt;0,K77-I77,0)+IF(N77&gt;0,N77-L77)</f>
        <v>0</v>
      </c>
      <c r="T77" s="113">
        <f>IF(H77&gt;0,(IF(R77&gt;B_Pause1Nach,B_Pause1Dauer+IF(BA77="Büro",B_WalkTime,0),IF(BA77="Büro",B_WalkTime,0))+IF(R77&gt;B_Pause2Nach,B_Pause2Dauer,0)),0)</f>
        <v>0</v>
      </c>
      <c r="U77" s="113">
        <f>IF(T77&gt;S77,T77-S77,0)</f>
        <v>0</v>
      </c>
      <c r="V77" s="146">
        <f>IF(F77="S",Z77,(IF((R77-U77)&gt;XWorkTimeMax,XWorkTimeMax,IF((R77-U77)&gt;0,R77-U77,0))))</f>
        <v>0</v>
      </c>
      <c r="W77" s="66"/>
      <c r="X77" s="115">
        <f>xNoWorkTime</f>
        <v>4.027777777777778E-2</v>
      </c>
      <c r="Y77" s="110">
        <f>IF(AND((AM77&lt;Feiertag),(G77&lt;&gt;85)),IF(OR(F77="B",F77="G",F77="S",H77&gt;0),H77-H77+Z77,0),0)</f>
        <v>0</v>
      </c>
      <c r="Z77" s="111">
        <f>IF(AND(AM77&gt;0,AM77&lt;Feiertag),INDEX(Arbeitszeit,AM77),"")</f>
        <v>0.29166666666666669</v>
      </c>
      <c r="AA77" s="112">
        <f>V77-Y77</f>
        <v>0</v>
      </c>
      <c r="AB77" s="67" t="str">
        <f>IF((V77-Y77)&lt;0,"*","")</f>
        <v/>
      </c>
      <c r="AC77" s="193">
        <f>xOverTime</f>
        <v>0</v>
      </c>
      <c r="AD77" s="144" t="str">
        <f>IF((R77-U77)&gt;XWorkTimeMax,(R77-U77-XWorkTimeMax),"")</f>
        <v/>
      </c>
      <c r="AE77" s="225">
        <f>IF(AW77,(AE76+SUM(AA77)+(IF(AG77="+",AF77,-AF77))),)</f>
        <v>0</v>
      </c>
      <c r="AF77" s="110"/>
      <c r="AG77" s="627"/>
      <c r="AH77" s="110"/>
      <c r="AI77" s="110" t="str">
        <f>IF(AND(AF77&lt;&gt;"",AF77&lt;=V77),V77-AF77,"")</f>
        <v/>
      </c>
      <c r="AJ77" s="68">
        <f>IF(ISNUMBER(V77 ), IF( V77 &gt;= Y77, Y77, V77 ),"")</f>
        <v>0</v>
      </c>
      <c r="AK77" s="68">
        <f>IF( ISNUMBER( V77 ), IF( V77 &gt;= Y77, V77 - Y77, "" ), "" )</f>
        <v>0</v>
      </c>
      <c r="AL77" s="68" t="str">
        <f>IF( AND(ISNUMBER( V77 ),ISNUMBER( Y77 )), IF( V77 &gt;= Y77, "", Y77 - V77 ), "" )</f>
        <v/>
      </c>
      <c r="AM77">
        <f>IF(A77="",0,IF(ISERROR(VLOOKUP(A77,db_Feiertag,2,FALSE)),WEEKDAY(A77,2),Feiertag))</f>
        <v>1</v>
      </c>
      <c r="AN77" s="122">
        <f>SUM($AD$6:AD77)</f>
        <v>0</v>
      </c>
      <c r="AO77" s="122">
        <f ca="1">IF(D77=D76,AO76,OFFSET(AO77,-1,COLUMN(db_jSaldoGes)-COLUMN()))</f>
        <v>0</v>
      </c>
      <c r="AP77" s="126">
        <f>IF(OR($G77=-1,$G77=82),-1,IF(OR($G77=0,$G77=83),1,0))</f>
        <v>0</v>
      </c>
      <c r="AQ77" s="126">
        <f>IF($F77=Krank,1,IF($F77="J",-1,0))</f>
        <v>0</v>
      </c>
      <c r="AR77" s="126">
        <f>IF($F77=Urlaub,1,IF($F77="T",-1,0))</f>
        <v>0</v>
      </c>
      <c r="AS77" s="125">
        <f>IF(A77="","",AS76-IF(F77=Urlaub,1,0)+IF(AND(MONTH(A77)=1,DAY(A77)=1),B_UrlaubNeu,0))</f>
        <v>30</v>
      </c>
      <c r="AT77" s="125">
        <f ca="1">IF(A77="","",IF(D77=D76,AT76,OFFSET(AT77,-1,COLUMN(db_jUrlRest)-COLUMN()))+IF(AND(MONTH(A77)=1,DAY(A77)=1),B_UrlaubNeu,0))</f>
        <v>30</v>
      </c>
      <c r="AU77" s="135">
        <f>(IF(ISNUMBER(V77),V77,0)+IF(ISNUMBER(AD77),AD77,0))*24</f>
        <v>0</v>
      </c>
      <c r="AV77" s="125">
        <f>IF(ISNUMBER(AD77),K_ArbeitOverMax,IF(AND(ISNUMBER(AA77),AA77&gt;0),K_ArbeitOverTime,IF(AND(ISNUMBER(V77),V77&gt;0),K_ArbeitNormal,IF(F77=Krank,K_Krank,IF(F77=Urlaub,K_Urlaub,IF(AM77=Feiertag,K_Feiertag,IF(OR(AM77=6,AM77=7),K_Wochenende,0)))))))+IF(F77=Gleittag,K_Gleittag,0)</f>
        <v>0</v>
      </c>
      <c r="AW77" t="b">
        <f>OR((F77&gt;0),(NOT(ISBLANK(H77))),SUM(H77:H$373),SUM(G77:G$373))</f>
        <v>0</v>
      </c>
      <c r="AX77" t="b">
        <f ca="1">INDIRECT(ADDRESS(ROW(),COLUMN(xDay)))&gt;5</f>
        <v>0</v>
      </c>
      <c r="AY77" s="600">
        <f>IF(OR(R77&lt;&gt;0,F77&lt;&gt;0),AA77,IF(Z77="",0,-Z77))+(IF(AG77="+",AF77,-AF77))</f>
        <v>-0.29166666666666669</v>
      </c>
      <c r="AZ77" s="225">
        <f>SUM(AY$5:AY77)</f>
        <v>-14.583333333333323</v>
      </c>
      <c r="BA77" s="658"/>
      <c r="BB77" s="658">
        <f>IF(ISNA(MATCH(BA77,B_Arbeitsort,0)),0,MATCH(BA77,B_Arbeitsort,0))</f>
        <v>0</v>
      </c>
      <c r="BC77" s="658"/>
    </row>
    <row r="78" spans="1:55" ht="15.75">
      <c r="A78" s="305">
        <f>IF(A77="","",IF((A77+1)&gt;=DATE(YEAR(xJahr)+1,MONTH(xJahr),DAY(xJahr)),"",A77+1))</f>
        <v>43537</v>
      </c>
      <c r="B78" s="306">
        <f>IF(A78="","",A78)</f>
        <v>43537</v>
      </c>
      <c r="C78" s="307">
        <f>IF(A78="","",NumberOfWeek(A78))</f>
        <v>11</v>
      </c>
      <c r="D78" s="308">
        <f>IF(A78="","",DATE(YEAR(A78),MONTH(A78),1))</f>
        <v>43524</v>
      </c>
      <c r="E78" s="318" t="str">
        <f>IF((R78-U78)&gt;XWorkTimeMax,$Z$4,IF(AV78=Feiertag,VLOOKUP(B78,db_Feiertag,2,FALSE),""))</f>
        <v/>
      </c>
      <c r="F78" s="5"/>
      <c r="G78" s="6" t="str">
        <f>IF(ISBLANK(F78),IF(ISBLANK(H78),"",0),CODE(UPPER(F78)))</f>
        <v/>
      </c>
      <c r="H78" s="7"/>
      <c r="I78" s="7">
        <f>IF(H78&gt;0,H78+Y78+X78+AC78,0)</f>
        <v>0</v>
      </c>
      <c r="J78" s="113">
        <f>IF(K78&gt;I78,IF(I78&lt;H78,I78+1,I78)-B_WalkTime,IF(I78&lt;H78,I78+1,I78))</f>
        <v>0</v>
      </c>
      <c r="K78" s="7"/>
      <c r="L78" s="7">
        <f>IF(K78&gt;0,K78+IF((J78-H78)&lt;Y78,Y78-(J78-H78),TIME(0,10,0))+IF((K78-J78)&gt;xNoWorkTime,0,xNoWorkTime-(K78-J78)),0)</f>
        <v>0</v>
      </c>
      <c r="M78" s="113">
        <f>IF(L78&lt;K78,L78+1,L78)</f>
        <v>0</v>
      </c>
      <c r="N78" s="113"/>
      <c r="O78" s="113">
        <f>IF(N78&gt;0,N78+IF((J78-H78+M78-K78)&lt;Y78,Y78-(J78-H78+M78-K78),TIME(0,10,0))+IF((K78-J78+N78-M78)&gt;xNoWorkTime,0,xNoWorkTime-(K78-J78+N78-M78)),0)</f>
        <v>0</v>
      </c>
      <c r="P78" s="113"/>
      <c r="Q78" s="113">
        <f>IF(O78&lt;N78,O78+1,O78)</f>
        <v>0</v>
      </c>
      <c r="R78" s="113">
        <f>J78-H78+M78-K78+Q78-N78</f>
        <v>0</v>
      </c>
      <c r="S78" s="113">
        <f>IF(K78&gt;0,K78-I78,0)+IF(N78&gt;0,N78-L78)</f>
        <v>0</v>
      </c>
      <c r="T78" s="113">
        <f>IF(H78&gt;0,(IF(R78&gt;B_Pause1Nach,B_Pause1Dauer+IF(BA78="Büro",B_WalkTime,0),IF(BA78="Büro",B_WalkTime,0))+IF(R78&gt;B_Pause2Nach,B_Pause2Dauer,0)),0)</f>
        <v>0</v>
      </c>
      <c r="U78" s="113">
        <f>IF(T78&gt;S78,T78-S78,0)</f>
        <v>0</v>
      </c>
      <c r="V78" s="146">
        <f>IF(F78="S",Z78,(IF((R78-U78)&gt;XWorkTimeMax,XWorkTimeMax,IF((R78-U78)&gt;0,R78-U78,0))))</f>
        <v>0</v>
      </c>
      <c r="W78" s="66"/>
      <c r="X78" s="115">
        <f>xNoWorkTime</f>
        <v>4.027777777777778E-2</v>
      </c>
      <c r="Y78" s="110">
        <f>IF(AND((AM78&lt;Feiertag),(G78&lt;&gt;85)),IF(OR(F78="B",F78="G",F78="S",H78&gt;0),H78-H78+Z78,0),0)</f>
        <v>0</v>
      </c>
      <c r="Z78" s="111">
        <f>IF(AND(AM78&gt;0,AM78&lt;Feiertag),INDEX(Arbeitszeit,AM78),"")</f>
        <v>0.29166666666666669</v>
      </c>
      <c r="AA78" s="112">
        <f>V78-Y78</f>
        <v>0</v>
      </c>
      <c r="AB78" s="67" t="str">
        <f>IF((V78-Y78)&lt;0,"*","")</f>
        <v/>
      </c>
      <c r="AC78" s="193">
        <f>xOverTime</f>
        <v>0</v>
      </c>
      <c r="AD78" s="144" t="str">
        <f>IF((R78-U78)&gt;XWorkTimeMax,(R78-U78-XWorkTimeMax),"")</f>
        <v/>
      </c>
      <c r="AE78" s="225">
        <f>IF(AW78,(AE77+SUM(AA78)+(IF(AG78="+",AF78,-AF78))),)</f>
        <v>0</v>
      </c>
      <c r="AF78" s="110"/>
      <c r="AG78" s="627"/>
      <c r="AH78" s="110"/>
      <c r="AI78" s="110" t="str">
        <f>IF(AND(AF78&lt;&gt;"",AF78&lt;=V78),V78-AF78,"")</f>
        <v/>
      </c>
      <c r="AJ78" s="68">
        <f>IF(ISNUMBER(V78 ), IF( V78 &gt;= Y78, Y78, V78 ),"")</f>
        <v>0</v>
      </c>
      <c r="AK78" s="68">
        <f>IF( ISNUMBER( V78 ), IF( V78 &gt;= Y78, V78 - Y78, "" ), "" )</f>
        <v>0</v>
      </c>
      <c r="AL78" s="68" t="str">
        <f>IF( AND(ISNUMBER( V78 ),ISNUMBER( Y78 )), IF( V78 &gt;= Y78, "", Y78 - V78 ), "" )</f>
        <v/>
      </c>
      <c r="AM78">
        <f>IF(A78="",0,IF(ISERROR(VLOOKUP(A78,db_Feiertag,2,FALSE)),WEEKDAY(A78,2),Feiertag))</f>
        <v>2</v>
      </c>
      <c r="AN78" s="122">
        <f>SUM($AD$6:AD78)</f>
        <v>0</v>
      </c>
      <c r="AO78" s="122">
        <f ca="1">IF(D78=D77,AO77,OFFSET(AO78,-1,COLUMN(db_jSaldoGes)-COLUMN()))</f>
        <v>0</v>
      </c>
      <c r="AP78" s="126">
        <f>IF(OR($G78=-1,$G78=82),-1,IF(OR($G78=0,$G78=83),1,0))</f>
        <v>0</v>
      </c>
      <c r="AQ78" s="126">
        <f>IF($F78=Krank,1,IF($F78="J",-1,0))</f>
        <v>0</v>
      </c>
      <c r="AR78" s="126">
        <f>IF($F78=Urlaub,1,IF($F78="T",-1,0))</f>
        <v>0</v>
      </c>
      <c r="AS78" s="125">
        <f>IF(A78="","",AS77-IF(F78=Urlaub,1,0)+IF(AND(MONTH(A78)=1,DAY(A78)=1),B_UrlaubNeu,0))</f>
        <v>30</v>
      </c>
      <c r="AT78" s="125">
        <f ca="1">IF(A78="","",IF(D78=D77,AT77,OFFSET(AT78,-1,COLUMN(db_jUrlRest)-COLUMN()))+IF(AND(MONTH(A78)=1,DAY(A78)=1),B_UrlaubNeu,0))</f>
        <v>30</v>
      </c>
      <c r="AU78" s="135">
        <f>(IF(ISNUMBER(V78),V78,0)+IF(ISNUMBER(AD78),AD78,0))*24</f>
        <v>0</v>
      </c>
      <c r="AV78" s="125">
        <f>IF(ISNUMBER(AD78),K_ArbeitOverMax,IF(AND(ISNUMBER(AA78),AA78&gt;0),K_ArbeitOverTime,IF(AND(ISNUMBER(V78),V78&gt;0),K_ArbeitNormal,IF(F78=Krank,K_Krank,IF(F78=Urlaub,K_Urlaub,IF(AM78=Feiertag,K_Feiertag,IF(OR(AM78=6,AM78=7),K_Wochenende,0)))))))+IF(F78=Gleittag,K_Gleittag,0)</f>
        <v>0</v>
      </c>
      <c r="AW78" t="b">
        <f>OR((F78&gt;0),(NOT(ISBLANK(H78))),SUM(H78:H$373),SUM(G78:G$373))</f>
        <v>0</v>
      </c>
      <c r="AX78" t="b">
        <f ca="1">INDIRECT(ADDRESS(ROW(),COLUMN(xDay)))&gt;5</f>
        <v>0</v>
      </c>
      <c r="AY78" s="600">
        <f>IF(OR(R78&lt;&gt;0,F78&lt;&gt;0),AA78,IF(Z78="",0,-Z78))+(IF(AG78="+",AF78,-AF78))</f>
        <v>-0.29166666666666669</v>
      </c>
      <c r="AZ78" s="225">
        <f>SUM(AY$5:AY78)</f>
        <v>-14.874999999999989</v>
      </c>
      <c r="BA78" s="658"/>
      <c r="BB78" s="658">
        <f>IF(ISNA(MATCH(BA78,B_Arbeitsort,0)),0,MATCH(BA78,B_Arbeitsort,0))</f>
        <v>0</v>
      </c>
      <c r="BC78" s="658"/>
    </row>
    <row r="79" spans="1:55" ht="15.75">
      <c r="A79" s="305">
        <f>IF(A78="","",IF((A78+1)&gt;=DATE(YEAR(xJahr)+1,MONTH(xJahr),DAY(xJahr)),"",A78+1))</f>
        <v>43538</v>
      </c>
      <c r="B79" s="306">
        <f>IF(A79="","",A79)</f>
        <v>43538</v>
      </c>
      <c r="C79" s="307">
        <f>IF(A79="","",NumberOfWeek(A79))</f>
        <v>11</v>
      </c>
      <c r="D79" s="308">
        <f>IF(A79="","",DATE(YEAR(A79),MONTH(A79),1))</f>
        <v>43524</v>
      </c>
      <c r="E79" s="318" t="str">
        <f>IF((R79-U79)&gt;XWorkTimeMax,$Z$4,IF(AV79=Feiertag,VLOOKUP(B79,db_Feiertag,2,FALSE),""))</f>
        <v/>
      </c>
      <c r="F79" s="5"/>
      <c r="G79" s="6" t="str">
        <f>IF(ISBLANK(F79),IF(ISBLANK(H79),"",0),CODE(UPPER(F79)))</f>
        <v/>
      </c>
      <c r="H79" s="7"/>
      <c r="I79" s="7">
        <f>IF(H79&gt;0,H79+Y79+X79+AC79,0)</f>
        <v>0</v>
      </c>
      <c r="J79" s="113">
        <f>IF(K79&gt;I79,IF(I79&lt;H79,I79+1,I79)-B_WalkTime,IF(I79&lt;H79,I79+1,I79))</f>
        <v>0</v>
      </c>
      <c r="K79" s="7"/>
      <c r="L79" s="7">
        <f>IF(K79&gt;0,K79+IF((J79-H79)&lt;Y79,Y79-(J79-H79),TIME(0,10,0))+IF((K79-J79)&gt;xNoWorkTime,0,xNoWorkTime-(K79-J79)),0)</f>
        <v>0</v>
      </c>
      <c r="M79" s="113">
        <f>IF(L79&lt;K79,L79+1,L79)</f>
        <v>0</v>
      </c>
      <c r="N79" s="113"/>
      <c r="O79" s="113">
        <f>IF(N79&gt;0,N79+IF((J79-H79+M79-K79)&lt;Y79,Y79-(J79-H79+M79-K79),TIME(0,10,0))+IF((K79-J79+N79-M79)&gt;xNoWorkTime,0,xNoWorkTime-(K79-J79+N79-M79)),0)</f>
        <v>0</v>
      </c>
      <c r="P79" s="113"/>
      <c r="Q79" s="113">
        <f>IF(O79&lt;N79,O79+1,O79)</f>
        <v>0</v>
      </c>
      <c r="R79" s="113">
        <f>J79-H79+M79-K79+Q79-N79</f>
        <v>0</v>
      </c>
      <c r="S79" s="113">
        <f>IF(K79&gt;0,K79-I79,0)+IF(N79&gt;0,N79-L79)</f>
        <v>0</v>
      </c>
      <c r="T79" s="113">
        <f>IF(H79&gt;0,(IF(R79&gt;B_Pause1Nach,B_Pause1Dauer+IF(BA79="Büro",B_WalkTime,0),IF(BA79="Büro",B_WalkTime,0))+IF(R79&gt;B_Pause2Nach,B_Pause2Dauer,0)),0)</f>
        <v>0</v>
      </c>
      <c r="U79" s="113">
        <f>IF(T79&gt;S79,T79-S79,0)</f>
        <v>0</v>
      </c>
      <c r="V79" s="146">
        <f>IF(F79="S",Z79,(IF((R79-U79)&gt;XWorkTimeMax,XWorkTimeMax,IF((R79-U79)&gt;0,R79-U79,0))))</f>
        <v>0</v>
      </c>
      <c r="W79" s="66"/>
      <c r="X79" s="115">
        <f>xNoWorkTime</f>
        <v>4.027777777777778E-2</v>
      </c>
      <c r="Y79" s="110">
        <f>IF(AND((AM79&lt;Feiertag),(G79&lt;&gt;85)),IF(OR(F79="B",F79="G",F79="S",H79&gt;0),H79-H79+Z79,0),0)</f>
        <v>0</v>
      </c>
      <c r="Z79" s="111">
        <f>IF(AND(AM79&gt;0,AM79&lt;Feiertag),INDEX(Arbeitszeit,AM79),"")</f>
        <v>0.29166666666666669</v>
      </c>
      <c r="AA79" s="112">
        <f>V79-Y79</f>
        <v>0</v>
      </c>
      <c r="AB79" s="67" t="str">
        <f>IF((V79-Y79)&lt;0,"*","")</f>
        <v/>
      </c>
      <c r="AC79" s="193">
        <f>xOverTime</f>
        <v>0</v>
      </c>
      <c r="AD79" s="144" t="str">
        <f>IF((R79-U79)&gt;XWorkTimeMax,(R79-U79-XWorkTimeMax),"")</f>
        <v/>
      </c>
      <c r="AE79" s="225">
        <f>IF(AW79,(AE78+SUM(AA79)+(IF(AG79="+",AF79,-AF79))),)</f>
        <v>0</v>
      </c>
      <c r="AF79" s="110"/>
      <c r="AG79" s="627"/>
      <c r="AH79" s="110"/>
      <c r="AI79" s="110" t="str">
        <f>IF(AND(AF79&lt;&gt;"",AF79&lt;=V79),V79-AF79,"")</f>
        <v/>
      </c>
      <c r="AJ79" s="68">
        <f>IF(ISNUMBER(V79 ), IF( V79 &gt;= Y79, Y79, V79 ),"")</f>
        <v>0</v>
      </c>
      <c r="AK79" s="68">
        <f>IF( ISNUMBER( V79 ), IF( V79 &gt;= Y79, V79 - Y79, "" ), "" )</f>
        <v>0</v>
      </c>
      <c r="AL79" s="68" t="str">
        <f>IF( AND(ISNUMBER( V79 ),ISNUMBER( Y79 )), IF( V79 &gt;= Y79, "", Y79 - V79 ), "" )</f>
        <v/>
      </c>
      <c r="AM79">
        <f>IF(A79="",0,IF(ISERROR(VLOOKUP(A79,db_Feiertag,2,FALSE)),WEEKDAY(A79,2),Feiertag))</f>
        <v>3</v>
      </c>
      <c r="AN79" s="122">
        <f>SUM($AD$6:AD79)</f>
        <v>0</v>
      </c>
      <c r="AO79" s="122">
        <f ca="1">IF(D79=D78,AO78,OFFSET(AO79,-1,COLUMN(db_jSaldoGes)-COLUMN()))</f>
        <v>0</v>
      </c>
      <c r="AP79" s="126">
        <f>IF(OR($G79=-1,$G79=82),-1,IF(OR($G79=0,$G79=83),1,0))</f>
        <v>0</v>
      </c>
      <c r="AQ79" s="126">
        <f>IF($F79=Krank,1,IF($F79="J",-1,0))</f>
        <v>0</v>
      </c>
      <c r="AR79" s="126">
        <f>IF($F79=Urlaub,1,IF($F79="T",-1,0))</f>
        <v>0</v>
      </c>
      <c r="AS79" s="125">
        <f>IF(A79="","",AS78-IF(F79=Urlaub,1,0)+IF(AND(MONTH(A79)=1,DAY(A79)=1),B_UrlaubNeu,0))</f>
        <v>30</v>
      </c>
      <c r="AT79" s="125">
        <f ca="1">IF(A79="","",IF(D79=D78,AT78,OFFSET(AT79,-1,COLUMN(db_jUrlRest)-COLUMN()))+IF(AND(MONTH(A79)=1,DAY(A79)=1),B_UrlaubNeu,0))</f>
        <v>30</v>
      </c>
      <c r="AU79" s="135">
        <f>(IF(ISNUMBER(V79),V79,0)+IF(ISNUMBER(AD79),AD79,0))*24</f>
        <v>0</v>
      </c>
      <c r="AV79" s="125">
        <f>IF(ISNUMBER(AD79),K_ArbeitOverMax,IF(AND(ISNUMBER(AA79),AA79&gt;0),K_ArbeitOverTime,IF(AND(ISNUMBER(V79),V79&gt;0),K_ArbeitNormal,IF(F79=Krank,K_Krank,IF(F79=Urlaub,K_Urlaub,IF(AM79=Feiertag,K_Feiertag,IF(OR(AM79=6,AM79=7),K_Wochenende,0)))))))+IF(F79=Gleittag,K_Gleittag,0)</f>
        <v>0</v>
      </c>
      <c r="AW79" t="b">
        <f>OR((F79&gt;0),(NOT(ISBLANK(H79))),SUM(H79:H$373),SUM(G79:G$373))</f>
        <v>0</v>
      </c>
      <c r="AX79" t="b">
        <f ca="1">INDIRECT(ADDRESS(ROW(),COLUMN(xDay)))&gt;5</f>
        <v>0</v>
      </c>
      <c r="AY79" s="600">
        <f>IF(OR(R79&lt;&gt;0,F79&lt;&gt;0),AA79,IF(Z79="",0,-Z79))+(IF(AG79="+",AF79,-AF79))</f>
        <v>-0.29166666666666669</v>
      </c>
      <c r="AZ79" s="225">
        <f>SUM(AY$5:AY79)</f>
        <v>-15.166666666666655</v>
      </c>
      <c r="BA79" s="658"/>
      <c r="BB79" s="658">
        <f>IF(ISNA(MATCH(BA79,B_Arbeitsort,0)),0,MATCH(BA79,B_Arbeitsort,0))</f>
        <v>0</v>
      </c>
      <c r="BC79" s="658"/>
    </row>
    <row r="80" spans="1:55" ht="15.75">
      <c r="A80" s="305">
        <f>IF(A79="","",IF((A79+1)&gt;=DATE(YEAR(xJahr)+1,MONTH(xJahr),DAY(xJahr)),"",A79+1))</f>
        <v>43539</v>
      </c>
      <c r="B80" s="306">
        <f>IF(A80="","",A80)</f>
        <v>43539</v>
      </c>
      <c r="C80" s="307">
        <f>IF(A80="","",NumberOfWeek(A80))</f>
        <v>11</v>
      </c>
      <c r="D80" s="308">
        <f>IF(A80="","",DATE(YEAR(A80),MONTH(A80),1))</f>
        <v>43524</v>
      </c>
      <c r="E80" s="318" t="str">
        <f>IF((R80-U80)&gt;XWorkTimeMax,$Z$4,IF(AV80=Feiertag,VLOOKUP(B80,db_Feiertag,2,FALSE),""))</f>
        <v/>
      </c>
      <c r="F80" s="5"/>
      <c r="G80" s="6" t="str">
        <f>IF(ISBLANK(F80),IF(ISBLANK(H80),"",0),CODE(UPPER(F80)))</f>
        <v/>
      </c>
      <c r="H80" s="7"/>
      <c r="I80" s="7">
        <f>IF(H80&gt;0,H80+Y80+X80+AC80,0)</f>
        <v>0</v>
      </c>
      <c r="J80" s="113">
        <f>IF(K80&gt;I80,IF(I80&lt;H80,I80+1,I80)-B_WalkTime,IF(I80&lt;H80,I80+1,I80))</f>
        <v>0</v>
      </c>
      <c r="K80" s="7"/>
      <c r="L80" s="7">
        <f>IF(K80&gt;0,K80+IF((J80-H80)&lt;Y80,Y80-(J80-H80),TIME(0,10,0))+IF((K80-J80)&gt;xNoWorkTime,0,xNoWorkTime-(K80-J80)),0)</f>
        <v>0</v>
      </c>
      <c r="M80" s="113">
        <f>IF(L80&lt;K80,L80+1,L80)</f>
        <v>0</v>
      </c>
      <c r="N80" s="113"/>
      <c r="O80" s="113">
        <f>IF(N80&gt;0,N80+IF((J80-H80+M80-K80)&lt;Y80,Y80-(J80-H80+M80-K80),TIME(0,10,0))+IF((K80-J80+N80-M80)&gt;xNoWorkTime,0,xNoWorkTime-(K80-J80+N80-M80)),0)</f>
        <v>0</v>
      </c>
      <c r="P80" s="113"/>
      <c r="Q80" s="113">
        <f>IF(O80&lt;N80,O80+1,O80)</f>
        <v>0</v>
      </c>
      <c r="R80" s="113">
        <f>J80-H80+M80-K80+Q80-N80</f>
        <v>0</v>
      </c>
      <c r="S80" s="113">
        <f>IF(K80&gt;0,K80-I80,0)+IF(N80&gt;0,N80-L80)</f>
        <v>0</v>
      </c>
      <c r="T80" s="113">
        <f>IF(H80&gt;0,(IF(R80&gt;B_Pause1Nach,B_Pause1Dauer+IF(BA80="Büro",B_WalkTime,0),IF(BA80="Büro",B_WalkTime,0))+IF(R80&gt;B_Pause2Nach,B_Pause2Dauer,0)),0)</f>
        <v>0</v>
      </c>
      <c r="U80" s="113">
        <f>IF(T80&gt;S80,T80-S80,0)</f>
        <v>0</v>
      </c>
      <c r="V80" s="146">
        <f>IF(F80="S",Z80,(IF((R80-U80)&gt;XWorkTimeMax,XWorkTimeMax,IF((R80-U80)&gt;0,R80-U80,0))))</f>
        <v>0</v>
      </c>
      <c r="W80" s="66"/>
      <c r="X80" s="115">
        <f>xNoWorkTime</f>
        <v>4.027777777777778E-2</v>
      </c>
      <c r="Y80" s="110">
        <f>IF(AND((AM80&lt;Feiertag),(G80&lt;&gt;85)),IF(OR(F80="B",F80="G",F80="S",H80&gt;0),H80-H80+Z80,0),0)</f>
        <v>0</v>
      </c>
      <c r="Z80" s="111">
        <f>IF(AND(AM80&gt;0,AM80&lt;Feiertag),INDEX(Arbeitszeit,AM80),"")</f>
        <v>0.29166666666666669</v>
      </c>
      <c r="AA80" s="112">
        <f>V80-Y80</f>
        <v>0</v>
      </c>
      <c r="AB80" s="67" t="str">
        <f>IF((V80-Y80)&lt;0,"*","")</f>
        <v/>
      </c>
      <c r="AC80" s="193">
        <f>xOverTime</f>
        <v>0</v>
      </c>
      <c r="AD80" s="144" t="str">
        <f>IF((R80-U80)&gt;XWorkTimeMax,(R80-U80-XWorkTimeMax),"")</f>
        <v/>
      </c>
      <c r="AE80" s="225">
        <f>IF(AW80,(AE79+SUM(AA80)+(IF(AG80="+",AF80,-AF80))),)</f>
        <v>0</v>
      </c>
      <c r="AF80" s="110"/>
      <c r="AG80" s="627"/>
      <c r="AH80" s="110"/>
      <c r="AI80" s="110" t="str">
        <f>IF(AND(AF80&lt;&gt;"",AF80&lt;=V80),V80-AF80,"")</f>
        <v/>
      </c>
      <c r="AJ80" s="68">
        <f>IF(ISNUMBER(V80 ), IF( V80 &gt;= Y80, Y80, V80 ),"")</f>
        <v>0</v>
      </c>
      <c r="AK80" s="68">
        <f>IF( ISNUMBER( V80 ), IF( V80 &gt;= Y80, V80 - Y80, "" ), "" )</f>
        <v>0</v>
      </c>
      <c r="AL80" s="68" t="str">
        <f>IF( AND(ISNUMBER( V80 ),ISNUMBER( Y80 )), IF( V80 &gt;= Y80, "", Y80 - V80 ), "" )</f>
        <v/>
      </c>
      <c r="AM80">
        <f>IF(A80="",0,IF(ISERROR(VLOOKUP(A80,db_Feiertag,2,FALSE)),WEEKDAY(A80,2),Feiertag))</f>
        <v>4</v>
      </c>
      <c r="AN80" s="122">
        <f>SUM($AD$6:AD80)</f>
        <v>0</v>
      </c>
      <c r="AO80" s="122">
        <f ca="1">IF(D80=D79,AO79,OFFSET(AO80,-1,COLUMN(db_jSaldoGes)-COLUMN()))</f>
        <v>0</v>
      </c>
      <c r="AP80" s="126">
        <f>IF(OR($G80=-1,$G80=82),-1,IF(OR($G80=0,$G80=83),1,0))</f>
        <v>0</v>
      </c>
      <c r="AQ80" s="126">
        <f>IF($F80=Krank,1,IF($F80="J",-1,0))</f>
        <v>0</v>
      </c>
      <c r="AR80" s="126">
        <f>IF($F80=Urlaub,1,IF($F80="T",-1,0))</f>
        <v>0</v>
      </c>
      <c r="AS80" s="125">
        <f>IF(A80="","",AS79-IF(F80=Urlaub,1,0)+IF(AND(MONTH(A80)=1,DAY(A80)=1),B_UrlaubNeu,0))</f>
        <v>30</v>
      </c>
      <c r="AT80" s="125">
        <f ca="1">IF(A80="","",IF(D80=D79,AT79,OFFSET(AT80,-1,COLUMN(db_jUrlRest)-COLUMN()))+IF(AND(MONTH(A80)=1,DAY(A80)=1),B_UrlaubNeu,0))</f>
        <v>30</v>
      </c>
      <c r="AU80" s="135">
        <f>(IF(ISNUMBER(V80),V80,0)+IF(ISNUMBER(AD80),AD80,0))*24</f>
        <v>0</v>
      </c>
      <c r="AV80" s="125">
        <f>IF(ISNUMBER(AD80),K_ArbeitOverMax,IF(AND(ISNUMBER(AA80),AA80&gt;0),K_ArbeitOverTime,IF(AND(ISNUMBER(V80),V80&gt;0),K_ArbeitNormal,IF(F80=Krank,K_Krank,IF(F80=Urlaub,K_Urlaub,IF(AM80=Feiertag,K_Feiertag,IF(OR(AM80=6,AM80=7),K_Wochenende,0)))))))+IF(F80=Gleittag,K_Gleittag,0)</f>
        <v>0</v>
      </c>
      <c r="AW80" t="b">
        <f>OR((F80&gt;0),(NOT(ISBLANK(H80))),SUM(H80:H$373),SUM(G80:G$373))</f>
        <v>0</v>
      </c>
      <c r="AX80" t="b">
        <f ca="1">INDIRECT(ADDRESS(ROW(),COLUMN(xDay)))&gt;5</f>
        <v>0</v>
      </c>
      <c r="AY80" s="600">
        <f>IF(OR(R80&lt;&gt;0,F80&lt;&gt;0),AA80,IF(Z80="",0,-Z80))+(IF(AG80="+",AF80,-AF80))</f>
        <v>-0.29166666666666669</v>
      </c>
      <c r="AZ80" s="225">
        <f>SUM(AY$5:AY80)</f>
        <v>-15.458333333333321</v>
      </c>
      <c r="BA80" s="658"/>
      <c r="BB80" s="658">
        <f>IF(ISNA(MATCH(BA80,B_Arbeitsort,0)),0,MATCH(BA80,B_Arbeitsort,0))</f>
        <v>0</v>
      </c>
      <c r="BC80" s="658"/>
    </row>
    <row r="81" spans="1:55" ht="15.75">
      <c r="A81" s="305">
        <f>IF(A80="","",IF((A80+1)&gt;=DATE(YEAR(xJahr)+1,MONTH(xJahr),DAY(xJahr)),"",A80+1))</f>
        <v>43540</v>
      </c>
      <c r="B81" s="306">
        <f>IF(A81="","",A81)</f>
        <v>43540</v>
      </c>
      <c r="C81" s="307">
        <f>IF(A81="","",NumberOfWeek(A81))</f>
        <v>11</v>
      </c>
      <c r="D81" s="308">
        <f>IF(A81="","",DATE(YEAR(A81),MONTH(A81),1))</f>
        <v>43524</v>
      </c>
      <c r="E81" s="318" t="str">
        <f>IF((R81-U81)&gt;XWorkTimeMax,$Z$4,IF(AV81=Feiertag,VLOOKUP(B81,db_Feiertag,2,FALSE),""))</f>
        <v/>
      </c>
      <c r="F81" s="5"/>
      <c r="G81" s="6" t="str">
        <f>IF(ISBLANK(F81),IF(ISBLANK(H81),"",0),CODE(UPPER(F81)))</f>
        <v/>
      </c>
      <c r="H81" s="7"/>
      <c r="I81" s="7">
        <f>IF(H81&gt;0,H81+Y81+X81+AC81,0)</f>
        <v>0</v>
      </c>
      <c r="J81" s="113">
        <f>IF(K81&gt;I81,IF(I81&lt;H81,I81+1,I81)-B_WalkTime,IF(I81&lt;H81,I81+1,I81))</f>
        <v>0</v>
      </c>
      <c r="K81" s="7"/>
      <c r="L81" s="7">
        <f>IF(K81&gt;0,K81+IF((J81-H81)&lt;Y81,Y81-(J81-H81),TIME(0,10,0))+IF((K81-J81)&gt;xNoWorkTime,0,xNoWorkTime-(K81-J81)),0)</f>
        <v>0</v>
      </c>
      <c r="M81" s="113">
        <f>IF(L81&lt;K81,L81+1,L81)</f>
        <v>0</v>
      </c>
      <c r="N81" s="113"/>
      <c r="O81" s="113">
        <f>IF(N81&gt;0,N81+IF((J81-H81+M81-K81)&lt;Y81,Y81-(J81-H81+M81-K81),TIME(0,10,0))+IF((K81-J81+N81-M81)&gt;xNoWorkTime,0,xNoWorkTime-(K81-J81+N81-M81)),0)</f>
        <v>0</v>
      </c>
      <c r="P81" s="113"/>
      <c r="Q81" s="113">
        <f>IF(O81&lt;N81,O81+1,O81)</f>
        <v>0</v>
      </c>
      <c r="R81" s="113">
        <f>J81-H81+M81-K81+Q81-N81</f>
        <v>0</v>
      </c>
      <c r="S81" s="113">
        <f>IF(K81&gt;0,K81-I81,0)+IF(N81&gt;0,N81-L81)</f>
        <v>0</v>
      </c>
      <c r="T81" s="113">
        <f>IF(H81&gt;0,(IF(R81&gt;B_Pause1Nach,B_Pause1Dauer+IF(BA81="Büro",B_WalkTime,0),IF(BA81="Büro",B_WalkTime,0))+IF(R81&gt;B_Pause2Nach,B_Pause2Dauer,0)),0)</f>
        <v>0</v>
      </c>
      <c r="U81" s="113">
        <f>IF(T81&gt;S81,T81-S81,0)</f>
        <v>0</v>
      </c>
      <c r="V81" s="146">
        <f>IF(F81="S",Z81,(IF((R81-U81)&gt;XWorkTimeMax,XWorkTimeMax,IF((R81-U81)&gt;0,R81-U81,0))))</f>
        <v>0</v>
      </c>
      <c r="W81" s="66"/>
      <c r="X81" s="115">
        <f>xNoWorkTime</f>
        <v>4.027777777777778E-2</v>
      </c>
      <c r="Y81" s="110">
        <f>IF(AND((AM81&lt;Feiertag),(G81&lt;&gt;85)),IF(OR(F81="B",F81="G",F81="S",H81&gt;0),H81-H81+Z81,0),0)</f>
        <v>0</v>
      </c>
      <c r="Z81" s="111">
        <f>IF(AND(AM81&gt;0,AM81&lt;Feiertag),INDEX(Arbeitszeit,AM81),"")</f>
        <v>0.29166666666666669</v>
      </c>
      <c r="AA81" s="112">
        <f>V81-Y81</f>
        <v>0</v>
      </c>
      <c r="AB81" s="67" t="str">
        <f>IF((V81-Y81)&lt;0,"*","")</f>
        <v/>
      </c>
      <c r="AC81" s="193">
        <f>xOverTime</f>
        <v>0</v>
      </c>
      <c r="AD81" s="144" t="str">
        <f>IF((R81-U81)&gt;XWorkTimeMax,(R81-U81-XWorkTimeMax),"")</f>
        <v/>
      </c>
      <c r="AE81" s="225">
        <f>IF(AW81,(AE80+SUM(AA81)+(IF(AG81="+",AF81,-AF81))),)</f>
        <v>0</v>
      </c>
      <c r="AF81" s="110"/>
      <c r="AG81" s="627"/>
      <c r="AH81" s="110"/>
      <c r="AI81" s="110" t="str">
        <f>IF(AND(AF81&lt;&gt;"",AF81&lt;=V81),V81-AF81,"")</f>
        <v/>
      </c>
      <c r="AJ81" s="68">
        <f>IF(ISNUMBER(V81 ), IF( V81 &gt;= Y81, Y81, V81 ),"")</f>
        <v>0</v>
      </c>
      <c r="AK81" s="68">
        <f>IF( ISNUMBER( V81 ), IF( V81 &gt;= Y81, V81 - Y81, "" ), "" )</f>
        <v>0</v>
      </c>
      <c r="AL81" s="68" t="str">
        <f>IF( AND(ISNUMBER( V81 ),ISNUMBER( Y81 )), IF( V81 &gt;= Y81, "", Y81 - V81 ), "" )</f>
        <v/>
      </c>
      <c r="AM81">
        <f>IF(A81="",0,IF(ISERROR(VLOOKUP(A81,db_Feiertag,2,FALSE)),WEEKDAY(A81,2),Feiertag))</f>
        <v>5</v>
      </c>
      <c r="AN81" s="122">
        <f>SUM($AD$6:AD81)</f>
        <v>0</v>
      </c>
      <c r="AO81" s="122">
        <f ca="1">IF(D81=D80,AO80,OFFSET(AO81,-1,COLUMN(db_jSaldoGes)-COLUMN()))</f>
        <v>0</v>
      </c>
      <c r="AP81" s="126">
        <f>IF(OR($G81=-1,$G81=82),-1,IF(OR($G81=0,$G81=83),1,0))</f>
        <v>0</v>
      </c>
      <c r="AQ81" s="126">
        <f>IF($F81=Krank,1,IF($F81="J",-1,0))</f>
        <v>0</v>
      </c>
      <c r="AR81" s="126">
        <f>IF($F81=Urlaub,1,IF($F81="T",-1,0))</f>
        <v>0</v>
      </c>
      <c r="AS81" s="125">
        <f>IF(A81="","",AS80-IF(F81=Urlaub,1,0)+IF(AND(MONTH(A81)=1,DAY(A81)=1),B_UrlaubNeu,0))</f>
        <v>30</v>
      </c>
      <c r="AT81" s="125">
        <f ca="1">IF(A81="","",IF(D81=D80,AT80,OFFSET(AT81,-1,COLUMN(db_jUrlRest)-COLUMN()))+IF(AND(MONTH(A81)=1,DAY(A81)=1),B_UrlaubNeu,0))</f>
        <v>30</v>
      </c>
      <c r="AU81" s="135">
        <f>(IF(ISNUMBER(V81),V81,0)+IF(ISNUMBER(AD81),AD81,0))*24</f>
        <v>0</v>
      </c>
      <c r="AV81" s="125">
        <f>IF(ISNUMBER(AD81),K_ArbeitOverMax,IF(AND(ISNUMBER(AA81),AA81&gt;0),K_ArbeitOverTime,IF(AND(ISNUMBER(V81),V81&gt;0),K_ArbeitNormal,IF(F81=Krank,K_Krank,IF(F81=Urlaub,K_Urlaub,IF(AM81=Feiertag,K_Feiertag,IF(OR(AM81=6,AM81=7),K_Wochenende,0)))))))+IF(F81=Gleittag,K_Gleittag,0)</f>
        <v>0</v>
      </c>
      <c r="AW81" t="b">
        <f>OR((F81&gt;0),(NOT(ISBLANK(H81))),SUM(H81:H$373),SUM(G81:G$373))</f>
        <v>0</v>
      </c>
      <c r="AX81" t="b">
        <f ca="1">INDIRECT(ADDRESS(ROW(),COLUMN(xDay)))&gt;5</f>
        <v>0</v>
      </c>
      <c r="AY81" s="600">
        <f>IF(OR(R81&lt;&gt;0,F81&lt;&gt;0),AA81,IF(Z81="",0,-Z81))+(IF(AG81="+",AF81,-AF81))</f>
        <v>-0.29166666666666669</v>
      </c>
      <c r="AZ81" s="225">
        <f>SUM(AY$5:AY81)</f>
        <v>-15.749999999999988</v>
      </c>
      <c r="BA81" s="658"/>
      <c r="BB81" s="658">
        <f>IF(ISNA(MATCH(BA81,B_Arbeitsort,0)),0,MATCH(BA81,B_Arbeitsort,0))</f>
        <v>0</v>
      </c>
      <c r="BC81" s="658"/>
    </row>
    <row r="82" spans="1:55" ht="15.75">
      <c r="A82" s="305">
        <f>IF(A81="","",IF((A81+1)&gt;=DATE(YEAR(xJahr)+1,MONTH(xJahr),DAY(xJahr)),"",A81+1))</f>
        <v>43541</v>
      </c>
      <c r="B82" s="306">
        <f>IF(A82="","",A82)</f>
        <v>43541</v>
      </c>
      <c r="C82" s="307">
        <f>IF(A82="","",NumberOfWeek(A82))</f>
        <v>11</v>
      </c>
      <c r="D82" s="308">
        <f>IF(A82="","",DATE(YEAR(A82),MONTH(A82),1))</f>
        <v>43524</v>
      </c>
      <c r="E82" s="318" t="str">
        <f>IF((R82-U82)&gt;XWorkTimeMax,$Z$4,IF(AV82=Feiertag,VLOOKUP(B82,db_Feiertag,2,FALSE),""))</f>
        <v/>
      </c>
      <c r="F82" s="5"/>
      <c r="G82" s="6" t="str">
        <f>IF(ISBLANK(F82),IF(ISBLANK(H82),"",0),CODE(UPPER(F82)))</f>
        <v/>
      </c>
      <c r="H82" s="7"/>
      <c r="I82" s="7">
        <f>IF(H82&gt;0,H82+Y82+X82+AC82,0)</f>
        <v>0</v>
      </c>
      <c r="J82" s="113">
        <f>IF(K82&gt;I82,IF(I82&lt;H82,I82+1,I82)-B_WalkTime,IF(I82&lt;H82,I82+1,I82))</f>
        <v>0</v>
      </c>
      <c r="K82" s="7"/>
      <c r="L82" s="7">
        <f>IF(K82&gt;0,K82+IF((J82-H82)&lt;Y82,Y82-(J82-H82),TIME(0,10,0))+IF((K82-J82)&gt;xNoWorkTime,0,xNoWorkTime-(K82-J82)),0)</f>
        <v>0</v>
      </c>
      <c r="M82" s="113">
        <f>IF(L82&lt;K82,L82+1,L82)</f>
        <v>0</v>
      </c>
      <c r="N82" s="113"/>
      <c r="O82" s="113">
        <f>IF(N82&gt;0,N82+IF((J82-H82+M82-K82)&lt;Y82,Y82-(J82-H82+M82-K82),TIME(0,10,0))+IF((K82-J82+N82-M82)&gt;xNoWorkTime,0,xNoWorkTime-(K82-J82+N82-M82)),0)</f>
        <v>0</v>
      </c>
      <c r="P82" s="113"/>
      <c r="Q82" s="113">
        <f>IF(O82&lt;N82,O82+1,O82)</f>
        <v>0</v>
      </c>
      <c r="R82" s="113">
        <f>J82-H82+M82-K82+Q82-N82</f>
        <v>0</v>
      </c>
      <c r="S82" s="113">
        <f>IF(K82&gt;0,K82-I82,0)+IF(N82&gt;0,N82-L82)</f>
        <v>0</v>
      </c>
      <c r="T82" s="113">
        <f>IF(H82&gt;0,(IF(R82&gt;B_Pause1Nach,B_Pause1Dauer+IF(BA82="Büro",B_WalkTime,0),IF(BA82="Büro",B_WalkTime,0))+IF(R82&gt;B_Pause2Nach,B_Pause2Dauer,0)),0)</f>
        <v>0</v>
      </c>
      <c r="U82" s="113">
        <f>IF(T82&gt;S82,T82-S82,0)</f>
        <v>0</v>
      </c>
      <c r="V82" s="146">
        <f>IF(F82="S",Z82,(IF((R82-U82)&gt;XWorkTimeMax,XWorkTimeMax,IF((R82-U82)&gt;0,R82-U82,0))))</f>
        <v>0</v>
      </c>
      <c r="W82" s="66"/>
      <c r="X82" s="115">
        <f>xNoWorkTime</f>
        <v>4.027777777777778E-2</v>
      </c>
      <c r="Y82" s="110">
        <f>IF(AND((AM82&lt;Feiertag),(G82&lt;&gt;85)),IF(OR(F82="B",F82="G",F82="S",H82&gt;0),H82-H82+Z82,0),0)</f>
        <v>0</v>
      </c>
      <c r="Z82" s="111">
        <f>IF(AND(AM82&gt;0,AM82&lt;Feiertag),INDEX(Arbeitszeit,AM82),"")</f>
        <v>0</v>
      </c>
      <c r="AA82" s="112">
        <f>V82-Y82</f>
        <v>0</v>
      </c>
      <c r="AB82" s="67" t="str">
        <f>IF((V82-Y82)&lt;0,"*","")</f>
        <v/>
      </c>
      <c r="AC82" s="193">
        <f>xOverTime</f>
        <v>0</v>
      </c>
      <c r="AD82" s="144" t="str">
        <f>IF((R82-U82)&gt;XWorkTimeMax,(R82-U82-XWorkTimeMax),"")</f>
        <v/>
      </c>
      <c r="AE82" s="225">
        <f>IF(AW82,(AE81+SUM(AA82)+(IF(AG82="+",AF82,-AF82))),)</f>
        <v>0</v>
      </c>
      <c r="AF82" s="110"/>
      <c r="AG82" s="627"/>
      <c r="AH82" s="110"/>
      <c r="AI82" s="110" t="str">
        <f>IF(AND(AF82&lt;&gt;"",AF82&lt;=V82),V82-AF82,"")</f>
        <v/>
      </c>
      <c r="AJ82" s="68">
        <f>IF(ISNUMBER(V82 ), IF( V82 &gt;= Y82, Y82, V82 ),"")</f>
        <v>0</v>
      </c>
      <c r="AK82" s="68">
        <f>IF( ISNUMBER( V82 ), IF( V82 &gt;= Y82, V82 - Y82, "" ), "" )</f>
        <v>0</v>
      </c>
      <c r="AL82" s="68" t="str">
        <f>IF( AND(ISNUMBER( V82 ),ISNUMBER( Y82 )), IF( V82 &gt;= Y82, "", Y82 - V82 ), "" )</f>
        <v/>
      </c>
      <c r="AM82">
        <f>IF(A82="",0,IF(ISERROR(VLOOKUP(A82,db_Feiertag,2,FALSE)),WEEKDAY(A82,2),Feiertag))</f>
        <v>6</v>
      </c>
      <c r="AN82" s="122">
        <f>SUM($AD$6:AD82)</f>
        <v>0</v>
      </c>
      <c r="AO82" s="122">
        <f ca="1">IF(D82=D81,AO81,OFFSET(AO82,-1,COLUMN(db_jSaldoGes)-COLUMN()))</f>
        <v>0</v>
      </c>
      <c r="AP82" s="126">
        <f>IF(OR($G82=-1,$G82=82),-1,IF(OR($G82=0,$G82=83),1,0))</f>
        <v>0</v>
      </c>
      <c r="AQ82" s="126">
        <f>IF($F82=Krank,1,IF($F82="J",-1,0))</f>
        <v>0</v>
      </c>
      <c r="AR82" s="126">
        <f>IF($F82=Urlaub,1,IF($F82="T",-1,0))</f>
        <v>0</v>
      </c>
      <c r="AS82" s="125">
        <f>IF(A82="","",AS81-IF(F82=Urlaub,1,0)+IF(AND(MONTH(A82)=1,DAY(A82)=1),B_UrlaubNeu,0))</f>
        <v>30</v>
      </c>
      <c r="AT82" s="125">
        <f ca="1">IF(A82="","",IF(D82=D81,AT81,OFFSET(AT82,-1,COLUMN(db_jUrlRest)-COLUMN()))+IF(AND(MONTH(A82)=1,DAY(A82)=1),B_UrlaubNeu,0))</f>
        <v>30</v>
      </c>
      <c r="AU82" s="135">
        <f>(IF(ISNUMBER(V82),V82,0)+IF(ISNUMBER(AD82),AD82,0))*24</f>
        <v>0</v>
      </c>
      <c r="AV82" s="125">
        <f>IF(ISNUMBER(AD82),K_ArbeitOverMax,IF(AND(ISNUMBER(AA82),AA82&gt;0),K_ArbeitOverTime,IF(AND(ISNUMBER(V82),V82&gt;0),K_ArbeitNormal,IF(F82=Krank,K_Krank,IF(F82=Urlaub,K_Urlaub,IF(AM82=Feiertag,K_Feiertag,IF(OR(AM82=6,AM82=7),K_Wochenende,0)))))))+IF(F82=Gleittag,K_Gleittag,0)</f>
        <v>7</v>
      </c>
      <c r="AW82" t="b">
        <f>OR((F82&gt;0),(NOT(ISBLANK(H82))),SUM(H82:H$373),SUM(G82:G$373))</f>
        <v>0</v>
      </c>
      <c r="AX82" t="b">
        <f ca="1">INDIRECT(ADDRESS(ROW(),COLUMN(xDay)))&gt;5</f>
        <v>1</v>
      </c>
      <c r="AY82" s="600">
        <f>IF(OR(R82&lt;&gt;0,F82&lt;&gt;0),AA82,IF(Z82="",0,-Z82))+(IF(AG82="+",AF82,-AF82))</f>
        <v>0</v>
      </c>
      <c r="AZ82" s="225">
        <f>SUM(AY$5:AY82)</f>
        <v>-15.749999999999988</v>
      </c>
      <c r="BA82" s="643"/>
      <c r="BB82" s="658">
        <f>IF(ISNA(MATCH(BA82,B_Arbeitsort,0)),0,MATCH(BA82,B_Arbeitsort,0))</f>
        <v>0</v>
      </c>
      <c r="BC82" s="643"/>
    </row>
    <row r="83" spans="1:55" ht="15.75">
      <c r="A83" s="305">
        <f>IF(A82="","",IF((A82+1)&gt;=DATE(YEAR(xJahr)+1,MONTH(xJahr),DAY(xJahr)),"",A82+1))</f>
        <v>43542</v>
      </c>
      <c r="B83" s="306">
        <f>IF(A83="","",A83)</f>
        <v>43542</v>
      </c>
      <c r="C83" s="307">
        <f>IF(A83="","",NumberOfWeek(A83))</f>
        <v>11</v>
      </c>
      <c r="D83" s="308">
        <f>IF(A83="","",DATE(YEAR(A83),MONTH(A83),1))</f>
        <v>43524</v>
      </c>
      <c r="E83" s="318" t="str">
        <f>IF((R83-U83)&gt;XWorkTimeMax,$Z$4,IF(AV83=Feiertag,VLOOKUP(B83,db_Feiertag,2,FALSE),""))</f>
        <v/>
      </c>
      <c r="F83" s="5"/>
      <c r="G83" s="6" t="str">
        <f>IF(ISBLANK(F83),IF(ISBLANK(H83),"",0),CODE(UPPER(F83)))</f>
        <v/>
      </c>
      <c r="H83" s="7"/>
      <c r="I83" s="7">
        <f>IF(H83&gt;0,H83+Y83+X83+AC83,0)</f>
        <v>0</v>
      </c>
      <c r="J83" s="113">
        <f>IF(K83&gt;I83,IF(I83&lt;H83,I83+1,I83)-B_WalkTime,IF(I83&lt;H83,I83+1,I83))</f>
        <v>0</v>
      </c>
      <c r="K83" s="7"/>
      <c r="L83" s="7">
        <f>IF(K83&gt;0,K83+IF((J83-H83)&lt;Y83,Y83-(J83-H83),TIME(0,10,0))+IF((K83-J83)&gt;xNoWorkTime,0,xNoWorkTime-(K83-J83)),0)</f>
        <v>0</v>
      </c>
      <c r="M83" s="113">
        <f>IF(L83&lt;K83,L83+1,L83)</f>
        <v>0</v>
      </c>
      <c r="N83" s="113"/>
      <c r="O83" s="113">
        <f>IF(N83&gt;0,N83+IF((J83-H83+M83-K83)&lt;Y83,Y83-(J83-H83+M83-K83),TIME(0,10,0))+IF((K83-J83+N83-M83)&gt;xNoWorkTime,0,xNoWorkTime-(K83-J83+N83-M83)),0)</f>
        <v>0</v>
      </c>
      <c r="P83" s="113"/>
      <c r="Q83" s="113">
        <f>IF(O83&lt;N83,O83+1,O83)</f>
        <v>0</v>
      </c>
      <c r="R83" s="113">
        <f>J83-H83+M83-K83+Q83-N83</f>
        <v>0</v>
      </c>
      <c r="S83" s="113">
        <f>IF(K83&gt;0,K83-I83,0)+IF(N83&gt;0,N83-L83)</f>
        <v>0</v>
      </c>
      <c r="T83" s="113">
        <f>IF(H83&gt;0,(IF(R83&gt;B_Pause1Nach,B_Pause1Dauer+IF(BA83="Büro",B_WalkTime,0),IF(BA83="Büro",B_WalkTime,0))+IF(R83&gt;B_Pause2Nach,B_Pause2Dauer,0)),0)</f>
        <v>0</v>
      </c>
      <c r="U83" s="113">
        <f>IF(T83&gt;S83,T83-S83,0)</f>
        <v>0</v>
      </c>
      <c r="V83" s="146">
        <f>IF(F83="S",Z83,(IF((R83-U83)&gt;XWorkTimeMax,XWorkTimeMax,IF((R83-U83)&gt;0,R83-U83,0))))</f>
        <v>0</v>
      </c>
      <c r="W83" s="66"/>
      <c r="X83" s="115">
        <f>xNoWorkTime</f>
        <v>4.027777777777778E-2</v>
      </c>
      <c r="Y83" s="110">
        <f>IF(AND((AM83&lt;Feiertag),(G83&lt;&gt;85)),IF(OR(F83="B",F83="G",F83="S",H83&gt;0),H83-H83+Z83,0),0)</f>
        <v>0</v>
      </c>
      <c r="Z83" s="111">
        <f>IF(AND(AM83&gt;0,AM83&lt;Feiertag),INDEX(Arbeitszeit,AM83),"")</f>
        <v>0</v>
      </c>
      <c r="AA83" s="112">
        <f>V83-Y83</f>
        <v>0</v>
      </c>
      <c r="AB83" s="67" t="str">
        <f>IF((V83-Y83)&lt;0,"*","")</f>
        <v/>
      </c>
      <c r="AC83" s="193">
        <f>xOverTime</f>
        <v>0</v>
      </c>
      <c r="AD83" s="144" t="str">
        <f>IF((R83-U83)&gt;XWorkTimeMax,(R83-U83-XWorkTimeMax),"")</f>
        <v/>
      </c>
      <c r="AE83" s="225">
        <f>IF(AW83,(AE82+SUM(AA83)+(IF(AG83="+",AF83,-AF83))),)</f>
        <v>0</v>
      </c>
      <c r="AF83" s="110"/>
      <c r="AG83" s="627"/>
      <c r="AH83" s="110"/>
      <c r="AI83" s="110" t="str">
        <f>IF(AND(AF83&lt;&gt;"",AF83&lt;=V83),V83-AF83,"")</f>
        <v/>
      </c>
      <c r="AJ83" s="68">
        <f>IF(ISNUMBER(V83 ), IF( V83 &gt;= Y83, Y83, V83 ),"")</f>
        <v>0</v>
      </c>
      <c r="AK83" s="68">
        <f>IF( ISNUMBER( V83 ), IF( V83 &gt;= Y83, V83 - Y83, "" ), "" )</f>
        <v>0</v>
      </c>
      <c r="AL83" s="68" t="str">
        <f>IF( AND(ISNUMBER( V83 ),ISNUMBER( Y83 )), IF( V83 &gt;= Y83, "", Y83 - V83 ), "" )</f>
        <v/>
      </c>
      <c r="AM83">
        <f>IF(A83="",0,IF(ISERROR(VLOOKUP(A83,db_Feiertag,2,FALSE)),WEEKDAY(A83,2),Feiertag))</f>
        <v>7</v>
      </c>
      <c r="AN83" s="122">
        <f>SUM($AD$6:AD83)</f>
        <v>0</v>
      </c>
      <c r="AO83" s="122">
        <f ca="1">IF(D83=D82,AO82,OFFSET(AO83,-1,COLUMN(db_jSaldoGes)-COLUMN()))</f>
        <v>0</v>
      </c>
      <c r="AP83" s="126">
        <f>IF(OR($G83=-1,$G83=82),-1,IF(OR($G83=0,$G83=83),1,0))</f>
        <v>0</v>
      </c>
      <c r="AQ83" s="126">
        <f>IF($F83=Krank,1,IF($F83="J",-1,0))</f>
        <v>0</v>
      </c>
      <c r="AR83" s="126">
        <f>IF($F83=Urlaub,1,IF($F83="T",-1,0))</f>
        <v>0</v>
      </c>
      <c r="AS83" s="125">
        <f>IF(A83="","",AS82-IF(F83=Urlaub,1,0)+IF(AND(MONTH(A83)=1,DAY(A83)=1),B_UrlaubNeu,0))</f>
        <v>30</v>
      </c>
      <c r="AT83" s="125">
        <f ca="1">IF(A83="","",IF(D83=D82,AT82,OFFSET(AT83,-1,COLUMN(db_jUrlRest)-COLUMN()))+IF(AND(MONTH(A83)=1,DAY(A83)=1),B_UrlaubNeu,0))</f>
        <v>30</v>
      </c>
      <c r="AU83" s="135">
        <f>(IF(ISNUMBER(V83),V83,0)+IF(ISNUMBER(AD83),AD83,0))*24</f>
        <v>0</v>
      </c>
      <c r="AV83" s="125">
        <f>IF(ISNUMBER(AD83),K_ArbeitOverMax,IF(AND(ISNUMBER(AA83),AA83&gt;0),K_ArbeitOverTime,IF(AND(ISNUMBER(V83),V83&gt;0),K_ArbeitNormal,IF(F83=Krank,K_Krank,IF(F83=Urlaub,K_Urlaub,IF(AM83=Feiertag,K_Feiertag,IF(OR(AM83=6,AM83=7),K_Wochenende,0)))))))+IF(F83=Gleittag,K_Gleittag,0)</f>
        <v>7</v>
      </c>
      <c r="AW83" t="b">
        <f>OR((F83&gt;0),(NOT(ISBLANK(H83))),SUM(H83:H$373),SUM(G83:G$373))</f>
        <v>0</v>
      </c>
      <c r="AX83" t="b">
        <f ca="1">INDIRECT(ADDRESS(ROW(),COLUMN(xDay)))&gt;5</f>
        <v>1</v>
      </c>
      <c r="AY83" s="600">
        <f>IF(OR(R83&lt;&gt;0,F83&lt;&gt;0),AA83,IF(Z83="",0,-Z83))+(IF(AG83="+",AF83,-AF83))</f>
        <v>0</v>
      </c>
      <c r="AZ83" s="225">
        <f>SUM(AY$5:AY83)</f>
        <v>-15.749999999999988</v>
      </c>
      <c r="BA83" s="643"/>
      <c r="BB83" s="658">
        <f>IF(ISNA(MATCH(BA83,B_Arbeitsort,0)),0,MATCH(BA83,B_Arbeitsort,0))</f>
        <v>0</v>
      </c>
      <c r="BC83" s="643"/>
    </row>
    <row r="84" spans="1:55" ht="15.75">
      <c r="A84" s="305">
        <f>IF(A83="","",IF((A83+1)&gt;=DATE(YEAR(xJahr)+1,MONTH(xJahr),DAY(xJahr)),"",A83+1))</f>
        <v>43543</v>
      </c>
      <c r="B84" s="306">
        <f>IF(A84="","",A84)</f>
        <v>43543</v>
      </c>
      <c r="C84" s="307">
        <f>IF(A84="","",NumberOfWeek(A84))</f>
        <v>12</v>
      </c>
      <c r="D84" s="308">
        <f>IF(A84="","",DATE(YEAR(A84),MONTH(A84),1))</f>
        <v>43524</v>
      </c>
      <c r="E84" s="318" t="str">
        <f>IF((R84-U84)&gt;XWorkTimeMax,$Z$4,IF(AV84=Feiertag,VLOOKUP(B84,db_Feiertag,2,FALSE),""))</f>
        <v/>
      </c>
      <c r="F84" s="5"/>
      <c r="G84" s="6" t="str">
        <f>IF(ISBLANK(F84),IF(ISBLANK(H84),"",0),CODE(UPPER(F84)))</f>
        <v/>
      </c>
      <c r="H84" s="7"/>
      <c r="I84" s="7">
        <f>IF(H84&gt;0,H84+Y84+X84+AC84,0)</f>
        <v>0</v>
      </c>
      <c r="J84" s="113">
        <f>IF(K84&gt;I84,IF(I84&lt;H84,I84+1,I84)-B_WalkTime,IF(I84&lt;H84,I84+1,I84))</f>
        <v>0</v>
      </c>
      <c r="K84" s="7"/>
      <c r="L84" s="7">
        <f>IF(K84&gt;0,K84+IF((J84-H84)&lt;Y84,Y84-(J84-H84),TIME(0,10,0))+IF((K84-J84)&gt;xNoWorkTime,0,xNoWorkTime-(K84-J84)),0)</f>
        <v>0</v>
      </c>
      <c r="M84" s="113">
        <f>IF(L84&lt;K84,L84+1,L84)</f>
        <v>0</v>
      </c>
      <c r="N84" s="113"/>
      <c r="O84" s="113">
        <f>IF(N84&gt;0,N84+IF((J84-H84+M84-K84)&lt;Y84,Y84-(J84-H84+M84-K84),TIME(0,10,0))+IF((K84-J84+N84-M84)&gt;xNoWorkTime,0,xNoWorkTime-(K84-J84+N84-M84)),0)</f>
        <v>0</v>
      </c>
      <c r="P84" s="113"/>
      <c r="Q84" s="113">
        <f>IF(O84&lt;N84,O84+1,O84)</f>
        <v>0</v>
      </c>
      <c r="R84" s="113">
        <f>J84-H84+M84-K84+Q84-N84</f>
        <v>0</v>
      </c>
      <c r="S84" s="113">
        <f>IF(K84&gt;0,K84-I84,0)+IF(N84&gt;0,N84-L84)</f>
        <v>0</v>
      </c>
      <c r="T84" s="113">
        <f>IF(H84&gt;0,(IF(R84&gt;B_Pause1Nach,B_Pause1Dauer+IF(BA84="Büro",B_WalkTime,0),IF(BA84="Büro",B_WalkTime,0))+IF(R84&gt;B_Pause2Nach,B_Pause2Dauer,0)),0)</f>
        <v>0</v>
      </c>
      <c r="U84" s="113">
        <f>IF(T84&gt;S84,T84-S84,0)</f>
        <v>0</v>
      </c>
      <c r="V84" s="146">
        <f>IF(F84="S",Z84,(IF((R84-U84)&gt;XWorkTimeMax,XWorkTimeMax,IF((R84-U84)&gt;0,R84-U84,0))))</f>
        <v>0</v>
      </c>
      <c r="W84" s="66"/>
      <c r="X84" s="115">
        <f>xNoWorkTime</f>
        <v>4.027777777777778E-2</v>
      </c>
      <c r="Y84" s="110">
        <f>IF(AND((AM84&lt;Feiertag),(G84&lt;&gt;85)),IF(OR(F84="B",F84="G",F84="S",H84&gt;0),H84-H84+Z84,0),0)</f>
        <v>0</v>
      </c>
      <c r="Z84" s="111">
        <f>IF(AND(AM84&gt;0,AM84&lt;Feiertag),INDEX(Arbeitszeit,AM84),"")</f>
        <v>0.29166666666666669</v>
      </c>
      <c r="AA84" s="112">
        <f>V84-Y84</f>
        <v>0</v>
      </c>
      <c r="AB84" s="67" t="str">
        <f>IF((V84-Y84)&lt;0,"*","")</f>
        <v/>
      </c>
      <c r="AC84" s="193">
        <f>xOverTime</f>
        <v>0</v>
      </c>
      <c r="AD84" s="144" t="str">
        <f>IF((R84-U84)&gt;XWorkTimeMax,(R84-U84-XWorkTimeMax),"")</f>
        <v/>
      </c>
      <c r="AE84" s="225">
        <f>IF(AW84,(AE83+SUM(AA84)+(IF(AG84="+",AF84,-AF84))),)</f>
        <v>0</v>
      </c>
      <c r="AF84" s="110"/>
      <c r="AG84" s="627"/>
      <c r="AH84" s="110"/>
      <c r="AI84" s="110" t="str">
        <f>IF(AND(AF84&lt;&gt;"",AF84&lt;=V84),V84-AF84,"")</f>
        <v/>
      </c>
      <c r="AJ84" s="68">
        <f>IF(ISNUMBER(V84 ), IF( V84 &gt;= Y84, Y84, V84 ),"")</f>
        <v>0</v>
      </c>
      <c r="AK84" s="68">
        <f>IF( ISNUMBER( V84 ), IF( V84 &gt;= Y84, V84 - Y84, "" ), "" )</f>
        <v>0</v>
      </c>
      <c r="AL84" s="68" t="str">
        <f>IF( AND(ISNUMBER( V84 ),ISNUMBER( Y84 )), IF( V84 &gt;= Y84, "", Y84 - V84 ), "" )</f>
        <v/>
      </c>
      <c r="AM84">
        <f>IF(A84="",0,IF(ISERROR(VLOOKUP(A84,db_Feiertag,2,FALSE)),WEEKDAY(A84,2),Feiertag))</f>
        <v>1</v>
      </c>
      <c r="AN84" s="122">
        <f>SUM($AD$6:AD84)</f>
        <v>0</v>
      </c>
      <c r="AO84" s="122">
        <f ca="1">IF(D84=D83,AO83,OFFSET(AO84,-1,COLUMN(db_jSaldoGes)-COLUMN()))</f>
        <v>0</v>
      </c>
      <c r="AP84" s="126">
        <f>IF(OR($G84=-1,$G84=82),-1,IF(OR($G84=0,$G84=83),1,0))</f>
        <v>0</v>
      </c>
      <c r="AQ84" s="126">
        <f>IF($F84=Krank,1,IF($F84="J",-1,0))</f>
        <v>0</v>
      </c>
      <c r="AR84" s="126">
        <f>IF($F84=Urlaub,1,IF($F84="T",-1,0))</f>
        <v>0</v>
      </c>
      <c r="AS84" s="125">
        <f>IF(A84="","",AS83-IF(F84=Urlaub,1,0)+IF(AND(MONTH(A84)=1,DAY(A84)=1),B_UrlaubNeu,0))</f>
        <v>30</v>
      </c>
      <c r="AT84" s="125">
        <f ca="1">IF(A84="","",IF(D84=D83,AT83,OFFSET(AT84,-1,COLUMN(db_jUrlRest)-COLUMN()))+IF(AND(MONTH(A84)=1,DAY(A84)=1),B_UrlaubNeu,0))</f>
        <v>30</v>
      </c>
      <c r="AU84" s="135">
        <f>(IF(ISNUMBER(V84),V84,0)+IF(ISNUMBER(AD84),AD84,0))*24</f>
        <v>0</v>
      </c>
      <c r="AV84" s="125">
        <f>IF(ISNUMBER(AD84),K_ArbeitOverMax,IF(AND(ISNUMBER(AA84),AA84&gt;0),K_ArbeitOverTime,IF(AND(ISNUMBER(V84),V84&gt;0),K_ArbeitNormal,IF(F84=Krank,K_Krank,IF(F84=Urlaub,K_Urlaub,IF(AM84=Feiertag,K_Feiertag,IF(OR(AM84=6,AM84=7),K_Wochenende,0)))))))+IF(F84=Gleittag,K_Gleittag,0)</f>
        <v>0</v>
      </c>
      <c r="AW84" t="b">
        <f>OR((F84&gt;0),(NOT(ISBLANK(H84))),SUM(H84:H$373),SUM(G84:G$373))</f>
        <v>0</v>
      </c>
      <c r="AX84" t="b">
        <f ca="1">INDIRECT(ADDRESS(ROW(),COLUMN(xDay)))&gt;5</f>
        <v>0</v>
      </c>
      <c r="AY84" s="600">
        <f>IF(OR(R84&lt;&gt;0,F84&lt;&gt;0),AA84,IF(Z84="",0,-Z84))+(IF(AG84="+",AF84,-AF84))</f>
        <v>-0.29166666666666669</v>
      </c>
      <c r="AZ84" s="225">
        <f>SUM(AY$5:AY84)</f>
        <v>-16.041666666666654</v>
      </c>
      <c r="BA84" s="658"/>
      <c r="BB84" s="658">
        <f>IF(ISNA(MATCH(BA84,B_Arbeitsort,0)),0,MATCH(BA84,B_Arbeitsort,0))</f>
        <v>0</v>
      </c>
      <c r="BC84" s="658"/>
    </row>
    <row r="85" spans="1:55" ht="15.75">
      <c r="A85" s="305">
        <f>IF(A84="","",IF((A84+1)&gt;=DATE(YEAR(xJahr)+1,MONTH(xJahr),DAY(xJahr)),"",A84+1))</f>
        <v>43544</v>
      </c>
      <c r="B85" s="306">
        <f>IF(A85="","",A85)</f>
        <v>43544</v>
      </c>
      <c r="C85" s="307">
        <f>IF(A85="","",NumberOfWeek(A85))</f>
        <v>12</v>
      </c>
      <c r="D85" s="308">
        <f>IF(A85="","",DATE(YEAR(A85),MONTH(A85),1))</f>
        <v>43524</v>
      </c>
      <c r="E85" s="318" t="str">
        <f>IF((R85-U85)&gt;XWorkTimeMax,$Z$4,IF(AV85=Feiertag,VLOOKUP(B85,db_Feiertag,2,FALSE),""))</f>
        <v/>
      </c>
      <c r="F85" s="5"/>
      <c r="G85" s="6" t="str">
        <f>IF(ISBLANK(F85),IF(ISBLANK(H85),"",0),CODE(UPPER(F85)))</f>
        <v/>
      </c>
      <c r="H85" s="7"/>
      <c r="I85" s="7">
        <f>IF(H85&gt;0,H85+Y85+X85+AC85,0)</f>
        <v>0</v>
      </c>
      <c r="J85" s="113">
        <f>IF(K85&gt;I85,IF(I85&lt;H85,I85+1,I85)-B_WalkTime,IF(I85&lt;H85,I85+1,I85))</f>
        <v>0</v>
      </c>
      <c r="K85" s="7"/>
      <c r="L85" s="7">
        <f>IF(K85&gt;0,K85+IF((J85-H85)&lt;Y85,Y85-(J85-H85),TIME(0,10,0))+IF((K85-J85)&gt;xNoWorkTime,0,xNoWorkTime-(K85-J85)),0)</f>
        <v>0</v>
      </c>
      <c r="M85" s="113">
        <f>IF(L85&lt;K85,L85+1,L85)</f>
        <v>0</v>
      </c>
      <c r="N85" s="113"/>
      <c r="O85" s="113">
        <f>IF(N85&gt;0,N85+IF((J85-H85+M85-K85)&lt;Y85,Y85-(J85-H85+M85-K85),TIME(0,10,0))+IF((K85-J85+N85-M85)&gt;xNoWorkTime,0,xNoWorkTime-(K85-J85+N85-M85)),0)</f>
        <v>0</v>
      </c>
      <c r="P85" s="113"/>
      <c r="Q85" s="113">
        <f>IF(O85&lt;N85,O85+1,O85)</f>
        <v>0</v>
      </c>
      <c r="R85" s="113">
        <f>J85-H85+M85-K85+Q85-N85</f>
        <v>0</v>
      </c>
      <c r="S85" s="113">
        <f>IF(K85&gt;0,K85-I85,0)+IF(N85&gt;0,N85-L85)</f>
        <v>0</v>
      </c>
      <c r="T85" s="113">
        <f>IF(H85&gt;0,(IF(R85&gt;B_Pause1Nach,B_Pause1Dauer+IF(BA85="Büro",B_WalkTime,0),IF(BA85="Büro",B_WalkTime,0))+IF(R85&gt;B_Pause2Nach,B_Pause2Dauer,0)),0)</f>
        <v>0</v>
      </c>
      <c r="U85" s="113">
        <f>IF(T85&gt;S85,T85-S85,0)</f>
        <v>0</v>
      </c>
      <c r="V85" s="146">
        <f>IF(F85="S",Z85,(IF((R85-U85)&gt;XWorkTimeMax,XWorkTimeMax,IF((R85-U85)&gt;0,R85-U85,0))))</f>
        <v>0</v>
      </c>
      <c r="W85" s="66"/>
      <c r="X85" s="115">
        <f>xNoWorkTime</f>
        <v>4.027777777777778E-2</v>
      </c>
      <c r="Y85" s="110">
        <f>IF(AND((AM85&lt;Feiertag),(G85&lt;&gt;85)),IF(OR(F85="B",F85="G",F85="S",H85&gt;0),H85-H85+Z85,0),0)</f>
        <v>0</v>
      </c>
      <c r="Z85" s="111">
        <f>IF(AND(AM85&gt;0,AM85&lt;Feiertag),INDEX(Arbeitszeit,AM85),"")</f>
        <v>0.29166666666666669</v>
      </c>
      <c r="AA85" s="112">
        <f>V85-Y85</f>
        <v>0</v>
      </c>
      <c r="AB85" s="67" t="str">
        <f>IF((V85-Y85)&lt;0,"*","")</f>
        <v/>
      </c>
      <c r="AC85" s="193">
        <f>xOverTime</f>
        <v>0</v>
      </c>
      <c r="AD85" s="144" t="str">
        <f>IF((R85-U85)&gt;XWorkTimeMax,(R85-U85-XWorkTimeMax),"")</f>
        <v/>
      </c>
      <c r="AE85" s="225">
        <f>IF(AW85,(AE84+SUM(AA85)+(IF(AG85="+",AF85,-AF85))),)</f>
        <v>0</v>
      </c>
      <c r="AF85" s="110"/>
      <c r="AG85" s="627"/>
      <c r="AH85" s="110"/>
      <c r="AI85" s="110" t="str">
        <f>IF(AND(AF85&lt;&gt;"",AF85&lt;=V85),V85-AF85,"")</f>
        <v/>
      </c>
      <c r="AJ85" s="68">
        <f>IF(ISNUMBER(V85 ), IF( V85 &gt;= Y85, Y85, V85 ),"")</f>
        <v>0</v>
      </c>
      <c r="AK85" s="68">
        <f>IF( ISNUMBER( V85 ), IF( V85 &gt;= Y85, V85 - Y85, "" ), "" )</f>
        <v>0</v>
      </c>
      <c r="AL85" s="68" t="str">
        <f>IF( AND(ISNUMBER( V85 ),ISNUMBER( Y85 )), IF( V85 &gt;= Y85, "", Y85 - V85 ), "" )</f>
        <v/>
      </c>
      <c r="AM85">
        <f>IF(A85="",0,IF(ISERROR(VLOOKUP(A85,db_Feiertag,2,FALSE)),WEEKDAY(A85,2),Feiertag))</f>
        <v>2</v>
      </c>
      <c r="AN85" s="122">
        <f>SUM($AD$6:AD85)</f>
        <v>0</v>
      </c>
      <c r="AO85" s="122">
        <f ca="1">IF(D85=D84,AO84,OFFSET(AO85,-1,COLUMN(db_jSaldoGes)-COLUMN()))</f>
        <v>0</v>
      </c>
      <c r="AP85" s="126">
        <f>IF(OR($G85=-1,$G85=82),-1,IF(OR($G85=0,$G85=83),1,0))</f>
        <v>0</v>
      </c>
      <c r="AQ85" s="126">
        <f>IF($F85=Krank,1,IF($F85="J",-1,0))</f>
        <v>0</v>
      </c>
      <c r="AR85" s="126">
        <f>IF($F85=Urlaub,1,IF($F85="T",-1,0))</f>
        <v>0</v>
      </c>
      <c r="AS85" s="125">
        <f>IF(A85="","",AS84-IF(F85=Urlaub,1,0)+IF(AND(MONTH(A85)=1,DAY(A85)=1),B_UrlaubNeu,0))</f>
        <v>30</v>
      </c>
      <c r="AT85" s="125">
        <f ca="1">IF(A85="","",IF(D85=D84,AT84,OFFSET(AT85,-1,COLUMN(db_jUrlRest)-COLUMN()))+IF(AND(MONTH(A85)=1,DAY(A85)=1),B_UrlaubNeu,0))</f>
        <v>30</v>
      </c>
      <c r="AU85" s="135">
        <f>(IF(ISNUMBER(V85),V85,0)+IF(ISNUMBER(AD85),AD85,0))*24</f>
        <v>0</v>
      </c>
      <c r="AV85" s="125">
        <f>IF(ISNUMBER(AD85),K_ArbeitOverMax,IF(AND(ISNUMBER(AA85),AA85&gt;0),K_ArbeitOverTime,IF(AND(ISNUMBER(V85),V85&gt;0),K_ArbeitNormal,IF(F85=Krank,K_Krank,IF(F85=Urlaub,K_Urlaub,IF(AM85=Feiertag,K_Feiertag,IF(OR(AM85=6,AM85=7),K_Wochenende,0)))))))+IF(F85=Gleittag,K_Gleittag,0)</f>
        <v>0</v>
      </c>
      <c r="AW85" t="b">
        <f>OR((F85&gt;0),(NOT(ISBLANK(H85))),SUM(H85:H$373),SUM(G85:G$373))</f>
        <v>0</v>
      </c>
      <c r="AX85" t="b">
        <f ca="1">INDIRECT(ADDRESS(ROW(),COLUMN(xDay)))&gt;5</f>
        <v>0</v>
      </c>
      <c r="AY85" s="600">
        <f>IF(OR(R85&lt;&gt;0,F85&lt;&gt;0),AA85,IF(Z85="",0,-Z85))+(IF(AG85="+",AF85,-AF85))</f>
        <v>-0.29166666666666669</v>
      </c>
      <c r="AZ85" s="225">
        <f>SUM(AY$5:AY85)</f>
        <v>-16.333333333333321</v>
      </c>
      <c r="BA85" s="658"/>
      <c r="BB85" s="658">
        <f>IF(ISNA(MATCH(BA85,B_Arbeitsort,0)),0,MATCH(BA85,B_Arbeitsort,0))</f>
        <v>0</v>
      </c>
      <c r="BC85" s="658"/>
    </row>
    <row r="86" spans="1:55" ht="15.75">
      <c r="A86" s="305">
        <f>IF(A85="","",IF((A85+1)&gt;=DATE(YEAR(xJahr)+1,MONTH(xJahr),DAY(xJahr)),"",A85+1))</f>
        <v>43545</v>
      </c>
      <c r="B86" s="306">
        <f>IF(A86="","",A86)</f>
        <v>43545</v>
      </c>
      <c r="C86" s="307">
        <f>IF(A86="","",NumberOfWeek(A86))</f>
        <v>12</v>
      </c>
      <c r="D86" s="308">
        <f>IF(A86="","",DATE(YEAR(A86),MONTH(A86),1))</f>
        <v>43524</v>
      </c>
      <c r="E86" s="318" t="str">
        <f>IF((R86-U86)&gt;XWorkTimeMax,$Z$4,IF(AV86=Feiertag,VLOOKUP(B86,db_Feiertag,2,FALSE),""))</f>
        <v/>
      </c>
      <c r="F86" s="5"/>
      <c r="G86" s="6" t="str">
        <f>IF(ISBLANK(F86),IF(ISBLANK(H86),"",0),CODE(UPPER(F86)))</f>
        <v/>
      </c>
      <c r="H86" s="7"/>
      <c r="I86" s="7">
        <f>IF(H86&gt;0,H86+Y86+X86+AC86,0)</f>
        <v>0</v>
      </c>
      <c r="J86" s="113">
        <f>IF(K86&gt;I86,IF(I86&lt;H86,I86+1,I86)-B_WalkTime,IF(I86&lt;H86,I86+1,I86))</f>
        <v>0</v>
      </c>
      <c r="K86" s="7"/>
      <c r="L86" s="7">
        <f>IF(K86&gt;0,K86+IF((J86-H86)&lt;Y86,Y86-(J86-H86),TIME(0,10,0))+IF((K86-J86)&gt;xNoWorkTime,0,xNoWorkTime-(K86-J86)),0)</f>
        <v>0</v>
      </c>
      <c r="M86" s="113">
        <f>IF(L86&lt;K86,L86+1,L86)</f>
        <v>0</v>
      </c>
      <c r="N86" s="113"/>
      <c r="O86" s="113">
        <f>IF(N86&gt;0,N86+IF((J86-H86+M86-K86)&lt;Y86,Y86-(J86-H86+M86-K86),TIME(0,10,0))+IF((K86-J86+N86-M86)&gt;xNoWorkTime,0,xNoWorkTime-(K86-J86+N86-M86)),0)</f>
        <v>0</v>
      </c>
      <c r="P86" s="113"/>
      <c r="Q86" s="113">
        <f>IF(O86&lt;N86,O86+1,O86)</f>
        <v>0</v>
      </c>
      <c r="R86" s="113">
        <f>J86-H86+M86-K86+Q86-N86</f>
        <v>0</v>
      </c>
      <c r="S86" s="113">
        <f>IF(K86&gt;0,K86-I86,0)+IF(N86&gt;0,N86-L86)</f>
        <v>0</v>
      </c>
      <c r="T86" s="113">
        <f>IF(H86&gt;0,(IF(R86&gt;B_Pause1Nach,B_Pause1Dauer+IF(BA86="Büro",B_WalkTime,0),IF(BA86="Büro",B_WalkTime,0))+IF(R86&gt;B_Pause2Nach,B_Pause2Dauer,0)),0)</f>
        <v>0</v>
      </c>
      <c r="U86" s="113">
        <f>IF(T86&gt;S86,T86-S86,0)</f>
        <v>0</v>
      </c>
      <c r="V86" s="146">
        <f>IF(F86="S",Z86,(IF((R86-U86)&gt;XWorkTimeMax,XWorkTimeMax,IF((R86-U86)&gt;0,R86-U86,0))))</f>
        <v>0</v>
      </c>
      <c r="W86" s="66"/>
      <c r="X86" s="115">
        <f>xNoWorkTime</f>
        <v>4.027777777777778E-2</v>
      </c>
      <c r="Y86" s="110">
        <f>IF(AND((AM86&lt;Feiertag),(G86&lt;&gt;85)),IF(OR(F86="B",F86="G",F86="S",H86&gt;0),H86-H86+Z86,0),0)</f>
        <v>0</v>
      </c>
      <c r="Z86" s="111">
        <f>IF(AND(AM86&gt;0,AM86&lt;Feiertag),INDEX(Arbeitszeit,AM86),"")</f>
        <v>0.29166666666666669</v>
      </c>
      <c r="AA86" s="112">
        <f>V86-Y86</f>
        <v>0</v>
      </c>
      <c r="AB86" s="67" t="str">
        <f>IF((V86-Y86)&lt;0,"*","")</f>
        <v/>
      </c>
      <c r="AC86" s="193">
        <f>xOverTime</f>
        <v>0</v>
      </c>
      <c r="AD86" s="144" t="str">
        <f>IF((R86-U86)&gt;XWorkTimeMax,(R86-U86-XWorkTimeMax),"")</f>
        <v/>
      </c>
      <c r="AE86" s="225">
        <f>IF(AW86,(AE85+SUM(AA86)+(IF(AG86="+",AF86,-AF86))),)</f>
        <v>0</v>
      </c>
      <c r="AF86" s="110"/>
      <c r="AG86" s="627"/>
      <c r="AH86" s="110"/>
      <c r="AI86" s="110" t="str">
        <f>IF(AND(AF86&lt;&gt;"",AF86&lt;=V86),V86-AF86,"")</f>
        <v/>
      </c>
      <c r="AJ86" s="68">
        <f>IF(ISNUMBER(V86 ), IF( V86 &gt;= Y86, Y86, V86 ),"")</f>
        <v>0</v>
      </c>
      <c r="AK86" s="68">
        <f>IF( ISNUMBER( V86 ), IF( V86 &gt;= Y86, V86 - Y86, "" ), "" )</f>
        <v>0</v>
      </c>
      <c r="AL86" s="68" t="str">
        <f>IF( AND(ISNUMBER( V86 ),ISNUMBER( Y86 )), IF( V86 &gt;= Y86, "", Y86 - V86 ), "" )</f>
        <v/>
      </c>
      <c r="AM86">
        <f>IF(A86="",0,IF(ISERROR(VLOOKUP(A86,db_Feiertag,2,FALSE)),WEEKDAY(A86,2),Feiertag))</f>
        <v>3</v>
      </c>
      <c r="AN86" s="122">
        <f>SUM($AD$6:AD86)</f>
        <v>0</v>
      </c>
      <c r="AO86" s="122">
        <f ca="1">IF(D86=D85,AO85,OFFSET(AO86,-1,COLUMN(db_jSaldoGes)-COLUMN()))</f>
        <v>0</v>
      </c>
      <c r="AP86" s="126">
        <f>IF(OR($G86=-1,$G86=82),-1,IF(OR($G86=0,$G86=83),1,0))</f>
        <v>0</v>
      </c>
      <c r="AQ86" s="126">
        <f>IF($F86=Krank,1,IF($F86="J",-1,0))</f>
        <v>0</v>
      </c>
      <c r="AR86" s="126">
        <f>IF($F86=Urlaub,1,IF($F86="T",-1,0))</f>
        <v>0</v>
      </c>
      <c r="AS86" s="125">
        <f>IF(A86="","",AS85-IF(F86=Urlaub,1,0)+IF(AND(MONTH(A86)=1,DAY(A86)=1),B_UrlaubNeu,0))</f>
        <v>30</v>
      </c>
      <c r="AT86" s="125">
        <f ca="1">IF(A86="","",IF(D86=D85,AT85,OFFSET(AT86,-1,COLUMN(db_jUrlRest)-COLUMN()))+IF(AND(MONTH(A86)=1,DAY(A86)=1),B_UrlaubNeu,0))</f>
        <v>30</v>
      </c>
      <c r="AU86" s="135">
        <f>(IF(ISNUMBER(V86),V86,0)+IF(ISNUMBER(AD86),AD86,0))*24</f>
        <v>0</v>
      </c>
      <c r="AV86" s="125">
        <f>IF(ISNUMBER(AD86),K_ArbeitOverMax,IF(AND(ISNUMBER(AA86),AA86&gt;0),K_ArbeitOverTime,IF(AND(ISNUMBER(V86),V86&gt;0),K_ArbeitNormal,IF(F86=Krank,K_Krank,IF(F86=Urlaub,K_Urlaub,IF(AM86=Feiertag,K_Feiertag,IF(OR(AM86=6,AM86=7),K_Wochenende,0)))))))+IF(F86=Gleittag,K_Gleittag,0)</f>
        <v>0</v>
      </c>
      <c r="AW86" t="b">
        <f>OR((F86&gt;0),(NOT(ISBLANK(H86))),SUM(H86:H$373),SUM(G86:G$373))</f>
        <v>0</v>
      </c>
      <c r="AX86" t="b">
        <f ca="1">INDIRECT(ADDRESS(ROW(),COLUMN(xDay)))&gt;5</f>
        <v>0</v>
      </c>
      <c r="AY86" s="600">
        <f>IF(OR(R86&lt;&gt;0,F86&lt;&gt;0),AA86,IF(Z86="",0,-Z86))+(IF(AG86="+",AF86,-AF86))</f>
        <v>-0.29166666666666669</v>
      </c>
      <c r="AZ86" s="225">
        <f>SUM(AY$5:AY86)</f>
        <v>-16.624999999999989</v>
      </c>
      <c r="BA86" s="658"/>
      <c r="BB86" s="658">
        <f>IF(ISNA(MATCH(BA86,B_Arbeitsort,0)),0,MATCH(BA86,B_Arbeitsort,0))</f>
        <v>0</v>
      </c>
      <c r="BC86" s="658"/>
    </row>
    <row r="87" spans="1:55" ht="15.75">
      <c r="A87" s="305">
        <f>IF(A86="","",IF((A86+1)&gt;=DATE(YEAR(xJahr)+1,MONTH(xJahr),DAY(xJahr)),"",A86+1))</f>
        <v>43546</v>
      </c>
      <c r="B87" s="306">
        <f>IF(A87="","",A87)</f>
        <v>43546</v>
      </c>
      <c r="C87" s="307">
        <f>IF(A87="","",NumberOfWeek(A87))</f>
        <v>12</v>
      </c>
      <c r="D87" s="308">
        <f>IF(A87="","",DATE(YEAR(A87),MONTH(A87),1))</f>
        <v>43524</v>
      </c>
      <c r="E87" s="318" t="str">
        <f>IF((R87-U87)&gt;XWorkTimeMax,$Z$4,IF(AV87=Feiertag,VLOOKUP(B87,db_Feiertag,2,FALSE),""))</f>
        <v/>
      </c>
      <c r="F87" s="5"/>
      <c r="G87" s="6" t="str">
        <f>IF(ISBLANK(F87),IF(ISBLANK(H87),"",0),CODE(UPPER(F87)))</f>
        <v/>
      </c>
      <c r="H87" s="7"/>
      <c r="I87" s="7">
        <f>IF(H87&gt;0,H87+Y87+X87+AC87,0)</f>
        <v>0</v>
      </c>
      <c r="J87" s="113">
        <f>IF(K87&gt;I87,IF(I87&lt;H87,I87+1,I87)-B_WalkTime,IF(I87&lt;H87,I87+1,I87))</f>
        <v>0</v>
      </c>
      <c r="K87" s="7"/>
      <c r="L87" s="7">
        <f>IF(K87&gt;0,K87+IF((J87-H87)&lt;Y87,Y87-(J87-H87),TIME(0,10,0))+IF((K87-J87)&gt;xNoWorkTime,0,xNoWorkTime-(K87-J87)),0)</f>
        <v>0</v>
      </c>
      <c r="M87" s="113">
        <f>IF(L87&lt;K87,L87+1,L87)</f>
        <v>0</v>
      </c>
      <c r="N87" s="113"/>
      <c r="O87" s="113">
        <f>IF(N87&gt;0,N87+IF((J87-H87+M87-K87)&lt;Y87,Y87-(J87-H87+M87-K87),TIME(0,10,0))+IF((K87-J87+N87-M87)&gt;xNoWorkTime,0,xNoWorkTime-(K87-J87+N87-M87)),0)</f>
        <v>0</v>
      </c>
      <c r="P87" s="113"/>
      <c r="Q87" s="113">
        <f>IF(O87&lt;N87,O87+1,O87)</f>
        <v>0</v>
      </c>
      <c r="R87" s="113">
        <f>J87-H87+M87-K87+Q87-N87</f>
        <v>0</v>
      </c>
      <c r="S87" s="113">
        <f>IF(K87&gt;0,K87-I87,0)+IF(N87&gt;0,N87-L87)</f>
        <v>0</v>
      </c>
      <c r="T87" s="113">
        <f>IF(H87&gt;0,(IF(R87&gt;B_Pause1Nach,B_Pause1Dauer+IF(BA87="Büro",B_WalkTime,0),IF(BA87="Büro",B_WalkTime,0))+IF(R87&gt;B_Pause2Nach,B_Pause2Dauer,0)),0)</f>
        <v>0</v>
      </c>
      <c r="U87" s="113">
        <f>IF(T87&gt;S87,T87-S87,0)</f>
        <v>0</v>
      </c>
      <c r="V87" s="146">
        <f>IF(F87="S",Z87,(IF((R87-U87)&gt;XWorkTimeMax,XWorkTimeMax,IF((R87-U87)&gt;0,R87-U87,0))))</f>
        <v>0</v>
      </c>
      <c r="W87" s="66"/>
      <c r="X87" s="115">
        <f>xNoWorkTime</f>
        <v>4.027777777777778E-2</v>
      </c>
      <c r="Y87" s="110">
        <f>IF(AND((AM87&lt;Feiertag),(G87&lt;&gt;85)),IF(OR(F87="B",F87="G",F87="S",H87&gt;0),H87-H87+Z87,0),0)</f>
        <v>0</v>
      </c>
      <c r="Z87" s="111">
        <f>IF(AND(AM87&gt;0,AM87&lt;Feiertag),INDEX(Arbeitszeit,AM87),"")</f>
        <v>0.29166666666666669</v>
      </c>
      <c r="AA87" s="112">
        <f>V87-Y87</f>
        <v>0</v>
      </c>
      <c r="AB87" s="67" t="str">
        <f>IF((V87-Y87)&lt;0,"*","")</f>
        <v/>
      </c>
      <c r="AC87" s="193">
        <f>xOverTime</f>
        <v>0</v>
      </c>
      <c r="AD87" s="144" t="str">
        <f>IF((R87-U87)&gt;XWorkTimeMax,(R87-U87-XWorkTimeMax),"")</f>
        <v/>
      </c>
      <c r="AE87" s="225">
        <f>IF(AW87,(AE86+SUM(AA87)+(IF(AG87="+",AF87,-AF87))),)</f>
        <v>0</v>
      </c>
      <c r="AF87" s="110"/>
      <c r="AG87" s="627"/>
      <c r="AH87" s="110"/>
      <c r="AI87" s="110" t="str">
        <f>IF(AND(AF87&lt;&gt;"",AF87&lt;=V87),V87-AF87,"")</f>
        <v/>
      </c>
      <c r="AJ87" s="68">
        <f>IF(ISNUMBER(V87 ), IF( V87 &gt;= Y87, Y87, V87 ),"")</f>
        <v>0</v>
      </c>
      <c r="AK87" s="68">
        <f>IF( ISNUMBER( V87 ), IF( V87 &gt;= Y87, V87 - Y87, "" ), "" )</f>
        <v>0</v>
      </c>
      <c r="AL87" s="68" t="str">
        <f>IF( AND(ISNUMBER( V87 ),ISNUMBER( Y87 )), IF( V87 &gt;= Y87, "", Y87 - V87 ), "" )</f>
        <v/>
      </c>
      <c r="AM87">
        <f>IF(A87="",0,IF(ISERROR(VLOOKUP(A87,db_Feiertag,2,FALSE)),WEEKDAY(A87,2),Feiertag))</f>
        <v>4</v>
      </c>
      <c r="AN87" s="122">
        <f>SUM($AD$6:AD87)</f>
        <v>0</v>
      </c>
      <c r="AO87" s="122">
        <f ca="1">IF(D87=D86,AO86,OFFSET(AO87,-1,COLUMN(db_jSaldoGes)-COLUMN()))</f>
        <v>0</v>
      </c>
      <c r="AP87" s="126">
        <f>IF(OR($G87=-1,$G87=82),-1,IF(OR($G87=0,$G87=83),1,0))</f>
        <v>0</v>
      </c>
      <c r="AQ87" s="126">
        <f>IF($F87=Krank,1,IF($F87="J",-1,0))</f>
        <v>0</v>
      </c>
      <c r="AR87" s="126">
        <f>IF($F87=Urlaub,1,IF($F87="T",-1,0))</f>
        <v>0</v>
      </c>
      <c r="AS87" s="125">
        <f>IF(A87="","",AS86-IF(F87=Urlaub,1,0)+IF(AND(MONTH(A87)=1,DAY(A87)=1),B_UrlaubNeu,0))</f>
        <v>30</v>
      </c>
      <c r="AT87" s="125">
        <f ca="1">IF(A87="","",IF(D87=D86,AT86,OFFSET(AT87,-1,COLUMN(db_jUrlRest)-COLUMN()))+IF(AND(MONTH(A87)=1,DAY(A87)=1),B_UrlaubNeu,0))</f>
        <v>30</v>
      </c>
      <c r="AU87" s="135">
        <f>(IF(ISNUMBER(V87),V87,0)+IF(ISNUMBER(AD87),AD87,0))*24</f>
        <v>0</v>
      </c>
      <c r="AV87" s="125">
        <f>IF(ISNUMBER(AD87),K_ArbeitOverMax,IF(AND(ISNUMBER(AA87),AA87&gt;0),K_ArbeitOverTime,IF(AND(ISNUMBER(V87),V87&gt;0),K_ArbeitNormal,IF(F87=Krank,K_Krank,IF(F87=Urlaub,K_Urlaub,IF(AM87=Feiertag,K_Feiertag,IF(OR(AM87=6,AM87=7),K_Wochenende,0)))))))+IF(F87=Gleittag,K_Gleittag,0)</f>
        <v>0</v>
      </c>
      <c r="AW87" t="b">
        <f>OR((F87&gt;0),(NOT(ISBLANK(H87))),SUM(H87:H$373),SUM(G87:G$373))</f>
        <v>0</v>
      </c>
      <c r="AX87" t="b">
        <f ca="1">INDIRECT(ADDRESS(ROW(),COLUMN(xDay)))&gt;5</f>
        <v>0</v>
      </c>
      <c r="AY87" s="600">
        <f>IF(OR(R87&lt;&gt;0,F87&lt;&gt;0),AA87,IF(Z87="",0,-Z87))+(IF(AG87="+",AF87,-AF87))</f>
        <v>-0.29166666666666669</v>
      </c>
      <c r="AZ87" s="225">
        <f>SUM(AY$5:AY87)</f>
        <v>-16.916666666666657</v>
      </c>
      <c r="BA87" s="658"/>
      <c r="BB87" s="658">
        <f>IF(ISNA(MATCH(BA87,B_Arbeitsort,0)),0,MATCH(BA87,B_Arbeitsort,0))</f>
        <v>0</v>
      </c>
      <c r="BC87" s="658"/>
    </row>
    <row r="88" spans="1:55" ht="15.75">
      <c r="A88" s="305">
        <f>IF(A87="","",IF((A87+1)&gt;=DATE(YEAR(xJahr)+1,MONTH(xJahr),DAY(xJahr)),"",A87+1))</f>
        <v>43547</v>
      </c>
      <c r="B88" s="306">
        <f>IF(A88="","",A88)</f>
        <v>43547</v>
      </c>
      <c r="C88" s="307">
        <f>IF(A88="","",NumberOfWeek(A88))</f>
        <v>12</v>
      </c>
      <c r="D88" s="308">
        <f>IF(A88="","",DATE(YEAR(A88),MONTH(A88),1))</f>
        <v>43524</v>
      </c>
      <c r="E88" s="318" t="str">
        <f>IF((R88-U88)&gt;XWorkTimeMax,$Z$4,IF(AV88=Feiertag,VLOOKUP(B88,db_Feiertag,2,FALSE),""))</f>
        <v/>
      </c>
      <c r="F88" s="5"/>
      <c r="G88" s="6" t="str">
        <f>IF(ISBLANK(F88),IF(ISBLANK(H88),"",0),CODE(UPPER(F88)))</f>
        <v/>
      </c>
      <c r="H88" s="7"/>
      <c r="I88" s="7">
        <f>IF(H88&gt;0,H88+Y88+X88+AC88,0)</f>
        <v>0</v>
      </c>
      <c r="J88" s="113">
        <f>IF(K88&gt;I88,IF(I88&lt;H88,I88+1,I88)-B_WalkTime,IF(I88&lt;H88,I88+1,I88))</f>
        <v>0</v>
      </c>
      <c r="K88" s="7"/>
      <c r="L88" s="7">
        <f>IF(K88&gt;0,K88+IF((J88-H88)&lt;Y88,Y88-(J88-H88),TIME(0,10,0))+IF((K88-J88)&gt;xNoWorkTime,0,xNoWorkTime-(K88-J88)),0)</f>
        <v>0</v>
      </c>
      <c r="M88" s="113">
        <f>IF(L88&lt;K88,L88+1,L88)</f>
        <v>0</v>
      </c>
      <c r="N88" s="113"/>
      <c r="O88" s="113">
        <f>IF(N88&gt;0,N88+IF((J88-H88+M88-K88)&lt;Y88,Y88-(J88-H88+M88-K88),TIME(0,10,0))+IF((K88-J88+N88-M88)&gt;xNoWorkTime,0,xNoWorkTime-(K88-J88+N88-M88)),0)</f>
        <v>0</v>
      </c>
      <c r="P88" s="113"/>
      <c r="Q88" s="113">
        <f>IF(O88&lt;N88,O88+1,O88)</f>
        <v>0</v>
      </c>
      <c r="R88" s="113">
        <f>J88-H88+M88-K88+Q88-N88</f>
        <v>0</v>
      </c>
      <c r="S88" s="113">
        <f>IF(K88&gt;0,K88-I88,0)+IF(N88&gt;0,N88-L88)</f>
        <v>0</v>
      </c>
      <c r="T88" s="113">
        <f>IF(H88&gt;0,(IF(R88&gt;B_Pause1Nach,B_Pause1Dauer+IF(BA88="Büro",B_WalkTime,0),IF(BA88="Büro",B_WalkTime,0))+IF(R88&gt;B_Pause2Nach,B_Pause2Dauer,0)),0)</f>
        <v>0</v>
      </c>
      <c r="U88" s="113">
        <f>IF(T88&gt;S88,T88-S88,0)</f>
        <v>0</v>
      </c>
      <c r="V88" s="146">
        <f>IF(F88="S",Z88,(IF((R88-U88)&gt;XWorkTimeMax,XWorkTimeMax,IF((R88-U88)&gt;0,R88-U88,0))))</f>
        <v>0</v>
      </c>
      <c r="W88" s="66"/>
      <c r="X88" s="115">
        <f>xNoWorkTime</f>
        <v>4.027777777777778E-2</v>
      </c>
      <c r="Y88" s="110">
        <f>IF(AND((AM88&lt;Feiertag),(G88&lt;&gt;85)),IF(OR(F88="B",F88="G",F88="S",H88&gt;0),H88-H88+Z88,0),0)</f>
        <v>0</v>
      </c>
      <c r="Z88" s="111">
        <f>IF(AND(AM88&gt;0,AM88&lt;Feiertag),INDEX(Arbeitszeit,AM88),"")</f>
        <v>0.29166666666666669</v>
      </c>
      <c r="AA88" s="112">
        <f>V88-Y88</f>
        <v>0</v>
      </c>
      <c r="AB88" s="67" t="str">
        <f>IF((V88-Y88)&lt;0,"*","")</f>
        <v/>
      </c>
      <c r="AC88" s="193">
        <f>xOverTime</f>
        <v>0</v>
      </c>
      <c r="AD88" s="144" t="str">
        <f>IF((R88-U88)&gt;XWorkTimeMax,(R88-U88-XWorkTimeMax),"")</f>
        <v/>
      </c>
      <c r="AE88" s="225">
        <f>IF(AW88,(AE87+SUM(AA88)+(IF(AG88="+",AF88,-AF88))),)</f>
        <v>0</v>
      </c>
      <c r="AF88" s="110"/>
      <c r="AG88" s="627"/>
      <c r="AH88" s="110"/>
      <c r="AI88" s="110" t="str">
        <f>IF(AND(AF88&lt;&gt;"",AF88&lt;=V88),V88-AF88,"")</f>
        <v/>
      </c>
      <c r="AJ88" s="68">
        <f>IF(ISNUMBER(V88 ), IF( V88 &gt;= Y88, Y88, V88 ),"")</f>
        <v>0</v>
      </c>
      <c r="AK88" s="68">
        <f>IF( ISNUMBER( V88 ), IF( V88 &gt;= Y88, V88 - Y88, "" ), "" )</f>
        <v>0</v>
      </c>
      <c r="AL88" s="68" t="str">
        <f>IF( AND(ISNUMBER( V88 ),ISNUMBER( Y88 )), IF( V88 &gt;= Y88, "", Y88 - V88 ), "" )</f>
        <v/>
      </c>
      <c r="AM88">
        <f>IF(A88="",0,IF(ISERROR(VLOOKUP(A88,db_Feiertag,2,FALSE)),WEEKDAY(A88,2),Feiertag))</f>
        <v>5</v>
      </c>
      <c r="AN88" s="122">
        <f>SUM($AD$6:AD88)</f>
        <v>0</v>
      </c>
      <c r="AO88" s="122">
        <f ca="1">IF(D88=D87,AO87,OFFSET(AO88,-1,COLUMN(db_jSaldoGes)-COLUMN()))</f>
        <v>0</v>
      </c>
      <c r="AP88" s="126">
        <f>IF(OR($G88=-1,$G88=82),-1,IF(OR($G88=0,$G88=83),1,0))</f>
        <v>0</v>
      </c>
      <c r="AQ88" s="126">
        <f>IF($F88=Krank,1,IF($F88="J",-1,0))</f>
        <v>0</v>
      </c>
      <c r="AR88" s="126">
        <f>IF($F88=Urlaub,1,IF($F88="T",-1,0))</f>
        <v>0</v>
      </c>
      <c r="AS88" s="125">
        <f>IF(A88="","",AS87-IF(F88=Urlaub,1,0)+IF(AND(MONTH(A88)=1,DAY(A88)=1),B_UrlaubNeu,0))</f>
        <v>30</v>
      </c>
      <c r="AT88" s="125">
        <f ca="1">IF(A88="","",IF(D88=D87,AT87,OFFSET(AT88,-1,COLUMN(db_jUrlRest)-COLUMN()))+IF(AND(MONTH(A88)=1,DAY(A88)=1),B_UrlaubNeu,0))</f>
        <v>30</v>
      </c>
      <c r="AU88" s="135">
        <f>(IF(ISNUMBER(V88),V88,0)+IF(ISNUMBER(AD88),AD88,0))*24</f>
        <v>0</v>
      </c>
      <c r="AV88" s="125">
        <f>IF(ISNUMBER(AD88),K_ArbeitOverMax,IF(AND(ISNUMBER(AA88),AA88&gt;0),K_ArbeitOverTime,IF(AND(ISNUMBER(V88),V88&gt;0),K_ArbeitNormal,IF(F88=Krank,K_Krank,IF(F88=Urlaub,K_Urlaub,IF(AM88=Feiertag,K_Feiertag,IF(OR(AM88=6,AM88=7),K_Wochenende,0)))))))+IF(F88=Gleittag,K_Gleittag,0)</f>
        <v>0</v>
      </c>
      <c r="AW88" t="b">
        <f>OR((F88&gt;0),(NOT(ISBLANK(H88))),SUM(H88:H$373),SUM(G88:G$373))</f>
        <v>0</v>
      </c>
      <c r="AX88" t="b">
        <f ca="1">INDIRECT(ADDRESS(ROW(),COLUMN(xDay)))&gt;5</f>
        <v>0</v>
      </c>
      <c r="AY88" s="600">
        <f>IF(OR(R88&lt;&gt;0,F88&lt;&gt;0),AA88,IF(Z88="",0,-Z88))+(IF(AG88="+",AF88,-AF88))</f>
        <v>-0.29166666666666669</v>
      </c>
      <c r="AZ88" s="225">
        <f>SUM(AY$5:AY88)</f>
        <v>-17.208333333333325</v>
      </c>
      <c r="BA88" s="658"/>
      <c r="BB88" s="658">
        <f>IF(ISNA(MATCH(BA88,B_Arbeitsort,0)),0,MATCH(BA88,B_Arbeitsort,0))</f>
        <v>0</v>
      </c>
      <c r="BC88" s="658"/>
    </row>
    <row r="89" spans="1:55" ht="15.75">
      <c r="A89" s="305">
        <f>IF(A88="","",IF((A88+1)&gt;=DATE(YEAR(xJahr)+1,MONTH(xJahr),DAY(xJahr)),"",A88+1))</f>
        <v>43548</v>
      </c>
      <c r="B89" s="306">
        <f>IF(A89="","",A89)</f>
        <v>43548</v>
      </c>
      <c r="C89" s="307">
        <f>IF(A89="","",NumberOfWeek(A89))</f>
        <v>12</v>
      </c>
      <c r="D89" s="308">
        <f>IF(A89="","",DATE(YEAR(A89),MONTH(A89),1))</f>
        <v>43524</v>
      </c>
      <c r="E89" s="318" t="str">
        <f>IF((R89-U89)&gt;XWorkTimeMax,$Z$4,IF(AV89=Feiertag,VLOOKUP(B89,db_Feiertag,2,FALSE),""))</f>
        <v/>
      </c>
      <c r="F89" s="5"/>
      <c r="G89" s="6" t="str">
        <f>IF(ISBLANK(F89),IF(ISBLANK(H89),"",0),CODE(UPPER(F89)))</f>
        <v/>
      </c>
      <c r="H89" s="7"/>
      <c r="I89" s="7">
        <f>IF(H89&gt;0,H89+Y89+X89+AC89,0)</f>
        <v>0</v>
      </c>
      <c r="J89" s="113">
        <f>IF(K89&gt;I89,IF(I89&lt;H89,I89+1,I89)-B_WalkTime,IF(I89&lt;H89,I89+1,I89))</f>
        <v>0</v>
      </c>
      <c r="K89" s="7"/>
      <c r="L89" s="7">
        <f>IF(K89&gt;0,K89+IF((J89-H89)&lt;Y89,Y89-(J89-H89),TIME(0,10,0))+IF((K89-J89)&gt;xNoWorkTime,0,xNoWorkTime-(K89-J89)),0)</f>
        <v>0</v>
      </c>
      <c r="M89" s="113">
        <f>IF(L89&lt;K89,L89+1,L89)</f>
        <v>0</v>
      </c>
      <c r="N89" s="113"/>
      <c r="O89" s="113">
        <f>IF(N89&gt;0,N89+IF((J89-H89+M89-K89)&lt;Y89,Y89-(J89-H89+M89-K89),TIME(0,10,0))+IF((K89-J89+N89-M89)&gt;xNoWorkTime,0,xNoWorkTime-(K89-J89+N89-M89)),0)</f>
        <v>0</v>
      </c>
      <c r="P89" s="113"/>
      <c r="Q89" s="113">
        <f>IF(O89&lt;N89,O89+1,O89)</f>
        <v>0</v>
      </c>
      <c r="R89" s="113">
        <f>J89-H89+M89-K89+Q89-N89</f>
        <v>0</v>
      </c>
      <c r="S89" s="113">
        <f>IF(K89&gt;0,K89-I89,0)+IF(N89&gt;0,N89-L89)</f>
        <v>0</v>
      </c>
      <c r="T89" s="113">
        <f>IF(H89&gt;0,(IF(R89&gt;B_Pause1Nach,B_Pause1Dauer+IF(BA89="Büro",B_WalkTime,0),IF(BA89="Büro",B_WalkTime,0))+IF(R89&gt;B_Pause2Nach,B_Pause2Dauer,0)),0)</f>
        <v>0</v>
      </c>
      <c r="U89" s="113">
        <f>IF(T89&gt;S89,T89-S89,0)</f>
        <v>0</v>
      </c>
      <c r="V89" s="146">
        <f>IF(F89="S",Z89,(IF((R89-U89)&gt;XWorkTimeMax,XWorkTimeMax,IF((R89-U89)&gt;0,R89-U89,0))))</f>
        <v>0</v>
      </c>
      <c r="W89" s="66"/>
      <c r="X89" s="115">
        <f>xNoWorkTime</f>
        <v>4.027777777777778E-2</v>
      </c>
      <c r="Y89" s="110">
        <f>IF(AND((AM89&lt;Feiertag),(G89&lt;&gt;85)),IF(OR(F89="B",F89="G",F89="S",H89&gt;0),H89-H89+Z89,0),0)</f>
        <v>0</v>
      </c>
      <c r="Z89" s="111">
        <f>IF(AND(AM89&gt;0,AM89&lt;Feiertag),INDEX(Arbeitszeit,AM89),"")</f>
        <v>0</v>
      </c>
      <c r="AA89" s="112">
        <f>V89-Y89</f>
        <v>0</v>
      </c>
      <c r="AB89" s="67" t="str">
        <f>IF((V89-Y89)&lt;0,"*","")</f>
        <v/>
      </c>
      <c r="AC89" s="193">
        <f>xOverTime</f>
        <v>0</v>
      </c>
      <c r="AD89" s="144" t="str">
        <f>IF((R89-U89)&gt;XWorkTimeMax,(R89-U89-XWorkTimeMax),"")</f>
        <v/>
      </c>
      <c r="AE89" s="225">
        <f>IF(AW89,(AE88+SUM(AA89)+(IF(AG89="+",AF89,-AF89))),)</f>
        <v>0</v>
      </c>
      <c r="AF89" s="110"/>
      <c r="AG89" s="627"/>
      <c r="AH89" s="110"/>
      <c r="AI89" s="110" t="str">
        <f>IF(AND(AF89&lt;&gt;"",AF89&lt;=V89),V89-AF89,"")</f>
        <v/>
      </c>
      <c r="AJ89" s="68">
        <f>IF(ISNUMBER(V89 ), IF( V89 &gt;= Y89, Y89, V89 ),"")</f>
        <v>0</v>
      </c>
      <c r="AK89" s="68">
        <f>IF( ISNUMBER( V89 ), IF( V89 &gt;= Y89, V89 - Y89, "" ), "" )</f>
        <v>0</v>
      </c>
      <c r="AL89" s="68" t="str">
        <f>IF( AND(ISNUMBER( V89 ),ISNUMBER( Y89 )), IF( V89 &gt;= Y89, "", Y89 - V89 ), "" )</f>
        <v/>
      </c>
      <c r="AM89">
        <f>IF(A89="",0,IF(ISERROR(VLOOKUP(A89,db_Feiertag,2,FALSE)),WEEKDAY(A89,2),Feiertag))</f>
        <v>6</v>
      </c>
      <c r="AN89" s="122">
        <f>SUM($AD$6:AD89)</f>
        <v>0</v>
      </c>
      <c r="AO89" s="122">
        <f ca="1">IF(D89=D88,AO88,OFFSET(AO89,-1,COLUMN(db_jSaldoGes)-COLUMN()))</f>
        <v>0</v>
      </c>
      <c r="AP89" s="126">
        <f>IF(OR($G89=-1,$G89=82),-1,IF(OR($G89=0,$G89=83),1,0))</f>
        <v>0</v>
      </c>
      <c r="AQ89" s="126">
        <f>IF($F89=Krank,1,IF($F89="J",-1,0))</f>
        <v>0</v>
      </c>
      <c r="AR89" s="126">
        <f>IF($F89=Urlaub,1,IF($F89="T",-1,0))</f>
        <v>0</v>
      </c>
      <c r="AS89" s="125">
        <f>IF(A89="","",AS88-IF(F89=Urlaub,1,0)+IF(AND(MONTH(A89)=1,DAY(A89)=1),B_UrlaubNeu,0))</f>
        <v>30</v>
      </c>
      <c r="AT89" s="125">
        <f ca="1">IF(A89="","",IF(D89=D88,AT88,OFFSET(AT89,-1,COLUMN(db_jUrlRest)-COLUMN()))+IF(AND(MONTH(A89)=1,DAY(A89)=1),B_UrlaubNeu,0))</f>
        <v>30</v>
      </c>
      <c r="AU89" s="135">
        <f>(IF(ISNUMBER(V89),V89,0)+IF(ISNUMBER(AD89),AD89,0))*24</f>
        <v>0</v>
      </c>
      <c r="AV89" s="125">
        <f>IF(ISNUMBER(AD89),K_ArbeitOverMax,IF(AND(ISNUMBER(AA89),AA89&gt;0),K_ArbeitOverTime,IF(AND(ISNUMBER(V89),V89&gt;0),K_ArbeitNormal,IF(F89=Krank,K_Krank,IF(F89=Urlaub,K_Urlaub,IF(AM89=Feiertag,K_Feiertag,IF(OR(AM89=6,AM89=7),K_Wochenende,0)))))))+IF(F89=Gleittag,K_Gleittag,0)</f>
        <v>7</v>
      </c>
      <c r="AW89" t="b">
        <f>OR((F89&gt;0),(NOT(ISBLANK(H89))),SUM(H89:H$373),SUM(G89:G$373))</f>
        <v>0</v>
      </c>
      <c r="AX89" t="b">
        <f ca="1">INDIRECT(ADDRESS(ROW(),COLUMN(xDay)))&gt;5</f>
        <v>1</v>
      </c>
      <c r="AY89" s="600">
        <f>IF(OR(R89&lt;&gt;0,F89&lt;&gt;0),AA89,IF(Z89="",0,-Z89))+(IF(AG89="+",AF89,-AF89))</f>
        <v>0</v>
      </c>
      <c r="AZ89" s="225">
        <f>SUM(AY$5:AY89)</f>
        <v>-17.208333333333325</v>
      </c>
      <c r="BA89" s="643"/>
      <c r="BB89" s="658">
        <f>IF(ISNA(MATCH(BA89,B_Arbeitsort,0)),0,MATCH(BA89,B_Arbeitsort,0))</f>
        <v>0</v>
      </c>
      <c r="BC89" s="643"/>
    </row>
    <row r="90" spans="1:55" ht="15.75">
      <c r="A90" s="305">
        <f>IF(A89="","",IF((A89+1)&gt;=DATE(YEAR(xJahr)+1,MONTH(xJahr),DAY(xJahr)),"",A89+1))</f>
        <v>43549</v>
      </c>
      <c r="B90" s="306">
        <f>IF(A90="","",A90)</f>
        <v>43549</v>
      </c>
      <c r="C90" s="307">
        <f>IF(A90="","",NumberOfWeek(A90))</f>
        <v>12</v>
      </c>
      <c r="D90" s="308">
        <f>IF(A90="","",DATE(YEAR(A90),MONTH(A90),1))</f>
        <v>43524</v>
      </c>
      <c r="E90" s="318" t="str">
        <f>IF((R90-U90)&gt;XWorkTimeMax,$Z$4,IF(AV90=Feiertag,VLOOKUP(B90,db_Feiertag,2,FALSE),""))</f>
        <v/>
      </c>
      <c r="F90" s="5"/>
      <c r="G90" s="6" t="str">
        <f>IF(ISBLANK(F90),IF(ISBLANK(H90),"",0),CODE(UPPER(F90)))</f>
        <v/>
      </c>
      <c r="H90" s="7"/>
      <c r="I90" s="7">
        <f>IF(H90&gt;0,H90+Y90+X90+AC90,0)</f>
        <v>0</v>
      </c>
      <c r="J90" s="113">
        <f>IF(K90&gt;I90,IF(I90&lt;H90,I90+1,I90)-B_WalkTime,IF(I90&lt;H90,I90+1,I90))</f>
        <v>0</v>
      </c>
      <c r="K90" s="7"/>
      <c r="L90" s="7">
        <f>IF(K90&gt;0,K90+IF((J90-H90)&lt;Y90,Y90-(J90-H90),TIME(0,10,0))+IF((K90-J90)&gt;xNoWorkTime,0,xNoWorkTime-(K90-J90)),0)</f>
        <v>0</v>
      </c>
      <c r="M90" s="113">
        <f>IF(L90&lt;K90,L90+1,L90)</f>
        <v>0</v>
      </c>
      <c r="N90" s="113"/>
      <c r="O90" s="113">
        <f>IF(N90&gt;0,N90+IF((J90-H90+M90-K90)&lt;Y90,Y90-(J90-H90+M90-K90),TIME(0,10,0))+IF((K90-J90+N90-M90)&gt;xNoWorkTime,0,xNoWorkTime-(K90-J90+N90-M90)),0)</f>
        <v>0</v>
      </c>
      <c r="P90" s="113"/>
      <c r="Q90" s="113">
        <f>IF(O90&lt;N90,O90+1,O90)</f>
        <v>0</v>
      </c>
      <c r="R90" s="113">
        <f>J90-H90+M90-K90+Q90-N90</f>
        <v>0</v>
      </c>
      <c r="S90" s="113">
        <f>IF(K90&gt;0,K90-I90,0)+IF(N90&gt;0,N90-L90)</f>
        <v>0</v>
      </c>
      <c r="T90" s="113">
        <f>IF(H90&gt;0,(IF(R90&gt;B_Pause1Nach,B_Pause1Dauer+IF(BA90="Büro",B_WalkTime,0),IF(BA90="Büro",B_WalkTime,0))+IF(R90&gt;B_Pause2Nach,B_Pause2Dauer,0)),0)</f>
        <v>0</v>
      </c>
      <c r="U90" s="113">
        <f>IF(T90&gt;S90,T90-S90,0)</f>
        <v>0</v>
      </c>
      <c r="V90" s="146">
        <f>IF(F90="S",Z90,(IF((R90-U90)&gt;XWorkTimeMax,XWorkTimeMax,IF((R90-U90)&gt;0,R90-U90,0))))</f>
        <v>0</v>
      </c>
      <c r="W90" s="66"/>
      <c r="X90" s="115">
        <f>xNoWorkTime</f>
        <v>4.027777777777778E-2</v>
      </c>
      <c r="Y90" s="110">
        <f>IF(AND((AM90&lt;Feiertag),(G90&lt;&gt;85)),IF(OR(F90="B",F90="G",F90="S",H90&gt;0),H90-H90+Z90,0),0)</f>
        <v>0</v>
      </c>
      <c r="Z90" s="111">
        <f>IF(AND(AM90&gt;0,AM90&lt;Feiertag),INDEX(Arbeitszeit,AM90),"")</f>
        <v>0</v>
      </c>
      <c r="AA90" s="112">
        <f>V90-Y90</f>
        <v>0</v>
      </c>
      <c r="AB90" s="67" t="str">
        <f>IF((V90-Y90)&lt;0,"*","")</f>
        <v/>
      </c>
      <c r="AC90" s="193">
        <f>xOverTime</f>
        <v>0</v>
      </c>
      <c r="AD90" s="144" t="str">
        <f>IF((R90-U90)&gt;XWorkTimeMax,(R90-U90-XWorkTimeMax),"")</f>
        <v/>
      </c>
      <c r="AE90" s="225">
        <f>IF(AW90,(AE89+SUM(AA90)+(IF(AG90="+",AF90,-AF90))),)</f>
        <v>0</v>
      </c>
      <c r="AF90" s="110"/>
      <c r="AG90" s="627"/>
      <c r="AH90" s="110"/>
      <c r="AI90" s="110" t="str">
        <f>IF(AND(AF90&lt;&gt;"",AF90&lt;=V90),V90-AF90,"")</f>
        <v/>
      </c>
      <c r="AJ90" s="68">
        <f>IF(ISNUMBER(V90 ), IF( V90 &gt;= Y90, Y90, V90 ),"")</f>
        <v>0</v>
      </c>
      <c r="AK90" s="68">
        <f>IF( ISNUMBER( V90 ), IF( V90 &gt;= Y90, V90 - Y90, "" ), "" )</f>
        <v>0</v>
      </c>
      <c r="AL90" s="68" t="str">
        <f>IF( AND(ISNUMBER( V90 ),ISNUMBER( Y90 )), IF( V90 &gt;= Y90, "", Y90 - V90 ), "" )</f>
        <v/>
      </c>
      <c r="AM90">
        <f>IF(A90="",0,IF(ISERROR(VLOOKUP(A90,db_Feiertag,2,FALSE)),WEEKDAY(A90,2),Feiertag))</f>
        <v>7</v>
      </c>
      <c r="AN90" s="122">
        <f>SUM($AD$6:AD90)</f>
        <v>0</v>
      </c>
      <c r="AO90" s="122">
        <f ca="1">IF(D90=D89,AO89,OFFSET(AO90,-1,COLUMN(db_jSaldoGes)-COLUMN()))</f>
        <v>0</v>
      </c>
      <c r="AP90" s="126">
        <f>IF(OR($G90=-1,$G90=82),-1,IF(OR($G90=0,$G90=83),1,0))</f>
        <v>0</v>
      </c>
      <c r="AQ90" s="126">
        <f>IF($F90=Krank,1,IF($F90="J",-1,0))</f>
        <v>0</v>
      </c>
      <c r="AR90" s="126">
        <f>IF($F90=Urlaub,1,IF($F90="T",-1,0))</f>
        <v>0</v>
      </c>
      <c r="AS90" s="125">
        <f>IF(A90="","",AS89-IF(F90=Urlaub,1,0)+IF(AND(MONTH(A90)=1,DAY(A90)=1),B_UrlaubNeu,0))</f>
        <v>30</v>
      </c>
      <c r="AT90" s="125">
        <f ca="1">IF(A90="","",IF(D90=D89,AT89,OFFSET(AT90,-1,COLUMN(db_jUrlRest)-COLUMN()))+IF(AND(MONTH(A90)=1,DAY(A90)=1),B_UrlaubNeu,0))</f>
        <v>30</v>
      </c>
      <c r="AU90" s="135">
        <f>(IF(ISNUMBER(V90),V90,0)+IF(ISNUMBER(AD90),AD90,0))*24</f>
        <v>0</v>
      </c>
      <c r="AV90" s="125">
        <f>IF(ISNUMBER(AD90),K_ArbeitOverMax,IF(AND(ISNUMBER(AA90),AA90&gt;0),K_ArbeitOverTime,IF(AND(ISNUMBER(V90),V90&gt;0),K_ArbeitNormal,IF(F90=Krank,K_Krank,IF(F90=Urlaub,K_Urlaub,IF(AM90=Feiertag,K_Feiertag,IF(OR(AM90=6,AM90=7),K_Wochenende,0)))))))+IF(F90=Gleittag,K_Gleittag,0)</f>
        <v>7</v>
      </c>
      <c r="AW90" t="b">
        <f>OR((F90&gt;0),(NOT(ISBLANK(H90))),SUM(H90:H$373),SUM(G90:G$373))</f>
        <v>0</v>
      </c>
      <c r="AX90" t="b">
        <f ca="1">INDIRECT(ADDRESS(ROW(),COLUMN(xDay)))&gt;5</f>
        <v>1</v>
      </c>
      <c r="AY90" s="600">
        <f>IF(OR(R90&lt;&gt;0,F90&lt;&gt;0),AA90,IF(Z90="",0,-Z90))+(IF(AG90="+",AF90,-AF90))</f>
        <v>0</v>
      </c>
      <c r="AZ90" s="225">
        <f>SUM(AY$5:AY90)</f>
        <v>-17.208333333333325</v>
      </c>
      <c r="BA90" s="643"/>
      <c r="BB90" s="658">
        <f>IF(ISNA(MATCH(BA90,B_Arbeitsort,0)),0,MATCH(BA90,B_Arbeitsort,0))</f>
        <v>0</v>
      </c>
      <c r="BC90" s="643"/>
    </row>
    <row r="91" spans="1:55" ht="15.75">
      <c r="A91" s="305">
        <f>IF(A90="","",IF((A90+1)&gt;=DATE(YEAR(xJahr)+1,MONTH(xJahr),DAY(xJahr)),"",A90+1))</f>
        <v>43550</v>
      </c>
      <c r="B91" s="306">
        <f>IF(A91="","",A91)</f>
        <v>43550</v>
      </c>
      <c r="C91" s="307">
        <f>IF(A91="","",NumberOfWeek(A91))</f>
        <v>13</v>
      </c>
      <c r="D91" s="308">
        <f>IF(A91="","",DATE(YEAR(A91),MONTH(A91),1))</f>
        <v>43524</v>
      </c>
      <c r="E91" s="318" t="str">
        <f>IF((R91-U91)&gt;XWorkTimeMax,$Z$4,IF(AV91=Feiertag,VLOOKUP(B91,db_Feiertag,2,FALSE),""))</f>
        <v/>
      </c>
      <c r="F91" s="5"/>
      <c r="G91" s="6" t="str">
        <f>IF(ISBLANK(F91),IF(ISBLANK(H91),"",0),CODE(UPPER(F91)))</f>
        <v/>
      </c>
      <c r="H91" s="7"/>
      <c r="I91" s="7">
        <f>IF(H91&gt;0,H91+Y91+X91+AC91,0)</f>
        <v>0</v>
      </c>
      <c r="J91" s="113">
        <f>IF(K91&gt;I91,IF(I91&lt;H91,I91+1,I91)-B_WalkTime,IF(I91&lt;H91,I91+1,I91))</f>
        <v>0</v>
      </c>
      <c r="K91" s="7"/>
      <c r="L91" s="7">
        <f>IF(K91&gt;0,K91+IF((J91-H91)&lt;Y91,Y91-(J91-H91),TIME(0,10,0))+IF((K91-J91)&gt;xNoWorkTime,0,xNoWorkTime-(K91-J91)),0)</f>
        <v>0</v>
      </c>
      <c r="M91" s="113">
        <f>IF(L91&lt;K91,L91+1,L91)</f>
        <v>0</v>
      </c>
      <c r="N91" s="113"/>
      <c r="O91" s="113">
        <f>IF(N91&gt;0,N91+IF((J91-H91+M91-K91)&lt;Y91,Y91-(J91-H91+M91-K91),TIME(0,10,0))+IF((K91-J91+N91-M91)&gt;xNoWorkTime,0,xNoWorkTime-(K91-J91+N91-M91)),0)</f>
        <v>0</v>
      </c>
      <c r="P91" s="113"/>
      <c r="Q91" s="113">
        <f>IF(O91&lt;N91,O91+1,O91)</f>
        <v>0</v>
      </c>
      <c r="R91" s="113">
        <f>J91-H91+M91-K91+Q91-N91</f>
        <v>0</v>
      </c>
      <c r="S91" s="113">
        <f>IF(K91&gt;0,K91-I91,0)+IF(N91&gt;0,N91-L91)</f>
        <v>0</v>
      </c>
      <c r="T91" s="113">
        <f>IF(H91&gt;0,(IF(R91&gt;B_Pause1Nach,B_Pause1Dauer+IF(BA91="Büro",B_WalkTime,0),IF(BA91="Büro",B_WalkTime,0))+IF(R91&gt;B_Pause2Nach,B_Pause2Dauer,0)),0)</f>
        <v>0</v>
      </c>
      <c r="U91" s="113">
        <f>IF(T91&gt;S91,T91-S91,0)</f>
        <v>0</v>
      </c>
      <c r="V91" s="146">
        <f>IF(F91="S",Z91,(IF((R91-U91)&gt;XWorkTimeMax,XWorkTimeMax,IF((R91-U91)&gt;0,R91-U91,0))))</f>
        <v>0</v>
      </c>
      <c r="W91" s="66"/>
      <c r="X91" s="115">
        <f>xNoWorkTime</f>
        <v>4.027777777777778E-2</v>
      </c>
      <c r="Y91" s="110">
        <f>IF(AND((AM91&lt;Feiertag),(G91&lt;&gt;85)),IF(OR(F91="B",F91="G",F91="S",H91&gt;0),H91-H91+Z91,0),0)</f>
        <v>0</v>
      </c>
      <c r="Z91" s="111">
        <f>IF(AND(AM91&gt;0,AM91&lt;Feiertag),INDEX(Arbeitszeit,AM91),"")</f>
        <v>0.29166666666666669</v>
      </c>
      <c r="AA91" s="112">
        <f>V91-Y91</f>
        <v>0</v>
      </c>
      <c r="AB91" s="67" t="str">
        <f>IF((V91-Y91)&lt;0,"*","")</f>
        <v/>
      </c>
      <c r="AC91" s="193">
        <f>xOverTime</f>
        <v>0</v>
      </c>
      <c r="AD91" s="144" t="str">
        <f>IF((R91-U91)&gt;XWorkTimeMax,(R91-U91-XWorkTimeMax),"")</f>
        <v/>
      </c>
      <c r="AE91" s="225">
        <f>IF(AW91,(AE90+SUM(AA91)+(IF(AG91="+",AF91,-AF91))),)</f>
        <v>0</v>
      </c>
      <c r="AF91" s="110"/>
      <c r="AG91" s="627"/>
      <c r="AH91" s="110"/>
      <c r="AI91" s="110" t="str">
        <f>IF(AND(AF91&lt;&gt;"",AF91&lt;=V91),V91-AF91,"")</f>
        <v/>
      </c>
      <c r="AJ91" s="68">
        <f>IF(ISNUMBER(V91 ), IF( V91 &gt;= Y91, Y91, V91 ),"")</f>
        <v>0</v>
      </c>
      <c r="AK91" s="68">
        <f>IF( ISNUMBER( V91 ), IF( V91 &gt;= Y91, V91 - Y91, "" ), "" )</f>
        <v>0</v>
      </c>
      <c r="AL91" s="68" t="str">
        <f>IF( AND(ISNUMBER( V91 ),ISNUMBER( Y91 )), IF( V91 &gt;= Y91, "", Y91 - V91 ), "" )</f>
        <v/>
      </c>
      <c r="AM91">
        <f>IF(A91="",0,IF(ISERROR(VLOOKUP(A91,db_Feiertag,2,FALSE)),WEEKDAY(A91,2),Feiertag))</f>
        <v>1</v>
      </c>
      <c r="AN91" s="122">
        <f>SUM($AD$6:AD91)</f>
        <v>0</v>
      </c>
      <c r="AO91" s="122">
        <f ca="1">IF(D91=D90,AO90,OFFSET(AO91,-1,COLUMN(db_jSaldoGes)-COLUMN()))</f>
        <v>0</v>
      </c>
      <c r="AP91" s="126">
        <f>IF(OR($G91=-1,$G91=82),-1,IF(OR($G91=0,$G91=83),1,0))</f>
        <v>0</v>
      </c>
      <c r="AQ91" s="126">
        <f>IF($F91=Krank,1,IF($F91="J",-1,0))</f>
        <v>0</v>
      </c>
      <c r="AR91" s="126">
        <f>IF($F91=Urlaub,1,IF($F91="T",-1,0))</f>
        <v>0</v>
      </c>
      <c r="AS91" s="125">
        <f>IF(A91="","",AS90-IF(F91=Urlaub,1,0)+IF(AND(MONTH(A91)=1,DAY(A91)=1),B_UrlaubNeu,0))</f>
        <v>30</v>
      </c>
      <c r="AT91" s="125">
        <f ca="1">IF(A91="","",IF(D91=D90,AT90,OFFSET(AT91,-1,COLUMN(db_jUrlRest)-COLUMN()))+IF(AND(MONTH(A91)=1,DAY(A91)=1),B_UrlaubNeu,0))</f>
        <v>30</v>
      </c>
      <c r="AU91" s="135">
        <f>(IF(ISNUMBER(V91),V91,0)+IF(ISNUMBER(AD91),AD91,0))*24</f>
        <v>0</v>
      </c>
      <c r="AV91" s="125">
        <f>IF(ISNUMBER(AD91),K_ArbeitOverMax,IF(AND(ISNUMBER(AA91),AA91&gt;0),K_ArbeitOverTime,IF(AND(ISNUMBER(V91),V91&gt;0),K_ArbeitNormal,IF(F91=Krank,K_Krank,IF(F91=Urlaub,K_Urlaub,IF(AM91=Feiertag,K_Feiertag,IF(OR(AM91=6,AM91=7),K_Wochenende,0)))))))+IF(F91=Gleittag,K_Gleittag,0)</f>
        <v>0</v>
      </c>
      <c r="AW91" t="b">
        <f>OR((F91&gt;0),(NOT(ISBLANK(H91))),SUM(H91:H$373),SUM(G91:G$373))</f>
        <v>0</v>
      </c>
      <c r="AX91" t="b">
        <f ca="1">INDIRECT(ADDRESS(ROW(),COLUMN(xDay)))&gt;5</f>
        <v>0</v>
      </c>
      <c r="AY91" s="600">
        <f>IF(OR(R91&lt;&gt;0,F91&lt;&gt;0),AA91,IF(Z91="",0,-Z91))+(IF(AG91="+",AF91,-AF91))</f>
        <v>-0.29166666666666669</v>
      </c>
      <c r="AZ91" s="225">
        <f>SUM(AY$5:AY91)</f>
        <v>-17.499999999999993</v>
      </c>
      <c r="BA91" s="658"/>
      <c r="BB91" s="658">
        <f>IF(ISNA(MATCH(BA91,B_Arbeitsort,0)),0,MATCH(BA91,B_Arbeitsort,0))</f>
        <v>0</v>
      </c>
      <c r="BC91" s="658"/>
    </row>
    <row r="92" spans="1:55" ht="15.75">
      <c r="A92" s="305">
        <f>IF(A91="","",IF((A91+1)&gt;=DATE(YEAR(xJahr)+1,MONTH(xJahr),DAY(xJahr)),"",A91+1))</f>
        <v>43551</v>
      </c>
      <c r="B92" s="306">
        <f>IF(A92="","",A92)</f>
        <v>43551</v>
      </c>
      <c r="C92" s="307">
        <f>IF(A92="","",NumberOfWeek(A92))</f>
        <v>13</v>
      </c>
      <c r="D92" s="308">
        <f>IF(A92="","",DATE(YEAR(A92),MONTH(A92),1))</f>
        <v>43524</v>
      </c>
      <c r="E92" s="318" t="str">
        <f>IF((R92-U92)&gt;XWorkTimeMax,$Z$4,IF(AV92=Feiertag,VLOOKUP(B92,db_Feiertag,2,FALSE),""))</f>
        <v/>
      </c>
      <c r="F92" s="5"/>
      <c r="G92" s="6" t="str">
        <f>IF(ISBLANK(F92),IF(ISBLANK(H92),"",0),CODE(UPPER(F92)))</f>
        <v/>
      </c>
      <c r="H92" s="7"/>
      <c r="I92" s="7">
        <f>IF(H92&gt;0,H92+Y92+X92+AC92,0)</f>
        <v>0</v>
      </c>
      <c r="J92" s="113">
        <f>IF(K92&gt;I92,IF(I92&lt;H92,I92+1,I92)-B_WalkTime,IF(I92&lt;H92,I92+1,I92))</f>
        <v>0</v>
      </c>
      <c r="K92" s="7"/>
      <c r="L92" s="7">
        <f>IF(K92&gt;0,K92+IF((J92-H92)&lt;Y92,Y92-(J92-H92),TIME(0,10,0))+IF((K92-J92)&gt;xNoWorkTime,0,xNoWorkTime-(K92-J92)),0)</f>
        <v>0</v>
      </c>
      <c r="M92" s="113">
        <f>IF(L92&lt;K92,L92+1,L92)</f>
        <v>0</v>
      </c>
      <c r="N92" s="113"/>
      <c r="O92" s="113">
        <f>IF(N92&gt;0,N92+IF((J92-H92+M92-K92)&lt;Y92,Y92-(J92-H92+M92-K92),TIME(0,10,0))+IF((K92-J92+N92-M92)&gt;xNoWorkTime,0,xNoWorkTime-(K92-J92+N92-M92)),0)</f>
        <v>0</v>
      </c>
      <c r="P92" s="113"/>
      <c r="Q92" s="113">
        <f>IF(O92&lt;N92,O92+1,O92)</f>
        <v>0</v>
      </c>
      <c r="R92" s="113">
        <f>J92-H92+M92-K92+Q92-N92</f>
        <v>0</v>
      </c>
      <c r="S92" s="113">
        <f>IF(K92&gt;0,K92-I92,0)+IF(N92&gt;0,N92-L92)</f>
        <v>0</v>
      </c>
      <c r="T92" s="113">
        <f>IF(H92&gt;0,(IF(R92&gt;B_Pause1Nach,B_Pause1Dauer+IF(BA92="Büro",B_WalkTime,0),IF(BA92="Büro",B_WalkTime,0))+IF(R92&gt;B_Pause2Nach,B_Pause2Dauer,0)),0)</f>
        <v>0</v>
      </c>
      <c r="U92" s="113">
        <f>IF(T92&gt;S92,T92-S92,0)</f>
        <v>0</v>
      </c>
      <c r="V92" s="146">
        <f>IF(F92="S",Z92,(IF((R92-U92)&gt;XWorkTimeMax,XWorkTimeMax,IF((R92-U92)&gt;0,R92-U92,0))))</f>
        <v>0</v>
      </c>
      <c r="W92" s="66"/>
      <c r="X92" s="115">
        <f>xNoWorkTime</f>
        <v>4.027777777777778E-2</v>
      </c>
      <c r="Y92" s="110">
        <f>IF(AND((AM92&lt;Feiertag),(G92&lt;&gt;85)),IF(OR(F92="B",F92="G",F92="S",H92&gt;0),H92-H92+Z92,0),0)</f>
        <v>0</v>
      </c>
      <c r="Z92" s="111">
        <f>IF(AND(AM92&gt;0,AM92&lt;Feiertag),INDEX(Arbeitszeit,AM92),"")</f>
        <v>0.29166666666666669</v>
      </c>
      <c r="AA92" s="112">
        <f>V92-Y92</f>
        <v>0</v>
      </c>
      <c r="AB92" s="67" t="str">
        <f>IF((V92-Y92)&lt;0,"*","")</f>
        <v/>
      </c>
      <c r="AC92" s="193">
        <f>xOverTime</f>
        <v>0</v>
      </c>
      <c r="AD92" s="144" t="str">
        <f>IF((R92-U92)&gt;XWorkTimeMax,(R92-U92-XWorkTimeMax),"")</f>
        <v/>
      </c>
      <c r="AE92" s="225">
        <f>IF(AW92,(AE91+SUM(AA92)+(IF(AG92="+",AF92,-AF92))),)</f>
        <v>0</v>
      </c>
      <c r="AF92" s="110"/>
      <c r="AG92" s="627"/>
      <c r="AH92" s="110"/>
      <c r="AI92" s="110" t="str">
        <f>IF(AND(AF92&lt;&gt;"",AF92&lt;=V92),V92-AF92,"")</f>
        <v/>
      </c>
      <c r="AJ92" s="68">
        <f>IF(ISNUMBER(V92 ), IF( V92 &gt;= Y92, Y92, V92 ),"")</f>
        <v>0</v>
      </c>
      <c r="AK92" s="68">
        <f>IF( ISNUMBER( V92 ), IF( V92 &gt;= Y92, V92 - Y92, "" ), "" )</f>
        <v>0</v>
      </c>
      <c r="AL92" s="68" t="str">
        <f>IF( AND(ISNUMBER( V92 ),ISNUMBER( Y92 )), IF( V92 &gt;= Y92, "", Y92 - V92 ), "" )</f>
        <v/>
      </c>
      <c r="AM92">
        <f>IF(A92="",0,IF(ISERROR(VLOOKUP(A92,db_Feiertag,2,FALSE)),WEEKDAY(A92,2),Feiertag))</f>
        <v>2</v>
      </c>
      <c r="AN92" s="122">
        <f>SUM($AD$6:AD92)</f>
        <v>0</v>
      </c>
      <c r="AO92" s="122">
        <f ca="1">IF(D92=D91,AO91,OFFSET(AO92,-1,COLUMN(db_jSaldoGes)-COLUMN()))</f>
        <v>0</v>
      </c>
      <c r="AP92" s="126">
        <f>IF(OR($G92=-1,$G92=82),-1,IF(OR($G92=0,$G92=83),1,0))</f>
        <v>0</v>
      </c>
      <c r="AQ92" s="126">
        <f>IF($F92=Krank,1,IF($F92="J",-1,0))</f>
        <v>0</v>
      </c>
      <c r="AR92" s="126">
        <f>IF($F92=Urlaub,1,IF($F92="T",-1,0))</f>
        <v>0</v>
      </c>
      <c r="AS92" s="125">
        <f>IF(A92="","",AS91-IF(F92=Urlaub,1,0)+IF(AND(MONTH(A92)=1,DAY(A92)=1),B_UrlaubNeu,0))</f>
        <v>30</v>
      </c>
      <c r="AT92" s="125">
        <f ca="1">IF(A92="","",IF(D92=D91,AT91,OFFSET(AT92,-1,COLUMN(db_jUrlRest)-COLUMN()))+IF(AND(MONTH(A92)=1,DAY(A92)=1),B_UrlaubNeu,0))</f>
        <v>30</v>
      </c>
      <c r="AU92" s="135">
        <f>(IF(ISNUMBER(V92),V92,0)+IF(ISNUMBER(AD92),AD92,0))*24</f>
        <v>0</v>
      </c>
      <c r="AV92" s="125">
        <f>IF(ISNUMBER(AD92),K_ArbeitOverMax,IF(AND(ISNUMBER(AA92),AA92&gt;0),K_ArbeitOverTime,IF(AND(ISNUMBER(V92),V92&gt;0),K_ArbeitNormal,IF(F92=Krank,K_Krank,IF(F92=Urlaub,K_Urlaub,IF(AM92=Feiertag,K_Feiertag,IF(OR(AM92=6,AM92=7),K_Wochenende,0)))))))+IF(F92=Gleittag,K_Gleittag,0)</f>
        <v>0</v>
      </c>
      <c r="AW92" t="b">
        <f>OR((F92&gt;0),(NOT(ISBLANK(H92))),SUM(H92:H$373),SUM(G92:G$373))</f>
        <v>0</v>
      </c>
      <c r="AX92" t="b">
        <f ca="1">INDIRECT(ADDRESS(ROW(),COLUMN(xDay)))&gt;5</f>
        <v>0</v>
      </c>
      <c r="AY92" s="600">
        <f>IF(OR(R92&lt;&gt;0,F92&lt;&gt;0),AA92,IF(Z92="",0,-Z92))+(IF(AG92="+",AF92,-AF92))</f>
        <v>-0.29166666666666669</v>
      </c>
      <c r="AZ92" s="225">
        <f>SUM(AY$5:AY92)</f>
        <v>-17.791666666666661</v>
      </c>
      <c r="BA92" s="658"/>
      <c r="BB92" s="658">
        <f>IF(ISNA(MATCH(BA92,B_Arbeitsort,0)),0,MATCH(BA92,B_Arbeitsort,0))</f>
        <v>0</v>
      </c>
      <c r="BC92" s="658"/>
    </row>
    <row r="93" spans="1:55" ht="15.75">
      <c r="A93" s="305">
        <f>IF(A92="","",IF((A92+1)&gt;=DATE(YEAR(xJahr)+1,MONTH(xJahr),DAY(xJahr)),"",A92+1))</f>
        <v>43552</v>
      </c>
      <c r="B93" s="306">
        <f>IF(A93="","",A93)</f>
        <v>43552</v>
      </c>
      <c r="C93" s="307">
        <f>IF(A93="","",NumberOfWeek(A93))</f>
        <v>13</v>
      </c>
      <c r="D93" s="308">
        <f>IF(A93="","",DATE(YEAR(A93),MONTH(A93),1))</f>
        <v>43524</v>
      </c>
      <c r="E93" s="318" t="str">
        <f>IF((R93-U93)&gt;XWorkTimeMax,$Z$4,IF(AV93=Feiertag,VLOOKUP(B93,db_Feiertag,2,FALSE),""))</f>
        <v/>
      </c>
      <c r="F93" s="5"/>
      <c r="G93" s="6" t="str">
        <f>IF(ISBLANK(F93),IF(ISBLANK(H93),"",0),CODE(UPPER(F93)))</f>
        <v/>
      </c>
      <c r="H93" s="7"/>
      <c r="I93" s="7">
        <f>IF(H93&gt;0,H93+Y93+X93+AC93,0)</f>
        <v>0</v>
      </c>
      <c r="J93" s="113">
        <f>IF(K93&gt;I93,IF(I93&lt;H93,I93+1,I93)-B_WalkTime,IF(I93&lt;H93,I93+1,I93))</f>
        <v>0</v>
      </c>
      <c r="K93" s="7"/>
      <c r="L93" s="7">
        <f>IF(K93&gt;0,K93+IF((J93-H93)&lt;Y93,Y93-(J93-H93),TIME(0,10,0))+IF((K93-J93)&gt;xNoWorkTime,0,xNoWorkTime-(K93-J93)),0)</f>
        <v>0</v>
      </c>
      <c r="M93" s="113">
        <f>IF(L93&lt;K93,L93+1,L93)</f>
        <v>0</v>
      </c>
      <c r="N93" s="113"/>
      <c r="O93" s="113">
        <f>IF(N93&gt;0,N93+IF((J93-H93+M93-K93)&lt;Y93,Y93-(J93-H93+M93-K93),TIME(0,10,0))+IF((K93-J93+N93-M93)&gt;xNoWorkTime,0,xNoWorkTime-(K93-J93+N93-M93)),0)</f>
        <v>0</v>
      </c>
      <c r="P93" s="113"/>
      <c r="Q93" s="113">
        <f>IF(O93&lt;N93,O93+1,O93)</f>
        <v>0</v>
      </c>
      <c r="R93" s="113">
        <f>J93-H93+M93-K93+Q93-N93</f>
        <v>0</v>
      </c>
      <c r="S93" s="113">
        <f>IF(K93&gt;0,K93-I93,0)+IF(N93&gt;0,N93-L93)</f>
        <v>0</v>
      </c>
      <c r="T93" s="113">
        <f>IF(H93&gt;0,(IF(R93&gt;B_Pause1Nach,B_Pause1Dauer+IF(BA93="Büro",B_WalkTime,0),IF(BA93="Büro",B_WalkTime,0))+IF(R93&gt;B_Pause2Nach,B_Pause2Dauer,0)),0)</f>
        <v>0</v>
      </c>
      <c r="U93" s="113">
        <f>IF(T93&gt;S93,T93-S93,0)</f>
        <v>0</v>
      </c>
      <c r="V93" s="146">
        <f>IF(F93="S",Z93,(IF((R93-U93)&gt;XWorkTimeMax,XWorkTimeMax,IF((R93-U93)&gt;0,R93-U93,0))))</f>
        <v>0</v>
      </c>
      <c r="W93" s="66"/>
      <c r="X93" s="115">
        <f>xNoWorkTime</f>
        <v>4.027777777777778E-2</v>
      </c>
      <c r="Y93" s="110">
        <f>IF(AND((AM93&lt;Feiertag),(G93&lt;&gt;85)),IF(OR(F93="B",F93="G",F93="S",H93&gt;0),H93-H93+Z93,0),0)</f>
        <v>0</v>
      </c>
      <c r="Z93" s="111">
        <f>IF(AND(AM93&gt;0,AM93&lt;Feiertag),INDEX(Arbeitszeit,AM93),"")</f>
        <v>0.29166666666666669</v>
      </c>
      <c r="AA93" s="112">
        <f>V93-Y93</f>
        <v>0</v>
      </c>
      <c r="AB93" s="67" t="str">
        <f>IF((V93-Y93)&lt;0,"*","")</f>
        <v/>
      </c>
      <c r="AC93" s="193">
        <f>xOverTime</f>
        <v>0</v>
      </c>
      <c r="AD93" s="144" t="str">
        <f>IF((R93-U93)&gt;XWorkTimeMax,(R93-U93-XWorkTimeMax),"")</f>
        <v/>
      </c>
      <c r="AE93" s="225">
        <f>IF(AW93,(AE92+SUM(AA93)+(IF(AG93="+",AF93,-AF93))),)</f>
        <v>0</v>
      </c>
      <c r="AF93" s="110"/>
      <c r="AG93" s="627"/>
      <c r="AH93" s="110"/>
      <c r="AI93" s="110" t="str">
        <f>IF(AND(AF93&lt;&gt;"",AF93&lt;=V93),V93-AF93,"")</f>
        <v/>
      </c>
      <c r="AJ93" s="68">
        <f>IF(ISNUMBER(V93 ), IF( V93 &gt;= Y93, Y93, V93 ),"")</f>
        <v>0</v>
      </c>
      <c r="AK93" s="68">
        <f>IF( ISNUMBER( V93 ), IF( V93 &gt;= Y93, V93 - Y93, "" ), "" )</f>
        <v>0</v>
      </c>
      <c r="AL93" s="68" t="str">
        <f>IF( AND(ISNUMBER( V93 ),ISNUMBER( Y93 )), IF( V93 &gt;= Y93, "", Y93 - V93 ), "" )</f>
        <v/>
      </c>
      <c r="AM93">
        <f>IF(A93="",0,IF(ISERROR(VLOOKUP(A93,db_Feiertag,2,FALSE)),WEEKDAY(A93,2),Feiertag))</f>
        <v>3</v>
      </c>
      <c r="AN93" s="122">
        <f>SUM($AD$6:AD93)</f>
        <v>0</v>
      </c>
      <c r="AO93" s="122">
        <f ca="1">IF(D93=D92,AO92,OFFSET(AO93,-1,COLUMN(db_jSaldoGes)-COLUMN()))</f>
        <v>0</v>
      </c>
      <c r="AP93" s="126">
        <f>IF(OR($G93=-1,$G93=82),-1,IF(OR($G93=0,$G93=83),1,0))</f>
        <v>0</v>
      </c>
      <c r="AQ93" s="126">
        <f>IF($F93=Krank,1,IF($F93="J",-1,0))</f>
        <v>0</v>
      </c>
      <c r="AR93" s="126">
        <f>IF($F93=Urlaub,1,IF($F93="T",-1,0))</f>
        <v>0</v>
      </c>
      <c r="AS93" s="125">
        <f>IF(A93="","",AS92-IF(F93=Urlaub,1,0)+IF(AND(MONTH(A93)=1,DAY(A93)=1),B_UrlaubNeu,0))</f>
        <v>30</v>
      </c>
      <c r="AT93" s="125">
        <f ca="1">IF(A93="","",IF(D93=D92,AT92,OFFSET(AT93,-1,COLUMN(db_jUrlRest)-COLUMN()))+IF(AND(MONTH(A93)=1,DAY(A93)=1),B_UrlaubNeu,0))</f>
        <v>30</v>
      </c>
      <c r="AU93" s="135">
        <f>(IF(ISNUMBER(V93),V93,0)+IF(ISNUMBER(AD93),AD93,0))*24</f>
        <v>0</v>
      </c>
      <c r="AV93" s="125">
        <f>IF(ISNUMBER(AD93),K_ArbeitOverMax,IF(AND(ISNUMBER(AA93),AA93&gt;0),K_ArbeitOverTime,IF(AND(ISNUMBER(V93),V93&gt;0),K_ArbeitNormal,IF(F93=Krank,K_Krank,IF(F93=Urlaub,K_Urlaub,IF(AM93=Feiertag,K_Feiertag,IF(OR(AM93=6,AM93=7),K_Wochenende,0)))))))+IF(F93=Gleittag,K_Gleittag,0)</f>
        <v>0</v>
      </c>
      <c r="AW93" t="b">
        <f>OR((F93&gt;0),(NOT(ISBLANK(H93))),SUM(H93:H$373),SUM(G93:G$373))</f>
        <v>0</v>
      </c>
      <c r="AX93" t="b">
        <f ca="1">INDIRECT(ADDRESS(ROW(),COLUMN(xDay)))&gt;5</f>
        <v>0</v>
      </c>
      <c r="AY93" s="600">
        <f>IF(OR(R93&lt;&gt;0,F93&lt;&gt;0),AA93,IF(Z93="",0,-Z93))+(IF(AG93="+",AF93,-AF93))</f>
        <v>-0.29166666666666669</v>
      </c>
      <c r="AZ93" s="225">
        <f>SUM(AY$5:AY93)</f>
        <v>-18.083333333333329</v>
      </c>
      <c r="BA93" s="658"/>
      <c r="BB93" s="658">
        <f>IF(ISNA(MATCH(BA93,B_Arbeitsort,0)),0,MATCH(BA93,B_Arbeitsort,0))</f>
        <v>0</v>
      </c>
      <c r="BC93" s="658"/>
    </row>
    <row r="94" spans="1:55" ht="15.75">
      <c r="A94" s="305">
        <f>IF(A93="","",IF((A93+1)&gt;=DATE(YEAR(xJahr)+1,MONTH(xJahr),DAY(xJahr)),"",A93+1))</f>
        <v>43553</v>
      </c>
      <c r="B94" s="306">
        <f>IF(A94="","",A94)</f>
        <v>43553</v>
      </c>
      <c r="C94" s="307">
        <f>IF(A94="","",NumberOfWeek(A94))</f>
        <v>13</v>
      </c>
      <c r="D94" s="308">
        <f>IF(A94="","",DATE(YEAR(A94),MONTH(A94),1))</f>
        <v>43524</v>
      </c>
      <c r="E94" s="318" t="str">
        <f>IF((R94-U94)&gt;XWorkTimeMax,$Z$4,IF(AV94=Feiertag,VLOOKUP(B94,db_Feiertag,2,FALSE),""))</f>
        <v/>
      </c>
      <c r="F94" s="5"/>
      <c r="G94" s="6" t="str">
        <f>IF(ISBLANK(F94),IF(ISBLANK(H94),"",0),CODE(UPPER(F94)))</f>
        <v/>
      </c>
      <c r="H94" s="7"/>
      <c r="I94" s="7">
        <f>IF(H94&gt;0,H94+Y94+X94+AC94,0)</f>
        <v>0</v>
      </c>
      <c r="J94" s="113">
        <f>IF(K94&gt;I94,IF(I94&lt;H94,I94+1,I94)-B_WalkTime,IF(I94&lt;H94,I94+1,I94))</f>
        <v>0</v>
      </c>
      <c r="K94" s="7"/>
      <c r="L94" s="7">
        <f>IF(K94&gt;0,K94+IF((J94-H94)&lt;Y94,Y94-(J94-H94),TIME(0,10,0))+IF((K94-J94)&gt;xNoWorkTime,0,xNoWorkTime-(K94-J94)),0)</f>
        <v>0</v>
      </c>
      <c r="M94" s="113">
        <f>IF(L94&lt;K94,L94+1,L94)</f>
        <v>0</v>
      </c>
      <c r="N94" s="113"/>
      <c r="O94" s="113">
        <f>IF(N94&gt;0,N94+IF((J94-H94+M94-K94)&lt;Y94,Y94-(J94-H94+M94-K94),TIME(0,10,0))+IF((K94-J94+N94-M94)&gt;xNoWorkTime,0,xNoWorkTime-(K94-J94+N94-M94)),0)</f>
        <v>0</v>
      </c>
      <c r="P94" s="113"/>
      <c r="Q94" s="113">
        <f>IF(O94&lt;N94,O94+1,O94)</f>
        <v>0</v>
      </c>
      <c r="R94" s="113">
        <f>J94-H94+M94-K94+Q94-N94</f>
        <v>0</v>
      </c>
      <c r="S94" s="113">
        <f>IF(K94&gt;0,K94-I94,0)+IF(N94&gt;0,N94-L94)</f>
        <v>0</v>
      </c>
      <c r="T94" s="113">
        <f>IF(H94&gt;0,(IF(R94&gt;B_Pause1Nach,B_Pause1Dauer+IF(BA94="Büro",B_WalkTime,0),IF(BA94="Büro",B_WalkTime,0))+IF(R94&gt;B_Pause2Nach,B_Pause2Dauer,0)),0)</f>
        <v>0</v>
      </c>
      <c r="U94" s="113">
        <f>IF(T94&gt;S94,T94-S94,0)</f>
        <v>0</v>
      </c>
      <c r="V94" s="146">
        <f>IF(F94="S",Z94,(IF((R94-U94)&gt;XWorkTimeMax,XWorkTimeMax,IF((R94-U94)&gt;0,R94-U94,0))))</f>
        <v>0</v>
      </c>
      <c r="W94" s="66"/>
      <c r="X94" s="115">
        <f>xNoWorkTime</f>
        <v>4.027777777777778E-2</v>
      </c>
      <c r="Y94" s="110">
        <f>IF(AND((AM94&lt;Feiertag),(G94&lt;&gt;85)),IF(OR(F94="B",F94="G",F94="S",H94&gt;0),H94-H94+Z94,0),0)</f>
        <v>0</v>
      </c>
      <c r="Z94" s="111">
        <f>IF(AND(AM94&gt;0,AM94&lt;Feiertag),INDEX(Arbeitszeit,AM94),"")</f>
        <v>0.29166666666666669</v>
      </c>
      <c r="AA94" s="112">
        <f>V94-Y94</f>
        <v>0</v>
      </c>
      <c r="AB94" s="67" t="str">
        <f>IF((V94-Y94)&lt;0,"*","")</f>
        <v/>
      </c>
      <c r="AC94" s="193">
        <f>xOverTime</f>
        <v>0</v>
      </c>
      <c r="AD94" s="144" t="str">
        <f>IF((R94-U94)&gt;XWorkTimeMax,(R94-U94-XWorkTimeMax),"")</f>
        <v/>
      </c>
      <c r="AE94" s="225">
        <f>IF(AW94,(AE93+SUM(AA94)+(IF(AG94="+",AF94,-AF94))),)</f>
        <v>0</v>
      </c>
      <c r="AF94" s="110"/>
      <c r="AG94" s="627"/>
      <c r="AH94" s="110"/>
      <c r="AI94" s="110" t="str">
        <f>IF(AND(AF94&lt;&gt;"",AF94&lt;=V94),V94-AF94,"")</f>
        <v/>
      </c>
      <c r="AJ94" s="68">
        <f>IF(ISNUMBER(V94 ), IF( V94 &gt;= Y94, Y94, V94 ),"")</f>
        <v>0</v>
      </c>
      <c r="AK94" s="68">
        <f>IF( ISNUMBER( V94 ), IF( V94 &gt;= Y94, V94 - Y94, "" ), "" )</f>
        <v>0</v>
      </c>
      <c r="AL94" s="68" t="str">
        <f>IF( AND(ISNUMBER( V94 ),ISNUMBER( Y94 )), IF( V94 &gt;= Y94, "", Y94 - V94 ), "" )</f>
        <v/>
      </c>
      <c r="AM94">
        <f>IF(A94="",0,IF(ISERROR(VLOOKUP(A94,db_Feiertag,2,FALSE)),WEEKDAY(A94,2),Feiertag))</f>
        <v>4</v>
      </c>
      <c r="AN94" s="122">
        <f>SUM($AD$6:AD94)</f>
        <v>0</v>
      </c>
      <c r="AO94" s="122">
        <f ca="1">IF(D94=D93,AO93,OFFSET(AO94,-1,COLUMN(db_jSaldoGes)-COLUMN()))</f>
        <v>0</v>
      </c>
      <c r="AP94" s="126">
        <f>IF(OR($G94=-1,$G94=82),-1,IF(OR($G94=0,$G94=83),1,0))</f>
        <v>0</v>
      </c>
      <c r="AQ94" s="126">
        <f>IF($F94=Krank,1,IF($F94="J",-1,0))</f>
        <v>0</v>
      </c>
      <c r="AR94" s="126">
        <f>IF($F94=Urlaub,1,IF($F94="T",-1,0))</f>
        <v>0</v>
      </c>
      <c r="AS94" s="125">
        <f>IF(A94="","",AS93-IF(F94=Urlaub,1,0)+IF(AND(MONTH(A94)=1,DAY(A94)=1),B_UrlaubNeu,0))</f>
        <v>30</v>
      </c>
      <c r="AT94" s="125">
        <f ca="1">IF(A94="","",IF(D94=D93,AT93,OFFSET(AT94,-1,COLUMN(db_jUrlRest)-COLUMN()))+IF(AND(MONTH(A94)=1,DAY(A94)=1),B_UrlaubNeu,0))</f>
        <v>30</v>
      </c>
      <c r="AU94" s="135">
        <f>(IF(ISNUMBER(V94),V94,0)+IF(ISNUMBER(AD94),AD94,0))*24</f>
        <v>0</v>
      </c>
      <c r="AV94" s="125">
        <f>IF(ISNUMBER(AD94),K_ArbeitOverMax,IF(AND(ISNUMBER(AA94),AA94&gt;0),K_ArbeitOverTime,IF(AND(ISNUMBER(V94),V94&gt;0),K_ArbeitNormal,IF(F94=Krank,K_Krank,IF(F94=Urlaub,K_Urlaub,IF(AM94=Feiertag,K_Feiertag,IF(OR(AM94=6,AM94=7),K_Wochenende,0)))))))+IF(F94=Gleittag,K_Gleittag,0)</f>
        <v>0</v>
      </c>
      <c r="AW94" t="b">
        <f>OR((F94&gt;0),(NOT(ISBLANK(H94))),SUM(H94:H$373),SUM(G94:G$373))</f>
        <v>0</v>
      </c>
      <c r="AX94" t="b">
        <f ca="1">INDIRECT(ADDRESS(ROW(),COLUMN(xDay)))&gt;5</f>
        <v>0</v>
      </c>
      <c r="AY94" s="600">
        <f>IF(OR(R94&lt;&gt;0,F94&lt;&gt;0),AA94,IF(Z94="",0,-Z94))+(IF(AG94="+",AF94,-AF94))</f>
        <v>-0.29166666666666669</v>
      </c>
      <c r="AZ94" s="225">
        <f>SUM(AY$5:AY94)</f>
        <v>-18.374999999999996</v>
      </c>
      <c r="BA94" s="658"/>
      <c r="BB94" s="658">
        <f>IF(ISNA(MATCH(BA94,B_Arbeitsort,0)),0,MATCH(BA94,B_Arbeitsort,0))</f>
        <v>0</v>
      </c>
      <c r="BC94" s="658"/>
    </row>
    <row r="95" spans="1:55" ht="15.75">
      <c r="A95" s="305">
        <f>IF(A94="","",IF((A94+1)&gt;=DATE(YEAR(xJahr)+1,MONTH(xJahr),DAY(xJahr)),"",A94+1))</f>
        <v>43554</v>
      </c>
      <c r="B95" s="306">
        <f>IF(A95="","",A95)</f>
        <v>43554</v>
      </c>
      <c r="C95" s="307">
        <f>IF(A95="","",NumberOfWeek(A95))</f>
        <v>13</v>
      </c>
      <c r="D95" s="308">
        <f>IF(A95="","",DATE(YEAR(A95),MONTH(A95),1))</f>
        <v>43524</v>
      </c>
      <c r="E95" s="318" t="str">
        <f>IF((R95-U95)&gt;XWorkTimeMax,$Z$4,IF(AV95=Feiertag,VLOOKUP(B95,db_Feiertag,2,FALSE),""))</f>
        <v/>
      </c>
      <c r="F95" s="5"/>
      <c r="G95" s="6" t="str">
        <f>IF(ISBLANK(F95),IF(ISBLANK(H95),"",0),CODE(UPPER(F95)))</f>
        <v/>
      </c>
      <c r="H95" s="7"/>
      <c r="I95" s="7">
        <f>IF(H95&gt;0,H95+Y95+X95+AC95,0)</f>
        <v>0</v>
      </c>
      <c r="J95" s="113">
        <f>IF(K95&gt;I95,IF(I95&lt;H95,I95+1,I95)-B_WalkTime,IF(I95&lt;H95,I95+1,I95))</f>
        <v>0</v>
      </c>
      <c r="K95" s="7"/>
      <c r="L95" s="7">
        <f>IF(K95&gt;0,K95+IF((J95-H95)&lt;Y95,Y95-(J95-H95),TIME(0,10,0))+IF((K95-J95)&gt;xNoWorkTime,0,xNoWorkTime-(K95-J95)),0)</f>
        <v>0</v>
      </c>
      <c r="M95" s="113">
        <f>IF(L95&lt;K95,L95+1,L95)</f>
        <v>0</v>
      </c>
      <c r="N95" s="113"/>
      <c r="O95" s="113">
        <f>IF(N95&gt;0,N95+IF((J95-H95+M95-K95)&lt;Y95,Y95-(J95-H95+M95-K95),TIME(0,10,0))+IF((K95-J95+N95-M95)&gt;xNoWorkTime,0,xNoWorkTime-(K95-J95+N95-M95)),0)</f>
        <v>0</v>
      </c>
      <c r="P95" s="113"/>
      <c r="Q95" s="113">
        <f>IF(O95&lt;N95,O95+1,O95)</f>
        <v>0</v>
      </c>
      <c r="R95" s="113">
        <f>J95-H95+M95-K95+Q95-N95</f>
        <v>0</v>
      </c>
      <c r="S95" s="113">
        <f>IF(K95&gt;0,K95-I95,0)+IF(N95&gt;0,N95-L95)</f>
        <v>0</v>
      </c>
      <c r="T95" s="113">
        <f>IF(H95&gt;0,(IF(R95&gt;B_Pause1Nach,B_Pause1Dauer+IF(BA95="Büro",B_WalkTime,0),IF(BA95="Büro",B_WalkTime,0))+IF(R95&gt;B_Pause2Nach,B_Pause2Dauer,0)),0)</f>
        <v>0</v>
      </c>
      <c r="U95" s="113">
        <f>IF(T95&gt;S95,T95-S95,0)</f>
        <v>0</v>
      </c>
      <c r="V95" s="146">
        <f>IF(F95="S",Z95,(IF((R95-U95)&gt;XWorkTimeMax,XWorkTimeMax,IF((R95-U95)&gt;0,R95-U95,0))))</f>
        <v>0</v>
      </c>
      <c r="W95" s="66"/>
      <c r="X95" s="115">
        <f>xNoWorkTime</f>
        <v>4.027777777777778E-2</v>
      </c>
      <c r="Y95" s="110">
        <f>IF(AND((AM95&lt;Feiertag),(G95&lt;&gt;85)),IF(OR(F95="B",F95="G",F95="S",H95&gt;0),H95-H95+Z95,0),0)</f>
        <v>0</v>
      </c>
      <c r="Z95" s="111">
        <f>IF(AND(AM95&gt;0,AM95&lt;Feiertag),INDEX(Arbeitszeit,AM95),"")</f>
        <v>0.29166666666666669</v>
      </c>
      <c r="AA95" s="112">
        <f>V95-Y95</f>
        <v>0</v>
      </c>
      <c r="AB95" s="67" t="str">
        <f>IF((V95-Y95)&lt;0,"*","")</f>
        <v/>
      </c>
      <c r="AC95" s="193">
        <f>xOverTime</f>
        <v>0</v>
      </c>
      <c r="AD95" s="144" t="str">
        <f>IF((R95-U95)&gt;XWorkTimeMax,(R95-U95-XWorkTimeMax),"")</f>
        <v/>
      </c>
      <c r="AE95" s="225">
        <f>IF(AW95,(AE94+SUM(AA95)+(IF(AG95="+",AF95,-AF95))),)</f>
        <v>0</v>
      </c>
      <c r="AF95" s="110"/>
      <c r="AG95" s="627"/>
      <c r="AH95" s="110"/>
      <c r="AI95" s="110" t="str">
        <f>IF(AND(AF95&lt;&gt;"",AF95&lt;=V95),V95-AF95,"")</f>
        <v/>
      </c>
      <c r="AJ95" s="68">
        <f>IF(ISNUMBER(V95 ), IF( V95 &gt;= Y95, Y95, V95 ),"")</f>
        <v>0</v>
      </c>
      <c r="AK95" s="68">
        <f>IF( ISNUMBER( V95 ), IF( V95 &gt;= Y95, V95 - Y95, "" ), "" )</f>
        <v>0</v>
      </c>
      <c r="AL95" s="68" t="str">
        <f>IF( AND(ISNUMBER( V95 ),ISNUMBER( Y95 )), IF( V95 &gt;= Y95, "", Y95 - V95 ), "" )</f>
        <v/>
      </c>
      <c r="AM95">
        <f>IF(A95="",0,IF(ISERROR(VLOOKUP(A95,db_Feiertag,2,FALSE)),WEEKDAY(A95,2),Feiertag))</f>
        <v>5</v>
      </c>
      <c r="AN95" s="122">
        <f>SUM($AD$6:AD95)</f>
        <v>0</v>
      </c>
      <c r="AO95" s="122">
        <f ca="1">IF(D95=D94,AO94,OFFSET(AO95,-1,COLUMN(db_jSaldoGes)-COLUMN()))</f>
        <v>0</v>
      </c>
      <c r="AP95" s="126">
        <f>IF(OR($G95=-1,$G95=82),-1,IF(OR($G95=0,$G95=83),1,0))</f>
        <v>0</v>
      </c>
      <c r="AQ95" s="126">
        <f>IF($F95=Krank,1,IF($F95="J",-1,0))</f>
        <v>0</v>
      </c>
      <c r="AR95" s="126">
        <f>IF($F95=Urlaub,1,IF($F95="T",-1,0))</f>
        <v>0</v>
      </c>
      <c r="AS95" s="125">
        <f>IF(A95="","",AS94-IF(F95=Urlaub,1,0)+IF(AND(MONTH(A95)=1,DAY(A95)=1),B_UrlaubNeu,0))</f>
        <v>30</v>
      </c>
      <c r="AT95" s="125">
        <f ca="1">IF(A95="","",IF(D95=D94,AT94,OFFSET(AT95,-1,COLUMN(db_jUrlRest)-COLUMN()))+IF(AND(MONTH(A95)=1,DAY(A95)=1),B_UrlaubNeu,0))</f>
        <v>30</v>
      </c>
      <c r="AU95" s="135">
        <f>(IF(ISNUMBER(V95),V95,0)+IF(ISNUMBER(AD95),AD95,0))*24</f>
        <v>0</v>
      </c>
      <c r="AV95" s="125">
        <f>IF(ISNUMBER(AD95),K_ArbeitOverMax,IF(AND(ISNUMBER(AA95),AA95&gt;0),K_ArbeitOverTime,IF(AND(ISNUMBER(V95),V95&gt;0),K_ArbeitNormal,IF(F95=Krank,K_Krank,IF(F95=Urlaub,K_Urlaub,IF(AM95=Feiertag,K_Feiertag,IF(OR(AM95=6,AM95=7),K_Wochenende,0)))))))+IF(F95=Gleittag,K_Gleittag,0)</f>
        <v>0</v>
      </c>
      <c r="AW95" t="b">
        <f>OR((F95&gt;0),(NOT(ISBLANK(H95))),SUM(H95:H$373),SUM(G95:G$373))</f>
        <v>0</v>
      </c>
      <c r="AX95" t="b">
        <f ca="1">INDIRECT(ADDRESS(ROW(),COLUMN(xDay)))&gt;5</f>
        <v>0</v>
      </c>
      <c r="AY95" s="600">
        <f>IF(OR(R95&lt;&gt;0,F95&lt;&gt;0),AA95,IF(Z95="",0,-Z95))+(IF(AG95="+",AF95,-AF95))</f>
        <v>-0.29166666666666669</v>
      </c>
      <c r="AZ95" s="225">
        <f>SUM(AY$5:AY95)</f>
        <v>-18.666666666666664</v>
      </c>
      <c r="BA95" s="658"/>
      <c r="BB95" s="658">
        <f>IF(ISNA(MATCH(BA95,B_Arbeitsort,0)),0,MATCH(BA95,B_Arbeitsort,0))</f>
        <v>0</v>
      </c>
      <c r="BC95" s="658"/>
    </row>
    <row r="96" spans="1:55" ht="15.75">
      <c r="A96" s="305">
        <f>IF(A95="","",IF((A95+1)&gt;=DATE(YEAR(xJahr)+1,MONTH(xJahr),DAY(xJahr)),"",A95+1))</f>
        <v>43555</v>
      </c>
      <c r="B96" s="306">
        <f>IF(A96="","",A96)</f>
        <v>43555</v>
      </c>
      <c r="C96" s="307">
        <f>IF(A96="","",NumberOfWeek(A96))</f>
        <v>13</v>
      </c>
      <c r="D96" s="308">
        <f>IF(A96="","",DATE(YEAR(A96),MONTH(A96),1))</f>
        <v>43555</v>
      </c>
      <c r="E96" s="318" t="str">
        <f>IF((R96-U96)&gt;XWorkTimeMax,$Z$4,IF(AV96=Feiertag,VLOOKUP(B96,db_Feiertag,2,FALSE),""))</f>
        <v/>
      </c>
      <c r="F96" s="5"/>
      <c r="G96" s="6" t="str">
        <f>IF(ISBLANK(F96),IF(ISBLANK(H96),"",0),CODE(UPPER(F96)))</f>
        <v/>
      </c>
      <c r="H96" s="7"/>
      <c r="I96" s="7">
        <f>IF(H96&gt;0,H96+Y96+X96+AC96,0)</f>
        <v>0</v>
      </c>
      <c r="J96" s="113">
        <f>IF(K96&gt;I96,IF(I96&lt;H96,I96+1,I96)-B_WalkTime,IF(I96&lt;H96,I96+1,I96))</f>
        <v>0</v>
      </c>
      <c r="K96" s="7"/>
      <c r="L96" s="7">
        <f>IF(K96&gt;0,K96+IF((J96-H96)&lt;Y96,Y96-(J96-H96),TIME(0,10,0))+IF((K96-J96)&gt;xNoWorkTime,0,xNoWorkTime-(K96-J96)),0)</f>
        <v>0</v>
      </c>
      <c r="M96" s="113">
        <f>IF(L96&lt;K96,L96+1,L96)</f>
        <v>0</v>
      </c>
      <c r="N96" s="113"/>
      <c r="O96" s="113">
        <f>IF(N96&gt;0,N96+IF((J96-H96+M96-K96)&lt;Y96,Y96-(J96-H96+M96-K96),TIME(0,10,0))+IF((K96-J96+N96-M96)&gt;xNoWorkTime,0,xNoWorkTime-(K96-J96+N96-M96)),0)</f>
        <v>0</v>
      </c>
      <c r="P96" s="113"/>
      <c r="Q96" s="113">
        <f>IF(O96&lt;N96,O96+1,O96)</f>
        <v>0</v>
      </c>
      <c r="R96" s="113">
        <f>J96-H96+M96-K96+Q96-N96</f>
        <v>0</v>
      </c>
      <c r="S96" s="113">
        <f>IF(K96&gt;0,K96-I96,0)+IF(N96&gt;0,N96-L96)</f>
        <v>0</v>
      </c>
      <c r="T96" s="113">
        <f>IF(H96&gt;0,(IF(R96&gt;B_Pause1Nach,B_Pause1Dauer+IF(BA96="Büro",B_WalkTime,0),IF(BA96="Büro",B_WalkTime,0))+IF(R96&gt;B_Pause2Nach,B_Pause2Dauer,0)),0)</f>
        <v>0</v>
      </c>
      <c r="U96" s="113">
        <f>IF(T96&gt;S96,T96-S96,0)</f>
        <v>0</v>
      </c>
      <c r="V96" s="146">
        <f>IF(F96="S",Z96,(IF((R96-U96)&gt;XWorkTimeMax,XWorkTimeMax,IF((R96-U96)&gt;0,R96-U96,0))))</f>
        <v>0</v>
      </c>
      <c r="W96" s="66"/>
      <c r="X96" s="115">
        <f>xNoWorkTime</f>
        <v>4.027777777777778E-2</v>
      </c>
      <c r="Y96" s="110">
        <f>IF(AND((AM96&lt;Feiertag),(G96&lt;&gt;85)),IF(OR(F96="B",F96="G",F96="S",H96&gt;0),H96-H96+Z96,0),0)</f>
        <v>0</v>
      </c>
      <c r="Z96" s="111">
        <f>IF(AND(AM96&gt;0,AM96&lt;Feiertag),INDEX(Arbeitszeit,AM96),"")</f>
        <v>0</v>
      </c>
      <c r="AA96" s="112">
        <f>V96-Y96</f>
        <v>0</v>
      </c>
      <c r="AB96" s="67" t="str">
        <f>IF((V96-Y96)&lt;0,"*","")</f>
        <v/>
      </c>
      <c r="AC96" s="193">
        <f>xOverTime</f>
        <v>0</v>
      </c>
      <c r="AD96" s="144" t="str">
        <f>IF((R96-U96)&gt;XWorkTimeMax,(R96-U96-XWorkTimeMax),"")</f>
        <v/>
      </c>
      <c r="AE96" s="225">
        <f>IF(AW96,(AE95+SUM(AA96)+(IF(AG96="+",AF96,-AF96))),)</f>
        <v>0</v>
      </c>
      <c r="AF96" s="110"/>
      <c r="AG96" s="627"/>
      <c r="AH96" s="110"/>
      <c r="AI96" s="110" t="str">
        <f>IF(AND(AF96&lt;&gt;"",AF96&lt;=V96),V96-AF96,"")</f>
        <v/>
      </c>
      <c r="AJ96" s="68">
        <f>IF(ISNUMBER(V96 ), IF( V96 &gt;= Y96, Y96, V96 ),"")</f>
        <v>0</v>
      </c>
      <c r="AK96" s="68">
        <f>IF( ISNUMBER( V96 ), IF( V96 &gt;= Y96, V96 - Y96, "" ), "" )</f>
        <v>0</v>
      </c>
      <c r="AL96" s="68" t="str">
        <f>IF( AND(ISNUMBER( V96 ),ISNUMBER( Y96 )), IF( V96 &gt;= Y96, "", Y96 - V96 ), "" )</f>
        <v/>
      </c>
      <c r="AM96">
        <f>IF(A96="",0,IF(ISERROR(VLOOKUP(A96,db_Feiertag,2,FALSE)),WEEKDAY(A96,2),Feiertag))</f>
        <v>6</v>
      </c>
      <c r="AN96" s="122">
        <f>SUM($AD$6:AD96)</f>
        <v>0</v>
      </c>
      <c r="AO96" s="122">
        <f ca="1">IF(D96=D95,AO95,OFFSET(AO96,-1,COLUMN(db_jSaldoGes)-COLUMN()))</f>
        <v>0</v>
      </c>
      <c r="AP96" s="126">
        <f>IF(OR($G96=-1,$G96=82),-1,IF(OR($G96=0,$G96=83),1,0))</f>
        <v>0</v>
      </c>
      <c r="AQ96" s="126">
        <f>IF($F96=Krank,1,IF($F96="J",-1,0))</f>
        <v>0</v>
      </c>
      <c r="AR96" s="126">
        <f>IF($F96=Urlaub,1,IF($F96="T",-1,0))</f>
        <v>0</v>
      </c>
      <c r="AS96" s="125">
        <f>IF(A96="","",AS95-IF(F96=Urlaub,1,0)+IF(AND(MONTH(A96)=1,DAY(A96)=1),B_UrlaubNeu,0))</f>
        <v>30</v>
      </c>
      <c r="AT96" s="125">
        <f ca="1">IF(A96="","",IF(D96=D95,AT95,OFFSET(AT96,-1,COLUMN(db_jUrlRest)-COLUMN()))+IF(AND(MONTH(A96)=1,DAY(A96)=1),B_UrlaubNeu,0))</f>
        <v>30</v>
      </c>
      <c r="AU96" s="135">
        <f>(IF(ISNUMBER(V96),V96,0)+IF(ISNUMBER(AD96),AD96,0))*24</f>
        <v>0</v>
      </c>
      <c r="AV96" s="125">
        <f>IF(ISNUMBER(AD96),K_ArbeitOverMax,IF(AND(ISNUMBER(AA96),AA96&gt;0),K_ArbeitOverTime,IF(AND(ISNUMBER(V96),V96&gt;0),K_ArbeitNormal,IF(F96=Krank,K_Krank,IF(F96=Urlaub,K_Urlaub,IF(AM96=Feiertag,K_Feiertag,IF(OR(AM96=6,AM96=7),K_Wochenende,0)))))))+IF(F96=Gleittag,K_Gleittag,0)</f>
        <v>7</v>
      </c>
      <c r="AW96" t="b">
        <f>OR((F96&gt;0),(NOT(ISBLANK(H96))),SUM(H96:H$373),SUM(G96:G$373))</f>
        <v>0</v>
      </c>
      <c r="AX96" t="b">
        <f ca="1">INDIRECT(ADDRESS(ROW(),COLUMN(xDay)))&gt;5</f>
        <v>1</v>
      </c>
      <c r="AY96" s="600">
        <f>IF(OR(R96&lt;&gt;0,F96&lt;&gt;0),AA96,IF(Z96="",0,-Z96))+(IF(AG96="+",AF96,-AF96))</f>
        <v>0</v>
      </c>
      <c r="AZ96" s="225">
        <f>SUM(AY$5:AY96)</f>
        <v>-18.666666666666664</v>
      </c>
      <c r="BA96" s="643"/>
      <c r="BB96" s="658">
        <f>IF(ISNA(MATCH(BA96,B_Arbeitsort,0)),0,MATCH(BA96,B_Arbeitsort,0))</f>
        <v>0</v>
      </c>
      <c r="BC96" s="643"/>
    </row>
    <row r="97" spans="1:55" ht="15.75">
      <c r="A97" s="305">
        <f>IF(A96="","",IF((A96+1)&gt;=DATE(YEAR(xJahr)+1,MONTH(xJahr),DAY(xJahr)),"",A96+1))</f>
        <v>43556</v>
      </c>
      <c r="B97" s="306">
        <f>IF(A97="","",A97)</f>
        <v>43556</v>
      </c>
      <c r="C97" s="307">
        <f>IF(A97="","",NumberOfWeek(A97))</f>
        <v>13</v>
      </c>
      <c r="D97" s="308">
        <f>IF(A97="","",DATE(YEAR(A97),MONTH(A97),1))</f>
        <v>43555</v>
      </c>
      <c r="E97" s="318" t="str">
        <f>IF((R97-U97)&gt;XWorkTimeMax,$Z$4,IF(AV97=Feiertag,VLOOKUP(B97,db_Feiertag,2,FALSE),""))</f>
        <v/>
      </c>
      <c r="F97" s="5"/>
      <c r="G97" s="6" t="str">
        <f>IF(ISBLANK(F97),IF(ISBLANK(H97),"",0),CODE(UPPER(F97)))</f>
        <v/>
      </c>
      <c r="H97" s="7"/>
      <c r="I97" s="7">
        <f>IF(H97&gt;0,H97+Y97+X97+AC97,0)</f>
        <v>0</v>
      </c>
      <c r="J97" s="113">
        <f>IF(K97&gt;I97,IF(I97&lt;H97,I97+1,I97)-B_WalkTime,IF(I97&lt;H97,I97+1,I97))</f>
        <v>0</v>
      </c>
      <c r="K97" s="7"/>
      <c r="L97" s="7">
        <f>IF(K97&gt;0,K97+IF((J97-H97)&lt;Y97,Y97-(J97-H97),TIME(0,10,0))+IF((K97-J97)&gt;xNoWorkTime,0,xNoWorkTime-(K97-J97)),0)</f>
        <v>0</v>
      </c>
      <c r="M97" s="113">
        <f>IF(L97&lt;K97,L97+1,L97)</f>
        <v>0</v>
      </c>
      <c r="N97" s="113"/>
      <c r="O97" s="113">
        <f>IF(N97&gt;0,N97+IF((J97-H97+M97-K97)&lt;Y97,Y97-(J97-H97+M97-K97),TIME(0,10,0))+IF((K97-J97+N97-M97)&gt;xNoWorkTime,0,xNoWorkTime-(K97-J97+N97-M97)),0)</f>
        <v>0</v>
      </c>
      <c r="P97" s="113"/>
      <c r="Q97" s="113">
        <f>IF(O97&lt;N97,O97+1,O97)</f>
        <v>0</v>
      </c>
      <c r="R97" s="113">
        <f>J97-H97+M97-K97+Q97-N97</f>
        <v>0</v>
      </c>
      <c r="S97" s="113">
        <f>IF(K97&gt;0,K97-I97,0)+IF(N97&gt;0,N97-L97)</f>
        <v>0</v>
      </c>
      <c r="T97" s="113">
        <f>IF(H97&gt;0,(IF(R97&gt;B_Pause1Nach,B_Pause1Dauer+IF(BA97="Büro",B_WalkTime,0),IF(BA97="Büro",B_WalkTime,0))+IF(R97&gt;B_Pause2Nach,B_Pause2Dauer,0)),0)</f>
        <v>0</v>
      </c>
      <c r="U97" s="113">
        <f>IF(T97&gt;S97,T97-S97,0)</f>
        <v>0</v>
      </c>
      <c r="V97" s="146">
        <f>IF(F97="S",Z97,(IF((R97-U97)&gt;XWorkTimeMax,XWorkTimeMax,IF((R97-U97)&gt;0,R97-U97,0))))</f>
        <v>0</v>
      </c>
      <c r="W97" s="66"/>
      <c r="X97" s="115">
        <f>xNoWorkTime</f>
        <v>4.027777777777778E-2</v>
      </c>
      <c r="Y97" s="110">
        <f>IF(AND((AM97&lt;Feiertag),(G97&lt;&gt;85)),IF(OR(F97="B",F97="G",F97="S",H97&gt;0),H97-H97+Z97,0),0)</f>
        <v>0</v>
      </c>
      <c r="Z97" s="111">
        <f>IF(AND(AM97&gt;0,AM97&lt;Feiertag),INDEX(Arbeitszeit,AM97),"")</f>
        <v>0</v>
      </c>
      <c r="AA97" s="112">
        <f>V97-Y97</f>
        <v>0</v>
      </c>
      <c r="AB97" s="67" t="str">
        <f>IF((V97-Y97)&lt;0,"*","")</f>
        <v/>
      </c>
      <c r="AC97" s="193">
        <f>xOverTime</f>
        <v>0</v>
      </c>
      <c r="AD97" s="144" t="str">
        <f>IF((R97-U97)&gt;XWorkTimeMax,(R97-U97-XWorkTimeMax),"")</f>
        <v/>
      </c>
      <c r="AE97" s="225">
        <f>IF(AW97,(AE96+SUM(AA97)+(IF(AG97="+",AF97,-AF97))),)</f>
        <v>0</v>
      </c>
      <c r="AF97" s="110"/>
      <c r="AG97" s="627"/>
      <c r="AH97" s="110"/>
      <c r="AI97" s="110" t="str">
        <f>IF(AND(AF97&lt;&gt;"",AF97&lt;=V97),V97-AF97,"")</f>
        <v/>
      </c>
      <c r="AJ97" s="68">
        <f>IF(ISNUMBER(V97 ), IF( V97 &gt;= Y97, Y97, V97 ),"")</f>
        <v>0</v>
      </c>
      <c r="AK97" s="68">
        <f>IF( ISNUMBER( V97 ), IF( V97 &gt;= Y97, V97 - Y97, "" ), "" )</f>
        <v>0</v>
      </c>
      <c r="AL97" s="68" t="str">
        <f>IF( AND(ISNUMBER( V97 ),ISNUMBER( Y97 )), IF( V97 &gt;= Y97, "", Y97 - V97 ), "" )</f>
        <v/>
      </c>
      <c r="AM97">
        <f>IF(A97="",0,IF(ISERROR(VLOOKUP(A97,db_Feiertag,2,FALSE)),WEEKDAY(A97,2),Feiertag))</f>
        <v>7</v>
      </c>
      <c r="AN97" s="122">
        <f>SUM($AD$6:AD97)</f>
        <v>0</v>
      </c>
      <c r="AO97" s="122">
        <f ca="1">IF(D97=D96,AO96,OFFSET(AO97,-1,COLUMN(db_jSaldoGes)-COLUMN()))</f>
        <v>0</v>
      </c>
      <c r="AP97" s="126">
        <f>IF(OR($G97=-1,$G97=82),-1,IF(OR($G97=0,$G97=83),1,0))</f>
        <v>0</v>
      </c>
      <c r="AQ97" s="126">
        <f>IF($F97=Krank,1,IF($F97="J",-1,0))</f>
        <v>0</v>
      </c>
      <c r="AR97" s="126">
        <f>IF($F97=Urlaub,1,IF($F97="T",-1,0))</f>
        <v>0</v>
      </c>
      <c r="AS97" s="125">
        <f>IF(A97="","",AS96-IF(F97=Urlaub,1,0)+IF(AND(MONTH(A97)=1,DAY(A97)=1),B_UrlaubNeu,0))</f>
        <v>30</v>
      </c>
      <c r="AT97" s="125">
        <f ca="1">IF(A97="","",IF(D97=D96,AT96,OFFSET(AT97,-1,COLUMN(db_jUrlRest)-COLUMN()))+IF(AND(MONTH(A97)=1,DAY(A97)=1),B_UrlaubNeu,0))</f>
        <v>30</v>
      </c>
      <c r="AU97" s="135">
        <f>(IF(ISNUMBER(V97),V97,0)+IF(ISNUMBER(AD97),AD97,0))*24</f>
        <v>0</v>
      </c>
      <c r="AV97" s="125">
        <f>IF(ISNUMBER(AD97),K_ArbeitOverMax,IF(AND(ISNUMBER(AA97),AA97&gt;0),K_ArbeitOverTime,IF(AND(ISNUMBER(V97),V97&gt;0),K_ArbeitNormal,IF(F97=Krank,K_Krank,IF(F97=Urlaub,K_Urlaub,IF(AM97=Feiertag,K_Feiertag,IF(OR(AM97=6,AM97=7),K_Wochenende,0)))))))+IF(F97=Gleittag,K_Gleittag,0)</f>
        <v>7</v>
      </c>
      <c r="AW97" t="b">
        <f>OR((F97&gt;0),(NOT(ISBLANK(H97))),SUM(H97:H$373),SUM(G97:G$373))</f>
        <v>0</v>
      </c>
      <c r="AX97" t="b">
        <f ca="1">INDIRECT(ADDRESS(ROW(),COLUMN(xDay)))&gt;5</f>
        <v>1</v>
      </c>
      <c r="AY97" s="600">
        <f>IF(OR(R97&lt;&gt;0,F97&lt;&gt;0),AA97,IF(Z97="",0,-Z97))+(IF(AG97="+",AF97,-AF97))</f>
        <v>0</v>
      </c>
      <c r="AZ97" s="225">
        <f>SUM(AY$5:AY97)</f>
        <v>-18.666666666666664</v>
      </c>
      <c r="BA97" s="643"/>
      <c r="BB97" s="658">
        <f>IF(ISNA(MATCH(BA97,B_Arbeitsort,0)),0,MATCH(BA97,B_Arbeitsort,0))</f>
        <v>0</v>
      </c>
      <c r="BC97" s="643"/>
    </row>
    <row r="98" spans="1:55" ht="15.75">
      <c r="A98" s="305">
        <f>IF(A97="","",IF((A97+1)&gt;=DATE(YEAR(xJahr)+1,MONTH(xJahr),DAY(xJahr)),"",A97+1))</f>
        <v>43557</v>
      </c>
      <c r="B98" s="306">
        <f>IF(A98="","",A98)</f>
        <v>43557</v>
      </c>
      <c r="C98" s="307">
        <f>IF(A98="","",NumberOfWeek(A98))</f>
        <v>14</v>
      </c>
      <c r="D98" s="308">
        <f>IF(A98="","",DATE(YEAR(A98),MONTH(A98),1))</f>
        <v>43555</v>
      </c>
      <c r="E98" s="318" t="str">
        <f>IF((R98-U98)&gt;XWorkTimeMax,$Z$4,IF(AV98=Feiertag,VLOOKUP(B98,db_Feiertag,2,FALSE),""))</f>
        <v/>
      </c>
      <c r="F98" s="5"/>
      <c r="G98" s="6" t="str">
        <f>IF(ISBLANK(F98),IF(ISBLANK(H98),"",0),CODE(UPPER(F98)))</f>
        <v/>
      </c>
      <c r="H98" s="7"/>
      <c r="I98" s="7">
        <f>IF(H98&gt;0,H98+Y98+X98+AC98,0)</f>
        <v>0</v>
      </c>
      <c r="J98" s="113">
        <f>IF(K98&gt;I98,IF(I98&lt;H98,I98+1,I98)-B_WalkTime,IF(I98&lt;H98,I98+1,I98))</f>
        <v>0</v>
      </c>
      <c r="K98" s="7"/>
      <c r="L98" s="7">
        <f>IF(K98&gt;0,K98+IF((J98-H98)&lt;Y98,Y98-(J98-H98),TIME(0,10,0))+IF((K98-J98)&gt;xNoWorkTime,0,xNoWorkTime-(K98-J98)),0)</f>
        <v>0</v>
      </c>
      <c r="M98" s="113">
        <f>IF(L98&lt;K98,L98+1,L98)</f>
        <v>0</v>
      </c>
      <c r="N98" s="113"/>
      <c r="O98" s="113">
        <f>IF(N98&gt;0,N98+IF((J98-H98+M98-K98)&lt;Y98,Y98-(J98-H98+M98-K98),TIME(0,10,0))+IF((K98-J98+N98-M98)&gt;xNoWorkTime,0,xNoWorkTime-(K98-J98+N98-M98)),0)</f>
        <v>0</v>
      </c>
      <c r="P98" s="113"/>
      <c r="Q98" s="113">
        <f>IF(O98&lt;N98,O98+1,O98)</f>
        <v>0</v>
      </c>
      <c r="R98" s="113">
        <f>J98-H98+M98-K98+Q98-N98</f>
        <v>0</v>
      </c>
      <c r="S98" s="113">
        <f>IF(K98&gt;0,K98-I98,0)+IF(N98&gt;0,N98-L98)</f>
        <v>0</v>
      </c>
      <c r="T98" s="113">
        <f>IF(H98&gt;0,(IF(R98&gt;B_Pause1Nach,B_Pause1Dauer+IF(BA98="Büro",B_WalkTime,0),IF(BA98="Büro",B_WalkTime,0))+IF(R98&gt;B_Pause2Nach,B_Pause2Dauer,0)),0)</f>
        <v>0</v>
      </c>
      <c r="U98" s="113">
        <f>IF(T98&gt;S98,T98-S98,0)</f>
        <v>0</v>
      </c>
      <c r="V98" s="146">
        <f>IF(F98="S",Z98,(IF((R98-U98)&gt;XWorkTimeMax,XWorkTimeMax,IF((R98-U98)&gt;0,R98-U98,0))))</f>
        <v>0</v>
      </c>
      <c r="W98" s="66"/>
      <c r="X98" s="115">
        <f>xNoWorkTime</f>
        <v>4.027777777777778E-2</v>
      </c>
      <c r="Y98" s="110">
        <f>IF(AND((AM98&lt;Feiertag),(G98&lt;&gt;85)),IF(OR(F98="B",F98="G",F98="S",H98&gt;0),H98-H98+Z98,0),0)</f>
        <v>0</v>
      </c>
      <c r="Z98" s="111">
        <f>IF(AND(AM98&gt;0,AM98&lt;Feiertag),INDEX(Arbeitszeit,AM98),"")</f>
        <v>0.29166666666666669</v>
      </c>
      <c r="AA98" s="112">
        <f>V98-Y98</f>
        <v>0</v>
      </c>
      <c r="AB98" s="67" t="str">
        <f>IF((V98-Y98)&lt;0,"*","")</f>
        <v/>
      </c>
      <c r="AC98" s="193">
        <f>xOverTime</f>
        <v>0</v>
      </c>
      <c r="AD98" s="144" t="str">
        <f>IF((R98-U98)&gt;XWorkTimeMax,(R98-U98-XWorkTimeMax),"")</f>
        <v/>
      </c>
      <c r="AE98" s="225">
        <f>IF(AW98,(AE97+SUM(AA98)+(IF(AG98="+",AF98,-AF98))),)</f>
        <v>0</v>
      </c>
      <c r="AF98" s="110"/>
      <c r="AG98" s="627"/>
      <c r="AH98" s="110"/>
      <c r="AI98" s="110" t="str">
        <f>IF(AND(AF98&lt;&gt;"",AF98&lt;=V98),V98-AF98,"")</f>
        <v/>
      </c>
      <c r="AJ98" s="68">
        <f>IF(ISNUMBER(V98 ), IF( V98 &gt;= Y98, Y98, V98 ),"")</f>
        <v>0</v>
      </c>
      <c r="AK98" s="68">
        <f>IF( ISNUMBER( V98 ), IF( V98 &gt;= Y98, V98 - Y98, "" ), "" )</f>
        <v>0</v>
      </c>
      <c r="AL98" s="68" t="str">
        <f>IF( AND(ISNUMBER( V98 ),ISNUMBER( Y98 )), IF( V98 &gt;= Y98, "", Y98 - V98 ), "" )</f>
        <v/>
      </c>
      <c r="AM98">
        <f>IF(A98="",0,IF(ISERROR(VLOOKUP(A98,db_Feiertag,2,FALSE)),WEEKDAY(A98,2),Feiertag))</f>
        <v>1</v>
      </c>
      <c r="AN98" s="122">
        <f>SUM($AD$6:AD98)</f>
        <v>0</v>
      </c>
      <c r="AO98" s="122">
        <f ca="1">IF(D98=D97,AO97,OFFSET(AO98,-1,COLUMN(db_jSaldoGes)-COLUMN()))</f>
        <v>0</v>
      </c>
      <c r="AP98" s="126">
        <f>IF(OR($G98=-1,$G98=82),-1,IF(OR($G98=0,$G98=83),1,0))</f>
        <v>0</v>
      </c>
      <c r="AQ98" s="126">
        <f>IF($F98=Krank,1,IF($F98="J",-1,0))</f>
        <v>0</v>
      </c>
      <c r="AR98" s="126">
        <f>IF($F98=Urlaub,1,IF($F98="T",-1,0))</f>
        <v>0</v>
      </c>
      <c r="AS98" s="125">
        <f>IF(A98="","",AS97-IF(F98=Urlaub,1,0)+IF(AND(MONTH(A98)=1,DAY(A98)=1),B_UrlaubNeu,0))</f>
        <v>30</v>
      </c>
      <c r="AT98" s="125">
        <f ca="1">IF(A98="","",IF(D98=D97,AT97,OFFSET(AT98,-1,COLUMN(db_jUrlRest)-COLUMN()))+IF(AND(MONTH(A98)=1,DAY(A98)=1),B_UrlaubNeu,0))</f>
        <v>30</v>
      </c>
      <c r="AU98" s="135">
        <f>(IF(ISNUMBER(V98),V98,0)+IF(ISNUMBER(AD98),AD98,0))*24</f>
        <v>0</v>
      </c>
      <c r="AV98" s="125">
        <f>IF(ISNUMBER(AD98),K_ArbeitOverMax,IF(AND(ISNUMBER(AA98),AA98&gt;0),K_ArbeitOverTime,IF(AND(ISNUMBER(V98),V98&gt;0),K_ArbeitNormal,IF(F98=Krank,K_Krank,IF(F98=Urlaub,K_Urlaub,IF(AM98=Feiertag,K_Feiertag,IF(OR(AM98=6,AM98=7),K_Wochenende,0)))))))+IF(F98=Gleittag,K_Gleittag,0)</f>
        <v>0</v>
      </c>
      <c r="AW98" t="b">
        <f>OR((F98&gt;0),(NOT(ISBLANK(H98))),SUM(H98:H$373),SUM(G98:G$373))</f>
        <v>0</v>
      </c>
      <c r="AX98" t="b">
        <f ca="1">INDIRECT(ADDRESS(ROW(),COLUMN(xDay)))&gt;5</f>
        <v>0</v>
      </c>
      <c r="AY98" s="600">
        <f>IF(OR(R98&lt;&gt;0,F98&lt;&gt;0),AA98,IF(Z98="",0,-Z98))+(IF(AG98="+",AF98,-AF98))</f>
        <v>-0.29166666666666669</v>
      </c>
      <c r="AZ98" s="225">
        <f>SUM(AY$5:AY98)</f>
        <v>-18.958333333333332</v>
      </c>
      <c r="BA98" s="658"/>
      <c r="BB98" s="658">
        <f>IF(ISNA(MATCH(BA98,B_Arbeitsort,0)),0,MATCH(BA98,B_Arbeitsort,0))</f>
        <v>0</v>
      </c>
      <c r="BC98" s="658"/>
    </row>
    <row r="99" spans="1:55" ht="15.75">
      <c r="A99" s="305">
        <f>IF(A98="","",IF((A98+1)&gt;=DATE(YEAR(xJahr)+1,MONTH(xJahr),DAY(xJahr)),"",A98+1))</f>
        <v>43558</v>
      </c>
      <c r="B99" s="306">
        <f>IF(A99="","",A99)</f>
        <v>43558</v>
      </c>
      <c r="C99" s="307">
        <f>IF(A99="","",NumberOfWeek(A99))</f>
        <v>14</v>
      </c>
      <c r="D99" s="308">
        <f>IF(A99="","",DATE(YEAR(A99),MONTH(A99),1))</f>
        <v>43555</v>
      </c>
      <c r="E99" s="318" t="str">
        <f>IF((R99-U99)&gt;XWorkTimeMax,$Z$4,IF(AV99=Feiertag,VLOOKUP(B99,db_Feiertag,2,FALSE),""))</f>
        <v/>
      </c>
      <c r="F99" s="5"/>
      <c r="G99" s="6" t="str">
        <f>IF(ISBLANK(F99),IF(ISBLANK(H99),"",0),CODE(UPPER(F99)))</f>
        <v/>
      </c>
      <c r="H99" s="7"/>
      <c r="I99" s="7">
        <f>IF(H99&gt;0,H99+Y99+X99+AC99,0)</f>
        <v>0</v>
      </c>
      <c r="J99" s="113">
        <f>IF(K99&gt;I99,IF(I99&lt;H99,I99+1,I99)-B_WalkTime,IF(I99&lt;H99,I99+1,I99))</f>
        <v>0</v>
      </c>
      <c r="K99" s="7"/>
      <c r="L99" s="7">
        <f>IF(K99&gt;0,K99+IF((J99-H99)&lt;Y99,Y99-(J99-H99),TIME(0,10,0))+IF((K99-J99)&gt;xNoWorkTime,0,xNoWorkTime-(K99-J99)),0)</f>
        <v>0</v>
      </c>
      <c r="M99" s="113">
        <f>IF(L99&lt;K99,L99+1,L99)</f>
        <v>0</v>
      </c>
      <c r="N99" s="113"/>
      <c r="O99" s="113">
        <f>IF(N99&gt;0,N99+IF((J99-H99+M99-K99)&lt;Y99,Y99-(J99-H99+M99-K99),TIME(0,10,0))+IF((K99-J99+N99-M99)&gt;xNoWorkTime,0,xNoWorkTime-(K99-J99+N99-M99)),0)</f>
        <v>0</v>
      </c>
      <c r="P99" s="113"/>
      <c r="Q99" s="113">
        <f>IF(O99&lt;N99,O99+1,O99)</f>
        <v>0</v>
      </c>
      <c r="R99" s="113">
        <f>J99-H99+M99-K99+Q99-N99</f>
        <v>0</v>
      </c>
      <c r="S99" s="113">
        <f>IF(K99&gt;0,K99-I99,0)+IF(N99&gt;0,N99-L99)</f>
        <v>0</v>
      </c>
      <c r="T99" s="113">
        <f>IF(H99&gt;0,(IF(R99&gt;B_Pause1Nach,B_Pause1Dauer+IF(BA99="Büro",B_WalkTime,0),IF(BA99="Büro",B_WalkTime,0))+IF(R99&gt;B_Pause2Nach,B_Pause2Dauer,0)),0)</f>
        <v>0</v>
      </c>
      <c r="U99" s="113">
        <f>IF(T99&gt;S99,T99-S99,0)</f>
        <v>0</v>
      </c>
      <c r="V99" s="146">
        <f>IF(F99="S",Z99,(IF((R99-U99)&gt;XWorkTimeMax,XWorkTimeMax,IF((R99-U99)&gt;0,R99-U99,0))))</f>
        <v>0</v>
      </c>
      <c r="W99" s="66"/>
      <c r="X99" s="115">
        <f>xNoWorkTime</f>
        <v>4.027777777777778E-2</v>
      </c>
      <c r="Y99" s="110">
        <f>IF(AND((AM99&lt;Feiertag),(G99&lt;&gt;85)),IF(OR(F99="B",F99="G",F99="S",H99&gt;0),H99-H99+Z99,0),0)</f>
        <v>0</v>
      </c>
      <c r="Z99" s="111">
        <f>IF(AND(AM99&gt;0,AM99&lt;Feiertag),INDEX(Arbeitszeit,AM99),"")</f>
        <v>0.29166666666666669</v>
      </c>
      <c r="AA99" s="112">
        <f>V99-Y99</f>
        <v>0</v>
      </c>
      <c r="AB99" s="67" t="str">
        <f>IF((V99-Y99)&lt;0,"*","")</f>
        <v/>
      </c>
      <c r="AC99" s="193">
        <f>xOverTime</f>
        <v>0</v>
      </c>
      <c r="AD99" s="144" t="str">
        <f>IF((R99-U99)&gt;XWorkTimeMax,(R99-U99-XWorkTimeMax),"")</f>
        <v/>
      </c>
      <c r="AE99" s="225">
        <f>IF(AW99,(AE98+SUM(AA99)+(IF(AG99="+",AF99,-AF99))),)</f>
        <v>0</v>
      </c>
      <c r="AF99" s="110"/>
      <c r="AG99" s="627"/>
      <c r="AH99" s="110"/>
      <c r="AI99" s="110" t="str">
        <f>IF(AND(AF99&lt;&gt;"",AF99&lt;=V99),V99-AF99,"")</f>
        <v/>
      </c>
      <c r="AJ99" s="68">
        <f>IF(ISNUMBER(V99 ), IF( V99 &gt;= Y99, Y99, V99 ),"")</f>
        <v>0</v>
      </c>
      <c r="AK99" s="68">
        <f>IF( ISNUMBER( V99 ), IF( V99 &gt;= Y99, V99 - Y99, "" ), "" )</f>
        <v>0</v>
      </c>
      <c r="AL99" s="68" t="str">
        <f>IF( AND(ISNUMBER( V99 ),ISNUMBER( Y99 )), IF( V99 &gt;= Y99, "", Y99 - V99 ), "" )</f>
        <v/>
      </c>
      <c r="AM99">
        <f>IF(A99="",0,IF(ISERROR(VLOOKUP(A99,db_Feiertag,2,FALSE)),WEEKDAY(A99,2),Feiertag))</f>
        <v>2</v>
      </c>
      <c r="AN99" s="122">
        <f>SUM($AD$6:AD99)</f>
        <v>0</v>
      </c>
      <c r="AO99" s="122">
        <f ca="1">IF(D99=D98,AO98,OFFSET(AO99,-1,COLUMN(db_jSaldoGes)-COLUMN()))</f>
        <v>0</v>
      </c>
      <c r="AP99" s="126">
        <f>IF(OR($G99=-1,$G99=82),-1,IF(OR($G99=0,$G99=83),1,0))</f>
        <v>0</v>
      </c>
      <c r="AQ99" s="126">
        <f>IF($F99=Krank,1,IF($F99="J",-1,0))</f>
        <v>0</v>
      </c>
      <c r="AR99" s="126">
        <f>IF($F99=Urlaub,1,IF($F99="T",-1,0))</f>
        <v>0</v>
      </c>
      <c r="AS99" s="125">
        <f>IF(A99="","",AS98-IF(F99=Urlaub,1,0)+IF(AND(MONTH(A99)=1,DAY(A99)=1),B_UrlaubNeu,0))</f>
        <v>30</v>
      </c>
      <c r="AT99" s="125">
        <f ca="1">IF(A99="","",IF(D99=D98,AT98,OFFSET(AT99,-1,COLUMN(db_jUrlRest)-COLUMN()))+IF(AND(MONTH(A99)=1,DAY(A99)=1),B_UrlaubNeu,0))</f>
        <v>30</v>
      </c>
      <c r="AU99" s="135">
        <f>(IF(ISNUMBER(V99),V99,0)+IF(ISNUMBER(AD99),AD99,0))*24</f>
        <v>0</v>
      </c>
      <c r="AV99" s="125">
        <f>IF(ISNUMBER(AD99),K_ArbeitOverMax,IF(AND(ISNUMBER(AA99),AA99&gt;0),K_ArbeitOverTime,IF(AND(ISNUMBER(V99),V99&gt;0),K_ArbeitNormal,IF(F99=Krank,K_Krank,IF(F99=Urlaub,K_Urlaub,IF(AM99=Feiertag,K_Feiertag,IF(OR(AM99=6,AM99=7),K_Wochenende,0)))))))+IF(F99=Gleittag,K_Gleittag,0)</f>
        <v>0</v>
      </c>
      <c r="AW99" t="b">
        <f>OR((F99&gt;0),(NOT(ISBLANK(H99))),SUM(H99:H$373),SUM(G99:G$373))</f>
        <v>0</v>
      </c>
      <c r="AX99" t="b">
        <f ca="1">INDIRECT(ADDRESS(ROW(),COLUMN(xDay)))&gt;5</f>
        <v>0</v>
      </c>
      <c r="AY99" s="600">
        <f>IF(OR(R99&lt;&gt;0,F99&lt;&gt;0),AA99,IF(Z99="",0,-Z99))+(IF(AG99="+",AF99,-AF99))</f>
        <v>-0.29166666666666669</v>
      </c>
      <c r="AZ99" s="225">
        <f>SUM(AY$5:AY99)</f>
        <v>-19.25</v>
      </c>
      <c r="BA99" s="658"/>
      <c r="BB99" s="658">
        <f>IF(ISNA(MATCH(BA99,B_Arbeitsort,0)),0,MATCH(BA99,B_Arbeitsort,0))</f>
        <v>0</v>
      </c>
      <c r="BC99" s="658"/>
    </row>
    <row r="100" spans="1:55" ht="15.75">
      <c r="A100" s="305">
        <f>IF(A99="","",IF((A99+1)&gt;=DATE(YEAR(xJahr)+1,MONTH(xJahr),DAY(xJahr)),"",A99+1))</f>
        <v>43559</v>
      </c>
      <c r="B100" s="306">
        <f>IF(A100="","",A100)</f>
        <v>43559</v>
      </c>
      <c r="C100" s="307">
        <f>IF(A100="","",NumberOfWeek(A100))</f>
        <v>14</v>
      </c>
      <c r="D100" s="308">
        <f>IF(A100="","",DATE(YEAR(A100),MONTH(A100),1))</f>
        <v>43555</v>
      </c>
      <c r="E100" s="318" t="str">
        <f>IF((R100-U100)&gt;XWorkTimeMax,$Z$4,IF(AV100=Feiertag,VLOOKUP(B100,db_Feiertag,2,FALSE),""))</f>
        <v/>
      </c>
      <c r="F100" s="5"/>
      <c r="G100" s="6" t="str">
        <f>IF(ISBLANK(F100),IF(ISBLANK(H100),"",0),CODE(UPPER(F100)))</f>
        <v/>
      </c>
      <c r="H100" s="7"/>
      <c r="I100" s="7">
        <f>IF(H100&gt;0,H100+Y100+X100+AC100,0)</f>
        <v>0</v>
      </c>
      <c r="J100" s="113">
        <f>IF(K100&gt;I100,IF(I100&lt;H100,I100+1,I100)-B_WalkTime,IF(I100&lt;H100,I100+1,I100))</f>
        <v>0</v>
      </c>
      <c r="K100" s="7"/>
      <c r="L100" s="7">
        <f>IF(K100&gt;0,K100+IF((J100-H100)&lt;Y100,Y100-(J100-H100),TIME(0,10,0))+IF((K100-J100)&gt;xNoWorkTime,0,xNoWorkTime-(K100-J100)),0)</f>
        <v>0</v>
      </c>
      <c r="M100" s="113">
        <f>IF(L100&lt;K100,L100+1,L100)</f>
        <v>0</v>
      </c>
      <c r="N100" s="113"/>
      <c r="O100" s="113">
        <f>IF(N100&gt;0,N100+IF((J100-H100+M100-K100)&lt;Y100,Y100-(J100-H100+M100-K100),TIME(0,10,0))+IF((K100-J100+N100-M100)&gt;xNoWorkTime,0,xNoWorkTime-(K100-J100+N100-M100)),0)</f>
        <v>0</v>
      </c>
      <c r="P100" s="113"/>
      <c r="Q100" s="113">
        <f>IF(O100&lt;N100,O100+1,O100)</f>
        <v>0</v>
      </c>
      <c r="R100" s="113">
        <f>J100-H100+M100-K100+Q100-N100</f>
        <v>0</v>
      </c>
      <c r="S100" s="113">
        <f>IF(K100&gt;0,K100-I100,0)+IF(N100&gt;0,N100-L100)</f>
        <v>0</v>
      </c>
      <c r="T100" s="113">
        <f>IF(H100&gt;0,(IF(R100&gt;B_Pause1Nach,B_Pause1Dauer+IF(BA100="Büro",B_WalkTime,0),IF(BA100="Büro",B_WalkTime,0))+IF(R100&gt;B_Pause2Nach,B_Pause2Dauer,0)),0)</f>
        <v>0</v>
      </c>
      <c r="U100" s="113">
        <f>IF(T100&gt;S100,T100-S100,0)</f>
        <v>0</v>
      </c>
      <c r="V100" s="146">
        <f>IF(F100="S",Z100,(IF((R100-U100)&gt;XWorkTimeMax,XWorkTimeMax,IF((R100-U100)&gt;0,R100-U100,0))))</f>
        <v>0</v>
      </c>
      <c r="W100" s="66"/>
      <c r="X100" s="115">
        <f>xNoWorkTime</f>
        <v>4.027777777777778E-2</v>
      </c>
      <c r="Y100" s="110">
        <f>IF(AND((AM100&lt;Feiertag),(G100&lt;&gt;85)),IF(OR(F100="B",F100="G",F100="S",H100&gt;0),H100-H100+Z100,0),0)</f>
        <v>0</v>
      </c>
      <c r="Z100" s="111">
        <f>IF(AND(AM100&gt;0,AM100&lt;Feiertag),INDEX(Arbeitszeit,AM100),"")</f>
        <v>0.29166666666666669</v>
      </c>
      <c r="AA100" s="112">
        <f>V100-Y100</f>
        <v>0</v>
      </c>
      <c r="AB100" s="67" t="str">
        <f>IF((V100-Y100)&lt;0,"*","")</f>
        <v/>
      </c>
      <c r="AC100" s="193">
        <f>xOverTime</f>
        <v>0</v>
      </c>
      <c r="AD100" s="144" t="str">
        <f>IF((R100-U100)&gt;XWorkTimeMax,(R100-U100-XWorkTimeMax),"")</f>
        <v/>
      </c>
      <c r="AE100" s="225">
        <f>IF(AW100,(AE99+SUM(AA100)+(IF(AG100="+",AF100,-AF100))),)</f>
        <v>0</v>
      </c>
      <c r="AF100" s="110"/>
      <c r="AG100" s="627"/>
      <c r="AH100" s="110"/>
      <c r="AI100" s="110" t="str">
        <f>IF(AND(AF100&lt;&gt;"",AF100&lt;=V100),V100-AF100,"")</f>
        <v/>
      </c>
      <c r="AJ100" s="68">
        <f>IF(ISNUMBER(V100 ), IF( V100 &gt;= Y100, Y100, V100 ),"")</f>
        <v>0</v>
      </c>
      <c r="AK100" s="68">
        <f>IF( ISNUMBER( V100 ), IF( V100 &gt;= Y100, V100 - Y100, "" ), "" )</f>
        <v>0</v>
      </c>
      <c r="AL100" s="68" t="str">
        <f>IF( AND(ISNUMBER( V100 ),ISNUMBER( Y100 )), IF( V100 &gt;= Y100, "", Y100 - V100 ), "" )</f>
        <v/>
      </c>
      <c r="AM100">
        <f>IF(A100="",0,IF(ISERROR(VLOOKUP(A100,db_Feiertag,2,FALSE)),WEEKDAY(A100,2),Feiertag))</f>
        <v>3</v>
      </c>
      <c r="AN100" s="122">
        <f>SUM($AD$6:AD100)</f>
        <v>0</v>
      </c>
      <c r="AO100" s="122">
        <f ca="1">IF(D100=D99,AO99,OFFSET(AO100,-1,COLUMN(db_jSaldoGes)-COLUMN()))</f>
        <v>0</v>
      </c>
      <c r="AP100" s="126">
        <f>IF(OR($G100=-1,$G100=82),-1,IF(OR($G100=0,$G100=83),1,0))</f>
        <v>0</v>
      </c>
      <c r="AQ100" s="126">
        <f>IF($F100=Krank,1,IF($F100="J",-1,0))</f>
        <v>0</v>
      </c>
      <c r="AR100" s="126">
        <f>IF($F100=Urlaub,1,IF($F100="T",-1,0))</f>
        <v>0</v>
      </c>
      <c r="AS100" s="125">
        <f>IF(A100="","",AS99-IF(F100=Urlaub,1,0)+IF(AND(MONTH(A100)=1,DAY(A100)=1),B_UrlaubNeu,0))</f>
        <v>30</v>
      </c>
      <c r="AT100" s="125">
        <f ca="1">IF(A100="","",IF(D100=D99,AT99,OFFSET(AT100,-1,COLUMN(db_jUrlRest)-COLUMN()))+IF(AND(MONTH(A100)=1,DAY(A100)=1),B_UrlaubNeu,0))</f>
        <v>30</v>
      </c>
      <c r="AU100" s="135">
        <f>(IF(ISNUMBER(V100),V100,0)+IF(ISNUMBER(AD100),AD100,0))*24</f>
        <v>0</v>
      </c>
      <c r="AV100" s="125">
        <f>IF(ISNUMBER(AD100),K_ArbeitOverMax,IF(AND(ISNUMBER(AA100),AA100&gt;0),K_ArbeitOverTime,IF(AND(ISNUMBER(V100),V100&gt;0),K_ArbeitNormal,IF(F100=Krank,K_Krank,IF(F100=Urlaub,K_Urlaub,IF(AM100=Feiertag,K_Feiertag,IF(OR(AM100=6,AM100=7),K_Wochenende,0)))))))+IF(F100=Gleittag,K_Gleittag,0)</f>
        <v>0</v>
      </c>
      <c r="AW100" t="b">
        <f>OR((F100&gt;0),(NOT(ISBLANK(H100))),SUM(H100:H$373),SUM(G100:G$373))</f>
        <v>0</v>
      </c>
      <c r="AX100" t="b">
        <f ca="1">INDIRECT(ADDRESS(ROW(),COLUMN(xDay)))&gt;5</f>
        <v>0</v>
      </c>
      <c r="AY100" s="600">
        <f>IF(OR(R100&lt;&gt;0,F100&lt;&gt;0),AA100,IF(Z100="",0,-Z100))+(IF(AG100="+",AF100,-AF100))</f>
        <v>-0.29166666666666669</v>
      </c>
      <c r="AZ100" s="225">
        <f>SUM(AY$5:AY100)</f>
        <v>-19.541666666666668</v>
      </c>
      <c r="BA100" s="658"/>
      <c r="BB100" s="658">
        <f>IF(ISNA(MATCH(BA100,B_Arbeitsort,0)),0,MATCH(BA100,B_Arbeitsort,0))</f>
        <v>0</v>
      </c>
      <c r="BC100" s="658"/>
    </row>
    <row r="101" spans="1:55" ht="15.75">
      <c r="A101" s="305">
        <f>IF(A100="","",IF((A100+1)&gt;=DATE(YEAR(xJahr)+1,MONTH(xJahr),DAY(xJahr)),"",A100+1))</f>
        <v>43560</v>
      </c>
      <c r="B101" s="306">
        <f>IF(A101="","",A101)</f>
        <v>43560</v>
      </c>
      <c r="C101" s="307">
        <f>IF(A101="","",NumberOfWeek(A101))</f>
        <v>14</v>
      </c>
      <c r="D101" s="308">
        <f>IF(A101="","",DATE(YEAR(A101),MONTH(A101),1))</f>
        <v>43555</v>
      </c>
      <c r="E101" s="318" t="str">
        <f>IF((R101-U101)&gt;XWorkTimeMax,$Z$4,IF(AV101=Feiertag,VLOOKUP(B101,db_Feiertag,2,FALSE),""))</f>
        <v/>
      </c>
      <c r="F101" s="5"/>
      <c r="G101" s="6" t="str">
        <f>IF(ISBLANK(F101),IF(ISBLANK(H101),"",0),CODE(UPPER(F101)))</f>
        <v/>
      </c>
      <c r="H101" s="7"/>
      <c r="I101" s="7">
        <f>IF(H101&gt;0,H101+Y101+X101+AC101,0)</f>
        <v>0</v>
      </c>
      <c r="J101" s="113">
        <f>IF(K101&gt;I101,IF(I101&lt;H101,I101+1,I101)-B_WalkTime,IF(I101&lt;H101,I101+1,I101))</f>
        <v>0</v>
      </c>
      <c r="K101" s="7"/>
      <c r="L101" s="7">
        <f>IF(K101&gt;0,K101+IF((J101-H101)&lt;Y101,Y101-(J101-H101),TIME(0,10,0))+IF((K101-J101)&gt;xNoWorkTime,0,xNoWorkTime-(K101-J101)),0)</f>
        <v>0</v>
      </c>
      <c r="M101" s="113">
        <f>IF(L101&lt;K101,L101+1,L101)</f>
        <v>0</v>
      </c>
      <c r="N101" s="113"/>
      <c r="O101" s="113">
        <f>IF(N101&gt;0,N101+IF((J101-H101+M101-K101)&lt;Y101,Y101-(J101-H101+M101-K101),TIME(0,10,0))+IF((K101-J101+N101-M101)&gt;xNoWorkTime,0,xNoWorkTime-(K101-J101+N101-M101)),0)</f>
        <v>0</v>
      </c>
      <c r="P101" s="113"/>
      <c r="Q101" s="113">
        <f>IF(O101&lt;N101,O101+1,O101)</f>
        <v>0</v>
      </c>
      <c r="R101" s="113">
        <f>J101-H101+M101-K101+Q101-N101</f>
        <v>0</v>
      </c>
      <c r="S101" s="113">
        <f>IF(K101&gt;0,K101-I101,0)+IF(N101&gt;0,N101-L101)</f>
        <v>0</v>
      </c>
      <c r="T101" s="113">
        <f>IF(H101&gt;0,(IF(R101&gt;B_Pause1Nach,B_Pause1Dauer+IF(BA101="Büro",B_WalkTime,0),IF(BA101="Büro",B_WalkTime,0))+IF(R101&gt;B_Pause2Nach,B_Pause2Dauer,0)),0)</f>
        <v>0</v>
      </c>
      <c r="U101" s="113">
        <f>IF(T101&gt;S101,T101-S101,0)</f>
        <v>0</v>
      </c>
      <c r="V101" s="146">
        <f>IF(F101="S",Z101,(IF((R101-U101)&gt;XWorkTimeMax,XWorkTimeMax,IF((R101-U101)&gt;0,R101-U101,0))))</f>
        <v>0</v>
      </c>
      <c r="W101" s="66"/>
      <c r="X101" s="115">
        <f>xNoWorkTime</f>
        <v>4.027777777777778E-2</v>
      </c>
      <c r="Y101" s="110">
        <f>IF(AND((AM101&lt;Feiertag),(G101&lt;&gt;85)),IF(OR(F101="B",F101="G",F101="S",H101&gt;0),H101-H101+Z101,0),0)</f>
        <v>0</v>
      </c>
      <c r="Z101" s="111">
        <f>IF(AND(AM101&gt;0,AM101&lt;Feiertag),INDEX(Arbeitszeit,AM101),"")</f>
        <v>0.29166666666666669</v>
      </c>
      <c r="AA101" s="112">
        <f>V101-Y101</f>
        <v>0</v>
      </c>
      <c r="AB101" s="67" t="str">
        <f>IF((V101-Y101)&lt;0,"*","")</f>
        <v/>
      </c>
      <c r="AC101" s="193">
        <f>xOverTime</f>
        <v>0</v>
      </c>
      <c r="AD101" s="144" t="str">
        <f>IF((R101-U101)&gt;XWorkTimeMax,(R101-U101-XWorkTimeMax),"")</f>
        <v/>
      </c>
      <c r="AE101" s="225">
        <f>IF(AW101,(AE100+SUM(AA101)+(IF(AG101="+",AF101,-AF101))),)</f>
        <v>0</v>
      </c>
      <c r="AF101" s="110"/>
      <c r="AG101" s="627"/>
      <c r="AH101" s="110"/>
      <c r="AI101" s="110" t="str">
        <f>IF(AND(AF101&lt;&gt;"",AF101&lt;=V101),V101-AF101,"")</f>
        <v/>
      </c>
      <c r="AJ101" s="68">
        <f>IF(ISNUMBER(V101 ), IF( V101 &gt;= Y101, Y101, V101 ),"")</f>
        <v>0</v>
      </c>
      <c r="AK101" s="68">
        <f>IF( ISNUMBER( V101 ), IF( V101 &gt;= Y101, V101 - Y101, "" ), "" )</f>
        <v>0</v>
      </c>
      <c r="AL101" s="68" t="str">
        <f>IF( AND(ISNUMBER( V101 ),ISNUMBER( Y101 )), IF( V101 &gt;= Y101, "", Y101 - V101 ), "" )</f>
        <v/>
      </c>
      <c r="AM101">
        <f>IF(A101="",0,IF(ISERROR(VLOOKUP(A101,db_Feiertag,2,FALSE)),WEEKDAY(A101,2),Feiertag))</f>
        <v>4</v>
      </c>
      <c r="AN101" s="122">
        <f>SUM($AD$6:AD101)</f>
        <v>0</v>
      </c>
      <c r="AO101" s="122">
        <f ca="1">IF(D101=D100,AO100,OFFSET(AO101,-1,COLUMN(db_jSaldoGes)-COLUMN()))</f>
        <v>0</v>
      </c>
      <c r="AP101" s="126">
        <f>IF(OR($G101=-1,$G101=82),-1,IF(OR($G101=0,$G101=83),1,0))</f>
        <v>0</v>
      </c>
      <c r="AQ101" s="126">
        <f>IF($F101=Krank,1,IF($F101="J",-1,0))</f>
        <v>0</v>
      </c>
      <c r="AR101" s="126">
        <f>IF($F101=Urlaub,1,IF($F101="T",-1,0))</f>
        <v>0</v>
      </c>
      <c r="AS101" s="125">
        <f>IF(A101="","",AS100-IF(F101=Urlaub,1,0)+IF(AND(MONTH(A101)=1,DAY(A101)=1),B_UrlaubNeu,0))</f>
        <v>30</v>
      </c>
      <c r="AT101" s="125">
        <f ca="1">IF(A101="","",IF(D101=D100,AT100,OFFSET(AT101,-1,COLUMN(db_jUrlRest)-COLUMN()))+IF(AND(MONTH(A101)=1,DAY(A101)=1),B_UrlaubNeu,0))</f>
        <v>30</v>
      </c>
      <c r="AU101" s="135">
        <f>(IF(ISNUMBER(V101),V101,0)+IF(ISNUMBER(AD101),AD101,0))*24</f>
        <v>0</v>
      </c>
      <c r="AV101" s="125">
        <f>IF(ISNUMBER(AD101),K_ArbeitOverMax,IF(AND(ISNUMBER(AA101),AA101&gt;0),K_ArbeitOverTime,IF(AND(ISNUMBER(V101),V101&gt;0),K_ArbeitNormal,IF(F101=Krank,K_Krank,IF(F101=Urlaub,K_Urlaub,IF(AM101=Feiertag,K_Feiertag,IF(OR(AM101=6,AM101=7),K_Wochenende,0)))))))+IF(F101=Gleittag,K_Gleittag,0)</f>
        <v>0</v>
      </c>
      <c r="AW101" t="b">
        <f>OR((F101&gt;0),(NOT(ISBLANK(H101))),SUM(H101:H$373),SUM(G101:G$373))</f>
        <v>0</v>
      </c>
      <c r="AX101" t="b">
        <f ca="1">INDIRECT(ADDRESS(ROW(),COLUMN(xDay)))&gt;5</f>
        <v>0</v>
      </c>
      <c r="AY101" s="600">
        <f>IF(OR(R101&lt;&gt;0,F101&lt;&gt;0),AA101,IF(Z101="",0,-Z101))+(IF(AG101="+",AF101,-AF101))</f>
        <v>-0.29166666666666669</v>
      </c>
      <c r="AZ101" s="225">
        <f>SUM(AY$5:AY101)</f>
        <v>-19.833333333333336</v>
      </c>
      <c r="BA101" s="658"/>
      <c r="BB101" s="658">
        <f>IF(ISNA(MATCH(BA101,B_Arbeitsort,0)),0,MATCH(BA101,B_Arbeitsort,0))</f>
        <v>0</v>
      </c>
      <c r="BC101" s="658"/>
    </row>
    <row r="102" spans="1:55" ht="15.75">
      <c r="A102" s="305">
        <f>IF(A101="","",IF((A101+1)&gt;=DATE(YEAR(xJahr)+1,MONTH(xJahr),DAY(xJahr)),"",A101+1))</f>
        <v>43561</v>
      </c>
      <c r="B102" s="306">
        <f>IF(A102="","",A102)</f>
        <v>43561</v>
      </c>
      <c r="C102" s="307">
        <f>IF(A102="","",NumberOfWeek(A102))</f>
        <v>14</v>
      </c>
      <c r="D102" s="308">
        <f>IF(A102="","",DATE(YEAR(A102),MONTH(A102),1))</f>
        <v>43555</v>
      </c>
      <c r="E102" s="318" t="str">
        <f>IF((R102-U102)&gt;XWorkTimeMax,$Z$4,IF(AV102=Feiertag,VLOOKUP(B102,db_Feiertag,2,FALSE),""))</f>
        <v>Karfreitag</v>
      </c>
      <c r="F102" s="5"/>
      <c r="G102" s="6" t="str">
        <f>IF(ISBLANK(F102),IF(ISBLANK(H102),"",0),CODE(UPPER(F102)))</f>
        <v/>
      </c>
      <c r="H102" s="7"/>
      <c r="I102" s="7">
        <f>IF(H102&gt;0,H102+Y102+X102+AC102,0)</f>
        <v>0</v>
      </c>
      <c r="J102" s="113">
        <f>IF(K102&gt;I102,IF(I102&lt;H102,I102+1,I102)-B_WalkTime,IF(I102&lt;H102,I102+1,I102))</f>
        <v>0</v>
      </c>
      <c r="K102" s="7"/>
      <c r="L102" s="7">
        <f>IF(K102&gt;0,K102+IF((J102-H102)&lt;Y102,Y102-(J102-H102),TIME(0,10,0))+IF((K102-J102)&gt;xNoWorkTime,0,xNoWorkTime-(K102-J102)),0)</f>
        <v>0</v>
      </c>
      <c r="M102" s="113">
        <f>IF(L102&lt;K102,L102+1,L102)</f>
        <v>0</v>
      </c>
      <c r="N102" s="113"/>
      <c r="O102" s="113">
        <f>IF(N102&gt;0,N102+IF((J102-H102+M102-K102)&lt;Y102,Y102-(J102-H102+M102-K102),TIME(0,10,0))+IF((K102-J102+N102-M102)&gt;xNoWorkTime,0,xNoWorkTime-(K102-J102+N102-M102)),0)</f>
        <v>0</v>
      </c>
      <c r="P102" s="113"/>
      <c r="Q102" s="113">
        <f>IF(O102&lt;N102,O102+1,O102)</f>
        <v>0</v>
      </c>
      <c r="R102" s="113">
        <f>J102-H102+M102-K102+Q102-N102</f>
        <v>0</v>
      </c>
      <c r="S102" s="113">
        <f>IF(K102&gt;0,K102-I102,0)+IF(N102&gt;0,N102-L102)</f>
        <v>0</v>
      </c>
      <c r="T102" s="113">
        <f>IF(H102&gt;0,(IF(R102&gt;B_Pause1Nach,B_Pause1Dauer+IF(BA102="Büro",B_WalkTime,0),IF(BA102="Büro",B_WalkTime,0))+IF(R102&gt;B_Pause2Nach,B_Pause2Dauer,0)),0)</f>
        <v>0</v>
      </c>
      <c r="U102" s="113">
        <f>IF(T102&gt;S102,T102-S102,0)</f>
        <v>0</v>
      </c>
      <c r="V102" s="146">
        <f>IF(F102="S",Z102,(IF((R102-U102)&gt;XWorkTimeMax,XWorkTimeMax,IF((R102-U102)&gt;0,R102-U102,0))))</f>
        <v>0</v>
      </c>
      <c r="W102" s="66"/>
      <c r="X102" s="115">
        <f>xNoWorkTime</f>
        <v>4.027777777777778E-2</v>
      </c>
      <c r="Y102" s="110">
        <f>IF(AND((AM102&lt;Feiertag),(G102&lt;&gt;85)),IF(OR(F102="B",F102="G",F102="S",H102&gt;0),H102-H102+Z102,0),0)</f>
        <v>0</v>
      </c>
      <c r="Z102" s="111" t="str">
        <f>IF(AND(AM102&gt;0,AM102&lt;Feiertag),INDEX(Arbeitszeit,AM102),"")</f>
        <v/>
      </c>
      <c r="AA102" s="112">
        <f>V102-Y102</f>
        <v>0</v>
      </c>
      <c r="AB102" s="67" t="str">
        <f>IF((V102-Y102)&lt;0,"*","")</f>
        <v/>
      </c>
      <c r="AC102" s="193">
        <f>xOverTime</f>
        <v>0</v>
      </c>
      <c r="AD102" s="144" t="str">
        <f>IF((R102-U102)&gt;XWorkTimeMax,(R102-U102-XWorkTimeMax),"")</f>
        <v/>
      </c>
      <c r="AE102" s="225">
        <f>IF(AW102,(AE101+SUM(AA102)+(IF(AG102="+",AF102,-AF102))),)</f>
        <v>0</v>
      </c>
      <c r="AF102" s="110"/>
      <c r="AG102" s="627"/>
      <c r="AH102" s="110"/>
      <c r="AI102" s="110" t="str">
        <f>IF(AND(AF102&lt;&gt;"",AF102&lt;=V102),V102-AF102,"")</f>
        <v/>
      </c>
      <c r="AJ102" s="68">
        <f>IF(ISNUMBER(V102 ), IF( V102 &gt;= Y102, Y102, V102 ),"")</f>
        <v>0</v>
      </c>
      <c r="AK102" s="68">
        <f>IF( ISNUMBER( V102 ), IF( V102 &gt;= Y102, V102 - Y102, "" ), "" )</f>
        <v>0</v>
      </c>
      <c r="AL102" s="68" t="str">
        <f>IF( AND(ISNUMBER( V102 ),ISNUMBER( Y102 )), IF( V102 &gt;= Y102, "", Y102 - V102 ), "" )</f>
        <v/>
      </c>
      <c r="AM102">
        <f>IF(A102="",0,IF(ISERROR(VLOOKUP(A102,db_Feiertag,2,FALSE)),WEEKDAY(A102,2),Feiertag))</f>
        <v>8</v>
      </c>
      <c r="AN102" s="122">
        <f>SUM($AD$6:AD102)</f>
        <v>0</v>
      </c>
      <c r="AO102" s="122">
        <f ca="1">IF(D102=D101,AO101,OFFSET(AO102,-1,COLUMN(db_jSaldoGes)-COLUMN()))</f>
        <v>0</v>
      </c>
      <c r="AP102" s="126">
        <f>IF(OR($G102=-1,$G102=82),-1,IF(OR($G102=0,$G102=83),1,0))</f>
        <v>0</v>
      </c>
      <c r="AQ102" s="126">
        <f>IF($F102=Krank,1,IF($F102="J",-1,0))</f>
        <v>0</v>
      </c>
      <c r="AR102" s="126">
        <f>IF($F102=Urlaub,1,IF($F102="T",-1,0))</f>
        <v>0</v>
      </c>
      <c r="AS102" s="125">
        <f>IF(A102="","",AS101-IF(F102=Urlaub,1,0)+IF(AND(MONTH(A102)=1,DAY(A102)=1),B_UrlaubNeu,0))</f>
        <v>30</v>
      </c>
      <c r="AT102" s="125">
        <f ca="1">IF(A102="","",IF(D102=D101,AT101,OFFSET(AT102,-1,COLUMN(db_jUrlRest)-COLUMN()))+IF(AND(MONTH(A102)=1,DAY(A102)=1),B_UrlaubNeu,0))</f>
        <v>30</v>
      </c>
      <c r="AU102" s="135">
        <f>(IF(ISNUMBER(V102),V102,0)+IF(ISNUMBER(AD102),AD102,0))*24</f>
        <v>0</v>
      </c>
      <c r="AV102" s="125">
        <f>IF(ISNUMBER(AD102),K_ArbeitOverMax,IF(AND(ISNUMBER(AA102),AA102&gt;0),K_ArbeitOverTime,IF(AND(ISNUMBER(V102),V102&gt;0),K_ArbeitNormal,IF(F102=Krank,K_Krank,IF(F102=Urlaub,K_Urlaub,IF(AM102=Feiertag,K_Feiertag,IF(OR(AM102=6,AM102=7),K_Wochenende,0)))))))+IF(F102=Gleittag,K_Gleittag,0)</f>
        <v>8</v>
      </c>
      <c r="AW102" t="b">
        <f>OR((F102&gt;0),(NOT(ISBLANK(H102))),SUM(H102:H$373),SUM(G102:G$373))</f>
        <v>0</v>
      </c>
      <c r="AX102" t="b">
        <f ca="1">INDIRECT(ADDRESS(ROW(),COLUMN(xDay)))&gt;5</f>
        <v>1</v>
      </c>
      <c r="AY102" s="600">
        <f>IF(OR(R102&lt;&gt;0,F102&lt;&gt;0),AA102,IF(Z102="",0,-Z102))+(IF(AG102="+",AF102,-AF102))</f>
        <v>0</v>
      </c>
      <c r="AZ102" s="225">
        <f>SUM(AY$5:AY102)</f>
        <v>-19.833333333333336</v>
      </c>
      <c r="BA102" s="643"/>
      <c r="BB102" s="658">
        <f>IF(ISNA(MATCH(BA102,B_Arbeitsort,0)),0,MATCH(BA102,B_Arbeitsort,0))</f>
        <v>0</v>
      </c>
      <c r="BC102" s="643"/>
    </row>
    <row r="103" spans="1:55" ht="15.75">
      <c r="A103" s="305">
        <f>IF(A102="","",IF((A102+1)&gt;=DATE(YEAR(xJahr)+1,MONTH(xJahr),DAY(xJahr)),"",A102+1))</f>
        <v>43562</v>
      </c>
      <c r="B103" s="306">
        <f>IF(A103="","",A103)</f>
        <v>43562</v>
      </c>
      <c r="C103" s="307">
        <f>IF(A103="","",NumberOfWeek(A103))</f>
        <v>14</v>
      </c>
      <c r="D103" s="308">
        <f>IF(A103="","",DATE(YEAR(A103),MONTH(A103),1))</f>
        <v>43555</v>
      </c>
      <c r="E103" s="318" t="str">
        <f>IF((R103-U103)&gt;XWorkTimeMax,$Z$4,IF(AV103=Feiertag,VLOOKUP(B103,db_Feiertag,2,FALSE),""))</f>
        <v/>
      </c>
      <c r="F103" s="5"/>
      <c r="G103" s="6" t="str">
        <f>IF(ISBLANK(F103),IF(ISBLANK(H103),"",0),CODE(UPPER(F103)))</f>
        <v/>
      </c>
      <c r="H103" s="7"/>
      <c r="I103" s="7">
        <f>IF(H103&gt;0,H103+Y103+X103+AC103,0)</f>
        <v>0</v>
      </c>
      <c r="J103" s="113">
        <f>IF(K103&gt;I103,IF(I103&lt;H103,I103+1,I103)-B_WalkTime,IF(I103&lt;H103,I103+1,I103))</f>
        <v>0</v>
      </c>
      <c r="K103" s="7"/>
      <c r="L103" s="7">
        <f>IF(K103&gt;0,K103+IF((J103-H103)&lt;Y103,Y103-(J103-H103),TIME(0,10,0))+IF((K103-J103)&gt;xNoWorkTime,0,xNoWorkTime-(K103-J103)),0)</f>
        <v>0</v>
      </c>
      <c r="M103" s="113">
        <f>IF(L103&lt;K103,L103+1,L103)</f>
        <v>0</v>
      </c>
      <c r="N103" s="113"/>
      <c r="O103" s="113">
        <f>IF(N103&gt;0,N103+IF((J103-H103+M103-K103)&lt;Y103,Y103-(J103-H103+M103-K103),TIME(0,10,0))+IF((K103-J103+N103-M103)&gt;xNoWorkTime,0,xNoWorkTime-(K103-J103+N103-M103)),0)</f>
        <v>0</v>
      </c>
      <c r="P103" s="113"/>
      <c r="Q103" s="113">
        <f>IF(O103&lt;N103,O103+1,O103)</f>
        <v>0</v>
      </c>
      <c r="R103" s="113">
        <f>J103-H103+M103-K103+Q103-N103</f>
        <v>0</v>
      </c>
      <c r="S103" s="113">
        <f>IF(K103&gt;0,K103-I103,0)+IF(N103&gt;0,N103-L103)</f>
        <v>0</v>
      </c>
      <c r="T103" s="113">
        <f>IF(H103&gt;0,(IF(R103&gt;B_Pause1Nach,B_Pause1Dauer+IF(BA103="Büro",B_WalkTime,0),IF(BA103="Büro",B_WalkTime,0))+IF(R103&gt;B_Pause2Nach,B_Pause2Dauer,0)),0)</f>
        <v>0</v>
      </c>
      <c r="U103" s="113">
        <f>IF(T103&gt;S103,T103-S103,0)</f>
        <v>0</v>
      </c>
      <c r="V103" s="146">
        <f>IF(F103="S",Z103,(IF((R103-U103)&gt;XWorkTimeMax,XWorkTimeMax,IF((R103-U103)&gt;0,R103-U103,0))))</f>
        <v>0</v>
      </c>
      <c r="W103" s="66"/>
      <c r="X103" s="115">
        <f>xNoWorkTime</f>
        <v>4.027777777777778E-2</v>
      </c>
      <c r="Y103" s="110">
        <f>IF(AND((AM103&lt;Feiertag),(G103&lt;&gt;85)),IF(OR(F103="B",F103="G",F103="S",H103&gt;0),H103-H103+Z103,0),0)</f>
        <v>0</v>
      </c>
      <c r="Z103" s="111">
        <f>IF(AND(AM103&gt;0,AM103&lt;Feiertag),INDEX(Arbeitszeit,AM103),"")</f>
        <v>0</v>
      </c>
      <c r="AA103" s="112">
        <f>V103-Y103</f>
        <v>0</v>
      </c>
      <c r="AB103" s="67" t="str">
        <f>IF((V103-Y103)&lt;0,"*","")</f>
        <v/>
      </c>
      <c r="AC103" s="193">
        <f>xOverTime</f>
        <v>0</v>
      </c>
      <c r="AD103" s="144" t="str">
        <f>IF((R103-U103)&gt;XWorkTimeMax,(R103-U103-XWorkTimeMax),"")</f>
        <v/>
      </c>
      <c r="AE103" s="225">
        <f>IF(AW103,(AE102+SUM(AA103)+(IF(AG103="+",AF103,-AF103))),)</f>
        <v>0</v>
      </c>
      <c r="AF103" s="110"/>
      <c r="AG103" s="627"/>
      <c r="AH103" s="110"/>
      <c r="AI103" s="110" t="str">
        <f>IF(AND(AF103&lt;&gt;"",AF103&lt;=V103),V103-AF103,"")</f>
        <v/>
      </c>
      <c r="AJ103" s="68">
        <f>IF(ISNUMBER(V103 ), IF( V103 &gt;= Y103, Y103, V103 ),"")</f>
        <v>0</v>
      </c>
      <c r="AK103" s="68">
        <f>IF( ISNUMBER( V103 ), IF( V103 &gt;= Y103, V103 - Y103, "" ), "" )</f>
        <v>0</v>
      </c>
      <c r="AL103" s="68" t="str">
        <f>IF( AND(ISNUMBER( V103 ),ISNUMBER( Y103 )), IF( V103 &gt;= Y103, "", Y103 - V103 ), "" )</f>
        <v/>
      </c>
      <c r="AM103">
        <f>IF(A103="",0,IF(ISERROR(VLOOKUP(A103,db_Feiertag,2,FALSE)),WEEKDAY(A103,2),Feiertag))</f>
        <v>6</v>
      </c>
      <c r="AN103" s="122">
        <f>SUM($AD$6:AD103)</f>
        <v>0</v>
      </c>
      <c r="AO103" s="122">
        <f ca="1">IF(D103=D102,AO102,OFFSET(AO103,-1,COLUMN(db_jSaldoGes)-COLUMN()))</f>
        <v>0</v>
      </c>
      <c r="AP103" s="126">
        <f>IF(OR($G103=-1,$G103=82),-1,IF(OR($G103=0,$G103=83),1,0))</f>
        <v>0</v>
      </c>
      <c r="AQ103" s="126">
        <f>IF($F103=Krank,1,IF($F103="J",-1,0))</f>
        <v>0</v>
      </c>
      <c r="AR103" s="126">
        <f>IF($F103=Urlaub,1,IF($F103="T",-1,0))</f>
        <v>0</v>
      </c>
      <c r="AS103" s="125">
        <f>IF(A103="","",AS102-IF(F103=Urlaub,1,0)+IF(AND(MONTH(A103)=1,DAY(A103)=1),B_UrlaubNeu,0))</f>
        <v>30</v>
      </c>
      <c r="AT103" s="125">
        <f ca="1">IF(A103="","",IF(D103=D102,AT102,OFFSET(AT103,-1,COLUMN(db_jUrlRest)-COLUMN()))+IF(AND(MONTH(A103)=1,DAY(A103)=1),B_UrlaubNeu,0))</f>
        <v>30</v>
      </c>
      <c r="AU103" s="135">
        <f>(IF(ISNUMBER(V103),V103,0)+IF(ISNUMBER(AD103),AD103,0))*24</f>
        <v>0</v>
      </c>
      <c r="AV103" s="125">
        <f>IF(ISNUMBER(AD103),K_ArbeitOverMax,IF(AND(ISNUMBER(AA103),AA103&gt;0),K_ArbeitOverTime,IF(AND(ISNUMBER(V103),V103&gt;0),K_ArbeitNormal,IF(F103=Krank,K_Krank,IF(F103=Urlaub,K_Urlaub,IF(AM103=Feiertag,K_Feiertag,IF(OR(AM103=6,AM103=7),K_Wochenende,0)))))))+IF(F103=Gleittag,K_Gleittag,0)</f>
        <v>7</v>
      </c>
      <c r="AW103" t="b">
        <f>OR((F103&gt;0),(NOT(ISBLANK(H103))),SUM(H103:H$373),SUM(G103:G$373))</f>
        <v>0</v>
      </c>
      <c r="AX103" t="b">
        <f ca="1">INDIRECT(ADDRESS(ROW(),COLUMN(xDay)))&gt;5</f>
        <v>1</v>
      </c>
      <c r="AY103" s="600">
        <f>IF(OR(R103&lt;&gt;0,F103&lt;&gt;0),AA103,IF(Z103="",0,-Z103))+(IF(AG103="+",AF103,-AF103))</f>
        <v>0</v>
      </c>
      <c r="AZ103" s="225">
        <f>SUM(AY$5:AY103)</f>
        <v>-19.833333333333336</v>
      </c>
      <c r="BA103" s="643"/>
      <c r="BB103" s="658">
        <f>IF(ISNA(MATCH(BA103,B_Arbeitsort,0)),0,MATCH(BA103,B_Arbeitsort,0))</f>
        <v>0</v>
      </c>
      <c r="BC103" s="643"/>
    </row>
    <row r="104" spans="1:55" ht="15.75">
      <c r="A104" s="305">
        <f>IF(A103="","",IF((A103+1)&gt;=DATE(YEAR(xJahr)+1,MONTH(xJahr),DAY(xJahr)),"",A103+1))</f>
        <v>43563</v>
      </c>
      <c r="B104" s="306">
        <f>IF(A104="","",A104)</f>
        <v>43563</v>
      </c>
      <c r="C104" s="307">
        <f>IF(A104="","",NumberOfWeek(A104))</f>
        <v>14</v>
      </c>
      <c r="D104" s="308">
        <f>IF(A104="","",DATE(YEAR(A104),MONTH(A104),1))</f>
        <v>43555</v>
      </c>
      <c r="E104" s="318" t="str">
        <f>IF((R104-U104)&gt;XWorkTimeMax,$Z$4,IF(AV104=Feiertag,VLOOKUP(B104,db_Feiertag,2,FALSE),""))</f>
        <v>Ostersonntag</v>
      </c>
      <c r="F104" s="5"/>
      <c r="G104" s="6" t="str">
        <f>IF(ISBLANK(F104),IF(ISBLANK(H104),"",0),CODE(UPPER(F104)))</f>
        <v/>
      </c>
      <c r="H104" s="7"/>
      <c r="I104" s="7">
        <f>IF(H104&gt;0,H104+Y104+X104+AC104,0)</f>
        <v>0</v>
      </c>
      <c r="J104" s="113">
        <f>IF(K104&gt;I104,IF(I104&lt;H104,I104+1,I104)-B_WalkTime,IF(I104&lt;H104,I104+1,I104))</f>
        <v>0</v>
      </c>
      <c r="K104" s="7"/>
      <c r="L104" s="7">
        <f>IF(K104&gt;0,K104+IF((J104-H104)&lt;Y104,Y104-(J104-H104),TIME(0,10,0))+IF((K104-J104)&gt;xNoWorkTime,0,xNoWorkTime-(K104-J104)),0)</f>
        <v>0</v>
      </c>
      <c r="M104" s="113">
        <f>IF(L104&lt;K104,L104+1,L104)</f>
        <v>0</v>
      </c>
      <c r="N104" s="113"/>
      <c r="O104" s="113">
        <f>IF(N104&gt;0,N104+IF((J104-H104+M104-K104)&lt;Y104,Y104-(J104-H104+M104-K104),TIME(0,10,0))+IF((K104-J104+N104-M104)&gt;xNoWorkTime,0,xNoWorkTime-(K104-J104+N104-M104)),0)</f>
        <v>0</v>
      </c>
      <c r="P104" s="113"/>
      <c r="Q104" s="113">
        <f>IF(O104&lt;N104,O104+1,O104)</f>
        <v>0</v>
      </c>
      <c r="R104" s="113">
        <f>J104-H104+M104-K104+Q104-N104</f>
        <v>0</v>
      </c>
      <c r="S104" s="113">
        <f>IF(K104&gt;0,K104-I104,0)+IF(N104&gt;0,N104-L104)</f>
        <v>0</v>
      </c>
      <c r="T104" s="113">
        <f>IF(H104&gt;0,(IF(R104&gt;B_Pause1Nach,B_Pause1Dauer+IF(BA104="Büro",B_WalkTime,0),IF(BA104="Büro",B_WalkTime,0))+IF(R104&gt;B_Pause2Nach,B_Pause2Dauer,0)),0)</f>
        <v>0</v>
      </c>
      <c r="U104" s="113">
        <f>IF(T104&gt;S104,T104-S104,0)</f>
        <v>0</v>
      </c>
      <c r="V104" s="146">
        <f>IF(F104="S",Z104,(IF((R104-U104)&gt;XWorkTimeMax,XWorkTimeMax,IF((R104-U104)&gt;0,R104-U104,0))))</f>
        <v>0</v>
      </c>
      <c r="W104" s="66"/>
      <c r="X104" s="115">
        <f>xNoWorkTime</f>
        <v>4.027777777777778E-2</v>
      </c>
      <c r="Y104" s="110">
        <f>IF(AND((AM104&lt;Feiertag),(G104&lt;&gt;85)),IF(OR(F104="B",F104="G",F104="S",H104&gt;0),H104-H104+Z104,0),0)</f>
        <v>0</v>
      </c>
      <c r="Z104" s="111" t="str">
        <f>IF(AND(AM104&gt;0,AM104&lt;Feiertag),INDEX(Arbeitszeit,AM104),"")</f>
        <v/>
      </c>
      <c r="AA104" s="112">
        <f>V104-Y104</f>
        <v>0</v>
      </c>
      <c r="AB104" s="67" t="str">
        <f>IF((V104-Y104)&lt;0,"*","")</f>
        <v/>
      </c>
      <c r="AC104" s="193">
        <f>xOverTime</f>
        <v>0</v>
      </c>
      <c r="AD104" s="144" t="str">
        <f>IF((R104-U104)&gt;XWorkTimeMax,(R104-U104-XWorkTimeMax),"")</f>
        <v/>
      </c>
      <c r="AE104" s="225">
        <f>IF(AW104,(AE103+SUM(AA104)+(IF(AG104="+",AF104,-AF104))),)</f>
        <v>0</v>
      </c>
      <c r="AF104" s="110"/>
      <c r="AG104" s="627"/>
      <c r="AH104" s="110"/>
      <c r="AI104" s="110" t="str">
        <f>IF(AND(AF104&lt;&gt;"",AF104&lt;=V104),V104-AF104,"")</f>
        <v/>
      </c>
      <c r="AJ104" s="68">
        <f>IF(ISNUMBER(V104 ), IF( V104 &gt;= Y104, Y104, V104 ),"")</f>
        <v>0</v>
      </c>
      <c r="AK104" s="68">
        <f>IF( ISNUMBER( V104 ), IF( V104 &gt;= Y104, V104 - Y104, "" ), "" )</f>
        <v>0</v>
      </c>
      <c r="AL104" s="68" t="str">
        <f>IF( AND(ISNUMBER( V104 ),ISNUMBER( Y104 )), IF( V104 &gt;= Y104, "", Y104 - V104 ), "" )</f>
        <v/>
      </c>
      <c r="AM104">
        <f>IF(A104="",0,IF(ISERROR(VLOOKUP(A104,db_Feiertag,2,FALSE)),WEEKDAY(A104,2),Feiertag))</f>
        <v>8</v>
      </c>
      <c r="AN104" s="122">
        <f>SUM($AD$6:AD104)</f>
        <v>0</v>
      </c>
      <c r="AO104" s="122">
        <f ca="1">IF(D104=D103,AO103,OFFSET(AO104,-1,COLUMN(db_jSaldoGes)-COLUMN()))</f>
        <v>0</v>
      </c>
      <c r="AP104" s="126">
        <f>IF(OR($G104=-1,$G104=82),-1,IF(OR($G104=0,$G104=83),1,0))</f>
        <v>0</v>
      </c>
      <c r="AQ104" s="126">
        <f>IF($F104=Krank,1,IF($F104="J",-1,0))</f>
        <v>0</v>
      </c>
      <c r="AR104" s="126">
        <f>IF($F104=Urlaub,1,IF($F104="T",-1,0))</f>
        <v>0</v>
      </c>
      <c r="AS104" s="125">
        <f>IF(A104="","",AS103-IF(F104=Urlaub,1,0)+IF(AND(MONTH(A104)=1,DAY(A104)=1),B_UrlaubNeu,0))</f>
        <v>30</v>
      </c>
      <c r="AT104" s="125">
        <f ca="1">IF(A104="","",IF(D104=D103,AT103,OFFSET(AT104,-1,COLUMN(db_jUrlRest)-COLUMN()))+IF(AND(MONTH(A104)=1,DAY(A104)=1),B_UrlaubNeu,0))</f>
        <v>30</v>
      </c>
      <c r="AU104" s="135">
        <f>(IF(ISNUMBER(V104),V104,0)+IF(ISNUMBER(AD104),AD104,0))*24</f>
        <v>0</v>
      </c>
      <c r="AV104" s="125">
        <f>IF(ISNUMBER(AD104),K_ArbeitOverMax,IF(AND(ISNUMBER(AA104),AA104&gt;0),K_ArbeitOverTime,IF(AND(ISNUMBER(V104),V104&gt;0),K_ArbeitNormal,IF(F104=Krank,K_Krank,IF(F104=Urlaub,K_Urlaub,IF(AM104=Feiertag,K_Feiertag,IF(OR(AM104=6,AM104=7),K_Wochenende,0)))))))+IF(F104=Gleittag,K_Gleittag,0)</f>
        <v>8</v>
      </c>
      <c r="AW104" t="b">
        <f>OR((F104&gt;0),(NOT(ISBLANK(H104))),SUM(H104:H$373),SUM(G104:G$373))</f>
        <v>0</v>
      </c>
      <c r="AX104" t="b">
        <f ca="1">INDIRECT(ADDRESS(ROW(),COLUMN(xDay)))&gt;5</f>
        <v>1</v>
      </c>
      <c r="AY104" s="600">
        <f>IF(OR(R104&lt;&gt;0,F104&lt;&gt;0),AA104,IF(Z104="",0,-Z104))+(IF(AG104="+",AF104,-AF104))</f>
        <v>0</v>
      </c>
      <c r="AZ104" s="225">
        <f>SUM(AY$5:AY104)</f>
        <v>-19.833333333333336</v>
      </c>
      <c r="BA104" s="643"/>
      <c r="BB104" s="658">
        <f>IF(ISNA(MATCH(BA104,B_Arbeitsort,0)),0,MATCH(BA104,B_Arbeitsort,0))</f>
        <v>0</v>
      </c>
      <c r="BC104" s="643"/>
    </row>
    <row r="105" spans="1:55" ht="15.75">
      <c r="A105" s="305">
        <f>IF(A104="","",IF((A104+1)&gt;=DATE(YEAR(xJahr)+1,MONTH(xJahr),DAY(xJahr)),"",A104+1))</f>
        <v>43564</v>
      </c>
      <c r="B105" s="306">
        <f>IF(A105="","",A105)</f>
        <v>43564</v>
      </c>
      <c r="C105" s="307">
        <f>IF(A105="","",NumberOfWeek(A105))</f>
        <v>15</v>
      </c>
      <c r="D105" s="308">
        <f>IF(A105="","",DATE(YEAR(A105),MONTH(A105),1))</f>
        <v>43555</v>
      </c>
      <c r="E105" s="318" t="str">
        <f>IF((R105-U105)&gt;XWorkTimeMax,$Z$4,IF(AV105=Feiertag,VLOOKUP(B105,db_Feiertag,2,FALSE),""))</f>
        <v>Ostermontag</v>
      </c>
      <c r="F105" s="5"/>
      <c r="G105" s="6" t="str">
        <f>IF(ISBLANK(F105),IF(ISBLANK(H105),"",0),CODE(UPPER(F105)))</f>
        <v/>
      </c>
      <c r="H105" s="7"/>
      <c r="I105" s="7">
        <f>IF(H105&gt;0,H105+Y105+X105+AC105,0)</f>
        <v>0</v>
      </c>
      <c r="J105" s="113">
        <f>IF(K105&gt;I105,IF(I105&lt;H105,I105+1,I105)-B_WalkTime,IF(I105&lt;H105,I105+1,I105))</f>
        <v>0</v>
      </c>
      <c r="K105" s="7"/>
      <c r="L105" s="7">
        <f>IF(K105&gt;0,K105+IF((J105-H105)&lt;Y105,Y105-(J105-H105),TIME(0,10,0))+IF((K105-J105)&gt;xNoWorkTime,0,xNoWorkTime-(K105-J105)),0)</f>
        <v>0</v>
      </c>
      <c r="M105" s="113">
        <f>IF(L105&lt;K105,L105+1,L105)</f>
        <v>0</v>
      </c>
      <c r="N105" s="113"/>
      <c r="O105" s="113">
        <f>IF(N105&gt;0,N105+IF((J105-H105+M105-K105)&lt;Y105,Y105-(J105-H105+M105-K105),TIME(0,10,0))+IF((K105-J105+N105-M105)&gt;xNoWorkTime,0,xNoWorkTime-(K105-J105+N105-M105)),0)</f>
        <v>0</v>
      </c>
      <c r="P105" s="113"/>
      <c r="Q105" s="113">
        <f>IF(O105&lt;N105,O105+1,O105)</f>
        <v>0</v>
      </c>
      <c r="R105" s="113">
        <f>J105-H105+M105-K105+Q105-N105</f>
        <v>0</v>
      </c>
      <c r="S105" s="113">
        <f>IF(K105&gt;0,K105-I105,0)+IF(N105&gt;0,N105-L105)</f>
        <v>0</v>
      </c>
      <c r="T105" s="113">
        <f>IF(H105&gt;0,(IF(R105&gt;B_Pause1Nach,B_Pause1Dauer+IF(BA105="Büro",B_WalkTime,0),IF(BA105="Büro",B_WalkTime,0))+IF(R105&gt;B_Pause2Nach,B_Pause2Dauer,0)),0)</f>
        <v>0</v>
      </c>
      <c r="U105" s="113">
        <f>IF(T105&gt;S105,T105-S105,0)</f>
        <v>0</v>
      </c>
      <c r="V105" s="146">
        <f>IF(F105="S",Z105,(IF((R105-U105)&gt;XWorkTimeMax,XWorkTimeMax,IF((R105-U105)&gt;0,R105-U105,0))))</f>
        <v>0</v>
      </c>
      <c r="W105" s="66"/>
      <c r="X105" s="115">
        <f>xNoWorkTime</f>
        <v>4.027777777777778E-2</v>
      </c>
      <c r="Y105" s="110">
        <f>IF(AND((AM105&lt;Feiertag),(G105&lt;&gt;85)),IF(OR(F105="B",F105="G",F105="S",H105&gt;0),H105-H105+Z105,0),0)</f>
        <v>0</v>
      </c>
      <c r="Z105" s="111" t="str">
        <f>IF(AND(AM105&gt;0,AM105&lt;Feiertag),INDEX(Arbeitszeit,AM105),"")</f>
        <v/>
      </c>
      <c r="AA105" s="112">
        <f>V105-Y105</f>
        <v>0</v>
      </c>
      <c r="AB105" s="67" t="str">
        <f>IF((V105-Y105)&lt;0,"*","")</f>
        <v/>
      </c>
      <c r="AC105" s="193">
        <f>xOverTime</f>
        <v>0</v>
      </c>
      <c r="AD105" s="144" t="str">
        <f>IF((R105-U105)&gt;XWorkTimeMax,(R105-U105-XWorkTimeMax),"")</f>
        <v/>
      </c>
      <c r="AE105" s="225">
        <f>IF(AW105,(AE104+SUM(AA105)+(IF(AG105="+",AF105,-AF105))),)</f>
        <v>0</v>
      </c>
      <c r="AF105" s="110"/>
      <c r="AG105" s="627"/>
      <c r="AH105" s="110"/>
      <c r="AI105" s="110" t="str">
        <f>IF(AND(AF105&lt;&gt;"",AF105&lt;=V105),V105-AF105,"")</f>
        <v/>
      </c>
      <c r="AJ105" s="68">
        <f>IF(ISNUMBER(V105 ), IF( V105 &gt;= Y105, Y105, V105 ),"")</f>
        <v>0</v>
      </c>
      <c r="AK105" s="68">
        <f>IF( ISNUMBER( V105 ), IF( V105 &gt;= Y105, V105 - Y105, "" ), "" )</f>
        <v>0</v>
      </c>
      <c r="AL105" s="68" t="str">
        <f>IF( AND(ISNUMBER( V105 ),ISNUMBER( Y105 )), IF( V105 &gt;= Y105, "", Y105 - V105 ), "" )</f>
        <v/>
      </c>
      <c r="AM105">
        <f>IF(A105="",0,IF(ISERROR(VLOOKUP(A105,db_Feiertag,2,FALSE)),WEEKDAY(A105,2),Feiertag))</f>
        <v>8</v>
      </c>
      <c r="AN105" s="122">
        <f>SUM($AD$6:AD105)</f>
        <v>0</v>
      </c>
      <c r="AO105" s="122">
        <f ca="1">IF(D105=D104,AO104,OFFSET(AO105,-1,COLUMN(db_jSaldoGes)-COLUMN()))</f>
        <v>0</v>
      </c>
      <c r="AP105" s="126">
        <f>IF(OR($G105=-1,$G105=82),-1,IF(OR($G105=0,$G105=83),1,0))</f>
        <v>0</v>
      </c>
      <c r="AQ105" s="126">
        <f>IF($F105=Krank,1,IF($F105="J",-1,0))</f>
        <v>0</v>
      </c>
      <c r="AR105" s="126">
        <f>IF($F105=Urlaub,1,IF($F105="T",-1,0))</f>
        <v>0</v>
      </c>
      <c r="AS105" s="125">
        <f>IF(A105="","",AS104-IF(F105=Urlaub,1,0)+IF(AND(MONTH(A105)=1,DAY(A105)=1),B_UrlaubNeu,0))</f>
        <v>30</v>
      </c>
      <c r="AT105" s="125">
        <f ca="1">IF(A105="","",IF(D105=D104,AT104,OFFSET(AT105,-1,COLUMN(db_jUrlRest)-COLUMN()))+IF(AND(MONTH(A105)=1,DAY(A105)=1),B_UrlaubNeu,0))</f>
        <v>30</v>
      </c>
      <c r="AU105" s="135">
        <f>(IF(ISNUMBER(V105),V105,0)+IF(ISNUMBER(AD105),AD105,0))*24</f>
        <v>0</v>
      </c>
      <c r="AV105" s="125">
        <f>IF(ISNUMBER(AD105),K_ArbeitOverMax,IF(AND(ISNUMBER(AA105),AA105&gt;0),K_ArbeitOverTime,IF(AND(ISNUMBER(V105),V105&gt;0),K_ArbeitNormal,IF(F105=Krank,K_Krank,IF(F105=Urlaub,K_Urlaub,IF(AM105=Feiertag,K_Feiertag,IF(OR(AM105=6,AM105=7),K_Wochenende,0)))))))+IF(F105=Gleittag,K_Gleittag,0)</f>
        <v>8</v>
      </c>
      <c r="AW105" t="b">
        <f>OR((F105&gt;0),(NOT(ISBLANK(H105))),SUM(H105:H$373),SUM(G105:G$373))</f>
        <v>0</v>
      </c>
      <c r="AX105" t="b">
        <f ca="1">INDIRECT(ADDRESS(ROW(),COLUMN(xDay)))&gt;5</f>
        <v>1</v>
      </c>
      <c r="AY105" s="600">
        <f>IF(OR(R105&lt;&gt;0,F105&lt;&gt;0),AA105,IF(Z105="",0,-Z105))+(IF(AG105="+",AF105,-AF105))</f>
        <v>0</v>
      </c>
      <c r="AZ105" s="225">
        <f>SUM(AY$5:AY105)</f>
        <v>-19.833333333333336</v>
      </c>
      <c r="BA105" s="643"/>
      <c r="BB105" s="658">
        <f>IF(ISNA(MATCH(BA105,B_Arbeitsort,0)),0,MATCH(BA105,B_Arbeitsort,0))</f>
        <v>0</v>
      </c>
      <c r="BC105" s="643"/>
    </row>
    <row r="106" spans="1:55" ht="15.75">
      <c r="A106" s="305">
        <f>IF(A105="","",IF((A105+1)&gt;=DATE(YEAR(xJahr)+1,MONTH(xJahr),DAY(xJahr)),"",A105+1))</f>
        <v>43565</v>
      </c>
      <c r="B106" s="306">
        <f>IF(A106="","",A106)</f>
        <v>43565</v>
      </c>
      <c r="C106" s="307">
        <f>IF(A106="","",NumberOfWeek(A106))</f>
        <v>15</v>
      </c>
      <c r="D106" s="308">
        <f>IF(A106="","",DATE(YEAR(A106),MONTH(A106),1))</f>
        <v>43555</v>
      </c>
      <c r="E106" s="318" t="str">
        <f>IF((R106-U106)&gt;XWorkTimeMax,$Z$4,IF(AV106=Feiertag,VLOOKUP(B106,db_Feiertag,2,FALSE),""))</f>
        <v/>
      </c>
      <c r="F106" s="5"/>
      <c r="G106" s="6" t="str">
        <f>IF(ISBLANK(F106),IF(ISBLANK(H106),"",0),CODE(UPPER(F106)))</f>
        <v/>
      </c>
      <c r="H106" s="7"/>
      <c r="I106" s="7">
        <f>IF(H106&gt;0,H106+Y106+X106+AC106,0)</f>
        <v>0</v>
      </c>
      <c r="J106" s="113">
        <f>IF(K106&gt;I106,IF(I106&lt;H106,I106+1,I106)-B_WalkTime,IF(I106&lt;H106,I106+1,I106))</f>
        <v>0</v>
      </c>
      <c r="K106" s="7"/>
      <c r="L106" s="7">
        <f>IF(K106&gt;0,K106+IF((J106-H106)&lt;Y106,Y106-(J106-H106),TIME(0,10,0))+IF((K106-J106)&gt;xNoWorkTime,0,xNoWorkTime-(K106-J106)),0)</f>
        <v>0</v>
      </c>
      <c r="M106" s="113">
        <f>IF(L106&lt;K106,L106+1,L106)</f>
        <v>0</v>
      </c>
      <c r="N106" s="113"/>
      <c r="O106" s="113">
        <f>IF(N106&gt;0,N106+IF((J106-H106+M106-K106)&lt;Y106,Y106-(J106-H106+M106-K106),TIME(0,10,0))+IF((K106-J106+N106-M106)&gt;xNoWorkTime,0,xNoWorkTime-(K106-J106+N106-M106)),0)</f>
        <v>0</v>
      </c>
      <c r="P106" s="113"/>
      <c r="Q106" s="113">
        <f>IF(O106&lt;N106,O106+1,O106)</f>
        <v>0</v>
      </c>
      <c r="R106" s="113">
        <f>J106-H106+M106-K106+Q106-N106</f>
        <v>0</v>
      </c>
      <c r="S106" s="113">
        <f>IF(K106&gt;0,K106-I106,0)+IF(N106&gt;0,N106-L106)</f>
        <v>0</v>
      </c>
      <c r="T106" s="113">
        <f>IF(H106&gt;0,(IF(R106&gt;B_Pause1Nach,B_Pause1Dauer+IF(BA106="Büro",B_WalkTime,0),IF(BA106="Büro",B_WalkTime,0))+IF(R106&gt;B_Pause2Nach,B_Pause2Dauer,0)),0)</f>
        <v>0</v>
      </c>
      <c r="U106" s="113">
        <f>IF(T106&gt;S106,T106-S106,0)</f>
        <v>0</v>
      </c>
      <c r="V106" s="146">
        <f>IF(F106="S",Z106,(IF((R106-U106)&gt;XWorkTimeMax,XWorkTimeMax,IF((R106-U106)&gt;0,R106-U106,0))))</f>
        <v>0</v>
      </c>
      <c r="W106" s="66"/>
      <c r="X106" s="115">
        <f>xNoWorkTime</f>
        <v>4.027777777777778E-2</v>
      </c>
      <c r="Y106" s="110">
        <f>IF(AND((AM106&lt;Feiertag),(G106&lt;&gt;85)),IF(OR(F106="B",F106="G",F106="S",H106&gt;0),H106-H106+Z106,0),0)</f>
        <v>0</v>
      </c>
      <c r="Z106" s="111">
        <f>IF(AND(AM106&gt;0,AM106&lt;Feiertag),INDEX(Arbeitszeit,AM106),"")</f>
        <v>0.29166666666666669</v>
      </c>
      <c r="AA106" s="112">
        <f>V106-Y106</f>
        <v>0</v>
      </c>
      <c r="AB106" s="67" t="str">
        <f>IF((V106-Y106)&lt;0,"*","")</f>
        <v/>
      </c>
      <c r="AC106" s="193">
        <f>xOverTime</f>
        <v>0</v>
      </c>
      <c r="AD106" s="144" t="str">
        <f>IF((R106-U106)&gt;XWorkTimeMax,(R106-U106-XWorkTimeMax),"")</f>
        <v/>
      </c>
      <c r="AE106" s="225">
        <f>IF(AW106,(AE105+SUM(AA106)+(IF(AG106="+",AF106,-AF106))),)</f>
        <v>0</v>
      </c>
      <c r="AF106" s="110"/>
      <c r="AG106" s="627"/>
      <c r="AH106" s="110"/>
      <c r="AI106" s="110" t="str">
        <f>IF(AND(AF106&lt;&gt;"",AF106&lt;=V106),V106-AF106,"")</f>
        <v/>
      </c>
      <c r="AJ106" s="68">
        <f>IF(ISNUMBER(V106 ), IF( V106 &gt;= Y106, Y106, V106 ),"")</f>
        <v>0</v>
      </c>
      <c r="AK106" s="68">
        <f>IF( ISNUMBER( V106 ), IF( V106 &gt;= Y106, V106 - Y106, "" ), "" )</f>
        <v>0</v>
      </c>
      <c r="AL106" s="68" t="str">
        <f>IF( AND(ISNUMBER( V106 ),ISNUMBER( Y106 )), IF( V106 &gt;= Y106, "", Y106 - V106 ), "" )</f>
        <v/>
      </c>
      <c r="AM106">
        <f>IF(A106="",0,IF(ISERROR(VLOOKUP(A106,db_Feiertag,2,FALSE)),WEEKDAY(A106,2),Feiertag))</f>
        <v>2</v>
      </c>
      <c r="AN106" s="122">
        <f>SUM($AD$6:AD106)</f>
        <v>0</v>
      </c>
      <c r="AO106" s="122">
        <f ca="1">IF(D106=D105,AO105,OFFSET(AO106,-1,COLUMN(db_jSaldoGes)-COLUMN()))</f>
        <v>0</v>
      </c>
      <c r="AP106" s="126">
        <f>IF(OR($G106=-1,$G106=82),-1,IF(OR($G106=0,$G106=83),1,0))</f>
        <v>0</v>
      </c>
      <c r="AQ106" s="126">
        <f>IF($F106=Krank,1,IF($F106="J",-1,0))</f>
        <v>0</v>
      </c>
      <c r="AR106" s="126">
        <f>IF($F106=Urlaub,1,IF($F106="T",-1,0))</f>
        <v>0</v>
      </c>
      <c r="AS106" s="125">
        <f>IF(A106="","",AS105-IF(F106=Urlaub,1,0)+IF(AND(MONTH(A106)=1,DAY(A106)=1),B_UrlaubNeu,0))</f>
        <v>30</v>
      </c>
      <c r="AT106" s="125">
        <f ca="1">IF(A106="","",IF(D106=D105,AT105,OFFSET(AT106,-1,COLUMN(db_jUrlRest)-COLUMN()))+IF(AND(MONTH(A106)=1,DAY(A106)=1),B_UrlaubNeu,0))</f>
        <v>30</v>
      </c>
      <c r="AU106" s="135">
        <f>(IF(ISNUMBER(V106),V106,0)+IF(ISNUMBER(AD106),AD106,0))*24</f>
        <v>0</v>
      </c>
      <c r="AV106" s="125">
        <f>IF(ISNUMBER(AD106),K_ArbeitOverMax,IF(AND(ISNUMBER(AA106),AA106&gt;0),K_ArbeitOverTime,IF(AND(ISNUMBER(V106),V106&gt;0),K_ArbeitNormal,IF(F106=Krank,K_Krank,IF(F106=Urlaub,K_Urlaub,IF(AM106=Feiertag,K_Feiertag,IF(OR(AM106=6,AM106=7),K_Wochenende,0)))))))+IF(F106=Gleittag,K_Gleittag,0)</f>
        <v>0</v>
      </c>
      <c r="AW106" t="b">
        <f>OR((F106&gt;0),(NOT(ISBLANK(H106))),SUM(H106:H$373),SUM(G106:G$373))</f>
        <v>0</v>
      </c>
      <c r="AX106" t="b">
        <f ca="1">INDIRECT(ADDRESS(ROW(),COLUMN(xDay)))&gt;5</f>
        <v>0</v>
      </c>
      <c r="AY106" s="600">
        <f>IF(OR(R106&lt;&gt;0,F106&lt;&gt;0),AA106,IF(Z106="",0,-Z106))+(IF(AG106="+",AF106,-AF106))</f>
        <v>-0.29166666666666669</v>
      </c>
      <c r="AZ106" s="225">
        <f>SUM(AY$5:AY106)</f>
        <v>-20.125000000000004</v>
      </c>
      <c r="BA106" s="658"/>
      <c r="BB106" s="658">
        <f>IF(ISNA(MATCH(BA106,B_Arbeitsort,0)),0,MATCH(BA106,B_Arbeitsort,0))</f>
        <v>0</v>
      </c>
      <c r="BC106" s="658"/>
    </row>
    <row r="107" spans="1:55" ht="15.75">
      <c r="A107" s="305">
        <f>IF(A106="","",IF((A106+1)&gt;=DATE(YEAR(xJahr)+1,MONTH(xJahr),DAY(xJahr)),"",A106+1))</f>
        <v>43566</v>
      </c>
      <c r="B107" s="306">
        <f>IF(A107="","",A107)</f>
        <v>43566</v>
      </c>
      <c r="C107" s="307">
        <f>IF(A107="","",NumberOfWeek(A107))</f>
        <v>15</v>
      </c>
      <c r="D107" s="308">
        <f>IF(A107="","",DATE(YEAR(A107),MONTH(A107),1))</f>
        <v>43555</v>
      </c>
      <c r="E107" s="318" t="str">
        <f>IF((R107-U107)&gt;XWorkTimeMax,$Z$4,IF(AV107=Feiertag,VLOOKUP(B107,db_Feiertag,2,FALSE),""))</f>
        <v/>
      </c>
      <c r="F107" s="5"/>
      <c r="G107" s="6" t="str">
        <f>IF(ISBLANK(F107),IF(ISBLANK(H107),"",0),CODE(UPPER(F107)))</f>
        <v/>
      </c>
      <c r="H107" s="7"/>
      <c r="I107" s="7">
        <f>IF(H107&gt;0,H107+Y107+X107+AC107,0)</f>
        <v>0</v>
      </c>
      <c r="J107" s="113">
        <f>IF(K107&gt;I107,IF(I107&lt;H107,I107+1,I107)-B_WalkTime,IF(I107&lt;H107,I107+1,I107))</f>
        <v>0</v>
      </c>
      <c r="K107" s="7"/>
      <c r="L107" s="7">
        <f>IF(K107&gt;0,K107+IF((J107-H107)&lt;Y107,Y107-(J107-H107),TIME(0,10,0))+IF((K107-J107)&gt;xNoWorkTime,0,xNoWorkTime-(K107-J107)),0)</f>
        <v>0</v>
      </c>
      <c r="M107" s="113">
        <f>IF(L107&lt;K107,L107+1,L107)</f>
        <v>0</v>
      </c>
      <c r="N107" s="113"/>
      <c r="O107" s="113">
        <f>IF(N107&gt;0,N107+IF((J107-H107+M107-K107)&lt;Y107,Y107-(J107-H107+M107-K107),TIME(0,10,0))+IF((K107-J107+N107-M107)&gt;xNoWorkTime,0,xNoWorkTime-(K107-J107+N107-M107)),0)</f>
        <v>0</v>
      </c>
      <c r="P107" s="113"/>
      <c r="Q107" s="113">
        <f>IF(O107&lt;N107,O107+1,O107)</f>
        <v>0</v>
      </c>
      <c r="R107" s="113">
        <f>J107-H107+M107-K107+Q107-N107</f>
        <v>0</v>
      </c>
      <c r="S107" s="113">
        <f>IF(K107&gt;0,K107-I107,0)+IF(N107&gt;0,N107-L107)</f>
        <v>0</v>
      </c>
      <c r="T107" s="113">
        <f>IF(H107&gt;0,(IF(R107&gt;B_Pause1Nach,B_Pause1Dauer+IF(BA107="Büro",B_WalkTime,0),IF(BA107="Büro",B_WalkTime,0))+IF(R107&gt;B_Pause2Nach,B_Pause2Dauer,0)),0)</f>
        <v>0</v>
      </c>
      <c r="U107" s="113">
        <f>IF(T107&gt;S107,T107-S107,0)</f>
        <v>0</v>
      </c>
      <c r="V107" s="146">
        <f>IF(F107="S",Z107,(IF((R107-U107)&gt;XWorkTimeMax,XWorkTimeMax,IF((R107-U107)&gt;0,R107-U107,0))))</f>
        <v>0</v>
      </c>
      <c r="W107" s="66"/>
      <c r="X107" s="115">
        <f>xNoWorkTime</f>
        <v>4.027777777777778E-2</v>
      </c>
      <c r="Y107" s="110">
        <f>IF(AND((AM107&lt;Feiertag),(G107&lt;&gt;85)),IF(OR(F107="B",F107="G",F107="S",H107&gt;0),H107-H107+Z107,0),0)</f>
        <v>0</v>
      </c>
      <c r="Z107" s="111">
        <f>IF(AND(AM107&gt;0,AM107&lt;Feiertag),INDEX(Arbeitszeit,AM107),"")</f>
        <v>0.29166666666666669</v>
      </c>
      <c r="AA107" s="112">
        <f>V107-Y107</f>
        <v>0</v>
      </c>
      <c r="AB107" s="67" t="str">
        <f>IF((V107-Y107)&lt;0,"*","")</f>
        <v/>
      </c>
      <c r="AC107" s="193">
        <f>xOverTime</f>
        <v>0</v>
      </c>
      <c r="AD107" s="144" t="str">
        <f>IF((R107-U107)&gt;XWorkTimeMax,(R107-U107-XWorkTimeMax),"")</f>
        <v/>
      </c>
      <c r="AE107" s="225">
        <f>IF(AW107,(AE106+SUM(AA107)+(IF(AG107="+",AF107,-AF107))),)</f>
        <v>0</v>
      </c>
      <c r="AF107" s="110"/>
      <c r="AG107" s="627"/>
      <c r="AH107" s="110"/>
      <c r="AI107" s="110" t="str">
        <f>IF(AND(AF107&lt;&gt;"",AF107&lt;=V107),V107-AF107,"")</f>
        <v/>
      </c>
      <c r="AJ107" s="68">
        <f>IF(ISNUMBER(V107 ), IF( V107 &gt;= Y107, Y107, V107 ),"")</f>
        <v>0</v>
      </c>
      <c r="AK107" s="68">
        <f>IF( ISNUMBER( V107 ), IF( V107 &gt;= Y107, V107 - Y107, "" ), "" )</f>
        <v>0</v>
      </c>
      <c r="AL107" s="68" t="str">
        <f>IF( AND(ISNUMBER( V107 ),ISNUMBER( Y107 )), IF( V107 &gt;= Y107, "", Y107 - V107 ), "" )</f>
        <v/>
      </c>
      <c r="AM107">
        <f>IF(A107="",0,IF(ISERROR(VLOOKUP(A107,db_Feiertag,2,FALSE)),WEEKDAY(A107,2),Feiertag))</f>
        <v>3</v>
      </c>
      <c r="AN107" s="122">
        <f>SUM($AD$6:AD107)</f>
        <v>0</v>
      </c>
      <c r="AO107" s="122">
        <f ca="1">IF(D107=D106,AO106,OFFSET(AO107,-1,COLUMN(db_jSaldoGes)-COLUMN()))</f>
        <v>0</v>
      </c>
      <c r="AP107" s="126">
        <f>IF(OR($G107=-1,$G107=82),-1,IF(OR($G107=0,$G107=83),1,0))</f>
        <v>0</v>
      </c>
      <c r="AQ107" s="126">
        <f>IF($F107=Krank,1,IF($F107="J",-1,0))</f>
        <v>0</v>
      </c>
      <c r="AR107" s="126">
        <f>IF($F107=Urlaub,1,IF($F107="T",-1,0))</f>
        <v>0</v>
      </c>
      <c r="AS107" s="125">
        <f>IF(A107="","",AS106-IF(F107=Urlaub,1,0)+IF(AND(MONTH(A107)=1,DAY(A107)=1),B_UrlaubNeu,0))</f>
        <v>30</v>
      </c>
      <c r="AT107" s="125">
        <f ca="1">IF(A107="","",IF(D107=D106,AT106,OFFSET(AT107,-1,COLUMN(db_jUrlRest)-COLUMN()))+IF(AND(MONTH(A107)=1,DAY(A107)=1),B_UrlaubNeu,0))</f>
        <v>30</v>
      </c>
      <c r="AU107" s="135">
        <f>(IF(ISNUMBER(V107),V107,0)+IF(ISNUMBER(AD107),AD107,0))*24</f>
        <v>0</v>
      </c>
      <c r="AV107" s="125">
        <f>IF(ISNUMBER(AD107),K_ArbeitOverMax,IF(AND(ISNUMBER(AA107),AA107&gt;0),K_ArbeitOverTime,IF(AND(ISNUMBER(V107),V107&gt;0),K_ArbeitNormal,IF(F107=Krank,K_Krank,IF(F107=Urlaub,K_Urlaub,IF(AM107=Feiertag,K_Feiertag,IF(OR(AM107=6,AM107=7),K_Wochenende,0)))))))+IF(F107=Gleittag,K_Gleittag,0)</f>
        <v>0</v>
      </c>
      <c r="AW107" t="b">
        <f>OR((F107&gt;0),(NOT(ISBLANK(H107))),SUM(H107:H$373),SUM(G107:G$373))</f>
        <v>0</v>
      </c>
      <c r="AX107" t="b">
        <f ca="1">INDIRECT(ADDRESS(ROW(),COLUMN(xDay)))&gt;5</f>
        <v>0</v>
      </c>
      <c r="AY107" s="600">
        <f>IF(OR(R107&lt;&gt;0,F107&lt;&gt;0),AA107,IF(Z107="",0,-Z107))+(IF(AG107="+",AF107,-AF107))</f>
        <v>-0.29166666666666669</v>
      </c>
      <c r="AZ107" s="225">
        <f>SUM(AY$5:AY107)</f>
        <v>-20.416666666666671</v>
      </c>
      <c r="BA107" s="658"/>
      <c r="BB107" s="658">
        <f>IF(ISNA(MATCH(BA107,B_Arbeitsort,0)),0,MATCH(BA107,B_Arbeitsort,0))</f>
        <v>0</v>
      </c>
      <c r="BC107" s="658"/>
    </row>
    <row r="108" spans="1:55" ht="15.75">
      <c r="A108" s="305">
        <f>IF(A107="","",IF((A107+1)&gt;=DATE(YEAR(xJahr)+1,MONTH(xJahr),DAY(xJahr)),"",A107+1))</f>
        <v>43567</v>
      </c>
      <c r="B108" s="306">
        <f>IF(A108="","",A108)</f>
        <v>43567</v>
      </c>
      <c r="C108" s="307">
        <f>IF(A108="","",NumberOfWeek(A108))</f>
        <v>15</v>
      </c>
      <c r="D108" s="308">
        <f>IF(A108="","",DATE(YEAR(A108),MONTH(A108),1))</f>
        <v>43555</v>
      </c>
      <c r="E108" s="318" t="str">
        <f>IF((R108-U108)&gt;XWorkTimeMax,$Z$4,IF(AV108=Feiertag,VLOOKUP(B108,db_Feiertag,2,FALSE),""))</f>
        <v/>
      </c>
      <c r="F108" s="5"/>
      <c r="G108" s="6" t="str">
        <f>IF(ISBLANK(F108),IF(ISBLANK(H108),"",0),CODE(UPPER(F108)))</f>
        <v/>
      </c>
      <c r="H108" s="7"/>
      <c r="I108" s="7">
        <f>IF(H108&gt;0,H108+Y108+X108+AC108,0)</f>
        <v>0</v>
      </c>
      <c r="J108" s="113">
        <f>IF(K108&gt;I108,IF(I108&lt;H108,I108+1,I108)-B_WalkTime,IF(I108&lt;H108,I108+1,I108))</f>
        <v>0</v>
      </c>
      <c r="K108" s="7"/>
      <c r="L108" s="7">
        <f>IF(K108&gt;0,K108+IF((J108-H108)&lt;Y108,Y108-(J108-H108),TIME(0,10,0))+IF((K108-J108)&gt;xNoWorkTime,0,xNoWorkTime-(K108-J108)),0)</f>
        <v>0</v>
      </c>
      <c r="M108" s="113">
        <f>IF(L108&lt;K108,L108+1,L108)</f>
        <v>0</v>
      </c>
      <c r="N108" s="113"/>
      <c r="O108" s="113">
        <f>IF(N108&gt;0,N108+IF((J108-H108+M108-K108)&lt;Y108,Y108-(J108-H108+M108-K108),TIME(0,10,0))+IF((K108-J108+N108-M108)&gt;xNoWorkTime,0,xNoWorkTime-(K108-J108+N108-M108)),0)</f>
        <v>0</v>
      </c>
      <c r="P108" s="113"/>
      <c r="Q108" s="113">
        <f>IF(O108&lt;N108,O108+1,O108)</f>
        <v>0</v>
      </c>
      <c r="R108" s="113">
        <f>J108-H108+M108-K108+Q108-N108</f>
        <v>0</v>
      </c>
      <c r="S108" s="113">
        <f>IF(K108&gt;0,K108-I108,0)+IF(N108&gt;0,N108-L108)</f>
        <v>0</v>
      </c>
      <c r="T108" s="113">
        <f>IF(H108&gt;0,(IF(R108&gt;B_Pause1Nach,B_Pause1Dauer+IF(BA108="Büro",B_WalkTime,0),IF(BA108="Büro",B_WalkTime,0))+IF(R108&gt;B_Pause2Nach,B_Pause2Dauer,0)),0)</f>
        <v>0</v>
      </c>
      <c r="U108" s="113">
        <f>IF(T108&gt;S108,T108-S108,0)</f>
        <v>0</v>
      </c>
      <c r="V108" s="146">
        <f>IF(F108="S",Z108,(IF((R108-U108)&gt;XWorkTimeMax,XWorkTimeMax,IF((R108-U108)&gt;0,R108-U108,0))))</f>
        <v>0</v>
      </c>
      <c r="W108" s="66"/>
      <c r="X108" s="115">
        <f>xNoWorkTime</f>
        <v>4.027777777777778E-2</v>
      </c>
      <c r="Y108" s="110">
        <f>IF(AND((AM108&lt;Feiertag),(G108&lt;&gt;85)),IF(OR(F108="B",F108="G",F108="S",H108&gt;0),H108-H108+Z108,0),0)</f>
        <v>0</v>
      </c>
      <c r="Z108" s="111">
        <f>IF(AND(AM108&gt;0,AM108&lt;Feiertag),INDEX(Arbeitszeit,AM108),"")</f>
        <v>0.29166666666666669</v>
      </c>
      <c r="AA108" s="112">
        <f>V108-Y108</f>
        <v>0</v>
      </c>
      <c r="AB108" s="67" t="str">
        <f>IF((V108-Y108)&lt;0,"*","")</f>
        <v/>
      </c>
      <c r="AC108" s="193">
        <f>xOverTime</f>
        <v>0</v>
      </c>
      <c r="AD108" s="144" t="str">
        <f>IF((R108-U108)&gt;XWorkTimeMax,(R108-U108-XWorkTimeMax),"")</f>
        <v/>
      </c>
      <c r="AE108" s="225">
        <f>IF(AW108,(AE107+SUM(AA108)+(IF(AG108="+",AF108,-AF108))),)</f>
        <v>0</v>
      </c>
      <c r="AF108" s="110"/>
      <c r="AG108" s="627"/>
      <c r="AH108" s="110"/>
      <c r="AI108" s="110" t="str">
        <f>IF(AND(AF108&lt;&gt;"",AF108&lt;=V108),V108-AF108,"")</f>
        <v/>
      </c>
      <c r="AJ108" s="68">
        <f>IF(ISNUMBER(V108 ), IF( V108 &gt;= Y108, Y108, V108 ),"")</f>
        <v>0</v>
      </c>
      <c r="AK108" s="68">
        <f>IF( ISNUMBER( V108 ), IF( V108 &gt;= Y108, V108 - Y108, "" ), "" )</f>
        <v>0</v>
      </c>
      <c r="AL108" s="68" t="str">
        <f>IF( AND(ISNUMBER( V108 ),ISNUMBER( Y108 )), IF( V108 &gt;= Y108, "", Y108 - V108 ), "" )</f>
        <v/>
      </c>
      <c r="AM108">
        <f>IF(A108="",0,IF(ISERROR(VLOOKUP(A108,db_Feiertag,2,FALSE)),WEEKDAY(A108,2),Feiertag))</f>
        <v>4</v>
      </c>
      <c r="AN108" s="122">
        <f>SUM($AD$6:AD108)</f>
        <v>0</v>
      </c>
      <c r="AO108" s="122">
        <f ca="1">IF(D108=D107,AO107,OFFSET(AO108,-1,COLUMN(db_jSaldoGes)-COLUMN()))</f>
        <v>0</v>
      </c>
      <c r="AP108" s="126">
        <f>IF(OR($G108=-1,$G108=82),-1,IF(OR($G108=0,$G108=83),1,0))</f>
        <v>0</v>
      </c>
      <c r="AQ108" s="126">
        <f>IF($F108=Krank,1,IF($F108="J",-1,0))</f>
        <v>0</v>
      </c>
      <c r="AR108" s="126">
        <f>IF($F108=Urlaub,1,IF($F108="T",-1,0))</f>
        <v>0</v>
      </c>
      <c r="AS108" s="125">
        <f>IF(A108="","",AS107-IF(F108=Urlaub,1,0)+IF(AND(MONTH(A108)=1,DAY(A108)=1),B_UrlaubNeu,0))</f>
        <v>30</v>
      </c>
      <c r="AT108" s="125">
        <f ca="1">IF(A108="","",IF(D108=D107,AT107,OFFSET(AT108,-1,COLUMN(db_jUrlRest)-COLUMN()))+IF(AND(MONTH(A108)=1,DAY(A108)=1),B_UrlaubNeu,0))</f>
        <v>30</v>
      </c>
      <c r="AU108" s="135">
        <f>(IF(ISNUMBER(V108),V108,0)+IF(ISNUMBER(AD108),AD108,0))*24</f>
        <v>0</v>
      </c>
      <c r="AV108" s="125">
        <f>IF(ISNUMBER(AD108),K_ArbeitOverMax,IF(AND(ISNUMBER(AA108),AA108&gt;0),K_ArbeitOverTime,IF(AND(ISNUMBER(V108),V108&gt;0),K_ArbeitNormal,IF(F108=Krank,K_Krank,IF(F108=Urlaub,K_Urlaub,IF(AM108=Feiertag,K_Feiertag,IF(OR(AM108=6,AM108=7),K_Wochenende,0)))))))+IF(F108=Gleittag,K_Gleittag,0)</f>
        <v>0</v>
      </c>
      <c r="AW108" t="b">
        <f>OR((F108&gt;0),(NOT(ISBLANK(H108))),SUM(H108:H$373),SUM(G108:G$373))</f>
        <v>0</v>
      </c>
      <c r="AX108" t="b">
        <f ca="1">INDIRECT(ADDRESS(ROW(),COLUMN(xDay)))&gt;5</f>
        <v>0</v>
      </c>
      <c r="AY108" s="600">
        <f>IF(OR(R108&lt;&gt;0,F108&lt;&gt;0),AA108,IF(Z108="",0,-Z108))+(IF(AG108="+",AF108,-AF108))</f>
        <v>-0.29166666666666669</v>
      </c>
      <c r="AZ108" s="225">
        <f>SUM(AY$5:AY108)</f>
        <v>-20.708333333333339</v>
      </c>
      <c r="BA108" s="658"/>
      <c r="BB108" s="658">
        <f>IF(ISNA(MATCH(BA108,B_Arbeitsort,0)),0,MATCH(BA108,B_Arbeitsort,0))</f>
        <v>0</v>
      </c>
      <c r="BC108" s="658"/>
    </row>
    <row r="109" spans="1:55" ht="15.75">
      <c r="A109" s="305">
        <f>IF(A108="","",IF((A108+1)&gt;=DATE(YEAR(xJahr)+1,MONTH(xJahr),DAY(xJahr)),"",A108+1))</f>
        <v>43568</v>
      </c>
      <c r="B109" s="306">
        <f>IF(A109="","",A109)</f>
        <v>43568</v>
      </c>
      <c r="C109" s="307">
        <f>IF(A109="","",NumberOfWeek(A109))</f>
        <v>15</v>
      </c>
      <c r="D109" s="308">
        <f>IF(A109="","",DATE(YEAR(A109),MONTH(A109),1))</f>
        <v>43555</v>
      </c>
      <c r="E109" s="318" t="str">
        <f>IF((R109-U109)&gt;XWorkTimeMax,$Z$4,IF(AV109=Feiertag,VLOOKUP(B109,db_Feiertag,2,FALSE),""))</f>
        <v/>
      </c>
      <c r="F109" s="5"/>
      <c r="G109" s="6" t="str">
        <f>IF(ISBLANK(F109),IF(ISBLANK(H109),"",0),CODE(UPPER(F109)))</f>
        <v/>
      </c>
      <c r="H109" s="7"/>
      <c r="I109" s="7">
        <f>IF(H109&gt;0,H109+Y109+X109+AC109,0)</f>
        <v>0</v>
      </c>
      <c r="J109" s="113">
        <f>IF(K109&gt;I109,IF(I109&lt;H109,I109+1,I109)-B_WalkTime,IF(I109&lt;H109,I109+1,I109))</f>
        <v>0</v>
      </c>
      <c r="K109" s="7"/>
      <c r="L109" s="7">
        <f>IF(K109&gt;0,K109+IF((J109-H109)&lt;Y109,Y109-(J109-H109),TIME(0,10,0))+IF((K109-J109)&gt;xNoWorkTime,0,xNoWorkTime-(K109-J109)),0)</f>
        <v>0</v>
      </c>
      <c r="M109" s="113">
        <f>IF(L109&lt;K109,L109+1,L109)</f>
        <v>0</v>
      </c>
      <c r="N109" s="113"/>
      <c r="O109" s="113">
        <f>IF(N109&gt;0,N109+IF((J109-H109+M109-K109)&lt;Y109,Y109-(J109-H109+M109-K109),TIME(0,10,0))+IF((K109-J109+N109-M109)&gt;xNoWorkTime,0,xNoWorkTime-(K109-J109+N109-M109)),0)</f>
        <v>0</v>
      </c>
      <c r="P109" s="113"/>
      <c r="Q109" s="113">
        <f>IF(O109&lt;N109,O109+1,O109)</f>
        <v>0</v>
      </c>
      <c r="R109" s="113">
        <f>J109-H109+M109-K109+Q109-N109</f>
        <v>0</v>
      </c>
      <c r="S109" s="113">
        <f>IF(K109&gt;0,K109-I109,0)+IF(N109&gt;0,N109-L109)</f>
        <v>0</v>
      </c>
      <c r="T109" s="113">
        <f>IF(H109&gt;0,(IF(R109&gt;B_Pause1Nach,B_Pause1Dauer+IF(BA109="Büro",B_WalkTime,0),IF(BA109="Büro",B_WalkTime,0))+IF(R109&gt;B_Pause2Nach,B_Pause2Dauer,0)),0)</f>
        <v>0</v>
      </c>
      <c r="U109" s="113">
        <f>IF(T109&gt;S109,T109-S109,0)</f>
        <v>0</v>
      </c>
      <c r="V109" s="146">
        <f>IF(F109="S",Z109,(IF((R109-U109)&gt;XWorkTimeMax,XWorkTimeMax,IF((R109-U109)&gt;0,R109-U109,0))))</f>
        <v>0</v>
      </c>
      <c r="W109" s="66"/>
      <c r="X109" s="115">
        <f>xNoWorkTime</f>
        <v>4.027777777777778E-2</v>
      </c>
      <c r="Y109" s="110">
        <f>IF(AND((AM109&lt;Feiertag),(G109&lt;&gt;85)),IF(OR(F109="B",F109="G",F109="S",H109&gt;0),H109-H109+Z109,0),0)</f>
        <v>0</v>
      </c>
      <c r="Z109" s="111">
        <f>IF(AND(AM109&gt;0,AM109&lt;Feiertag),INDEX(Arbeitszeit,AM109),"")</f>
        <v>0.29166666666666669</v>
      </c>
      <c r="AA109" s="112">
        <f>V109-Y109</f>
        <v>0</v>
      </c>
      <c r="AB109" s="67" t="str">
        <f>IF((V109-Y109)&lt;0,"*","")</f>
        <v/>
      </c>
      <c r="AC109" s="193">
        <f>xOverTime</f>
        <v>0</v>
      </c>
      <c r="AD109" s="144" t="str">
        <f>IF((R109-U109)&gt;XWorkTimeMax,(R109-U109-XWorkTimeMax),"")</f>
        <v/>
      </c>
      <c r="AE109" s="225">
        <f>IF(AW109,(AE108+SUM(AA109)+(IF(AG109="+",AF109,-AF109))),)</f>
        <v>0</v>
      </c>
      <c r="AF109" s="110"/>
      <c r="AG109" s="627"/>
      <c r="AH109" s="110"/>
      <c r="AI109" s="110" t="str">
        <f>IF(AND(AF109&lt;&gt;"",AF109&lt;=V109),V109-AF109,"")</f>
        <v/>
      </c>
      <c r="AJ109" s="68">
        <f>IF(ISNUMBER(V109 ), IF( V109 &gt;= Y109, Y109, V109 ),"")</f>
        <v>0</v>
      </c>
      <c r="AK109" s="68">
        <f>IF( ISNUMBER( V109 ), IF( V109 &gt;= Y109, V109 - Y109, "" ), "" )</f>
        <v>0</v>
      </c>
      <c r="AL109" s="68" t="str">
        <f>IF( AND(ISNUMBER( V109 ),ISNUMBER( Y109 )), IF( V109 &gt;= Y109, "", Y109 - V109 ), "" )</f>
        <v/>
      </c>
      <c r="AM109">
        <f>IF(A109="",0,IF(ISERROR(VLOOKUP(A109,db_Feiertag,2,FALSE)),WEEKDAY(A109,2),Feiertag))</f>
        <v>5</v>
      </c>
      <c r="AN109" s="122">
        <f>SUM($AD$6:AD109)</f>
        <v>0</v>
      </c>
      <c r="AO109" s="122">
        <f ca="1">IF(D109=D108,AO108,OFFSET(AO109,-1,COLUMN(db_jSaldoGes)-COLUMN()))</f>
        <v>0</v>
      </c>
      <c r="AP109" s="126">
        <f>IF(OR($G109=-1,$G109=82),-1,IF(OR($G109=0,$G109=83),1,0))</f>
        <v>0</v>
      </c>
      <c r="AQ109" s="126">
        <f>IF($F109=Krank,1,IF($F109="J",-1,0))</f>
        <v>0</v>
      </c>
      <c r="AR109" s="126">
        <f>IF($F109=Urlaub,1,IF($F109="T",-1,0))</f>
        <v>0</v>
      </c>
      <c r="AS109" s="125">
        <f>IF(A109="","",AS108-IF(F109=Urlaub,1,0)+IF(AND(MONTH(A109)=1,DAY(A109)=1),B_UrlaubNeu,0))</f>
        <v>30</v>
      </c>
      <c r="AT109" s="125">
        <f ca="1">IF(A109="","",IF(D109=D108,AT108,OFFSET(AT109,-1,COLUMN(db_jUrlRest)-COLUMN()))+IF(AND(MONTH(A109)=1,DAY(A109)=1),B_UrlaubNeu,0))</f>
        <v>30</v>
      </c>
      <c r="AU109" s="135">
        <f>(IF(ISNUMBER(V109),V109,0)+IF(ISNUMBER(AD109),AD109,0))*24</f>
        <v>0</v>
      </c>
      <c r="AV109" s="125">
        <f>IF(ISNUMBER(AD109),K_ArbeitOverMax,IF(AND(ISNUMBER(AA109),AA109&gt;0),K_ArbeitOverTime,IF(AND(ISNUMBER(V109),V109&gt;0),K_ArbeitNormal,IF(F109=Krank,K_Krank,IF(F109=Urlaub,K_Urlaub,IF(AM109=Feiertag,K_Feiertag,IF(OR(AM109=6,AM109=7),K_Wochenende,0)))))))+IF(F109=Gleittag,K_Gleittag,0)</f>
        <v>0</v>
      </c>
      <c r="AW109" t="b">
        <f>OR((F109&gt;0),(NOT(ISBLANK(H109))),SUM(H109:H$373),SUM(G109:G$373))</f>
        <v>0</v>
      </c>
      <c r="AX109" t="b">
        <f ca="1">INDIRECT(ADDRESS(ROW(),COLUMN(xDay)))&gt;5</f>
        <v>0</v>
      </c>
      <c r="AY109" s="600">
        <f>IF(OR(R109&lt;&gt;0,F109&lt;&gt;0),AA109,IF(Z109="",0,-Z109))+(IF(AG109="+",AF109,-AF109))</f>
        <v>-0.29166666666666669</v>
      </c>
      <c r="AZ109" s="225">
        <f>SUM(AY$5:AY109)</f>
        <v>-21.000000000000007</v>
      </c>
      <c r="BA109" s="658"/>
      <c r="BB109" s="658">
        <f>IF(ISNA(MATCH(BA109,B_Arbeitsort,0)),0,MATCH(BA109,B_Arbeitsort,0))</f>
        <v>0</v>
      </c>
      <c r="BC109" s="658"/>
    </row>
    <row r="110" spans="1:55" ht="15.75">
      <c r="A110" s="305">
        <f>IF(A109="","",IF((A109+1)&gt;=DATE(YEAR(xJahr)+1,MONTH(xJahr),DAY(xJahr)),"",A109+1))</f>
        <v>43569</v>
      </c>
      <c r="B110" s="306">
        <f>IF(A110="","",A110)</f>
        <v>43569</v>
      </c>
      <c r="C110" s="307">
        <f>IF(A110="","",NumberOfWeek(A110))</f>
        <v>15</v>
      </c>
      <c r="D110" s="308">
        <f>IF(A110="","",DATE(YEAR(A110),MONTH(A110),1))</f>
        <v>43555</v>
      </c>
      <c r="E110" s="318" t="str">
        <f>IF((R110-U110)&gt;XWorkTimeMax,$Z$4,IF(AV110=Feiertag,VLOOKUP(B110,db_Feiertag,2,FALSE),""))</f>
        <v/>
      </c>
      <c r="F110" s="5"/>
      <c r="G110" s="6" t="str">
        <f>IF(ISBLANK(F110),IF(ISBLANK(H110),"",0),CODE(UPPER(F110)))</f>
        <v/>
      </c>
      <c r="H110" s="7"/>
      <c r="I110" s="7">
        <f>IF(H110&gt;0,H110+Y110+X110+AC110,0)</f>
        <v>0</v>
      </c>
      <c r="J110" s="113">
        <f>IF(K110&gt;I110,IF(I110&lt;H110,I110+1,I110)-B_WalkTime,IF(I110&lt;H110,I110+1,I110))</f>
        <v>0</v>
      </c>
      <c r="K110" s="7"/>
      <c r="L110" s="7">
        <f>IF(K110&gt;0,K110+IF((J110-H110)&lt;Y110,Y110-(J110-H110),TIME(0,10,0))+IF((K110-J110)&gt;xNoWorkTime,0,xNoWorkTime-(K110-J110)),0)</f>
        <v>0</v>
      </c>
      <c r="M110" s="113">
        <f>IF(L110&lt;K110,L110+1,L110)</f>
        <v>0</v>
      </c>
      <c r="N110" s="113"/>
      <c r="O110" s="113">
        <f>IF(N110&gt;0,N110+IF((J110-H110+M110-K110)&lt;Y110,Y110-(J110-H110+M110-K110),TIME(0,10,0))+IF((K110-J110+N110-M110)&gt;xNoWorkTime,0,xNoWorkTime-(K110-J110+N110-M110)),0)</f>
        <v>0</v>
      </c>
      <c r="P110" s="113"/>
      <c r="Q110" s="113">
        <f>IF(O110&lt;N110,O110+1,O110)</f>
        <v>0</v>
      </c>
      <c r="R110" s="113">
        <f>J110-H110+M110-K110+Q110-N110</f>
        <v>0</v>
      </c>
      <c r="S110" s="113">
        <f>IF(K110&gt;0,K110-I110,0)+IF(N110&gt;0,N110-L110)</f>
        <v>0</v>
      </c>
      <c r="T110" s="113">
        <f>IF(H110&gt;0,(IF(R110&gt;B_Pause1Nach,B_Pause1Dauer+IF(BA110="Büro",B_WalkTime,0),IF(BA110="Büro",B_WalkTime,0))+IF(R110&gt;B_Pause2Nach,B_Pause2Dauer,0)),0)</f>
        <v>0</v>
      </c>
      <c r="U110" s="113">
        <f>IF(T110&gt;S110,T110-S110,0)</f>
        <v>0</v>
      </c>
      <c r="V110" s="146">
        <f>IF(F110="S",Z110,(IF((R110-U110)&gt;XWorkTimeMax,XWorkTimeMax,IF((R110-U110)&gt;0,R110-U110,0))))</f>
        <v>0</v>
      </c>
      <c r="W110" s="66"/>
      <c r="X110" s="115">
        <f>xNoWorkTime</f>
        <v>4.027777777777778E-2</v>
      </c>
      <c r="Y110" s="110">
        <f>IF(AND((AM110&lt;Feiertag),(G110&lt;&gt;85)),IF(OR(F110="B",F110="G",F110="S",H110&gt;0),H110-H110+Z110,0),0)</f>
        <v>0</v>
      </c>
      <c r="Z110" s="111">
        <f>IF(AND(AM110&gt;0,AM110&lt;Feiertag),INDEX(Arbeitszeit,AM110),"")</f>
        <v>0</v>
      </c>
      <c r="AA110" s="112">
        <f>V110-Y110</f>
        <v>0</v>
      </c>
      <c r="AB110" s="67" t="str">
        <f>IF((V110-Y110)&lt;0,"*","")</f>
        <v/>
      </c>
      <c r="AC110" s="193">
        <f>xOverTime</f>
        <v>0</v>
      </c>
      <c r="AD110" s="144" t="str">
        <f>IF((R110-U110)&gt;XWorkTimeMax,(R110-U110-XWorkTimeMax),"")</f>
        <v/>
      </c>
      <c r="AE110" s="225">
        <f>IF(AW110,(AE109+SUM(AA110)+(IF(AG110="+",AF110,-AF110))),)</f>
        <v>0</v>
      </c>
      <c r="AF110" s="110"/>
      <c r="AG110" s="627"/>
      <c r="AH110" s="110"/>
      <c r="AI110" s="110" t="str">
        <f>IF(AND(AF110&lt;&gt;"",AF110&lt;=V110),V110-AF110,"")</f>
        <v/>
      </c>
      <c r="AJ110" s="68">
        <f>IF(ISNUMBER(V110 ), IF( V110 &gt;= Y110, Y110, V110 ),"")</f>
        <v>0</v>
      </c>
      <c r="AK110" s="68">
        <f>IF( ISNUMBER( V110 ), IF( V110 &gt;= Y110, V110 - Y110, "" ), "" )</f>
        <v>0</v>
      </c>
      <c r="AL110" s="68" t="str">
        <f>IF( AND(ISNUMBER( V110 ),ISNUMBER( Y110 )), IF( V110 &gt;= Y110, "", Y110 - V110 ), "" )</f>
        <v/>
      </c>
      <c r="AM110">
        <f>IF(A110="",0,IF(ISERROR(VLOOKUP(A110,db_Feiertag,2,FALSE)),WEEKDAY(A110,2),Feiertag))</f>
        <v>6</v>
      </c>
      <c r="AN110" s="122">
        <f>SUM($AD$6:AD110)</f>
        <v>0</v>
      </c>
      <c r="AO110" s="122">
        <f ca="1">IF(D110=D109,AO109,OFFSET(AO110,-1,COLUMN(db_jSaldoGes)-COLUMN()))</f>
        <v>0</v>
      </c>
      <c r="AP110" s="126">
        <f>IF(OR($G110=-1,$G110=82),-1,IF(OR($G110=0,$G110=83),1,0))</f>
        <v>0</v>
      </c>
      <c r="AQ110" s="126">
        <f>IF($F110=Krank,1,IF($F110="J",-1,0))</f>
        <v>0</v>
      </c>
      <c r="AR110" s="126">
        <f>IF($F110=Urlaub,1,IF($F110="T",-1,0))</f>
        <v>0</v>
      </c>
      <c r="AS110" s="125">
        <f>IF(A110="","",AS109-IF(F110=Urlaub,1,0)+IF(AND(MONTH(A110)=1,DAY(A110)=1),B_UrlaubNeu,0))</f>
        <v>30</v>
      </c>
      <c r="AT110" s="125">
        <f ca="1">IF(A110="","",IF(D110=D109,AT109,OFFSET(AT110,-1,COLUMN(db_jUrlRest)-COLUMN()))+IF(AND(MONTH(A110)=1,DAY(A110)=1),B_UrlaubNeu,0))</f>
        <v>30</v>
      </c>
      <c r="AU110" s="135">
        <f>(IF(ISNUMBER(V110),V110,0)+IF(ISNUMBER(AD110),AD110,0))*24</f>
        <v>0</v>
      </c>
      <c r="AV110" s="125">
        <f>IF(ISNUMBER(AD110),K_ArbeitOverMax,IF(AND(ISNUMBER(AA110),AA110&gt;0),K_ArbeitOverTime,IF(AND(ISNUMBER(V110),V110&gt;0),K_ArbeitNormal,IF(F110=Krank,K_Krank,IF(F110=Urlaub,K_Urlaub,IF(AM110=Feiertag,K_Feiertag,IF(OR(AM110=6,AM110=7),K_Wochenende,0)))))))+IF(F110=Gleittag,K_Gleittag,0)</f>
        <v>7</v>
      </c>
      <c r="AW110" t="b">
        <f>OR((F110&gt;0),(NOT(ISBLANK(H110))),SUM(H110:H$373),SUM(G110:G$373))</f>
        <v>0</v>
      </c>
      <c r="AX110" t="b">
        <f ca="1">INDIRECT(ADDRESS(ROW(),COLUMN(xDay)))&gt;5</f>
        <v>1</v>
      </c>
      <c r="AY110" s="600">
        <f>IF(OR(R110&lt;&gt;0,F110&lt;&gt;0),AA110,IF(Z110="",0,-Z110))+(IF(AG110="+",AF110,-AF110))</f>
        <v>0</v>
      </c>
      <c r="AZ110" s="225">
        <f>SUM(AY$5:AY110)</f>
        <v>-21.000000000000007</v>
      </c>
      <c r="BA110" s="643"/>
      <c r="BB110" s="658">
        <f>IF(ISNA(MATCH(BA110,B_Arbeitsort,0)),0,MATCH(BA110,B_Arbeitsort,0))</f>
        <v>0</v>
      </c>
      <c r="BC110" s="643"/>
    </row>
    <row r="111" spans="1:55" ht="15.75">
      <c r="A111" s="305">
        <f>IF(A110="","",IF((A110+1)&gt;=DATE(YEAR(xJahr)+1,MONTH(xJahr),DAY(xJahr)),"",A110+1))</f>
        <v>43570</v>
      </c>
      <c r="B111" s="306">
        <f>IF(A111="","",A111)</f>
        <v>43570</v>
      </c>
      <c r="C111" s="307">
        <f>IF(A111="","",NumberOfWeek(A111))</f>
        <v>15</v>
      </c>
      <c r="D111" s="308">
        <f>IF(A111="","",DATE(YEAR(A111),MONTH(A111),1))</f>
        <v>43555</v>
      </c>
      <c r="E111" s="318" t="str">
        <f>IF((R111-U111)&gt;XWorkTimeMax,$Z$4,IF(AV111=Feiertag,VLOOKUP(B111,db_Feiertag,2,FALSE),""))</f>
        <v/>
      </c>
      <c r="F111" s="5"/>
      <c r="G111" s="6" t="str">
        <f>IF(ISBLANK(F111),IF(ISBLANK(H111),"",0),CODE(UPPER(F111)))</f>
        <v/>
      </c>
      <c r="H111" s="7"/>
      <c r="I111" s="7">
        <f>IF(H111&gt;0,H111+Y111+X111+AC111,0)</f>
        <v>0</v>
      </c>
      <c r="J111" s="113">
        <f>IF(K111&gt;I111,IF(I111&lt;H111,I111+1,I111)-B_WalkTime,IF(I111&lt;H111,I111+1,I111))</f>
        <v>0</v>
      </c>
      <c r="K111" s="7"/>
      <c r="L111" s="7">
        <f>IF(K111&gt;0,K111+IF((J111-H111)&lt;Y111,Y111-(J111-H111),TIME(0,10,0))+IF((K111-J111)&gt;xNoWorkTime,0,xNoWorkTime-(K111-J111)),0)</f>
        <v>0</v>
      </c>
      <c r="M111" s="113">
        <f>IF(L111&lt;K111,L111+1,L111)</f>
        <v>0</v>
      </c>
      <c r="N111" s="113"/>
      <c r="O111" s="113">
        <f>IF(N111&gt;0,N111+IF((J111-H111+M111-K111)&lt;Y111,Y111-(J111-H111+M111-K111),TIME(0,10,0))+IF((K111-J111+N111-M111)&gt;xNoWorkTime,0,xNoWorkTime-(K111-J111+N111-M111)),0)</f>
        <v>0</v>
      </c>
      <c r="P111" s="113"/>
      <c r="Q111" s="113">
        <f>IF(O111&lt;N111,O111+1,O111)</f>
        <v>0</v>
      </c>
      <c r="R111" s="113">
        <f>J111-H111+M111-K111+Q111-N111</f>
        <v>0</v>
      </c>
      <c r="S111" s="113">
        <f>IF(K111&gt;0,K111-I111,0)+IF(N111&gt;0,N111-L111)</f>
        <v>0</v>
      </c>
      <c r="T111" s="113">
        <f>IF(H111&gt;0,(IF(R111&gt;B_Pause1Nach,B_Pause1Dauer+IF(BA111="Büro",B_WalkTime,0),IF(BA111="Büro",B_WalkTime,0))+IF(R111&gt;B_Pause2Nach,B_Pause2Dauer,0)),0)</f>
        <v>0</v>
      </c>
      <c r="U111" s="113">
        <f>IF(T111&gt;S111,T111-S111,0)</f>
        <v>0</v>
      </c>
      <c r="V111" s="146">
        <f>IF(F111="S",Z111,(IF((R111-U111)&gt;XWorkTimeMax,XWorkTimeMax,IF((R111-U111)&gt;0,R111-U111,0))))</f>
        <v>0</v>
      </c>
      <c r="W111" s="66"/>
      <c r="X111" s="115">
        <f>xNoWorkTime</f>
        <v>4.027777777777778E-2</v>
      </c>
      <c r="Y111" s="110">
        <f>IF(AND((AM111&lt;Feiertag),(G111&lt;&gt;85)),IF(OR(F111="B",F111="G",F111="S",H111&gt;0),H111-H111+Z111,0),0)</f>
        <v>0</v>
      </c>
      <c r="Z111" s="111">
        <f>IF(AND(AM111&gt;0,AM111&lt;Feiertag),INDEX(Arbeitszeit,AM111),"")</f>
        <v>0</v>
      </c>
      <c r="AA111" s="112">
        <f>V111-Y111</f>
        <v>0</v>
      </c>
      <c r="AB111" s="67" t="str">
        <f>IF((V111-Y111)&lt;0,"*","")</f>
        <v/>
      </c>
      <c r="AC111" s="193">
        <f>xOverTime</f>
        <v>0</v>
      </c>
      <c r="AD111" s="144" t="str">
        <f>IF((R111-U111)&gt;XWorkTimeMax,(R111-U111-XWorkTimeMax),"")</f>
        <v/>
      </c>
      <c r="AE111" s="225">
        <f>IF(AW111,(AE110+SUM(AA111)+(IF(AG111="+",AF111,-AF111))),)</f>
        <v>0</v>
      </c>
      <c r="AF111" s="110"/>
      <c r="AG111" s="627"/>
      <c r="AH111" s="110"/>
      <c r="AI111" s="110" t="str">
        <f>IF(AND(AF111&lt;&gt;"",AF111&lt;=V111),V111-AF111,"")</f>
        <v/>
      </c>
      <c r="AJ111" s="68">
        <f>IF(ISNUMBER(V111 ), IF( V111 &gt;= Y111, Y111, V111 ),"")</f>
        <v>0</v>
      </c>
      <c r="AK111" s="68">
        <f>IF( ISNUMBER( V111 ), IF( V111 &gt;= Y111, V111 - Y111, "" ), "" )</f>
        <v>0</v>
      </c>
      <c r="AL111" s="68" t="str">
        <f>IF( AND(ISNUMBER( V111 ),ISNUMBER( Y111 )), IF( V111 &gt;= Y111, "", Y111 - V111 ), "" )</f>
        <v/>
      </c>
      <c r="AM111">
        <f>IF(A111="",0,IF(ISERROR(VLOOKUP(A111,db_Feiertag,2,FALSE)),WEEKDAY(A111,2),Feiertag))</f>
        <v>7</v>
      </c>
      <c r="AN111" s="122">
        <f>SUM($AD$6:AD111)</f>
        <v>0</v>
      </c>
      <c r="AO111" s="122">
        <f ca="1">IF(D111=D110,AO110,OFFSET(AO111,-1,COLUMN(db_jSaldoGes)-COLUMN()))</f>
        <v>0</v>
      </c>
      <c r="AP111" s="126">
        <f>IF(OR($G111=-1,$G111=82),-1,IF(OR($G111=0,$G111=83),1,0))</f>
        <v>0</v>
      </c>
      <c r="AQ111" s="126">
        <f>IF($F111=Krank,1,IF($F111="J",-1,0))</f>
        <v>0</v>
      </c>
      <c r="AR111" s="126">
        <f>IF($F111=Urlaub,1,IF($F111="T",-1,0))</f>
        <v>0</v>
      </c>
      <c r="AS111" s="125">
        <f>IF(A111="","",AS110-IF(F111=Urlaub,1,0)+IF(AND(MONTH(A111)=1,DAY(A111)=1),B_UrlaubNeu,0))</f>
        <v>30</v>
      </c>
      <c r="AT111" s="125">
        <f ca="1">IF(A111="","",IF(D111=D110,AT110,OFFSET(AT111,-1,COLUMN(db_jUrlRest)-COLUMN()))+IF(AND(MONTH(A111)=1,DAY(A111)=1),B_UrlaubNeu,0))</f>
        <v>30</v>
      </c>
      <c r="AU111" s="135">
        <f>(IF(ISNUMBER(V111),V111,0)+IF(ISNUMBER(AD111),AD111,0))*24</f>
        <v>0</v>
      </c>
      <c r="AV111" s="125">
        <f>IF(ISNUMBER(AD111),K_ArbeitOverMax,IF(AND(ISNUMBER(AA111),AA111&gt;0),K_ArbeitOverTime,IF(AND(ISNUMBER(V111),V111&gt;0),K_ArbeitNormal,IF(F111=Krank,K_Krank,IF(F111=Urlaub,K_Urlaub,IF(AM111=Feiertag,K_Feiertag,IF(OR(AM111=6,AM111=7),K_Wochenende,0)))))))+IF(F111=Gleittag,K_Gleittag,0)</f>
        <v>7</v>
      </c>
      <c r="AW111" t="b">
        <f>OR((F111&gt;0),(NOT(ISBLANK(H111))),SUM(H111:H$373),SUM(G111:G$373))</f>
        <v>0</v>
      </c>
      <c r="AX111" t="b">
        <f ca="1">INDIRECT(ADDRESS(ROW(),COLUMN(xDay)))&gt;5</f>
        <v>1</v>
      </c>
      <c r="AY111" s="600">
        <f>IF(OR(R111&lt;&gt;0,F111&lt;&gt;0),AA111,IF(Z111="",0,-Z111))+(IF(AG111="+",AF111,-AF111))</f>
        <v>0</v>
      </c>
      <c r="AZ111" s="225">
        <f>SUM(AY$5:AY111)</f>
        <v>-21.000000000000007</v>
      </c>
      <c r="BA111" s="643"/>
      <c r="BB111" s="658">
        <f>IF(ISNA(MATCH(BA111,B_Arbeitsort,0)),0,MATCH(BA111,B_Arbeitsort,0))</f>
        <v>0</v>
      </c>
      <c r="BC111" s="643"/>
    </row>
    <row r="112" spans="1:55" ht="15.75">
      <c r="A112" s="305">
        <f>IF(A111="","",IF((A111+1)&gt;=DATE(YEAR(xJahr)+1,MONTH(xJahr),DAY(xJahr)),"",A111+1))</f>
        <v>43571</v>
      </c>
      <c r="B112" s="306">
        <f>IF(A112="","",A112)</f>
        <v>43571</v>
      </c>
      <c r="C112" s="307">
        <f>IF(A112="","",NumberOfWeek(A112))</f>
        <v>16</v>
      </c>
      <c r="D112" s="308">
        <f>IF(A112="","",DATE(YEAR(A112),MONTH(A112),1))</f>
        <v>43555</v>
      </c>
      <c r="E112" s="318" t="str">
        <f>IF((R112-U112)&gt;XWorkTimeMax,$Z$4,IF(AV112=Feiertag,VLOOKUP(B112,db_Feiertag,2,FALSE),""))</f>
        <v/>
      </c>
      <c r="F112" s="5"/>
      <c r="G112" s="6" t="str">
        <f>IF(ISBLANK(F112),IF(ISBLANK(H112),"",0),CODE(UPPER(F112)))</f>
        <v/>
      </c>
      <c r="H112" s="7"/>
      <c r="I112" s="7">
        <f>IF(H112&gt;0,H112+Y112+X112+AC112,0)</f>
        <v>0</v>
      </c>
      <c r="J112" s="113">
        <f>IF(K112&gt;I112,IF(I112&lt;H112,I112+1,I112)-B_WalkTime,IF(I112&lt;H112,I112+1,I112))</f>
        <v>0</v>
      </c>
      <c r="K112" s="7"/>
      <c r="L112" s="7">
        <f>IF(K112&gt;0,K112+IF((J112-H112)&lt;Y112,Y112-(J112-H112),TIME(0,10,0))+IF((K112-J112)&gt;xNoWorkTime,0,xNoWorkTime-(K112-J112)),0)</f>
        <v>0</v>
      </c>
      <c r="M112" s="113">
        <f>IF(L112&lt;K112,L112+1,L112)</f>
        <v>0</v>
      </c>
      <c r="N112" s="113"/>
      <c r="O112" s="113">
        <f>IF(N112&gt;0,N112+IF((J112-H112+M112-K112)&lt;Y112,Y112-(J112-H112+M112-K112),TIME(0,10,0))+IF((K112-J112+N112-M112)&gt;xNoWorkTime,0,xNoWorkTime-(K112-J112+N112-M112)),0)</f>
        <v>0</v>
      </c>
      <c r="P112" s="113"/>
      <c r="Q112" s="113">
        <f>IF(O112&lt;N112,O112+1,O112)</f>
        <v>0</v>
      </c>
      <c r="R112" s="113">
        <f>J112-H112+M112-K112+Q112-N112</f>
        <v>0</v>
      </c>
      <c r="S112" s="113">
        <f>IF(K112&gt;0,K112-I112,0)+IF(N112&gt;0,N112-L112)</f>
        <v>0</v>
      </c>
      <c r="T112" s="113">
        <f>IF(H112&gt;0,(IF(R112&gt;B_Pause1Nach,B_Pause1Dauer+IF(BA112="Büro",B_WalkTime,0),IF(BA112="Büro",B_WalkTime,0))+IF(R112&gt;B_Pause2Nach,B_Pause2Dauer,0)),0)</f>
        <v>0</v>
      </c>
      <c r="U112" s="113">
        <f>IF(T112&gt;S112,T112-S112,0)</f>
        <v>0</v>
      </c>
      <c r="V112" s="146">
        <f>IF(F112="S",Z112,(IF((R112-U112)&gt;XWorkTimeMax,XWorkTimeMax,IF((R112-U112)&gt;0,R112-U112,0))))</f>
        <v>0</v>
      </c>
      <c r="W112" s="66"/>
      <c r="X112" s="115">
        <f>xNoWorkTime</f>
        <v>4.027777777777778E-2</v>
      </c>
      <c r="Y112" s="110">
        <f>IF(AND((AM112&lt;Feiertag),(G112&lt;&gt;85)),IF(OR(F112="B",F112="G",F112="S",H112&gt;0),H112-H112+Z112,0),0)</f>
        <v>0</v>
      </c>
      <c r="Z112" s="111">
        <f>IF(AND(AM112&gt;0,AM112&lt;Feiertag),INDEX(Arbeitszeit,AM112),"")</f>
        <v>0.29166666666666669</v>
      </c>
      <c r="AA112" s="112">
        <f>V112-Y112</f>
        <v>0</v>
      </c>
      <c r="AB112" s="67" t="str">
        <f>IF((V112-Y112)&lt;0,"*","")</f>
        <v/>
      </c>
      <c r="AC112" s="193">
        <f>xOverTime</f>
        <v>0</v>
      </c>
      <c r="AD112" s="144" t="str">
        <f>IF((R112-U112)&gt;XWorkTimeMax,(R112-U112-XWorkTimeMax),"")</f>
        <v/>
      </c>
      <c r="AE112" s="225">
        <f>IF(AW112,(AE111+SUM(AA112)+(IF(AG112="+",AF112,-AF112))),)</f>
        <v>0</v>
      </c>
      <c r="AF112" s="110"/>
      <c r="AG112" s="627"/>
      <c r="AH112" s="110"/>
      <c r="AI112" s="110" t="str">
        <f>IF(AND(AF112&lt;&gt;"",AF112&lt;=V112),V112-AF112,"")</f>
        <v/>
      </c>
      <c r="AJ112" s="68">
        <f>IF(ISNUMBER(V112 ), IF( V112 &gt;= Y112, Y112, V112 ),"")</f>
        <v>0</v>
      </c>
      <c r="AK112" s="68">
        <f>IF( ISNUMBER( V112 ), IF( V112 &gt;= Y112, V112 - Y112, "" ), "" )</f>
        <v>0</v>
      </c>
      <c r="AL112" s="68" t="str">
        <f>IF( AND(ISNUMBER( V112 ),ISNUMBER( Y112 )), IF( V112 &gt;= Y112, "", Y112 - V112 ), "" )</f>
        <v/>
      </c>
      <c r="AM112">
        <f>IF(A112="",0,IF(ISERROR(VLOOKUP(A112,db_Feiertag,2,FALSE)),WEEKDAY(A112,2),Feiertag))</f>
        <v>1</v>
      </c>
      <c r="AN112" s="122">
        <f>SUM($AD$6:AD112)</f>
        <v>0</v>
      </c>
      <c r="AO112" s="122">
        <f ca="1">IF(D112=D111,AO111,OFFSET(AO112,-1,COLUMN(db_jSaldoGes)-COLUMN()))</f>
        <v>0</v>
      </c>
      <c r="AP112" s="126">
        <f>IF(OR($G112=-1,$G112=82),-1,IF(OR($G112=0,$G112=83),1,0))</f>
        <v>0</v>
      </c>
      <c r="AQ112" s="126">
        <f>IF($F112=Krank,1,IF($F112="J",-1,0))</f>
        <v>0</v>
      </c>
      <c r="AR112" s="126">
        <f>IF($F112=Urlaub,1,IF($F112="T",-1,0))</f>
        <v>0</v>
      </c>
      <c r="AS112" s="125">
        <f>IF(A112="","",AS111-IF(F112=Urlaub,1,0)+IF(AND(MONTH(A112)=1,DAY(A112)=1),B_UrlaubNeu,0))</f>
        <v>30</v>
      </c>
      <c r="AT112" s="125">
        <f ca="1">IF(A112="","",IF(D112=D111,AT111,OFFSET(AT112,-1,COLUMN(db_jUrlRest)-COLUMN()))+IF(AND(MONTH(A112)=1,DAY(A112)=1),B_UrlaubNeu,0))</f>
        <v>30</v>
      </c>
      <c r="AU112" s="135">
        <f>(IF(ISNUMBER(V112),V112,0)+IF(ISNUMBER(AD112),AD112,0))*24</f>
        <v>0</v>
      </c>
      <c r="AV112" s="125">
        <f>IF(ISNUMBER(AD112),K_ArbeitOverMax,IF(AND(ISNUMBER(AA112),AA112&gt;0),K_ArbeitOverTime,IF(AND(ISNUMBER(V112),V112&gt;0),K_ArbeitNormal,IF(F112=Krank,K_Krank,IF(F112=Urlaub,K_Urlaub,IF(AM112=Feiertag,K_Feiertag,IF(OR(AM112=6,AM112=7),K_Wochenende,0)))))))+IF(F112=Gleittag,K_Gleittag,0)</f>
        <v>0</v>
      </c>
      <c r="AW112" t="b">
        <f>OR((F112&gt;0),(NOT(ISBLANK(H112))),SUM(H112:H$373),SUM(G112:G$373))</f>
        <v>0</v>
      </c>
      <c r="AX112" t="b">
        <f ca="1">INDIRECT(ADDRESS(ROW(),COLUMN(xDay)))&gt;5</f>
        <v>0</v>
      </c>
      <c r="AY112" s="600">
        <f>IF(OR(R112&lt;&gt;0,F112&lt;&gt;0),AA112,IF(Z112="",0,-Z112))+(IF(AG112="+",AF112,-AF112))</f>
        <v>-0.29166666666666669</v>
      </c>
      <c r="AZ112" s="225">
        <f>SUM(AY$5:AY112)</f>
        <v>-21.291666666666675</v>
      </c>
      <c r="BA112" s="658"/>
      <c r="BB112" s="658">
        <f>IF(ISNA(MATCH(BA112,B_Arbeitsort,0)),0,MATCH(BA112,B_Arbeitsort,0))</f>
        <v>0</v>
      </c>
      <c r="BC112" s="658"/>
    </row>
    <row r="113" spans="1:55" ht="15.75">
      <c r="A113" s="305">
        <f>IF(A112="","",IF((A112+1)&gt;=DATE(YEAR(xJahr)+1,MONTH(xJahr),DAY(xJahr)),"",A112+1))</f>
        <v>43572</v>
      </c>
      <c r="B113" s="306">
        <f>IF(A113="","",A113)</f>
        <v>43572</v>
      </c>
      <c r="C113" s="307">
        <f>IF(A113="","",NumberOfWeek(A113))</f>
        <v>16</v>
      </c>
      <c r="D113" s="308">
        <f>IF(A113="","",DATE(YEAR(A113),MONTH(A113),1))</f>
        <v>43555</v>
      </c>
      <c r="E113" s="318" t="str">
        <f>IF((R113-U113)&gt;XWorkTimeMax,$Z$4,IF(AV113=Feiertag,VLOOKUP(B113,db_Feiertag,2,FALSE),""))</f>
        <v/>
      </c>
      <c r="F113" s="5"/>
      <c r="G113" s="6" t="str">
        <f>IF(ISBLANK(F113),IF(ISBLANK(H113),"",0),CODE(UPPER(F113)))</f>
        <v/>
      </c>
      <c r="H113" s="7"/>
      <c r="I113" s="7">
        <f>IF(H113&gt;0,H113+Y113+X113+AC113,0)</f>
        <v>0</v>
      </c>
      <c r="J113" s="113">
        <f>IF(K113&gt;I113,IF(I113&lt;H113,I113+1,I113)-B_WalkTime,IF(I113&lt;H113,I113+1,I113))</f>
        <v>0</v>
      </c>
      <c r="K113" s="7"/>
      <c r="L113" s="7">
        <f>IF(K113&gt;0,K113+IF((J113-H113)&lt;Y113,Y113-(J113-H113),TIME(0,10,0))+IF((K113-J113)&gt;xNoWorkTime,0,xNoWorkTime-(K113-J113)),0)</f>
        <v>0</v>
      </c>
      <c r="M113" s="113">
        <f>IF(L113&lt;K113,L113+1,L113)</f>
        <v>0</v>
      </c>
      <c r="N113" s="113"/>
      <c r="O113" s="113">
        <f>IF(N113&gt;0,N113+IF((J113-H113+M113-K113)&lt;Y113,Y113-(J113-H113+M113-K113),TIME(0,10,0))+IF((K113-J113+N113-M113)&gt;xNoWorkTime,0,xNoWorkTime-(K113-J113+N113-M113)),0)</f>
        <v>0</v>
      </c>
      <c r="P113" s="113"/>
      <c r="Q113" s="113">
        <f>IF(O113&lt;N113,O113+1,O113)</f>
        <v>0</v>
      </c>
      <c r="R113" s="113">
        <f>J113-H113+M113-K113+Q113-N113</f>
        <v>0</v>
      </c>
      <c r="S113" s="113">
        <f>IF(K113&gt;0,K113-I113,0)+IF(N113&gt;0,N113-L113)</f>
        <v>0</v>
      </c>
      <c r="T113" s="113">
        <f>IF(H113&gt;0,(IF(R113&gt;B_Pause1Nach,B_Pause1Dauer+IF(BA113="Büro",B_WalkTime,0),IF(BA113="Büro",B_WalkTime,0))+IF(R113&gt;B_Pause2Nach,B_Pause2Dauer,0)),0)</f>
        <v>0</v>
      </c>
      <c r="U113" s="113">
        <f>IF(T113&gt;S113,T113-S113,0)</f>
        <v>0</v>
      </c>
      <c r="V113" s="146">
        <f>IF(F113="S",Z113,(IF((R113-U113)&gt;XWorkTimeMax,XWorkTimeMax,IF((R113-U113)&gt;0,R113-U113,0))))</f>
        <v>0</v>
      </c>
      <c r="W113" s="66"/>
      <c r="X113" s="115">
        <f>xNoWorkTime</f>
        <v>4.027777777777778E-2</v>
      </c>
      <c r="Y113" s="110">
        <f>IF(AND((AM113&lt;Feiertag),(G113&lt;&gt;85)),IF(OR(F113="B",F113="G",F113="S",H113&gt;0),H113-H113+Z113,0),0)</f>
        <v>0</v>
      </c>
      <c r="Z113" s="111">
        <f>IF(AND(AM113&gt;0,AM113&lt;Feiertag),INDEX(Arbeitszeit,AM113),"")</f>
        <v>0.29166666666666669</v>
      </c>
      <c r="AA113" s="112">
        <f>V113-Y113</f>
        <v>0</v>
      </c>
      <c r="AB113" s="67" t="str">
        <f>IF((V113-Y113)&lt;0,"*","")</f>
        <v/>
      </c>
      <c r="AC113" s="193">
        <f>xOverTime</f>
        <v>0</v>
      </c>
      <c r="AD113" s="144" t="str">
        <f>IF((R113-U113)&gt;XWorkTimeMax,(R113-U113-XWorkTimeMax),"")</f>
        <v/>
      </c>
      <c r="AE113" s="225">
        <f>IF(AW113,(AE112+SUM(AA113)+(IF(AG113="+",AF113,-AF113))),)</f>
        <v>0</v>
      </c>
      <c r="AF113" s="110"/>
      <c r="AG113" s="627"/>
      <c r="AH113" s="110"/>
      <c r="AI113" s="110" t="str">
        <f>IF(AND(AF113&lt;&gt;"",AF113&lt;=V113),V113-AF113,"")</f>
        <v/>
      </c>
      <c r="AJ113" s="68">
        <f>IF(ISNUMBER(V113 ), IF( V113 &gt;= Y113, Y113, V113 ),"")</f>
        <v>0</v>
      </c>
      <c r="AK113" s="68">
        <f>IF( ISNUMBER( V113 ), IF( V113 &gt;= Y113, V113 - Y113, "" ), "" )</f>
        <v>0</v>
      </c>
      <c r="AL113" s="68" t="str">
        <f>IF( AND(ISNUMBER( V113 ),ISNUMBER( Y113 )), IF( V113 &gt;= Y113, "", Y113 - V113 ), "" )</f>
        <v/>
      </c>
      <c r="AM113">
        <f>IF(A113="",0,IF(ISERROR(VLOOKUP(A113,db_Feiertag,2,FALSE)),WEEKDAY(A113,2),Feiertag))</f>
        <v>2</v>
      </c>
      <c r="AN113" s="122">
        <f>SUM($AD$6:AD113)</f>
        <v>0</v>
      </c>
      <c r="AO113" s="122">
        <f ca="1">IF(D113=D112,AO112,OFFSET(AO113,-1,COLUMN(db_jSaldoGes)-COLUMN()))</f>
        <v>0</v>
      </c>
      <c r="AP113" s="126">
        <f>IF(OR($G113=-1,$G113=82),-1,IF(OR($G113=0,$G113=83),1,0))</f>
        <v>0</v>
      </c>
      <c r="AQ113" s="126">
        <f>IF($F113=Krank,1,IF($F113="J",-1,0))</f>
        <v>0</v>
      </c>
      <c r="AR113" s="126">
        <f>IF($F113=Urlaub,1,IF($F113="T",-1,0))</f>
        <v>0</v>
      </c>
      <c r="AS113" s="125">
        <f>IF(A113="","",AS112-IF(F113=Urlaub,1,0)+IF(AND(MONTH(A113)=1,DAY(A113)=1),B_UrlaubNeu,0))</f>
        <v>30</v>
      </c>
      <c r="AT113" s="125">
        <f ca="1">IF(A113="","",IF(D113=D112,AT112,OFFSET(AT113,-1,COLUMN(db_jUrlRest)-COLUMN()))+IF(AND(MONTH(A113)=1,DAY(A113)=1),B_UrlaubNeu,0))</f>
        <v>30</v>
      </c>
      <c r="AU113" s="135">
        <f>(IF(ISNUMBER(V113),V113,0)+IF(ISNUMBER(AD113),AD113,0))*24</f>
        <v>0</v>
      </c>
      <c r="AV113" s="125">
        <f>IF(ISNUMBER(AD113),K_ArbeitOverMax,IF(AND(ISNUMBER(AA113),AA113&gt;0),K_ArbeitOverTime,IF(AND(ISNUMBER(V113),V113&gt;0),K_ArbeitNormal,IF(F113=Krank,K_Krank,IF(F113=Urlaub,K_Urlaub,IF(AM113=Feiertag,K_Feiertag,IF(OR(AM113=6,AM113=7),K_Wochenende,0)))))))+IF(F113=Gleittag,K_Gleittag,0)</f>
        <v>0</v>
      </c>
      <c r="AW113" t="b">
        <f>OR((F113&gt;0),(NOT(ISBLANK(H113))),SUM(H113:H$373),SUM(G113:G$373))</f>
        <v>0</v>
      </c>
      <c r="AX113" t="b">
        <f ca="1">INDIRECT(ADDRESS(ROW(),COLUMN(xDay)))&gt;5</f>
        <v>0</v>
      </c>
      <c r="AY113" s="600">
        <f>IF(OR(R113&lt;&gt;0,F113&lt;&gt;0),AA113,IF(Z113="",0,-Z113))+(IF(AG113="+",AF113,-AF113))</f>
        <v>-0.29166666666666669</v>
      </c>
      <c r="AZ113" s="225">
        <f>SUM(AY$5:AY113)</f>
        <v>-21.583333333333343</v>
      </c>
      <c r="BA113" s="658"/>
      <c r="BB113" s="658">
        <f>IF(ISNA(MATCH(BA113,B_Arbeitsort,0)),0,MATCH(BA113,B_Arbeitsort,0))</f>
        <v>0</v>
      </c>
      <c r="BC113" s="658"/>
    </row>
    <row r="114" spans="1:55" ht="15.75">
      <c r="A114" s="305">
        <f>IF(A113="","",IF((A113+1)&gt;=DATE(YEAR(xJahr)+1,MONTH(xJahr),DAY(xJahr)),"",A113+1))</f>
        <v>43573</v>
      </c>
      <c r="B114" s="306">
        <f>IF(A114="","",A114)</f>
        <v>43573</v>
      </c>
      <c r="C114" s="307">
        <f>IF(A114="","",NumberOfWeek(A114))</f>
        <v>16</v>
      </c>
      <c r="D114" s="308">
        <f>IF(A114="","",DATE(YEAR(A114),MONTH(A114),1))</f>
        <v>43555</v>
      </c>
      <c r="E114" s="318" t="str">
        <f>IF((R114-U114)&gt;XWorkTimeMax,$Z$4,IF(AV114=Feiertag,VLOOKUP(B114,db_Feiertag,2,FALSE),""))</f>
        <v/>
      </c>
      <c r="F114" s="5"/>
      <c r="G114" s="6" t="str">
        <f>IF(ISBLANK(F114),IF(ISBLANK(H114),"",0),CODE(UPPER(F114)))</f>
        <v/>
      </c>
      <c r="H114" s="7"/>
      <c r="I114" s="7">
        <f>IF(H114&gt;0,H114+Y114+X114+AC114,0)</f>
        <v>0</v>
      </c>
      <c r="J114" s="113">
        <f>IF(K114&gt;I114,IF(I114&lt;H114,I114+1,I114)-B_WalkTime,IF(I114&lt;H114,I114+1,I114))</f>
        <v>0</v>
      </c>
      <c r="K114" s="7"/>
      <c r="L114" s="7">
        <f>IF(K114&gt;0,K114+IF((J114-H114)&lt;Y114,Y114-(J114-H114),TIME(0,10,0))+IF((K114-J114)&gt;xNoWorkTime,0,xNoWorkTime-(K114-J114)),0)</f>
        <v>0</v>
      </c>
      <c r="M114" s="113">
        <f>IF(L114&lt;K114,L114+1,L114)</f>
        <v>0</v>
      </c>
      <c r="N114" s="113"/>
      <c r="O114" s="113">
        <f>IF(N114&gt;0,N114+IF((J114-H114+M114-K114)&lt;Y114,Y114-(J114-H114+M114-K114),TIME(0,10,0))+IF((K114-J114+N114-M114)&gt;xNoWorkTime,0,xNoWorkTime-(K114-J114+N114-M114)),0)</f>
        <v>0</v>
      </c>
      <c r="P114" s="113"/>
      <c r="Q114" s="113">
        <f>IF(O114&lt;N114,O114+1,O114)</f>
        <v>0</v>
      </c>
      <c r="R114" s="113">
        <f>J114-H114+M114-K114+Q114-N114</f>
        <v>0</v>
      </c>
      <c r="S114" s="113">
        <f>IF(K114&gt;0,K114-I114,0)+IF(N114&gt;0,N114-L114)</f>
        <v>0</v>
      </c>
      <c r="T114" s="113">
        <f>IF(H114&gt;0,(IF(R114&gt;B_Pause1Nach,B_Pause1Dauer+IF(BA114="Büro",B_WalkTime,0),IF(BA114="Büro",B_WalkTime,0))+IF(R114&gt;B_Pause2Nach,B_Pause2Dauer,0)),0)</f>
        <v>0</v>
      </c>
      <c r="U114" s="113">
        <f>IF(T114&gt;S114,T114-S114,0)</f>
        <v>0</v>
      </c>
      <c r="V114" s="146">
        <f>IF(F114="S",Z114,(IF((R114-U114)&gt;XWorkTimeMax,XWorkTimeMax,IF((R114-U114)&gt;0,R114-U114,0))))</f>
        <v>0</v>
      </c>
      <c r="W114" s="66"/>
      <c r="X114" s="115">
        <f>xNoWorkTime</f>
        <v>4.027777777777778E-2</v>
      </c>
      <c r="Y114" s="110">
        <f>IF(AND((AM114&lt;Feiertag),(G114&lt;&gt;85)),IF(OR(F114="B",F114="G",F114="S",H114&gt;0),H114-H114+Z114,0),0)</f>
        <v>0</v>
      </c>
      <c r="Z114" s="111">
        <f>IF(AND(AM114&gt;0,AM114&lt;Feiertag),INDEX(Arbeitszeit,AM114),"")</f>
        <v>0.29166666666666669</v>
      </c>
      <c r="AA114" s="112">
        <f>V114-Y114</f>
        <v>0</v>
      </c>
      <c r="AB114" s="67" t="str">
        <f>IF((V114-Y114)&lt;0,"*","")</f>
        <v/>
      </c>
      <c r="AC114" s="193">
        <f>xOverTime</f>
        <v>0</v>
      </c>
      <c r="AD114" s="144" t="str">
        <f>IF((R114-U114)&gt;XWorkTimeMax,(R114-U114-XWorkTimeMax),"")</f>
        <v/>
      </c>
      <c r="AE114" s="225">
        <f>IF(AW114,(AE113+SUM(AA114)+(IF(AG114="+",AF114,-AF114))),)</f>
        <v>0</v>
      </c>
      <c r="AF114" s="110"/>
      <c r="AG114" s="627"/>
      <c r="AH114" s="110"/>
      <c r="AI114" s="110" t="str">
        <f>IF(AND(AF114&lt;&gt;"",AF114&lt;=V114),V114-AF114,"")</f>
        <v/>
      </c>
      <c r="AJ114" s="68">
        <f>IF(ISNUMBER(V114 ), IF( V114 &gt;= Y114, Y114, V114 ),"")</f>
        <v>0</v>
      </c>
      <c r="AK114" s="68">
        <f>IF( ISNUMBER( V114 ), IF( V114 &gt;= Y114, V114 - Y114, "" ), "" )</f>
        <v>0</v>
      </c>
      <c r="AL114" s="68" t="str">
        <f>IF( AND(ISNUMBER( V114 ),ISNUMBER( Y114 )), IF( V114 &gt;= Y114, "", Y114 - V114 ), "" )</f>
        <v/>
      </c>
      <c r="AM114">
        <f>IF(A114="",0,IF(ISERROR(VLOOKUP(A114,db_Feiertag,2,FALSE)),WEEKDAY(A114,2),Feiertag))</f>
        <v>3</v>
      </c>
      <c r="AN114" s="122">
        <f>SUM($AD$6:AD114)</f>
        <v>0</v>
      </c>
      <c r="AO114" s="122">
        <f ca="1">IF(D114=D113,AO113,OFFSET(AO114,-1,COLUMN(db_jSaldoGes)-COLUMN()))</f>
        <v>0</v>
      </c>
      <c r="AP114" s="126">
        <f>IF(OR($G114=-1,$G114=82),-1,IF(OR($G114=0,$G114=83),1,0))</f>
        <v>0</v>
      </c>
      <c r="AQ114" s="126">
        <f>IF($F114=Krank,1,IF($F114="J",-1,0))</f>
        <v>0</v>
      </c>
      <c r="AR114" s="126">
        <f>IF($F114=Urlaub,1,IF($F114="T",-1,0))</f>
        <v>0</v>
      </c>
      <c r="AS114" s="125">
        <f>IF(A114="","",AS113-IF(F114=Urlaub,1,0)+IF(AND(MONTH(A114)=1,DAY(A114)=1),B_UrlaubNeu,0))</f>
        <v>30</v>
      </c>
      <c r="AT114" s="125">
        <f ca="1">IF(A114="","",IF(D114=D113,AT113,OFFSET(AT114,-1,COLUMN(db_jUrlRest)-COLUMN()))+IF(AND(MONTH(A114)=1,DAY(A114)=1),B_UrlaubNeu,0))</f>
        <v>30</v>
      </c>
      <c r="AU114" s="135">
        <f>(IF(ISNUMBER(V114),V114,0)+IF(ISNUMBER(AD114),AD114,0))*24</f>
        <v>0</v>
      </c>
      <c r="AV114" s="125">
        <f>IF(ISNUMBER(AD114),K_ArbeitOverMax,IF(AND(ISNUMBER(AA114),AA114&gt;0),K_ArbeitOverTime,IF(AND(ISNUMBER(V114),V114&gt;0),K_ArbeitNormal,IF(F114=Krank,K_Krank,IF(F114=Urlaub,K_Urlaub,IF(AM114=Feiertag,K_Feiertag,IF(OR(AM114=6,AM114=7),K_Wochenende,0)))))))+IF(F114=Gleittag,K_Gleittag,0)</f>
        <v>0</v>
      </c>
      <c r="AW114" t="b">
        <f>OR((F114&gt;0),(NOT(ISBLANK(H114))),SUM(H114:H$373),SUM(G114:G$373))</f>
        <v>0</v>
      </c>
      <c r="AX114" t="b">
        <f ca="1">INDIRECT(ADDRESS(ROW(),COLUMN(xDay)))&gt;5</f>
        <v>0</v>
      </c>
      <c r="AY114" s="600">
        <f>IF(OR(R114&lt;&gt;0,F114&lt;&gt;0),AA114,IF(Z114="",0,-Z114))+(IF(AG114="+",AF114,-AF114))</f>
        <v>-0.29166666666666669</v>
      </c>
      <c r="AZ114" s="225">
        <f>SUM(AY$5:AY114)</f>
        <v>-21.875000000000011</v>
      </c>
      <c r="BA114" s="658"/>
      <c r="BB114" s="658">
        <f>IF(ISNA(MATCH(BA114,B_Arbeitsort,0)),0,MATCH(BA114,B_Arbeitsort,0))</f>
        <v>0</v>
      </c>
      <c r="BC114" s="658"/>
    </row>
    <row r="115" spans="1:55" ht="15.75">
      <c r="A115" s="305">
        <f>IF(A114="","",IF((A114+1)&gt;=DATE(YEAR(xJahr)+1,MONTH(xJahr),DAY(xJahr)),"",A114+1))</f>
        <v>43574</v>
      </c>
      <c r="B115" s="306">
        <f>IF(A115="","",A115)</f>
        <v>43574</v>
      </c>
      <c r="C115" s="307">
        <f>IF(A115="","",NumberOfWeek(A115))</f>
        <v>16</v>
      </c>
      <c r="D115" s="308">
        <f>IF(A115="","",DATE(YEAR(A115),MONTH(A115),1))</f>
        <v>43555</v>
      </c>
      <c r="E115" s="318" t="str">
        <f>IF((R115-U115)&gt;XWorkTimeMax,$Z$4,IF(AV115=Feiertag,VLOOKUP(B115,db_Feiertag,2,FALSE),""))</f>
        <v/>
      </c>
      <c r="F115" s="5"/>
      <c r="G115" s="6" t="str">
        <f>IF(ISBLANK(F115),IF(ISBLANK(H115),"",0),CODE(UPPER(F115)))</f>
        <v/>
      </c>
      <c r="H115" s="7"/>
      <c r="I115" s="7">
        <f>IF(H115&gt;0,H115+Y115+X115+AC115,0)</f>
        <v>0</v>
      </c>
      <c r="J115" s="113">
        <f>IF(K115&gt;I115,IF(I115&lt;H115,I115+1,I115)-B_WalkTime,IF(I115&lt;H115,I115+1,I115))</f>
        <v>0</v>
      </c>
      <c r="K115" s="7"/>
      <c r="L115" s="7">
        <f>IF(K115&gt;0,K115+IF((J115-H115)&lt;Y115,Y115-(J115-H115),TIME(0,10,0))+IF((K115-J115)&gt;xNoWorkTime,0,xNoWorkTime-(K115-J115)),0)</f>
        <v>0</v>
      </c>
      <c r="M115" s="113">
        <f>IF(L115&lt;K115,L115+1,L115)</f>
        <v>0</v>
      </c>
      <c r="N115" s="113"/>
      <c r="O115" s="113">
        <f>IF(N115&gt;0,N115+IF((J115-H115+M115-K115)&lt;Y115,Y115-(J115-H115+M115-K115),TIME(0,10,0))+IF((K115-J115+N115-M115)&gt;xNoWorkTime,0,xNoWorkTime-(K115-J115+N115-M115)),0)</f>
        <v>0</v>
      </c>
      <c r="P115" s="113"/>
      <c r="Q115" s="113">
        <f>IF(O115&lt;N115,O115+1,O115)</f>
        <v>0</v>
      </c>
      <c r="R115" s="113">
        <f>J115-H115+M115-K115+Q115-N115</f>
        <v>0</v>
      </c>
      <c r="S115" s="113">
        <f>IF(K115&gt;0,K115-I115,0)+IF(N115&gt;0,N115-L115)</f>
        <v>0</v>
      </c>
      <c r="T115" s="113">
        <f>IF(H115&gt;0,(IF(R115&gt;B_Pause1Nach,B_Pause1Dauer+IF(BA115="Büro",B_WalkTime,0),IF(BA115="Büro",B_WalkTime,0))+IF(R115&gt;B_Pause2Nach,B_Pause2Dauer,0)),0)</f>
        <v>0</v>
      </c>
      <c r="U115" s="113">
        <f>IF(T115&gt;S115,T115-S115,0)</f>
        <v>0</v>
      </c>
      <c r="V115" s="146">
        <f>IF(F115="S",Z115,(IF((R115-U115)&gt;XWorkTimeMax,XWorkTimeMax,IF((R115-U115)&gt;0,R115-U115,0))))</f>
        <v>0</v>
      </c>
      <c r="W115" s="66"/>
      <c r="X115" s="115">
        <f>xNoWorkTime</f>
        <v>4.027777777777778E-2</v>
      </c>
      <c r="Y115" s="110">
        <f>IF(AND((AM115&lt;Feiertag),(G115&lt;&gt;85)),IF(OR(F115="B",F115="G",F115="S",H115&gt;0),H115-H115+Z115,0),0)</f>
        <v>0</v>
      </c>
      <c r="Z115" s="111">
        <f>IF(AND(AM115&gt;0,AM115&lt;Feiertag),INDEX(Arbeitszeit,AM115),"")</f>
        <v>0.29166666666666669</v>
      </c>
      <c r="AA115" s="112">
        <f>V115-Y115</f>
        <v>0</v>
      </c>
      <c r="AB115" s="67" t="str">
        <f>IF((V115-Y115)&lt;0,"*","")</f>
        <v/>
      </c>
      <c r="AC115" s="193">
        <f>xOverTime</f>
        <v>0</v>
      </c>
      <c r="AD115" s="144" t="str">
        <f>IF((R115-U115)&gt;XWorkTimeMax,(R115-U115-XWorkTimeMax),"")</f>
        <v/>
      </c>
      <c r="AE115" s="225">
        <f>IF(AW115,(AE114+SUM(AA115)+(IF(AG115="+",AF115,-AF115))),)</f>
        <v>0</v>
      </c>
      <c r="AF115" s="110"/>
      <c r="AG115" s="627"/>
      <c r="AH115" s="110"/>
      <c r="AI115" s="110" t="str">
        <f>IF(AND(AF115&lt;&gt;"",AF115&lt;=V115),V115-AF115,"")</f>
        <v/>
      </c>
      <c r="AJ115" s="68">
        <f>IF(ISNUMBER(V115 ), IF( V115 &gt;= Y115, Y115, V115 ),"")</f>
        <v>0</v>
      </c>
      <c r="AK115" s="68">
        <f>IF( ISNUMBER( V115 ), IF( V115 &gt;= Y115, V115 - Y115, "" ), "" )</f>
        <v>0</v>
      </c>
      <c r="AL115" s="68" t="str">
        <f>IF( AND(ISNUMBER( V115 ),ISNUMBER( Y115 )), IF( V115 &gt;= Y115, "", Y115 - V115 ), "" )</f>
        <v/>
      </c>
      <c r="AM115">
        <f>IF(A115="",0,IF(ISERROR(VLOOKUP(A115,db_Feiertag,2,FALSE)),WEEKDAY(A115,2),Feiertag))</f>
        <v>4</v>
      </c>
      <c r="AN115" s="122">
        <f>SUM($AD$6:AD115)</f>
        <v>0</v>
      </c>
      <c r="AO115" s="122">
        <f ca="1">IF(D115=D114,AO114,OFFSET(AO115,-1,COLUMN(db_jSaldoGes)-COLUMN()))</f>
        <v>0</v>
      </c>
      <c r="AP115" s="126">
        <f>IF(OR($G115=-1,$G115=82),-1,IF(OR($G115=0,$G115=83),1,0))</f>
        <v>0</v>
      </c>
      <c r="AQ115" s="126">
        <f>IF($F115=Krank,1,IF($F115="J",-1,0))</f>
        <v>0</v>
      </c>
      <c r="AR115" s="126">
        <f>IF($F115=Urlaub,1,IF($F115="T",-1,0))</f>
        <v>0</v>
      </c>
      <c r="AS115" s="125">
        <f>IF(A115="","",AS114-IF(F115=Urlaub,1,0)+IF(AND(MONTH(A115)=1,DAY(A115)=1),B_UrlaubNeu,0))</f>
        <v>30</v>
      </c>
      <c r="AT115" s="125">
        <f ca="1">IF(A115="","",IF(D115=D114,AT114,OFFSET(AT115,-1,COLUMN(db_jUrlRest)-COLUMN()))+IF(AND(MONTH(A115)=1,DAY(A115)=1),B_UrlaubNeu,0))</f>
        <v>30</v>
      </c>
      <c r="AU115" s="135">
        <f>(IF(ISNUMBER(V115),V115,0)+IF(ISNUMBER(AD115),AD115,0))*24</f>
        <v>0</v>
      </c>
      <c r="AV115" s="125">
        <f>IF(ISNUMBER(AD115),K_ArbeitOverMax,IF(AND(ISNUMBER(AA115),AA115&gt;0),K_ArbeitOverTime,IF(AND(ISNUMBER(V115),V115&gt;0),K_ArbeitNormal,IF(F115=Krank,K_Krank,IF(F115=Urlaub,K_Urlaub,IF(AM115=Feiertag,K_Feiertag,IF(OR(AM115=6,AM115=7),K_Wochenende,0)))))))+IF(F115=Gleittag,K_Gleittag,0)</f>
        <v>0</v>
      </c>
      <c r="AW115" t="b">
        <f>OR((F115&gt;0),(NOT(ISBLANK(H115))),SUM(H115:H$373),SUM(G115:G$373))</f>
        <v>0</v>
      </c>
      <c r="AX115" t="b">
        <f ca="1">INDIRECT(ADDRESS(ROW(),COLUMN(xDay)))&gt;5</f>
        <v>0</v>
      </c>
      <c r="AY115" s="600">
        <f>IF(OR(R115&lt;&gt;0,F115&lt;&gt;0),AA115,IF(Z115="",0,-Z115))+(IF(AG115="+",AF115,-AF115))</f>
        <v>-0.29166666666666669</v>
      </c>
      <c r="AZ115" s="225">
        <f>SUM(AY$5:AY115)</f>
        <v>-22.166666666666679</v>
      </c>
      <c r="BA115" s="658"/>
      <c r="BB115" s="658">
        <f>IF(ISNA(MATCH(BA115,B_Arbeitsort,0)),0,MATCH(BA115,B_Arbeitsort,0))</f>
        <v>0</v>
      </c>
      <c r="BC115" s="658"/>
    </row>
    <row r="116" spans="1:55" ht="15.75">
      <c r="A116" s="305">
        <f>IF(A115="","",IF((A115+1)&gt;=DATE(YEAR(xJahr)+1,MONTH(xJahr),DAY(xJahr)),"",A115+1))</f>
        <v>43575</v>
      </c>
      <c r="B116" s="306">
        <f>IF(A116="","",A116)</f>
        <v>43575</v>
      </c>
      <c r="C116" s="307">
        <f>IF(A116="","",NumberOfWeek(A116))</f>
        <v>16</v>
      </c>
      <c r="D116" s="308">
        <f>IF(A116="","",DATE(YEAR(A116),MONTH(A116),1))</f>
        <v>43555</v>
      </c>
      <c r="E116" s="318" t="str">
        <f>IF((R116-U116)&gt;XWorkTimeMax,$Z$4,IF(AV116=Feiertag,VLOOKUP(B116,db_Feiertag,2,FALSE),""))</f>
        <v/>
      </c>
      <c r="F116" s="5"/>
      <c r="G116" s="6" t="str">
        <f>IF(ISBLANK(F116),IF(ISBLANK(H116),"",0),CODE(UPPER(F116)))</f>
        <v/>
      </c>
      <c r="H116" s="7"/>
      <c r="I116" s="7">
        <f>IF(H116&gt;0,H116+Y116+X116+AC116,0)</f>
        <v>0</v>
      </c>
      <c r="J116" s="113">
        <f>IF(K116&gt;I116,IF(I116&lt;H116,I116+1,I116)-B_WalkTime,IF(I116&lt;H116,I116+1,I116))</f>
        <v>0</v>
      </c>
      <c r="K116" s="7"/>
      <c r="L116" s="7">
        <f>IF(K116&gt;0,K116+IF((J116-H116)&lt;Y116,Y116-(J116-H116),TIME(0,10,0))+IF((K116-J116)&gt;xNoWorkTime,0,xNoWorkTime-(K116-J116)),0)</f>
        <v>0</v>
      </c>
      <c r="M116" s="113">
        <f>IF(L116&lt;K116,L116+1,L116)</f>
        <v>0</v>
      </c>
      <c r="N116" s="113"/>
      <c r="O116" s="113">
        <f>IF(N116&gt;0,N116+IF((J116-H116+M116-K116)&lt;Y116,Y116-(J116-H116+M116-K116),TIME(0,10,0))+IF((K116-J116+N116-M116)&gt;xNoWorkTime,0,xNoWorkTime-(K116-J116+N116-M116)),0)</f>
        <v>0</v>
      </c>
      <c r="P116" s="113"/>
      <c r="Q116" s="113">
        <f>IF(O116&lt;N116,O116+1,O116)</f>
        <v>0</v>
      </c>
      <c r="R116" s="113">
        <f>J116-H116+M116-K116+Q116-N116</f>
        <v>0</v>
      </c>
      <c r="S116" s="113">
        <f>IF(K116&gt;0,K116-I116,0)+IF(N116&gt;0,N116-L116)</f>
        <v>0</v>
      </c>
      <c r="T116" s="113">
        <f>IF(H116&gt;0,(IF(R116&gt;B_Pause1Nach,B_Pause1Dauer+IF(BA116="Büro",B_WalkTime,0),IF(BA116="Büro",B_WalkTime,0))+IF(R116&gt;B_Pause2Nach,B_Pause2Dauer,0)),0)</f>
        <v>0</v>
      </c>
      <c r="U116" s="113">
        <f>IF(T116&gt;S116,T116-S116,0)</f>
        <v>0</v>
      </c>
      <c r="V116" s="146">
        <f>IF(F116="S",Z116,(IF((R116-U116)&gt;XWorkTimeMax,XWorkTimeMax,IF((R116-U116)&gt;0,R116-U116,0))))</f>
        <v>0</v>
      </c>
      <c r="W116" s="66"/>
      <c r="X116" s="115">
        <f>xNoWorkTime</f>
        <v>4.027777777777778E-2</v>
      </c>
      <c r="Y116" s="110">
        <f>IF(AND((AM116&lt;Feiertag),(G116&lt;&gt;85)),IF(OR(F116="B",F116="G",F116="S",H116&gt;0),H116-H116+Z116,0),0)</f>
        <v>0</v>
      </c>
      <c r="Z116" s="111">
        <f>IF(AND(AM116&gt;0,AM116&lt;Feiertag),INDEX(Arbeitszeit,AM116),"")</f>
        <v>0.29166666666666669</v>
      </c>
      <c r="AA116" s="112">
        <f>V116-Y116</f>
        <v>0</v>
      </c>
      <c r="AB116" s="67" t="str">
        <f>IF((V116-Y116)&lt;0,"*","")</f>
        <v/>
      </c>
      <c r="AC116" s="193">
        <f>xOverTime</f>
        <v>0</v>
      </c>
      <c r="AD116" s="144" t="str">
        <f>IF((R116-U116)&gt;XWorkTimeMax,(R116-U116-XWorkTimeMax),"")</f>
        <v/>
      </c>
      <c r="AE116" s="225">
        <f>IF(AW116,(AE115+SUM(AA116)+(IF(AG116="+",AF116,-AF116))),)</f>
        <v>0</v>
      </c>
      <c r="AF116" s="110"/>
      <c r="AG116" s="627"/>
      <c r="AH116" s="110"/>
      <c r="AI116" s="110" t="str">
        <f>IF(AND(AF116&lt;&gt;"",AF116&lt;=V116),V116-AF116,"")</f>
        <v/>
      </c>
      <c r="AJ116" s="68">
        <f>IF(ISNUMBER(V116 ), IF( V116 &gt;= Y116, Y116, V116 ),"")</f>
        <v>0</v>
      </c>
      <c r="AK116" s="68">
        <f>IF( ISNUMBER( V116 ), IF( V116 &gt;= Y116, V116 - Y116, "" ), "" )</f>
        <v>0</v>
      </c>
      <c r="AL116" s="68" t="str">
        <f>IF( AND(ISNUMBER( V116 ),ISNUMBER( Y116 )), IF( V116 &gt;= Y116, "", Y116 - V116 ), "" )</f>
        <v/>
      </c>
      <c r="AM116">
        <f>IF(A116="",0,IF(ISERROR(VLOOKUP(A116,db_Feiertag,2,FALSE)),WEEKDAY(A116,2),Feiertag))</f>
        <v>5</v>
      </c>
      <c r="AN116" s="122">
        <f>SUM($AD$6:AD116)</f>
        <v>0</v>
      </c>
      <c r="AO116" s="122">
        <f ca="1">IF(D116=D115,AO115,OFFSET(AO116,-1,COLUMN(db_jSaldoGes)-COLUMN()))</f>
        <v>0</v>
      </c>
      <c r="AP116" s="126">
        <f>IF(OR($G116=-1,$G116=82),-1,IF(OR($G116=0,$G116=83),1,0))</f>
        <v>0</v>
      </c>
      <c r="AQ116" s="126">
        <f>IF($F116=Krank,1,IF($F116="J",-1,0))</f>
        <v>0</v>
      </c>
      <c r="AR116" s="126">
        <f>IF($F116=Urlaub,1,IF($F116="T",-1,0))</f>
        <v>0</v>
      </c>
      <c r="AS116" s="125">
        <f>IF(A116="","",AS115-IF(F116=Urlaub,1,0)+IF(AND(MONTH(A116)=1,DAY(A116)=1),B_UrlaubNeu,0))</f>
        <v>30</v>
      </c>
      <c r="AT116" s="125">
        <f ca="1">IF(A116="","",IF(D116=D115,AT115,OFFSET(AT116,-1,COLUMN(db_jUrlRest)-COLUMN()))+IF(AND(MONTH(A116)=1,DAY(A116)=1),B_UrlaubNeu,0))</f>
        <v>30</v>
      </c>
      <c r="AU116" s="135">
        <f>(IF(ISNUMBER(V116),V116,0)+IF(ISNUMBER(AD116),AD116,0))*24</f>
        <v>0</v>
      </c>
      <c r="AV116" s="125">
        <f>IF(ISNUMBER(AD116),K_ArbeitOverMax,IF(AND(ISNUMBER(AA116),AA116&gt;0),K_ArbeitOverTime,IF(AND(ISNUMBER(V116),V116&gt;0),K_ArbeitNormal,IF(F116=Krank,K_Krank,IF(F116=Urlaub,K_Urlaub,IF(AM116=Feiertag,K_Feiertag,IF(OR(AM116=6,AM116=7),K_Wochenende,0)))))))+IF(F116=Gleittag,K_Gleittag,0)</f>
        <v>0</v>
      </c>
      <c r="AW116" t="b">
        <f>OR((F116&gt;0),(NOT(ISBLANK(H116))),SUM(H116:H$373),SUM(G116:G$373))</f>
        <v>0</v>
      </c>
      <c r="AX116" t="b">
        <f ca="1">INDIRECT(ADDRESS(ROW(),COLUMN(xDay)))&gt;5</f>
        <v>0</v>
      </c>
      <c r="AY116" s="600">
        <f>IF(OR(R116&lt;&gt;0,F116&lt;&gt;0),AA116,IF(Z116="",0,-Z116))+(IF(AG116="+",AF116,-AF116))</f>
        <v>-0.29166666666666669</v>
      </c>
      <c r="AZ116" s="225">
        <f>SUM(AY$5:AY116)</f>
        <v>-22.458333333333346</v>
      </c>
      <c r="BA116" s="658"/>
      <c r="BB116" s="658">
        <f>IF(ISNA(MATCH(BA116,B_Arbeitsort,0)),0,MATCH(BA116,B_Arbeitsort,0))</f>
        <v>0</v>
      </c>
      <c r="BC116" s="658"/>
    </row>
    <row r="117" spans="1:55" ht="15.75">
      <c r="A117" s="305">
        <f>IF(A116="","",IF((A116+1)&gt;=DATE(YEAR(xJahr)+1,MONTH(xJahr),DAY(xJahr)),"",A116+1))</f>
        <v>43576</v>
      </c>
      <c r="B117" s="306">
        <f>IF(A117="","",A117)</f>
        <v>43576</v>
      </c>
      <c r="C117" s="307">
        <f>IF(A117="","",NumberOfWeek(A117))</f>
        <v>16</v>
      </c>
      <c r="D117" s="308">
        <f>IF(A117="","",DATE(YEAR(A117),MONTH(A117),1))</f>
        <v>43555</v>
      </c>
      <c r="E117" s="318" t="str">
        <f>IF((R117-U117)&gt;XWorkTimeMax,$Z$4,IF(AV117=Feiertag,VLOOKUP(B117,db_Feiertag,2,FALSE),""))</f>
        <v/>
      </c>
      <c r="F117" s="5"/>
      <c r="G117" s="6" t="str">
        <f>IF(ISBLANK(F117),IF(ISBLANK(H117),"",0),CODE(UPPER(F117)))</f>
        <v/>
      </c>
      <c r="H117" s="7"/>
      <c r="I117" s="7">
        <f>IF(H117&gt;0,H117+Y117+X117+AC117,0)</f>
        <v>0</v>
      </c>
      <c r="J117" s="113">
        <f>IF(K117&gt;I117,IF(I117&lt;H117,I117+1,I117)-B_WalkTime,IF(I117&lt;H117,I117+1,I117))</f>
        <v>0</v>
      </c>
      <c r="K117" s="7"/>
      <c r="L117" s="7">
        <f>IF(K117&gt;0,K117+IF((J117-H117)&lt;Y117,Y117-(J117-H117),TIME(0,10,0))+IF((K117-J117)&gt;xNoWorkTime,0,xNoWorkTime-(K117-J117)),0)</f>
        <v>0</v>
      </c>
      <c r="M117" s="113">
        <f>IF(L117&lt;K117,L117+1,L117)</f>
        <v>0</v>
      </c>
      <c r="N117" s="113"/>
      <c r="O117" s="113">
        <f>IF(N117&gt;0,N117+IF((J117-H117+M117-K117)&lt;Y117,Y117-(J117-H117+M117-K117),TIME(0,10,0))+IF((K117-J117+N117-M117)&gt;xNoWorkTime,0,xNoWorkTime-(K117-J117+N117-M117)),0)</f>
        <v>0</v>
      </c>
      <c r="P117" s="113"/>
      <c r="Q117" s="113">
        <f>IF(O117&lt;N117,O117+1,O117)</f>
        <v>0</v>
      </c>
      <c r="R117" s="113">
        <f>J117-H117+M117-K117+Q117-N117</f>
        <v>0</v>
      </c>
      <c r="S117" s="113">
        <f>IF(K117&gt;0,K117-I117,0)+IF(N117&gt;0,N117-L117)</f>
        <v>0</v>
      </c>
      <c r="T117" s="113">
        <f>IF(H117&gt;0,(IF(R117&gt;B_Pause1Nach,B_Pause1Dauer+IF(BA117="Büro",B_WalkTime,0),IF(BA117="Büro",B_WalkTime,0))+IF(R117&gt;B_Pause2Nach,B_Pause2Dauer,0)),0)</f>
        <v>0</v>
      </c>
      <c r="U117" s="113">
        <f>IF(T117&gt;S117,T117-S117,0)</f>
        <v>0</v>
      </c>
      <c r="V117" s="146">
        <f>IF(F117="S",Z117,(IF((R117-U117)&gt;XWorkTimeMax,XWorkTimeMax,IF((R117-U117)&gt;0,R117-U117,0))))</f>
        <v>0</v>
      </c>
      <c r="W117" s="66"/>
      <c r="X117" s="115">
        <f>xNoWorkTime</f>
        <v>4.027777777777778E-2</v>
      </c>
      <c r="Y117" s="110">
        <f>IF(AND((AM117&lt;Feiertag),(G117&lt;&gt;85)),IF(OR(F117="B",F117="G",F117="S",H117&gt;0),H117-H117+Z117,0),0)</f>
        <v>0</v>
      </c>
      <c r="Z117" s="111">
        <f>IF(AND(AM117&gt;0,AM117&lt;Feiertag),INDEX(Arbeitszeit,AM117),"")</f>
        <v>0</v>
      </c>
      <c r="AA117" s="112">
        <f>V117-Y117</f>
        <v>0</v>
      </c>
      <c r="AB117" s="67" t="str">
        <f>IF((V117-Y117)&lt;0,"*","")</f>
        <v/>
      </c>
      <c r="AC117" s="193">
        <f>xOverTime</f>
        <v>0</v>
      </c>
      <c r="AD117" s="144" t="str">
        <f>IF((R117-U117)&gt;XWorkTimeMax,(R117-U117-XWorkTimeMax),"")</f>
        <v/>
      </c>
      <c r="AE117" s="225">
        <f>IF(AW117,(AE116+SUM(AA117)+(IF(AG117="+",AF117,-AF117))),)</f>
        <v>0</v>
      </c>
      <c r="AF117" s="110"/>
      <c r="AG117" s="627"/>
      <c r="AH117" s="110"/>
      <c r="AI117" s="110" t="str">
        <f>IF(AND(AF117&lt;&gt;"",AF117&lt;=V117),V117-AF117,"")</f>
        <v/>
      </c>
      <c r="AJ117" s="68">
        <f>IF(ISNUMBER(V117 ), IF( V117 &gt;= Y117, Y117, V117 ),"")</f>
        <v>0</v>
      </c>
      <c r="AK117" s="68">
        <f>IF( ISNUMBER( V117 ), IF( V117 &gt;= Y117, V117 - Y117, "" ), "" )</f>
        <v>0</v>
      </c>
      <c r="AL117" s="68" t="str">
        <f>IF( AND(ISNUMBER( V117 ),ISNUMBER( Y117 )), IF( V117 &gt;= Y117, "", Y117 - V117 ), "" )</f>
        <v/>
      </c>
      <c r="AM117">
        <f>IF(A117="",0,IF(ISERROR(VLOOKUP(A117,db_Feiertag,2,FALSE)),WEEKDAY(A117,2),Feiertag))</f>
        <v>6</v>
      </c>
      <c r="AN117" s="122">
        <f>SUM($AD$6:AD117)</f>
        <v>0</v>
      </c>
      <c r="AO117" s="122">
        <f ca="1">IF(D117=D116,AO116,OFFSET(AO117,-1,COLUMN(db_jSaldoGes)-COLUMN()))</f>
        <v>0</v>
      </c>
      <c r="AP117" s="126">
        <f>IF(OR($G117=-1,$G117=82),-1,IF(OR($G117=0,$G117=83),1,0))</f>
        <v>0</v>
      </c>
      <c r="AQ117" s="126">
        <f>IF($F117=Krank,1,IF($F117="J",-1,0))</f>
        <v>0</v>
      </c>
      <c r="AR117" s="126">
        <f>IF($F117=Urlaub,1,IF($F117="T",-1,0))</f>
        <v>0</v>
      </c>
      <c r="AS117" s="125">
        <f>IF(A117="","",AS116-IF(F117=Urlaub,1,0)+IF(AND(MONTH(A117)=1,DAY(A117)=1),B_UrlaubNeu,0))</f>
        <v>30</v>
      </c>
      <c r="AT117" s="125">
        <f ca="1">IF(A117="","",IF(D117=D116,AT116,OFFSET(AT117,-1,COLUMN(db_jUrlRest)-COLUMN()))+IF(AND(MONTH(A117)=1,DAY(A117)=1),B_UrlaubNeu,0))</f>
        <v>30</v>
      </c>
      <c r="AU117" s="135">
        <f>(IF(ISNUMBER(V117),V117,0)+IF(ISNUMBER(AD117),AD117,0))*24</f>
        <v>0</v>
      </c>
      <c r="AV117" s="125">
        <f>IF(ISNUMBER(AD117),K_ArbeitOverMax,IF(AND(ISNUMBER(AA117),AA117&gt;0),K_ArbeitOverTime,IF(AND(ISNUMBER(V117),V117&gt;0),K_ArbeitNormal,IF(F117=Krank,K_Krank,IF(F117=Urlaub,K_Urlaub,IF(AM117=Feiertag,K_Feiertag,IF(OR(AM117=6,AM117=7),K_Wochenende,0)))))))+IF(F117=Gleittag,K_Gleittag,0)</f>
        <v>7</v>
      </c>
      <c r="AW117" t="b">
        <f>OR((F117&gt;0),(NOT(ISBLANK(H117))),SUM(H117:H$373),SUM(G117:G$373))</f>
        <v>0</v>
      </c>
      <c r="AX117" t="b">
        <f ca="1">INDIRECT(ADDRESS(ROW(),COLUMN(xDay)))&gt;5</f>
        <v>1</v>
      </c>
      <c r="AY117" s="600">
        <f>IF(OR(R117&lt;&gt;0,F117&lt;&gt;0),AA117,IF(Z117="",0,-Z117))+(IF(AG117="+",AF117,-AF117))</f>
        <v>0</v>
      </c>
      <c r="AZ117" s="225">
        <f>SUM(AY$5:AY117)</f>
        <v>-22.458333333333346</v>
      </c>
      <c r="BA117" s="643"/>
      <c r="BB117" s="658">
        <f>IF(ISNA(MATCH(BA117,B_Arbeitsort,0)),0,MATCH(BA117,B_Arbeitsort,0))</f>
        <v>0</v>
      </c>
      <c r="BC117" s="643"/>
    </row>
    <row r="118" spans="1:55" ht="15.75">
      <c r="A118" s="305">
        <f>IF(A117="","",IF((A117+1)&gt;=DATE(YEAR(xJahr)+1,MONTH(xJahr),DAY(xJahr)),"",A117+1))</f>
        <v>43577</v>
      </c>
      <c r="B118" s="306">
        <f>IF(A118="","",A118)</f>
        <v>43577</v>
      </c>
      <c r="C118" s="307">
        <f>IF(A118="","",NumberOfWeek(A118))</f>
        <v>16</v>
      </c>
      <c r="D118" s="308">
        <f>IF(A118="","",DATE(YEAR(A118),MONTH(A118),1))</f>
        <v>43555</v>
      </c>
      <c r="E118" s="318" t="str">
        <f>IF((R118-U118)&gt;XWorkTimeMax,$Z$4,IF(AV118=Feiertag,VLOOKUP(B118,db_Feiertag,2,FALSE),""))</f>
        <v/>
      </c>
      <c r="F118" s="5"/>
      <c r="G118" s="6" t="str">
        <f>IF(ISBLANK(F118),IF(ISBLANK(H118),"",0),CODE(UPPER(F118)))</f>
        <v/>
      </c>
      <c r="H118" s="7"/>
      <c r="I118" s="7">
        <f>IF(H118&gt;0,H118+Y118+X118+AC118,0)</f>
        <v>0</v>
      </c>
      <c r="J118" s="113">
        <f>IF(K118&gt;I118,IF(I118&lt;H118,I118+1,I118)-B_WalkTime,IF(I118&lt;H118,I118+1,I118))</f>
        <v>0</v>
      </c>
      <c r="K118" s="7"/>
      <c r="L118" s="7">
        <f>IF(K118&gt;0,K118+IF((J118-H118)&lt;Y118,Y118-(J118-H118),TIME(0,10,0))+IF((K118-J118)&gt;xNoWorkTime,0,xNoWorkTime-(K118-J118)),0)</f>
        <v>0</v>
      </c>
      <c r="M118" s="113">
        <f>IF(L118&lt;K118,L118+1,L118)</f>
        <v>0</v>
      </c>
      <c r="N118" s="113"/>
      <c r="O118" s="113">
        <f>IF(N118&gt;0,N118+IF((J118-H118+M118-K118)&lt;Y118,Y118-(J118-H118+M118-K118),TIME(0,10,0))+IF((K118-J118+N118-M118)&gt;xNoWorkTime,0,xNoWorkTime-(K118-J118+N118-M118)),0)</f>
        <v>0</v>
      </c>
      <c r="P118" s="113"/>
      <c r="Q118" s="113">
        <f>IF(O118&lt;N118,O118+1,O118)</f>
        <v>0</v>
      </c>
      <c r="R118" s="113">
        <f>J118-H118+M118-K118+Q118-N118</f>
        <v>0</v>
      </c>
      <c r="S118" s="113">
        <f>IF(K118&gt;0,K118-I118,0)+IF(N118&gt;0,N118-L118)</f>
        <v>0</v>
      </c>
      <c r="T118" s="113">
        <f>IF(H118&gt;0,(IF(R118&gt;B_Pause1Nach,B_Pause1Dauer+IF(BA118="Büro",B_WalkTime,0),IF(BA118="Büro",B_WalkTime,0))+IF(R118&gt;B_Pause2Nach,B_Pause2Dauer,0)),0)</f>
        <v>0</v>
      </c>
      <c r="U118" s="113">
        <f>IF(T118&gt;S118,T118-S118,0)</f>
        <v>0</v>
      </c>
      <c r="V118" s="146">
        <f>IF(F118="S",Z118,(IF((R118-U118)&gt;XWorkTimeMax,XWorkTimeMax,IF((R118-U118)&gt;0,R118-U118,0))))</f>
        <v>0</v>
      </c>
      <c r="W118" s="66"/>
      <c r="X118" s="115">
        <f>xNoWorkTime</f>
        <v>4.027777777777778E-2</v>
      </c>
      <c r="Y118" s="110">
        <f>IF(AND((AM118&lt;Feiertag),(G118&lt;&gt;85)),IF(OR(F118="B",F118="G",F118="S",H118&gt;0),H118-H118+Z118,0),0)</f>
        <v>0</v>
      </c>
      <c r="Z118" s="111">
        <f>IF(AND(AM118&gt;0,AM118&lt;Feiertag),INDEX(Arbeitszeit,AM118),"")</f>
        <v>0</v>
      </c>
      <c r="AA118" s="112">
        <f>V118-Y118</f>
        <v>0</v>
      </c>
      <c r="AB118" s="67" t="str">
        <f>IF((V118-Y118)&lt;0,"*","")</f>
        <v/>
      </c>
      <c r="AC118" s="193">
        <f>xOverTime</f>
        <v>0</v>
      </c>
      <c r="AD118" s="144" t="str">
        <f>IF((R118-U118)&gt;XWorkTimeMax,(R118-U118-XWorkTimeMax),"")</f>
        <v/>
      </c>
      <c r="AE118" s="225">
        <f>IF(AW118,(AE117+SUM(AA118)+(IF(AG118="+",AF118,-AF118))),)</f>
        <v>0</v>
      </c>
      <c r="AF118" s="110"/>
      <c r="AG118" s="627"/>
      <c r="AH118" s="110"/>
      <c r="AI118" s="110" t="str">
        <f>IF(AND(AF118&lt;&gt;"",AF118&lt;=V118),V118-AF118,"")</f>
        <v/>
      </c>
      <c r="AJ118" s="68">
        <f>IF(ISNUMBER(V118 ), IF( V118 &gt;= Y118, Y118, V118 ),"")</f>
        <v>0</v>
      </c>
      <c r="AK118" s="68">
        <f>IF( ISNUMBER( V118 ), IF( V118 &gt;= Y118, V118 - Y118, "" ), "" )</f>
        <v>0</v>
      </c>
      <c r="AL118" s="68" t="str">
        <f>IF( AND(ISNUMBER( V118 ),ISNUMBER( Y118 )), IF( V118 &gt;= Y118, "", Y118 - V118 ), "" )</f>
        <v/>
      </c>
      <c r="AM118">
        <f>IF(A118="",0,IF(ISERROR(VLOOKUP(A118,db_Feiertag,2,FALSE)),WEEKDAY(A118,2),Feiertag))</f>
        <v>7</v>
      </c>
      <c r="AN118" s="122">
        <f>SUM($AD$6:AD118)</f>
        <v>0</v>
      </c>
      <c r="AO118" s="122">
        <f ca="1">IF(D118=D117,AO117,OFFSET(AO118,-1,COLUMN(db_jSaldoGes)-COLUMN()))</f>
        <v>0</v>
      </c>
      <c r="AP118" s="126">
        <f>IF(OR($G118=-1,$G118=82),-1,IF(OR($G118=0,$G118=83),1,0))</f>
        <v>0</v>
      </c>
      <c r="AQ118" s="126">
        <f>IF($F118=Krank,1,IF($F118="J",-1,0))</f>
        <v>0</v>
      </c>
      <c r="AR118" s="126">
        <f>IF($F118=Urlaub,1,IF($F118="T",-1,0))</f>
        <v>0</v>
      </c>
      <c r="AS118" s="125">
        <f>IF(A118="","",AS117-IF(F118=Urlaub,1,0)+IF(AND(MONTH(A118)=1,DAY(A118)=1),B_UrlaubNeu,0))</f>
        <v>30</v>
      </c>
      <c r="AT118" s="125">
        <f ca="1">IF(A118="","",IF(D118=D117,AT117,OFFSET(AT118,-1,COLUMN(db_jUrlRest)-COLUMN()))+IF(AND(MONTH(A118)=1,DAY(A118)=1),B_UrlaubNeu,0))</f>
        <v>30</v>
      </c>
      <c r="AU118" s="135">
        <f>(IF(ISNUMBER(V118),V118,0)+IF(ISNUMBER(AD118),AD118,0))*24</f>
        <v>0</v>
      </c>
      <c r="AV118" s="125">
        <f>IF(ISNUMBER(AD118),K_ArbeitOverMax,IF(AND(ISNUMBER(AA118),AA118&gt;0),K_ArbeitOverTime,IF(AND(ISNUMBER(V118),V118&gt;0),K_ArbeitNormal,IF(F118=Krank,K_Krank,IF(F118=Urlaub,K_Urlaub,IF(AM118=Feiertag,K_Feiertag,IF(OR(AM118=6,AM118=7),K_Wochenende,0)))))))+IF(F118=Gleittag,K_Gleittag,0)</f>
        <v>7</v>
      </c>
      <c r="AW118" t="b">
        <f>OR((F118&gt;0),(NOT(ISBLANK(H118))),SUM(H118:H$373),SUM(G118:G$373))</f>
        <v>0</v>
      </c>
      <c r="AX118" t="b">
        <f ca="1">INDIRECT(ADDRESS(ROW(),COLUMN(xDay)))&gt;5</f>
        <v>1</v>
      </c>
      <c r="AY118" s="600">
        <f>IF(OR(R118&lt;&gt;0,F118&lt;&gt;0),AA118,IF(Z118="",0,-Z118))+(IF(AG118="+",AF118,-AF118))</f>
        <v>0</v>
      </c>
      <c r="AZ118" s="225">
        <f>SUM(AY$5:AY118)</f>
        <v>-22.458333333333346</v>
      </c>
      <c r="BA118" s="643"/>
      <c r="BB118" s="658">
        <f>IF(ISNA(MATCH(BA118,B_Arbeitsort,0)),0,MATCH(BA118,B_Arbeitsort,0))</f>
        <v>0</v>
      </c>
      <c r="BC118" s="643"/>
    </row>
    <row r="119" spans="1:55" ht="15.75">
      <c r="A119" s="305">
        <f>IF(A118="","",IF((A118+1)&gt;=DATE(YEAR(xJahr)+1,MONTH(xJahr),DAY(xJahr)),"",A118+1))</f>
        <v>43578</v>
      </c>
      <c r="B119" s="306">
        <f>IF(A119="","",A119)</f>
        <v>43578</v>
      </c>
      <c r="C119" s="307">
        <f>IF(A119="","",NumberOfWeek(A119))</f>
        <v>17</v>
      </c>
      <c r="D119" s="308">
        <f>IF(A119="","",DATE(YEAR(A119),MONTH(A119),1))</f>
        <v>43555</v>
      </c>
      <c r="E119" s="318" t="str">
        <f>IF((R119-U119)&gt;XWorkTimeMax,$Z$4,IF(AV119=Feiertag,VLOOKUP(B119,db_Feiertag,2,FALSE),""))</f>
        <v/>
      </c>
      <c r="F119" s="5"/>
      <c r="G119" s="6" t="str">
        <f>IF(ISBLANK(F119),IF(ISBLANK(H119),"",0),CODE(UPPER(F119)))</f>
        <v/>
      </c>
      <c r="H119" s="7"/>
      <c r="I119" s="7">
        <f>IF(H119&gt;0,H119+Y119+X119+AC119,0)</f>
        <v>0</v>
      </c>
      <c r="J119" s="113">
        <f>IF(K119&gt;I119,IF(I119&lt;H119,I119+1,I119)-B_WalkTime,IF(I119&lt;H119,I119+1,I119))</f>
        <v>0</v>
      </c>
      <c r="K119" s="7"/>
      <c r="L119" s="7">
        <f>IF(K119&gt;0,K119+IF((J119-H119)&lt;Y119,Y119-(J119-H119),TIME(0,10,0))+IF((K119-J119)&gt;xNoWorkTime,0,xNoWorkTime-(K119-J119)),0)</f>
        <v>0</v>
      </c>
      <c r="M119" s="113">
        <f>IF(L119&lt;K119,L119+1,L119)</f>
        <v>0</v>
      </c>
      <c r="N119" s="113"/>
      <c r="O119" s="113">
        <f>IF(N119&gt;0,N119+IF((J119-H119+M119-K119)&lt;Y119,Y119-(J119-H119+M119-K119),TIME(0,10,0))+IF((K119-J119+N119-M119)&gt;xNoWorkTime,0,xNoWorkTime-(K119-J119+N119-M119)),0)</f>
        <v>0</v>
      </c>
      <c r="P119" s="113"/>
      <c r="Q119" s="113">
        <f>IF(O119&lt;N119,O119+1,O119)</f>
        <v>0</v>
      </c>
      <c r="R119" s="113">
        <f>J119-H119+M119-K119+Q119-N119</f>
        <v>0</v>
      </c>
      <c r="S119" s="113">
        <f>IF(K119&gt;0,K119-I119,0)+IF(N119&gt;0,N119-L119)</f>
        <v>0</v>
      </c>
      <c r="T119" s="113">
        <f>IF(H119&gt;0,(IF(R119&gt;B_Pause1Nach,B_Pause1Dauer+IF(BA119="Büro",B_WalkTime,0),IF(BA119="Büro",B_WalkTime,0))+IF(R119&gt;B_Pause2Nach,B_Pause2Dauer,0)),0)</f>
        <v>0</v>
      </c>
      <c r="U119" s="113">
        <f>IF(T119&gt;S119,T119-S119,0)</f>
        <v>0</v>
      </c>
      <c r="V119" s="146">
        <f>IF(F119="S",Z119,(IF((R119-U119)&gt;XWorkTimeMax,XWorkTimeMax,IF((R119-U119)&gt;0,R119-U119,0))))</f>
        <v>0</v>
      </c>
      <c r="W119" s="66"/>
      <c r="X119" s="115">
        <f>xNoWorkTime</f>
        <v>4.027777777777778E-2</v>
      </c>
      <c r="Y119" s="110">
        <f>IF(AND((AM119&lt;Feiertag),(G119&lt;&gt;85)),IF(OR(F119="B",F119="G",F119="S",H119&gt;0),H119-H119+Z119,0),0)</f>
        <v>0</v>
      </c>
      <c r="Z119" s="111">
        <f>IF(AND(AM119&gt;0,AM119&lt;Feiertag),INDEX(Arbeitszeit,AM119),"")</f>
        <v>0.29166666666666669</v>
      </c>
      <c r="AA119" s="112">
        <f>V119-Y119</f>
        <v>0</v>
      </c>
      <c r="AB119" s="67" t="str">
        <f>IF((V119-Y119)&lt;0,"*","")</f>
        <v/>
      </c>
      <c r="AC119" s="193">
        <f>xOverTime</f>
        <v>0</v>
      </c>
      <c r="AD119" s="144" t="str">
        <f>IF((R119-U119)&gt;XWorkTimeMax,(R119-U119-XWorkTimeMax),"")</f>
        <v/>
      </c>
      <c r="AE119" s="225">
        <f>IF(AW119,(AE118+SUM(AA119)+(IF(AG119="+",AF119,-AF119))),)</f>
        <v>0</v>
      </c>
      <c r="AF119" s="110"/>
      <c r="AG119" s="627"/>
      <c r="AH119" s="110"/>
      <c r="AI119" s="110" t="str">
        <f>IF(AND(AF119&lt;&gt;"",AF119&lt;=V119),V119-AF119,"")</f>
        <v/>
      </c>
      <c r="AJ119" s="68">
        <f>IF(ISNUMBER(V119 ), IF( V119 &gt;= Y119, Y119, V119 ),"")</f>
        <v>0</v>
      </c>
      <c r="AK119" s="68">
        <f>IF( ISNUMBER( V119 ), IF( V119 &gt;= Y119, V119 - Y119, "" ), "" )</f>
        <v>0</v>
      </c>
      <c r="AL119" s="68" t="str">
        <f>IF( AND(ISNUMBER( V119 ),ISNUMBER( Y119 )), IF( V119 &gt;= Y119, "", Y119 - V119 ), "" )</f>
        <v/>
      </c>
      <c r="AM119">
        <f>IF(A119="",0,IF(ISERROR(VLOOKUP(A119,db_Feiertag,2,FALSE)),WEEKDAY(A119,2),Feiertag))</f>
        <v>1</v>
      </c>
      <c r="AN119" s="122">
        <f>SUM($AD$6:AD119)</f>
        <v>0</v>
      </c>
      <c r="AO119" s="122">
        <f ca="1">IF(D119=D118,AO118,OFFSET(AO119,-1,COLUMN(db_jSaldoGes)-COLUMN()))</f>
        <v>0</v>
      </c>
      <c r="AP119" s="126">
        <f>IF(OR($G119=-1,$G119=82),-1,IF(OR($G119=0,$G119=83),1,0))</f>
        <v>0</v>
      </c>
      <c r="AQ119" s="126">
        <f>IF($F119=Krank,1,IF($F119="J",-1,0))</f>
        <v>0</v>
      </c>
      <c r="AR119" s="126">
        <f>IF($F119=Urlaub,1,IF($F119="T",-1,0))</f>
        <v>0</v>
      </c>
      <c r="AS119" s="125">
        <f>IF(A119="","",AS118-IF(F119=Urlaub,1,0)+IF(AND(MONTH(A119)=1,DAY(A119)=1),B_UrlaubNeu,0))</f>
        <v>30</v>
      </c>
      <c r="AT119" s="125">
        <f ca="1">IF(A119="","",IF(D119=D118,AT118,OFFSET(AT119,-1,COLUMN(db_jUrlRest)-COLUMN()))+IF(AND(MONTH(A119)=1,DAY(A119)=1),B_UrlaubNeu,0))</f>
        <v>30</v>
      </c>
      <c r="AU119" s="135">
        <f>(IF(ISNUMBER(V119),V119,0)+IF(ISNUMBER(AD119),AD119,0))*24</f>
        <v>0</v>
      </c>
      <c r="AV119" s="125">
        <f>IF(ISNUMBER(AD119),K_ArbeitOverMax,IF(AND(ISNUMBER(AA119),AA119&gt;0),K_ArbeitOverTime,IF(AND(ISNUMBER(V119),V119&gt;0),K_ArbeitNormal,IF(F119=Krank,K_Krank,IF(F119=Urlaub,K_Urlaub,IF(AM119=Feiertag,K_Feiertag,IF(OR(AM119=6,AM119=7),K_Wochenende,0)))))))+IF(F119=Gleittag,K_Gleittag,0)</f>
        <v>0</v>
      </c>
      <c r="AW119" t="b">
        <f>OR((F119&gt;0),(NOT(ISBLANK(H119))),SUM(H119:H$373),SUM(G119:G$373))</f>
        <v>0</v>
      </c>
      <c r="AX119" t="b">
        <f ca="1">INDIRECT(ADDRESS(ROW(),COLUMN(xDay)))&gt;5</f>
        <v>0</v>
      </c>
      <c r="AY119" s="600">
        <f>IF(OR(R119&lt;&gt;0,F119&lt;&gt;0),AA119,IF(Z119="",0,-Z119))+(IF(AG119="+",AF119,-AF119))</f>
        <v>-0.29166666666666669</v>
      </c>
      <c r="AZ119" s="225">
        <f>SUM(AY$5:AY119)</f>
        <v>-22.750000000000014</v>
      </c>
      <c r="BA119" s="658"/>
      <c r="BB119" s="658">
        <f>IF(ISNA(MATCH(BA119,B_Arbeitsort,0)),0,MATCH(BA119,B_Arbeitsort,0))</f>
        <v>0</v>
      </c>
      <c r="BC119" s="658"/>
    </row>
    <row r="120" spans="1:55" ht="15.75">
      <c r="A120" s="305">
        <f>IF(A119="","",IF((A119+1)&gt;=DATE(YEAR(xJahr)+1,MONTH(xJahr),DAY(xJahr)),"",A119+1))</f>
        <v>43579</v>
      </c>
      <c r="B120" s="306">
        <f>IF(A120="","",A120)</f>
        <v>43579</v>
      </c>
      <c r="C120" s="307">
        <f>IF(A120="","",NumberOfWeek(A120))</f>
        <v>17</v>
      </c>
      <c r="D120" s="308">
        <f>IF(A120="","",DATE(YEAR(A120),MONTH(A120),1))</f>
        <v>43555</v>
      </c>
      <c r="E120" s="318" t="str">
        <f>IF((R120-U120)&gt;XWorkTimeMax,$Z$4,IF(AV120=Feiertag,VLOOKUP(B120,db_Feiertag,2,FALSE),""))</f>
        <v/>
      </c>
      <c r="F120" s="5"/>
      <c r="G120" s="6" t="str">
        <f>IF(ISBLANK(F120),IF(ISBLANK(H120),"",0),CODE(UPPER(F120)))</f>
        <v/>
      </c>
      <c r="H120" s="7"/>
      <c r="I120" s="7">
        <f>IF(H120&gt;0,H120+Y120+X120+AC120,0)</f>
        <v>0</v>
      </c>
      <c r="J120" s="113">
        <f>IF(K120&gt;I120,IF(I120&lt;H120,I120+1,I120)-B_WalkTime,IF(I120&lt;H120,I120+1,I120))</f>
        <v>0</v>
      </c>
      <c r="K120" s="7"/>
      <c r="L120" s="7">
        <f>IF(K120&gt;0,K120+IF((J120-H120)&lt;Y120,Y120-(J120-H120),TIME(0,10,0))+IF((K120-J120)&gt;xNoWorkTime,0,xNoWorkTime-(K120-J120)),0)</f>
        <v>0</v>
      </c>
      <c r="M120" s="113">
        <f>IF(L120&lt;K120,L120+1,L120)</f>
        <v>0</v>
      </c>
      <c r="N120" s="113"/>
      <c r="O120" s="113">
        <f>IF(N120&gt;0,N120+IF((J120-H120+M120-K120)&lt;Y120,Y120-(J120-H120+M120-K120),TIME(0,10,0))+IF((K120-J120+N120-M120)&gt;xNoWorkTime,0,xNoWorkTime-(K120-J120+N120-M120)),0)</f>
        <v>0</v>
      </c>
      <c r="P120" s="113"/>
      <c r="Q120" s="113">
        <f>IF(O120&lt;N120,O120+1,O120)</f>
        <v>0</v>
      </c>
      <c r="R120" s="113">
        <f>J120-H120+M120-K120+Q120-N120</f>
        <v>0</v>
      </c>
      <c r="S120" s="113">
        <f>IF(K120&gt;0,K120-I120,0)+IF(N120&gt;0,N120-L120)</f>
        <v>0</v>
      </c>
      <c r="T120" s="113">
        <f>IF(H120&gt;0,(IF(R120&gt;B_Pause1Nach,B_Pause1Dauer+IF(BA120="Büro",B_WalkTime,0),IF(BA120="Büro",B_WalkTime,0))+IF(R120&gt;B_Pause2Nach,B_Pause2Dauer,0)),0)</f>
        <v>0</v>
      </c>
      <c r="U120" s="113">
        <f>IF(T120&gt;S120,T120-S120,0)</f>
        <v>0</v>
      </c>
      <c r="V120" s="146">
        <f>IF(F120="S",Z120,(IF((R120-U120)&gt;XWorkTimeMax,XWorkTimeMax,IF((R120-U120)&gt;0,R120-U120,0))))</f>
        <v>0</v>
      </c>
      <c r="W120" s="66"/>
      <c r="X120" s="115">
        <f>xNoWorkTime</f>
        <v>4.027777777777778E-2</v>
      </c>
      <c r="Y120" s="110">
        <f>IF(AND((AM120&lt;Feiertag),(G120&lt;&gt;85)),IF(OR(F120="B",F120="G",F120="S",H120&gt;0),H120-H120+Z120,0),0)</f>
        <v>0</v>
      </c>
      <c r="Z120" s="111">
        <f>IF(AND(AM120&gt;0,AM120&lt;Feiertag),INDEX(Arbeitszeit,AM120),"")</f>
        <v>0.29166666666666669</v>
      </c>
      <c r="AA120" s="112">
        <f>V120-Y120</f>
        <v>0</v>
      </c>
      <c r="AB120" s="67" t="str">
        <f>IF((V120-Y120)&lt;0,"*","")</f>
        <v/>
      </c>
      <c r="AC120" s="193">
        <f>xOverTime</f>
        <v>0</v>
      </c>
      <c r="AD120" s="144" t="str">
        <f>IF((R120-U120)&gt;XWorkTimeMax,(R120-U120-XWorkTimeMax),"")</f>
        <v/>
      </c>
      <c r="AE120" s="225">
        <f>IF(AW120,(AE119+SUM(AA120)+(IF(AG120="+",AF120,-AF120))),)</f>
        <v>0</v>
      </c>
      <c r="AF120" s="110"/>
      <c r="AG120" s="627"/>
      <c r="AH120" s="110"/>
      <c r="AI120" s="110" t="str">
        <f>IF(AND(AF120&lt;&gt;"",AF120&lt;=V120),V120-AF120,"")</f>
        <v/>
      </c>
      <c r="AJ120" s="68">
        <f>IF(ISNUMBER(V120 ), IF( V120 &gt;= Y120, Y120, V120 ),"")</f>
        <v>0</v>
      </c>
      <c r="AK120" s="68">
        <f>IF( ISNUMBER( V120 ), IF( V120 &gt;= Y120, V120 - Y120, "" ), "" )</f>
        <v>0</v>
      </c>
      <c r="AL120" s="68" t="str">
        <f>IF( AND(ISNUMBER( V120 ),ISNUMBER( Y120 )), IF( V120 &gt;= Y120, "", Y120 - V120 ), "" )</f>
        <v/>
      </c>
      <c r="AM120">
        <f>IF(A120="",0,IF(ISERROR(VLOOKUP(A120,db_Feiertag,2,FALSE)),WEEKDAY(A120,2),Feiertag))</f>
        <v>2</v>
      </c>
      <c r="AN120" s="122">
        <f>SUM($AD$6:AD120)</f>
        <v>0</v>
      </c>
      <c r="AO120" s="122">
        <f ca="1">IF(D120=D119,AO119,OFFSET(AO120,-1,COLUMN(db_jSaldoGes)-COLUMN()))</f>
        <v>0</v>
      </c>
      <c r="AP120" s="126">
        <f>IF(OR($G120=-1,$G120=82),-1,IF(OR($G120=0,$G120=83),1,0))</f>
        <v>0</v>
      </c>
      <c r="AQ120" s="126">
        <f>IF($F120=Krank,1,IF($F120="J",-1,0))</f>
        <v>0</v>
      </c>
      <c r="AR120" s="126">
        <f>IF($F120=Urlaub,1,IF($F120="T",-1,0))</f>
        <v>0</v>
      </c>
      <c r="AS120" s="125">
        <f>IF(A120="","",AS119-IF(F120=Urlaub,1,0)+IF(AND(MONTH(A120)=1,DAY(A120)=1),B_UrlaubNeu,0))</f>
        <v>30</v>
      </c>
      <c r="AT120" s="125">
        <f ca="1">IF(A120="","",IF(D120=D119,AT119,OFFSET(AT120,-1,COLUMN(db_jUrlRest)-COLUMN()))+IF(AND(MONTH(A120)=1,DAY(A120)=1),B_UrlaubNeu,0))</f>
        <v>30</v>
      </c>
      <c r="AU120" s="135">
        <f>(IF(ISNUMBER(V120),V120,0)+IF(ISNUMBER(AD120),AD120,0))*24</f>
        <v>0</v>
      </c>
      <c r="AV120" s="125">
        <f>IF(ISNUMBER(AD120),K_ArbeitOverMax,IF(AND(ISNUMBER(AA120),AA120&gt;0),K_ArbeitOverTime,IF(AND(ISNUMBER(V120),V120&gt;0),K_ArbeitNormal,IF(F120=Krank,K_Krank,IF(F120=Urlaub,K_Urlaub,IF(AM120=Feiertag,K_Feiertag,IF(OR(AM120=6,AM120=7),K_Wochenende,0)))))))+IF(F120=Gleittag,K_Gleittag,0)</f>
        <v>0</v>
      </c>
      <c r="AW120" t="b">
        <f>OR((F120&gt;0),(NOT(ISBLANK(H120))),SUM(H120:H$373),SUM(G120:G$373))</f>
        <v>0</v>
      </c>
      <c r="AX120" t="b">
        <f ca="1">INDIRECT(ADDRESS(ROW(),COLUMN(xDay)))&gt;5</f>
        <v>0</v>
      </c>
      <c r="AY120" s="600">
        <f>IF(OR(R120&lt;&gt;0,F120&lt;&gt;0),AA120,IF(Z120="",0,-Z120))+(IF(AG120="+",AF120,-AF120))</f>
        <v>-0.29166666666666669</v>
      </c>
      <c r="AZ120" s="225">
        <f>SUM(AY$5:AY120)</f>
        <v>-23.041666666666682</v>
      </c>
      <c r="BA120" s="658"/>
      <c r="BB120" s="658">
        <f>IF(ISNA(MATCH(BA120,B_Arbeitsort,0)),0,MATCH(BA120,B_Arbeitsort,0))</f>
        <v>0</v>
      </c>
      <c r="BC120" s="658"/>
    </row>
    <row r="121" spans="1:55" ht="15.75" customHeight="1">
      <c r="A121" s="305">
        <f>IF(A120="","",IF((A120+1)&gt;=DATE(YEAR(xJahr)+1,MONTH(xJahr),DAY(xJahr)),"",A120+1))</f>
        <v>43580</v>
      </c>
      <c r="B121" s="306">
        <f>IF(A121="","",A121)</f>
        <v>43580</v>
      </c>
      <c r="C121" s="307">
        <f>IF(A121="","",NumberOfWeek(A121))</f>
        <v>17</v>
      </c>
      <c r="D121" s="308">
        <f>IF(A121="","",DATE(YEAR(A121),MONTH(A121),1))</f>
        <v>43555</v>
      </c>
      <c r="E121" s="318" t="str">
        <f>IF((R121-U121)&gt;XWorkTimeMax,$Z$4,IF(AV121=Feiertag,VLOOKUP(B121,db_Feiertag,2,FALSE),""))</f>
        <v/>
      </c>
      <c r="F121" s="5"/>
      <c r="G121" s="6" t="str">
        <f>IF(ISBLANK(F121),IF(ISBLANK(H121),"",0),CODE(UPPER(F121)))</f>
        <v/>
      </c>
      <c r="H121" s="7"/>
      <c r="I121" s="7">
        <f>IF(H121&gt;0,H121+Y121+X121+AC121,0)</f>
        <v>0</v>
      </c>
      <c r="J121" s="113">
        <f>IF(K121&gt;I121,IF(I121&lt;H121,I121+1,I121)-B_WalkTime,IF(I121&lt;H121,I121+1,I121))</f>
        <v>0</v>
      </c>
      <c r="K121" s="7"/>
      <c r="L121" s="7">
        <f>IF(K121&gt;0,K121+IF((J121-H121)&lt;Y121,Y121-(J121-H121),TIME(0,10,0))+IF((K121-J121)&gt;xNoWorkTime,0,xNoWorkTime-(K121-J121)),0)</f>
        <v>0</v>
      </c>
      <c r="M121" s="113">
        <f>IF(L121&lt;K121,L121+1,L121)</f>
        <v>0</v>
      </c>
      <c r="N121" s="113"/>
      <c r="O121" s="113">
        <f>IF(N121&gt;0,N121+IF((J121-H121+M121-K121)&lt;Y121,Y121-(J121-H121+M121-K121),TIME(0,10,0))+IF((K121-J121+N121-M121)&gt;xNoWorkTime,0,xNoWorkTime-(K121-J121+N121-M121)),0)</f>
        <v>0</v>
      </c>
      <c r="P121" s="113"/>
      <c r="Q121" s="113">
        <f>IF(O121&lt;N121,O121+1,O121)</f>
        <v>0</v>
      </c>
      <c r="R121" s="113">
        <f>J121-H121+M121-K121+Q121-N121</f>
        <v>0</v>
      </c>
      <c r="S121" s="113">
        <f>IF(K121&gt;0,K121-I121,0)+IF(N121&gt;0,N121-L121)</f>
        <v>0</v>
      </c>
      <c r="T121" s="113">
        <f>IF(H121&gt;0,(IF(R121&gt;B_Pause1Nach,B_Pause1Dauer+IF(BA121="Büro",B_WalkTime,0),IF(BA121="Büro",B_WalkTime,0))+IF(R121&gt;B_Pause2Nach,B_Pause2Dauer,0)),0)</f>
        <v>0</v>
      </c>
      <c r="U121" s="113">
        <f>IF(T121&gt;S121,T121-S121,0)</f>
        <v>0</v>
      </c>
      <c r="V121" s="146">
        <f>IF(F121="S",Z121,(IF((R121-U121)&gt;XWorkTimeMax,XWorkTimeMax,IF((R121-U121)&gt;0,R121-U121,0))))</f>
        <v>0</v>
      </c>
      <c r="W121" s="66"/>
      <c r="X121" s="115">
        <f>xNoWorkTime</f>
        <v>4.027777777777778E-2</v>
      </c>
      <c r="Y121" s="110">
        <f>IF(AND((AM121&lt;Feiertag),(G121&lt;&gt;85)),IF(OR(F121="B",F121="G",F121="S",H121&gt;0),H121-H121+Z121,0),0)</f>
        <v>0</v>
      </c>
      <c r="Z121" s="111">
        <f>IF(AND(AM121&gt;0,AM121&lt;Feiertag),INDEX(Arbeitszeit,AM121),"")</f>
        <v>0.29166666666666669</v>
      </c>
      <c r="AA121" s="112">
        <f>V121-Y121</f>
        <v>0</v>
      </c>
      <c r="AB121" s="67" t="str">
        <f>IF((V121-Y121)&lt;0,"*","")</f>
        <v/>
      </c>
      <c r="AC121" s="193">
        <f>xOverTime</f>
        <v>0</v>
      </c>
      <c r="AD121" s="144" t="str">
        <f>IF((R121-U121)&gt;XWorkTimeMax,(R121-U121-XWorkTimeMax),"")</f>
        <v/>
      </c>
      <c r="AE121" s="225">
        <f>IF(AW121,(AE120+SUM(AA121)+(IF(AG121="+",AF121,-AF121))),)</f>
        <v>0</v>
      </c>
      <c r="AF121" s="110"/>
      <c r="AG121" s="627"/>
      <c r="AH121" s="110"/>
      <c r="AI121" s="110" t="str">
        <f>IF(AND(AF121&lt;&gt;"",AF121&lt;=V121),V121-AF121,"")</f>
        <v/>
      </c>
      <c r="AJ121" s="68">
        <f>IF(ISNUMBER(V121 ), IF( V121 &gt;= Y121, Y121, V121 ),"")</f>
        <v>0</v>
      </c>
      <c r="AK121" s="68">
        <f>IF( ISNUMBER( V121 ), IF( V121 &gt;= Y121, V121 - Y121, "" ), "" )</f>
        <v>0</v>
      </c>
      <c r="AL121" s="68" t="str">
        <f>IF( AND(ISNUMBER( V121 ),ISNUMBER( Y121 )), IF( V121 &gt;= Y121, "", Y121 - V121 ), "" )</f>
        <v/>
      </c>
      <c r="AM121">
        <f>IF(A121="",0,IF(ISERROR(VLOOKUP(A121,db_Feiertag,2,FALSE)),WEEKDAY(A121,2),Feiertag))</f>
        <v>3</v>
      </c>
      <c r="AN121" s="122">
        <f>SUM($AD$6:AD121)</f>
        <v>0</v>
      </c>
      <c r="AO121" s="122">
        <f ca="1">IF(D121=D120,AO120,OFFSET(AO121,-1,COLUMN(db_jSaldoGes)-COLUMN()))</f>
        <v>0</v>
      </c>
      <c r="AP121" s="126">
        <f>IF(OR($G121=-1,$G121=82),-1,IF(OR($G121=0,$G121=83),1,0))</f>
        <v>0</v>
      </c>
      <c r="AQ121" s="126">
        <f>IF($F121=Krank,1,IF($F121="J",-1,0))</f>
        <v>0</v>
      </c>
      <c r="AR121" s="126">
        <f>IF($F121=Urlaub,1,IF($F121="T",-1,0))</f>
        <v>0</v>
      </c>
      <c r="AS121" s="125">
        <f>IF(A121="","",AS120-IF(F121=Urlaub,1,0)+IF(AND(MONTH(A121)=1,DAY(A121)=1),B_UrlaubNeu,0))</f>
        <v>30</v>
      </c>
      <c r="AT121" s="125">
        <f ca="1">IF(A121="","",IF(D121=D120,AT120,OFFSET(AT121,-1,COLUMN(db_jUrlRest)-COLUMN()))+IF(AND(MONTH(A121)=1,DAY(A121)=1),B_UrlaubNeu,0))</f>
        <v>30</v>
      </c>
      <c r="AU121" s="135">
        <f>(IF(ISNUMBER(V121),V121,0)+IF(ISNUMBER(AD121),AD121,0))*24</f>
        <v>0</v>
      </c>
      <c r="AV121" s="125">
        <f>IF(ISNUMBER(AD121),K_ArbeitOverMax,IF(AND(ISNUMBER(AA121),AA121&gt;0),K_ArbeitOverTime,IF(AND(ISNUMBER(V121),V121&gt;0),K_ArbeitNormal,IF(F121=Krank,K_Krank,IF(F121=Urlaub,K_Urlaub,IF(AM121=Feiertag,K_Feiertag,IF(OR(AM121=6,AM121=7),K_Wochenende,0)))))))+IF(F121=Gleittag,K_Gleittag,0)</f>
        <v>0</v>
      </c>
      <c r="AW121" t="b">
        <f>OR((F121&gt;0),(NOT(ISBLANK(H121))),SUM(H121:H$373),SUM(G121:G$373))</f>
        <v>0</v>
      </c>
      <c r="AX121" t="b">
        <f ca="1">INDIRECT(ADDRESS(ROW(),COLUMN(xDay)))&gt;5</f>
        <v>0</v>
      </c>
      <c r="AY121" s="600">
        <f>IF(OR(R121&lt;&gt;0,F121&lt;&gt;0),AA121,IF(Z121="",0,-Z121))+(IF(AG121="+",AF121,-AF121))</f>
        <v>-0.29166666666666669</v>
      </c>
      <c r="AZ121" s="225">
        <f>SUM(AY$5:AY121)</f>
        <v>-23.33333333333335</v>
      </c>
      <c r="BA121" s="658"/>
      <c r="BB121" s="658">
        <f>IF(ISNA(MATCH(BA121,B_Arbeitsort,0)),0,MATCH(BA121,B_Arbeitsort,0))</f>
        <v>0</v>
      </c>
      <c r="BC121" s="658"/>
    </row>
    <row r="122" spans="1:55" ht="15.75">
      <c r="A122" s="305">
        <f>IF(A121="","",IF((A121+1)&gt;=DATE(YEAR(xJahr)+1,MONTH(xJahr),DAY(xJahr)),"",A121+1))</f>
        <v>43581</v>
      </c>
      <c r="B122" s="306">
        <f>IF(A122="","",A122)</f>
        <v>43581</v>
      </c>
      <c r="C122" s="307">
        <f>IF(A122="","",NumberOfWeek(A122))</f>
        <v>17</v>
      </c>
      <c r="D122" s="308">
        <f>IF(A122="","",DATE(YEAR(A122),MONTH(A122),1))</f>
        <v>43555</v>
      </c>
      <c r="E122" s="318" t="str">
        <f>IF((R122-U122)&gt;XWorkTimeMax,$Z$4,IF(AV122=Feiertag,VLOOKUP(B122,db_Feiertag,2,FALSE),""))</f>
        <v/>
      </c>
      <c r="F122" s="5"/>
      <c r="G122" s="6" t="str">
        <f>IF(ISBLANK(F122),IF(ISBLANK(H122),"",0),CODE(UPPER(F122)))</f>
        <v/>
      </c>
      <c r="H122" s="7"/>
      <c r="I122" s="7">
        <f>IF(H122&gt;0,H122+Y122+X122+AC122,0)</f>
        <v>0</v>
      </c>
      <c r="J122" s="113">
        <f>IF(K122&gt;I122,IF(I122&lt;H122,I122+1,I122)-B_WalkTime,IF(I122&lt;H122,I122+1,I122))</f>
        <v>0</v>
      </c>
      <c r="K122" s="7"/>
      <c r="L122" s="7">
        <f>IF(K122&gt;0,K122+IF((J122-H122)&lt;Y122,Y122-(J122-H122),TIME(0,10,0))+IF((K122-J122)&gt;xNoWorkTime,0,xNoWorkTime-(K122-J122)),0)</f>
        <v>0</v>
      </c>
      <c r="M122" s="113">
        <f>IF(L122&lt;K122,L122+1,L122)</f>
        <v>0</v>
      </c>
      <c r="N122" s="113"/>
      <c r="O122" s="113">
        <f>IF(N122&gt;0,N122+IF((J122-H122+M122-K122)&lt;Y122,Y122-(J122-H122+M122-K122),TIME(0,10,0))+IF((K122-J122+N122-M122)&gt;xNoWorkTime,0,xNoWorkTime-(K122-J122+N122-M122)),0)</f>
        <v>0</v>
      </c>
      <c r="P122" s="113"/>
      <c r="Q122" s="113">
        <f>IF(O122&lt;N122,O122+1,O122)</f>
        <v>0</v>
      </c>
      <c r="R122" s="113">
        <f>J122-H122+M122-K122+Q122-N122</f>
        <v>0</v>
      </c>
      <c r="S122" s="113">
        <f>IF(K122&gt;0,K122-I122,0)+IF(N122&gt;0,N122-L122)</f>
        <v>0</v>
      </c>
      <c r="T122" s="113">
        <f>IF(H122&gt;0,(IF(R122&gt;B_Pause1Nach,B_Pause1Dauer+IF(BA122="Büro",B_WalkTime,0),IF(BA122="Büro",B_WalkTime,0))+IF(R122&gt;B_Pause2Nach,B_Pause2Dauer,0)),0)</f>
        <v>0</v>
      </c>
      <c r="U122" s="113">
        <f>IF(T122&gt;S122,T122-S122,0)</f>
        <v>0</v>
      </c>
      <c r="V122" s="146">
        <f>IF(F122="S",Z122,(IF((R122-U122)&gt;XWorkTimeMax,XWorkTimeMax,IF((R122-U122)&gt;0,R122-U122,0))))</f>
        <v>0</v>
      </c>
      <c r="W122" s="66"/>
      <c r="X122" s="115">
        <f>xNoWorkTime</f>
        <v>4.027777777777778E-2</v>
      </c>
      <c r="Y122" s="110">
        <f>IF(AND((AM122&lt;Feiertag),(G122&lt;&gt;85)),IF(OR(F122="B",F122="G",F122="S",H122&gt;0),H122-H122+Z122,0),0)</f>
        <v>0</v>
      </c>
      <c r="Z122" s="111">
        <f>IF(AND(AM122&gt;0,AM122&lt;Feiertag),INDEX(Arbeitszeit,AM122),"")</f>
        <v>0.29166666666666669</v>
      </c>
      <c r="AA122" s="112">
        <f>V122-Y122</f>
        <v>0</v>
      </c>
      <c r="AB122" s="67" t="str">
        <f>IF((V122-Y122)&lt;0,"*","")</f>
        <v/>
      </c>
      <c r="AC122" s="193">
        <f>xOverTime</f>
        <v>0</v>
      </c>
      <c r="AD122" s="144" t="str">
        <f>IF((R122-U122)&gt;XWorkTimeMax,(R122-U122-XWorkTimeMax),"")</f>
        <v/>
      </c>
      <c r="AE122" s="225">
        <f>IF(AW122,(AE121+SUM(AA122)+(IF(AG122="+",AF122,-AF122))),)</f>
        <v>0</v>
      </c>
      <c r="AF122" s="110"/>
      <c r="AG122" s="627"/>
      <c r="AH122" s="110"/>
      <c r="AI122" s="110" t="str">
        <f>IF(AND(AF122&lt;&gt;"",AF122&lt;=V122),V122-AF122,"")</f>
        <v/>
      </c>
      <c r="AJ122" s="68">
        <f>IF(ISNUMBER(V122 ), IF( V122 &gt;= Y122, Y122, V122 ),"")</f>
        <v>0</v>
      </c>
      <c r="AK122" s="68">
        <f>IF( ISNUMBER( V122 ), IF( V122 &gt;= Y122, V122 - Y122, "" ), "" )</f>
        <v>0</v>
      </c>
      <c r="AL122" s="68" t="str">
        <f>IF( AND(ISNUMBER( V122 ),ISNUMBER( Y122 )), IF( V122 &gt;= Y122, "", Y122 - V122 ), "" )</f>
        <v/>
      </c>
      <c r="AM122">
        <f>IF(A122="",0,IF(ISERROR(VLOOKUP(A122,db_Feiertag,2,FALSE)),WEEKDAY(A122,2),Feiertag))</f>
        <v>4</v>
      </c>
      <c r="AN122" s="122">
        <f>SUM($AD$6:AD122)</f>
        <v>0</v>
      </c>
      <c r="AO122" s="122">
        <f ca="1">IF(D122=D121,AO121,OFFSET(AO122,-1,COLUMN(db_jSaldoGes)-COLUMN()))</f>
        <v>0</v>
      </c>
      <c r="AP122" s="126">
        <f>IF(OR($G122=-1,$G122=82),-1,IF(OR($G122=0,$G122=83),1,0))</f>
        <v>0</v>
      </c>
      <c r="AQ122" s="126">
        <f>IF($F122=Krank,1,IF($F122="J",-1,0))</f>
        <v>0</v>
      </c>
      <c r="AR122" s="126">
        <f>IF($F122=Urlaub,1,IF($F122="T",-1,0))</f>
        <v>0</v>
      </c>
      <c r="AS122" s="125">
        <f>IF(A122="","",AS121-IF(F122=Urlaub,1,0)+IF(AND(MONTH(A122)=1,DAY(A122)=1),B_UrlaubNeu,0))</f>
        <v>30</v>
      </c>
      <c r="AT122" s="125">
        <f ca="1">IF(A122="","",IF(D122=D121,AT121,OFFSET(AT122,-1,COLUMN(db_jUrlRest)-COLUMN()))+IF(AND(MONTH(A122)=1,DAY(A122)=1),B_UrlaubNeu,0))</f>
        <v>30</v>
      </c>
      <c r="AU122" s="135">
        <f>(IF(ISNUMBER(V122),V122,0)+IF(ISNUMBER(AD122),AD122,0))*24</f>
        <v>0</v>
      </c>
      <c r="AV122" s="125">
        <f>IF(ISNUMBER(AD122),K_ArbeitOverMax,IF(AND(ISNUMBER(AA122),AA122&gt;0),K_ArbeitOverTime,IF(AND(ISNUMBER(V122),V122&gt;0),K_ArbeitNormal,IF(F122=Krank,K_Krank,IF(F122=Urlaub,K_Urlaub,IF(AM122=Feiertag,K_Feiertag,IF(OR(AM122=6,AM122=7),K_Wochenende,0)))))))+IF(F122=Gleittag,K_Gleittag,0)</f>
        <v>0</v>
      </c>
      <c r="AW122" t="b">
        <f>OR((F122&gt;0),(NOT(ISBLANK(H122))),SUM(H122:H$373),SUM(G122:G$373))</f>
        <v>0</v>
      </c>
      <c r="AX122" t="b">
        <f ca="1">INDIRECT(ADDRESS(ROW(),COLUMN(xDay)))&gt;5</f>
        <v>0</v>
      </c>
      <c r="AY122" s="600">
        <f>IF(OR(R122&lt;&gt;0,F122&lt;&gt;0),AA122,IF(Z122="",0,-Z122))+(IF(AG122="+",AF122,-AF122))</f>
        <v>-0.29166666666666669</v>
      </c>
      <c r="AZ122" s="225">
        <f>SUM(AY$5:AY122)</f>
        <v>-23.625000000000018</v>
      </c>
      <c r="BA122" s="658"/>
      <c r="BB122" s="658">
        <f>IF(ISNA(MATCH(BA122,B_Arbeitsort,0)),0,MATCH(BA122,B_Arbeitsort,0))</f>
        <v>0</v>
      </c>
      <c r="BC122" s="658"/>
    </row>
    <row r="123" spans="1:55" ht="15.75">
      <c r="A123" s="305">
        <f>IF(A122="","",IF((A122+1)&gt;=DATE(YEAR(xJahr)+1,MONTH(xJahr),DAY(xJahr)),"",A122+1))</f>
        <v>43582</v>
      </c>
      <c r="B123" s="306">
        <f>IF(A123="","",A123)</f>
        <v>43582</v>
      </c>
      <c r="C123" s="307">
        <f>IF(A123="","",NumberOfWeek(A123))</f>
        <v>17</v>
      </c>
      <c r="D123" s="308">
        <f>IF(A123="","",DATE(YEAR(A123),MONTH(A123),1))</f>
        <v>43555</v>
      </c>
      <c r="E123" s="318" t="str">
        <f>IF((R123-U123)&gt;XWorkTimeMax,$Z$4,IF(AV123=Feiertag,VLOOKUP(B123,db_Feiertag,2,FALSE),""))</f>
        <v/>
      </c>
      <c r="F123" s="5"/>
      <c r="G123" s="6" t="str">
        <f>IF(ISBLANK(F123),IF(ISBLANK(H123),"",0),CODE(UPPER(F123)))</f>
        <v/>
      </c>
      <c r="H123" s="7"/>
      <c r="I123" s="7">
        <f>IF(H123&gt;0,H123+Y123+X123+AC123,0)</f>
        <v>0</v>
      </c>
      <c r="J123" s="113">
        <f>IF(K123&gt;I123,IF(I123&lt;H123,I123+1,I123)-B_WalkTime,IF(I123&lt;H123,I123+1,I123))</f>
        <v>0</v>
      </c>
      <c r="K123" s="7"/>
      <c r="L123" s="7">
        <f>IF(K123&gt;0,K123+IF((J123-H123)&lt;Y123,Y123-(J123-H123),TIME(0,10,0))+IF((K123-J123)&gt;xNoWorkTime,0,xNoWorkTime-(K123-J123)),0)</f>
        <v>0</v>
      </c>
      <c r="M123" s="113">
        <f>IF(L123&lt;K123,L123+1,L123)</f>
        <v>0</v>
      </c>
      <c r="N123" s="113"/>
      <c r="O123" s="113">
        <f>IF(N123&gt;0,N123+IF((J123-H123+M123-K123)&lt;Y123,Y123-(J123-H123+M123-K123),TIME(0,10,0))+IF((K123-J123+N123-M123)&gt;xNoWorkTime,0,xNoWorkTime-(K123-J123+N123-M123)),0)</f>
        <v>0</v>
      </c>
      <c r="P123" s="113"/>
      <c r="Q123" s="113">
        <f>IF(O123&lt;N123,O123+1,O123)</f>
        <v>0</v>
      </c>
      <c r="R123" s="113">
        <f>J123-H123+M123-K123+Q123-N123</f>
        <v>0</v>
      </c>
      <c r="S123" s="113">
        <f>IF(K123&gt;0,K123-I123,0)+IF(N123&gt;0,N123-L123)</f>
        <v>0</v>
      </c>
      <c r="T123" s="113">
        <f>IF(H123&gt;0,(IF(R123&gt;B_Pause1Nach,B_Pause1Dauer+IF(BA123="Büro",B_WalkTime,0),IF(BA123="Büro",B_WalkTime,0))+IF(R123&gt;B_Pause2Nach,B_Pause2Dauer,0)),0)</f>
        <v>0</v>
      </c>
      <c r="U123" s="113">
        <f>IF(T123&gt;S123,T123-S123,0)</f>
        <v>0</v>
      </c>
      <c r="V123" s="146">
        <f>IF(F123="S",Z123,(IF((R123-U123)&gt;XWorkTimeMax,XWorkTimeMax,IF((R123-U123)&gt;0,R123-U123,0))))</f>
        <v>0</v>
      </c>
      <c r="W123" s="66"/>
      <c r="X123" s="115">
        <f>xNoWorkTime</f>
        <v>4.027777777777778E-2</v>
      </c>
      <c r="Y123" s="110">
        <f>IF(AND((AM123&lt;Feiertag),(G123&lt;&gt;85)),IF(OR(F123="B",F123="G",F123="S",H123&gt;0),H123-H123+Z123,0),0)</f>
        <v>0</v>
      </c>
      <c r="Z123" s="111">
        <f>IF(AND(AM123&gt;0,AM123&lt;Feiertag),INDEX(Arbeitszeit,AM123),"")</f>
        <v>0.29166666666666669</v>
      </c>
      <c r="AA123" s="112">
        <f>V123-Y123</f>
        <v>0</v>
      </c>
      <c r="AB123" s="67" t="str">
        <f>IF((V123-Y123)&lt;0,"*","")</f>
        <v/>
      </c>
      <c r="AC123" s="193">
        <f>xOverTime</f>
        <v>0</v>
      </c>
      <c r="AD123" s="144" t="str">
        <f>IF((R123-U123)&gt;XWorkTimeMax,(R123-U123-XWorkTimeMax),"")</f>
        <v/>
      </c>
      <c r="AE123" s="225">
        <f>IF(AW123,(AE122+SUM(AA123)+(IF(AG123="+",AF123,-AF123))),)</f>
        <v>0</v>
      </c>
      <c r="AF123" s="110"/>
      <c r="AG123" s="627"/>
      <c r="AH123" s="110"/>
      <c r="AI123" s="110" t="str">
        <f>IF(AND(AF123&lt;&gt;"",AF123&lt;=V123),V123-AF123,"")</f>
        <v/>
      </c>
      <c r="AJ123" s="68">
        <f>IF(ISNUMBER(V123 ), IF( V123 &gt;= Y123, Y123, V123 ),"")</f>
        <v>0</v>
      </c>
      <c r="AK123" s="68">
        <f>IF( ISNUMBER( V123 ), IF( V123 &gt;= Y123, V123 - Y123, "" ), "" )</f>
        <v>0</v>
      </c>
      <c r="AL123" s="68" t="str">
        <f>IF( AND(ISNUMBER( V123 ),ISNUMBER( Y123 )), IF( V123 &gt;= Y123, "", Y123 - V123 ), "" )</f>
        <v/>
      </c>
      <c r="AM123">
        <f>IF(A123="",0,IF(ISERROR(VLOOKUP(A123,db_Feiertag,2,FALSE)),WEEKDAY(A123,2),Feiertag))</f>
        <v>5</v>
      </c>
      <c r="AN123" s="122">
        <f>SUM($AD$6:AD123)</f>
        <v>0</v>
      </c>
      <c r="AO123" s="122">
        <f ca="1">IF(D123=D122,AO122,OFFSET(AO123,-1,COLUMN(db_jSaldoGes)-COLUMN()))</f>
        <v>0</v>
      </c>
      <c r="AP123" s="126">
        <f>IF(OR($G123=-1,$G123=82),-1,IF(OR($G123=0,$G123=83),1,0))</f>
        <v>0</v>
      </c>
      <c r="AQ123" s="126">
        <f>IF($F123=Krank,1,IF($F123="J",-1,0))</f>
        <v>0</v>
      </c>
      <c r="AR123" s="126">
        <f>IF($F123=Urlaub,1,IF($F123="T",-1,0))</f>
        <v>0</v>
      </c>
      <c r="AS123" s="125">
        <f>IF(A123="","",AS122-IF(F123=Urlaub,1,0)+IF(AND(MONTH(A123)=1,DAY(A123)=1),B_UrlaubNeu,0))</f>
        <v>30</v>
      </c>
      <c r="AT123" s="125">
        <f ca="1">IF(A123="","",IF(D123=D122,AT122,OFFSET(AT123,-1,COLUMN(db_jUrlRest)-COLUMN()))+IF(AND(MONTH(A123)=1,DAY(A123)=1),B_UrlaubNeu,0))</f>
        <v>30</v>
      </c>
      <c r="AU123" s="135">
        <f>(IF(ISNUMBER(V123),V123,0)+IF(ISNUMBER(AD123),AD123,0))*24</f>
        <v>0</v>
      </c>
      <c r="AV123" s="125">
        <f>IF(ISNUMBER(AD123),K_ArbeitOverMax,IF(AND(ISNUMBER(AA123),AA123&gt;0),K_ArbeitOverTime,IF(AND(ISNUMBER(V123),V123&gt;0),K_ArbeitNormal,IF(F123=Krank,K_Krank,IF(F123=Urlaub,K_Urlaub,IF(AM123=Feiertag,K_Feiertag,IF(OR(AM123=6,AM123=7),K_Wochenende,0)))))))+IF(F123=Gleittag,K_Gleittag,0)</f>
        <v>0</v>
      </c>
      <c r="AW123" t="b">
        <f>OR((F123&gt;0),(NOT(ISBLANK(H123))),SUM(H123:H$373),SUM(G123:G$373))</f>
        <v>0</v>
      </c>
      <c r="AX123" t="b">
        <f ca="1">INDIRECT(ADDRESS(ROW(),COLUMN(xDay)))&gt;5</f>
        <v>0</v>
      </c>
      <c r="AY123" s="600">
        <f>IF(OR(R123&lt;&gt;0,F123&lt;&gt;0),AA123,IF(Z123="",0,-Z123))+(IF(AG123="+",AF123,-AF123))</f>
        <v>-0.29166666666666669</v>
      </c>
      <c r="AZ123" s="225">
        <f>SUM(AY$5:AY123)</f>
        <v>-23.916666666666686</v>
      </c>
      <c r="BA123" s="658"/>
      <c r="BB123" s="658">
        <f>IF(ISNA(MATCH(BA123,B_Arbeitsort,0)),0,MATCH(BA123,B_Arbeitsort,0))</f>
        <v>0</v>
      </c>
      <c r="BC123" s="658"/>
    </row>
    <row r="124" spans="1:55" ht="15.75">
      <c r="A124" s="305">
        <f>IF(A123="","",IF((A123+1)&gt;=DATE(YEAR(xJahr)+1,MONTH(xJahr),DAY(xJahr)),"",A123+1))</f>
        <v>43583</v>
      </c>
      <c r="B124" s="306">
        <f>IF(A124="","",A124)</f>
        <v>43583</v>
      </c>
      <c r="C124" s="307">
        <f>IF(A124="","",NumberOfWeek(A124))</f>
        <v>17</v>
      </c>
      <c r="D124" s="308">
        <f>IF(A124="","",DATE(YEAR(A124),MONTH(A124),1))</f>
        <v>43555</v>
      </c>
      <c r="E124" s="318" t="str">
        <f>IF((R124-U124)&gt;XWorkTimeMax,$Z$4,IF(AV124=Feiertag,VLOOKUP(B124,db_Feiertag,2,FALSE),""))</f>
        <v/>
      </c>
      <c r="F124" s="5"/>
      <c r="G124" s="6" t="str">
        <f>IF(ISBLANK(F124),IF(ISBLANK(H124),"",0),CODE(UPPER(F124)))</f>
        <v/>
      </c>
      <c r="H124" s="7"/>
      <c r="I124" s="7">
        <f>IF(H124&gt;0,H124+Y124+X124+AC124,0)</f>
        <v>0</v>
      </c>
      <c r="J124" s="113">
        <f>IF(K124&gt;I124,IF(I124&lt;H124,I124+1,I124)-B_WalkTime,IF(I124&lt;H124,I124+1,I124))</f>
        <v>0</v>
      </c>
      <c r="K124" s="7"/>
      <c r="L124" s="7">
        <f>IF(K124&gt;0,K124+IF((J124-H124)&lt;Y124,Y124-(J124-H124),TIME(0,10,0))+IF((K124-J124)&gt;xNoWorkTime,0,xNoWorkTime-(K124-J124)),0)</f>
        <v>0</v>
      </c>
      <c r="M124" s="113">
        <f>IF(L124&lt;K124,L124+1,L124)</f>
        <v>0</v>
      </c>
      <c r="N124" s="113"/>
      <c r="O124" s="113">
        <f>IF(N124&gt;0,N124+IF((J124-H124+M124-K124)&lt;Y124,Y124-(J124-H124+M124-K124),TIME(0,10,0))+IF((K124-J124+N124-M124)&gt;xNoWorkTime,0,xNoWorkTime-(K124-J124+N124-M124)),0)</f>
        <v>0</v>
      </c>
      <c r="P124" s="113"/>
      <c r="Q124" s="113">
        <f>IF(O124&lt;N124,O124+1,O124)</f>
        <v>0</v>
      </c>
      <c r="R124" s="113">
        <f>J124-H124+M124-K124+Q124-N124</f>
        <v>0</v>
      </c>
      <c r="S124" s="113">
        <f>IF(K124&gt;0,K124-I124,0)+IF(N124&gt;0,N124-L124)</f>
        <v>0</v>
      </c>
      <c r="T124" s="113">
        <f>IF(H124&gt;0,(IF(R124&gt;B_Pause1Nach,B_Pause1Dauer+IF(BA124="Büro",B_WalkTime,0),IF(BA124="Büro",B_WalkTime,0))+IF(R124&gt;B_Pause2Nach,B_Pause2Dauer,0)),0)</f>
        <v>0</v>
      </c>
      <c r="U124" s="113">
        <f>IF(T124&gt;S124,T124-S124,0)</f>
        <v>0</v>
      </c>
      <c r="V124" s="146">
        <f>IF(F124="S",Z124,(IF((R124-U124)&gt;XWorkTimeMax,XWorkTimeMax,IF((R124-U124)&gt;0,R124-U124,0))))</f>
        <v>0</v>
      </c>
      <c r="W124" s="66"/>
      <c r="X124" s="115">
        <f>xNoWorkTime</f>
        <v>4.027777777777778E-2</v>
      </c>
      <c r="Y124" s="110">
        <f>IF(AND((AM124&lt;Feiertag),(G124&lt;&gt;85)),IF(OR(F124="B",F124="G",F124="S",H124&gt;0),H124-H124+Z124,0),0)</f>
        <v>0</v>
      </c>
      <c r="Z124" s="111">
        <f>IF(AND(AM124&gt;0,AM124&lt;Feiertag),INDEX(Arbeitszeit,AM124),"")</f>
        <v>0</v>
      </c>
      <c r="AA124" s="112">
        <f>V124-Y124</f>
        <v>0</v>
      </c>
      <c r="AB124" s="67" t="str">
        <f>IF((V124-Y124)&lt;0,"*","")</f>
        <v/>
      </c>
      <c r="AC124" s="193">
        <f>xOverTime</f>
        <v>0</v>
      </c>
      <c r="AD124" s="144" t="str">
        <f>IF((R124-U124)&gt;XWorkTimeMax,(R124-U124-XWorkTimeMax),"")</f>
        <v/>
      </c>
      <c r="AE124" s="225">
        <f>IF(AW124,(AE123+SUM(AA124)+(IF(AG124="+",AF124,-AF124))),)</f>
        <v>0</v>
      </c>
      <c r="AF124" s="110"/>
      <c r="AG124" s="627"/>
      <c r="AH124" s="110"/>
      <c r="AI124" s="110" t="str">
        <f>IF(AND(AF124&lt;&gt;"",AF124&lt;=V124),V124-AF124,"")</f>
        <v/>
      </c>
      <c r="AJ124" s="68">
        <f>IF(ISNUMBER(V124 ), IF( V124 &gt;= Y124, Y124, V124 ),"")</f>
        <v>0</v>
      </c>
      <c r="AK124" s="68">
        <f>IF( ISNUMBER( V124 ), IF( V124 &gt;= Y124, V124 - Y124, "" ), "" )</f>
        <v>0</v>
      </c>
      <c r="AL124" s="68" t="str">
        <f>IF( AND(ISNUMBER( V124 ),ISNUMBER( Y124 )), IF( V124 &gt;= Y124, "", Y124 - V124 ), "" )</f>
        <v/>
      </c>
      <c r="AM124">
        <f>IF(A124="",0,IF(ISERROR(VLOOKUP(A124,db_Feiertag,2,FALSE)),WEEKDAY(A124,2),Feiertag))</f>
        <v>6</v>
      </c>
      <c r="AN124" s="122">
        <f>SUM($AD$6:AD124)</f>
        <v>0</v>
      </c>
      <c r="AO124" s="122">
        <f ca="1">IF(D124=D123,AO123,OFFSET(AO124,-1,COLUMN(db_jSaldoGes)-COLUMN()))</f>
        <v>0</v>
      </c>
      <c r="AP124" s="126">
        <f>IF(OR($G124=-1,$G124=82),-1,IF(OR($G124=0,$G124=83),1,0))</f>
        <v>0</v>
      </c>
      <c r="AQ124" s="126">
        <f>IF($F124=Krank,1,IF($F124="J",-1,0))</f>
        <v>0</v>
      </c>
      <c r="AR124" s="126">
        <f>IF($F124=Urlaub,1,IF($F124="T",-1,0))</f>
        <v>0</v>
      </c>
      <c r="AS124" s="125">
        <f>IF(A124="","",AS123-IF(F124=Urlaub,1,0)+IF(AND(MONTH(A124)=1,DAY(A124)=1),B_UrlaubNeu,0))</f>
        <v>30</v>
      </c>
      <c r="AT124" s="125">
        <f ca="1">IF(A124="","",IF(D124=D123,AT123,OFFSET(AT124,-1,COLUMN(db_jUrlRest)-COLUMN()))+IF(AND(MONTH(A124)=1,DAY(A124)=1),B_UrlaubNeu,0))</f>
        <v>30</v>
      </c>
      <c r="AU124" s="135">
        <f>(IF(ISNUMBER(V124),V124,0)+IF(ISNUMBER(AD124),AD124,0))*24</f>
        <v>0</v>
      </c>
      <c r="AV124" s="125">
        <f>IF(ISNUMBER(AD124),K_ArbeitOverMax,IF(AND(ISNUMBER(AA124),AA124&gt;0),K_ArbeitOverTime,IF(AND(ISNUMBER(V124),V124&gt;0),K_ArbeitNormal,IF(F124=Krank,K_Krank,IF(F124=Urlaub,K_Urlaub,IF(AM124=Feiertag,K_Feiertag,IF(OR(AM124=6,AM124=7),K_Wochenende,0)))))))+IF(F124=Gleittag,K_Gleittag,0)</f>
        <v>7</v>
      </c>
      <c r="AW124" t="b">
        <f>OR((F124&gt;0),(NOT(ISBLANK(H124))),SUM(H124:H$373),SUM(G124:G$373))</f>
        <v>0</v>
      </c>
      <c r="AX124" t="b">
        <f ca="1">INDIRECT(ADDRESS(ROW(),COLUMN(xDay)))&gt;5</f>
        <v>1</v>
      </c>
      <c r="AY124" s="600">
        <f>IF(OR(R124&lt;&gt;0,F124&lt;&gt;0),AA124,IF(Z124="",0,-Z124))+(IF(AG124="+",AF124,-AF124))</f>
        <v>0</v>
      </c>
      <c r="AZ124" s="225">
        <f>SUM(AY$5:AY124)</f>
        <v>-23.916666666666686</v>
      </c>
      <c r="BA124" s="643"/>
      <c r="BB124" s="658">
        <f>IF(ISNA(MATCH(BA124,B_Arbeitsort,0)),0,MATCH(BA124,B_Arbeitsort,0))</f>
        <v>0</v>
      </c>
      <c r="BC124" s="643"/>
    </row>
    <row r="125" spans="1:55" ht="15.75">
      <c r="A125" s="305">
        <f>IF(A124="","",IF((A124+1)&gt;=DATE(YEAR(xJahr)+1,MONTH(xJahr),DAY(xJahr)),"",A124+1))</f>
        <v>43584</v>
      </c>
      <c r="B125" s="306">
        <f>IF(A125="","",A125)</f>
        <v>43584</v>
      </c>
      <c r="C125" s="307">
        <f>IF(A125="","",NumberOfWeek(A125))</f>
        <v>17</v>
      </c>
      <c r="D125" s="308">
        <f>IF(A125="","",DATE(YEAR(A125),MONTH(A125),1))</f>
        <v>43555</v>
      </c>
      <c r="E125" s="318" t="str">
        <f>IF((R125-U125)&gt;XWorkTimeMax,$Z$4,IF(AV125=Feiertag,VLOOKUP(B125,db_Feiertag,2,FALSE),""))</f>
        <v/>
      </c>
      <c r="F125" s="5"/>
      <c r="G125" s="6" t="str">
        <f>IF(ISBLANK(F125),IF(ISBLANK(H125),"",0),CODE(UPPER(F125)))</f>
        <v/>
      </c>
      <c r="H125" s="7"/>
      <c r="I125" s="7">
        <f>IF(H125&gt;0,H125+Y125+X125+AC125,0)</f>
        <v>0</v>
      </c>
      <c r="J125" s="113">
        <f>IF(K125&gt;I125,IF(I125&lt;H125,I125+1,I125)-B_WalkTime,IF(I125&lt;H125,I125+1,I125))</f>
        <v>0</v>
      </c>
      <c r="K125" s="7"/>
      <c r="L125" s="7">
        <f>IF(K125&gt;0,K125+IF((J125-H125)&lt;Y125,Y125-(J125-H125),TIME(0,10,0))+IF((K125-J125)&gt;xNoWorkTime,0,xNoWorkTime-(K125-J125)),0)</f>
        <v>0</v>
      </c>
      <c r="M125" s="113">
        <f>IF(L125&lt;K125,L125+1,L125)</f>
        <v>0</v>
      </c>
      <c r="N125" s="113"/>
      <c r="O125" s="113">
        <f>IF(N125&gt;0,N125+IF((J125-H125+M125-K125)&lt;Y125,Y125-(J125-H125+M125-K125),TIME(0,10,0))+IF((K125-J125+N125-M125)&gt;xNoWorkTime,0,xNoWorkTime-(K125-J125+N125-M125)),0)</f>
        <v>0</v>
      </c>
      <c r="P125" s="113"/>
      <c r="Q125" s="113">
        <f>IF(O125&lt;N125,O125+1,O125)</f>
        <v>0</v>
      </c>
      <c r="R125" s="113">
        <f>J125-H125+M125-K125+Q125-N125</f>
        <v>0</v>
      </c>
      <c r="S125" s="113">
        <f>IF(K125&gt;0,K125-I125,0)+IF(N125&gt;0,N125-L125)</f>
        <v>0</v>
      </c>
      <c r="T125" s="113">
        <f>IF(H125&gt;0,(IF(R125&gt;B_Pause1Nach,B_Pause1Dauer+IF(BA125="Büro",B_WalkTime,0),IF(BA125="Büro",B_WalkTime,0))+IF(R125&gt;B_Pause2Nach,B_Pause2Dauer,0)),0)</f>
        <v>0</v>
      </c>
      <c r="U125" s="113">
        <f>IF(T125&gt;S125,T125-S125,0)</f>
        <v>0</v>
      </c>
      <c r="V125" s="146">
        <f>IF(F125="S",Z125,(IF((R125-U125)&gt;XWorkTimeMax,XWorkTimeMax,IF((R125-U125)&gt;0,R125-U125,0))))</f>
        <v>0</v>
      </c>
      <c r="W125" s="66"/>
      <c r="X125" s="115">
        <f>xNoWorkTime</f>
        <v>4.027777777777778E-2</v>
      </c>
      <c r="Y125" s="110">
        <f>IF(AND((AM125&lt;Feiertag),(G125&lt;&gt;85)),IF(OR(F125="B",F125="G",F125="S",H125&gt;0),H125-H125+Z125,0),0)</f>
        <v>0</v>
      </c>
      <c r="Z125" s="111">
        <f>IF(AND(AM125&gt;0,AM125&lt;Feiertag),INDEX(Arbeitszeit,AM125),"")</f>
        <v>0</v>
      </c>
      <c r="AA125" s="112">
        <f>V125-Y125</f>
        <v>0</v>
      </c>
      <c r="AB125" s="67" t="str">
        <f>IF((V125-Y125)&lt;0,"*","")</f>
        <v/>
      </c>
      <c r="AC125" s="193">
        <f>xOverTime</f>
        <v>0</v>
      </c>
      <c r="AD125" s="144" t="str">
        <f>IF((R125-U125)&gt;XWorkTimeMax,(R125-U125-XWorkTimeMax),"")</f>
        <v/>
      </c>
      <c r="AE125" s="225">
        <f>IF(AW125,(AE124+SUM(AA125)+(IF(AG125="+",AF125,-AF125))),)</f>
        <v>0</v>
      </c>
      <c r="AF125" s="110"/>
      <c r="AG125" s="627"/>
      <c r="AH125" s="110"/>
      <c r="AI125" s="110" t="str">
        <f>IF(AND(AF125&lt;&gt;"",AF125&lt;=V125),V125-AF125,"")</f>
        <v/>
      </c>
      <c r="AJ125" s="68">
        <f>IF(ISNUMBER(V125 ), IF( V125 &gt;= Y125, Y125, V125 ),"")</f>
        <v>0</v>
      </c>
      <c r="AK125" s="68">
        <f>IF( ISNUMBER( V125 ), IF( V125 &gt;= Y125, V125 - Y125, "" ), "" )</f>
        <v>0</v>
      </c>
      <c r="AL125" s="68" t="str">
        <f>IF( AND(ISNUMBER( V125 ),ISNUMBER( Y125 )), IF( V125 &gt;= Y125, "", Y125 - V125 ), "" )</f>
        <v/>
      </c>
      <c r="AM125">
        <f>IF(A125="",0,IF(ISERROR(VLOOKUP(A125,db_Feiertag,2,FALSE)),WEEKDAY(A125,2),Feiertag))</f>
        <v>7</v>
      </c>
      <c r="AN125" s="122">
        <f>SUM($AD$6:AD125)</f>
        <v>0</v>
      </c>
      <c r="AO125" s="122">
        <f ca="1">IF(D125=D124,AO124,OFFSET(AO125,-1,COLUMN(db_jSaldoGes)-COLUMN()))</f>
        <v>0</v>
      </c>
      <c r="AP125" s="126">
        <f>IF(OR($G125=-1,$G125=82),-1,IF(OR($G125=0,$G125=83),1,0))</f>
        <v>0</v>
      </c>
      <c r="AQ125" s="126">
        <f>IF($F125=Krank,1,IF($F125="J",-1,0))</f>
        <v>0</v>
      </c>
      <c r="AR125" s="126">
        <f>IF($F125=Urlaub,1,IF($F125="T",-1,0))</f>
        <v>0</v>
      </c>
      <c r="AS125" s="125">
        <f>IF(A125="","",AS124-IF(F125=Urlaub,1,0)+IF(AND(MONTH(A125)=1,DAY(A125)=1),B_UrlaubNeu,0))</f>
        <v>30</v>
      </c>
      <c r="AT125" s="125">
        <f ca="1">IF(A125="","",IF(D125=D124,AT124,OFFSET(AT125,-1,COLUMN(db_jUrlRest)-COLUMN()))+IF(AND(MONTH(A125)=1,DAY(A125)=1),B_UrlaubNeu,0))</f>
        <v>30</v>
      </c>
      <c r="AU125" s="135">
        <f>(IF(ISNUMBER(V125),V125,0)+IF(ISNUMBER(AD125),AD125,0))*24</f>
        <v>0</v>
      </c>
      <c r="AV125" s="125">
        <f>IF(ISNUMBER(AD125),K_ArbeitOverMax,IF(AND(ISNUMBER(AA125),AA125&gt;0),K_ArbeitOverTime,IF(AND(ISNUMBER(V125),V125&gt;0),K_ArbeitNormal,IF(F125=Krank,K_Krank,IF(F125=Urlaub,K_Urlaub,IF(AM125=Feiertag,K_Feiertag,IF(OR(AM125=6,AM125=7),K_Wochenende,0)))))))+IF(F125=Gleittag,K_Gleittag,0)</f>
        <v>7</v>
      </c>
      <c r="AW125" t="b">
        <f>OR((F125&gt;0),(NOT(ISBLANK(H125))),SUM(H125:H$373),SUM(G125:G$373))</f>
        <v>0</v>
      </c>
      <c r="AX125" t="b">
        <f ca="1">INDIRECT(ADDRESS(ROW(),COLUMN(xDay)))&gt;5</f>
        <v>1</v>
      </c>
      <c r="AY125" s="600">
        <f>IF(OR(R125&lt;&gt;0,F125&lt;&gt;0),AA125,IF(Z125="",0,-Z125))+(IF(AG125="+",AF125,-AF125))</f>
        <v>0</v>
      </c>
      <c r="AZ125" s="225">
        <f>SUM(AY$5:AY125)</f>
        <v>-23.916666666666686</v>
      </c>
      <c r="BA125" s="643"/>
      <c r="BB125" s="658">
        <f>IF(ISNA(MATCH(BA125,B_Arbeitsort,0)),0,MATCH(BA125,B_Arbeitsort,0))</f>
        <v>0</v>
      </c>
      <c r="BC125" s="643"/>
    </row>
    <row r="126" spans="1:55" ht="15.75">
      <c r="A126" s="305">
        <f>IF(A125="","",IF((A125+1)&gt;=DATE(YEAR(xJahr)+1,MONTH(xJahr),DAY(xJahr)),"",A125+1))</f>
        <v>43585</v>
      </c>
      <c r="B126" s="306">
        <f>IF(A126="","",A126)</f>
        <v>43585</v>
      </c>
      <c r="C126" s="307">
        <f>IF(A126="","",NumberOfWeek(A126))</f>
        <v>18</v>
      </c>
      <c r="D126" s="308">
        <f>IF(A126="","",DATE(YEAR(A126),MONTH(A126),1))</f>
        <v>43585</v>
      </c>
      <c r="E126" s="318" t="str">
        <f>IF((R126-U126)&gt;XWorkTimeMax,$Z$4,IF(AV126=Feiertag,VLOOKUP(B126,db_Feiertag,2,FALSE),""))</f>
        <v>Tag der Arbeit</v>
      </c>
      <c r="F126" s="5"/>
      <c r="G126" s="6" t="str">
        <f>IF(ISBLANK(F126),IF(ISBLANK(H126),"",0),CODE(UPPER(F126)))</f>
        <v/>
      </c>
      <c r="H126" s="7"/>
      <c r="I126" s="7">
        <f>IF(H126&gt;0,H126+Y126+X126+AC126,0)</f>
        <v>0</v>
      </c>
      <c r="J126" s="113">
        <f>IF(K126&gt;I126,IF(I126&lt;H126,I126+1,I126)-B_WalkTime,IF(I126&lt;H126,I126+1,I126))</f>
        <v>0</v>
      </c>
      <c r="K126" s="7"/>
      <c r="L126" s="7">
        <f>IF(K126&gt;0,K126+IF((J126-H126)&lt;Y126,Y126-(J126-H126),TIME(0,10,0))+IF((K126-J126)&gt;xNoWorkTime,0,xNoWorkTime-(K126-J126)),0)</f>
        <v>0</v>
      </c>
      <c r="M126" s="113">
        <f>IF(L126&lt;K126,L126+1,L126)</f>
        <v>0</v>
      </c>
      <c r="N126" s="113"/>
      <c r="O126" s="113">
        <f>IF(N126&gt;0,N126+IF((J126-H126+M126-K126)&lt;Y126,Y126-(J126-H126+M126-K126),TIME(0,10,0))+IF((K126-J126+N126-M126)&gt;xNoWorkTime,0,xNoWorkTime-(K126-J126+N126-M126)),0)</f>
        <v>0</v>
      </c>
      <c r="P126" s="113"/>
      <c r="Q126" s="113">
        <f>IF(O126&lt;N126,O126+1,O126)</f>
        <v>0</v>
      </c>
      <c r="R126" s="113">
        <f>J126-H126+M126-K126+Q126-N126</f>
        <v>0</v>
      </c>
      <c r="S126" s="113">
        <f>IF(K126&gt;0,K126-I126,0)+IF(N126&gt;0,N126-L126)</f>
        <v>0</v>
      </c>
      <c r="T126" s="113">
        <f>IF(H126&gt;0,(IF(R126&gt;B_Pause1Nach,B_Pause1Dauer+IF(BA126="Büro",B_WalkTime,0),IF(BA126="Büro",B_WalkTime,0))+IF(R126&gt;B_Pause2Nach,B_Pause2Dauer,0)),0)</f>
        <v>0</v>
      </c>
      <c r="U126" s="113">
        <f>IF(T126&gt;S126,T126-S126,0)</f>
        <v>0</v>
      </c>
      <c r="V126" s="146">
        <f>IF(F126="S",Z126,(IF((R126-U126)&gt;XWorkTimeMax,XWorkTimeMax,IF((R126-U126)&gt;0,R126-U126,0))))</f>
        <v>0</v>
      </c>
      <c r="W126" s="66"/>
      <c r="X126" s="115">
        <f>xNoWorkTime</f>
        <v>4.027777777777778E-2</v>
      </c>
      <c r="Y126" s="110">
        <f>IF(AND((AM126&lt;Feiertag),(G126&lt;&gt;85)),IF(OR(F126="B",F126="G",F126="S",H126&gt;0),H126-H126+Z126,0),0)</f>
        <v>0</v>
      </c>
      <c r="Z126" s="111" t="str">
        <f>IF(AND(AM126&gt;0,AM126&lt;Feiertag),INDEX(Arbeitszeit,AM126),"")</f>
        <v/>
      </c>
      <c r="AA126" s="112">
        <f>V126-Y126</f>
        <v>0</v>
      </c>
      <c r="AB126" s="67" t="str">
        <f>IF((V126-Y126)&lt;0,"*","")</f>
        <v/>
      </c>
      <c r="AC126" s="193">
        <f>xOverTime</f>
        <v>0</v>
      </c>
      <c r="AD126" s="144" t="str">
        <f>IF((R126-U126)&gt;XWorkTimeMax,(R126-U126-XWorkTimeMax),"")</f>
        <v/>
      </c>
      <c r="AE126" s="225">
        <f>IF(AW126,(AE125+SUM(AA126)+(IF(AG126="+",AF126,-AF126))),)</f>
        <v>0</v>
      </c>
      <c r="AF126" s="110"/>
      <c r="AG126" s="627"/>
      <c r="AH126" s="110"/>
      <c r="AI126" s="110" t="str">
        <f>IF(AND(AF126&lt;&gt;"",AF126&lt;=V126),V126-AF126,"")</f>
        <v/>
      </c>
      <c r="AJ126" s="68">
        <f>IF(ISNUMBER(V126 ), IF( V126 &gt;= Y126, Y126, V126 ),"")</f>
        <v>0</v>
      </c>
      <c r="AK126" s="68">
        <f>IF( ISNUMBER( V126 ), IF( V126 &gt;= Y126, V126 - Y126, "" ), "" )</f>
        <v>0</v>
      </c>
      <c r="AL126" s="68" t="str">
        <f>IF( AND(ISNUMBER( V126 ),ISNUMBER( Y126 )), IF( V126 &gt;= Y126, "", Y126 - V126 ), "" )</f>
        <v/>
      </c>
      <c r="AM126">
        <f>IF(A126="",0,IF(ISERROR(VLOOKUP(A126,db_Feiertag,2,FALSE)),WEEKDAY(A126,2),Feiertag))</f>
        <v>8</v>
      </c>
      <c r="AN126" s="122">
        <f>SUM($AD$6:AD126)</f>
        <v>0</v>
      </c>
      <c r="AO126" s="122">
        <f ca="1">IF(D126=D125,AO125,OFFSET(AO126,-1,COLUMN(db_jSaldoGes)-COLUMN()))</f>
        <v>0</v>
      </c>
      <c r="AP126" s="126">
        <f>IF(OR($G126=-1,$G126=82),-1,IF(OR($G126=0,$G126=83),1,0))</f>
        <v>0</v>
      </c>
      <c r="AQ126" s="126">
        <f>IF($F126=Krank,1,IF($F126="J",-1,0))</f>
        <v>0</v>
      </c>
      <c r="AR126" s="126">
        <f>IF($F126=Urlaub,1,IF($F126="T",-1,0))</f>
        <v>0</v>
      </c>
      <c r="AS126" s="125">
        <f>IF(A126="","",AS125-IF(F126=Urlaub,1,0)+IF(AND(MONTH(A126)=1,DAY(A126)=1),B_UrlaubNeu,0))</f>
        <v>30</v>
      </c>
      <c r="AT126" s="125">
        <f ca="1">IF(A126="","",IF(D126=D125,AT125,OFFSET(AT126,-1,COLUMN(db_jUrlRest)-COLUMN()))+IF(AND(MONTH(A126)=1,DAY(A126)=1),B_UrlaubNeu,0))</f>
        <v>30</v>
      </c>
      <c r="AU126" s="135">
        <f>(IF(ISNUMBER(V126),V126,0)+IF(ISNUMBER(AD126),AD126,0))*24</f>
        <v>0</v>
      </c>
      <c r="AV126" s="125">
        <f>IF(ISNUMBER(AD126),K_ArbeitOverMax,IF(AND(ISNUMBER(AA126),AA126&gt;0),K_ArbeitOverTime,IF(AND(ISNUMBER(V126),V126&gt;0),K_ArbeitNormal,IF(F126=Krank,K_Krank,IF(F126=Urlaub,K_Urlaub,IF(AM126=Feiertag,K_Feiertag,IF(OR(AM126=6,AM126=7),K_Wochenende,0)))))))+IF(F126=Gleittag,K_Gleittag,0)</f>
        <v>8</v>
      </c>
      <c r="AW126" t="b">
        <f>OR((F126&gt;0),(NOT(ISBLANK(H126))),SUM(H126:H$373),SUM(G126:G$373))</f>
        <v>0</v>
      </c>
      <c r="AX126" t="b">
        <f ca="1">INDIRECT(ADDRESS(ROW(),COLUMN(xDay)))&gt;5</f>
        <v>1</v>
      </c>
      <c r="AY126" s="600">
        <f>IF(OR(R126&lt;&gt;0,F126&lt;&gt;0),AA126,IF(Z126="",0,-Z126))+(IF(AG126="+",AF126,-AF126))</f>
        <v>0</v>
      </c>
      <c r="AZ126" s="225">
        <f>SUM(AY$5:AY126)</f>
        <v>-23.916666666666686</v>
      </c>
      <c r="BA126" s="643"/>
      <c r="BB126" s="658">
        <f>IF(ISNA(MATCH(BA126,B_Arbeitsort,0)),0,MATCH(BA126,B_Arbeitsort,0))</f>
        <v>0</v>
      </c>
      <c r="BC126" s="643"/>
    </row>
    <row r="127" spans="1:55" ht="15.75">
      <c r="A127" s="305">
        <f>IF(A126="","",IF((A126+1)&gt;=DATE(YEAR(xJahr)+1,MONTH(xJahr),DAY(xJahr)),"",A126+1))</f>
        <v>43586</v>
      </c>
      <c r="B127" s="306">
        <f>IF(A127="","",A127)</f>
        <v>43586</v>
      </c>
      <c r="C127" s="307">
        <f>IF(A127="","",NumberOfWeek(A127))</f>
        <v>18</v>
      </c>
      <c r="D127" s="308">
        <f>IF(A127="","",DATE(YEAR(A127),MONTH(A127),1))</f>
        <v>43585</v>
      </c>
      <c r="E127" s="318" t="str">
        <f>IF((R127-U127)&gt;XWorkTimeMax,$Z$4,IF(AV127=Feiertag,VLOOKUP(B127,db_Feiertag,2,FALSE),""))</f>
        <v/>
      </c>
      <c r="F127" s="5"/>
      <c r="G127" s="6" t="str">
        <f>IF(ISBLANK(F127),IF(ISBLANK(H127),"",0),CODE(UPPER(F127)))</f>
        <v/>
      </c>
      <c r="H127" s="7"/>
      <c r="I127" s="7">
        <f>IF(H127&gt;0,H127+Y127+X127+AC127,0)</f>
        <v>0</v>
      </c>
      <c r="J127" s="113">
        <f>IF(K127&gt;I127,IF(I127&lt;H127,I127+1,I127)-B_WalkTime,IF(I127&lt;H127,I127+1,I127))</f>
        <v>0</v>
      </c>
      <c r="K127" s="7"/>
      <c r="L127" s="7">
        <f>IF(K127&gt;0,K127+IF((J127-H127)&lt;Y127,Y127-(J127-H127),TIME(0,10,0))+IF((K127-J127)&gt;xNoWorkTime,0,xNoWorkTime-(K127-J127)),0)</f>
        <v>0</v>
      </c>
      <c r="M127" s="113">
        <f>IF(L127&lt;K127,L127+1,L127)</f>
        <v>0</v>
      </c>
      <c r="N127" s="113"/>
      <c r="O127" s="113">
        <f>IF(N127&gt;0,N127+IF((J127-H127+M127-K127)&lt;Y127,Y127-(J127-H127+M127-K127),TIME(0,10,0))+IF((K127-J127+N127-M127)&gt;xNoWorkTime,0,xNoWorkTime-(K127-J127+N127-M127)),0)</f>
        <v>0</v>
      </c>
      <c r="P127" s="113"/>
      <c r="Q127" s="113">
        <f>IF(O127&lt;N127,O127+1,O127)</f>
        <v>0</v>
      </c>
      <c r="R127" s="113">
        <f>J127-H127+M127-K127+Q127-N127</f>
        <v>0</v>
      </c>
      <c r="S127" s="113">
        <f>IF(K127&gt;0,K127-I127,0)+IF(N127&gt;0,N127-L127)</f>
        <v>0</v>
      </c>
      <c r="T127" s="113">
        <f>IF(H127&gt;0,(IF(R127&gt;B_Pause1Nach,B_Pause1Dauer+IF(BA127="Büro",B_WalkTime,0),IF(BA127="Büro",B_WalkTime,0))+IF(R127&gt;B_Pause2Nach,B_Pause2Dauer,0)),0)</f>
        <v>0</v>
      </c>
      <c r="U127" s="113">
        <f>IF(T127&gt;S127,T127-S127,0)</f>
        <v>0</v>
      </c>
      <c r="V127" s="146">
        <f>IF(F127="S",Z127,(IF((R127-U127)&gt;XWorkTimeMax,XWorkTimeMax,IF((R127-U127)&gt;0,R127-U127,0))))</f>
        <v>0</v>
      </c>
      <c r="W127" s="66"/>
      <c r="X127" s="115">
        <f>xNoWorkTime</f>
        <v>4.027777777777778E-2</v>
      </c>
      <c r="Y127" s="110">
        <f>IF(AND((AM127&lt;Feiertag),(G127&lt;&gt;85)),IF(OR(F127="B",F127="G",F127="S",H127&gt;0),H127-H127+Z127,0),0)</f>
        <v>0</v>
      </c>
      <c r="Z127" s="111">
        <f>IF(AND(AM127&gt;0,AM127&lt;Feiertag),INDEX(Arbeitszeit,AM127),"")</f>
        <v>0.29166666666666669</v>
      </c>
      <c r="AA127" s="112">
        <f>V127-Y127</f>
        <v>0</v>
      </c>
      <c r="AB127" s="67" t="str">
        <f>IF((V127-Y127)&lt;0,"*","")</f>
        <v/>
      </c>
      <c r="AC127" s="193">
        <f>xOverTime</f>
        <v>0</v>
      </c>
      <c r="AD127" s="144" t="str">
        <f>IF((R127-U127)&gt;XWorkTimeMax,(R127-U127-XWorkTimeMax),"")</f>
        <v/>
      </c>
      <c r="AE127" s="225">
        <f>IF(AW127,(AE126+SUM(AA127)+(IF(AG127="+",AF127,-AF127))),)</f>
        <v>0</v>
      </c>
      <c r="AF127" s="110"/>
      <c r="AG127" s="627"/>
      <c r="AH127" s="110"/>
      <c r="AI127" s="110" t="str">
        <f>IF(AND(AF127&lt;&gt;"",AF127&lt;=V127),V127-AF127,"")</f>
        <v/>
      </c>
      <c r="AJ127" s="68">
        <f>IF(ISNUMBER(V127 ), IF( V127 &gt;= Y127, Y127, V127 ),"")</f>
        <v>0</v>
      </c>
      <c r="AK127" s="68">
        <f>IF( ISNUMBER( V127 ), IF( V127 &gt;= Y127, V127 - Y127, "" ), "" )</f>
        <v>0</v>
      </c>
      <c r="AL127" s="68" t="str">
        <f>IF( AND(ISNUMBER( V127 ),ISNUMBER( Y127 )), IF( V127 &gt;= Y127, "", Y127 - V127 ), "" )</f>
        <v/>
      </c>
      <c r="AM127">
        <f>IF(A127="",0,IF(ISERROR(VLOOKUP(A127,db_Feiertag,2,FALSE)),WEEKDAY(A127,2),Feiertag))</f>
        <v>2</v>
      </c>
      <c r="AN127" s="122">
        <f>SUM($AD$6:AD127)</f>
        <v>0</v>
      </c>
      <c r="AO127" s="122">
        <f ca="1">IF(D127=D126,AO126,OFFSET(AO127,-1,COLUMN(db_jSaldoGes)-COLUMN()))</f>
        <v>0</v>
      </c>
      <c r="AP127" s="126">
        <f>IF(OR($G127=-1,$G127=82),-1,IF(OR($G127=0,$G127=83),1,0))</f>
        <v>0</v>
      </c>
      <c r="AQ127" s="126">
        <f>IF($F127=Krank,1,IF($F127="J",-1,0))</f>
        <v>0</v>
      </c>
      <c r="AR127" s="126">
        <f>IF($F127=Urlaub,1,IF($F127="T",-1,0))</f>
        <v>0</v>
      </c>
      <c r="AS127" s="125">
        <f>IF(A127="","",AS126-IF(F127=Urlaub,1,0)+IF(AND(MONTH(A127)=1,DAY(A127)=1),B_UrlaubNeu,0))</f>
        <v>30</v>
      </c>
      <c r="AT127" s="125">
        <f ca="1">IF(A127="","",IF(D127=D126,AT126,OFFSET(AT127,-1,COLUMN(db_jUrlRest)-COLUMN()))+IF(AND(MONTH(A127)=1,DAY(A127)=1),B_UrlaubNeu,0))</f>
        <v>30</v>
      </c>
      <c r="AU127" s="135">
        <f>(IF(ISNUMBER(V127),V127,0)+IF(ISNUMBER(AD127),AD127,0))*24</f>
        <v>0</v>
      </c>
      <c r="AV127" s="125">
        <f>IF(ISNUMBER(AD127),K_ArbeitOverMax,IF(AND(ISNUMBER(AA127),AA127&gt;0),K_ArbeitOverTime,IF(AND(ISNUMBER(V127),V127&gt;0),K_ArbeitNormal,IF(F127=Krank,K_Krank,IF(F127=Urlaub,K_Urlaub,IF(AM127=Feiertag,K_Feiertag,IF(OR(AM127=6,AM127=7),K_Wochenende,0)))))))+IF(F127=Gleittag,K_Gleittag,0)</f>
        <v>0</v>
      </c>
      <c r="AW127" t="b">
        <f>OR((F127&gt;0),(NOT(ISBLANK(H127))),SUM(H127:H$373),SUM(G127:G$373))</f>
        <v>0</v>
      </c>
      <c r="AX127" t="b">
        <f ca="1">INDIRECT(ADDRESS(ROW(),COLUMN(xDay)))&gt;5</f>
        <v>0</v>
      </c>
      <c r="AY127" s="600">
        <f>IF(OR(R127&lt;&gt;0,F127&lt;&gt;0),AA127,IF(Z127="",0,-Z127))+(IF(AG127="+",AF127,-AF127))</f>
        <v>-0.29166666666666669</v>
      </c>
      <c r="AZ127" s="225">
        <f>SUM(AY$5:AY127)</f>
        <v>-24.208333333333353</v>
      </c>
      <c r="BA127" s="658"/>
      <c r="BB127" s="658">
        <f>IF(ISNA(MATCH(BA127,B_Arbeitsort,0)),0,MATCH(BA127,B_Arbeitsort,0))</f>
        <v>0</v>
      </c>
      <c r="BC127" s="658"/>
    </row>
    <row r="128" spans="1:55" ht="15.75">
      <c r="A128" s="305">
        <f>IF(A127="","",IF((A127+1)&gt;=DATE(YEAR(xJahr)+1,MONTH(xJahr),DAY(xJahr)),"",A127+1))</f>
        <v>43587</v>
      </c>
      <c r="B128" s="306">
        <f>IF(A128="","",A128)</f>
        <v>43587</v>
      </c>
      <c r="C128" s="307">
        <f>IF(A128="","",NumberOfWeek(A128))</f>
        <v>18</v>
      </c>
      <c r="D128" s="308">
        <f>IF(A128="","",DATE(YEAR(A128),MONTH(A128),1))</f>
        <v>43585</v>
      </c>
      <c r="E128" s="318" t="str">
        <f>IF((R128-U128)&gt;XWorkTimeMax,$Z$4,IF(AV128=Feiertag,VLOOKUP(B128,db_Feiertag,2,FALSE),""))</f>
        <v/>
      </c>
      <c r="F128" s="5"/>
      <c r="G128" s="6" t="str">
        <f>IF(ISBLANK(F128),IF(ISBLANK(H128),"",0),CODE(UPPER(F128)))</f>
        <v/>
      </c>
      <c r="H128" s="7"/>
      <c r="I128" s="7">
        <f>IF(H128&gt;0,H128+Y128+X128+AC128,0)</f>
        <v>0</v>
      </c>
      <c r="J128" s="113">
        <f>IF(K128&gt;I128,IF(I128&lt;H128,I128+1,I128)-B_WalkTime,IF(I128&lt;H128,I128+1,I128))</f>
        <v>0</v>
      </c>
      <c r="K128" s="7"/>
      <c r="L128" s="7">
        <f>IF(K128&gt;0,K128+IF((J128-H128)&lt;Y128,Y128-(J128-H128),TIME(0,10,0))+IF((K128-J128)&gt;xNoWorkTime,0,xNoWorkTime-(K128-J128)),0)</f>
        <v>0</v>
      </c>
      <c r="M128" s="113">
        <f>IF(L128&lt;K128,L128+1,L128)</f>
        <v>0</v>
      </c>
      <c r="N128" s="113"/>
      <c r="O128" s="113">
        <f>IF(N128&gt;0,N128+IF((J128-H128+M128-K128)&lt;Y128,Y128-(J128-H128+M128-K128),TIME(0,10,0))+IF((K128-J128+N128-M128)&gt;xNoWorkTime,0,xNoWorkTime-(K128-J128+N128-M128)),0)</f>
        <v>0</v>
      </c>
      <c r="P128" s="113"/>
      <c r="Q128" s="113">
        <f>IF(O128&lt;N128,O128+1,O128)</f>
        <v>0</v>
      </c>
      <c r="R128" s="113">
        <f>J128-H128+M128-K128+Q128-N128</f>
        <v>0</v>
      </c>
      <c r="S128" s="113">
        <f>IF(K128&gt;0,K128-I128,0)+IF(N128&gt;0,N128-L128)</f>
        <v>0</v>
      </c>
      <c r="T128" s="113">
        <f>IF(H128&gt;0,(IF(R128&gt;B_Pause1Nach,B_Pause1Dauer+IF(BA128="Büro",B_WalkTime,0),IF(BA128="Büro",B_WalkTime,0))+IF(R128&gt;B_Pause2Nach,B_Pause2Dauer,0)),0)</f>
        <v>0</v>
      </c>
      <c r="U128" s="113">
        <f>IF(T128&gt;S128,T128-S128,0)</f>
        <v>0</v>
      </c>
      <c r="V128" s="146">
        <f>IF(F128="S",Z128,(IF((R128-U128)&gt;XWorkTimeMax,XWorkTimeMax,IF((R128-U128)&gt;0,R128-U128,0))))</f>
        <v>0</v>
      </c>
      <c r="W128" s="66"/>
      <c r="X128" s="115">
        <f>xNoWorkTime</f>
        <v>4.027777777777778E-2</v>
      </c>
      <c r="Y128" s="110">
        <f>IF(AND((AM128&lt;Feiertag),(G128&lt;&gt;85)),IF(OR(F128="B",F128="G",F128="S",H128&gt;0),H128-H128+Z128,0),0)</f>
        <v>0</v>
      </c>
      <c r="Z128" s="111">
        <f>IF(AND(AM128&gt;0,AM128&lt;Feiertag),INDEX(Arbeitszeit,AM128),"")</f>
        <v>0.29166666666666669</v>
      </c>
      <c r="AA128" s="112">
        <f>V128-Y128</f>
        <v>0</v>
      </c>
      <c r="AB128" s="67" t="str">
        <f>IF((V128-Y128)&lt;0,"*","")</f>
        <v/>
      </c>
      <c r="AC128" s="193">
        <f>xOverTime</f>
        <v>0</v>
      </c>
      <c r="AD128" s="144" t="str">
        <f>IF((R128-U128)&gt;XWorkTimeMax,(R128-U128-XWorkTimeMax),"")</f>
        <v/>
      </c>
      <c r="AE128" s="225">
        <f>IF(AW128,(AE127+SUM(AA128)+(IF(AG128="+",AF128,-AF128))),)</f>
        <v>0</v>
      </c>
      <c r="AF128" s="110"/>
      <c r="AG128" s="627"/>
      <c r="AH128" s="110"/>
      <c r="AI128" s="110" t="str">
        <f>IF(AND(AF128&lt;&gt;"",AF128&lt;=V128),V128-AF128,"")</f>
        <v/>
      </c>
      <c r="AJ128" s="68">
        <f>IF(ISNUMBER(V128 ), IF( V128 &gt;= Y128, Y128, V128 ),"")</f>
        <v>0</v>
      </c>
      <c r="AK128" s="68">
        <f>IF( ISNUMBER( V128 ), IF( V128 &gt;= Y128, V128 - Y128, "" ), "" )</f>
        <v>0</v>
      </c>
      <c r="AL128" s="68" t="str">
        <f>IF( AND(ISNUMBER( V128 ),ISNUMBER( Y128 )), IF( V128 &gt;= Y128, "", Y128 - V128 ), "" )</f>
        <v/>
      </c>
      <c r="AM128">
        <f>IF(A128="",0,IF(ISERROR(VLOOKUP(A128,db_Feiertag,2,FALSE)),WEEKDAY(A128,2),Feiertag))</f>
        <v>3</v>
      </c>
      <c r="AN128" s="122">
        <f>SUM($AD$6:AD128)</f>
        <v>0</v>
      </c>
      <c r="AO128" s="122">
        <f ca="1">IF(D128=D127,AO127,OFFSET(AO128,-1,COLUMN(db_jSaldoGes)-COLUMN()))</f>
        <v>0</v>
      </c>
      <c r="AP128" s="126">
        <f>IF(OR($G128=-1,$G128=82),-1,IF(OR($G128=0,$G128=83),1,0))</f>
        <v>0</v>
      </c>
      <c r="AQ128" s="126">
        <f>IF($F128=Krank,1,IF($F128="J",-1,0))</f>
        <v>0</v>
      </c>
      <c r="AR128" s="126">
        <f>IF($F128=Urlaub,1,IF($F128="T",-1,0))</f>
        <v>0</v>
      </c>
      <c r="AS128" s="125">
        <f>IF(A128="","",AS127-IF(F128=Urlaub,1,0)+IF(AND(MONTH(A128)=1,DAY(A128)=1),B_UrlaubNeu,0))</f>
        <v>30</v>
      </c>
      <c r="AT128" s="125">
        <f ca="1">IF(A128="","",IF(D128=D127,AT127,OFFSET(AT128,-1,COLUMN(db_jUrlRest)-COLUMN()))+IF(AND(MONTH(A128)=1,DAY(A128)=1),B_UrlaubNeu,0))</f>
        <v>30</v>
      </c>
      <c r="AU128" s="135">
        <f>(IF(ISNUMBER(V128),V128,0)+IF(ISNUMBER(AD128),AD128,0))*24</f>
        <v>0</v>
      </c>
      <c r="AV128" s="125">
        <f>IF(ISNUMBER(AD128),K_ArbeitOverMax,IF(AND(ISNUMBER(AA128),AA128&gt;0),K_ArbeitOverTime,IF(AND(ISNUMBER(V128),V128&gt;0),K_ArbeitNormal,IF(F128=Krank,K_Krank,IF(F128=Urlaub,K_Urlaub,IF(AM128=Feiertag,K_Feiertag,IF(OR(AM128=6,AM128=7),K_Wochenende,0)))))))+IF(F128=Gleittag,K_Gleittag,0)</f>
        <v>0</v>
      </c>
      <c r="AW128" t="b">
        <f>OR((F128&gt;0),(NOT(ISBLANK(H128))),SUM(H128:H$373),SUM(G128:G$373))</f>
        <v>0</v>
      </c>
      <c r="AX128" t="b">
        <f ca="1">INDIRECT(ADDRESS(ROW(),COLUMN(xDay)))&gt;5</f>
        <v>0</v>
      </c>
      <c r="AY128" s="600">
        <f>IF(OR(R128&lt;&gt;0,F128&lt;&gt;0),AA128,IF(Z128="",0,-Z128))+(IF(AG128="+",AF128,-AF128))</f>
        <v>-0.29166666666666669</v>
      </c>
      <c r="AZ128" s="225">
        <f>SUM(AY$5:AY128)</f>
        <v>-24.500000000000021</v>
      </c>
      <c r="BA128" s="658"/>
      <c r="BB128" s="658">
        <f>IF(ISNA(MATCH(BA128,B_Arbeitsort,0)),0,MATCH(BA128,B_Arbeitsort,0))</f>
        <v>0</v>
      </c>
      <c r="BC128" s="658"/>
    </row>
    <row r="129" spans="1:55" ht="15.75">
      <c r="A129" s="305">
        <f>IF(A128="","",IF((A128+1)&gt;=DATE(YEAR(xJahr)+1,MONTH(xJahr),DAY(xJahr)),"",A128+1))</f>
        <v>43588</v>
      </c>
      <c r="B129" s="306">
        <f>IF(A129="","",A129)</f>
        <v>43588</v>
      </c>
      <c r="C129" s="307">
        <f>IF(A129="","",NumberOfWeek(A129))</f>
        <v>18</v>
      </c>
      <c r="D129" s="308">
        <f>IF(A129="","",DATE(YEAR(A129),MONTH(A129),1))</f>
        <v>43585</v>
      </c>
      <c r="E129" s="318" t="str">
        <f>IF((R129-U129)&gt;XWorkTimeMax,$Z$4,IF(AV129=Feiertag,VLOOKUP(B129,db_Feiertag,2,FALSE),""))</f>
        <v/>
      </c>
      <c r="F129" s="5"/>
      <c r="G129" s="6" t="str">
        <f>IF(ISBLANK(F129),IF(ISBLANK(H129),"",0),CODE(UPPER(F129)))</f>
        <v/>
      </c>
      <c r="H129" s="7"/>
      <c r="I129" s="7">
        <f>IF(H129&gt;0,H129+Y129+X129+AC129,0)</f>
        <v>0</v>
      </c>
      <c r="J129" s="113">
        <f>IF(K129&gt;I129,IF(I129&lt;H129,I129+1,I129)-B_WalkTime,IF(I129&lt;H129,I129+1,I129))</f>
        <v>0</v>
      </c>
      <c r="K129" s="7"/>
      <c r="L129" s="7">
        <f>IF(K129&gt;0,K129+IF((J129-H129)&lt;Y129,Y129-(J129-H129),TIME(0,10,0))+IF((K129-J129)&gt;xNoWorkTime,0,xNoWorkTime-(K129-J129)),0)</f>
        <v>0</v>
      </c>
      <c r="M129" s="113">
        <f>IF(L129&lt;K129,L129+1,L129)</f>
        <v>0</v>
      </c>
      <c r="N129" s="113"/>
      <c r="O129" s="113">
        <f>IF(N129&gt;0,N129+IF((J129-H129+M129-K129)&lt;Y129,Y129-(J129-H129+M129-K129),TIME(0,10,0))+IF((K129-J129+N129-M129)&gt;xNoWorkTime,0,xNoWorkTime-(K129-J129+N129-M129)),0)</f>
        <v>0</v>
      </c>
      <c r="P129" s="113"/>
      <c r="Q129" s="113">
        <f>IF(O129&lt;N129,O129+1,O129)</f>
        <v>0</v>
      </c>
      <c r="R129" s="113">
        <f>J129-H129+M129-K129+Q129-N129</f>
        <v>0</v>
      </c>
      <c r="S129" s="113">
        <f>IF(K129&gt;0,K129-I129,0)+IF(N129&gt;0,N129-L129)</f>
        <v>0</v>
      </c>
      <c r="T129" s="113">
        <f>IF(H129&gt;0,(IF(R129&gt;B_Pause1Nach,B_Pause1Dauer+IF(BA129="Büro",B_WalkTime,0),IF(BA129="Büro",B_WalkTime,0))+IF(R129&gt;B_Pause2Nach,B_Pause2Dauer,0)),0)</f>
        <v>0</v>
      </c>
      <c r="U129" s="113">
        <f>IF(T129&gt;S129,T129-S129,0)</f>
        <v>0</v>
      </c>
      <c r="V129" s="146">
        <f>IF(F129="S",Z129,(IF((R129-U129)&gt;XWorkTimeMax,XWorkTimeMax,IF((R129-U129)&gt;0,R129-U129,0))))</f>
        <v>0</v>
      </c>
      <c r="W129" s="66"/>
      <c r="X129" s="115">
        <f>xNoWorkTime</f>
        <v>4.027777777777778E-2</v>
      </c>
      <c r="Y129" s="110">
        <f>IF(AND((AM129&lt;Feiertag),(G129&lt;&gt;85)),IF(OR(F129="B",F129="G",F129="S",H129&gt;0),H129-H129+Z129,0),0)</f>
        <v>0</v>
      </c>
      <c r="Z129" s="111">
        <f>IF(AND(AM129&gt;0,AM129&lt;Feiertag),INDEX(Arbeitszeit,AM129),"")</f>
        <v>0.29166666666666669</v>
      </c>
      <c r="AA129" s="112">
        <f>V129-Y129</f>
        <v>0</v>
      </c>
      <c r="AB129" s="67" t="str">
        <f>IF((V129-Y129)&lt;0,"*","")</f>
        <v/>
      </c>
      <c r="AC129" s="193">
        <f>xOverTime</f>
        <v>0</v>
      </c>
      <c r="AD129" s="144" t="str">
        <f>IF((R129-U129)&gt;XWorkTimeMax,(R129-U129-XWorkTimeMax),"")</f>
        <v/>
      </c>
      <c r="AE129" s="225">
        <f>IF(AW129,(AE128+SUM(AA129)+(IF(AG129="+",AF129,-AF129))),)</f>
        <v>0</v>
      </c>
      <c r="AF129" s="110"/>
      <c r="AG129" s="627"/>
      <c r="AH129" s="110"/>
      <c r="AI129" s="110" t="str">
        <f>IF(AND(AF129&lt;&gt;"",AF129&lt;=V129),V129-AF129,"")</f>
        <v/>
      </c>
      <c r="AJ129" s="68">
        <f>IF(ISNUMBER(V129 ), IF( V129 &gt;= Y129, Y129, V129 ),"")</f>
        <v>0</v>
      </c>
      <c r="AK129" s="68">
        <f>IF( ISNUMBER( V129 ), IF( V129 &gt;= Y129, V129 - Y129, "" ), "" )</f>
        <v>0</v>
      </c>
      <c r="AL129" s="68" t="str">
        <f>IF( AND(ISNUMBER( V129 ),ISNUMBER( Y129 )), IF( V129 &gt;= Y129, "", Y129 - V129 ), "" )</f>
        <v/>
      </c>
      <c r="AM129">
        <f>IF(A129="",0,IF(ISERROR(VLOOKUP(A129,db_Feiertag,2,FALSE)),WEEKDAY(A129,2),Feiertag))</f>
        <v>4</v>
      </c>
      <c r="AN129" s="122">
        <f>SUM($AD$6:AD129)</f>
        <v>0</v>
      </c>
      <c r="AO129" s="122">
        <f ca="1">IF(D129=D128,AO128,OFFSET(AO129,-1,COLUMN(db_jSaldoGes)-COLUMN()))</f>
        <v>0</v>
      </c>
      <c r="AP129" s="126">
        <f>IF(OR($G129=-1,$G129=82),-1,IF(OR($G129=0,$G129=83),1,0))</f>
        <v>0</v>
      </c>
      <c r="AQ129" s="126">
        <f>IF($F129=Krank,1,IF($F129="J",-1,0))</f>
        <v>0</v>
      </c>
      <c r="AR129" s="126">
        <f>IF($F129=Urlaub,1,IF($F129="T",-1,0))</f>
        <v>0</v>
      </c>
      <c r="AS129" s="125">
        <f>IF(A129="","",AS128-IF(F129=Urlaub,1,0)+IF(AND(MONTH(A129)=1,DAY(A129)=1),B_UrlaubNeu,0))</f>
        <v>30</v>
      </c>
      <c r="AT129" s="125">
        <f ca="1">IF(A129="","",IF(D129=D128,AT128,OFFSET(AT129,-1,COLUMN(db_jUrlRest)-COLUMN()))+IF(AND(MONTH(A129)=1,DAY(A129)=1),B_UrlaubNeu,0))</f>
        <v>30</v>
      </c>
      <c r="AU129" s="135">
        <f>(IF(ISNUMBER(V129),V129,0)+IF(ISNUMBER(AD129),AD129,0))*24</f>
        <v>0</v>
      </c>
      <c r="AV129" s="125">
        <f>IF(ISNUMBER(AD129),K_ArbeitOverMax,IF(AND(ISNUMBER(AA129),AA129&gt;0),K_ArbeitOverTime,IF(AND(ISNUMBER(V129),V129&gt;0),K_ArbeitNormal,IF(F129=Krank,K_Krank,IF(F129=Urlaub,K_Urlaub,IF(AM129=Feiertag,K_Feiertag,IF(OR(AM129=6,AM129=7),K_Wochenende,0)))))))+IF(F129=Gleittag,K_Gleittag,0)</f>
        <v>0</v>
      </c>
      <c r="AW129" t="b">
        <f>OR((F129&gt;0),(NOT(ISBLANK(H129))),SUM(H129:H$373),SUM(G129:G$373))</f>
        <v>0</v>
      </c>
      <c r="AX129" t="b">
        <f ca="1">INDIRECT(ADDRESS(ROW(),COLUMN(xDay)))&gt;5</f>
        <v>0</v>
      </c>
      <c r="AY129" s="600">
        <f>IF(OR(R129&lt;&gt;0,F129&lt;&gt;0),AA129,IF(Z129="",0,-Z129))+(IF(AG129="+",AF129,-AF129))</f>
        <v>-0.29166666666666669</v>
      </c>
      <c r="AZ129" s="225">
        <f>SUM(AY$5:AY129)</f>
        <v>-24.791666666666689</v>
      </c>
      <c r="BA129" s="658"/>
      <c r="BB129" s="658">
        <f>IF(ISNA(MATCH(BA129,B_Arbeitsort,0)),0,MATCH(BA129,B_Arbeitsort,0))</f>
        <v>0</v>
      </c>
      <c r="BC129" s="658"/>
    </row>
    <row r="130" spans="1:55" ht="15.75">
      <c r="A130" s="305">
        <f>IF(A129="","",IF((A129+1)&gt;=DATE(YEAR(xJahr)+1,MONTH(xJahr),DAY(xJahr)),"",A129+1))</f>
        <v>43589</v>
      </c>
      <c r="B130" s="306">
        <f>IF(A130="","",A130)</f>
        <v>43589</v>
      </c>
      <c r="C130" s="307">
        <f>IF(A130="","",NumberOfWeek(A130))</f>
        <v>18</v>
      </c>
      <c r="D130" s="308">
        <f>IF(A130="","",DATE(YEAR(A130),MONTH(A130),1))</f>
        <v>43585</v>
      </c>
      <c r="E130" s="318" t="str">
        <f>IF((R130-U130)&gt;XWorkTimeMax,$Z$4,IF(AV130=Feiertag,VLOOKUP(B130,db_Feiertag,2,FALSE),""))</f>
        <v/>
      </c>
      <c r="F130" s="5"/>
      <c r="G130" s="6" t="str">
        <f>IF(ISBLANK(F130),IF(ISBLANK(H130),"",0),CODE(UPPER(F130)))</f>
        <v/>
      </c>
      <c r="H130" s="7"/>
      <c r="I130" s="7">
        <f>IF(H130&gt;0,H130+Y130+X130+AC130,0)</f>
        <v>0</v>
      </c>
      <c r="J130" s="113">
        <f>IF(K130&gt;I130,IF(I130&lt;H130,I130+1,I130)-B_WalkTime,IF(I130&lt;H130,I130+1,I130))</f>
        <v>0</v>
      </c>
      <c r="K130" s="7"/>
      <c r="L130" s="7">
        <f>IF(K130&gt;0,K130+IF((J130-H130)&lt;Y130,Y130-(J130-H130),TIME(0,10,0))+IF((K130-J130)&gt;xNoWorkTime,0,xNoWorkTime-(K130-J130)),0)</f>
        <v>0</v>
      </c>
      <c r="M130" s="113">
        <f>IF(L130&lt;K130,L130+1,L130)</f>
        <v>0</v>
      </c>
      <c r="N130" s="113"/>
      <c r="O130" s="113">
        <f>IF(N130&gt;0,N130+IF((J130-H130+M130-K130)&lt;Y130,Y130-(J130-H130+M130-K130),TIME(0,10,0))+IF((K130-J130+N130-M130)&gt;xNoWorkTime,0,xNoWorkTime-(K130-J130+N130-M130)),0)</f>
        <v>0</v>
      </c>
      <c r="P130" s="113"/>
      <c r="Q130" s="113">
        <f>IF(O130&lt;N130,O130+1,O130)</f>
        <v>0</v>
      </c>
      <c r="R130" s="113">
        <f>J130-H130+M130-K130+Q130-N130</f>
        <v>0</v>
      </c>
      <c r="S130" s="113">
        <f>IF(K130&gt;0,K130-I130,0)+IF(N130&gt;0,N130-L130)</f>
        <v>0</v>
      </c>
      <c r="T130" s="113">
        <f>IF(H130&gt;0,(IF(R130&gt;B_Pause1Nach,B_Pause1Dauer+IF(BA130="Büro",B_WalkTime,0),IF(BA130="Büro",B_WalkTime,0))+IF(R130&gt;B_Pause2Nach,B_Pause2Dauer,0)),0)</f>
        <v>0</v>
      </c>
      <c r="U130" s="113">
        <f>IF(T130&gt;S130,T130-S130,0)</f>
        <v>0</v>
      </c>
      <c r="V130" s="146">
        <f>IF(F130="S",Z130,(IF((R130-U130)&gt;XWorkTimeMax,XWorkTimeMax,IF((R130-U130)&gt;0,R130-U130,0))))</f>
        <v>0</v>
      </c>
      <c r="W130" s="66"/>
      <c r="X130" s="115">
        <f>xNoWorkTime</f>
        <v>4.027777777777778E-2</v>
      </c>
      <c r="Y130" s="110">
        <f>IF(AND((AM130&lt;Feiertag),(G130&lt;&gt;85)),IF(OR(F130="B",F130="G",F130="S",H130&gt;0),H130-H130+Z130,0),0)</f>
        <v>0</v>
      </c>
      <c r="Z130" s="111">
        <f>IF(AND(AM130&gt;0,AM130&lt;Feiertag),INDEX(Arbeitszeit,AM130),"")</f>
        <v>0.29166666666666669</v>
      </c>
      <c r="AA130" s="112">
        <f>V130-Y130</f>
        <v>0</v>
      </c>
      <c r="AB130" s="67" t="str">
        <f>IF((V130-Y130)&lt;0,"*","")</f>
        <v/>
      </c>
      <c r="AC130" s="193">
        <f>xOverTime</f>
        <v>0</v>
      </c>
      <c r="AD130" s="144" t="str">
        <f>IF((R130-U130)&gt;XWorkTimeMax,(R130-U130-XWorkTimeMax),"")</f>
        <v/>
      </c>
      <c r="AE130" s="225">
        <f>IF(AW130,(AE129+SUM(AA130)+(IF(AG130="+",AF130,-AF130))),)</f>
        <v>0</v>
      </c>
      <c r="AF130" s="110"/>
      <c r="AG130" s="627"/>
      <c r="AH130" s="110"/>
      <c r="AI130" s="110" t="str">
        <f>IF(AND(AF130&lt;&gt;"",AF130&lt;=V130),V130-AF130,"")</f>
        <v/>
      </c>
      <c r="AJ130" s="68">
        <f>IF(ISNUMBER(V130 ), IF( V130 &gt;= Y130, Y130, V130 ),"")</f>
        <v>0</v>
      </c>
      <c r="AK130" s="68">
        <f>IF( ISNUMBER( V130 ), IF( V130 &gt;= Y130, V130 - Y130, "" ), "" )</f>
        <v>0</v>
      </c>
      <c r="AL130" s="68" t="str">
        <f>IF( AND(ISNUMBER( V130 ),ISNUMBER( Y130 )), IF( V130 &gt;= Y130, "", Y130 - V130 ), "" )</f>
        <v/>
      </c>
      <c r="AM130">
        <f>IF(A130="",0,IF(ISERROR(VLOOKUP(A130,db_Feiertag,2,FALSE)),WEEKDAY(A130,2),Feiertag))</f>
        <v>5</v>
      </c>
      <c r="AN130" s="122">
        <f>SUM($AD$6:AD130)</f>
        <v>0</v>
      </c>
      <c r="AO130" s="122">
        <f ca="1">IF(D130=D129,AO129,OFFSET(AO130,-1,COLUMN(db_jSaldoGes)-COLUMN()))</f>
        <v>0</v>
      </c>
      <c r="AP130" s="126">
        <f>IF(OR($G130=-1,$G130=82),-1,IF(OR($G130=0,$G130=83),1,0))</f>
        <v>0</v>
      </c>
      <c r="AQ130" s="126">
        <f>IF($F130=Krank,1,IF($F130="J",-1,0))</f>
        <v>0</v>
      </c>
      <c r="AR130" s="126">
        <f>IF($F130=Urlaub,1,IF($F130="T",-1,0))</f>
        <v>0</v>
      </c>
      <c r="AS130" s="125">
        <f>IF(A130="","",AS129-IF(F130=Urlaub,1,0)+IF(AND(MONTH(A130)=1,DAY(A130)=1),B_UrlaubNeu,0))</f>
        <v>30</v>
      </c>
      <c r="AT130" s="125">
        <f ca="1">IF(A130="","",IF(D130=D129,AT129,OFFSET(AT130,-1,COLUMN(db_jUrlRest)-COLUMN()))+IF(AND(MONTH(A130)=1,DAY(A130)=1),B_UrlaubNeu,0))</f>
        <v>30</v>
      </c>
      <c r="AU130" s="135">
        <f>(IF(ISNUMBER(V130),V130,0)+IF(ISNUMBER(AD130),AD130,0))*24</f>
        <v>0</v>
      </c>
      <c r="AV130" s="125">
        <f>IF(ISNUMBER(AD130),K_ArbeitOverMax,IF(AND(ISNUMBER(AA130),AA130&gt;0),K_ArbeitOverTime,IF(AND(ISNUMBER(V130),V130&gt;0),K_ArbeitNormal,IF(F130=Krank,K_Krank,IF(F130=Urlaub,K_Urlaub,IF(AM130=Feiertag,K_Feiertag,IF(OR(AM130=6,AM130=7),K_Wochenende,0)))))))+IF(F130=Gleittag,K_Gleittag,0)</f>
        <v>0</v>
      </c>
      <c r="AW130" t="b">
        <f>OR((F130&gt;0),(NOT(ISBLANK(H130))),SUM(H130:H$373),SUM(G130:G$373))</f>
        <v>0</v>
      </c>
      <c r="AX130" t="b">
        <f ca="1">INDIRECT(ADDRESS(ROW(),COLUMN(xDay)))&gt;5</f>
        <v>0</v>
      </c>
      <c r="AY130" s="600">
        <f>IF(OR(R130&lt;&gt;0,F130&lt;&gt;0),AA130,IF(Z130="",0,-Z130))+(IF(AG130="+",AF130,-AF130))</f>
        <v>-0.29166666666666669</v>
      </c>
      <c r="AZ130" s="225">
        <f>SUM(AY$5:AY130)</f>
        <v>-25.083333333333357</v>
      </c>
      <c r="BA130" s="658"/>
      <c r="BB130" s="658">
        <f>IF(ISNA(MATCH(BA130,B_Arbeitsort,0)),0,MATCH(BA130,B_Arbeitsort,0))</f>
        <v>0</v>
      </c>
      <c r="BC130" s="658"/>
    </row>
    <row r="131" spans="1:55" ht="15.75">
      <c r="A131" s="305">
        <f>IF(A130="","",IF((A130+1)&gt;=DATE(YEAR(xJahr)+1,MONTH(xJahr),DAY(xJahr)),"",A130+1))</f>
        <v>43590</v>
      </c>
      <c r="B131" s="306">
        <f>IF(A131="","",A131)</f>
        <v>43590</v>
      </c>
      <c r="C131" s="307">
        <f>IF(A131="","",NumberOfWeek(A131))</f>
        <v>18</v>
      </c>
      <c r="D131" s="308">
        <f>IF(A131="","",DATE(YEAR(A131),MONTH(A131),1))</f>
        <v>43585</v>
      </c>
      <c r="E131" s="318" t="str">
        <f>IF((R131-U131)&gt;XWorkTimeMax,$Z$4,IF(AV131=Feiertag,VLOOKUP(B131,db_Feiertag,2,FALSE),""))</f>
        <v/>
      </c>
      <c r="F131" s="5"/>
      <c r="G131" s="6" t="str">
        <f>IF(ISBLANK(F131),IF(ISBLANK(H131),"",0),CODE(UPPER(F131)))</f>
        <v/>
      </c>
      <c r="H131" s="7"/>
      <c r="I131" s="7">
        <f>IF(H131&gt;0,H131+Y131+X131+AC131,0)</f>
        <v>0</v>
      </c>
      <c r="J131" s="113">
        <f>IF(K131&gt;I131,IF(I131&lt;H131,I131+1,I131)-B_WalkTime,IF(I131&lt;H131,I131+1,I131))</f>
        <v>0</v>
      </c>
      <c r="K131" s="7"/>
      <c r="L131" s="7">
        <f>IF(K131&gt;0,K131+IF((J131-H131)&lt;Y131,Y131-(J131-H131),TIME(0,10,0))+IF((K131-J131)&gt;xNoWorkTime,0,xNoWorkTime-(K131-J131)),0)</f>
        <v>0</v>
      </c>
      <c r="M131" s="113">
        <f>IF(L131&lt;K131,L131+1,L131)</f>
        <v>0</v>
      </c>
      <c r="N131" s="113"/>
      <c r="O131" s="113">
        <f>IF(N131&gt;0,N131+IF((J131-H131+M131-K131)&lt;Y131,Y131-(J131-H131+M131-K131),TIME(0,10,0))+IF((K131-J131+N131-M131)&gt;xNoWorkTime,0,xNoWorkTime-(K131-J131+N131-M131)),0)</f>
        <v>0</v>
      </c>
      <c r="P131" s="113"/>
      <c r="Q131" s="113">
        <f>IF(O131&lt;N131,O131+1,O131)</f>
        <v>0</v>
      </c>
      <c r="R131" s="113">
        <f>J131-H131+M131-K131+Q131-N131</f>
        <v>0</v>
      </c>
      <c r="S131" s="113">
        <f>IF(K131&gt;0,K131-I131,0)+IF(N131&gt;0,N131-L131)</f>
        <v>0</v>
      </c>
      <c r="T131" s="113">
        <f>IF(H131&gt;0,(IF(R131&gt;B_Pause1Nach,B_Pause1Dauer+IF(BA131="Büro",B_WalkTime,0),IF(BA131="Büro",B_WalkTime,0))+IF(R131&gt;B_Pause2Nach,B_Pause2Dauer,0)),0)</f>
        <v>0</v>
      </c>
      <c r="U131" s="113">
        <f>IF(T131&gt;S131,T131-S131,0)</f>
        <v>0</v>
      </c>
      <c r="V131" s="146">
        <f>IF(F131="S",Z131,(IF((R131-U131)&gt;XWorkTimeMax,XWorkTimeMax,IF((R131-U131)&gt;0,R131-U131,0))))</f>
        <v>0</v>
      </c>
      <c r="W131" s="66"/>
      <c r="X131" s="115">
        <f>xNoWorkTime</f>
        <v>4.027777777777778E-2</v>
      </c>
      <c r="Y131" s="110">
        <f>IF(AND((AM131&lt;Feiertag),(G131&lt;&gt;85)),IF(OR(F131="B",F131="G",F131="S",H131&gt;0),H131-H131+Z131,0),0)</f>
        <v>0</v>
      </c>
      <c r="Z131" s="111">
        <f>IF(AND(AM131&gt;0,AM131&lt;Feiertag),INDEX(Arbeitszeit,AM131),"")</f>
        <v>0</v>
      </c>
      <c r="AA131" s="112">
        <f>V131-Y131</f>
        <v>0</v>
      </c>
      <c r="AB131" s="67" t="str">
        <f>IF((V131-Y131)&lt;0,"*","")</f>
        <v/>
      </c>
      <c r="AC131" s="193">
        <f>xOverTime</f>
        <v>0</v>
      </c>
      <c r="AD131" s="144" t="str">
        <f>IF((R131-U131)&gt;XWorkTimeMax,(R131-U131-XWorkTimeMax),"")</f>
        <v/>
      </c>
      <c r="AE131" s="225">
        <f>IF(AW131,(AE130+SUM(AA131)+(IF(AG131="+",AF131,-AF131))),)</f>
        <v>0</v>
      </c>
      <c r="AF131" s="110"/>
      <c r="AG131" s="627"/>
      <c r="AH131" s="110"/>
      <c r="AI131" s="110" t="str">
        <f>IF(AND(AF131&lt;&gt;"",AF131&lt;=V131),V131-AF131,"")</f>
        <v/>
      </c>
      <c r="AJ131" s="68">
        <f>IF(ISNUMBER(V131 ), IF( V131 &gt;= Y131, Y131, V131 ),"")</f>
        <v>0</v>
      </c>
      <c r="AK131" s="68">
        <f>IF( ISNUMBER( V131 ), IF( V131 &gt;= Y131, V131 - Y131, "" ), "" )</f>
        <v>0</v>
      </c>
      <c r="AL131" s="68" t="str">
        <f>IF( AND(ISNUMBER( V131 ),ISNUMBER( Y131 )), IF( V131 &gt;= Y131, "", Y131 - V131 ), "" )</f>
        <v/>
      </c>
      <c r="AM131">
        <f>IF(A131="",0,IF(ISERROR(VLOOKUP(A131,db_Feiertag,2,FALSE)),WEEKDAY(A131,2),Feiertag))</f>
        <v>6</v>
      </c>
      <c r="AN131" s="122">
        <f>SUM($AD$6:AD131)</f>
        <v>0</v>
      </c>
      <c r="AO131" s="122">
        <f ca="1">IF(D131=D130,AO130,OFFSET(AO131,-1,COLUMN(db_jSaldoGes)-COLUMN()))</f>
        <v>0</v>
      </c>
      <c r="AP131" s="126">
        <f>IF(OR($G131=-1,$G131=82),-1,IF(OR($G131=0,$G131=83),1,0))</f>
        <v>0</v>
      </c>
      <c r="AQ131" s="126">
        <f>IF($F131=Krank,1,IF($F131="J",-1,0))</f>
        <v>0</v>
      </c>
      <c r="AR131" s="126">
        <f>IF($F131=Urlaub,1,IF($F131="T",-1,0))</f>
        <v>0</v>
      </c>
      <c r="AS131" s="125">
        <f>IF(A131="","",AS130-IF(F131=Urlaub,1,0)+IF(AND(MONTH(A131)=1,DAY(A131)=1),B_UrlaubNeu,0))</f>
        <v>30</v>
      </c>
      <c r="AT131" s="125">
        <f ca="1">IF(A131="","",IF(D131=D130,AT130,OFFSET(AT131,-1,COLUMN(db_jUrlRest)-COLUMN()))+IF(AND(MONTH(A131)=1,DAY(A131)=1),B_UrlaubNeu,0))</f>
        <v>30</v>
      </c>
      <c r="AU131" s="135">
        <f>(IF(ISNUMBER(V131),V131,0)+IF(ISNUMBER(AD131),AD131,0))*24</f>
        <v>0</v>
      </c>
      <c r="AV131" s="125">
        <f>IF(ISNUMBER(AD131),K_ArbeitOverMax,IF(AND(ISNUMBER(AA131),AA131&gt;0),K_ArbeitOverTime,IF(AND(ISNUMBER(V131),V131&gt;0),K_ArbeitNormal,IF(F131=Krank,K_Krank,IF(F131=Urlaub,K_Urlaub,IF(AM131=Feiertag,K_Feiertag,IF(OR(AM131=6,AM131=7),K_Wochenende,0)))))))+IF(F131=Gleittag,K_Gleittag,0)</f>
        <v>7</v>
      </c>
      <c r="AW131" t="b">
        <f>OR((F131&gt;0),(NOT(ISBLANK(H131))),SUM(H131:H$373),SUM(G131:G$373))</f>
        <v>0</v>
      </c>
      <c r="AX131" t="b">
        <f ca="1">INDIRECT(ADDRESS(ROW(),COLUMN(xDay)))&gt;5</f>
        <v>1</v>
      </c>
      <c r="AY131" s="600">
        <f>IF(OR(R131&lt;&gt;0,F131&lt;&gt;0),AA131,IF(Z131="",0,-Z131))+(IF(AG131="+",AF131,-AF131))</f>
        <v>0</v>
      </c>
      <c r="AZ131" s="225">
        <f>SUM(AY$5:AY131)</f>
        <v>-25.083333333333357</v>
      </c>
      <c r="BA131" s="643"/>
      <c r="BB131" s="658">
        <f>IF(ISNA(MATCH(BA131,B_Arbeitsort,0)),0,MATCH(BA131,B_Arbeitsort,0))</f>
        <v>0</v>
      </c>
      <c r="BC131" s="643"/>
    </row>
    <row r="132" spans="1:55" ht="15.75">
      <c r="A132" s="305">
        <f>IF(A131="","",IF((A131+1)&gt;=DATE(YEAR(xJahr)+1,MONTH(xJahr),DAY(xJahr)),"",A131+1))</f>
        <v>43591</v>
      </c>
      <c r="B132" s="306">
        <f>IF(A132="","",A132)</f>
        <v>43591</v>
      </c>
      <c r="C132" s="307">
        <f>IF(A132="","",NumberOfWeek(A132))</f>
        <v>18</v>
      </c>
      <c r="D132" s="308">
        <f>IF(A132="","",DATE(YEAR(A132),MONTH(A132),1))</f>
        <v>43585</v>
      </c>
      <c r="E132" s="318" t="str">
        <f>IF((R132-U132)&gt;XWorkTimeMax,$Z$4,IF(AV132=Feiertag,VLOOKUP(B132,db_Feiertag,2,FALSE),""))</f>
        <v/>
      </c>
      <c r="F132" s="5"/>
      <c r="G132" s="6" t="str">
        <f>IF(ISBLANK(F132),IF(ISBLANK(H132),"",0),CODE(UPPER(F132)))</f>
        <v/>
      </c>
      <c r="H132" s="7"/>
      <c r="I132" s="7">
        <f>IF(H132&gt;0,H132+Y132+X132+AC132,0)</f>
        <v>0</v>
      </c>
      <c r="J132" s="113">
        <f>IF(K132&gt;I132,IF(I132&lt;H132,I132+1,I132)-B_WalkTime,IF(I132&lt;H132,I132+1,I132))</f>
        <v>0</v>
      </c>
      <c r="K132" s="7"/>
      <c r="L132" s="7">
        <f>IF(K132&gt;0,K132+IF((J132-H132)&lt;Y132,Y132-(J132-H132),TIME(0,10,0))+IF((K132-J132)&gt;xNoWorkTime,0,xNoWorkTime-(K132-J132)),0)</f>
        <v>0</v>
      </c>
      <c r="M132" s="113">
        <f>IF(L132&lt;K132,L132+1,L132)</f>
        <v>0</v>
      </c>
      <c r="N132" s="113"/>
      <c r="O132" s="113">
        <f>IF(N132&gt;0,N132+IF((J132-H132+M132-K132)&lt;Y132,Y132-(J132-H132+M132-K132),TIME(0,10,0))+IF((K132-J132+N132-M132)&gt;xNoWorkTime,0,xNoWorkTime-(K132-J132+N132-M132)),0)</f>
        <v>0</v>
      </c>
      <c r="P132" s="113"/>
      <c r="Q132" s="113">
        <f>IF(O132&lt;N132,O132+1,O132)</f>
        <v>0</v>
      </c>
      <c r="R132" s="113">
        <f>J132-H132+M132-K132+Q132-N132</f>
        <v>0</v>
      </c>
      <c r="S132" s="113">
        <f>IF(K132&gt;0,K132-I132,0)+IF(N132&gt;0,N132-L132)</f>
        <v>0</v>
      </c>
      <c r="T132" s="113">
        <f>IF(H132&gt;0,(IF(R132&gt;B_Pause1Nach,B_Pause1Dauer+IF(BA132="Büro",B_WalkTime,0),IF(BA132="Büro",B_WalkTime,0))+IF(R132&gt;B_Pause2Nach,B_Pause2Dauer,0)),0)</f>
        <v>0</v>
      </c>
      <c r="U132" s="113">
        <f>IF(T132&gt;S132,T132-S132,0)</f>
        <v>0</v>
      </c>
      <c r="V132" s="146">
        <f>IF(F132="S",Z132,(IF((R132-U132)&gt;XWorkTimeMax,XWorkTimeMax,IF((R132-U132)&gt;0,R132-U132,0))))</f>
        <v>0</v>
      </c>
      <c r="W132" s="66"/>
      <c r="X132" s="115">
        <f>xNoWorkTime</f>
        <v>4.027777777777778E-2</v>
      </c>
      <c r="Y132" s="110">
        <f>IF(AND((AM132&lt;Feiertag),(G132&lt;&gt;85)),IF(OR(F132="B",F132="G",F132="S",H132&gt;0),H132-H132+Z132,0),0)</f>
        <v>0</v>
      </c>
      <c r="Z132" s="111">
        <f>IF(AND(AM132&gt;0,AM132&lt;Feiertag),INDEX(Arbeitszeit,AM132),"")</f>
        <v>0</v>
      </c>
      <c r="AA132" s="112">
        <f>V132-Y132</f>
        <v>0</v>
      </c>
      <c r="AB132" s="67" t="str">
        <f>IF((V132-Y132)&lt;0,"*","")</f>
        <v/>
      </c>
      <c r="AC132" s="193">
        <f>xOverTime</f>
        <v>0</v>
      </c>
      <c r="AD132" s="144" t="str">
        <f>IF((R132-U132)&gt;XWorkTimeMax,(R132-U132-XWorkTimeMax),"")</f>
        <v/>
      </c>
      <c r="AE132" s="225">
        <f>IF(AW132,(AE131+SUM(AA132)+(IF(AG132="+",AF132,-AF132))),)</f>
        <v>0</v>
      </c>
      <c r="AF132" s="110"/>
      <c r="AG132" s="627"/>
      <c r="AH132" s="110"/>
      <c r="AI132" s="110" t="str">
        <f>IF(AND(AF132&lt;&gt;"",AF132&lt;=V132),V132-AF132,"")</f>
        <v/>
      </c>
      <c r="AJ132" s="68">
        <f>IF(ISNUMBER(V132 ), IF( V132 &gt;= Y132, Y132, V132 ),"")</f>
        <v>0</v>
      </c>
      <c r="AK132" s="68">
        <f>IF( ISNUMBER( V132 ), IF( V132 &gt;= Y132, V132 - Y132, "" ), "" )</f>
        <v>0</v>
      </c>
      <c r="AL132" s="68" t="str">
        <f>IF( AND(ISNUMBER( V132 ),ISNUMBER( Y132 )), IF( V132 &gt;= Y132, "", Y132 - V132 ), "" )</f>
        <v/>
      </c>
      <c r="AM132">
        <f>IF(A132="",0,IF(ISERROR(VLOOKUP(A132,db_Feiertag,2,FALSE)),WEEKDAY(A132,2),Feiertag))</f>
        <v>7</v>
      </c>
      <c r="AN132" s="122">
        <f>SUM($AD$6:AD132)</f>
        <v>0</v>
      </c>
      <c r="AO132" s="122">
        <f ca="1">IF(D132=D131,AO131,OFFSET(AO132,-1,COLUMN(db_jSaldoGes)-COLUMN()))</f>
        <v>0</v>
      </c>
      <c r="AP132" s="126">
        <f>IF(OR($G132=-1,$G132=82),-1,IF(OR($G132=0,$G132=83),1,0))</f>
        <v>0</v>
      </c>
      <c r="AQ132" s="126">
        <f>IF($F132=Krank,1,IF($F132="J",-1,0))</f>
        <v>0</v>
      </c>
      <c r="AR132" s="126">
        <f>IF($F132=Urlaub,1,IF($F132="T",-1,0))</f>
        <v>0</v>
      </c>
      <c r="AS132" s="125">
        <f>IF(A132="","",AS131-IF(F132=Urlaub,1,0)+IF(AND(MONTH(A132)=1,DAY(A132)=1),B_UrlaubNeu,0))</f>
        <v>30</v>
      </c>
      <c r="AT132" s="125">
        <f ca="1">IF(A132="","",IF(D132=D131,AT131,OFFSET(AT132,-1,COLUMN(db_jUrlRest)-COLUMN()))+IF(AND(MONTH(A132)=1,DAY(A132)=1),B_UrlaubNeu,0))</f>
        <v>30</v>
      </c>
      <c r="AU132" s="135">
        <f>(IF(ISNUMBER(V132),V132,0)+IF(ISNUMBER(AD132),AD132,0))*24</f>
        <v>0</v>
      </c>
      <c r="AV132" s="125">
        <f>IF(ISNUMBER(AD132),K_ArbeitOverMax,IF(AND(ISNUMBER(AA132),AA132&gt;0),K_ArbeitOverTime,IF(AND(ISNUMBER(V132),V132&gt;0),K_ArbeitNormal,IF(F132=Krank,K_Krank,IF(F132=Urlaub,K_Urlaub,IF(AM132=Feiertag,K_Feiertag,IF(OR(AM132=6,AM132=7),K_Wochenende,0)))))))+IF(F132=Gleittag,K_Gleittag,0)</f>
        <v>7</v>
      </c>
      <c r="AW132" t="b">
        <f>OR((F132&gt;0),(NOT(ISBLANK(H132))),SUM(H132:H$373),SUM(G132:G$373))</f>
        <v>0</v>
      </c>
      <c r="AX132" t="b">
        <f ca="1">INDIRECT(ADDRESS(ROW(),COLUMN(xDay)))&gt;5</f>
        <v>1</v>
      </c>
      <c r="AY132" s="600">
        <f>IF(OR(R132&lt;&gt;0,F132&lt;&gt;0),AA132,IF(Z132="",0,-Z132))+(IF(AG132="+",AF132,-AF132))</f>
        <v>0</v>
      </c>
      <c r="AZ132" s="225">
        <f>SUM(AY$5:AY132)</f>
        <v>-25.083333333333357</v>
      </c>
      <c r="BA132" s="643"/>
      <c r="BB132" s="658">
        <f>IF(ISNA(MATCH(BA132,B_Arbeitsort,0)),0,MATCH(BA132,B_Arbeitsort,0))</f>
        <v>0</v>
      </c>
      <c r="BC132" s="643"/>
    </row>
    <row r="133" spans="1:55" ht="15.75">
      <c r="A133" s="305">
        <f>IF(A132="","",IF((A132+1)&gt;=DATE(YEAR(xJahr)+1,MONTH(xJahr),DAY(xJahr)),"",A132+1))</f>
        <v>43592</v>
      </c>
      <c r="B133" s="306">
        <f>IF(A133="","",A133)</f>
        <v>43592</v>
      </c>
      <c r="C133" s="307">
        <f>IF(A133="","",NumberOfWeek(A133))</f>
        <v>19</v>
      </c>
      <c r="D133" s="308">
        <f>IF(A133="","",DATE(YEAR(A133),MONTH(A133),1))</f>
        <v>43585</v>
      </c>
      <c r="E133" s="318" t="str">
        <f>IF((R133-U133)&gt;XWorkTimeMax,$Z$4,IF(AV133=Feiertag,VLOOKUP(B133,db_Feiertag,2,FALSE),""))</f>
        <v/>
      </c>
      <c r="F133" s="5"/>
      <c r="G133" s="6" t="str">
        <f>IF(ISBLANK(F133),IF(ISBLANK(H133),"",0),CODE(UPPER(F133)))</f>
        <v/>
      </c>
      <c r="H133" s="7"/>
      <c r="I133" s="7">
        <f>IF(H133&gt;0,H133+Y133+X133+AC133,0)</f>
        <v>0</v>
      </c>
      <c r="J133" s="113">
        <f>IF(K133&gt;I133,IF(I133&lt;H133,I133+1,I133)-B_WalkTime,IF(I133&lt;H133,I133+1,I133))</f>
        <v>0</v>
      </c>
      <c r="K133" s="7"/>
      <c r="L133" s="7">
        <f>IF(K133&gt;0,K133+IF((J133-H133)&lt;Y133,Y133-(J133-H133),TIME(0,10,0))+IF((K133-J133)&gt;xNoWorkTime,0,xNoWorkTime-(K133-J133)),0)</f>
        <v>0</v>
      </c>
      <c r="M133" s="113">
        <f>IF(L133&lt;K133,L133+1,L133)</f>
        <v>0</v>
      </c>
      <c r="N133" s="113"/>
      <c r="O133" s="113">
        <f>IF(N133&gt;0,N133+IF((J133-H133+M133-K133)&lt;Y133,Y133-(J133-H133+M133-K133),TIME(0,10,0))+IF((K133-J133+N133-M133)&gt;xNoWorkTime,0,xNoWorkTime-(K133-J133+N133-M133)),0)</f>
        <v>0</v>
      </c>
      <c r="P133" s="113"/>
      <c r="Q133" s="113">
        <f>IF(O133&lt;N133,O133+1,O133)</f>
        <v>0</v>
      </c>
      <c r="R133" s="113">
        <f>J133-H133+M133-K133+Q133-N133</f>
        <v>0</v>
      </c>
      <c r="S133" s="113">
        <f>IF(K133&gt;0,K133-I133,0)+IF(N133&gt;0,N133-L133)</f>
        <v>0</v>
      </c>
      <c r="T133" s="113">
        <f>IF(H133&gt;0,(IF(R133&gt;B_Pause1Nach,B_Pause1Dauer+IF(BA133="Büro",B_WalkTime,0),IF(BA133="Büro",B_WalkTime,0))+IF(R133&gt;B_Pause2Nach,B_Pause2Dauer,0)),0)</f>
        <v>0</v>
      </c>
      <c r="U133" s="113">
        <f>IF(T133&gt;S133,T133-S133,0)</f>
        <v>0</v>
      </c>
      <c r="V133" s="146">
        <f>IF(F133="S",Z133,(IF((R133-U133)&gt;XWorkTimeMax,XWorkTimeMax,IF((R133-U133)&gt;0,R133-U133,0))))</f>
        <v>0</v>
      </c>
      <c r="W133" s="66"/>
      <c r="X133" s="115">
        <f>xNoWorkTime</f>
        <v>4.027777777777778E-2</v>
      </c>
      <c r="Y133" s="110">
        <f>IF(AND((AM133&lt;Feiertag),(G133&lt;&gt;85)),IF(OR(F133="B",F133="G",F133="S",H133&gt;0),H133-H133+Z133,0),0)</f>
        <v>0</v>
      </c>
      <c r="Z133" s="111">
        <f>IF(AND(AM133&gt;0,AM133&lt;Feiertag),INDEX(Arbeitszeit,AM133),"")</f>
        <v>0.29166666666666669</v>
      </c>
      <c r="AA133" s="112">
        <f>V133-Y133</f>
        <v>0</v>
      </c>
      <c r="AB133" s="67" t="str">
        <f>IF((V133-Y133)&lt;0,"*","")</f>
        <v/>
      </c>
      <c r="AC133" s="193">
        <f>xOverTime</f>
        <v>0</v>
      </c>
      <c r="AD133" s="144" t="str">
        <f>IF((R133-U133)&gt;XWorkTimeMax,(R133-U133-XWorkTimeMax),"")</f>
        <v/>
      </c>
      <c r="AE133" s="225">
        <f>IF(AW133,(AE132+SUM(AA133)+(IF(AG133="+",AF133,-AF133))),)</f>
        <v>0</v>
      </c>
      <c r="AF133" s="110"/>
      <c r="AG133" s="627"/>
      <c r="AH133" s="110"/>
      <c r="AI133" s="110" t="str">
        <f>IF(AND(AF133&lt;&gt;"",AF133&lt;=V133),V133-AF133,"")</f>
        <v/>
      </c>
      <c r="AJ133" s="68">
        <f>IF(ISNUMBER(V133 ), IF( V133 &gt;= Y133, Y133, V133 ),"")</f>
        <v>0</v>
      </c>
      <c r="AK133" s="68">
        <f>IF( ISNUMBER( V133 ), IF( V133 &gt;= Y133, V133 - Y133, "" ), "" )</f>
        <v>0</v>
      </c>
      <c r="AL133" s="68" t="str">
        <f>IF( AND(ISNUMBER( V133 ),ISNUMBER( Y133 )), IF( V133 &gt;= Y133, "", Y133 - V133 ), "" )</f>
        <v/>
      </c>
      <c r="AM133">
        <f>IF(A133="",0,IF(ISERROR(VLOOKUP(A133,db_Feiertag,2,FALSE)),WEEKDAY(A133,2),Feiertag))</f>
        <v>1</v>
      </c>
      <c r="AN133" s="122">
        <f>SUM($AD$6:AD133)</f>
        <v>0</v>
      </c>
      <c r="AO133" s="122">
        <f ca="1">IF(D133=D132,AO132,OFFSET(AO133,-1,COLUMN(db_jSaldoGes)-COLUMN()))</f>
        <v>0</v>
      </c>
      <c r="AP133" s="126">
        <f>IF(OR($G133=-1,$G133=82),-1,IF(OR($G133=0,$G133=83),1,0))</f>
        <v>0</v>
      </c>
      <c r="AQ133" s="126">
        <f>IF($F133=Krank,1,IF($F133="J",-1,0))</f>
        <v>0</v>
      </c>
      <c r="AR133" s="126">
        <f>IF($F133=Urlaub,1,IF($F133="T",-1,0))</f>
        <v>0</v>
      </c>
      <c r="AS133" s="125">
        <f>IF(A133="","",AS132-IF(F133=Urlaub,1,0)+IF(AND(MONTH(A133)=1,DAY(A133)=1),B_UrlaubNeu,0))</f>
        <v>30</v>
      </c>
      <c r="AT133" s="125">
        <f ca="1">IF(A133="","",IF(D133=D132,AT132,OFFSET(AT133,-1,COLUMN(db_jUrlRest)-COLUMN()))+IF(AND(MONTH(A133)=1,DAY(A133)=1),B_UrlaubNeu,0))</f>
        <v>30</v>
      </c>
      <c r="AU133" s="135">
        <f>(IF(ISNUMBER(V133),V133,0)+IF(ISNUMBER(AD133),AD133,0))*24</f>
        <v>0</v>
      </c>
      <c r="AV133" s="125">
        <f>IF(ISNUMBER(AD133),K_ArbeitOverMax,IF(AND(ISNUMBER(AA133),AA133&gt;0),K_ArbeitOverTime,IF(AND(ISNUMBER(V133),V133&gt;0),K_ArbeitNormal,IF(F133=Krank,K_Krank,IF(F133=Urlaub,K_Urlaub,IF(AM133=Feiertag,K_Feiertag,IF(OR(AM133=6,AM133=7),K_Wochenende,0)))))))+IF(F133=Gleittag,K_Gleittag,0)</f>
        <v>0</v>
      </c>
      <c r="AW133" t="b">
        <f>OR((F133&gt;0),(NOT(ISBLANK(H133))),SUM(H133:H$373),SUM(G133:G$373))</f>
        <v>0</v>
      </c>
      <c r="AX133" t="b">
        <f ca="1">INDIRECT(ADDRESS(ROW(),COLUMN(xDay)))&gt;5</f>
        <v>0</v>
      </c>
      <c r="AY133" s="600">
        <f>IF(OR(R133&lt;&gt;0,F133&lt;&gt;0),AA133,IF(Z133="",0,-Z133))+(IF(AG133="+",AF133,-AF133))</f>
        <v>-0.29166666666666669</v>
      </c>
      <c r="AZ133" s="225">
        <f>SUM(AY$5:AY133)</f>
        <v>-25.375000000000025</v>
      </c>
      <c r="BA133" s="658"/>
      <c r="BB133" s="658">
        <f>IF(ISNA(MATCH(BA133,B_Arbeitsort,0)),0,MATCH(BA133,B_Arbeitsort,0))</f>
        <v>0</v>
      </c>
      <c r="BC133" s="658"/>
    </row>
    <row r="134" spans="1:55" ht="15.75">
      <c r="A134" s="305">
        <f>IF(A133="","",IF((A133+1)&gt;=DATE(YEAR(xJahr)+1,MONTH(xJahr),DAY(xJahr)),"",A133+1))</f>
        <v>43593</v>
      </c>
      <c r="B134" s="306">
        <f>IF(A134="","",A134)</f>
        <v>43593</v>
      </c>
      <c r="C134" s="307">
        <f>IF(A134="","",NumberOfWeek(A134))</f>
        <v>19</v>
      </c>
      <c r="D134" s="308">
        <f>IF(A134="","",DATE(YEAR(A134),MONTH(A134),1))</f>
        <v>43585</v>
      </c>
      <c r="E134" s="318" t="str">
        <f>IF((R134-U134)&gt;XWorkTimeMax,$Z$4,IF(AV134=Feiertag,VLOOKUP(B134,db_Feiertag,2,FALSE),""))</f>
        <v/>
      </c>
      <c r="F134" s="5"/>
      <c r="G134" s="6" t="str">
        <f>IF(ISBLANK(F134),IF(ISBLANK(H134),"",0),CODE(UPPER(F134)))</f>
        <v/>
      </c>
      <c r="H134" s="7"/>
      <c r="I134" s="7">
        <f>IF(H134&gt;0,H134+Y134+X134+AC134,0)</f>
        <v>0</v>
      </c>
      <c r="J134" s="113">
        <f>IF(K134&gt;I134,IF(I134&lt;H134,I134+1,I134)-B_WalkTime,IF(I134&lt;H134,I134+1,I134))</f>
        <v>0</v>
      </c>
      <c r="K134" s="7"/>
      <c r="L134" s="7">
        <f>IF(K134&gt;0,K134+IF((J134-H134)&lt;Y134,Y134-(J134-H134),TIME(0,10,0))+IF((K134-J134)&gt;xNoWorkTime,0,xNoWorkTime-(K134-J134)),0)</f>
        <v>0</v>
      </c>
      <c r="M134" s="113">
        <f>IF(L134&lt;K134,L134+1,L134)</f>
        <v>0</v>
      </c>
      <c r="N134" s="113"/>
      <c r="O134" s="113">
        <f>IF(N134&gt;0,N134+IF((J134-H134+M134-K134)&lt;Y134,Y134-(J134-H134+M134-K134),TIME(0,10,0))+IF((K134-J134+N134-M134)&gt;xNoWorkTime,0,xNoWorkTime-(K134-J134+N134-M134)),0)</f>
        <v>0</v>
      </c>
      <c r="P134" s="113"/>
      <c r="Q134" s="113">
        <f>IF(O134&lt;N134,O134+1,O134)</f>
        <v>0</v>
      </c>
      <c r="R134" s="113">
        <f>J134-H134+M134-K134+Q134-N134</f>
        <v>0</v>
      </c>
      <c r="S134" s="113">
        <f>IF(K134&gt;0,K134-I134,0)+IF(N134&gt;0,N134-L134)</f>
        <v>0</v>
      </c>
      <c r="T134" s="113">
        <f>IF(H134&gt;0,(IF(R134&gt;B_Pause1Nach,B_Pause1Dauer+IF(BA134="Büro",B_WalkTime,0),IF(BA134="Büro",B_WalkTime,0))+IF(R134&gt;B_Pause2Nach,B_Pause2Dauer,0)),0)</f>
        <v>0</v>
      </c>
      <c r="U134" s="113">
        <f>IF(T134&gt;S134,T134-S134,0)</f>
        <v>0</v>
      </c>
      <c r="V134" s="146">
        <f>IF(F134="S",Z134,(IF((R134-U134)&gt;XWorkTimeMax,XWorkTimeMax,IF((R134-U134)&gt;0,R134-U134,0))))</f>
        <v>0</v>
      </c>
      <c r="W134" s="66"/>
      <c r="X134" s="115">
        <f>xNoWorkTime</f>
        <v>4.027777777777778E-2</v>
      </c>
      <c r="Y134" s="110">
        <f>IF(AND((AM134&lt;Feiertag),(G134&lt;&gt;85)),IF(OR(F134="B",F134="G",F134="S",H134&gt;0),H134-H134+Z134,0),0)</f>
        <v>0</v>
      </c>
      <c r="Z134" s="111">
        <f>IF(AND(AM134&gt;0,AM134&lt;Feiertag),INDEX(Arbeitszeit,AM134),"")</f>
        <v>0.29166666666666669</v>
      </c>
      <c r="AA134" s="112">
        <f>V134-Y134</f>
        <v>0</v>
      </c>
      <c r="AB134" s="67" t="str">
        <f>IF((V134-Y134)&lt;0,"*","")</f>
        <v/>
      </c>
      <c r="AC134" s="193">
        <f>xOverTime</f>
        <v>0</v>
      </c>
      <c r="AD134" s="144" t="str">
        <f>IF((R134-U134)&gt;XWorkTimeMax,(R134-U134-XWorkTimeMax),"")</f>
        <v/>
      </c>
      <c r="AE134" s="225">
        <f>IF(AW134,(AE133+SUM(AA134)+(IF(AG134="+",AF134,-AF134))),)</f>
        <v>0</v>
      </c>
      <c r="AF134" s="110"/>
      <c r="AG134" s="627"/>
      <c r="AH134" s="110"/>
      <c r="AI134" s="110" t="str">
        <f>IF(AND(AF134&lt;&gt;"",AF134&lt;=V134),V134-AF134,"")</f>
        <v/>
      </c>
      <c r="AJ134" s="68">
        <f>IF(ISNUMBER(V134 ), IF( V134 &gt;= Y134, Y134, V134 ),"")</f>
        <v>0</v>
      </c>
      <c r="AK134" s="68">
        <f>IF( ISNUMBER( V134 ), IF( V134 &gt;= Y134, V134 - Y134, "" ), "" )</f>
        <v>0</v>
      </c>
      <c r="AL134" s="68" t="str">
        <f>IF( AND(ISNUMBER( V134 ),ISNUMBER( Y134 )), IF( V134 &gt;= Y134, "", Y134 - V134 ), "" )</f>
        <v/>
      </c>
      <c r="AM134">
        <f>IF(A134="",0,IF(ISERROR(VLOOKUP(A134,db_Feiertag,2,FALSE)),WEEKDAY(A134,2),Feiertag))</f>
        <v>2</v>
      </c>
      <c r="AN134" s="122">
        <f>SUM($AD$6:AD134)</f>
        <v>0</v>
      </c>
      <c r="AO134" s="122">
        <f ca="1">IF(D134=D133,AO133,OFFSET(AO134,-1,COLUMN(db_jSaldoGes)-COLUMN()))</f>
        <v>0</v>
      </c>
      <c r="AP134" s="126">
        <f>IF(OR($G134=-1,$G134=82),-1,IF(OR($G134=0,$G134=83),1,0))</f>
        <v>0</v>
      </c>
      <c r="AQ134" s="126">
        <f>IF($F134=Krank,1,IF($F134="J",-1,0))</f>
        <v>0</v>
      </c>
      <c r="AR134" s="126">
        <f>IF($F134=Urlaub,1,IF($F134="T",-1,0))</f>
        <v>0</v>
      </c>
      <c r="AS134" s="125">
        <f>IF(A134="","",AS133-IF(F134=Urlaub,1,0)+IF(AND(MONTH(A134)=1,DAY(A134)=1),B_UrlaubNeu,0))</f>
        <v>30</v>
      </c>
      <c r="AT134" s="125">
        <f ca="1">IF(A134="","",IF(D134=D133,AT133,OFFSET(AT134,-1,COLUMN(db_jUrlRest)-COLUMN()))+IF(AND(MONTH(A134)=1,DAY(A134)=1),B_UrlaubNeu,0))</f>
        <v>30</v>
      </c>
      <c r="AU134" s="135">
        <f>(IF(ISNUMBER(V134),V134,0)+IF(ISNUMBER(AD134),AD134,0))*24</f>
        <v>0</v>
      </c>
      <c r="AV134" s="125">
        <f>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ca="1">INDIRECT(ADDRESS(ROW(),COLUMN(xDay)))&gt;5</f>
        <v>0</v>
      </c>
      <c r="AY134" s="600">
        <f>IF(OR(R134&lt;&gt;0,F134&lt;&gt;0),AA134,IF(Z134="",0,-Z134))+(IF(AG134="+",AF134,-AF134))</f>
        <v>-0.29166666666666669</v>
      </c>
      <c r="AZ134" s="225">
        <f>SUM(AY$5:AY134)</f>
        <v>-25.666666666666693</v>
      </c>
      <c r="BA134" s="658"/>
      <c r="BB134" s="658">
        <f>IF(ISNA(MATCH(BA134,B_Arbeitsort,0)),0,MATCH(BA134,B_Arbeitsort,0))</f>
        <v>0</v>
      </c>
      <c r="BC134" s="658"/>
    </row>
    <row r="135" spans="1:55" ht="15.75">
      <c r="A135" s="305">
        <f>IF(A134="","",IF((A134+1)&gt;=DATE(YEAR(xJahr)+1,MONTH(xJahr),DAY(xJahr)),"",A134+1))</f>
        <v>43594</v>
      </c>
      <c r="B135" s="306">
        <f>IF(A135="","",A135)</f>
        <v>43594</v>
      </c>
      <c r="C135" s="307">
        <f>IF(A135="","",NumberOfWeek(A135))</f>
        <v>19</v>
      </c>
      <c r="D135" s="308">
        <f>IF(A135="","",DATE(YEAR(A135),MONTH(A135),1))</f>
        <v>43585</v>
      </c>
      <c r="E135" s="318" t="str">
        <f>IF((R135-U135)&gt;XWorkTimeMax,$Z$4,IF(AV135=Feiertag,VLOOKUP(B135,db_Feiertag,2,FALSE),""))</f>
        <v/>
      </c>
      <c r="F135" s="5"/>
      <c r="G135" s="6" t="str">
        <f>IF(ISBLANK(F135),IF(ISBLANK(H135),"",0),CODE(UPPER(F135)))</f>
        <v/>
      </c>
      <c r="H135" s="7"/>
      <c r="I135" s="7">
        <f>IF(H135&gt;0,H135+Y135+X135+AC135,0)</f>
        <v>0</v>
      </c>
      <c r="J135" s="113">
        <f>IF(K135&gt;I135,IF(I135&lt;H135,I135+1,I135)-B_WalkTime,IF(I135&lt;H135,I135+1,I135))</f>
        <v>0</v>
      </c>
      <c r="K135" s="7"/>
      <c r="L135" s="7">
        <f>IF(K135&gt;0,K135+IF((J135-H135)&lt;Y135,Y135-(J135-H135),TIME(0,10,0))+IF((K135-J135)&gt;xNoWorkTime,0,xNoWorkTime-(K135-J135)),0)</f>
        <v>0</v>
      </c>
      <c r="M135" s="113">
        <f>IF(L135&lt;K135,L135+1,L135)</f>
        <v>0</v>
      </c>
      <c r="N135" s="113"/>
      <c r="O135" s="113">
        <f>IF(N135&gt;0,N135+IF((J135-H135+M135-K135)&lt;Y135,Y135-(J135-H135+M135-K135),TIME(0,10,0))+IF((K135-J135+N135-M135)&gt;xNoWorkTime,0,xNoWorkTime-(K135-J135+N135-M135)),0)</f>
        <v>0</v>
      </c>
      <c r="P135" s="113"/>
      <c r="Q135" s="113">
        <f>IF(O135&lt;N135,O135+1,O135)</f>
        <v>0</v>
      </c>
      <c r="R135" s="113">
        <f>J135-H135+M135-K135+Q135-N135</f>
        <v>0</v>
      </c>
      <c r="S135" s="113">
        <f>IF(K135&gt;0,K135-I135,0)+IF(N135&gt;0,N135-L135)</f>
        <v>0</v>
      </c>
      <c r="T135" s="113">
        <f>IF(H135&gt;0,(IF(R135&gt;B_Pause1Nach,B_Pause1Dauer+IF(BA135="Büro",B_WalkTime,0),IF(BA135="Büro",B_WalkTime,0))+IF(R135&gt;B_Pause2Nach,B_Pause2Dauer,0)),0)</f>
        <v>0</v>
      </c>
      <c r="U135" s="113">
        <f>IF(T135&gt;S135,T135-S135,0)</f>
        <v>0</v>
      </c>
      <c r="V135" s="146">
        <f>IF(F135="S",Z135,(IF((R135-U135)&gt;XWorkTimeMax,XWorkTimeMax,IF((R135-U135)&gt;0,R135-U135,0))))</f>
        <v>0</v>
      </c>
      <c r="W135" s="66"/>
      <c r="X135" s="115">
        <f>xNoWorkTime</f>
        <v>4.027777777777778E-2</v>
      </c>
      <c r="Y135" s="110">
        <f>IF(AND((AM135&lt;Feiertag),(G135&lt;&gt;85)),IF(OR(F135="B",F135="G",F135="S",H135&gt;0),H135-H135+Z135,0),0)</f>
        <v>0</v>
      </c>
      <c r="Z135" s="111">
        <f>IF(AND(AM135&gt;0,AM135&lt;Feiertag),INDEX(Arbeitszeit,AM135),"")</f>
        <v>0.29166666666666669</v>
      </c>
      <c r="AA135" s="112">
        <f>V135-Y135</f>
        <v>0</v>
      </c>
      <c r="AB135" s="67" t="str">
        <f>IF((V135-Y135)&lt;0,"*","")</f>
        <v/>
      </c>
      <c r="AC135" s="193">
        <f>xOverTime</f>
        <v>0</v>
      </c>
      <c r="AD135" s="144" t="str">
        <f>IF((R135-U135)&gt;XWorkTimeMax,(R135-U135-XWorkTimeMax),"")</f>
        <v/>
      </c>
      <c r="AE135" s="225">
        <f>IF(AW135,(AE134+SUM(AA135)+(IF(AG135="+",AF135,-AF135))),)</f>
        <v>0</v>
      </c>
      <c r="AF135" s="110"/>
      <c r="AG135" s="627"/>
      <c r="AH135" s="110"/>
      <c r="AI135" s="110" t="str">
        <f>IF(AND(AF135&lt;&gt;"",AF135&lt;=V135),V135-AF135,"")</f>
        <v/>
      </c>
      <c r="AJ135" s="68">
        <f>IF(ISNUMBER(V135 ), IF( V135 &gt;= Y135, Y135, V135 ),"")</f>
        <v>0</v>
      </c>
      <c r="AK135" s="68">
        <f>IF( ISNUMBER( V135 ), IF( V135 &gt;= Y135, V135 - Y135, "" ), "" )</f>
        <v>0</v>
      </c>
      <c r="AL135" s="68" t="str">
        <f>IF( AND(ISNUMBER( V135 ),ISNUMBER( Y135 )), IF( V135 &gt;= Y135, "", Y135 - V135 ), "" )</f>
        <v/>
      </c>
      <c r="AM135">
        <f>IF(A135="",0,IF(ISERROR(VLOOKUP(A135,db_Feiertag,2,FALSE)),WEEKDAY(A135,2),Feiertag))</f>
        <v>3</v>
      </c>
      <c r="AN135" s="122">
        <f>SUM($AD$6:AD135)</f>
        <v>0</v>
      </c>
      <c r="AO135" s="122">
        <f ca="1">IF(D135=D134,AO134,OFFSET(AO135,-1,COLUMN(db_jSaldoGes)-COLUMN()))</f>
        <v>0</v>
      </c>
      <c r="AP135" s="126">
        <f>IF(OR($G135=-1,$G135=82),-1,IF(OR($G135=0,$G135=83),1,0))</f>
        <v>0</v>
      </c>
      <c r="AQ135" s="126">
        <f>IF($F135=Krank,1,IF($F135="J",-1,0))</f>
        <v>0</v>
      </c>
      <c r="AR135" s="126">
        <f>IF($F135=Urlaub,1,IF($F135="T",-1,0))</f>
        <v>0</v>
      </c>
      <c r="AS135" s="125">
        <f>IF(A135="","",AS134-IF(F135=Urlaub,1,0)+IF(AND(MONTH(A135)=1,DAY(A135)=1),B_UrlaubNeu,0))</f>
        <v>30</v>
      </c>
      <c r="AT135" s="125">
        <f ca="1">IF(A135="","",IF(D135=D134,AT134,OFFSET(AT135,-1,COLUMN(db_jUrlRest)-COLUMN()))+IF(AND(MONTH(A135)=1,DAY(A135)=1),B_UrlaubNeu,0))</f>
        <v>30</v>
      </c>
      <c r="AU135" s="135">
        <f>(IF(ISNUMBER(V135),V135,0)+IF(ISNUMBER(AD135),AD135,0))*24</f>
        <v>0</v>
      </c>
      <c r="AV135" s="125">
        <f>IF(ISNUMBER(AD135),K_ArbeitOverMax,IF(AND(ISNUMBER(AA135),AA135&gt;0),K_ArbeitOverTime,IF(AND(ISNUMBER(V135),V135&gt;0),K_ArbeitNormal,IF(F135=Krank,K_Krank,IF(F135=Urlaub,K_Urlaub,IF(AM135=Feiertag,K_Feiertag,IF(OR(AM135=6,AM135=7),K_Wochenende,0)))))))+IF(F135=Gleittag,K_Gleittag,0)</f>
        <v>0</v>
      </c>
      <c r="AW135" t="b">
        <f>OR((F135&gt;0),(NOT(ISBLANK(H135))),SUM(H135:H$373),SUM(G135:G$373))</f>
        <v>0</v>
      </c>
      <c r="AX135" t="b">
        <f ca="1">INDIRECT(ADDRESS(ROW(),COLUMN(xDay)))&gt;5</f>
        <v>0</v>
      </c>
      <c r="AY135" s="600">
        <f>IF(OR(R135&lt;&gt;0,F135&lt;&gt;0),AA135,IF(Z135="",0,-Z135))+(IF(AG135="+",AF135,-AF135))</f>
        <v>-0.29166666666666669</v>
      </c>
      <c r="AZ135" s="225">
        <f>SUM(AY$5:AY135)</f>
        <v>-25.958333333333361</v>
      </c>
      <c r="BA135" s="658"/>
      <c r="BB135" s="658">
        <f>IF(ISNA(MATCH(BA135,B_Arbeitsort,0)),0,MATCH(BA135,B_Arbeitsort,0))</f>
        <v>0</v>
      </c>
      <c r="BC135" s="658"/>
    </row>
    <row r="136" spans="1:55" ht="15.75">
      <c r="A136" s="305">
        <f>IF(A135="","",IF((A135+1)&gt;=DATE(YEAR(xJahr)+1,MONTH(xJahr),DAY(xJahr)),"",A135+1))</f>
        <v>43595</v>
      </c>
      <c r="B136" s="306">
        <f>IF(A136="","",A136)</f>
        <v>43595</v>
      </c>
      <c r="C136" s="307">
        <f>IF(A136="","",NumberOfWeek(A136))</f>
        <v>19</v>
      </c>
      <c r="D136" s="308">
        <f>IF(A136="","",DATE(YEAR(A136),MONTH(A136),1))</f>
        <v>43585</v>
      </c>
      <c r="E136" s="318" t="str">
        <f>IF((R136-U136)&gt;XWorkTimeMax,$Z$4,IF(AV136=Feiertag,VLOOKUP(B136,db_Feiertag,2,FALSE),""))</f>
        <v/>
      </c>
      <c r="F136" s="5"/>
      <c r="G136" s="6" t="str">
        <f>IF(ISBLANK(F136),IF(ISBLANK(H136),"",0),CODE(UPPER(F136)))</f>
        <v/>
      </c>
      <c r="H136" s="7"/>
      <c r="I136" s="7">
        <f>IF(H136&gt;0,H136+Y136+X136+AC136,0)</f>
        <v>0</v>
      </c>
      <c r="J136" s="113">
        <f>IF(K136&gt;I136,IF(I136&lt;H136,I136+1,I136)-B_WalkTime,IF(I136&lt;H136,I136+1,I136))</f>
        <v>0</v>
      </c>
      <c r="K136" s="7"/>
      <c r="L136" s="7">
        <f>IF(K136&gt;0,K136+IF((J136-H136)&lt;Y136,Y136-(J136-H136),TIME(0,10,0))+IF((K136-J136)&gt;xNoWorkTime,0,xNoWorkTime-(K136-J136)),0)</f>
        <v>0</v>
      </c>
      <c r="M136" s="113">
        <f>IF(L136&lt;K136,L136+1,L136)</f>
        <v>0</v>
      </c>
      <c r="N136" s="113"/>
      <c r="O136" s="113">
        <f>IF(N136&gt;0,N136+IF((J136-H136+M136-K136)&lt;Y136,Y136-(J136-H136+M136-K136),TIME(0,10,0))+IF((K136-J136+N136-M136)&gt;xNoWorkTime,0,xNoWorkTime-(K136-J136+N136-M136)),0)</f>
        <v>0</v>
      </c>
      <c r="P136" s="113"/>
      <c r="Q136" s="113">
        <f>IF(O136&lt;N136,O136+1,O136)</f>
        <v>0</v>
      </c>
      <c r="R136" s="113">
        <f>J136-H136+M136-K136+Q136-N136</f>
        <v>0</v>
      </c>
      <c r="S136" s="113">
        <f>IF(K136&gt;0,K136-I136,0)+IF(N136&gt;0,N136-L136)</f>
        <v>0</v>
      </c>
      <c r="T136" s="113">
        <f>IF(H136&gt;0,(IF(R136&gt;B_Pause1Nach,B_Pause1Dauer+IF(BA136="Büro",B_WalkTime,0),IF(BA136="Büro",B_WalkTime,0))+IF(R136&gt;B_Pause2Nach,B_Pause2Dauer,0)),0)</f>
        <v>0</v>
      </c>
      <c r="U136" s="113">
        <f>IF(T136&gt;S136,T136-S136,0)</f>
        <v>0</v>
      </c>
      <c r="V136" s="146">
        <f>IF(F136="S",Z136,(IF((R136-U136)&gt;XWorkTimeMax,XWorkTimeMax,IF((R136-U136)&gt;0,R136-U136,0))))</f>
        <v>0</v>
      </c>
      <c r="W136" s="66"/>
      <c r="X136" s="115">
        <f>xNoWorkTime</f>
        <v>4.027777777777778E-2</v>
      </c>
      <c r="Y136" s="110">
        <f>IF(AND((AM136&lt;Feiertag),(G136&lt;&gt;85)),IF(OR(F136="B",F136="G",F136="S",H136&gt;0),H136-H136+Z136,0),0)</f>
        <v>0</v>
      </c>
      <c r="Z136" s="111">
        <f>IF(AND(AM136&gt;0,AM136&lt;Feiertag),INDEX(Arbeitszeit,AM136),"")</f>
        <v>0.29166666666666669</v>
      </c>
      <c r="AA136" s="112">
        <f>V136-Y136</f>
        <v>0</v>
      </c>
      <c r="AB136" s="67" t="str">
        <f>IF((V136-Y136)&lt;0,"*","")</f>
        <v/>
      </c>
      <c r="AC136" s="193">
        <f>xOverTime</f>
        <v>0</v>
      </c>
      <c r="AD136" s="144" t="str">
        <f>IF((R136-U136)&gt;XWorkTimeMax,(R136-U136-XWorkTimeMax),"")</f>
        <v/>
      </c>
      <c r="AE136" s="225">
        <f>IF(AW136,(AE135+SUM(AA136)+(IF(AG136="+",AF136,-AF136))),)</f>
        <v>0</v>
      </c>
      <c r="AF136" s="110"/>
      <c r="AG136" s="627"/>
      <c r="AH136" s="110"/>
      <c r="AI136" s="110" t="str">
        <f>IF(AND(AF136&lt;&gt;"",AF136&lt;=V136),V136-AF136,"")</f>
        <v/>
      </c>
      <c r="AJ136" s="68">
        <f>IF(ISNUMBER(V136 ), IF( V136 &gt;= Y136, Y136, V136 ),"")</f>
        <v>0</v>
      </c>
      <c r="AK136" s="68">
        <f>IF( ISNUMBER( V136 ), IF( V136 &gt;= Y136, V136 - Y136, "" ), "" )</f>
        <v>0</v>
      </c>
      <c r="AL136" s="68" t="str">
        <f>IF( AND(ISNUMBER( V136 ),ISNUMBER( Y136 )), IF( V136 &gt;= Y136, "", Y136 - V136 ), "" )</f>
        <v/>
      </c>
      <c r="AM136">
        <f>IF(A136="",0,IF(ISERROR(VLOOKUP(A136,db_Feiertag,2,FALSE)),WEEKDAY(A136,2),Feiertag))</f>
        <v>4</v>
      </c>
      <c r="AN136" s="122">
        <f>SUM($AD$6:AD136)</f>
        <v>0</v>
      </c>
      <c r="AO136" s="122">
        <f ca="1">IF(D136=D135,AO135,OFFSET(AO136,-1,COLUMN(db_jSaldoGes)-COLUMN()))</f>
        <v>0</v>
      </c>
      <c r="AP136" s="126">
        <f>IF(OR($G136=-1,$G136=82),-1,IF(OR($G136=0,$G136=83),1,0))</f>
        <v>0</v>
      </c>
      <c r="AQ136" s="126">
        <f>IF($F136=Krank,1,IF($F136="J",-1,0))</f>
        <v>0</v>
      </c>
      <c r="AR136" s="126">
        <f>IF($F136=Urlaub,1,IF($F136="T",-1,0))</f>
        <v>0</v>
      </c>
      <c r="AS136" s="125">
        <f>IF(A136="","",AS135-IF(F136=Urlaub,1,0)+IF(AND(MONTH(A136)=1,DAY(A136)=1),B_UrlaubNeu,0))</f>
        <v>30</v>
      </c>
      <c r="AT136" s="125">
        <f ca="1">IF(A136="","",IF(D136=D135,AT135,OFFSET(AT136,-1,COLUMN(db_jUrlRest)-COLUMN()))+IF(AND(MONTH(A136)=1,DAY(A136)=1),B_UrlaubNeu,0))</f>
        <v>30</v>
      </c>
      <c r="AU136" s="135">
        <f>(IF(ISNUMBER(V136),V136,0)+IF(ISNUMBER(AD136),AD136,0))*24</f>
        <v>0</v>
      </c>
      <c r="AV136" s="125">
        <f>IF(ISNUMBER(AD136),K_ArbeitOverMax,IF(AND(ISNUMBER(AA136),AA136&gt;0),K_ArbeitOverTime,IF(AND(ISNUMBER(V136),V136&gt;0),K_ArbeitNormal,IF(F136=Krank,K_Krank,IF(F136=Urlaub,K_Urlaub,IF(AM136=Feiertag,K_Feiertag,IF(OR(AM136=6,AM136=7),K_Wochenende,0)))))))+IF(F136=Gleittag,K_Gleittag,0)</f>
        <v>0</v>
      </c>
      <c r="AW136" t="b">
        <f>OR((F136&gt;0),(NOT(ISBLANK(H136))),SUM(H136:H$373),SUM(G136:G$373))</f>
        <v>0</v>
      </c>
      <c r="AX136" t="b">
        <f ca="1">INDIRECT(ADDRESS(ROW(),COLUMN(xDay)))&gt;5</f>
        <v>0</v>
      </c>
      <c r="AY136" s="600">
        <f>IF(OR(R136&lt;&gt;0,F136&lt;&gt;0),AA136,IF(Z136="",0,-Z136))+(IF(AG136="+",AF136,-AF136))</f>
        <v>-0.29166666666666669</v>
      </c>
      <c r="AZ136" s="225">
        <f>SUM(AY$5:AY136)</f>
        <v>-26.250000000000028</v>
      </c>
      <c r="BA136" s="658"/>
      <c r="BB136" s="658">
        <f>IF(ISNA(MATCH(BA136,B_Arbeitsort,0)),0,MATCH(BA136,B_Arbeitsort,0))</f>
        <v>0</v>
      </c>
      <c r="BC136" s="658"/>
    </row>
    <row r="137" spans="1:55" ht="15.75">
      <c r="A137" s="305">
        <f>IF(A136="","",IF((A136+1)&gt;=DATE(YEAR(xJahr)+1,MONTH(xJahr),DAY(xJahr)),"",A136+1))</f>
        <v>43596</v>
      </c>
      <c r="B137" s="306">
        <f>IF(A137="","",A137)</f>
        <v>43596</v>
      </c>
      <c r="C137" s="307">
        <f>IF(A137="","",NumberOfWeek(A137))</f>
        <v>19</v>
      </c>
      <c r="D137" s="308">
        <f>IF(A137="","",DATE(YEAR(A137),MONTH(A137),1))</f>
        <v>43585</v>
      </c>
      <c r="E137" s="318" t="str">
        <f>IF((R137-U137)&gt;XWorkTimeMax,$Z$4,IF(AV137=Feiertag,VLOOKUP(B137,db_Feiertag,2,FALSE),""))</f>
        <v/>
      </c>
      <c r="F137" s="5"/>
      <c r="G137" s="6" t="str">
        <f>IF(ISBLANK(F137),IF(ISBLANK(H137),"",0),CODE(UPPER(F137)))</f>
        <v/>
      </c>
      <c r="H137" s="7"/>
      <c r="I137" s="7">
        <f>IF(H137&gt;0,H137+Y137+X137+AC137,0)</f>
        <v>0</v>
      </c>
      <c r="J137" s="113">
        <f>IF(K137&gt;I137,IF(I137&lt;H137,I137+1,I137)-B_WalkTime,IF(I137&lt;H137,I137+1,I137))</f>
        <v>0</v>
      </c>
      <c r="K137" s="7"/>
      <c r="L137" s="7">
        <f>IF(K137&gt;0,K137+IF((J137-H137)&lt;Y137,Y137-(J137-H137),TIME(0,10,0))+IF((K137-J137)&gt;xNoWorkTime,0,xNoWorkTime-(K137-J137)),0)</f>
        <v>0</v>
      </c>
      <c r="M137" s="113">
        <f>IF(L137&lt;K137,L137+1,L137)</f>
        <v>0</v>
      </c>
      <c r="N137" s="113"/>
      <c r="O137" s="113">
        <f>IF(N137&gt;0,N137+IF((J137-H137+M137-K137)&lt;Y137,Y137-(J137-H137+M137-K137),TIME(0,10,0))+IF((K137-J137+N137-M137)&gt;xNoWorkTime,0,xNoWorkTime-(K137-J137+N137-M137)),0)</f>
        <v>0</v>
      </c>
      <c r="P137" s="113"/>
      <c r="Q137" s="113">
        <f>IF(O137&lt;N137,O137+1,O137)</f>
        <v>0</v>
      </c>
      <c r="R137" s="113">
        <f>J137-H137+M137-K137+Q137-N137</f>
        <v>0</v>
      </c>
      <c r="S137" s="113">
        <f>IF(K137&gt;0,K137-I137,0)+IF(N137&gt;0,N137-L137)</f>
        <v>0</v>
      </c>
      <c r="T137" s="113">
        <f>IF(H137&gt;0,(IF(R137&gt;B_Pause1Nach,B_Pause1Dauer+IF(BA137="Büro",B_WalkTime,0),IF(BA137="Büro",B_WalkTime,0))+IF(R137&gt;B_Pause2Nach,B_Pause2Dauer,0)),0)</f>
        <v>0</v>
      </c>
      <c r="U137" s="113">
        <f>IF(T137&gt;S137,T137-S137,0)</f>
        <v>0</v>
      </c>
      <c r="V137" s="146">
        <f>IF(F137="S",Z137,(IF((R137-U137)&gt;XWorkTimeMax,XWorkTimeMax,IF((R137-U137)&gt;0,R137-U137,0))))</f>
        <v>0</v>
      </c>
      <c r="W137" s="66"/>
      <c r="X137" s="115">
        <f>xNoWorkTime</f>
        <v>4.027777777777778E-2</v>
      </c>
      <c r="Y137" s="110">
        <f>IF(AND((AM137&lt;Feiertag),(G137&lt;&gt;85)),IF(OR(F137="B",F137="G",F137="S",H137&gt;0),H137-H137+Z137,0),0)</f>
        <v>0</v>
      </c>
      <c r="Z137" s="111">
        <f>IF(AND(AM137&gt;0,AM137&lt;Feiertag),INDEX(Arbeitszeit,AM137),"")</f>
        <v>0.29166666666666669</v>
      </c>
      <c r="AA137" s="112">
        <f>V137-Y137</f>
        <v>0</v>
      </c>
      <c r="AB137" s="67" t="str">
        <f>IF((V137-Y137)&lt;0,"*","")</f>
        <v/>
      </c>
      <c r="AC137" s="193">
        <f>xOverTime</f>
        <v>0</v>
      </c>
      <c r="AD137" s="144" t="str">
        <f>IF((R137-U137)&gt;XWorkTimeMax,(R137-U137-XWorkTimeMax),"")</f>
        <v/>
      </c>
      <c r="AE137" s="225">
        <f>IF(AW137,(AE136+SUM(AA137)+(IF(AG137="+",AF137,-AF137))),)</f>
        <v>0</v>
      </c>
      <c r="AF137" s="110"/>
      <c r="AG137" s="627"/>
      <c r="AH137" s="110"/>
      <c r="AI137" s="110" t="str">
        <f>IF(AND(AF137&lt;&gt;"",AF137&lt;=V137),V137-AF137,"")</f>
        <v/>
      </c>
      <c r="AJ137" s="68">
        <f>IF(ISNUMBER(V137 ), IF( V137 &gt;= Y137, Y137, V137 ),"")</f>
        <v>0</v>
      </c>
      <c r="AK137" s="68">
        <f>IF( ISNUMBER( V137 ), IF( V137 &gt;= Y137, V137 - Y137, "" ), "" )</f>
        <v>0</v>
      </c>
      <c r="AL137" s="68" t="str">
        <f>IF( AND(ISNUMBER( V137 ),ISNUMBER( Y137 )), IF( V137 &gt;= Y137, "", Y137 - V137 ), "" )</f>
        <v/>
      </c>
      <c r="AM137">
        <f>IF(A137="",0,IF(ISERROR(VLOOKUP(A137,db_Feiertag,2,FALSE)),WEEKDAY(A137,2),Feiertag))</f>
        <v>5</v>
      </c>
      <c r="AN137" s="122">
        <f>SUM($AD$6:AD137)</f>
        <v>0</v>
      </c>
      <c r="AO137" s="122">
        <f ca="1">IF(D137=D136,AO136,OFFSET(AO137,-1,COLUMN(db_jSaldoGes)-COLUMN()))</f>
        <v>0</v>
      </c>
      <c r="AP137" s="126">
        <f>IF(OR($G137=-1,$G137=82),-1,IF(OR($G137=0,$G137=83),1,0))</f>
        <v>0</v>
      </c>
      <c r="AQ137" s="126">
        <f>IF($F137=Krank,1,IF($F137="J",-1,0))</f>
        <v>0</v>
      </c>
      <c r="AR137" s="126">
        <f>IF($F137=Urlaub,1,IF($F137="T",-1,0))</f>
        <v>0</v>
      </c>
      <c r="AS137" s="125">
        <f>IF(A137="","",AS136-IF(F137=Urlaub,1,0)+IF(AND(MONTH(A137)=1,DAY(A137)=1),B_UrlaubNeu,0))</f>
        <v>30</v>
      </c>
      <c r="AT137" s="125">
        <f ca="1">IF(A137="","",IF(D137=D136,AT136,OFFSET(AT137,-1,COLUMN(db_jUrlRest)-COLUMN()))+IF(AND(MONTH(A137)=1,DAY(A137)=1),B_UrlaubNeu,0))</f>
        <v>30</v>
      </c>
      <c r="AU137" s="135">
        <f>(IF(ISNUMBER(V137),V137,0)+IF(ISNUMBER(AD137),AD137,0))*24</f>
        <v>0</v>
      </c>
      <c r="AV137" s="125">
        <f>IF(ISNUMBER(AD137),K_ArbeitOverMax,IF(AND(ISNUMBER(AA137),AA137&gt;0),K_ArbeitOverTime,IF(AND(ISNUMBER(V137),V137&gt;0),K_ArbeitNormal,IF(F137=Krank,K_Krank,IF(F137=Urlaub,K_Urlaub,IF(AM137=Feiertag,K_Feiertag,IF(OR(AM137=6,AM137=7),K_Wochenende,0)))))))+IF(F137=Gleittag,K_Gleittag,0)</f>
        <v>0</v>
      </c>
      <c r="AW137" t="b">
        <f>OR((F137&gt;0),(NOT(ISBLANK(H137))),SUM(H137:H$373),SUM(G137:G$373))</f>
        <v>0</v>
      </c>
      <c r="AX137" t="b">
        <f ca="1">INDIRECT(ADDRESS(ROW(),COLUMN(xDay)))&gt;5</f>
        <v>0</v>
      </c>
      <c r="AY137" s="600">
        <f>IF(OR(R137&lt;&gt;0,F137&lt;&gt;0),AA137,IF(Z137="",0,-Z137))+(IF(AG137="+",AF137,-AF137))</f>
        <v>-0.29166666666666669</v>
      </c>
      <c r="AZ137" s="225">
        <f>SUM(AY$5:AY137)</f>
        <v>-26.541666666666696</v>
      </c>
      <c r="BA137" s="658"/>
      <c r="BB137" s="658">
        <f>IF(ISNA(MATCH(BA137,B_Arbeitsort,0)),0,MATCH(BA137,B_Arbeitsort,0))</f>
        <v>0</v>
      </c>
      <c r="BC137" s="658"/>
    </row>
    <row r="138" spans="1:55" ht="15.75">
      <c r="A138" s="305">
        <f>IF(A137="","",IF((A137+1)&gt;=DATE(YEAR(xJahr)+1,MONTH(xJahr),DAY(xJahr)),"",A137+1))</f>
        <v>43597</v>
      </c>
      <c r="B138" s="306">
        <f>IF(A138="","",A138)</f>
        <v>43597</v>
      </c>
      <c r="C138" s="307">
        <f>IF(A138="","",NumberOfWeek(A138))</f>
        <v>19</v>
      </c>
      <c r="D138" s="308">
        <f>IF(A138="","",DATE(YEAR(A138),MONTH(A138),1))</f>
        <v>43585</v>
      </c>
      <c r="E138" s="318" t="str">
        <f>IF((R138-U138)&gt;XWorkTimeMax,$Z$4,IF(AV138=Feiertag,VLOOKUP(B138,db_Feiertag,2,FALSE),""))</f>
        <v/>
      </c>
      <c r="F138" s="5"/>
      <c r="G138" s="6" t="str">
        <f>IF(ISBLANK(F138),IF(ISBLANK(H138),"",0),CODE(UPPER(F138)))</f>
        <v/>
      </c>
      <c r="H138" s="7"/>
      <c r="I138" s="7">
        <f>IF(H138&gt;0,H138+Y138+X138+AC138,0)</f>
        <v>0</v>
      </c>
      <c r="J138" s="113">
        <f>IF(K138&gt;I138,IF(I138&lt;H138,I138+1,I138)-B_WalkTime,IF(I138&lt;H138,I138+1,I138))</f>
        <v>0</v>
      </c>
      <c r="K138" s="7"/>
      <c r="L138" s="7">
        <f>IF(K138&gt;0,K138+IF((J138-H138)&lt;Y138,Y138-(J138-H138),TIME(0,10,0))+IF((K138-J138)&gt;xNoWorkTime,0,xNoWorkTime-(K138-J138)),0)</f>
        <v>0</v>
      </c>
      <c r="M138" s="113">
        <f>IF(L138&lt;K138,L138+1,L138)</f>
        <v>0</v>
      </c>
      <c r="N138" s="113"/>
      <c r="O138" s="113">
        <f>IF(N138&gt;0,N138+IF((J138-H138+M138-K138)&lt;Y138,Y138-(J138-H138+M138-K138),TIME(0,10,0))+IF((K138-J138+N138-M138)&gt;xNoWorkTime,0,xNoWorkTime-(K138-J138+N138-M138)),0)</f>
        <v>0</v>
      </c>
      <c r="P138" s="113"/>
      <c r="Q138" s="113">
        <f>IF(O138&lt;N138,O138+1,O138)</f>
        <v>0</v>
      </c>
      <c r="R138" s="113">
        <f>J138-H138+M138-K138+Q138-N138</f>
        <v>0</v>
      </c>
      <c r="S138" s="113">
        <f>IF(K138&gt;0,K138-I138,0)+IF(N138&gt;0,N138-L138)</f>
        <v>0</v>
      </c>
      <c r="T138" s="113">
        <f>IF(H138&gt;0,(IF(R138&gt;B_Pause1Nach,B_Pause1Dauer+IF(BA138="Büro",B_WalkTime,0),IF(BA138="Büro",B_WalkTime,0))+IF(R138&gt;B_Pause2Nach,B_Pause2Dauer,0)),0)</f>
        <v>0</v>
      </c>
      <c r="U138" s="113">
        <f>IF(T138&gt;S138,T138-S138,0)</f>
        <v>0</v>
      </c>
      <c r="V138" s="146">
        <f>IF(F138="S",Z138,(IF((R138-U138)&gt;XWorkTimeMax,XWorkTimeMax,IF((R138-U138)&gt;0,R138-U138,0))))</f>
        <v>0</v>
      </c>
      <c r="W138" s="66"/>
      <c r="X138" s="115">
        <f>xNoWorkTime</f>
        <v>4.027777777777778E-2</v>
      </c>
      <c r="Y138" s="110">
        <f>IF(AND((AM138&lt;Feiertag),(G138&lt;&gt;85)),IF(OR(F138="B",F138="G",F138="S",H138&gt;0),H138-H138+Z138,0),0)</f>
        <v>0</v>
      </c>
      <c r="Z138" s="111">
        <f>IF(AND(AM138&gt;0,AM138&lt;Feiertag),INDEX(Arbeitszeit,AM138),"")</f>
        <v>0</v>
      </c>
      <c r="AA138" s="112">
        <f>V138-Y138</f>
        <v>0</v>
      </c>
      <c r="AB138" s="67" t="str">
        <f>IF((V138-Y138)&lt;0,"*","")</f>
        <v/>
      </c>
      <c r="AC138" s="193">
        <f>xOverTime</f>
        <v>0</v>
      </c>
      <c r="AD138" s="144" t="str">
        <f>IF((R138-U138)&gt;XWorkTimeMax,(R138-U138-XWorkTimeMax),"")</f>
        <v/>
      </c>
      <c r="AE138" s="225">
        <f>IF(AW138,(AE137+SUM(AA138)+(IF(AG138="+",AF138,-AF138))),)</f>
        <v>0</v>
      </c>
      <c r="AF138" s="110"/>
      <c r="AG138" s="627"/>
      <c r="AH138" s="110"/>
      <c r="AI138" s="110" t="str">
        <f>IF(AND(AF138&lt;&gt;"",AF138&lt;=V138),V138-AF138,"")</f>
        <v/>
      </c>
      <c r="AJ138" s="68">
        <f>IF(ISNUMBER(V138 ), IF( V138 &gt;= Y138, Y138, V138 ),"")</f>
        <v>0</v>
      </c>
      <c r="AK138" s="68">
        <f>IF( ISNUMBER( V138 ), IF( V138 &gt;= Y138, V138 - Y138, "" ), "" )</f>
        <v>0</v>
      </c>
      <c r="AL138" s="68" t="str">
        <f>IF( AND(ISNUMBER( V138 ),ISNUMBER( Y138 )), IF( V138 &gt;= Y138, "", Y138 - V138 ), "" )</f>
        <v/>
      </c>
      <c r="AM138">
        <f>IF(A138="",0,IF(ISERROR(VLOOKUP(A138,db_Feiertag,2,FALSE)),WEEKDAY(A138,2),Feiertag))</f>
        <v>6</v>
      </c>
      <c r="AN138" s="122">
        <f>SUM($AD$6:AD138)</f>
        <v>0</v>
      </c>
      <c r="AO138" s="122">
        <f ca="1">IF(D138=D137,AO137,OFFSET(AO138,-1,COLUMN(db_jSaldoGes)-COLUMN()))</f>
        <v>0</v>
      </c>
      <c r="AP138" s="126">
        <f>IF(OR($G138=-1,$G138=82),-1,IF(OR($G138=0,$G138=83),1,0))</f>
        <v>0</v>
      </c>
      <c r="AQ138" s="126">
        <f>IF($F138=Krank,1,IF($F138="J",-1,0))</f>
        <v>0</v>
      </c>
      <c r="AR138" s="126">
        <f>IF($F138=Urlaub,1,IF($F138="T",-1,0))</f>
        <v>0</v>
      </c>
      <c r="AS138" s="125">
        <f>IF(A138="","",AS137-IF(F138=Urlaub,1,0)+IF(AND(MONTH(A138)=1,DAY(A138)=1),B_UrlaubNeu,0))</f>
        <v>30</v>
      </c>
      <c r="AT138" s="125">
        <f ca="1">IF(A138="","",IF(D138=D137,AT137,OFFSET(AT138,-1,COLUMN(db_jUrlRest)-COLUMN()))+IF(AND(MONTH(A138)=1,DAY(A138)=1),B_UrlaubNeu,0))</f>
        <v>30</v>
      </c>
      <c r="AU138" s="135">
        <f>(IF(ISNUMBER(V138),V138,0)+IF(ISNUMBER(AD138),AD138,0))*24</f>
        <v>0</v>
      </c>
      <c r="AV138" s="125">
        <f>IF(ISNUMBER(AD138),K_ArbeitOverMax,IF(AND(ISNUMBER(AA138),AA138&gt;0),K_ArbeitOverTime,IF(AND(ISNUMBER(V138),V138&gt;0),K_ArbeitNormal,IF(F138=Krank,K_Krank,IF(F138=Urlaub,K_Urlaub,IF(AM138=Feiertag,K_Feiertag,IF(OR(AM138=6,AM138=7),K_Wochenende,0)))))))+IF(F138=Gleittag,K_Gleittag,0)</f>
        <v>7</v>
      </c>
      <c r="AW138" t="b">
        <f>OR((F138&gt;0),(NOT(ISBLANK(H138))),SUM(H138:H$373),SUM(G138:G$373))</f>
        <v>0</v>
      </c>
      <c r="AX138" t="b">
        <f ca="1">INDIRECT(ADDRESS(ROW(),COLUMN(xDay)))&gt;5</f>
        <v>1</v>
      </c>
      <c r="AY138" s="600">
        <f>IF(OR(R138&lt;&gt;0,F138&lt;&gt;0),AA138,IF(Z138="",0,-Z138))+(IF(AG138="+",AF138,-AF138))</f>
        <v>0</v>
      </c>
      <c r="AZ138" s="225">
        <f>SUM(AY$5:AY138)</f>
        <v>-26.541666666666696</v>
      </c>
      <c r="BA138" s="643"/>
      <c r="BB138" s="658">
        <f>IF(ISNA(MATCH(BA138,B_Arbeitsort,0)),0,MATCH(BA138,B_Arbeitsort,0))</f>
        <v>0</v>
      </c>
      <c r="BC138" s="643"/>
    </row>
    <row r="139" spans="1:55" ht="15.75">
      <c r="A139" s="305">
        <f>IF(A138="","",IF((A138+1)&gt;=DATE(YEAR(xJahr)+1,MONTH(xJahr),DAY(xJahr)),"",A138+1))</f>
        <v>43598</v>
      </c>
      <c r="B139" s="306">
        <f>IF(A139="","",A139)</f>
        <v>43598</v>
      </c>
      <c r="C139" s="307">
        <f>IF(A139="","",NumberOfWeek(A139))</f>
        <v>19</v>
      </c>
      <c r="D139" s="308">
        <f>IF(A139="","",DATE(YEAR(A139),MONTH(A139),1))</f>
        <v>43585</v>
      </c>
      <c r="E139" s="318" t="str">
        <f>IF((R139-U139)&gt;XWorkTimeMax,$Z$4,IF(AV139=Feiertag,VLOOKUP(B139,db_Feiertag,2,FALSE),""))</f>
        <v/>
      </c>
      <c r="F139" s="5"/>
      <c r="G139" s="6" t="str">
        <f>IF(ISBLANK(F139),IF(ISBLANK(H139),"",0),CODE(UPPER(F139)))</f>
        <v/>
      </c>
      <c r="H139" s="7"/>
      <c r="I139" s="7">
        <f>IF(H139&gt;0,H139+Y139+X139+AC139,0)</f>
        <v>0</v>
      </c>
      <c r="J139" s="113">
        <f>IF(K139&gt;I139,IF(I139&lt;H139,I139+1,I139)-B_WalkTime,IF(I139&lt;H139,I139+1,I139))</f>
        <v>0</v>
      </c>
      <c r="K139" s="7"/>
      <c r="L139" s="7">
        <f>IF(K139&gt;0,K139+IF((J139-H139)&lt;Y139,Y139-(J139-H139),TIME(0,10,0))+IF((K139-J139)&gt;xNoWorkTime,0,xNoWorkTime-(K139-J139)),0)</f>
        <v>0</v>
      </c>
      <c r="M139" s="113">
        <f>IF(L139&lt;K139,L139+1,L139)</f>
        <v>0</v>
      </c>
      <c r="N139" s="113"/>
      <c r="O139" s="113">
        <f>IF(N139&gt;0,N139+IF((J139-H139+M139-K139)&lt;Y139,Y139-(J139-H139+M139-K139),TIME(0,10,0))+IF((K139-J139+N139-M139)&gt;xNoWorkTime,0,xNoWorkTime-(K139-J139+N139-M139)),0)</f>
        <v>0</v>
      </c>
      <c r="P139" s="113"/>
      <c r="Q139" s="113">
        <f>IF(O139&lt;N139,O139+1,O139)</f>
        <v>0</v>
      </c>
      <c r="R139" s="113">
        <f>J139-H139+M139-K139+Q139-N139</f>
        <v>0</v>
      </c>
      <c r="S139" s="113">
        <f>IF(K139&gt;0,K139-I139,0)+IF(N139&gt;0,N139-L139)</f>
        <v>0</v>
      </c>
      <c r="T139" s="113">
        <f>IF(H139&gt;0,(IF(R139&gt;B_Pause1Nach,B_Pause1Dauer+IF(BA139="Büro",B_WalkTime,0),IF(BA139="Büro",B_WalkTime,0))+IF(R139&gt;B_Pause2Nach,B_Pause2Dauer,0)),0)</f>
        <v>0</v>
      </c>
      <c r="U139" s="113">
        <f>IF(T139&gt;S139,T139-S139,0)</f>
        <v>0</v>
      </c>
      <c r="V139" s="146">
        <f>IF(F139="S",Z139,(IF((R139-U139)&gt;XWorkTimeMax,XWorkTimeMax,IF((R139-U139)&gt;0,R139-U139,0))))</f>
        <v>0</v>
      </c>
      <c r="W139" s="66"/>
      <c r="X139" s="115">
        <f>xNoWorkTime</f>
        <v>4.027777777777778E-2</v>
      </c>
      <c r="Y139" s="110">
        <f>IF(AND((AM139&lt;Feiertag),(G139&lt;&gt;85)),IF(OR(F139="B",F139="G",F139="S",H139&gt;0),H139-H139+Z139,0),0)</f>
        <v>0</v>
      </c>
      <c r="Z139" s="111">
        <f>IF(AND(AM139&gt;0,AM139&lt;Feiertag),INDEX(Arbeitszeit,AM139),"")</f>
        <v>0</v>
      </c>
      <c r="AA139" s="112">
        <f>V139-Y139</f>
        <v>0</v>
      </c>
      <c r="AB139" s="67" t="str">
        <f>IF((V139-Y139)&lt;0,"*","")</f>
        <v/>
      </c>
      <c r="AC139" s="193">
        <f>xOverTime</f>
        <v>0</v>
      </c>
      <c r="AD139" s="144" t="str">
        <f>IF((R139-U139)&gt;XWorkTimeMax,(R139-U139-XWorkTimeMax),"")</f>
        <v/>
      </c>
      <c r="AE139" s="225">
        <f>IF(AW139,(AE138+SUM(AA139)+(IF(AG139="+",AF139,-AF139))),)</f>
        <v>0</v>
      </c>
      <c r="AF139" s="110"/>
      <c r="AG139" s="627"/>
      <c r="AH139" s="110"/>
      <c r="AI139" s="110" t="str">
        <f>IF(AND(AF139&lt;&gt;"",AF139&lt;=V139),V139-AF139,"")</f>
        <v/>
      </c>
      <c r="AJ139" s="68">
        <f>IF(ISNUMBER(V139 ), IF( V139 &gt;= Y139, Y139, V139 ),"")</f>
        <v>0</v>
      </c>
      <c r="AK139" s="68">
        <f>IF( ISNUMBER( V139 ), IF( V139 &gt;= Y139, V139 - Y139, "" ), "" )</f>
        <v>0</v>
      </c>
      <c r="AL139" s="68" t="str">
        <f>IF( AND(ISNUMBER( V139 ),ISNUMBER( Y139 )), IF( V139 &gt;= Y139, "", Y139 - V139 ), "" )</f>
        <v/>
      </c>
      <c r="AM139">
        <f>IF(A139="",0,IF(ISERROR(VLOOKUP(A139,db_Feiertag,2,FALSE)),WEEKDAY(A139,2),Feiertag))</f>
        <v>7</v>
      </c>
      <c r="AN139" s="122">
        <f>SUM($AD$6:AD139)</f>
        <v>0</v>
      </c>
      <c r="AO139" s="122">
        <f ca="1">IF(D139=D138,AO138,OFFSET(AO139,-1,COLUMN(db_jSaldoGes)-COLUMN()))</f>
        <v>0</v>
      </c>
      <c r="AP139" s="126">
        <f>IF(OR($G139=-1,$G139=82),-1,IF(OR($G139=0,$G139=83),1,0))</f>
        <v>0</v>
      </c>
      <c r="AQ139" s="126">
        <f>IF($F139=Krank,1,IF($F139="J",-1,0))</f>
        <v>0</v>
      </c>
      <c r="AR139" s="126">
        <f>IF($F139=Urlaub,1,IF($F139="T",-1,0))</f>
        <v>0</v>
      </c>
      <c r="AS139" s="125">
        <f>IF(A139="","",AS138-IF(F139=Urlaub,1,0)+IF(AND(MONTH(A139)=1,DAY(A139)=1),B_UrlaubNeu,0))</f>
        <v>30</v>
      </c>
      <c r="AT139" s="125">
        <f ca="1">IF(A139="","",IF(D139=D138,AT138,OFFSET(AT139,-1,COLUMN(db_jUrlRest)-COLUMN()))+IF(AND(MONTH(A139)=1,DAY(A139)=1),B_UrlaubNeu,0))</f>
        <v>30</v>
      </c>
      <c r="AU139" s="135">
        <f>(IF(ISNUMBER(V139),V139,0)+IF(ISNUMBER(AD139),AD139,0))*24</f>
        <v>0</v>
      </c>
      <c r="AV139" s="125">
        <f>IF(ISNUMBER(AD139),K_ArbeitOverMax,IF(AND(ISNUMBER(AA139),AA139&gt;0),K_ArbeitOverTime,IF(AND(ISNUMBER(V139),V139&gt;0),K_ArbeitNormal,IF(F139=Krank,K_Krank,IF(F139=Urlaub,K_Urlaub,IF(AM139=Feiertag,K_Feiertag,IF(OR(AM139=6,AM139=7),K_Wochenende,0)))))))+IF(F139=Gleittag,K_Gleittag,0)</f>
        <v>7</v>
      </c>
      <c r="AW139" t="b">
        <f>OR((F139&gt;0),(NOT(ISBLANK(H139))),SUM(H139:H$373),SUM(G139:G$373))</f>
        <v>0</v>
      </c>
      <c r="AX139" t="b">
        <f ca="1">INDIRECT(ADDRESS(ROW(),COLUMN(xDay)))&gt;5</f>
        <v>1</v>
      </c>
      <c r="AY139" s="600">
        <f>IF(OR(R139&lt;&gt;0,F139&lt;&gt;0),AA139,IF(Z139="",0,-Z139))+(IF(AG139="+",AF139,-AF139))</f>
        <v>0</v>
      </c>
      <c r="AZ139" s="225">
        <f>SUM(AY$5:AY139)</f>
        <v>-26.541666666666696</v>
      </c>
      <c r="BA139" s="643"/>
      <c r="BB139" s="658">
        <f>IF(ISNA(MATCH(BA139,B_Arbeitsort,0)),0,MATCH(BA139,B_Arbeitsort,0))</f>
        <v>0</v>
      </c>
      <c r="BC139" s="643"/>
    </row>
    <row r="140" spans="1:55" ht="15.75">
      <c r="A140" s="305">
        <f>IF(A139="","",IF((A139+1)&gt;=DATE(YEAR(xJahr)+1,MONTH(xJahr),DAY(xJahr)),"",A139+1))</f>
        <v>43599</v>
      </c>
      <c r="B140" s="306">
        <f>IF(A140="","",A140)</f>
        <v>43599</v>
      </c>
      <c r="C140" s="307">
        <f>IF(A140="","",NumberOfWeek(A140))</f>
        <v>20</v>
      </c>
      <c r="D140" s="308">
        <f>IF(A140="","",DATE(YEAR(A140),MONTH(A140),1))</f>
        <v>43585</v>
      </c>
      <c r="E140" s="318" t="str">
        <f>IF((R140-U140)&gt;XWorkTimeMax,$Z$4,IF(AV140=Feiertag,VLOOKUP(B140,db_Feiertag,2,FALSE),""))</f>
        <v/>
      </c>
      <c r="F140" s="5"/>
      <c r="G140" s="6" t="str">
        <f>IF(ISBLANK(F140),IF(ISBLANK(H140),"",0),CODE(UPPER(F140)))</f>
        <v/>
      </c>
      <c r="H140" s="7"/>
      <c r="I140" s="7">
        <f>IF(H140&gt;0,H140+Y140+X140+AC140,0)</f>
        <v>0</v>
      </c>
      <c r="J140" s="113">
        <f>IF(K140&gt;I140,IF(I140&lt;H140,I140+1,I140)-B_WalkTime,IF(I140&lt;H140,I140+1,I140))</f>
        <v>0</v>
      </c>
      <c r="K140" s="7"/>
      <c r="L140" s="7">
        <f>IF(K140&gt;0,K140+IF((J140-H140)&lt;Y140,Y140-(J140-H140),TIME(0,10,0))+IF((K140-J140)&gt;xNoWorkTime,0,xNoWorkTime-(K140-J140)),0)</f>
        <v>0</v>
      </c>
      <c r="M140" s="113">
        <f>IF(L140&lt;K140,L140+1,L140)</f>
        <v>0</v>
      </c>
      <c r="N140" s="113"/>
      <c r="O140" s="113">
        <f>IF(N140&gt;0,N140+IF((J140-H140+M140-K140)&lt;Y140,Y140-(J140-H140+M140-K140),TIME(0,10,0))+IF((K140-J140+N140-M140)&gt;xNoWorkTime,0,xNoWorkTime-(K140-J140+N140-M140)),0)</f>
        <v>0</v>
      </c>
      <c r="P140" s="113"/>
      <c r="Q140" s="113">
        <f>IF(O140&lt;N140,O140+1,O140)</f>
        <v>0</v>
      </c>
      <c r="R140" s="113">
        <f>J140-H140+M140-K140+Q140-N140</f>
        <v>0</v>
      </c>
      <c r="S140" s="113">
        <f>IF(K140&gt;0,K140-I140,0)+IF(N140&gt;0,N140-L140)</f>
        <v>0</v>
      </c>
      <c r="T140" s="113">
        <f>IF(H140&gt;0,(IF(R140&gt;B_Pause1Nach,B_Pause1Dauer+IF(BA140="Büro",B_WalkTime,0),IF(BA140="Büro",B_WalkTime,0))+IF(R140&gt;B_Pause2Nach,B_Pause2Dauer,0)),0)</f>
        <v>0</v>
      </c>
      <c r="U140" s="113">
        <f>IF(T140&gt;S140,T140-S140,0)</f>
        <v>0</v>
      </c>
      <c r="V140" s="146">
        <f>IF(F140="S",Z140,(IF((R140-U140)&gt;XWorkTimeMax,XWorkTimeMax,IF((R140-U140)&gt;0,R140-U140,0))))</f>
        <v>0</v>
      </c>
      <c r="W140" s="66"/>
      <c r="X140" s="115">
        <f>xNoWorkTime</f>
        <v>4.027777777777778E-2</v>
      </c>
      <c r="Y140" s="110">
        <f>IF(AND((AM140&lt;Feiertag),(G140&lt;&gt;85)),IF(OR(F140="B",F140="G",F140="S",H140&gt;0),H140-H140+Z140,0),0)</f>
        <v>0</v>
      </c>
      <c r="Z140" s="111">
        <f>IF(AND(AM140&gt;0,AM140&lt;Feiertag),INDEX(Arbeitszeit,AM140),"")</f>
        <v>0.29166666666666669</v>
      </c>
      <c r="AA140" s="112">
        <f>V140-Y140</f>
        <v>0</v>
      </c>
      <c r="AB140" s="67" t="str">
        <f>IF((V140-Y140)&lt;0,"*","")</f>
        <v/>
      </c>
      <c r="AC140" s="193">
        <f>xOverTime</f>
        <v>0</v>
      </c>
      <c r="AD140" s="144" t="str">
        <f>IF((R140-U140)&gt;XWorkTimeMax,(R140-U140-XWorkTimeMax),"")</f>
        <v/>
      </c>
      <c r="AE140" s="225">
        <f>IF(AW140,(AE139+SUM(AA140)+(IF(AG140="+",AF140,-AF140))),)</f>
        <v>0</v>
      </c>
      <c r="AF140" s="110"/>
      <c r="AG140" s="627"/>
      <c r="AH140" s="110"/>
      <c r="AI140" s="110" t="str">
        <f>IF(AND(AF140&lt;&gt;"",AF140&lt;=V140),V140-AF140,"")</f>
        <v/>
      </c>
      <c r="AJ140" s="68">
        <f>IF(ISNUMBER(V140 ), IF( V140 &gt;= Y140, Y140, V140 ),"")</f>
        <v>0</v>
      </c>
      <c r="AK140" s="68">
        <f>IF( ISNUMBER( V140 ), IF( V140 &gt;= Y140, V140 - Y140, "" ), "" )</f>
        <v>0</v>
      </c>
      <c r="AL140" s="68" t="str">
        <f>IF( AND(ISNUMBER( V140 ),ISNUMBER( Y140 )), IF( V140 &gt;= Y140, "", Y140 - V140 ), "" )</f>
        <v/>
      </c>
      <c r="AM140">
        <f>IF(A140="",0,IF(ISERROR(VLOOKUP(A140,db_Feiertag,2,FALSE)),WEEKDAY(A140,2),Feiertag))</f>
        <v>1</v>
      </c>
      <c r="AN140" s="122">
        <f>SUM($AD$6:AD140)</f>
        <v>0</v>
      </c>
      <c r="AO140" s="122">
        <f ca="1">IF(D140=D139,AO139,OFFSET(AO140,-1,COLUMN(db_jSaldoGes)-COLUMN()))</f>
        <v>0</v>
      </c>
      <c r="AP140" s="126">
        <f>IF(OR($G140=-1,$G140=82),-1,IF(OR($G140=0,$G140=83),1,0))</f>
        <v>0</v>
      </c>
      <c r="AQ140" s="126">
        <f>IF($F140=Krank,1,IF($F140="J",-1,0))</f>
        <v>0</v>
      </c>
      <c r="AR140" s="126">
        <f>IF($F140=Urlaub,1,IF($F140="T",-1,0))</f>
        <v>0</v>
      </c>
      <c r="AS140" s="125">
        <f>IF(A140="","",AS139-IF(F140=Urlaub,1,0)+IF(AND(MONTH(A140)=1,DAY(A140)=1),B_UrlaubNeu,0))</f>
        <v>30</v>
      </c>
      <c r="AT140" s="125">
        <f ca="1">IF(A140="","",IF(D140=D139,AT139,OFFSET(AT140,-1,COLUMN(db_jUrlRest)-COLUMN()))+IF(AND(MONTH(A140)=1,DAY(A140)=1),B_UrlaubNeu,0))</f>
        <v>30</v>
      </c>
      <c r="AU140" s="135">
        <f>(IF(ISNUMBER(V140),V140,0)+IF(ISNUMBER(AD140),AD140,0))*24</f>
        <v>0</v>
      </c>
      <c r="AV140" s="125">
        <f>IF(ISNUMBER(AD140),K_ArbeitOverMax,IF(AND(ISNUMBER(AA140),AA140&gt;0),K_ArbeitOverTime,IF(AND(ISNUMBER(V140),V140&gt;0),K_ArbeitNormal,IF(F140=Krank,K_Krank,IF(F140=Urlaub,K_Urlaub,IF(AM140=Feiertag,K_Feiertag,IF(OR(AM140=6,AM140=7),K_Wochenende,0)))))))+IF(F140=Gleittag,K_Gleittag,0)</f>
        <v>0</v>
      </c>
      <c r="AW140" t="b">
        <f>OR((F140&gt;0),(NOT(ISBLANK(H140))),SUM(H140:H$373),SUM(G140:G$373))</f>
        <v>0</v>
      </c>
      <c r="AX140" t="b">
        <f ca="1">INDIRECT(ADDRESS(ROW(),COLUMN(xDay)))&gt;5</f>
        <v>0</v>
      </c>
      <c r="AY140" s="600">
        <f>IF(OR(R140&lt;&gt;0,F140&lt;&gt;0),AA140,IF(Z140="",0,-Z140))+(IF(AG140="+",AF140,-AF140))</f>
        <v>-0.29166666666666669</v>
      </c>
      <c r="AZ140" s="225">
        <f>SUM(AY$5:AY140)</f>
        <v>-26.833333333333364</v>
      </c>
      <c r="BA140" s="658"/>
      <c r="BB140" s="658">
        <f>IF(ISNA(MATCH(BA140,B_Arbeitsort,0)),0,MATCH(BA140,B_Arbeitsort,0))</f>
        <v>0</v>
      </c>
      <c r="BC140" s="658"/>
    </row>
    <row r="141" spans="1:55" ht="15.75">
      <c r="A141" s="305">
        <f>IF(A140="","",IF((A140+1)&gt;=DATE(YEAR(xJahr)+1,MONTH(xJahr),DAY(xJahr)),"",A140+1))</f>
        <v>43600</v>
      </c>
      <c r="B141" s="306">
        <f>IF(A141="","",A141)</f>
        <v>43600</v>
      </c>
      <c r="C141" s="307">
        <f>IF(A141="","",NumberOfWeek(A141))</f>
        <v>20</v>
      </c>
      <c r="D141" s="308">
        <f>IF(A141="","",DATE(YEAR(A141),MONTH(A141),1))</f>
        <v>43585</v>
      </c>
      <c r="E141" s="318" t="str">
        <f>IF((R141-U141)&gt;XWorkTimeMax,$Z$4,IF(AV141=Feiertag,VLOOKUP(B141,db_Feiertag,2,FALSE),""))</f>
        <v/>
      </c>
      <c r="F141" s="5"/>
      <c r="G141" s="6" t="str">
        <f>IF(ISBLANK(F141),IF(ISBLANK(H141),"",0),CODE(UPPER(F141)))</f>
        <v/>
      </c>
      <c r="H141" s="7"/>
      <c r="I141" s="7">
        <f>IF(H141&gt;0,H141+Y141+X141+AC141,0)</f>
        <v>0</v>
      </c>
      <c r="J141" s="113">
        <f>IF(K141&gt;I141,IF(I141&lt;H141,I141+1,I141)-B_WalkTime,IF(I141&lt;H141,I141+1,I141))</f>
        <v>0</v>
      </c>
      <c r="K141" s="7"/>
      <c r="L141" s="7">
        <f>IF(K141&gt;0,K141+IF((J141-H141)&lt;Y141,Y141-(J141-H141),TIME(0,10,0))+IF((K141-J141)&gt;xNoWorkTime,0,xNoWorkTime-(K141-J141)),0)</f>
        <v>0</v>
      </c>
      <c r="M141" s="113">
        <f>IF(L141&lt;K141,L141+1,L141)</f>
        <v>0</v>
      </c>
      <c r="N141" s="113"/>
      <c r="O141" s="113">
        <f>IF(N141&gt;0,N141+IF((J141-H141+M141-K141)&lt;Y141,Y141-(J141-H141+M141-K141),TIME(0,10,0))+IF((K141-J141+N141-M141)&gt;xNoWorkTime,0,xNoWorkTime-(K141-J141+N141-M141)),0)</f>
        <v>0</v>
      </c>
      <c r="P141" s="113"/>
      <c r="Q141" s="113">
        <f>IF(O141&lt;N141,O141+1,O141)</f>
        <v>0</v>
      </c>
      <c r="R141" s="113">
        <f>J141-H141+M141-K141+Q141-N141</f>
        <v>0</v>
      </c>
      <c r="S141" s="113">
        <f>IF(K141&gt;0,K141-I141,0)+IF(N141&gt;0,N141-L141)</f>
        <v>0</v>
      </c>
      <c r="T141" s="113">
        <f>IF(H141&gt;0,(IF(R141&gt;B_Pause1Nach,B_Pause1Dauer+IF(BA141="Büro",B_WalkTime,0),IF(BA141="Büro",B_WalkTime,0))+IF(R141&gt;B_Pause2Nach,B_Pause2Dauer,0)),0)</f>
        <v>0</v>
      </c>
      <c r="U141" s="113">
        <f>IF(T141&gt;S141,T141-S141,0)</f>
        <v>0</v>
      </c>
      <c r="V141" s="146">
        <f>IF(F141="S",Z141,(IF((R141-U141)&gt;XWorkTimeMax,XWorkTimeMax,IF((R141-U141)&gt;0,R141-U141,0))))</f>
        <v>0</v>
      </c>
      <c r="W141" s="66"/>
      <c r="X141" s="115">
        <f>xNoWorkTime</f>
        <v>4.027777777777778E-2</v>
      </c>
      <c r="Y141" s="110">
        <f>IF(AND((AM141&lt;Feiertag),(G141&lt;&gt;85)),IF(OR(F141="B",F141="G",F141="S",H141&gt;0),H141-H141+Z141,0),0)</f>
        <v>0</v>
      </c>
      <c r="Z141" s="111">
        <f>IF(AND(AM141&gt;0,AM141&lt;Feiertag),INDEX(Arbeitszeit,AM141),"")</f>
        <v>0.29166666666666669</v>
      </c>
      <c r="AA141" s="112">
        <f>V141-Y141</f>
        <v>0</v>
      </c>
      <c r="AB141" s="67" t="str">
        <f>IF((V141-Y141)&lt;0,"*","")</f>
        <v/>
      </c>
      <c r="AC141" s="193">
        <f>xOverTime</f>
        <v>0</v>
      </c>
      <c r="AD141" s="144" t="str">
        <f>IF((R141-U141)&gt;XWorkTimeMax,(R141-U141-XWorkTimeMax),"")</f>
        <v/>
      </c>
      <c r="AE141" s="225">
        <f>IF(AW141,(AE140+SUM(AA141)+(IF(AG141="+",AF141,-AF141))),)</f>
        <v>0</v>
      </c>
      <c r="AF141" s="110"/>
      <c r="AG141" s="627"/>
      <c r="AH141" s="110"/>
      <c r="AI141" s="110" t="str">
        <f>IF(AND(AF141&lt;&gt;"",AF141&lt;=V141),V141-AF141,"")</f>
        <v/>
      </c>
      <c r="AJ141" s="68">
        <f>IF(ISNUMBER(V141 ), IF( V141 &gt;= Y141, Y141, V141 ),"")</f>
        <v>0</v>
      </c>
      <c r="AK141" s="68">
        <f>IF( ISNUMBER( V141 ), IF( V141 &gt;= Y141, V141 - Y141, "" ), "" )</f>
        <v>0</v>
      </c>
      <c r="AL141" s="68" t="str">
        <f>IF( AND(ISNUMBER( V141 ),ISNUMBER( Y141 )), IF( V141 &gt;= Y141, "", Y141 - V141 ), "" )</f>
        <v/>
      </c>
      <c r="AM141">
        <f>IF(A141="",0,IF(ISERROR(VLOOKUP(A141,db_Feiertag,2,FALSE)),WEEKDAY(A141,2),Feiertag))</f>
        <v>2</v>
      </c>
      <c r="AN141" s="122">
        <f>SUM($AD$6:AD141)</f>
        <v>0</v>
      </c>
      <c r="AO141" s="122">
        <f ca="1">IF(D141=D140,AO140,OFFSET(AO141,-1,COLUMN(db_jSaldoGes)-COLUMN()))</f>
        <v>0</v>
      </c>
      <c r="AP141" s="126">
        <f>IF(OR($G141=-1,$G141=82),-1,IF(OR($G141=0,$G141=83),1,0))</f>
        <v>0</v>
      </c>
      <c r="AQ141" s="126">
        <f>IF($F141=Krank,1,IF($F141="J",-1,0))</f>
        <v>0</v>
      </c>
      <c r="AR141" s="126">
        <f>IF($F141=Urlaub,1,IF($F141="T",-1,0))</f>
        <v>0</v>
      </c>
      <c r="AS141" s="125">
        <f>IF(A141="","",AS140-IF(F141=Urlaub,1,0)+IF(AND(MONTH(A141)=1,DAY(A141)=1),B_UrlaubNeu,0))</f>
        <v>30</v>
      </c>
      <c r="AT141" s="125">
        <f ca="1">IF(A141="","",IF(D141=D140,AT140,OFFSET(AT141,-1,COLUMN(db_jUrlRest)-COLUMN()))+IF(AND(MONTH(A141)=1,DAY(A141)=1),B_UrlaubNeu,0))</f>
        <v>30</v>
      </c>
      <c r="AU141" s="135">
        <f>(IF(ISNUMBER(V141),V141,0)+IF(ISNUMBER(AD141),AD141,0))*24</f>
        <v>0</v>
      </c>
      <c r="AV141" s="125">
        <f>IF(ISNUMBER(AD141),K_ArbeitOverMax,IF(AND(ISNUMBER(AA141),AA141&gt;0),K_ArbeitOverTime,IF(AND(ISNUMBER(V141),V141&gt;0),K_ArbeitNormal,IF(F141=Krank,K_Krank,IF(F141=Urlaub,K_Urlaub,IF(AM141=Feiertag,K_Feiertag,IF(OR(AM141=6,AM141=7),K_Wochenende,0)))))))+IF(F141=Gleittag,K_Gleittag,0)</f>
        <v>0</v>
      </c>
      <c r="AW141" t="b">
        <f>OR((F141&gt;0),(NOT(ISBLANK(H141))),SUM(H141:H$373),SUM(G141:G$373))</f>
        <v>0</v>
      </c>
      <c r="AX141" t="b">
        <f ca="1">INDIRECT(ADDRESS(ROW(),COLUMN(xDay)))&gt;5</f>
        <v>0</v>
      </c>
      <c r="AY141" s="600">
        <f>IF(OR(R141&lt;&gt;0,F141&lt;&gt;0),AA141,IF(Z141="",0,-Z141))+(IF(AG141="+",AF141,-AF141))</f>
        <v>-0.29166666666666669</v>
      </c>
      <c r="AZ141" s="225">
        <f>SUM(AY$5:AY141)</f>
        <v>-27.125000000000032</v>
      </c>
      <c r="BA141" s="658"/>
      <c r="BB141" s="658">
        <f>IF(ISNA(MATCH(BA141,B_Arbeitsort,0)),0,MATCH(BA141,B_Arbeitsort,0))</f>
        <v>0</v>
      </c>
      <c r="BC141" s="658"/>
    </row>
    <row r="142" spans="1:55" ht="15.75">
      <c r="A142" s="305">
        <f>IF(A141="","",IF((A141+1)&gt;=DATE(YEAR(xJahr)+1,MONTH(xJahr),DAY(xJahr)),"",A141+1))</f>
        <v>43601</v>
      </c>
      <c r="B142" s="306">
        <f>IF(A142="","",A142)</f>
        <v>43601</v>
      </c>
      <c r="C142" s="307">
        <f>IF(A142="","",NumberOfWeek(A142))</f>
        <v>20</v>
      </c>
      <c r="D142" s="308">
        <f>IF(A142="","",DATE(YEAR(A142),MONTH(A142),1))</f>
        <v>43585</v>
      </c>
      <c r="E142" s="318" t="str">
        <f>IF((R142-U142)&gt;XWorkTimeMax,$Z$4,IF(AV142=Feiertag,VLOOKUP(B142,db_Feiertag,2,FALSE),""))</f>
        <v/>
      </c>
      <c r="F142" s="5"/>
      <c r="G142" s="6" t="str">
        <f>IF(ISBLANK(F142),IF(ISBLANK(H142),"",0),CODE(UPPER(F142)))</f>
        <v/>
      </c>
      <c r="H142" s="7"/>
      <c r="I142" s="7">
        <f>IF(H142&gt;0,H142+Y142+X142+AC142,0)</f>
        <v>0</v>
      </c>
      <c r="J142" s="113">
        <f>IF(K142&gt;I142,IF(I142&lt;H142,I142+1,I142)-B_WalkTime,IF(I142&lt;H142,I142+1,I142))</f>
        <v>0</v>
      </c>
      <c r="K142" s="7"/>
      <c r="L142" s="7">
        <f>IF(K142&gt;0,K142+IF((J142-H142)&lt;Y142,Y142-(J142-H142),TIME(0,10,0))+IF((K142-J142)&gt;xNoWorkTime,0,xNoWorkTime-(K142-J142)),0)</f>
        <v>0</v>
      </c>
      <c r="M142" s="113">
        <f>IF(L142&lt;K142,L142+1,L142)</f>
        <v>0</v>
      </c>
      <c r="N142" s="113"/>
      <c r="O142" s="113">
        <f>IF(N142&gt;0,N142+IF((J142-H142+M142-K142)&lt;Y142,Y142-(J142-H142+M142-K142),TIME(0,10,0))+IF((K142-J142+N142-M142)&gt;xNoWorkTime,0,xNoWorkTime-(K142-J142+N142-M142)),0)</f>
        <v>0</v>
      </c>
      <c r="P142" s="113"/>
      <c r="Q142" s="113">
        <f>IF(O142&lt;N142,O142+1,O142)</f>
        <v>0</v>
      </c>
      <c r="R142" s="113">
        <f>J142-H142+M142-K142+Q142-N142</f>
        <v>0</v>
      </c>
      <c r="S142" s="113">
        <f>IF(K142&gt;0,K142-I142,0)+IF(N142&gt;0,N142-L142)</f>
        <v>0</v>
      </c>
      <c r="T142" s="113">
        <f>IF(H142&gt;0,(IF(R142&gt;B_Pause1Nach,B_Pause1Dauer+IF(BA142="Büro",B_WalkTime,0),IF(BA142="Büro",B_WalkTime,0))+IF(R142&gt;B_Pause2Nach,B_Pause2Dauer,0)),0)</f>
        <v>0</v>
      </c>
      <c r="U142" s="113">
        <f>IF(T142&gt;S142,T142-S142,0)</f>
        <v>0</v>
      </c>
      <c r="V142" s="146">
        <f>IF(F142="S",Z142,(IF((R142-U142)&gt;XWorkTimeMax,XWorkTimeMax,IF((R142-U142)&gt;0,R142-U142,0))))</f>
        <v>0</v>
      </c>
      <c r="W142" s="66"/>
      <c r="X142" s="115">
        <f>xNoWorkTime</f>
        <v>4.027777777777778E-2</v>
      </c>
      <c r="Y142" s="110">
        <f>IF(AND((AM142&lt;Feiertag),(G142&lt;&gt;85)),IF(OR(F142="B",F142="G",F142="S",H142&gt;0),H142-H142+Z142,0),0)</f>
        <v>0</v>
      </c>
      <c r="Z142" s="111">
        <f>IF(AND(AM142&gt;0,AM142&lt;Feiertag),INDEX(Arbeitszeit,AM142),"")</f>
        <v>0.29166666666666669</v>
      </c>
      <c r="AA142" s="112">
        <f>V142-Y142</f>
        <v>0</v>
      </c>
      <c r="AB142" s="67" t="str">
        <f>IF((V142-Y142)&lt;0,"*","")</f>
        <v/>
      </c>
      <c r="AC142" s="193">
        <f>xOverTime</f>
        <v>0</v>
      </c>
      <c r="AD142" s="144" t="str">
        <f>IF((R142-U142)&gt;XWorkTimeMax,(R142-U142-XWorkTimeMax),"")</f>
        <v/>
      </c>
      <c r="AE142" s="225">
        <f>IF(AW142,(AE141+SUM(AA142)+(IF(AG142="+",AF142,-AF142))),)</f>
        <v>0</v>
      </c>
      <c r="AF142" s="110"/>
      <c r="AG142" s="627"/>
      <c r="AH142" s="110"/>
      <c r="AI142" s="110" t="str">
        <f>IF(AND(AF142&lt;&gt;"",AF142&lt;=V142),V142-AF142,"")</f>
        <v/>
      </c>
      <c r="AJ142" s="68">
        <f>IF(ISNUMBER(V142 ), IF( V142 &gt;= Y142, Y142, V142 ),"")</f>
        <v>0</v>
      </c>
      <c r="AK142" s="68">
        <f>IF( ISNUMBER( V142 ), IF( V142 &gt;= Y142, V142 - Y142, "" ), "" )</f>
        <v>0</v>
      </c>
      <c r="AL142" s="68" t="str">
        <f>IF( AND(ISNUMBER( V142 ),ISNUMBER( Y142 )), IF( V142 &gt;= Y142, "", Y142 - V142 ), "" )</f>
        <v/>
      </c>
      <c r="AM142">
        <f>IF(A142="",0,IF(ISERROR(VLOOKUP(A142,db_Feiertag,2,FALSE)),WEEKDAY(A142,2),Feiertag))</f>
        <v>3</v>
      </c>
      <c r="AN142" s="122">
        <f>SUM($AD$6:AD142)</f>
        <v>0</v>
      </c>
      <c r="AO142" s="122">
        <f ca="1">IF(D142=D141,AO141,OFFSET(AO142,-1,COLUMN(db_jSaldoGes)-COLUMN()))</f>
        <v>0</v>
      </c>
      <c r="AP142" s="126">
        <f>IF(OR($G142=-1,$G142=82),-1,IF(OR($G142=0,$G142=83),1,0))</f>
        <v>0</v>
      </c>
      <c r="AQ142" s="126">
        <f>IF($F142=Krank,1,IF($F142="J",-1,0))</f>
        <v>0</v>
      </c>
      <c r="AR142" s="126">
        <f>IF($F142=Urlaub,1,IF($F142="T",-1,0))</f>
        <v>0</v>
      </c>
      <c r="AS142" s="125">
        <f>IF(A142="","",AS141-IF(F142=Urlaub,1,0)+IF(AND(MONTH(A142)=1,DAY(A142)=1),B_UrlaubNeu,0))</f>
        <v>30</v>
      </c>
      <c r="AT142" s="125">
        <f ca="1">IF(A142="","",IF(D142=D141,AT141,OFFSET(AT142,-1,COLUMN(db_jUrlRest)-COLUMN()))+IF(AND(MONTH(A142)=1,DAY(A142)=1),B_UrlaubNeu,0))</f>
        <v>30</v>
      </c>
      <c r="AU142" s="135">
        <f>(IF(ISNUMBER(V142),V142,0)+IF(ISNUMBER(AD142),AD142,0))*24</f>
        <v>0</v>
      </c>
      <c r="AV142" s="125">
        <f>IF(ISNUMBER(AD142),K_ArbeitOverMax,IF(AND(ISNUMBER(AA142),AA142&gt;0),K_ArbeitOverTime,IF(AND(ISNUMBER(V142),V142&gt;0),K_ArbeitNormal,IF(F142=Krank,K_Krank,IF(F142=Urlaub,K_Urlaub,IF(AM142=Feiertag,K_Feiertag,IF(OR(AM142=6,AM142=7),K_Wochenende,0)))))))+IF(F142=Gleittag,K_Gleittag,0)</f>
        <v>0</v>
      </c>
      <c r="AW142" t="b">
        <f>OR((F142&gt;0),(NOT(ISBLANK(H142))),SUM(H142:H$373),SUM(G142:G$373))</f>
        <v>0</v>
      </c>
      <c r="AX142" t="b">
        <f ca="1">INDIRECT(ADDRESS(ROW(),COLUMN(xDay)))&gt;5</f>
        <v>0</v>
      </c>
      <c r="AY142" s="600">
        <f>IF(OR(R142&lt;&gt;0,F142&lt;&gt;0),AA142,IF(Z142="",0,-Z142))+(IF(AG142="+",AF142,-AF142))</f>
        <v>-0.29166666666666669</v>
      </c>
      <c r="AZ142" s="225">
        <f>SUM(AY$5:AY142)</f>
        <v>-27.4166666666667</v>
      </c>
      <c r="BA142" s="658"/>
      <c r="BB142" s="658">
        <f>IF(ISNA(MATCH(BA142,B_Arbeitsort,0)),0,MATCH(BA142,B_Arbeitsort,0))</f>
        <v>0</v>
      </c>
      <c r="BC142" s="658"/>
    </row>
    <row r="143" spans="1:55" ht="15.75">
      <c r="A143" s="305">
        <f>IF(A142="","",IF((A142+1)&gt;=DATE(YEAR(xJahr)+1,MONTH(xJahr),DAY(xJahr)),"",A142+1))</f>
        <v>43602</v>
      </c>
      <c r="B143" s="306">
        <f>IF(A143="","",A143)</f>
        <v>43602</v>
      </c>
      <c r="C143" s="307">
        <f>IF(A143="","",NumberOfWeek(A143))</f>
        <v>20</v>
      </c>
      <c r="D143" s="308">
        <f>IF(A143="","",DATE(YEAR(A143),MONTH(A143),1))</f>
        <v>43585</v>
      </c>
      <c r="E143" s="318" t="str">
        <f>IF((R143-U143)&gt;XWorkTimeMax,$Z$4,IF(AV143=Feiertag,VLOOKUP(B143,db_Feiertag,2,FALSE),""))</f>
        <v>Christi Himmelfahrt</v>
      </c>
      <c r="F143" s="5"/>
      <c r="G143" s="6" t="str">
        <f>IF(ISBLANK(F143),IF(ISBLANK(H143),"",0),CODE(UPPER(F143)))</f>
        <v/>
      </c>
      <c r="H143" s="7"/>
      <c r="I143" s="7">
        <f>IF(H143&gt;0,H143+Y143+X143+AC143,0)</f>
        <v>0</v>
      </c>
      <c r="J143" s="113">
        <f>IF(K143&gt;I143,IF(I143&lt;H143,I143+1,I143)-B_WalkTime,IF(I143&lt;H143,I143+1,I143))</f>
        <v>0</v>
      </c>
      <c r="K143" s="7"/>
      <c r="L143" s="7">
        <f>IF(K143&gt;0,K143+IF((J143-H143)&lt;Y143,Y143-(J143-H143),TIME(0,10,0))+IF((K143-J143)&gt;xNoWorkTime,0,xNoWorkTime-(K143-J143)),0)</f>
        <v>0</v>
      </c>
      <c r="M143" s="113">
        <f>IF(L143&lt;K143,L143+1,L143)</f>
        <v>0</v>
      </c>
      <c r="N143" s="113"/>
      <c r="O143" s="113">
        <f>IF(N143&gt;0,N143+IF((J143-H143+M143-K143)&lt;Y143,Y143-(J143-H143+M143-K143),TIME(0,10,0))+IF((K143-J143+N143-M143)&gt;xNoWorkTime,0,xNoWorkTime-(K143-J143+N143-M143)),0)</f>
        <v>0</v>
      </c>
      <c r="P143" s="113"/>
      <c r="Q143" s="113">
        <f>IF(O143&lt;N143,O143+1,O143)</f>
        <v>0</v>
      </c>
      <c r="R143" s="113">
        <f>J143-H143+M143-K143+Q143-N143</f>
        <v>0</v>
      </c>
      <c r="S143" s="113">
        <f>IF(K143&gt;0,K143-I143,0)+IF(N143&gt;0,N143-L143)</f>
        <v>0</v>
      </c>
      <c r="T143" s="113">
        <f>IF(H143&gt;0,(IF(R143&gt;B_Pause1Nach,B_Pause1Dauer+IF(BA143="Büro",B_WalkTime,0),IF(BA143="Büro",B_WalkTime,0))+IF(R143&gt;B_Pause2Nach,B_Pause2Dauer,0)),0)</f>
        <v>0</v>
      </c>
      <c r="U143" s="113">
        <f>IF(T143&gt;S143,T143-S143,0)</f>
        <v>0</v>
      </c>
      <c r="V143" s="146">
        <f>IF(F143="S",Z143,(IF((R143-U143)&gt;XWorkTimeMax,XWorkTimeMax,IF((R143-U143)&gt;0,R143-U143,0))))</f>
        <v>0</v>
      </c>
      <c r="W143" s="66"/>
      <c r="X143" s="115">
        <f>xNoWorkTime</f>
        <v>4.027777777777778E-2</v>
      </c>
      <c r="Y143" s="110">
        <f>IF(AND((AM143&lt;Feiertag),(G143&lt;&gt;85)),IF(OR(F143="B",F143="G",F143="S",H143&gt;0),H143-H143+Z143,0),0)</f>
        <v>0</v>
      </c>
      <c r="Z143" s="111" t="str">
        <f>IF(AND(AM143&gt;0,AM143&lt;Feiertag),INDEX(Arbeitszeit,AM143),"")</f>
        <v/>
      </c>
      <c r="AA143" s="112">
        <f>V143-Y143</f>
        <v>0</v>
      </c>
      <c r="AB143" s="67" t="str">
        <f>IF((V143-Y143)&lt;0,"*","")</f>
        <v/>
      </c>
      <c r="AC143" s="193">
        <f>xOverTime</f>
        <v>0</v>
      </c>
      <c r="AD143" s="144" t="str">
        <f>IF((R143-U143)&gt;XWorkTimeMax,(R143-U143-XWorkTimeMax),"")</f>
        <v/>
      </c>
      <c r="AE143" s="225">
        <f>IF(AW143,(AE142+SUM(AA143)+(IF(AG143="+",AF143,-AF143))),)</f>
        <v>0</v>
      </c>
      <c r="AF143" s="110"/>
      <c r="AG143" s="627"/>
      <c r="AH143" s="110"/>
      <c r="AI143" s="110" t="str">
        <f>IF(AND(AF143&lt;&gt;"",AF143&lt;=V143),V143-AF143,"")</f>
        <v/>
      </c>
      <c r="AJ143" s="68">
        <f>IF(ISNUMBER(V143 ), IF( V143 &gt;= Y143, Y143, V143 ),"")</f>
        <v>0</v>
      </c>
      <c r="AK143" s="68">
        <f>IF( ISNUMBER( V143 ), IF( V143 &gt;= Y143, V143 - Y143, "" ), "" )</f>
        <v>0</v>
      </c>
      <c r="AL143" s="68" t="str">
        <f>IF( AND(ISNUMBER( V143 ),ISNUMBER( Y143 )), IF( V143 &gt;= Y143, "", Y143 - V143 ), "" )</f>
        <v/>
      </c>
      <c r="AM143">
        <f>IF(A143="",0,IF(ISERROR(VLOOKUP(A143,db_Feiertag,2,FALSE)),WEEKDAY(A143,2),Feiertag))</f>
        <v>8</v>
      </c>
      <c r="AN143" s="122">
        <f>SUM($AD$6:AD143)</f>
        <v>0</v>
      </c>
      <c r="AO143" s="122">
        <f ca="1">IF(D143=D142,AO142,OFFSET(AO143,-1,COLUMN(db_jSaldoGes)-COLUMN()))</f>
        <v>0</v>
      </c>
      <c r="AP143" s="126">
        <f>IF(OR($G143=-1,$G143=82),-1,IF(OR($G143=0,$G143=83),1,0))</f>
        <v>0</v>
      </c>
      <c r="AQ143" s="126">
        <f>IF($F143=Krank,1,IF($F143="J",-1,0))</f>
        <v>0</v>
      </c>
      <c r="AR143" s="126">
        <f>IF($F143=Urlaub,1,IF($F143="T",-1,0))</f>
        <v>0</v>
      </c>
      <c r="AS143" s="125">
        <f>IF(A143="","",AS142-IF(F143=Urlaub,1,0)+IF(AND(MONTH(A143)=1,DAY(A143)=1),B_UrlaubNeu,0))</f>
        <v>30</v>
      </c>
      <c r="AT143" s="125">
        <f ca="1">IF(A143="","",IF(D143=D142,AT142,OFFSET(AT143,-1,COLUMN(db_jUrlRest)-COLUMN()))+IF(AND(MONTH(A143)=1,DAY(A143)=1),B_UrlaubNeu,0))</f>
        <v>30</v>
      </c>
      <c r="AU143" s="135">
        <f>(IF(ISNUMBER(V143),V143,0)+IF(ISNUMBER(AD143),AD143,0))*24</f>
        <v>0</v>
      </c>
      <c r="AV143" s="125">
        <f>IF(ISNUMBER(AD143),K_ArbeitOverMax,IF(AND(ISNUMBER(AA143),AA143&gt;0),K_ArbeitOverTime,IF(AND(ISNUMBER(V143),V143&gt;0),K_ArbeitNormal,IF(F143=Krank,K_Krank,IF(F143=Urlaub,K_Urlaub,IF(AM143=Feiertag,K_Feiertag,IF(OR(AM143=6,AM143=7),K_Wochenende,0)))))))+IF(F143=Gleittag,K_Gleittag,0)</f>
        <v>8</v>
      </c>
      <c r="AW143" t="b">
        <f>OR((F143&gt;0),(NOT(ISBLANK(H143))),SUM(H143:H$373),SUM(G143:G$373))</f>
        <v>0</v>
      </c>
      <c r="AX143" t="b">
        <f ca="1">INDIRECT(ADDRESS(ROW(),COLUMN(xDay)))&gt;5</f>
        <v>1</v>
      </c>
      <c r="AY143" s="600">
        <f>IF(OR(R143&lt;&gt;0,F143&lt;&gt;0),AA143,IF(Z143="",0,-Z143))+(IF(AG143="+",AF143,-AF143))</f>
        <v>0</v>
      </c>
      <c r="AZ143" s="225">
        <f>SUM(AY$5:AY143)</f>
        <v>-27.4166666666667</v>
      </c>
      <c r="BA143" s="643"/>
      <c r="BB143" s="658">
        <f>IF(ISNA(MATCH(BA143,B_Arbeitsort,0)),0,MATCH(BA143,B_Arbeitsort,0))</f>
        <v>0</v>
      </c>
      <c r="BC143" s="643"/>
    </row>
    <row r="144" spans="1:55" ht="15.75">
      <c r="A144" s="305">
        <f>IF(A143="","",IF((A143+1)&gt;=DATE(YEAR(xJahr)+1,MONTH(xJahr),DAY(xJahr)),"",A143+1))</f>
        <v>43603</v>
      </c>
      <c r="B144" s="306">
        <f>IF(A144="","",A144)</f>
        <v>43603</v>
      </c>
      <c r="C144" s="307">
        <f>IF(A144="","",NumberOfWeek(A144))</f>
        <v>20</v>
      </c>
      <c r="D144" s="308">
        <f>IF(A144="","",DATE(YEAR(A144),MONTH(A144),1))</f>
        <v>43585</v>
      </c>
      <c r="E144" s="318" t="str">
        <f>IF((R144-U144)&gt;XWorkTimeMax,$Z$4,IF(AV144=Feiertag,VLOOKUP(B144,db_Feiertag,2,FALSE),""))</f>
        <v/>
      </c>
      <c r="F144" s="5"/>
      <c r="G144" s="6" t="str">
        <f>IF(ISBLANK(F144),IF(ISBLANK(H144),"",0),CODE(UPPER(F144)))</f>
        <v/>
      </c>
      <c r="H144" s="7"/>
      <c r="I144" s="7">
        <f>IF(H144&gt;0,H144+Y144+X144+AC144,0)</f>
        <v>0</v>
      </c>
      <c r="J144" s="113">
        <f>IF(K144&gt;I144,IF(I144&lt;H144,I144+1,I144)-B_WalkTime,IF(I144&lt;H144,I144+1,I144))</f>
        <v>0</v>
      </c>
      <c r="K144" s="7"/>
      <c r="L144" s="7">
        <f>IF(K144&gt;0,K144+IF((J144-H144)&lt;Y144,Y144-(J144-H144),TIME(0,10,0))+IF((K144-J144)&gt;xNoWorkTime,0,xNoWorkTime-(K144-J144)),0)</f>
        <v>0</v>
      </c>
      <c r="M144" s="113">
        <f>IF(L144&lt;K144,L144+1,L144)</f>
        <v>0</v>
      </c>
      <c r="N144" s="113"/>
      <c r="O144" s="113">
        <f>IF(N144&gt;0,N144+IF((J144-H144+M144-K144)&lt;Y144,Y144-(J144-H144+M144-K144),TIME(0,10,0))+IF((K144-J144+N144-M144)&gt;xNoWorkTime,0,xNoWorkTime-(K144-J144+N144-M144)),0)</f>
        <v>0</v>
      </c>
      <c r="P144" s="113"/>
      <c r="Q144" s="113">
        <f>IF(O144&lt;N144,O144+1,O144)</f>
        <v>0</v>
      </c>
      <c r="R144" s="113">
        <f>J144-H144+M144-K144+Q144-N144</f>
        <v>0</v>
      </c>
      <c r="S144" s="113">
        <f>IF(K144&gt;0,K144-I144,0)+IF(N144&gt;0,N144-L144)</f>
        <v>0</v>
      </c>
      <c r="T144" s="113">
        <f>IF(H144&gt;0,(IF(R144&gt;B_Pause1Nach,B_Pause1Dauer+IF(BA144="Büro",B_WalkTime,0),IF(BA144="Büro",B_WalkTime,0))+IF(R144&gt;B_Pause2Nach,B_Pause2Dauer,0)),0)</f>
        <v>0</v>
      </c>
      <c r="U144" s="113">
        <f>IF(T144&gt;S144,T144-S144,0)</f>
        <v>0</v>
      </c>
      <c r="V144" s="146">
        <f>IF(F144="S",Z144,(IF((R144-U144)&gt;XWorkTimeMax,XWorkTimeMax,IF((R144-U144)&gt;0,R144-U144,0))))</f>
        <v>0</v>
      </c>
      <c r="W144" s="66"/>
      <c r="X144" s="115">
        <f>xNoWorkTime</f>
        <v>4.027777777777778E-2</v>
      </c>
      <c r="Y144" s="110">
        <f>IF(AND((AM144&lt;Feiertag),(G144&lt;&gt;85)),IF(OR(F144="B",F144="G",F144="S",H144&gt;0),H144-H144+Z144,0),0)</f>
        <v>0</v>
      </c>
      <c r="Z144" s="111">
        <f>IF(AND(AM144&gt;0,AM144&lt;Feiertag),INDEX(Arbeitszeit,AM144),"")</f>
        <v>0.29166666666666669</v>
      </c>
      <c r="AA144" s="112">
        <f>V144-Y144</f>
        <v>0</v>
      </c>
      <c r="AB144" s="67" t="str">
        <f>IF((V144-Y144)&lt;0,"*","")</f>
        <v/>
      </c>
      <c r="AC144" s="193">
        <f>xOverTime</f>
        <v>0</v>
      </c>
      <c r="AD144" s="144" t="str">
        <f>IF((R144-U144)&gt;XWorkTimeMax,(R144-U144-XWorkTimeMax),"")</f>
        <v/>
      </c>
      <c r="AE144" s="225">
        <f>IF(AW144,(AE143+SUM(AA144)+(IF(AG144="+",AF144,-AF144))),)</f>
        <v>0</v>
      </c>
      <c r="AF144" s="110"/>
      <c r="AG144" s="627"/>
      <c r="AH144" s="110"/>
      <c r="AI144" s="110" t="str">
        <f>IF(AND(AF144&lt;&gt;"",AF144&lt;=V144),V144-AF144,"")</f>
        <v/>
      </c>
      <c r="AJ144" s="68">
        <f>IF(ISNUMBER(V144 ), IF( V144 &gt;= Y144, Y144, V144 ),"")</f>
        <v>0</v>
      </c>
      <c r="AK144" s="68">
        <f>IF( ISNUMBER( V144 ), IF( V144 &gt;= Y144, V144 - Y144, "" ), "" )</f>
        <v>0</v>
      </c>
      <c r="AL144" s="68" t="str">
        <f>IF( AND(ISNUMBER( V144 ),ISNUMBER( Y144 )), IF( V144 &gt;= Y144, "", Y144 - V144 ), "" )</f>
        <v/>
      </c>
      <c r="AM144">
        <f>IF(A144="",0,IF(ISERROR(VLOOKUP(A144,db_Feiertag,2,FALSE)),WEEKDAY(A144,2),Feiertag))</f>
        <v>5</v>
      </c>
      <c r="AN144" s="122">
        <f>SUM($AD$6:AD144)</f>
        <v>0</v>
      </c>
      <c r="AO144" s="122">
        <f ca="1">IF(D144=D143,AO143,OFFSET(AO144,-1,COLUMN(db_jSaldoGes)-COLUMN()))</f>
        <v>0</v>
      </c>
      <c r="AP144" s="126">
        <f>IF(OR($G144=-1,$G144=82),-1,IF(OR($G144=0,$G144=83),1,0))</f>
        <v>0</v>
      </c>
      <c r="AQ144" s="126">
        <f>IF($F144=Krank,1,IF($F144="J",-1,0))</f>
        <v>0</v>
      </c>
      <c r="AR144" s="126">
        <f>IF($F144=Urlaub,1,IF($F144="T",-1,0))</f>
        <v>0</v>
      </c>
      <c r="AS144" s="125">
        <f>IF(A144="","",AS143-IF(F144=Urlaub,1,0)+IF(AND(MONTH(A144)=1,DAY(A144)=1),B_UrlaubNeu,0))</f>
        <v>30</v>
      </c>
      <c r="AT144" s="125">
        <f ca="1">IF(A144="","",IF(D144=D143,AT143,OFFSET(AT144,-1,COLUMN(db_jUrlRest)-COLUMN()))+IF(AND(MONTH(A144)=1,DAY(A144)=1),B_UrlaubNeu,0))</f>
        <v>30</v>
      </c>
      <c r="AU144" s="135">
        <f>(IF(ISNUMBER(V144),V144,0)+IF(ISNUMBER(AD144),AD144,0))*24</f>
        <v>0</v>
      </c>
      <c r="AV144" s="125">
        <f>IF(ISNUMBER(AD144),K_ArbeitOverMax,IF(AND(ISNUMBER(AA144),AA144&gt;0),K_ArbeitOverTime,IF(AND(ISNUMBER(V144),V144&gt;0),K_ArbeitNormal,IF(F144=Krank,K_Krank,IF(F144=Urlaub,K_Urlaub,IF(AM144=Feiertag,K_Feiertag,IF(OR(AM144=6,AM144=7),K_Wochenende,0)))))))+IF(F144=Gleittag,K_Gleittag,0)</f>
        <v>0</v>
      </c>
      <c r="AW144" t="b">
        <f>OR((F144&gt;0),(NOT(ISBLANK(H144))),SUM(H144:H$373),SUM(G144:G$373))</f>
        <v>0</v>
      </c>
      <c r="AX144" t="b">
        <f ca="1">INDIRECT(ADDRESS(ROW(),COLUMN(xDay)))&gt;5</f>
        <v>0</v>
      </c>
      <c r="AY144" s="600">
        <f>IF(OR(R144&lt;&gt;0,F144&lt;&gt;0),AA144,IF(Z144="",0,-Z144))+(IF(AG144="+",AF144,-AF144))</f>
        <v>-0.29166666666666669</v>
      </c>
      <c r="AZ144" s="225">
        <f>SUM(AY$5:AY144)</f>
        <v>-27.708333333333368</v>
      </c>
      <c r="BA144" s="658"/>
      <c r="BB144" s="658">
        <f>IF(ISNA(MATCH(BA144,B_Arbeitsort,0)),0,MATCH(BA144,B_Arbeitsort,0))</f>
        <v>0</v>
      </c>
      <c r="BC144" s="658"/>
    </row>
    <row r="145" spans="1:55" ht="15.75">
      <c r="A145" s="305">
        <f>IF(A144="","",IF((A144+1)&gt;=DATE(YEAR(xJahr)+1,MONTH(xJahr),DAY(xJahr)),"",A144+1))</f>
        <v>43604</v>
      </c>
      <c r="B145" s="306">
        <f>IF(A145="","",A145)</f>
        <v>43604</v>
      </c>
      <c r="C145" s="307">
        <f>IF(A145="","",NumberOfWeek(A145))</f>
        <v>20</v>
      </c>
      <c r="D145" s="308">
        <f>IF(A145="","",DATE(YEAR(A145),MONTH(A145),1))</f>
        <v>43585</v>
      </c>
      <c r="E145" s="318" t="str">
        <f>IF((R145-U145)&gt;XWorkTimeMax,$Z$4,IF(AV145=Feiertag,VLOOKUP(B145,db_Feiertag,2,FALSE),""))</f>
        <v/>
      </c>
      <c r="F145" s="5"/>
      <c r="G145" s="6" t="str">
        <f>IF(ISBLANK(F145),IF(ISBLANK(H145),"",0),CODE(UPPER(F145)))</f>
        <v/>
      </c>
      <c r="H145" s="7"/>
      <c r="I145" s="7">
        <f>IF(H145&gt;0,H145+Y145+X145+AC145,0)</f>
        <v>0</v>
      </c>
      <c r="J145" s="113">
        <f>IF(K145&gt;I145,IF(I145&lt;H145,I145+1,I145)-B_WalkTime,IF(I145&lt;H145,I145+1,I145))</f>
        <v>0</v>
      </c>
      <c r="K145" s="7"/>
      <c r="L145" s="7">
        <f>IF(K145&gt;0,K145+IF((J145-H145)&lt;Y145,Y145-(J145-H145),TIME(0,10,0))+IF((K145-J145)&gt;xNoWorkTime,0,xNoWorkTime-(K145-J145)),0)</f>
        <v>0</v>
      </c>
      <c r="M145" s="113">
        <f>IF(L145&lt;K145,L145+1,L145)</f>
        <v>0</v>
      </c>
      <c r="N145" s="113"/>
      <c r="O145" s="113">
        <f>IF(N145&gt;0,N145+IF((J145-H145+M145-K145)&lt;Y145,Y145-(J145-H145+M145-K145),TIME(0,10,0))+IF((K145-J145+N145-M145)&gt;xNoWorkTime,0,xNoWorkTime-(K145-J145+N145-M145)),0)</f>
        <v>0</v>
      </c>
      <c r="P145" s="113"/>
      <c r="Q145" s="113">
        <f>IF(O145&lt;N145,O145+1,O145)</f>
        <v>0</v>
      </c>
      <c r="R145" s="113">
        <f>J145-H145+M145-K145+Q145-N145</f>
        <v>0</v>
      </c>
      <c r="S145" s="113">
        <f>IF(K145&gt;0,K145-I145,0)+IF(N145&gt;0,N145-L145)</f>
        <v>0</v>
      </c>
      <c r="T145" s="113">
        <f>IF(H145&gt;0,(IF(R145&gt;B_Pause1Nach,B_Pause1Dauer+IF(BA145="Büro",B_WalkTime,0),IF(BA145="Büro",B_WalkTime,0))+IF(R145&gt;B_Pause2Nach,B_Pause2Dauer,0)),0)</f>
        <v>0</v>
      </c>
      <c r="U145" s="113">
        <f>IF(T145&gt;S145,T145-S145,0)</f>
        <v>0</v>
      </c>
      <c r="V145" s="146">
        <f>IF(F145="S",Z145,(IF((R145-U145)&gt;XWorkTimeMax,XWorkTimeMax,IF((R145-U145)&gt;0,R145-U145,0))))</f>
        <v>0</v>
      </c>
      <c r="W145" s="66"/>
      <c r="X145" s="115">
        <f>xNoWorkTime</f>
        <v>4.027777777777778E-2</v>
      </c>
      <c r="Y145" s="110">
        <f>IF(AND((AM145&lt;Feiertag),(G145&lt;&gt;85)),IF(OR(F145="B",F145="G",F145="S",H145&gt;0),H145-H145+Z145,0),0)</f>
        <v>0</v>
      </c>
      <c r="Z145" s="111">
        <f>IF(AND(AM145&gt;0,AM145&lt;Feiertag),INDEX(Arbeitszeit,AM145),"")</f>
        <v>0</v>
      </c>
      <c r="AA145" s="112">
        <f>V145-Y145</f>
        <v>0</v>
      </c>
      <c r="AB145" s="67" t="str">
        <f>IF((V145-Y145)&lt;0,"*","")</f>
        <v/>
      </c>
      <c r="AC145" s="193">
        <f>xOverTime</f>
        <v>0</v>
      </c>
      <c r="AD145" s="144" t="str">
        <f>IF((R145-U145)&gt;XWorkTimeMax,(R145-U145-XWorkTimeMax),"")</f>
        <v/>
      </c>
      <c r="AE145" s="225">
        <f>IF(AW145,(AE144+SUM(AA145)+(IF(AG145="+",AF145,-AF145))),)</f>
        <v>0</v>
      </c>
      <c r="AF145" s="110"/>
      <c r="AG145" s="627"/>
      <c r="AH145" s="110"/>
      <c r="AI145" s="110" t="str">
        <f>IF(AND(AF145&lt;&gt;"",AF145&lt;=V145),V145-AF145,"")</f>
        <v/>
      </c>
      <c r="AJ145" s="68">
        <f>IF(ISNUMBER(V145 ), IF( V145 &gt;= Y145, Y145, V145 ),"")</f>
        <v>0</v>
      </c>
      <c r="AK145" s="68">
        <f>IF( ISNUMBER( V145 ), IF( V145 &gt;= Y145, V145 - Y145, "" ), "" )</f>
        <v>0</v>
      </c>
      <c r="AL145" s="68" t="str">
        <f>IF( AND(ISNUMBER( V145 ),ISNUMBER( Y145 )), IF( V145 &gt;= Y145, "", Y145 - V145 ), "" )</f>
        <v/>
      </c>
      <c r="AM145">
        <f>IF(A145="",0,IF(ISERROR(VLOOKUP(A145,db_Feiertag,2,FALSE)),WEEKDAY(A145,2),Feiertag))</f>
        <v>6</v>
      </c>
      <c r="AN145" s="122">
        <f>SUM($AD$6:AD145)</f>
        <v>0</v>
      </c>
      <c r="AO145" s="122">
        <f ca="1">IF(D145=D144,AO144,OFFSET(AO145,-1,COLUMN(db_jSaldoGes)-COLUMN()))</f>
        <v>0</v>
      </c>
      <c r="AP145" s="126">
        <f>IF(OR($G145=-1,$G145=82),-1,IF(OR($G145=0,$G145=83),1,0))</f>
        <v>0</v>
      </c>
      <c r="AQ145" s="126">
        <f>IF($F145=Krank,1,IF($F145="J",-1,0))</f>
        <v>0</v>
      </c>
      <c r="AR145" s="126">
        <f>IF($F145=Urlaub,1,IF($F145="T",-1,0))</f>
        <v>0</v>
      </c>
      <c r="AS145" s="125">
        <f>IF(A145="","",AS144-IF(F145=Urlaub,1,0)+IF(AND(MONTH(A145)=1,DAY(A145)=1),B_UrlaubNeu,0))</f>
        <v>30</v>
      </c>
      <c r="AT145" s="125">
        <f ca="1">IF(A145="","",IF(D145=D144,AT144,OFFSET(AT145,-1,COLUMN(db_jUrlRest)-COLUMN()))+IF(AND(MONTH(A145)=1,DAY(A145)=1),B_UrlaubNeu,0))</f>
        <v>30</v>
      </c>
      <c r="AU145" s="135">
        <f>(IF(ISNUMBER(V145),V145,0)+IF(ISNUMBER(AD145),AD145,0))*24</f>
        <v>0</v>
      </c>
      <c r="AV145" s="125">
        <f>IF(ISNUMBER(AD145),K_ArbeitOverMax,IF(AND(ISNUMBER(AA145),AA145&gt;0),K_ArbeitOverTime,IF(AND(ISNUMBER(V145),V145&gt;0),K_ArbeitNormal,IF(F145=Krank,K_Krank,IF(F145=Urlaub,K_Urlaub,IF(AM145=Feiertag,K_Feiertag,IF(OR(AM145=6,AM145=7),K_Wochenende,0)))))))+IF(F145=Gleittag,K_Gleittag,0)</f>
        <v>7</v>
      </c>
      <c r="AW145" t="b">
        <f>OR((F145&gt;0),(NOT(ISBLANK(H145))),SUM(H145:H$373),SUM(G145:G$373))</f>
        <v>0</v>
      </c>
      <c r="AX145" t="b">
        <f ca="1">INDIRECT(ADDRESS(ROW(),COLUMN(xDay)))&gt;5</f>
        <v>1</v>
      </c>
      <c r="AY145" s="600">
        <f>IF(OR(R145&lt;&gt;0,F145&lt;&gt;0),AA145,IF(Z145="",0,-Z145))+(IF(AG145="+",AF145,-AF145))</f>
        <v>0</v>
      </c>
      <c r="AZ145" s="225">
        <f>SUM(AY$5:AY145)</f>
        <v>-27.708333333333368</v>
      </c>
      <c r="BA145" s="643"/>
      <c r="BB145" s="658">
        <f>IF(ISNA(MATCH(BA145,B_Arbeitsort,0)),0,MATCH(BA145,B_Arbeitsort,0))</f>
        <v>0</v>
      </c>
      <c r="BC145" s="643"/>
    </row>
    <row r="146" spans="1:55" ht="15.75">
      <c r="A146" s="305">
        <f>IF(A145="","",IF((A145+1)&gt;=DATE(YEAR(xJahr)+1,MONTH(xJahr),DAY(xJahr)),"",A145+1))</f>
        <v>43605</v>
      </c>
      <c r="B146" s="306">
        <f>IF(A146="","",A146)</f>
        <v>43605</v>
      </c>
      <c r="C146" s="307">
        <f>IF(A146="","",NumberOfWeek(A146))</f>
        <v>20</v>
      </c>
      <c r="D146" s="308">
        <f>IF(A146="","",DATE(YEAR(A146),MONTH(A146),1))</f>
        <v>43585</v>
      </c>
      <c r="E146" s="318" t="str">
        <f>IF((R146-U146)&gt;XWorkTimeMax,$Z$4,IF(AV146=Feiertag,VLOOKUP(B146,db_Feiertag,2,FALSE),""))</f>
        <v/>
      </c>
      <c r="F146" s="5"/>
      <c r="G146" s="6" t="str">
        <f>IF(ISBLANK(F146),IF(ISBLANK(H146),"",0),CODE(UPPER(F146)))</f>
        <v/>
      </c>
      <c r="H146" s="7"/>
      <c r="I146" s="7">
        <f>IF(H146&gt;0,H146+Y146+X146+AC146,0)</f>
        <v>0</v>
      </c>
      <c r="J146" s="113">
        <f>IF(K146&gt;I146,IF(I146&lt;H146,I146+1,I146)-B_WalkTime,IF(I146&lt;H146,I146+1,I146))</f>
        <v>0</v>
      </c>
      <c r="K146" s="7"/>
      <c r="L146" s="7">
        <f>IF(K146&gt;0,K146+IF((J146-H146)&lt;Y146,Y146-(J146-H146),TIME(0,10,0))+IF((K146-J146)&gt;xNoWorkTime,0,xNoWorkTime-(K146-J146)),0)</f>
        <v>0</v>
      </c>
      <c r="M146" s="113">
        <f>IF(L146&lt;K146,L146+1,L146)</f>
        <v>0</v>
      </c>
      <c r="N146" s="113"/>
      <c r="O146" s="113">
        <f>IF(N146&gt;0,N146+IF((J146-H146+M146-K146)&lt;Y146,Y146-(J146-H146+M146-K146),TIME(0,10,0))+IF((K146-J146+N146-M146)&gt;xNoWorkTime,0,xNoWorkTime-(K146-J146+N146-M146)),0)</f>
        <v>0</v>
      </c>
      <c r="P146" s="113"/>
      <c r="Q146" s="113">
        <f>IF(O146&lt;N146,O146+1,O146)</f>
        <v>0</v>
      </c>
      <c r="R146" s="113">
        <f>J146-H146+M146-K146+Q146-N146</f>
        <v>0</v>
      </c>
      <c r="S146" s="113">
        <f>IF(K146&gt;0,K146-I146,0)+IF(N146&gt;0,N146-L146)</f>
        <v>0</v>
      </c>
      <c r="T146" s="113">
        <f>IF(H146&gt;0,(IF(R146&gt;B_Pause1Nach,B_Pause1Dauer+IF(BA146="Büro",B_WalkTime,0),IF(BA146="Büro",B_WalkTime,0))+IF(R146&gt;B_Pause2Nach,B_Pause2Dauer,0)),0)</f>
        <v>0</v>
      </c>
      <c r="U146" s="113">
        <f>IF(T146&gt;S146,T146-S146,0)</f>
        <v>0</v>
      </c>
      <c r="V146" s="146">
        <f>IF(F146="S",Z146,(IF((R146-U146)&gt;XWorkTimeMax,XWorkTimeMax,IF((R146-U146)&gt;0,R146-U146,0))))</f>
        <v>0</v>
      </c>
      <c r="W146" s="66"/>
      <c r="X146" s="115">
        <f>xNoWorkTime</f>
        <v>4.027777777777778E-2</v>
      </c>
      <c r="Y146" s="110">
        <f>IF(AND((AM146&lt;Feiertag),(G146&lt;&gt;85)),IF(OR(F146="B",F146="G",F146="S",H146&gt;0),H146-H146+Z146,0),0)</f>
        <v>0</v>
      </c>
      <c r="Z146" s="111">
        <f>IF(AND(AM146&gt;0,AM146&lt;Feiertag),INDEX(Arbeitszeit,AM146),"")</f>
        <v>0</v>
      </c>
      <c r="AA146" s="112">
        <f>V146-Y146</f>
        <v>0</v>
      </c>
      <c r="AB146" s="67" t="str">
        <f>IF((V146-Y146)&lt;0,"*","")</f>
        <v/>
      </c>
      <c r="AC146" s="193">
        <f>xOverTime</f>
        <v>0</v>
      </c>
      <c r="AD146" s="144" t="str">
        <f>IF((R146-U146)&gt;XWorkTimeMax,(R146-U146-XWorkTimeMax),"")</f>
        <v/>
      </c>
      <c r="AE146" s="225">
        <f>IF(AW146,(AE145+SUM(AA146)+(IF(AG146="+",AF146,-AF146))),)</f>
        <v>0</v>
      </c>
      <c r="AF146" s="110"/>
      <c r="AG146" s="627"/>
      <c r="AH146" s="110"/>
      <c r="AI146" s="110" t="str">
        <f>IF(AND(AF146&lt;&gt;"",AF146&lt;=V146),V146-AF146,"")</f>
        <v/>
      </c>
      <c r="AJ146" s="68">
        <f>IF(ISNUMBER(V146 ), IF( V146 &gt;= Y146, Y146, V146 ),"")</f>
        <v>0</v>
      </c>
      <c r="AK146" s="68">
        <f>IF( ISNUMBER( V146 ), IF( V146 &gt;= Y146, V146 - Y146, "" ), "" )</f>
        <v>0</v>
      </c>
      <c r="AL146" s="68" t="str">
        <f>IF( AND(ISNUMBER( V146 ),ISNUMBER( Y146 )), IF( V146 &gt;= Y146, "", Y146 - V146 ), "" )</f>
        <v/>
      </c>
      <c r="AM146">
        <f>IF(A146="",0,IF(ISERROR(VLOOKUP(A146,db_Feiertag,2,FALSE)),WEEKDAY(A146,2),Feiertag))</f>
        <v>7</v>
      </c>
      <c r="AN146" s="122">
        <f>SUM($AD$6:AD146)</f>
        <v>0</v>
      </c>
      <c r="AO146" s="122">
        <f ca="1">IF(D146=D145,AO145,OFFSET(AO146,-1,COLUMN(db_jSaldoGes)-COLUMN()))</f>
        <v>0</v>
      </c>
      <c r="AP146" s="126">
        <f>IF(OR($G146=-1,$G146=82),-1,IF(OR($G146=0,$G146=83),1,0))</f>
        <v>0</v>
      </c>
      <c r="AQ146" s="126">
        <f>IF($F146=Krank,1,IF($F146="J",-1,0))</f>
        <v>0</v>
      </c>
      <c r="AR146" s="126">
        <f>IF($F146=Urlaub,1,IF($F146="T",-1,0))</f>
        <v>0</v>
      </c>
      <c r="AS146" s="125">
        <f>IF(A146="","",AS145-IF(F146=Urlaub,1,0)+IF(AND(MONTH(A146)=1,DAY(A146)=1),B_UrlaubNeu,0))</f>
        <v>30</v>
      </c>
      <c r="AT146" s="125">
        <f ca="1">IF(A146="","",IF(D146=D145,AT145,OFFSET(AT146,-1,COLUMN(db_jUrlRest)-COLUMN()))+IF(AND(MONTH(A146)=1,DAY(A146)=1),B_UrlaubNeu,0))</f>
        <v>30</v>
      </c>
      <c r="AU146" s="135">
        <f>(IF(ISNUMBER(V146),V146,0)+IF(ISNUMBER(AD146),AD146,0))*24</f>
        <v>0</v>
      </c>
      <c r="AV146" s="125">
        <f>IF(ISNUMBER(AD146),K_ArbeitOverMax,IF(AND(ISNUMBER(AA146),AA146&gt;0),K_ArbeitOverTime,IF(AND(ISNUMBER(V146),V146&gt;0),K_ArbeitNormal,IF(F146=Krank,K_Krank,IF(F146=Urlaub,K_Urlaub,IF(AM146=Feiertag,K_Feiertag,IF(OR(AM146=6,AM146=7),K_Wochenende,0)))))))+IF(F146=Gleittag,K_Gleittag,0)</f>
        <v>7</v>
      </c>
      <c r="AW146" t="b">
        <f>OR((F146&gt;0),(NOT(ISBLANK(H146))),SUM(H146:H$373),SUM(G146:G$373))</f>
        <v>0</v>
      </c>
      <c r="AX146" t="b">
        <f ca="1">INDIRECT(ADDRESS(ROW(),COLUMN(xDay)))&gt;5</f>
        <v>1</v>
      </c>
      <c r="AY146" s="600">
        <f>IF(OR(R146&lt;&gt;0,F146&lt;&gt;0),AA146,IF(Z146="",0,-Z146))+(IF(AG146="+",AF146,-AF146))</f>
        <v>0</v>
      </c>
      <c r="AZ146" s="225">
        <f>SUM(AY$5:AY146)</f>
        <v>-27.708333333333368</v>
      </c>
      <c r="BA146" s="643"/>
      <c r="BB146" s="658">
        <f>IF(ISNA(MATCH(BA146,B_Arbeitsort,0)),0,MATCH(BA146,B_Arbeitsort,0))</f>
        <v>0</v>
      </c>
      <c r="BC146" s="643"/>
    </row>
    <row r="147" spans="1:55" ht="15.75">
      <c r="A147" s="305">
        <f>IF(A146="","",IF((A146+1)&gt;=DATE(YEAR(xJahr)+1,MONTH(xJahr),DAY(xJahr)),"",A146+1))</f>
        <v>43606</v>
      </c>
      <c r="B147" s="306">
        <f>IF(A147="","",A147)</f>
        <v>43606</v>
      </c>
      <c r="C147" s="307">
        <f>IF(A147="","",NumberOfWeek(A147))</f>
        <v>21</v>
      </c>
      <c r="D147" s="308">
        <f>IF(A147="","",DATE(YEAR(A147),MONTH(A147),1))</f>
        <v>43585</v>
      </c>
      <c r="E147" s="318" t="str">
        <f>IF((R147-U147)&gt;XWorkTimeMax,$Z$4,IF(AV147=Feiertag,VLOOKUP(B147,db_Feiertag,2,FALSE),""))</f>
        <v/>
      </c>
      <c r="F147" s="5"/>
      <c r="G147" s="6" t="str">
        <f>IF(ISBLANK(F147),IF(ISBLANK(H147),"",0),CODE(UPPER(F147)))</f>
        <v/>
      </c>
      <c r="H147" s="7"/>
      <c r="I147" s="7">
        <f>IF(H147&gt;0,H147+Y147+X147+AC147,0)</f>
        <v>0</v>
      </c>
      <c r="J147" s="113">
        <f>IF(K147&gt;I147,IF(I147&lt;H147,I147+1,I147)-B_WalkTime,IF(I147&lt;H147,I147+1,I147))</f>
        <v>0</v>
      </c>
      <c r="K147" s="7"/>
      <c r="L147" s="7">
        <f>IF(K147&gt;0,K147+IF((J147-H147)&lt;Y147,Y147-(J147-H147),TIME(0,10,0))+IF((K147-J147)&gt;xNoWorkTime,0,xNoWorkTime-(K147-J147)),0)</f>
        <v>0</v>
      </c>
      <c r="M147" s="113">
        <f>IF(L147&lt;K147,L147+1,L147)</f>
        <v>0</v>
      </c>
      <c r="N147" s="113"/>
      <c r="O147" s="113">
        <f>IF(N147&gt;0,N147+IF((J147-H147+M147-K147)&lt;Y147,Y147-(J147-H147+M147-K147),TIME(0,10,0))+IF((K147-J147+N147-M147)&gt;xNoWorkTime,0,xNoWorkTime-(K147-J147+N147-M147)),0)</f>
        <v>0</v>
      </c>
      <c r="P147" s="113"/>
      <c r="Q147" s="113">
        <f>IF(O147&lt;N147,O147+1,O147)</f>
        <v>0</v>
      </c>
      <c r="R147" s="113">
        <f>J147-H147+M147-K147+Q147-N147</f>
        <v>0</v>
      </c>
      <c r="S147" s="113">
        <f>IF(K147&gt;0,K147-I147,0)+IF(N147&gt;0,N147-L147)</f>
        <v>0</v>
      </c>
      <c r="T147" s="113">
        <f>IF(H147&gt;0,(IF(R147&gt;B_Pause1Nach,B_Pause1Dauer+IF(BA147="Büro",B_WalkTime,0),IF(BA147="Büro",B_WalkTime,0))+IF(R147&gt;B_Pause2Nach,B_Pause2Dauer,0)),0)</f>
        <v>0</v>
      </c>
      <c r="U147" s="113">
        <f>IF(T147&gt;S147,T147-S147,0)</f>
        <v>0</v>
      </c>
      <c r="V147" s="146">
        <f>IF(F147="S",Z147,(IF((R147-U147)&gt;XWorkTimeMax,XWorkTimeMax,IF((R147-U147)&gt;0,R147-U147,0))))</f>
        <v>0</v>
      </c>
      <c r="W147" s="66"/>
      <c r="X147" s="115">
        <f>xNoWorkTime</f>
        <v>4.027777777777778E-2</v>
      </c>
      <c r="Y147" s="110">
        <f>IF(AND((AM147&lt;Feiertag),(G147&lt;&gt;85)),IF(OR(F147="B",F147="G",F147="S",H147&gt;0),H147-H147+Z147,0),0)</f>
        <v>0</v>
      </c>
      <c r="Z147" s="111">
        <f>IF(AND(AM147&gt;0,AM147&lt;Feiertag),INDEX(Arbeitszeit,AM147),"")</f>
        <v>0.29166666666666669</v>
      </c>
      <c r="AA147" s="112">
        <f>V147-Y147</f>
        <v>0</v>
      </c>
      <c r="AB147" s="67" t="str">
        <f>IF((V147-Y147)&lt;0,"*","")</f>
        <v/>
      </c>
      <c r="AC147" s="193">
        <f>xOverTime</f>
        <v>0</v>
      </c>
      <c r="AD147" s="144" t="str">
        <f>IF((R147-U147)&gt;XWorkTimeMax,(R147-U147-XWorkTimeMax),"")</f>
        <v/>
      </c>
      <c r="AE147" s="225">
        <f>IF(AW147,(AE146+SUM(AA147)+(IF(AG147="+",AF147,-AF147))),)</f>
        <v>0</v>
      </c>
      <c r="AF147" s="110"/>
      <c r="AG147" s="627"/>
      <c r="AH147" s="110"/>
      <c r="AI147" s="110" t="str">
        <f>IF(AND(AF147&lt;&gt;"",AF147&lt;=V147),V147-AF147,"")</f>
        <v/>
      </c>
      <c r="AJ147" s="68">
        <f>IF(ISNUMBER(V147 ), IF( V147 &gt;= Y147, Y147, V147 ),"")</f>
        <v>0</v>
      </c>
      <c r="AK147" s="68">
        <f>IF( ISNUMBER( V147 ), IF( V147 &gt;= Y147, V147 - Y147, "" ), "" )</f>
        <v>0</v>
      </c>
      <c r="AL147" s="68" t="str">
        <f>IF( AND(ISNUMBER( V147 ),ISNUMBER( Y147 )), IF( V147 &gt;= Y147, "", Y147 - V147 ), "" )</f>
        <v/>
      </c>
      <c r="AM147">
        <f>IF(A147="",0,IF(ISERROR(VLOOKUP(A147,db_Feiertag,2,FALSE)),WEEKDAY(A147,2),Feiertag))</f>
        <v>1</v>
      </c>
      <c r="AN147" s="122">
        <f>SUM($AD$6:AD147)</f>
        <v>0</v>
      </c>
      <c r="AO147" s="122">
        <f ca="1">IF(D147=D146,AO146,OFFSET(AO147,-1,COLUMN(db_jSaldoGes)-COLUMN()))</f>
        <v>0</v>
      </c>
      <c r="AP147" s="126">
        <f>IF(OR($G147=-1,$G147=82),-1,IF(OR($G147=0,$G147=83),1,0))</f>
        <v>0</v>
      </c>
      <c r="AQ147" s="126">
        <f>IF($F147=Krank,1,IF($F147="J",-1,0))</f>
        <v>0</v>
      </c>
      <c r="AR147" s="126">
        <f>IF($F147=Urlaub,1,IF($F147="T",-1,0))</f>
        <v>0</v>
      </c>
      <c r="AS147" s="125">
        <f>IF(A147="","",AS146-IF(F147=Urlaub,1,0)+IF(AND(MONTH(A147)=1,DAY(A147)=1),B_UrlaubNeu,0))</f>
        <v>30</v>
      </c>
      <c r="AT147" s="125">
        <f ca="1">IF(A147="","",IF(D147=D146,AT146,OFFSET(AT147,-1,COLUMN(db_jUrlRest)-COLUMN()))+IF(AND(MONTH(A147)=1,DAY(A147)=1),B_UrlaubNeu,0))</f>
        <v>30</v>
      </c>
      <c r="AU147" s="135">
        <f>(IF(ISNUMBER(V147),V147,0)+IF(ISNUMBER(AD147),AD147,0))*24</f>
        <v>0</v>
      </c>
      <c r="AV147" s="125">
        <f>IF(ISNUMBER(AD147),K_ArbeitOverMax,IF(AND(ISNUMBER(AA147),AA147&gt;0),K_ArbeitOverTime,IF(AND(ISNUMBER(V147),V147&gt;0),K_ArbeitNormal,IF(F147=Krank,K_Krank,IF(F147=Urlaub,K_Urlaub,IF(AM147=Feiertag,K_Feiertag,IF(OR(AM147=6,AM147=7),K_Wochenende,0)))))))+IF(F147=Gleittag,K_Gleittag,0)</f>
        <v>0</v>
      </c>
      <c r="AW147" t="b">
        <f>OR((F147&gt;0),(NOT(ISBLANK(H147))),SUM(H147:H$373),SUM(G147:G$373))</f>
        <v>0</v>
      </c>
      <c r="AX147" t="b">
        <f ca="1">INDIRECT(ADDRESS(ROW(),COLUMN(xDay)))&gt;5</f>
        <v>0</v>
      </c>
      <c r="AY147" s="600">
        <f>IF(OR(R147&lt;&gt;0,F147&lt;&gt;0),AA147,IF(Z147="",0,-Z147))+(IF(AG147="+",AF147,-AF147))</f>
        <v>-0.29166666666666669</v>
      </c>
      <c r="AZ147" s="225">
        <f>SUM(AY$5:AY147)</f>
        <v>-28.000000000000036</v>
      </c>
      <c r="BA147" s="658"/>
      <c r="BB147" s="658">
        <f>IF(ISNA(MATCH(BA147,B_Arbeitsort,0)),0,MATCH(BA147,B_Arbeitsort,0))</f>
        <v>0</v>
      </c>
      <c r="BC147" s="658"/>
    </row>
    <row r="148" spans="1:55" ht="15.75">
      <c r="A148" s="305">
        <f>IF(A147="","",IF((A147+1)&gt;=DATE(YEAR(xJahr)+1,MONTH(xJahr),DAY(xJahr)),"",A147+1))</f>
        <v>43607</v>
      </c>
      <c r="B148" s="306">
        <f>IF(A148="","",A148)</f>
        <v>43607</v>
      </c>
      <c r="C148" s="307">
        <f>IF(A148="","",NumberOfWeek(A148))</f>
        <v>21</v>
      </c>
      <c r="D148" s="308">
        <f>IF(A148="","",DATE(YEAR(A148),MONTH(A148),1))</f>
        <v>43585</v>
      </c>
      <c r="E148" s="318" t="str">
        <f>IF((R148-U148)&gt;XWorkTimeMax,$Z$4,IF(AV148=Feiertag,VLOOKUP(B148,db_Feiertag,2,FALSE),""))</f>
        <v/>
      </c>
      <c r="F148" s="5"/>
      <c r="G148" s="6" t="str">
        <f>IF(ISBLANK(F148),IF(ISBLANK(H148),"",0),CODE(UPPER(F148)))</f>
        <v/>
      </c>
      <c r="H148" s="7"/>
      <c r="I148" s="7">
        <f>IF(H148&gt;0,H148+Y148+X148+AC148,0)</f>
        <v>0</v>
      </c>
      <c r="J148" s="113">
        <f>IF(K148&gt;I148,IF(I148&lt;H148,I148+1,I148)-B_WalkTime,IF(I148&lt;H148,I148+1,I148))</f>
        <v>0</v>
      </c>
      <c r="K148" s="7"/>
      <c r="L148" s="7">
        <f>IF(K148&gt;0,K148+IF((J148-H148)&lt;Y148,Y148-(J148-H148),TIME(0,10,0))+IF((K148-J148)&gt;xNoWorkTime,0,xNoWorkTime-(K148-J148)),0)</f>
        <v>0</v>
      </c>
      <c r="M148" s="113">
        <f>IF(L148&lt;K148,L148+1,L148)</f>
        <v>0</v>
      </c>
      <c r="N148" s="113"/>
      <c r="O148" s="113">
        <f>IF(N148&gt;0,N148+IF((J148-H148+M148-K148)&lt;Y148,Y148-(J148-H148+M148-K148),TIME(0,10,0))+IF((K148-J148+N148-M148)&gt;xNoWorkTime,0,xNoWorkTime-(K148-J148+N148-M148)),0)</f>
        <v>0</v>
      </c>
      <c r="P148" s="113"/>
      <c r="Q148" s="113">
        <f>IF(O148&lt;N148,O148+1,O148)</f>
        <v>0</v>
      </c>
      <c r="R148" s="113">
        <f>J148-H148+M148-K148+Q148-N148</f>
        <v>0</v>
      </c>
      <c r="S148" s="113">
        <f>IF(K148&gt;0,K148-I148,0)+IF(N148&gt;0,N148-L148)</f>
        <v>0</v>
      </c>
      <c r="T148" s="113">
        <f>IF(H148&gt;0,(IF(R148&gt;B_Pause1Nach,B_Pause1Dauer+IF(BA148="Büro",B_WalkTime,0),IF(BA148="Büro",B_WalkTime,0))+IF(R148&gt;B_Pause2Nach,B_Pause2Dauer,0)),0)</f>
        <v>0</v>
      </c>
      <c r="U148" s="113">
        <f>IF(T148&gt;S148,T148-S148,0)</f>
        <v>0</v>
      </c>
      <c r="V148" s="146">
        <f>IF(F148="S",Z148,(IF((R148-U148)&gt;XWorkTimeMax,XWorkTimeMax,IF((R148-U148)&gt;0,R148-U148,0))))</f>
        <v>0</v>
      </c>
      <c r="W148" s="66"/>
      <c r="X148" s="115">
        <f>xNoWorkTime</f>
        <v>4.027777777777778E-2</v>
      </c>
      <c r="Y148" s="110">
        <f>IF(AND((AM148&lt;Feiertag),(G148&lt;&gt;85)),IF(OR(F148="B",F148="G",F148="S",H148&gt;0),H148-H148+Z148,0),0)</f>
        <v>0</v>
      </c>
      <c r="Z148" s="111">
        <f>IF(AND(AM148&gt;0,AM148&lt;Feiertag),INDEX(Arbeitszeit,AM148),"")</f>
        <v>0.29166666666666669</v>
      </c>
      <c r="AA148" s="112">
        <f>V148-Y148</f>
        <v>0</v>
      </c>
      <c r="AB148" s="67" t="str">
        <f>IF((V148-Y148)&lt;0,"*","")</f>
        <v/>
      </c>
      <c r="AC148" s="193">
        <f>xOverTime</f>
        <v>0</v>
      </c>
      <c r="AD148" s="144" t="str">
        <f>IF((R148-U148)&gt;XWorkTimeMax,(R148-U148-XWorkTimeMax),"")</f>
        <v/>
      </c>
      <c r="AE148" s="225">
        <f>IF(AW148,(AE147+SUM(AA148)+(IF(AG148="+",AF148,-AF148))),)</f>
        <v>0</v>
      </c>
      <c r="AF148" s="110"/>
      <c r="AG148" s="627"/>
      <c r="AH148" s="110"/>
      <c r="AI148" s="110" t="str">
        <f>IF(AND(AF148&lt;&gt;"",AF148&lt;=V148),V148-AF148,"")</f>
        <v/>
      </c>
      <c r="AJ148" s="68">
        <f>IF(ISNUMBER(V148 ), IF( V148 &gt;= Y148, Y148, V148 ),"")</f>
        <v>0</v>
      </c>
      <c r="AK148" s="68">
        <f>IF( ISNUMBER( V148 ), IF( V148 &gt;= Y148, V148 - Y148, "" ), "" )</f>
        <v>0</v>
      </c>
      <c r="AL148" s="68" t="str">
        <f>IF( AND(ISNUMBER( V148 ),ISNUMBER( Y148 )), IF( V148 &gt;= Y148, "", Y148 - V148 ), "" )</f>
        <v/>
      </c>
      <c r="AM148">
        <f>IF(A148="",0,IF(ISERROR(VLOOKUP(A148,db_Feiertag,2,FALSE)),WEEKDAY(A148,2),Feiertag))</f>
        <v>2</v>
      </c>
      <c r="AN148" s="122">
        <f>SUM($AD$6:AD148)</f>
        <v>0</v>
      </c>
      <c r="AO148" s="122">
        <f ca="1">IF(D148=D147,AO147,OFFSET(AO148,-1,COLUMN(db_jSaldoGes)-COLUMN()))</f>
        <v>0</v>
      </c>
      <c r="AP148" s="126">
        <f>IF(OR($G148=-1,$G148=82),-1,IF(OR($G148=0,$G148=83),1,0))</f>
        <v>0</v>
      </c>
      <c r="AQ148" s="126">
        <f>IF($F148=Krank,1,IF($F148="J",-1,0))</f>
        <v>0</v>
      </c>
      <c r="AR148" s="126">
        <f>IF($F148=Urlaub,1,IF($F148="T",-1,0))</f>
        <v>0</v>
      </c>
      <c r="AS148" s="125">
        <f>IF(A148="","",AS147-IF(F148=Urlaub,1,0)+IF(AND(MONTH(A148)=1,DAY(A148)=1),B_UrlaubNeu,0))</f>
        <v>30</v>
      </c>
      <c r="AT148" s="125">
        <f ca="1">IF(A148="","",IF(D148=D147,AT147,OFFSET(AT148,-1,COLUMN(db_jUrlRest)-COLUMN()))+IF(AND(MONTH(A148)=1,DAY(A148)=1),B_UrlaubNeu,0))</f>
        <v>30</v>
      </c>
      <c r="AU148" s="135">
        <f>(IF(ISNUMBER(V148),V148,0)+IF(ISNUMBER(AD148),AD148,0))*24</f>
        <v>0</v>
      </c>
      <c r="AV148" s="125">
        <f>IF(ISNUMBER(AD148),K_ArbeitOverMax,IF(AND(ISNUMBER(AA148),AA148&gt;0),K_ArbeitOverTime,IF(AND(ISNUMBER(V148),V148&gt;0),K_ArbeitNormal,IF(F148=Krank,K_Krank,IF(F148=Urlaub,K_Urlaub,IF(AM148=Feiertag,K_Feiertag,IF(OR(AM148=6,AM148=7),K_Wochenende,0)))))))+IF(F148=Gleittag,K_Gleittag,0)</f>
        <v>0</v>
      </c>
      <c r="AW148" t="b">
        <f>OR((F148&gt;0),(NOT(ISBLANK(H148))),SUM(H148:H$373),SUM(G148:G$373))</f>
        <v>0</v>
      </c>
      <c r="AX148" t="b">
        <f ca="1">INDIRECT(ADDRESS(ROW(),COLUMN(xDay)))&gt;5</f>
        <v>0</v>
      </c>
      <c r="AY148" s="600">
        <f>IF(OR(R148&lt;&gt;0,F148&lt;&gt;0),AA148,IF(Z148="",0,-Z148))+(IF(AG148="+",AF148,-AF148))</f>
        <v>-0.29166666666666669</v>
      </c>
      <c r="AZ148" s="225">
        <f>SUM(AY$5:AY148)</f>
        <v>-28.291666666666703</v>
      </c>
      <c r="BA148" s="658"/>
      <c r="BB148" s="658">
        <f>IF(ISNA(MATCH(BA148,B_Arbeitsort,0)),0,MATCH(BA148,B_Arbeitsort,0))</f>
        <v>0</v>
      </c>
      <c r="BC148" s="658"/>
    </row>
    <row r="149" spans="1:55" ht="15.75">
      <c r="A149" s="305">
        <f>IF(A148="","",IF((A148+1)&gt;=DATE(YEAR(xJahr)+1,MONTH(xJahr),DAY(xJahr)),"",A148+1))</f>
        <v>43608</v>
      </c>
      <c r="B149" s="306">
        <f>IF(A149="","",A149)</f>
        <v>43608</v>
      </c>
      <c r="C149" s="307">
        <f>IF(A149="","",NumberOfWeek(A149))</f>
        <v>21</v>
      </c>
      <c r="D149" s="308">
        <f>IF(A149="","",DATE(YEAR(A149),MONTH(A149),1))</f>
        <v>43585</v>
      </c>
      <c r="E149" s="318" t="str">
        <f>IF((R149-U149)&gt;XWorkTimeMax,$Z$4,IF(AV149=Feiertag,VLOOKUP(B149,db_Feiertag,2,FALSE),""))</f>
        <v/>
      </c>
      <c r="F149" s="5"/>
      <c r="G149" s="6" t="str">
        <f>IF(ISBLANK(F149),IF(ISBLANK(H149),"",0),CODE(UPPER(F149)))</f>
        <v/>
      </c>
      <c r="H149" s="7"/>
      <c r="I149" s="7">
        <f>IF(H149&gt;0,H149+Y149+X149+AC149,0)</f>
        <v>0</v>
      </c>
      <c r="J149" s="113">
        <f>IF(K149&gt;I149,IF(I149&lt;H149,I149+1,I149)-B_WalkTime,IF(I149&lt;H149,I149+1,I149))</f>
        <v>0</v>
      </c>
      <c r="K149" s="7"/>
      <c r="L149" s="7">
        <f>IF(K149&gt;0,K149+IF((J149-H149)&lt;Y149,Y149-(J149-H149),TIME(0,10,0))+IF((K149-J149)&gt;xNoWorkTime,0,xNoWorkTime-(K149-J149)),0)</f>
        <v>0</v>
      </c>
      <c r="M149" s="113">
        <f>IF(L149&lt;K149,L149+1,L149)</f>
        <v>0</v>
      </c>
      <c r="N149" s="113"/>
      <c r="O149" s="113">
        <f>IF(N149&gt;0,N149+IF((J149-H149+M149-K149)&lt;Y149,Y149-(J149-H149+M149-K149),TIME(0,10,0))+IF((K149-J149+N149-M149)&gt;xNoWorkTime,0,xNoWorkTime-(K149-J149+N149-M149)),0)</f>
        <v>0</v>
      </c>
      <c r="P149" s="113"/>
      <c r="Q149" s="113">
        <f>IF(O149&lt;N149,O149+1,O149)</f>
        <v>0</v>
      </c>
      <c r="R149" s="113">
        <f>J149-H149+M149-K149+Q149-N149</f>
        <v>0</v>
      </c>
      <c r="S149" s="113">
        <f>IF(K149&gt;0,K149-I149,0)+IF(N149&gt;0,N149-L149)</f>
        <v>0</v>
      </c>
      <c r="T149" s="113">
        <f>IF(H149&gt;0,(IF(R149&gt;B_Pause1Nach,B_Pause1Dauer+IF(BA149="Büro",B_WalkTime,0),IF(BA149="Büro",B_WalkTime,0))+IF(R149&gt;B_Pause2Nach,B_Pause2Dauer,0)),0)</f>
        <v>0</v>
      </c>
      <c r="U149" s="113">
        <f>IF(T149&gt;S149,T149-S149,0)</f>
        <v>0</v>
      </c>
      <c r="V149" s="146">
        <f>IF(F149="S",Z149,(IF((R149-U149)&gt;XWorkTimeMax,XWorkTimeMax,IF((R149-U149)&gt;0,R149-U149,0))))</f>
        <v>0</v>
      </c>
      <c r="W149" s="66"/>
      <c r="X149" s="115">
        <f>xNoWorkTime</f>
        <v>4.027777777777778E-2</v>
      </c>
      <c r="Y149" s="110">
        <f>IF(AND((AM149&lt;Feiertag),(G149&lt;&gt;85)),IF(OR(F149="B",F149="G",F149="S",H149&gt;0),H149-H149+Z149,0),0)</f>
        <v>0</v>
      </c>
      <c r="Z149" s="111">
        <f>IF(AND(AM149&gt;0,AM149&lt;Feiertag),INDEX(Arbeitszeit,AM149),"")</f>
        <v>0.29166666666666669</v>
      </c>
      <c r="AA149" s="112">
        <f>V149-Y149</f>
        <v>0</v>
      </c>
      <c r="AB149" s="67" t="str">
        <f>IF((V149-Y149)&lt;0,"*","")</f>
        <v/>
      </c>
      <c r="AC149" s="193">
        <f>xOverTime</f>
        <v>0</v>
      </c>
      <c r="AD149" s="144" t="str">
        <f>IF((R149-U149)&gt;XWorkTimeMax,(R149-U149-XWorkTimeMax),"")</f>
        <v/>
      </c>
      <c r="AE149" s="225">
        <f>IF(AW149,(AE148+SUM(AA149)+(IF(AG149="+",AF149,-AF149))),)</f>
        <v>0</v>
      </c>
      <c r="AF149" s="110"/>
      <c r="AG149" s="627"/>
      <c r="AH149" s="110"/>
      <c r="AI149" s="110" t="str">
        <f>IF(AND(AF149&lt;&gt;"",AF149&lt;=V149),V149-AF149,"")</f>
        <v/>
      </c>
      <c r="AJ149" s="68">
        <f>IF(ISNUMBER(V149 ), IF( V149 &gt;= Y149, Y149, V149 ),"")</f>
        <v>0</v>
      </c>
      <c r="AK149" s="68">
        <f>IF( ISNUMBER( V149 ), IF( V149 &gt;= Y149, V149 - Y149, "" ), "" )</f>
        <v>0</v>
      </c>
      <c r="AL149" s="68" t="str">
        <f>IF( AND(ISNUMBER( V149 ),ISNUMBER( Y149 )), IF( V149 &gt;= Y149, "", Y149 - V149 ), "" )</f>
        <v/>
      </c>
      <c r="AM149">
        <f>IF(A149="",0,IF(ISERROR(VLOOKUP(A149,db_Feiertag,2,FALSE)),WEEKDAY(A149,2),Feiertag))</f>
        <v>3</v>
      </c>
      <c r="AN149" s="122">
        <f>SUM($AD$6:AD149)</f>
        <v>0</v>
      </c>
      <c r="AO149" s="122">
        <f ca="1">IF(D149=D148,AO148,OFFSET(AO149,-1,COLUMN(db_jSaldoGes)-COLUMN()))</f>
        <v>0</v>
      </c>
      <c r="AP149" s="126">
        <f>IF(OR($G149=-1,$G149=82),-1,IF(OR($G149=0,$G149=83),1,0))</f>
        <v>0</v>
      </c>
      <c r="AQ149" s="126">
        <f>IF($F149=Krank,1,IF($F149="J",-1,0))</f>
        <v>0</v>
      </c>
      <c r="AR149" s="126">
        <f>IF($F149=Urlaub,1,IF($F149="T",-1,0))</f>
        <v>0</v>
      </c>
      <c r="AS149" s="125">
        <f>IF(A149="","",AS148-IF(F149=Urlaub,1,0)+IF(AND(MONTH(A149)=1,DAY(A149)=1),B_UrlaubNeu,0))</f>
        <v>30</v>
      </c>
      <c r="AT149" s="125">
        <f ca="1">IF(A149="","",IF(D149=D148,AT148,OFFSET(AT149,-1,COLUMN(db_jUrlRest)-COLUMN()))+IF(AND(MONTH(A149)=1,DAY(A149)=1),B_UrlaubNeu,0))</f>
        <v>30</v>
      </c>
      <c r="AU149" s="135">
        <f>(IF(ISNUMBER(V149),V149,0)+IF(ISNUMBER(AD149),AD149,0))*24</f>
        <v>0</v>
      </c>
      <c r="AV149" s="125">
        <f>IF(ISNUMBER(AD149),K_ArbeitOverMax,IF(AND(ISNUMBER(AA149),AA149&gt;0),K_ArbeitOverTime,IF(AND(ISNUMBER(V149),V149&gt;0),K_ArbeitNormal,IF(F149=Krank,K_Krank,IF(F149=Urlaub,K_Urlaub,IF(AM149=Feiertag,K_Feiertag,IF(OR(AM149=6,AM149=7),K_Wochenende,0)))))))+IF(F149=Gleittag,K_Gleittag,0)</f>
        <v>0</v>
      </c>
      <c r="AW149" t="b">
        <f>OR((F149&gt;0),(NOT(ISBLANK(H149))),SUM(H149:H$373),SUM(G149:G$373))</f>
        <v>0</v>
      </c>
      <c r="AX149" t="b">
        <f ca="1">INDIRECT(ADDRESS(ROW(),COLUMN(xDay)))&gt;5</f>
        <v>0</v>
      </c>
      <c r="AY149" s="600">
        <f>IF(OR(R149&lt;&gt;0,F149&lt;&gt;0),AA149,IF(Z149="",0,-Z149))+(IF(AG149="+",AF149,-AF149))</f>
        <v>-0.29166666666666669</v>
      </c>
      <c r="AZ149" s="225">
        <f>SUM(AY$5:AY149)</f>
        <v>-28.583333333333371</v>
      </c>
      <c r="BA149" s="658"/>
      <c r="BB149" s="658">
        <f>IF(ISNA(MATCH(BA149,B_Arbeitsort,0)),0,MATCH(BA149,B_Arbeitsort,0))</f>
        <v>0</v>
      </c>
      <c r="BC149" s="658"/>
    </row>
    <row r="150" spans="1:55" ht="15.75">
      <c r="A150" s="305">
        <f>IF(A149="","",IF((A149+1)&gt;=DATE(YEAR(xJahr)+1,MONTH(xJahr),DAY(xJahr)),"",A149+1))</f>
        <v>43609</v>
      </c>
      <c r="B150" s="306">
        <f>IF(A150="","",A150)</f>
        <v>43609</v>
      </c>
      <c r="C150" s="307">
        <f>IF(A150="","",NumberOfWeek(A150))</f>
        <v>21</v>
      </c>
      <c r="D150" s="308">
        <f>IF(A150="","",DATE(YEAR(A150),MONTH(A150),1))</f>
        <v>43585</v>
      </c>
      <c r="E150" s="318" t="str">
        <f>IF((R150-U150)&gt;XWorkTimeMax,$Z$4,IF(AV150=Feiertag,VLOOKUP(B150,db_Feiertag,2,FALSE),""))</f>
        <v/>
      </c>
      <c r="F150" s="5"/>
      <c r="G150" s="6" t="str">
        <f>IF(ISBLANK(F150),IF(ISBLANK(H150),"",0),CODE(UPPER(F150)))</f>
        <v/>
      </c>
      <c r="H150" s="7"/>
      <c r="I150" s="7">
        <f>IF(H150&gt;0,H150+Y150+X150+AC150,0)</f>
        <v>0</v>
      </c>
      <c r="J150" s="113">
        <f>IF(K150&gt;I150,IF(I150&lt;H150,I150+1,I150)-B_WalkTime,IF(I150&lt;H150,I150+1,I150))</f>
        <v>0</v>
      </c>
      <c r="K150" s="7"/>
      <c r="L150" s="7">
        <f>IF(K150&gt;0,K150+IF((J150-H150)&lt;Y150,Y150-(J150-H150),TIME(0,10,0))+IF((K150-J150)&gt;xNoWorkTime,0,xNoWorkTime-(K150-J150)),0)</f>
        <v>0</v>
      </c>
      <c r="M150" s="113">
        <f>IF(L150&lt;K150,L150+1,L150)</f>
        <v>0</v>
      </c>
      <c r="N150" s="113"/>
      <c r="O150" s="113">
        <f>IF(N150&gt;0,N150+IF((J150-H150+M150-K150)&lt;Y150,Y150-(J150-H150+M150-K150),TIME(0,10,0))+IF((K150-J150+N150-M150)&gt;xNoWorkTime,0,xNoWorkTime-(K150-J150+N150-M150)),0)</f>
        <v>0</v>
      </c>
      <c r="P150" s="113"/>
      <c r="Q150" s="113">
        <f>IF(O150&lt;N150,O150+1,O150)</f>
        <v>0</v>
      </c>
      <c r="R150" s="113">
        <f>J150-H150+M150-K150+Q150-N150</f>
        <v>0</v>
      </c>
      <c r="S150" s="113">
        <f>IF(K150&gt;0,K150-I150,0)+IF(N150&gt;0,N150-L150)</f>
        <v>0</v>
      </c>
      <c r="T150" s="113">
        <f>IF(H150&gt;0,(IF(R150&gt;B_Pause1Nach,B_Pause1Dauer+IF(BA150="Büro",B_WalkTime,0),IF(BA150="Büro",B_WalkTime,0))+IF(R150&gt;B_Pause2Nach,B_Pause2Dauer,0)),0)</f>
        <v>0</v>
      </c>
      <c r="U150" s="113">
        <f>IF(T150&gt;S150,T150-S150,0)</f>
        <v>0</v>
      </c>
      <c r="V150" s="146">
        <f>IF(F150="S",Z150,(IF((R150-U150)&gt;XWorkTimeMax,XWorkTimeMax,IF((R150-U150)&gt;0,R150-U150,0))))</f>
        <v>0</v>
      </c>
      <c r="W150" s="66"/>
      <c r="X150" s="115">
        <f>xNoWorkTime</f>
        <v>4.027777777777778E-2</v>
      </c>
      <c r="Y150" s="110">
        <f>IF(AND((AM150&lt;Feiertag),(G150&lt;&gt;85)),IF(OR(F150="B",F150="G",F150="S",H150&gt;0),H150-H150+Z150,0),0)</f>
        <v>0</v>
      </c>
      <c r="Z150" s="111">
        <f>IF(AND(AM150&gt;0,AM150&lt;Feiertag),INDEX(Arbeitszeit,AM150),"")</f>
        <v>0.29166666666666669</v>
      </c>
      <c r="AA150" s="112">
        <f>V150-Y150</f>
        <v>0</v>
      </c>
      <c r="AB150" s="67" t="str">
        <f>IF((V150-Y150)&lt;0,"*","")</f>
        <v/>
      </c>
      <c r="AC150" s="193">
        <f>xOverTime</f>
        <v>0</v>
      </c>
      <c r="AD150" s="144" t="str">
        <f>IF((R150-U150)&gt;XWorkTimeMax,(R150-U150-XWorkTimeMax),"")</f>
        <v/>
      </c>
      <c r="AE150" s="225">
        <f>IF(AW150,(AE149+SUM(AA150)+(IF(AG150="+",AF150,-AF150))),)</f>
        <v>0</v>
      </c>
      <c r="AF150" s="110"/>
      <c r="AG150" s="627"/>
      <c r="AH150" s="110"/>
      <c r="AI150" s="110" t="str">
        <f>IF(AND(AF150&lt;&gt;"",AF150&lt;=V150),V150-AF150,"")</f>
        <v/>
      </c>
      <c r="AJ150" s="68">
        <f>IF(ISNUMBER(V150 ), IF( V150 &gt;= Y150, Y150, V150 ),"")</f>
        <v>0</v>
      </c>
      <c r="AK150" s="68">
        <f>IF( ISNUMBER( V150 ), IF( V150 &gt;= Y150, V150 - Y150, "" ), "" )</f>
        <v>0</v>
      </c>
      <c r="AL150" s="68" t="str">
        <f>IF( AND(ISNUMBER( V150 ),ISNUMBER( Y150 )), IF( V150 &gt;= Y150, "", Y150 - V150 ), "" )</f>
        <v/>
      </c>
      <c r="AM150">
        <f>IF(A150="",0,IF(ISERROR(VLOOKUP(A150,db_Feiertag,2,FALSE)),WEEKDAY(A150,2),Feiertag))</f>
        <v>4</v>
      </c>
      <c r="AN150" s="122">
        <f>SUM($AD$6:AD150)</f>
        <v>0</v>
      </c>
      <c r="AO150" s="122">
        <f ca="1">IF(D150=D149,AO149,OFFSET(AO150,-1,COLUMN(db_jSaldoGes)-COLUMN()))</f>
        <v>0</v>
      </c>
      <c r="AP150" s="126">
        <f>IF(OR($G150=-1,$G150=82),-1,IF(OR($G150=0,$G150=83),1,0))</f>
        <v>0</v>
      </c>
      <c r="AQ150" s="126">
        <f>IF($F150=Krank,1,IF($F150="J",-1,0))</f>
        <v>0</v>
      </c>
      <c r="AR150" s="126">
        <f>IF($F150=Urlaub,1,IF($F150="T",-1,0))</f>
        <v>0</v>
      </c>
      <c r="AS150" s="125">
        <f>IF(A150="","",AS149-IF(F150=Urlaub,1,0)+IF(AND(MONTH(A150)=1,DAY(A150)=1),B_UrlaubNeu,0))</f>
        <v>30</v>
      </c>
      <c r="AT150" s="125">
        <f ca="1">IF(A150="","",IF(D150=D149,AT149,OFFSET(AT150,-1,COLUMN(db_jUrlRest)-COLUMN()))+IF(AND(MONTH(A150)=1,DAY(A150)=1),B_UrlaubNeu,0))</f>
        <v>30</v>
      </c>
      <c r="AU150" s="135">
        <f>(IF(ISNUMBER(V150),V150,0)+IF(ISNUMBER(AD150),AD150,0))*24</f>
        <v>0</v>
      </c>
      <c r="AV150" s="125">
        <f>IF(ISNUMBER(AD150),K_ArbeitOverMax,IF(AND(ISNUMBER(AA150),AA150&gt;0),K_ArbeitOverTime,IF(AND(ISNUMBER(V150),V150&gt;0),K_ArbeitNormal,IF(F150=Krank,K_Krank,IF(F150=Urlaub,K_Urlaub,IF(AM150=Feiertag,K_Feiertag,IF(OR(AM150=6,AM150=7),K_Wochenende,0)))))))+IF(F150=Gleittag,K_Gleittag,0)</f>
        <v>0</v>
      </c>
      <c r="AW150" t="b">
        <f>OR((F150&gt;0),(NOT(ISBLANK(H150))),SUM(H150:H$373),SUM(G150:G$373))</f>
        <v>0</v>
      </c>
      <c r="AX150" t="b">
        <f ca="1">INDIRECT(ADDRESS(ROW(),COLUMN(xDay)))&gt;5</f>
        <v>0</v>
      </c>
      <c r="AY150" s="600">
        <f>IF(OR(R150&lt;&gt;0,F150&lt;&gt;0),AA150,IF(Z150="",0,-Z150))+(IF(AG150="+",AF150,-AF150))</f>
        <v>-0.29166666666666669</v>
      </c>
      <c r="AZ150" s="225">
        <f>SUM(AY$5:AY150)</f>
        <v>-28.875000000000039</v>
      </c>
      <c r="BA150" s="658"/>
      <c r="BB150" s="658">
        <f>IF(ISNA(MATCH(BA150,B_Arbeitsort,0)),0,MATCH(BA150,B_Arbeitsort,0))</f>
        <v>0</v>
      </c>
      <c r="BC150" s="658"/>
    </row>
    <row r="151" spans="1:55" ht="15.75">
      <c r="A151" s="305">
        <f>IF(A150="","",IF((A150+1)&gt;=DATE(YEAR(xJahr)+1,MONTH(xJahr),DAY(xJahr)),"",A150+1))</f>
        <v>43610</v>
      </c>
      <c r="B151" s="306">
        <f>IF(A151="","",A151)</f>
        <v>43610</v>
      </c>
      <c r="C151" s="307">
        <f>IF(A151="","",NumberOfWeek(A151))</f>
        <v>21</v>
      </c>
      <c r="D151" s="308">
        <f>IF(A151="","",DATE(YEAR(A151),MONTH(A151),1))</f>
        <v>43585</v>
      </c>
      <c r="E151" s="318" t="str">
        <f>IF((R151-U151)&gt;XWorkTimeMax,$Z$4,IF(AV151=Feiertag,VLOOKUP(B151,db_Feiertag,2,FALSE),""))</f>
        <v/>
      </c>
      <c r="F151" s="5"/>
      <c r="G151" s="6" t="str">
        <f>IF(ISBLANK(F151),IF(ISBLANK(H151),"",0),CODE(UPPER(F151)))</f>
        <v/>
      </c>
      <c r="H151" s="7"/>
      <c r="I151" s="7">
        <f>IF(H151&gt;0,H151+Y151+X151+AC151,0)</f>
        <v>0</v>
      </c>
      <c r="J151" s="113">
        <f>IF(K151&gt;I151,IF(I151&lt;H151,I151+1,I151)-B_WalkTime,IF(I151&lt;H151,I151+1,I151))</f>
        <v>0</v>
      </c>
      <c r="K151" s="7"/>
      <c r="L151" s="7">
        <f>IF(K151&gt;0,K151+IF((J151-H151)&lt;Y151,Y151-(J151-H151),TIME(0,10,0))+IF((K151-J151)&gt;xNoWorkTime,0,xNoWorkTime-(K151-J151)),0)</f>
        <v>0</v>
      </c>
      <c r="M151" s="113">
        <f>IF(L151&lt;K151,L151+1,L151)</f>
        <v>0</v>
      </c>
      <c r="N151" s="113"/>
      <c r="O151" s="113">
        <f>IF(N151&gt;0,N151+IF((J151-H151+M151-K151)&lt;Y151,Y151-(J151-H151+M151-K151),TIME(0,10,0))+IF((K151-J151+N151-M151)&gt;xNoWorkTime,0,xNoWorkTime-(K151-J151+N151-M151)),0)</f>
        <v>0</v>
      </c>
      <c r="P151" s="113"/>
      <c r="Q151" s="113">
        <f>IF(O151&lt;N151,O151+1,O151)</f>
        <v>0</v>
      </c>
      <c r="R151" s="113">
        <f>J151-H151+M151-K151+Q151-N151</f>
        <v>0</v>
      </c>
      <c r="S151" s="113">
        <f>IF(K151&gt;0,K151-I151,0)+IF(N151&gt;0,N151-L151)</f>
        <v>0</v>
      </c>
      <c r="T151" s="113">
        <f>IF(H151&gt;0,(IF(R151&gt;B_Pause1Nach,B_Pause1Dauer+IF(BA151="Büro",B_WalkTime,0),IF(BA151="Büro",B_WalkTime,0))+IF(R151&gt;B_Pause2Nach,B_Pause2Dauer,0)),0)</f>
        <v>0</v>
      </c>
      <c r="U151" s="113">
        <f>IF(T151&gt;S151,T151-S151,0)</f>
        <v>0</v>
      </c>
      <c r="V151" s="146">
        <f>IF(F151="S",Z151,(IF((R151-U151)&gt;XWorkTimeMax,XWorkTimeMax,IF((R151-U151)&gt;0,R151-U151,0))))</f>
        <v>0</v>
      </c>
      <c r="W151" s="66"/>
      <c r="X151" s="115">
        <f>xNoWorkTime</f>
        <v>4.027777777777778E-2</v>
      </c>
      <c r="Y151" s="110">
        <f>IF(AND((AM151&lt;Feiertag),(G151&lt;&gt;85)),IF(OR(F151="B",F151="G",F151="S",H151&gt;0),H151-H151+Z151,0),0)</f>
        <v>0</v>
      </c>
      <c r="Z151" s="111">
        <f>IF(AND(AM151&gt;0,AM151&lt;Feiertag),INDEX(Arbeitszeit,AM151),"")</f>
        <v>0.29166666666666669</v>
      </c>
      <c r="AA151" s="112">
        <f>V151-Y151</f>
        <v>0</v>
      </c>
      <c r="AB151" s="67" t="str">
        <f>IF((V151-Y151)&lt;0,"*","")</f>
        <v/>
      </c>
      <c r="AC151" s="193">
        <f>xOverTime</f>
        <v>0</v>
      </c>
      <c r="AD151" s="144" t="str">
        <f>IF((R151-U151)&gt;XWorkTimeMax,(R151-U151-XWorkTimeMax),"")</f>
        <v/>
      </c>
      <c r="AE151" s="225">
        <f>IF(AW151,(AE150+SUM(AA151)+(IF(AG151="+",AF151,-AF151))),)</f>
        <v>0</v>
      </c>
      <c r="AF151" s="110"/>
      <c r="AG151" s="627"/>
      <c r="AH151" s="110"/>
      <c r="AI151" s="110" t="str">
        <f>IF(AND(AF151&lt;&gt;"",AF151&lt;=V151),V151-AF151,"")</f>
        <v/>
      </c>
      <c r="AJ151" s="68">
        <f>IF(ISNUMBER(V151 ), IF( V151 &gt;= Y151, Y151, V151 ),"")</f>
        <v>0</v>
      </c>
      <c r="AK151" s="68">
        <f>IF( ISNUMBER( V151 ), IF( V151 &gt;= Y151, V151 - Y151, "" ), "" )</f>
        <v>0</v>
      </c>
      <c r="AL151" s="68" t="str">
        <f>IF( AND(ISNUMBER( V151 ),ISNUMBER( Y151 )), IF( V151 &gt;= Y151, "", Y151 - V151 ), "" )</f>
        <v/>
      </c>
      <c r="AM151">
        <f>IF(A151="",0,IF(ISERROR(VLOOKUP(A151,db_Feiertag,2,FALSE)),WEEKDAY(A151,2),Feiertag))</f>
        <v>5</v>
      </c>
      <c r="AN151" s="122">
        <f>SUM($AD$6:AD151)</f>
        <v>0</v>
      </c>
      <c r="AO151" s="122">
        <f ca="1">IF(D151=D150,AO150,OFFSET(AO151,-1,COLUMN(db_jSaldoGes)-COLUMN()))</f>
        <v>0</v>
      </c>
      <c r="AP151" s="126">
        <f>IF(OR($G151=-1,$G151=82),-1,IF(OR($G151=0,$G151=83),1,0))</f>
        <v>0</v>
      </c>
      <c r="AQ151" s="126">
        <f>IF($F151=Krank,1,IF($F151="J",-1,0))</f>
        <v>0</v>
      </c>
      <c r="AR151" s="126">
        <f>IF($F151=Urlaub,1,IF($F151="T",-1,0))</f>
        <v>0</v>
      </c>
      <c r="AS151" s="125">
        <f>IF(A151="","",AS150-IF(F151=Urlaub,1,0)+IF(AND(MONTH(A151)=1,DAY(A151)=1),B_UrlaubNeu,0))</f>
        <v>30</v>
      </c>
      <c r="AT151" s="125">
        <f ca="1">IF(A151="","",IF(D151=D150,AT150,OFFSET(AT151,-1,COLUMN(db_jUrlRest)-COLUMN()))+IF(AND(MONTH(A151)=1,DAY(A151)=1),B_UrlaubNeu,0))</f>
        <v>30</v>
      </c>
      <c r="AU151" s="135">
        <f>(IF(ISNUMBER(V151),V151,0)+IF(ISNUMBER(AD151),AD151,0))*24</f>
        <v>0</v>
      </c>
      <c r="AV151" s="125">
        <f>IF(ISNUMBER(AD151),K_ArbeitOverMax,IF(AND(ISNUMBER(AA151),AA151&gt;0),K_ArbeitOverTime,IF(AND(ISNUMBER(V151),V151&gt;0),K_ArbeitNormal,IF(F151=Krank,K_Krank,IF(F151=Urlaub,K_Urlaub,IF(AM151=Feiertag,K_Feiertag,IF(OR(AM151=6,AM151=7),K_Wochenende,0)))))))+IF(F151=Gleittag,K_Gleittag,0)</f>
        <v>0</v>
      </c>
      <c r="AW151" t="b">
        <f>OR((F151&gt;0),(NOT(ISBLANK(H151))),SUM(H151:H$373),SUM(G151:G$373))</f>
        <v>0</v>
      </c>
      <c r="AX151" t="b">
        <f ca="1">INDIRECT(ADDRESS(ROW(),COLUMN(xDay)))&gt;5</f>
        <v>0</v>
      </c>
      <c r="AY151" s="600">
        <f>IF(OR(R151&lt;&gt;0,F151&lt;&gt;0),AA151,IF(Z151="",0,-Z151))+(IF(AG151="+",AF151,-AF151))</f>
        <v>-0.29166666666666669</v>
      </c>
      <c r="AZ151" s="225">
        <f>SUM(AY$5:AY151)</f>
        <v>-29.166666666666707</v>
      </c>
      <c r="BA151" s="658"/>
      <c r="BB151" s="658">
        <f>IF(ISNA(MATCH(BA151,B_Arbeitsort,0)),0,MATCH(BA151,B_Arbeitsort,0))</f>
        <v>0</v>
      </c>
      <c r="BC151" s="658"/>
    </row>
    <row r="152" spans="1:55" ht="15.75">
      <c r="A152" s="305">
        <f>IF(A151="","",IF((A151+1)&gt;=DATE(YEAR(xJahr)+1,MONTH(xJahr),DAY(xJahr)),"",A151+1))</f>
        <v>43611</v>
      </c>
      <c r="B152" s="306">
        <f>IF(A152="","",A152)</f>
        <v>43611</v>
      </c>
      <c r="C152" s="307">
        <f>IF(A152="","",NumberOfWeek(A152))</f>
        <v>21</v>
      </c>
      <c r="D152" s="308">
        <f>IF(A152="","",DATE(YEAR(A152),MONTH(A152),1))</f>
        <v>43585</v>
      </c>
      <c r="E152" s="318" t="str">
        <f>IF((R152-U152)&gt;XWorkTimeMax,$Z$4,IF(AV152=Feiertag,VLOOKUP(B152,db_Feiertag,2,FALSE),""))</f>
        <v/>
      </c>
      <c r="F152" s="5"/>
      <c r="G152" s="6" t="str">
        <f>IF(ISBLANK(F152),IF(ISBLANK(H152),"",0),CODE(UPPER(F152)))</f>
        <v/>
      </c>
      <c r="H152" s="7"/>
      <c r="I152" s="7">
        <f>IF(H152&gt;0,H152+Y152+X152+AC152,0)</f>
        <v>0</v>
      </c>
      <c r="J152" s="113">
        <f>IF(K152&gt;I152,IF(I152&lt;H152,I152+1,I152)-B_WalkTime,IF(I152&lt;H152,I152+1,I152))</f>
        <v>0</v>
      </c>
      <c r="K152" s="7"/>
      <c r="L152" s="7">
        <f>IF(K152&gt;0,K152+IF((J152-H152)&lt;Y152,Y152-(J152-H152),TIME(0,10,0))+IF((K152-J152)&gt;xNoWorkTime,0,xNoWorkTime-(K152-J152)),0)</f>
        <v>0</v>
      </c>
      <c r="M152" s="113">
        <f>IF(L152&lt;K152,L152+1,L152)</f>
        <v>0</v>
      </c>
      <c r="N152" s="113"/>
      <c r="O152" s="113">
        <f>IF(N152&gt;0,N152+IF((J152-H152+M152-K152)&lt;Y152,Y152-(J152-H152+M152-K152),TIME(0,10,0))+IF((K152-J152+N152-M152)&gt;xNoWorkTime,0,xNoWorkTime-(K152-J152+N152-M152)),0)</f>
        <v>0</v>
      </c>
      <c r="P152" s="113"/>
      <c r="Q152" s="113">
        <f>IF(O152&lt;N152,O152+1,O152)</f>
        <v>0</v>
      </c>
      <c r="R152" s="113">
        <f>J152-H152+M152-K152+Q152-N152</f>
        <v>0</v>
      </c>
      <c r="S152" s="113">
        <f>IF(K152&gt;0,K152-I152,0)+IF(N152&gt;0,N152-L152)</f>
        <v>0</v>
      </c>
      <c r="T152" s="113">
        <f>IF(H152&gt;0,(IF(R152&gt;B_Pause1Nach,B_Pause1Dauer+IF(BA152="Büro",B_WalkTime,0),IF(BA152="Büro",B_WalkTime,0))+IF(R152&gt;B_Pause2Nach,B_Pause2Dauer,0)),0)</f>
        <v>0</v>
      </c>
      <c r="U152" s="113">
        <f>IF(T152&gt;S152,T152-S152,0)</f>
        <v>0</v>
      </c>
      <c r="V152" s="146">
        <f>IF(F152="S",Z152,(IF((R152-U152)&gt;XWorkTimeMax,XWorkTimeMax,IF((R152-U152)&gt;0,R152-U152,0))))</f>
        <v>0</v>
      </c>
      <c r="W152" s="66"/>
      <c r="X152" s="115">
        <f>xNoWorkTime</f>
        <v>4.027777777777778E-2</v>
      </c>
      <c r="Y152" s="110">
        <f>IF(AND((AM152&lt;Feiertag),(G152&lt;&gt;85)),IF(OR(F152="B",F152="G",F152="S",H152&gt;0),H152-H152+Z152,0),0)</f>
        <v>0</v>
      </c>
      <c r="Z152" s="111">
        <f>IF(AND(AM152&gt;0,AM152&lt;Feiertag),INDEX(Arbeitszeit,AM152),"")</f>
        <v>0</v>
      </c>
      <c r="AA152" s="112">
        <f>V152-Y152</f>
        <v>0</v>
      </c>
      <c r="AB152" s="67" t="str">
        <f>IF((V152-Y152)&lt;0,"*","")</f>
        <v/>
      </c>
      <c r="AC152" s="193">
        <f>xOverTime</f>
        <v>0</v>
      </c>
      <c r="AD152" s="144" t="str">
        <f>IF((R152-U152)&gt;XWorkTimeMax,(R152-U152-XWorkTimeMax),"")</f>
        <v/>
      </c>
      <c r="AE152" s="225">
        <f>IF(AW152,(AE151+SUM(AA152)+(IF(AG152="+",AF152,-AF152))),)</f>
        <v>0</v>
      </c>
      <c r="AF152" s="110"/>
      <c r="AG152" s="627"/>
      <c r="AH152" s="110"/>
      <c r="AI152" s="110" t="str">
        <f>IF(AND(AF152&lt;&gt;"",AF152&lt;=V152),V152-AF152,"")</f>
        <v/>
      </c>
      <c r="AJ152" s="68">
        <f>IF(ISNUMBER(V152 ), IF( V152 &gt;= Y152, Y152, V152 ),"")</f>
        <v>0</v>
      </c>
      <c r="AK152" s="68">
        <f>IF( ISNUMBER( V152 ), IF( V152 &gt;= Y152, V152 - Y152, "" ), "" )</f>
        <v>0</v>
      </c>
      <c r="AL152" s="68" t="str">
        <f>IF( AND(ISNUMBER( V152 ),ISNUMBER( Y152 )), IF( V152 &gt;= Y152, "", Y152 - V152 ), "" )</f>
        <v/>
      </c>
      <c r="AM152">
        <f>IF(A152="",0,IF(ISERROR(VLOOKUP(A152,db_Feiertag,2,FALSE)),WEEKDAY(A152,2),Feiertag))</f>
        <v>6</v>
      </c>
      <c r="AN152" s="122">
        <f>SUM($AD$6:AD152)</f>
        <v>0</v>
      </c>
      <c r="AO152" s="122">
        <f ca="1">IF(D152=D151,AO151,OFFSET(AO152,-1,COLUMN(db_jSaldoGes)-COLUMN()))</f>
        <v>0</v>
      </c>
      <c r="AP152" s="126">
        <f>IF(OR($G152=-1,$G152=82),-1,IF(OR($G152=0,$G152=83),1,0))</f>
        <v>0</v>
      </c>
      <c r="AQ152" s="126">
        <f>IF($F152=Krank,1,IF($F152="J",-1,0))</f>
        <v>0</v>
      </c>
      <c r="AR152" s="126">
        <f>IF($F152=Urlaub,1,IF($F152="T",-1,0))</f>
        <v>0</v>
      </c>
      <c r="AS152" s="125">
        <f>IF(A152="","",AS151-IF(F152=Urlaub,1,0)+IF(AND(MONTH(A152)=1,DAY(A152)=1),B_UrlaubNeu,0))</f>
        <v>30</v>
      </c>
      <c r="AT152" s="125">
        <f ca="1">IF(A152="","",IF(D152=D151,AT151,OFFSET(AT152,-1,COLUMN(db_jUrlRest)-COLUMN()))+IF(AND(MONTH(A152)=1,DAY(A152)=1),B_UrlaubNeu,0))</f>
        <v>30</v>
      </c>
      <c r="AU152" s="135">
        <f>(IF(ISNUMBER(V152),V152,0)+IF(ISNUMBER(AD152),AD152,0))*24</f>
        <v>0</v>
      </c>
      <c r="AV152" s="125">
        <f>IF(ISNUMBER(AD152),K_ArbeitOverMax,IF(AND(ISNUMBER(AA152),AA152&gt;0),K_ArbeitOverTime,IF(AND(ISNUMBER(V152),V152&gt;0),K_ArbeitNormal,IF(F152=Krank,K_Krank,IF(F152=Urlaub,K_Urlaub,IF(AM152=Feiertag,K_Feiertag,IF(OR(AM152=6,AM152=7),K_Wochenende,0)))))))+IF(F152=Gleittag,K_Gleittag,0)</f>
        <v>7</v>
      </c>
      <c r="AW152" t="b">
        <f>OR((F152&gt;0),(NOT(ISBLANK(H152))),SUM(H152:H$373),SUM(G152:G$373))</f>
        <v>0</v>
      </c>
      <c r="AX152" t="b">
        <f ca="1">INDIRECT(ADDRESS(ROW(),COLUMN(xDay)))&gt;5</f>
        <v>1</v>
      </c>
      <c r="AY152" s="600">
        <f>IF(OR(R152&lt;&gt;0,F152&lt;&gt;0),AA152,IF(Z152="",0,-Z152))+(IF(AG152="+",AF152,-AF152))</f>
        <v>0</v>
      </c>
      <c r="AZ152" s="225">
        <f>SUM(AY$5:AY152)</f>
        <v>-29.166666666666707</v>
      </c>
      <c r="BA152" s="643"/>
      <c r="BB152" s="658">
        <f>IF(ISNA(MATCH(BA152,B_Arbeitsort,0)),0,MATCH(BA152,B_Arbeitsort,0))</f>
        <v>0</v>
      </c>
      <c r="BC152" s="643"/>
    </row>
    <row r="153" spans="1:55" ht="15.75">
      <c r="A153" s="305">
        <f>IF(A152="","",IF((A152+1)&gt;=DATE(YEAR(xJahr)+1,MONTH(xJahr),DAY(xJahr)),"",A152+1))</f>
        <v>43612</v>
      </c>
      <c r="B153" s="306">
        <f>IF(A153="","",A153)</f>
        <v>43612</v>
      </c>
      <c r="C153" s="307">
        <f>IF(A153="","",NumberOfWeek(A153))</f>
        <v>21</v>
      </c>
      <c r="D153" s="308">
        <f>IF(A153="","",DATE(YEAR(A153),MONTH(A153),1))</f>
        <v>43585</v>
      </c>
      <c r="E153" s="318" t="str">
        <f>IF((R153-U153)&gt;XWorkTimeMax,$Z$4,IF(AV153=Feiertag,VLOOKUP(B153,db_Feiertag,2,FALSE),""))</f>
        <v>Pfingstsonntag</v>
      </c>
      <c r="F153" s="5"/>
      <c r="G153" s="6" t="str">
        <f>IF(ISBLANK(F153),IF(ISBLANK(H153),"",0),CODE(UPPER(F153)))</f>
        <v/>
      </c>
      <c r="H153" s="7"/>
      <c r="I153" s="7">
        <f>IF(H153&gt;0,H153+Y153+X153+AC153,0)</f>
        <v>0</v>
      </c>
      <c r="J153" s="113">
        <f>IF(K153&gt;I153,IF(I153&lt;H153,I153+1,I153)-B_WalkTime,IF(I153&lt;H153,I153+1,I153))</f>
        <v>0</v>
      </c>
      <c r="K153" s="7"/>
      <c r="L153" s="7">
        <f>IF(K153&gt;0,K153+IF((J153-H153)&lt;Y153,Y153-(J153-H153),TIME(0,10,0))+IF((K153-J153)&gt;xNoWorkTime,0,xNoWorkTime-(K153-J153)),0)</f>
        <v>0</v>
      </c>
      <c r="M153" s="113">
        <f>IF(L153&lt;K153,L153+1,L153)</f>
        <v>0</v>
      </c>
      <c r="N153" s="113"/>
      <c r="O153" s="113">
        <f>IF(N153&gt;0,N153+IF((J153-H153+M153-K153)&lt;Y153,Y153-(J153-H153+M153-K153),TIME(0,10,0))+IF((K153-J153+N153-M153)&gt;xNoWorkTime,0,xNoWorkTime-(K153-J153+N153-M153)),0)</f>
        <v>0</v>
      </c>
      <c r="P153" s="113"/>
      <c r="Q153" s="113">
        <f>IF(O153&lt;N153,O153+1,O153)</f>
        <v>0</v>
      </c>
      <c r="R153" s="113">
        <f>J153-H153+M153-K153+Q153-N153</f>
        <v>0</v>
      </c>
      <c r="S153" s="113">
        <f>IF(K153&gt;0,K153-I153,0)+IF(N153&gt;0,N153-L153)</f>
        <v>0</v>
      </c>
      <c r="T153" s="113">
        <f>IF(H153&gt;0,(IF(R153&gt;B_Pause1Nach,B_Pause1Dauer+IF(BA153="Büro",B_WalkTime,0),IF(BA153="Büro",B_WalkTime,0))+IF(R153&gt;B_Pause2Nach,B_Pause2Dauer,0)),0)</f>
        <v>0</v>
      </c>
      <c r="U153" s="113">
        <f>IF(T153&gt;S153,T153-S153,0)</f>
        <v>0</v>
      </c>
      <c r="V153" s="146">
        <f>IF(F153="S",Z153,(IF((R153-U153)&gt;XWorkTimeMax,XWorkTimeMax,IF((R153-U153)&gt;0,R153-U153,0))))</f>
        <v>0</v>
      </c>
      <c r="W153" s="66"/>
      <c r="X153" s="115">
        <f>xNoWorkTime</f>
        <v>4.027777777777778E-2</v>
      </c>
      <c r="Y153" s="110">
        <f>IF(AND((AM153&lt;Feiertag),(G153&lt;&gt;85)),IF(OR(F153="B",F153="G",F153="S",H153&gt;0),H153-H153+Z153,0),0)</f>
        <v>0</v>
      </c>
      <c r="Z153" s="111" t="str">
        <f>IF(AND(AM153&gt;0,AM153&lt;Feiertag),INDEX(Arbeitszeit,AM153),"")</f>
        <v/>
      </c>
      <c r="AA153" s="112">
        <f>V153-Y153</f>
        <v>0</v>
      </c>
      <c r="AB153" s="67" t="str">
        <f>IF((V153-Y153)&lt;0,"*","")</f>
        <v/>
      </c>
      <c r="AC153" s="193">
        <f>xOverTime</f>
        <v>0</v>
      </c>
      <c r="AD153" s="144" t="str">
        <f>IF((R153-U153)&gt;XWorkTimeMax,(R153-U153-XWorkTimeMax),"")</f>
        <v/>
      </c>
      <c r="AE153" s="225">
        <f>IF(AW153,(AE152+SUM(AA153)+(IF(AG153="+",AF153,-AF153))),)</f>
        <v>0</v>
      </c>
      <c r="AF153" s="110"/>
      <c r="AG153" s="627"/>
      <c r="AH153" s="110"/>
      <c r="AI153" s="110" t="str">
        <f>IF(AND(AF153&lt;&gt;"",AF153&lt;=V153),V153-AF153,"")</f>
        <v/>
      </c>
      <c r="AJ153" s="68">
        <f>IF(ISNUMBER(V153 ), IF( V153 &gt;= Y153, Y153, V153 ),"")</f>
        <v>0</v>
      </c>
      <c r="AK153" s="68">
        <f>IF( ISNUMBER( V153 ), IF( V153 &gt;= Y153, V153 - Y153, "" ), "" )</f>
        <v>0</v>
      </c>
      <c r="AL153" s="68" t="str">
        <f>IF( AND(ISNUMBER( V153 ),ISNUMBER( Y153 )), IF( V153 &gt;= Y153, "", Y153 - V153 ), "" )</f>
        <v/>
      </c>
      <c r="AM153">
        <f>IF(A153="",0,IF(ISERROR(VLOOKUP(A153,db_Feiertag,2,FALSE)),WEEKDAY(A153,2),Feiertag))</f>
        <v>8</v>
      </c>
      <c r="AN153" s="122">
        <f>SUM($AD$6:AD153)</f>
        <v>0</v>
      </c>
      <c r="AO153" s="122">
        <f ca="1">IF(D153=D152,AO152,OFFSET(AO153,-1,COLUMN(db_jSaldoGes)-COLUMN()))</f>
        <v>0</v>
      </c>
      <c r="AP153" s="126">
        <f>IF(OR($G153=-1,$G153=82),-1,IF(OR($G153=0,$G153=83),1,0))</f>
        <v>0</v>
      </c>
      <c r="AQ153" s="126">
        <f>IF($F153=Krank,1,IF($F153="J",-1,0))</f>
        <v>0</v>
      </c>
      <c r="AR153" s="126">
        <f>IF($F153=Urlaub,1,IF($F153="T",-1,0))</f>
        <v>0</v>
      </c>
      <c r="AS153" s="125">
        <f>IF(A153="","",AS152-IF(F153=Urlaub,1,0)+IF(AND(MONTH(A153)=1,DAY(A153)=1),B_UrlaubNeu,0))</f>
        <v>30</v>
      </c>
      <c r="AT153" s="125">
        <f ca="1">IF(A153="","",IF(D153=D152,AT152,OFFSET(AT153,-1,COLUMN(db_jUrlRest)-COLUMN()))+IF(AND(MONTH(A153)=1,DAY(A153)=1),B_UrlaubNeu,0))</f>
        <v>30</v>
      </c>
      <c r="AU153" s="135">
        <f>(IF(ISNUMBER(V153),V153,0)+IF(ISNUMBER(AD153),AD153,0))*24</f>
        <v>0</v>
      </c>
      <c r="AV153" s="125">
        <f>IF(ISNUMBER(AD153),K_ArbeitOverMax,IF(AND(ISNUMBER(AA153),AA153&gt;0),K_ArbeitOverTime,IF(AND(ISNUMBER(V153),V153&gt;0),K_ArbeitNormal,IF(F153=Krank,K_Krank,IF(F153=Urlaub,K_Urlaub,IF(AM153=Feiertag,K_Feiertag,IF(OR(AM153=6,AM153=7),K_Wochenende,0)))))))+IF(F153=Gleittag,K_Gleittag,0)</f>
        <v>8</v>
      </c>
      <c r="AW153" t="b">
        <f>OR((F153&gt;0),(NOT(ISBLANK(H153))),SUM(H153:H$373),SUM(G153:G$373))</f>
        <v>0</v>
      </c>
      <c r="AX153" t="b">
        <f ca="1">INDIRECT(ADDRESS(ROW(),COLUMN(xDay)))&gt;5</f>
        <v>1</v>
      </c>
      <c r="AY153" s="600">
        <f>IF(OR(R153&lt;&gt;0,F153&lt;&gt;0),AA153,IF(Z153="",0,-Z153))+(IF(AG153="+",AF153,-AF153))</f>
        <v>0</v>
      </c>
      <c r="AZ153" s="225">
        <f>SUM(AY$5:AY153)</f>
        <v>-29.166666666666707</v>
      </c>
      <c r="BA153" s="643"/>
      <c r="BB153" s="658">
        <f>IF(ISNA(MATCH(BA153,B_Arbeitsort,0)),0,MATCH(BA153,B_Arbeitsort,0))</f>
        <v>0</v>
      </c>
      <c r="BC153" s="643"/>
    </row>
    <row r="154" spans="1:55" ht="15.75">
      <c r="A154" s="305">
        <f>IF(A153="","",IF((A153+1)&gt;=DATE(YEAR(xJahr)+1,MONTH(xJahr),DAY(xJahr)),"",A153+1))</f>
        <v>43613</v>
      </c>
      <c r="B154" s="306">
        <f>IF(A154="","",A154)</f>
        <v>43613</v>
      </c>
      <c r="C154" s="307">
        <f>IF(A154="","",NumberOfWeek(A154))</f>
        <v>22</v>
      </c>
      <c r="D154" s="308">
        <f>IF(A154="","",DATE(YEAR(A154),MONTH(A154),1))</f>
        <v>43585</v>
      </c>
      <c r="E154" s="318" t="str">
        <f>IF((R154-U154)&gt;XWorkTimeMax,$Z$4,IF(AV154=Feiertag,VLOOKUP(B154,db_Feiertag,2,FALSE),""))</f>
        <v>Pfingstmontag</v>
      </c>
      <c r="F154" s="5"/>
      <c r="G154" s="6" t="str">
        <f>IF(ISBLANK(F154),IF(ISBLANK(H154),"",0),CODE(UPPER(F154)))</f>
        <v/>
      </c>
      <c r="H154" s="7"/>
      <c r="I154" s="7">
        <f>IF(H154&gt;0,H154+Y154+X154+AC154,0)</f>
        <v>0</v>
      </c>
      <c r="J154" s="113">
        <f>IF(K154&gt;I154,IF(I154&lt;H154,I154+1,I154)-B_WalkTime,IF(I154&lt;H154,I154+1,I154))</f>
        <v>0</v>
      </c>
      <c r="K154" s="7"/>
      <c r="L154" s="7">
        <f>IF(K154&gt;0,K154+IF((J154-H154)&lt;Y154,Y154-(J154-H154),TIME(0,10,0))+IF((K154-J154)&gt;xNoWorkTime,0,xNoWorkTime-(K154-J154)),0)</f>
        <v>0</v>
      </c>
      <c r="M154" s="113">
        <f>IF(L154&lt;K154,L154+1,L154)</f>
        <v>0</v>
      </c>
      <c r="N154" s="113"/>
      <c r="O154" s="113">
        <f>IF(N154&gt;0,N154+IF((J154-H154+M154-K154)&lt;Y154,Y154-(J154-H154+M154-K154),TIME(0,10,0))+IF((K154-J154+N154-M154)&gt;xNoWorkTime,0,xNoWorkTime-(K154-J154+N154-M154)),0)</f>
        <v>0</v>
      </c>
      <c r="P154" s="113"/>
      <c r="Q154" s="113">
        <f>IF(O154&lt;N154,O154+1,O154)</f>
        <v>0</v>
      </c>
      <c r="R154" s="113">
        <f>J154-H154+M154-K154+Q154-N154</f>
        <v>0</v>
      </c>
      <c r="S154" s="113">
        <f>IF(K154&gt;0,K154-I154,0)+IF(N154&gt;0,N154-L154)</f>
        <v>0</v>
      </c>
      <c r="T154" s="113">
        <f>IF(H154&gt;0,(IF(R154&gt;B_Pause1Nach,B_Pause1Dauer+IF(BA154="Büro",B_WalkTime,0),IF(BA154="Büro",B_WalkTime,0))+IF(R154&gt;B_Pause2Nach,B_Pause2Dauer,0)),0)</f>
        <v>0</v>
      </c>
      <c r="U154" s="113">
        <f>IF(T154&gt;S154,T154-S154,0)</f>
        <v>0</v>
      </c>
      <c r="V154" s="146">
        <f>IF(F154="S",Z154,(IF((R154-U154)&gt;XWorkTimeMax,XWorkTimeMax,IF((R154-U154)&gt;0,R154-U154,0))))</f>
        <v>0</v>
      </c>
      <c r="W154" s="66"/>
      <c r="X154" s="115">
        <f>xNoWorkTime</f>
        <v>4.027777777777778E-2</v>
      </c>
      <c r="Y154" s="110">
        <f>IF(AND((AM154&lt;Feiertag),(G154&lt;&gt;85)),IF(OR(F154="B",F154="G",F154="S",H154&gt;0),H154-H154+Z154,0),0)</f>
        <v>0</v>
      </c>
      <c r="Z154" s="111" t="str">
        <f>IF(AND(AM154&gt;0,AM154&lt;Feiertag),INDEX(Arbeitszeit,AM154),"")</f>
        <v/>
      </c>
      <c r="AA154" s="112">
        <f>V154-Y154</f>
        <v>0</v>
      </c>
      <c r="AB154" s="67" t="str">
        <f>IF((V154-Y154)&lt;0,"*","")</f>
        <v/>
      </c>
      <c r="AC154" s="193">
        <f>xOverTime</f>
        <v>0</v>
      </c>
      <c r="AD154" s="144" t="str">
        <f>IF((R154-U154)&gt;XWorkTimeMax,(R154-U154-XWorkTimeMax),"")</f>
        <v/>
      </c>
      <c r="AE154" s="225">
        <f>IF(AW154,(AE153+SUM(AA154)+(IF(AG154="+",AF154,-AF154))),)</f>
        <v>0</v>
      </c>
      <c r="AF154" s="110"/>
      <c r="AG154" s="627"/>
      <c r="AH154" s="110"/>
      <c r="AI154" s="110" t="str">
        <f>IF(AND(AF154&lt;&gt;"",AF154&lt;=V154),V154-AF154,"")</f>
        <v/>
      </c>
      <c r="AJ154" s="68">
        <f>IF(ISNUMBER(V154 ), IF( V154 &gt;= Y154, Y154, V154 ),"")</f>
        <v>0</v>
      </c>
      <c r="AK154" s="68">
        <f>IF( ISNUMBER( V154 ), IF( V154 &gt;= Y154, V154 - Y154, "" ), "" )</f>
        <v>0</v>
      </c>
      <c r="AL154" s="68" t="str">
        <f>IF( AND(ISNUMBER( V154 ),ISNUMBER( Y154 )), IF( V154 &gt;= Y154, "", Y154 - V154 ), "" )</f>
        <v/>
      </c>
      <c r="AM154">
        <f>IF(A154="",0,IF(ISERROR(VLOOKUP(A154,db_Feiertag,2,FALSE)),WEEKDAY(A154,2),Feiertag))</f>
        <v>8</v>
      </c>
      <c r="AN154" s="122">
        <f>SUM($AD$6:AD154)</f>
        <v>0</v>
      </c>
      <c r="AO154" s="122">
        <f ca="1">IF(D154=D153,AO153,OFFSET(AO154,-1,COLUMN(db_jSaldoGes)-COLUMN()))</f>
        <v>0</v>
      </c>
      <c r="AP154" s="126">
        <f>IF(OR($G154=-1,$G154=82),-1,IF(OR($G154=0,$G154=83),1,0))</f>
        <v>0</v>
      </c>
      <c r="AQ154" s="126">
        <f>IF($F154=Krank,1,IF($F154="J",-1,0))</f>
        <v>0</v>
      </c>
      <c r="AR154" s="126">
        <f>IF($F154=Urlaub,1,IF($F154="T",-1,0))</f>
        <v>0</v>
      </c>
      <c r="AS154" s="125">
        <f>IF(A154="","",AS153-IF(F154=Urlaub,1,0)+IF(AND(MONTH(A154)=1,DAY(A154)=1),B_UrlaubNeu,0))</f>
        <v>30</v>
      </c>
      <c r="AT154" s="125">
        <f ca="1">IF(A154="","",IF(D154=D153,AT153,OFFSET(AT154,-1,COLUMN(db_jUrlRest)-COLUMN()))+IF(AND(MONTH(A154)=1,DAY(A154)=1),B_UrlaubNeu,0))</f>
        <v>30</v>
      </c>
      <c r="AU154" s="135">
        <f>(IF(ISNUMBER(V154),V154,0)+IF(ISNUMBER(AD154),AD154,0))*24</f>
        <v>0</v>
      </c>
      <c r="AV154" s="125">
        <f>IF(ISNUMBER(AD154),K_ArbeitOverMax,IF(AND(ISNUMBER(AA154),AA154&gt;0),K_ArbeitOverTime,IF(AND(ISNUMBER(V154),V154&gt;0),K_ArbeitNormal,IF(F154=Krank,K_Krank,IF(F154=Urlaub,K_Urlaub,IF(AM154=Feiertag,K_Feiertag,IF(OR(AM154=6,AM154=7),K_Wochenende,0)))))))+IF(F154=Gleittag,K_Gleittag,0)</f>
        <v>8</v>
      </c>
      <c r="AW154" t="b">
        <f>OR((F154&gt;0),(NOT(ISBLANK(H154))),SUM(H154:H$373),SUM(G154:G$373))</f>
        <v>0</v>
      </c>
      <c r="AX154" t="b">
        <f ca="1">INDIRECT(ADDRESS(ROW(),COLUMN(xDay)))&gt;5</f>
        <v>1</v>
      </c>
      <c r="AY154" s="600">
        <f>IF(OR(R154&lt;&gt;0,F154&lt;&gt;0),AA154,IF(Z154="",0,-Z154))+(IF(AG154="+",AF154,-AF154))</f>
        <v>0</v>
      </c>
      <c r="AZ154" s="225">
        <f>SUM(AY$5:AY154)</f>
        <v>-29.166666666666707</v>
      </c>
      <c r="BA154" s="643"/>
      <c r="BB154" s="658">
        <f>IF(ISNA(MATCH(BA154,B_Arbeitsort,0)),0,MATCH(BA154,B_Arbeitsort,0))</f>
        <v>0</v>
      </c>
      <c r="BC154" s="643"/>
    </row>
    <row r="155" spans="1:55" ht="15.75">
      <c r="A155" s="305">
        <f>IF(A154="","",IF((A154+1)&gt;=DATE(YEAR(xJahr)+1,MONTH(xJahr),DAY(xJahr)),"",A154+1))</f>
        <v>43614</v>
      </c>
      <c r="B155" s="306">
        <f>IF(A155="","",A155)</f>
        <v>43614</v>
      </c>
      <c r="C155" s="307">
        <f>IF(A155="","",NumberOfWeek(A155))</f>
        <v>22</v>
      </c>
      <c r="D155" s="308">
        <f>IF(A155="","",DATE(YEAR(A155),MONTH(A155),1))</f>
        <v>43585</v>
      </c>
      <c r="E155" s="318" t="str">
        <f>IF((R155-U155)&gt;XWorkTimeMax,$Z$4,IF(AV155=Feiertag,VLOOKUP(B155,db_Feiertag,2,FALSE),""))</f>
        <v/>
      </c>
      <c r="F155" s="5"/>
      <c r="G155" s="6" t="str">
        <f>IF(ISBLANK(F155),IF(ISBLANK(H155),"",0),CODE(UPPER(F155)))</f>
        <v/>
      </c>
      <c r="H155" s="7"/>
      <c r="I155" s="7">
        <f>IF(H155&gt;0,H155+Y155+X155+AC155,0)</f>
        <v>0</v>
      </c>
      <c r="J155" s="113">
        <f>IF(K155&gt;I155,IF(I155&lt;H155,I155+1,I155)-B_WalkTime,IF(I155&lt;H155,I155+1,I155))</f>
        <v>0</v>
      </c>
      <c r="K155" s="7"/>
      <c r="L155" s="7">
        <f>IF(K155&gt;0,K155+IF((J155-H155)&lt;Y155,Y155-(J155-H155),TIME(0,10,0))+IF((K155-J155)&gt;xNoWorkTime,0,xNoWorkTime-(K155-J155)),0)</f>
        <v>0</v>
      </c>
      <c r="M155" s="113">
        <f>IF(L155&lt;K155,L155+1,L155)</f>
        <v>0</v>
      </c>
      <c r="N155" s="113"/>
      <c r="O155" s="113">
        <f>IF(N155&gt;0,N155+IF((J155-H155+M155-K155)&lt;Y155,Y155-(J155-H155+M155-K155),TIME(0,10,0))+IF((K155-J155+N155-M155)&gt;xNoWorkTime,0,xNoWorkTime-(K155-J155+N155-M155)),0)</f>
        <v>0</v>
      </c>
      <c r="P155" s="113"/>
      <c r="Q155" s="113">
        <f>IF(O155&lt;N155,O155+1,O155)</f>
        <v>0</v>
      </c>
      <c r="R155" s="113">
        <f>J155-H155+M155-K155+Q155-N155</f>
        <v>0</v>
      </c>
      <c r="S155" s="113">
        <f>IF(K155&gt;0,K155-I155,0)+IF(N155&gt;0,N155-L155)</f>
        <v>0</v>
      </c>
      <c r="T155" s="113">
        <f>IF(H155&gt;0,(IF(R155&gt;B_Pause1Nach,B_Pause1Dauer+IF(BA155="Büro",B_WalkTime,0),IF(BA155="Büro",B_WalkTime,0))+IF(R155&gt;B_Pause2Nach,B_Pause2Dauer,0)),0)</f>
        <v>0</v>
      </c>
      <c r="U155" s="113">
        <f>IF(T155&gt;S155,T155-S155,0)</f>
        <v>0</v>
      </c>
      <c r="V155" s="146">
        <f>IF(F155="S",Z155,(IF((R155-U155)&gt;XWorkTimeMax,XWorkTimeMax,IF((R155-U155)&gt;0,R155-U155,0))))</f>
        <v>0</v>
      </c>
      <c r="W155" s="66"/>
      <c r="X155" s="115">
        <f>xNoWorkTime</f>
        <v>4.027777777777778E-2</v>
      </c>
      <c r="Y155" s="110">
        <f>IF(AND((AM155&lt;Feiertag),(G155&lt;&gt;85)),IF(OR(F155="B",F155="G",F155="S",H155&gt;0),H155-H155+Z155,0),0)</f>
        <v>0</v>
      </c>
      <c r="Z155" s="111">
        <f>IF(AND(AM155&gt;0,AM155&lt;Feiertag),INDEX(Arbeitszeit,AM155),"")</f>
        <v>0.29166666666666669</v>
      </c>
      <c r="AA155" s="112">
        <f>V155-Y155</f>
        <v>0</v>
      </c>
      <c r="AB155" s="67" t="str">
        <f>IF((V155-Y155)&lt;0,"*","")</f>
        <v/>
      </c>
      <c r="AC155" s="193">
        <f>xOverTime</f>
        <v>0</v>
      </c>
      <c r="AD155" s="144" t="str">
        <f>IF((R155-U155)&gt;XWorkTimeMax,(R155-U155-XWorkTimeMax),"")</f>
        <v/>
      </c>
      <c r="AE155" s="225">
        <f>IF(AW155,(AE154+SUM(AA155)+(IF(AG155="+",AF155,-AF155))),)</f>
        <v>0</v>
      </c>
      <c r="AF155" s="110"/>
      <c r="AG155" s="627"/>
      <c r="AH155" s="110"/>
      <c r="AI155" s="110" t="str">
        <f>IF(AND(AF155&lt;&gt;"",AF155&lt;=V155),V155-AF155,"")</f>
        <v/>
      </c>
      <c r="AJ155" s="68">
        <f>IF(ISNUMBER(V155 ), IF( V155 &gt;= Y155, Y155, V155 ),"")</f>
        <v>0</v>
      </c>
      <c r="AK155" s="68">
        <f>IF( ISNUMBER( V155 ), IF( V155 &gt;= Y155, V155 - Y155, "" ), "" )</f>
        <v>0</v>
      </c>
      <c r="AL155" s="68" t="str">
        <f>IF( AND(ISNUMBER( V155 ),ISNUMBER( Y155 )), IF( V155 &gt;= Y155, "", Y155 - V155 ), "" )</f>
        <v/>
      </c>
      <c r="AM155">
        <f>IF(A155="",0,IF(ISERROR(VLOOKUP(A155,db_Feiertag,2,FALSE)),WEEKDAY(A155,2),Feiertag))</f>
        <v>2</v>
      </c>
      <c r="AN155" s="122">
        <f>SUM($AD$6:AD155)</f>
        <v>0</v>
      </c>
      <c r="AO155" s="122">
        <f ca="1">IF(D155=D154,AO154,OFFSET(AO155,-1,COLUMN(db_jSaldoGes)-COLUMN()))</f>
        <v>0</v>
      </c>
      <c r="AP155" s="126">
        <f>IF(OR($G155=-1,$G155=82),-1,IF(OR($G155=0,$G155=83),1,0))</f>
        <v>0</v>
      </c>
      <c r="AQ155" s="126">
        <f>IF($F155=Krank,1,IF($F155="J",-1,0))</f>
        <v>0</v>
      </c>
      <c r="AR155" s="126">
        <f>IF($F155=Urlaub,1,IF($F155="T",-1,0))</f>
        <v>0</v>
      </c>
      <c r="AS155" s="125">
        <f>IF(A155="","",AS154-IF(F155=Urlaub,1,0)+IF(AND(MONTH(A155)=1,DAY(A155)=1),B_UrlaubNeu,0))</f>
        <v>30</v>
      </c>
      <c r="AT155" s="125">
        <f ca="1">IF(A155="","",IF(D155=D154,AT154,OFFSET(AT155,-1,COLUMN(db_jUrlRest)-COLUMN()))+IF(AND(MONTH(A155)=1,DAY(A155)=1),B_UrlaubNeu,0))</f>
        <v>30</v>
      </c>
      <c r="AU155" s="135">
        <f>(IF(ISNUMBER(V155),V155,0)+IF(ISNUMBER(AD155),AD155,0))*24</f>
        <v>0</v>
      </c>
      <c r="AV155" s="125">
        <f>IF(ISNUMBER(AD155),K_ArbeitOverMax,IF(AND(ISNUMBER(AA155),AA155&gt;0),K_ArbeitOverTime,IF(AND(ISNUMBER(V155),V155&gt;0),K_ArbeitNormal,IF(F155=Krank,K_Krank,IF(F155=Urlaub,K_Urlaub,IF(AM155=Feiertag,K_Feiertag,IF(OR(AM155=6,AM155=7),K_Wochenende,0)))))))+IF(F155=Gleittag,K_Gleittag,0)</f>
        <v>0</v>
      </c>
      <c r="AW155" t="b">
        <f>OR((F155&gt;0),(NOT(ISBLANK(H155))),SUM(H155:H$373),SUM(G155:G$373))</f>
        <v>0</v>
      </c>
      <c r="AX155" t="b">
        <f ca="1">INDIRECT(ADDRESS(ROW(),COLUMN(xDay)))&gt;5</f>
        <v>0</v>
      </c>
      <c r="AY155" s="600">
        <f>IF(OR(R155&lt;&gt;0,F155&lt;&gt;0),AA155,IF(Z155="",0,-Z155))+(IF(AG155="+",AF155,-AF155))</f>
        <v>-0.29166666666666669</v>
      </c>
      <c r="AZ155" s="225">
        <f>SUM(AY$5:AY155)</f>
        <v>-29.458333333333375</v>
      </c>
      <c r="BA155" s="658"/>
      <c r="BB155" s="658">
        <f>IF(ISNA(MATCH(BA155,B_Arbeitsort,0)),0,MATCH(BA155,B_Arbeitsort,0))</f>
        <v>0</v>
      </c>
      <c r="BC155" s="658"/>
    </row>
    <row r="156" spans="1:55" ht="15.75">
      <c r="A156" s="305">
        <f>IF(A155="","",IF((A155+1)&gt;=DATE(YEAR(xJahr)+1,MONTH(xJahr),DAY(xJahr)),"",A155+1))</f>
        <v>43615</v>
      </c>
      <c r="B156" s="306">
        <f>IF(A156="","",A156)</f>
        <v>43615</v>
      </c>
      <c r="C156" s="307">
        <f>IF(A156="","",NumberOfWeek(A156))</f>
        <v>22</v>
      </c>
      <c r="D156" s="308">
        <f>IF(A156="","",DATE(YEAR(A156),MONTH(A156),1))</f>
        <v>43585</v>
      </c>
      <c r="E156" s="318" t="str">
        <f>IF((R156-U156)&gt;XWorkTimeMax,$Z$4,IF(AV156=Feiertag,VLOOKUP(B156,db_Feiertag,2,FALSE),""))</f>
        <v/>
      </c>
      <c r="F156" s="5"/>
      <c r="G156" s="6" t="str">
        <f>IF(ISBLANK(F156),IF(ISBLANK(H156),"",0),CODE(UPPER(F156)))</f>
        <v/>
      </c>
      <c r="H156" s="7"/>
      <c r="I156" s="7">
        <f>IF(H156&gt;0,H156+Y156+X156+AC156,0)</f>
        <v>0</v>
      </c>
      <c r="J156" s="113">
        <f>IF(K156&gt;I156,IF(I156&lt;H156,I156+1,I156)-B_WalkTime,IF(I156&lt;H156,I156+1,I156))</f>
        <v>0</v>
      </c>
      <c r="K156" s="7"/>
      <c r="L156" s="7">
        <f>IF(K156&gt;0,K156+IF((J156-H156)&lt;Y156,Y156-(J156-H156),TIME(0,10,0))+IF((K156-J156)&gt;xNoWorkTime,0,xNoWorkTime-(K156-J156)),0)</f>
        <v>0</v>
      </c>
      <c r="M156" s="113">
        <f>IF(L156&lt;K156,L156+1,L156)</f>
        <v>0</v>
      </c>
      <c r="N156" s="113"/>
      <c r="O156" s="113">
        <f>IF(N156&gt;0,N156+IF((J156-H156+M156-K156)&lt;Y156,Y156-(J156-H156+M156-K156),TIME(0,10,0))+IF((K156-J156+N156-M156)&gt;xNoWorkTime,0,xNoWorkTime-(K156-J156+N156-M156)),0)</f>
        <v>0</v>
      </c>
      <c r="P156" s="113"/>
      <c r="Q156" s="113">
        <f>IF(O156&lt;N156,O156+1,O156)</f>
        <v>0</v>
      </c>
      <c r="R156" s="113">
        <f>J156-H156+M156-K156+Q156-N156</f>
        <v>0</v>
      </c>
      <c r="S156" s="113">
        <f>IF(K156&gt;0,K156-I156,0)+IF(N156&gt;0,N156-L156)</f>
        <v>0</v>
      </c>
      <c r="T156" s="113">
        <f>IF(H156&gt;0,(IF(R156&gt;B_Pause1Nach,B_Pause1Dauer+IF(BA156="Büro",B_WalkTime,0),IF(BA156="Büro",B_WalkTime,0))+IF(R156&gt;B_Pause2Nach,B_Pause2Dauer,0)),0)</f>
        <v>0</v>
      </c>
      <c r="U156" s="113">
        <f>IF(T156&gt;S156,T156-S156,0)</f>
        <v>0</v>
      </c>
      <c r="V156" s="146">
        <f>IF(F156="S",Z156,(IF((R156-U156)&gt;XWorkTimeMax,XWorkTimeMax,IF((R156-U156)&gt;0,R156-U156,0))))</f>
        <v>0</v>
      </c>
      <c r="W156" s="66"/>
      <c r="X156" s="115">
        <f>xNoWorkTime</f>
        <v>4.027777777777778E-2</v>
      </c>
      <c r="Y156" s="110">
        <f>IF(AND((AM156&lt;Feiertag),(G156&lt;&gt;85)),IF(OR(F156="B",F156="G",F156="S",H156&gt;0),H156-H156+Z156,0),0)</f>
        <v>0</v>
      </c>
      <c r="Z156" s="111">
        <f>IF(AND(AM156&gt;0,AM156&lt;Feiertag),INDEX(Arbeitszeit,AM156),"")</f>
        <v>0.29166666666666669</v>
      </c>
      <c r="AA156" s="112">
        <f>V156-Y156</f>
        <v>0</v>
      </c>
      <c r="AB156" s="67" t="str">
        <f>IF((V156-Y156)&lt;0,"*","")</f>
        <v/>
      </c>
      <c r="AC156" s="193">
        <f>xOverTime</f>
        <v>0</v>
      </c>
      <c r="AD156" s="144" t="str">
        <f>IF((R156-U156)&gt;XWorkTimeMax,(R156-U156-XWorkTimeMax),"")</f>
        <v/>
      </c>
      <c r="AE156" s="225">
        <f>IF(AW156,(AE155+SUM(AA156)+(IF(AG156="+",AF156,-AF156))),)</f>
        <v>0</v>
      </c>
      <c r="AF156" s="110"/>
      <c r="AG156" s="627"/>
      <c r="AH156" s="110"/>
      <c r="AI156" s="110" t="str">
        <f>IF(AND(AF156&lt;&gt;"",AF156&lt;=V156),V156-AF156,"")</f>
        <v/>
      </c>
      <c r="AJ156" s="68">
        <f>IF(ISNUMBER(V156 ), IF( V156 &gt;= Y156, Y156, V156 ),"")</f>
        <v>0</v>
      </c>
      <c r="AK156" s="68">
        <f>IF( ISNUMBER( V156 ), IF( V156 &gt;= Y156, V156 - Y156, "" ), "" )</f>
        <v>0</v>
      </c>
      <c r="AL156" s="68" t="str">
        <f>IF( AND(ISNUMBER( V156 ),ISNUMBER( Y156 )), IF( V156 &gt;= Y156, "", Y156 - V156 ), "" )</f>
        <v/>
      </c>
      <c r="AM156">
        <f>IF(A156="",0,IF(ISERROR(VLOOKUP(A156,db_Feiertag,2,FALSE)),WEEKDAY(A156,2),Feiertag))</f>
        <v>3</v>
      </c>
      <c r="AN156" s="122">
        <f>SUM($AD$6:AD156)</f>
        <v>0</v>
      </c>
      <c r="AO156" s="122">
        <f ca="1">IF(D156=D155,AO155,OFFSET(AO156,-1,COLUMN(db_jSaldoGes)-COLUMN()))</f>
        <v>0</v>
      </c>
      <c r="AP156" s="126">
        <f>IF(OR($G156=-1,$G156=82),-1,IF(OR($G156=0,$G156=83),1,0))</f>
        <v>0</v>
      </c>
      <c r="AQ156" s="126">
        <f>IF($F156=Krank,1,IF($F156="J",-1,0))</f>
        <v>0</v>
      </c>
      <c r="AR156" s="126">
        <f>IF($F156=Urlaub,1,IF($F156="T",-1,0))</f>
        <v>0</v>
      </c>
      <c r="AS156" s="125">
        <f>IF(A156="","",AS155-IF(F156=Urlaub,1,0)+IF(AND(MONTH(A156)=1,DAY(A156)=1),B_UrlaubNeu,0))</f>
        <v>30</v>
      </c>
      <c r="AT156" s="125">
        <f ca="1">IF(A156="","",IF(D156=D155,AT155,OFFSET(AT156,-1,COLUMN(db_jUrlRest)-COLUMN()))+IF(AND(MONTH(A156)=1,DAY(A156)=1),B_UrlaubNeu,0))</f>
        <v>30</v>
      </c>
      <c r="AU156" s="135">
        <f>(IF(ISNUMBER(V156),V156,0)+IF(ISNUMBER(AD156),AD156,0))*24</f>
        <v>0</v>
      </c>
      <c r="AV156" s="125">
        <f>IF(ISNUMBER(AD156),K_ArbeitOverMax,IF(AND(ISNUMBER(AA156),AA156&gt;0),K_ArbeitOverTime,IF(AND(ISNUMBER(V156),V156&gt;0),K_ArbeitNormal,IF(F156=Krank,K_Krank,IF(F156=Urlaub,K_Urlaub,IF(AM156=Feiertag,K_Feiertag,IF(OR(AM156=6,AM156=7),K_Wochenende,0)))))))+IF(F156=Gleittag,K_Gleittag,0)</f>
        <v>0</v>
      </c>
      <c r="AW156" t="b">
        <f>OR((F156&gt;0),(NOT(ISBLANK(H156))),SUM(H156:H$373),SUM(G156:G$373))</f>
        <v>0</v>
      </c>
      <c r="AX156" t="b">
        <f ca="1">INDIRECT(ADDRESS(ROW(),COLUMN(xDay)))&gt;5</f>
        <v>0</v>
      </c>
      <c r="AY156" s="600">
        <f>IF(OR(R156&lt;&gt;0,F156&lt;&gt;0),AA156,IF(Z156="",0,-Z156))+(IF(AG156="+",AF156,-AF156))</f>
        <v>-0.29166666666666669</v>
      </c>
      <c r="AZ156" s="225">
        <f>SUM(AY$5:AY156)</f>
        <v>-29.750000000000043</v>
      </c>
      <c r="BA156" s="658"/>
      <c r="BB156" s="658">
        <f>IF(ISNA(MATCH(BA156,B_Arbeitsort,0)),0,MATCH(BA156,B_Arbeitsort,0))</f>
        <v>0</v>
      </c>
      <c r="BC156" s="658"/>
    </row>
    <row r="157" spans="1:55" ht="15.75">
      <c r="A157" s="305">
        <f>IF(A156="","",IF((A156+1)&gt;=DATE(YEAR(xJahr)+1,MONTH(xJahr),DAY(xJahr)),"",A156+1))</f>
        <v>43616</v>
      </c>
      <c r="B157" s="306">
        <f>IF(A157="","",A157)</f>
        <v>43616</v>
      </c>
      <c r="C157" s="307">
        <f>IF(A157="","",NumberOfWeek(A157))</f>
        <v>22</v>
      </c>
      <c r="D157" s="308">
        <f>IF(A157="","",DATE(YEAR(A157),MONTH(A157),1))</f>
        <v>43616</v>
      </c>
      <c r="E157" s="318" t="str">
        <f>IF((R157-U157)&gt;XWorkTimeMax,$Z$4,IF(AV157=Feiertag,VLOOKUP(B157,db_Feiertag,2,FALSE),""))</f>
        <v/>
      </c>
      <c r="F157" s="5"/>
      <c r="G157" s="6" t="str">
        <f>IF(ISBLANK(F157),IF(ISBLANK(H157),"",0),CODE(UPPER(F157)))</f>
        <v/>
      </c>
      <c r="H157" s="7"/>
      <c r="I157" s="7">
        <f>IF(H157&gt;0,H157+Y157+X157+AC157,0)</f>
        <v>0</v>
      </c>
      <c r="J157" s="113">
        <f>IF(K157&gt;I157,IF(I157&lt;H157,I157+1,I157)-B_WalkTime,IF(I157&lt;H157,I157+1,I157))</f>
        <v>0</v>
      </c>
      <c r="K157" s="7"/>
      <c r="L157" s="7">
        <f>IF(K157&gt;0,K157+IF((J157-H157)&lt;Y157,Y157-(J157-H157),TIME(0,10,0))+IF((K157-J157)&gt;xNoWorkTime,0,xNoWorkTime-(K157-J157)),0)</f>
        <v>0</v>
      </c>
      <c r="M157" s="113">
        <f>IF(L157&lt;K157,L157+1,L157)</f>
        <v>0</v>
      </c>
      <c r="N157" s="113"/>
      <c r="O157" s="113">
        <f>IF(N157&gt;0,N157+IF((J157-H157+M157-K157)&lt;Y157,Y157-(J157-H157+M157-K157),TIME(0,10,0))+IF((K157-J157+N157-M157)&gt;xNoWorkTime,0,xNoWorkTime-(K157-J157+N157-M157)),0)</f>
        <v>0</v>
      </c>
      <c r="P157" s="113"/>
      <c r="Q157" s="113">
        <f>IF(O157&lt;N157,O157+1,O157)</f>
        <v>0</v>
      </c>
      <c r="R157" s="113">
        <f>J157-H157+M157-K157+Q157-N157</f>
        <v>0</v>
      </c>
      <c r="S157" s="113">
        <f>IF(K157&gt;0,K157-I157,0)+IF(N157&gt;0,N157-L157)</f>
        <v>0</v>
      </c>
      <c r="T157" s="113">
        <f>IF(H157&gt;0,(IF(R157&gt;B_Pause1Nach,B_Pause1Dauer+IF(BA157="Büro",B_WalkTime,0),IF(BA157="Büro",B_WalkTime,0))+IF(R157&gt;B_Pause2Nach,B_Pause2Dauer,0)),0)</f>
        <v>0</v>
      </c>
      <c r="U157" s="113">
        <f>IF(T157&gt;S157,T157-S157,0)</f>
        <v>0</v>
      </c>
      <c r="V157" s="146">
        <f>IF(F157="S",Z157,(IF((R157-U157)&gt;XWorkTimeMax,XWorkTimeMax,IF((R157-U157)&gt;0,R157-U157,0))))</f>
        <v>0</v>
      </c>
      <c r="W157" s="66"/>
      <c r="X157" s="115">
        <f>xNoWorkTime</f>
        <v>4.027777777777778E-2</v>
      </c>
      <c r="Y157" s="110">
        <f>IF(AND((AM157&lt;Feiertag),(G157&lt;&gt;85)),IF(OR(F157="B",F157="G",F157="S",H157&gt;0),H157-H157+Z157,0),0)</f>
        <v>0</v>
      </c>
      <c r="Z157" s="111">
        <f>IF(AND(AM157&gt;0,AM157&lt;Feiertag),INDEX(Arbeitszeit,AM157),"")</f>
        <v>0.29166666666666669</v>
      </c>
      <c r="AA157" s="112">
        <f>V157-Y157</f>
        <v>0</v>
      </c>
      <c r="AB157" s="67" t="str">
        <f>IF((V157-Y157)&lt;0,"*","")</f>
        <v/>
      </c>
      <c r="AC157" s="193">
        <f>xOverTime</f>
        <v>0</v>
      </c>
      <c r="AD157" s="144" t="str">
        <f>IF((R157-U157)&gt;XWorkTimeMax,(R157-U157-XWorkTimeMax),"")</f>
        <v/>
      </c>
      <c r="AE157" s="225">
        <f>IF(AW157,(AE156+SUM(AA157)+(IF(AG157="+",AF157,-AF157))),)</f>
        <v>0</v>
      </c>
      <c r="AF157" s="110"/>
      <c r="AG157" s="627"/>
      <c r="AH157" s="110"/>
      <c r="AI157" s="110" t="str">
        <f>IF(AND(AF157&lt;&gt;"",AF157&lt;=V157),V157-AF157,"")</f>
        <v/>
      </c>
      <c r="AJ157" s="68">
        <f>IF(ISNUMBER(V157 ), IF( V157 &gt;= Y157, Y157, V157 ),"")</f>
        <v>0</v>
      </c>
      <c r="AK157" s="68">
        <f>IF( ISNUMBER( V157 ), IF( V157 &gt;= Y157, V157 - Y157, "" ), "" )</f>
        <v>0</v>
      </c>
      <c r="AL157" s="68" t="str">
        <f>IF( AND(ISNUMBER( V157 ),ISNUMBER( Y157 )), IF( V157 &gt;= Y157, "", Y157 - V157 ), "" )</f>
        <v/>
      </c>
      <c r="AM157">
        <f>IF(A157="",0,IF(ISERROR(VLOOKUP(A157,db_Feiertag,2,FALSE)),WEEKDAY(A157,2),Feiertag))</f>
        <v>4</v>
      </c>
      <c r="AN157" s="122">
        <f>SUM($AD$6:AD157)</f>
        <v>0</v>
      </c>
      <c r="AO157" s="122">
        <f ca="1">IF(D157=D156,AO156,OFFSET(AO157,-1,COLUMN(db_jSaldoGes)-COLUMN()))</f>
        <v>0</v>
      </c>
      <c r="AP157" s="126">
        <f>IF(OR($G157=-1,$G157=82),-1,IF(OR($G157=0,$G157=83),1,0))</f>
        <v>0</v>
      </c>
      <c r="AQ157" s="126">
        <f>IF($F157=Krank,1,IF($F157="J",-1,0))</f>
        <v>0</v>
      </c>
      <c r="AR157" s="126">
        <f>IF($F157=Urlaub,1,IF($F157="T",-1,0))</f>
        <v>0</v>
      </c>
      <c r="AS157" s="125">
        <f>IF(A157="","",AS156-IF(F157=Urlaub,1,0)+IF(AND(MONTH(A157)=1,DAY(A157)=1),B_UrlaubNeu,0))</f>
        <v>30</v>
      </c>
      <c r="AT157" s="125">
        <f ca="1">IF(A157="","",IF(D157=D156,AT156,OFFSET(AT157,-1,COLUMN(db_jUrlRest)-COLUMN()))+IF(AND(MONTH(A157)=1,DAY(A157)=1),B_UrlaubNeu,0))</f>
        <v>30</v>
      </c>
      <c r="AU157" s="135">
        <f>(IF(ISNUMBER(V157),V157,0)+IF(ISNUMBER(AD157),AD157,0))*24</f>
        <v>0</v>
      </c>
      <c r="AV157" s="125">
        <f>IF(ISNUMBER(AD157),K_ArbeitOverMax,IF(AND(ISNUMBER(AA157),AA157&gt;0),K_ArbeitOverTime,IF(AND(ISNUMBER(V157),V157&gt;0),K_ArbeitNormal,IF(F157=Krank,K_Krank,IF(F157=Urlaub,K_Urlaub,IF(AM157=Feiertag,K_Feiertag,IF(OR(AM157=6,AM157=7),K_Wochenende,0)))))))+IF(F157=Gleittag,K_Gleittag,0)</f>
        <v>0</v>
      </c>
      <c r="AW157" t="b">
        <f>OR((F157&gt;0),(NOT(ISBLANK(H157))),SUM(H157:H$373),SUM(G157:G$373))</f>
        <v>0</v>
      </c>
      <c r="AX157" t="b">
        <f ca="1">INDIRECT(ADDRESS(ROW(),COLUMN(xDay)))&gt;5</f>
        <v>0</v>
      </c>
      <c r="AY157" s="600">
        <f>IF(OR(R157&lt;&gt;0,F157&lt;&gt;0),AA157,IF(Z157="",0,-Z157))+(IF(AG157="+",AF157,-AF157))</f>
        <v>-0.29166666666666669</v>
      </c>
      <c r="AZ157" s="225">
        <f>SUM(AY$5:AY157)</f>
        <v>-30.04166666666671</v>
      </c>
      <c r="BA157" s="658"/>
      <c r="BB157" s="658">
        <f>IF(ISNA(MATCH(BA157,B_Arbeitsort,0)),0,MATCH(BA157,B_Arbeitsort,0))</f>
        <v>0</v>
      </c>
      <c r="BC157" s="658"/>
    </row>
    <row r="158" spans="1:55" ht="15.75">
      <c r="A158" s="305">
        <f>IF(A157="","",IF((A157+1)&gt;=DATE(YEAR(xJahr)+1,MONTH(xJahr),DAY(xJahr)),"",A157+1))</f>
        <v>43617</v>
      </c>
      <c r="B158" s="306">
        <f>IF(A158="","",A158)</f>
        <v>43617</v>
      </c>
      <c r="C158" s="307">
        <f>IF(A158="","",NumberOfWeek(A158))</f>
        <v>22</v>
      </c>
      <c r="D158" s="308">
        <f>IF(A158="","",DATE(YEAR(A158),MONTH(A158),1))</f>
        <v>43616</v>
      </c>
      <c r="E158" s="318" t="str">
        <f>IF((R158-U158)&gt;XWorkTimeMax,$Z$4,IF(AV158=Feiertag,VLOOKUP(B158,db_Feiertag,2,FALSE),""))</f>
        <v/>
      </c>
      <c r="F158" s="5"/>
      <c r="G158" s="6" t="str">
        <f>IF(ISBLANK(F158),IF(ISBLANK(H158),"",0),CODE(UPPER(F158)))</f>
        <v/>
      </c>
      <c r="H158" s="7"/>
      <c r="I158" s="7">
        <f>IF(H158&gt;0,H158+Y158+X158+AC158,0)</f>
        <v>0</v>
      </c>
      <c r="J158" s="113">
        <f>IF(K158&gt;I158,IF(I158&lt;H158,I158+1,I158)-B_WalkTime,IF(I158&lt;H158,I158+1,I158))</f>
        <v>0</v>
      </c>
      <c r="K158" s="7"/>
      <c r="L158" s="7">
        <f>IF(K158&gt;0,K158+IF((J158-H158)&lt;Y158,Y158-(J158-H158),TIME(0,10,0))+IF((K158-J158)&gt;xNoWorkTime,0,xNoWorkTime-(K158-J158)),0)</f>
        <v>0</v>
      </c>
      <c r="M158" s="113">
        <f>IF(L158&lt;K158,L158+1,L158)</f>
        <v>0</v>
      </c>
      <c r="N158" s="113"/>
      <c r="O158" s="113">
        <f>IF(N158&gt;0,N158+IF((J158-H158+M158-K158)&lt;Y158,Y158-(J158-H158+M158-K158),TIME(0,10,0))+IF((K158-J158+N158-M158)&gt;xNoWorkTime,0,xNoWorkTime-(K158-J158+N158-M158)),0)</f>
        <v>0</v>
      </c>
      <c r="P158" s="113"/>
      <c r="Q158" s="113">
        <f>IF(O158&lt;N158,O158+1,O158)</f>
        <v>0</v>
      </c>
      <c r="R158" s="113">
        <f>J158-H158+M158-K158+Q158-N158</f>
        <v>0</v>
      </c>
      <c r="S158" s="113">
        <f>IF(K158&gt;0,K158-I158,0)+IF(N158&gt;0,N158-L158)</f>
        <v>0</v>
      </c>
      <c r="T158" s="113">
        <f>IF(H158&gt;0,(IF(R158&gt;B_Pause1Nach,B_Pause1Dauer+IF(BA158="Büro",B_WalkTime,0),IF(BA158="Büro",B_WalkTime,0))+IF(R158&gt;B_Pause2Nach,B_Pause2Dauer,0)),0)</f>
        <v>0</v>
      </c>
      <c r="U158" s="113">
        <f>IF(T158&gt;S158,T158-S158,0)</f>
        <v>0</v>
      </c>
      <c r="V158" s="146">
        <f>IF(F158="S",Z158,(IF((R158-U158)&gt;XWorkTimeMax,XWorkTimeMax,IF((R158-U158)&gt;0,R158-U158,0))))</f>
        <v>0</v>
      </c>
      <c r="W158" s="66"/>
      <c r="X158" s="115">
        <f>xNoWorkTime</f>
        <v>4.027777777777778E-2</v>
      </c>
      <c r="Y158" s="110">
        <f>IF(AND((AM158&lt;Feiertag),(G158&lt;&gt;85)),IF(OR(F158="B",F158="G",F158="S",H158&gt;0),H158-H158+Z158,0),0)</f>
        <v>0</v>
      </c>
      <c r="Z158" s="111">
        <f>IF(AND(AM158&gt;0,AM158&lt;Feiertag),INDEX(Arbeitszeit,AM158),"")</f>
        <v>0.29166666666666669</v>
      </c>
      <c r="AA158" s="112">
        <f>V158-Y158</f>
        <v>0</v>
      </c>
      <c r="AB158" s="67" t="str">
        <f>IF((V158-Y158)&lt;0,"*","")</f>
        <v/>
      </c>
      <c r="AC158" s="193">
        <f>xOverTime</f>
        <v>0</v>
      </c>
      <c r="AD158" s="144" t="str">
        <f>IF((R158-U158)&gt;XWorkTimeMax,(R158-U158-XWorkTimeMax),"")</f>
        <v/>
      </c>
      <c r="AE158" s="225">
        <f>IF(AW158,(AE157+SUM(AA158)+(IF(AG158="+",AF158,-AF158))),)</f>
        <v>0</v>
      </c>
      <c r="AF158" s="110"/>
      <c r="AG158" s="627"/>
      <c r="AH158" s="110"/>
      <c r="AI158" s="110" t="str">
        <f>IF(AND(AF158&lt;&gt;"",AF158&lt;=V158),V158-AF158,"")</f>
        <v/>
      </c>
      <c r="AJ158" s="68">
        <f>IF(ISNUMBER(V158 ), IF( V158 &gt;= Y158, Y158, V158 ),"")</f>
        <v>0</v>
      </c>
      <c r="AK158" s="68">
        <f>IF( ISNUMBER( V158 ), IF( V158 &gt;= Y158, V158 - Y158, "" ), "" )</f>
        <v>0</v>
      </c>
      <c r="AL158" s="68" t="str">
        <f>IF( AND(ISNUMBER( V158 ),ISNUMBER( Y158 )), IF( V158 &gt;= Y158, "", Y158 - V158 ), "" )</f>
        <v/>
      </c>
      <c r="AM158">
        <f>IF(A158="",0,IF(ISERROR(VLOOKUP(A158,db_Feiertag,2,FALSE)),WEEKDAY(A158,2),Feiertag))</f>
        <v>5</v>
      </c>
      <c r="AN158" s="122">
        <f>SUM($AD$6:AD158)</f>
        <v>0</v>
      </c>
      <c r="AO158" s="122">
        <f ca="1">IF(D158=D157,AO157,OFFSET(AO158,-1,COLUMN(db_jSaldoGes)-COLUMN()))</f>
        <v>0</v>
      </c>
      <c r="AP158" s="126">
        <f>IF(OR($G158=-1,$G158=82),-1,IF(OR($G158=0,$G158=83),1,0))</f>
        <v>0</v>
      </c>
      <c r="AQ158" s="126">
        <f>IF($F158=Krank,1,IF($F158="J",-1,0))</f>
        <v>0</v>
      </c>
      <c r="AR158" s="126">
        <f>IF($F158=Urlaub,1,IF($F158="T",-1,0))</f>
        <v>0</v>
      </c>
      <c r="AS158" s="125">
        <f>IF(A158="","",AS157-IF(F158=Urlaub,1,0)+IF(AND(MONTH(A158)=1,DAY(A158)=1),B_UrlaubNeu,0))</f>
        <v>30</v>
      </c>
      <c r="AT158" s="125">
        <f ca="1">IF(A158="","",IF(D158=D157,AT157,OFFSET(AT158,-1,COLUMN(db_jUrlRest)-COLUMN()))+IF(AND(MONTH(A158)=1,DAY(A158)=1),B_UrlaubNeu,0))</f>
        <v>30</v>
      </c>
      <c r="AU158" s="135">
        <f>(IF(ISNUMBER(V158),V158,0)+IF(ISNUMBER(AD158),AD158,0))*24</f>
        <v>0</v>
      </c>
      <c r="AV158" s="125">
        <f>IF(ISNUMBER(AD158),K_ArbeitOverMax,IF(AND(ISNUMBER(AA158),AA158&gt;0),K_ArbeitOverTime,IF(AND(ISNUMBER(V158),V158&gt;0),K_ArbeitNormal,IF(F158=Krank,K_Krank,IF(F158=Urlaub,K_Urlaub,IF(AM158=Feiertag,K_Feiertag,IF(OR(AM158=6,AM158=7),K_Wochenende,0)))))))+IF(F158=Gleittag,K_Gleittag,0)</f>
        <v>0</v>
      </c>
      <c r="AW158" t="b">
        <f>OR((F158&gt;0),(NOT(ISBLANK(H158))),SUM(H158:H$373),SUM(G158:G$373))</f>
        <v>0</v>
      </c>
      <c r="AX158" t="b">
        <f ca="1">INDIRECT(ADDRESS(ROW(),COLUMN(xDay)))&gt;5</f>
        <v>0</v>
      </c>
      <c r="AY158" s="600">
        <f>IF(OR(R158&lt;&gt;0,F158&lt;&gt;0),AA158,IF(Z158="",0,-Z158))+(IF(AG158="+",AF158,-AF158))</f>
        <v>-0.29166666666666669</v>
      </c>
      <c r="AZ158" s="225">
        <f>SUM(AY$5:AY158)</f>
        <v>-30.333333333333378</v>
      </c>
      <c r="BA158" s="658"/>
      <c r="BB158" s="658">
        <f>IF(ISNA(MATCH(BA158,B_Arbeitsort,0)),0,MATCH(BA158,B_Arbeitsort,0))</f>
        <v>0</v>
      </c>
      <c r="BC158" s="658"/>
    </row>
    <row r="159" spans="1:55" ht="15.75">
      <c r="A159" s="305">
        <f>IF(A158="","",IF((A158+1)&gt;=DATE(YEAR(xJahr)+1,MONTH(xJahr),DAY(xJahr)),"",A158+1))</f>
        <v>43618</v>
      </c>
      <c r="B159" s="306">
        <f>IF(A159="","",A159)</f>
        <v>43618</v>
      </c>
      <c r="C159" s="307">
        <f>IF(A159="","",NumberOfWeek(A159))</f>
        <v>22</v>
      </c>
      <c r="D159" s="308">
        <f>IF(A159="","",DATE(YEAR(A159),MONTH(A159),1))</f>
        <v>43616</v>
      </c>
      <c r="E159" s="318" t="str">
        <f>IF((R159-U159)&gt;XWorkTimeMax,$Z$4,IF(AV159=Feiertag,VLOOKUP(B159,db_Feiertag,2,FALSE),""))</f>
        <v/>
      </c>
      <c r="F159" s="5"/>
      <c r="G159" s="6" t="str">
        <f>IF(ISBLANK(F159),IF(ISBLANK(H159),"",0),CODE(UPPER(F159)))</f>
        <v/>
      </c>
      <c r="H159" s="7"/>
      <c r="I159" s="7">
        <f>IF(H159&gt;0,H159+Y159+X159+AC159,0)</f>
        <v>0</v>
      </c>
      <c r="J159" s="113">
        <f>IF(K159&gt;I159,IF(I159&lt;H159,I159+1,I159)-B_WalkTime,IF(I159&lt;H159,I159+1,I159))</f>
        <v>0</v>
      </c>
      <c r="K159" s="7"/>
      <c r="L159" s="7">
        <f>IF(K159&gt;0,K159+IF((J159-H159)&lt;Y159,Y159-(J159-H159),TIME(0,10,0))+IF((K159-J159)&gt;xNoWorkTime,0,xNoWorkTime-(K159-J159)),0)</f>
        <v>0</v>
      </c>
      <c r="M159" s="113">
        <f>IF(L159&lt;K159,L159+1,L159)</f>
        <v>0</v>
      </c>
      <c r="N159" s="113"/>
      <c r="O159" s="113">
        <f>IF(N159&gt;0,N159+IF((J159-H159+M159-K159)&lt;Y159,Y159-(J159-H159+M159-K159),TIME(0,10,0))+IF((K159-J159+N159-M159)&gt;xNoWorkTime,0,xNoWorkTime-(K159-J159+N159-M159)),0)</f>
        <v>0</v>
      </c>
      <c r="P159" s="113"/>
      <c r="Q159" s="113">
        <f>IF(O159&lt;N159,O159+1,O159)</f>
        <v>0</v>
      </c>
      <c r="R159" s="113">
        <f>J159-H159+M159-K159+Q159-N159</f>
        <v>0</v>
      </c>
      <c r="S159" s="113">
        <f>IF(K159&gt;0,K159-I159,0)+IF(N159&gt;0,N159-L159)</f>
        <v>0</v>
      </c>
      <c r="T159" s="113">
        <f>IF(H159&gt;0,(IF(R159&gt;B_Pause1Nach,B_Pause1Dauer+IF(BA159="Büro",B_WalkTime,0),IF(BA159="Büro",B_WalkTime,0))+IF(R159&gt;B_Pause2Nach,B_Pause2Dauer,0)),0)</f>
        <v>0</v>
      </c>
      <c r="U159" s="113">
        <f>IF(T159&gt;S159,T159-S159,0)</f>
        <v>0</v>
      </c>
      <c r="V159" s="146">
        <f>IF(F159="S",Z159,(IF((R159-U159)&gt;XWorkTimeMax,XWorkTimeMax,IF((R159-U159)&gt;0,R159-U159,0))))</f>
        <v>0</v>
      </c>
      <c r="W159" s="66"/>
      <c r="X159" s="115">
        <f>xNoWorkTime</f>
        <v>4.027777777777778E-2</v>
      </c>
      <c r="Y159" s="110">
        <f>IF(AND((AM159&lt;Feiertag),(G159&lt;&gt;85)),IF(OR(F159="B",F159="G",F159="S",H159&gt;0),H159-H159+Z159,0),0)</f>
        <v>0</v>
      </c>
      <c r="Z159" s="111">
        <f>IF(AND(AM159&gt;0,AM159&lt;Feiertag),INDEX(Arbeitszeit,AM159),"")</f>
        <v>0</v>
      </c>
      <c r="AA159" s="112">
        <f>V159-Y159</f>
        <v>0</v>
      </c>
      <c r="AB159" s="67" t="str">
        <f>IF((V159-Y159)&lt;0,"*","")</f>
        <v/>
      </c>
      <c r="AC159" s="193">
        <f>xOverTime</f>
        <v>0</v>
      </c>
      <c r="AD159" s="144" t="str">
        <f>IF((R159-U159)&gt;XWorkTimeMax,(R159-U159-XWorkTimeMax),"")</f>
        <v/>
      </c>
      <c r="AE159" s="225">
        <f>IF(AW159,(AE158+SUM(AA159)+(IF(AG159="+",AF159,-AF159))),)</f>
        <v>0</v>
      </c>
      <c r="AF159" s="110"/>
      <c r="AG159" s="627"/>
      <c r="AH159" s="110"/>
      <c r="AI159" s="110" t="str">
        <f>IF(AND(AF159&lt;&gt;"",AF159&lt;=V159),V159-AF159,"")</f>
        <v/>
      </c>
      <c r="AJ159" s="68">
        <f>IF(ISNUMBER(V159 ), IF( V159 &gt;= Y159, Y159, V159 ),"")</f>
        <v>0</v>
      </c>
      <c r="AK159" s="68">
        <f>IF( ISNUMBER( V159 ), IF( V159 &gt;= Y159, V159 - Y159, "" ), "" )</f>
        <v>0</v>
      </c>
      <c r="AL159" s="68" t="str">
        <f>IF( AND(ISNUMBER( V159 ),ISNUMBER( Y159 )), IF( V159 &gt;= Y159, "", Y159 - V159 ), "" )</f>
        <v/>
      </c>
      <c r="AM159">
        <f>IF(A159="",0,IF(ISERROR(VLOOKUP(A159,db_Feiertag,2,FALSE)),WEEKDAY(A159,2),Feiertag))</f>
        <v>6</v>
      </c>
      <c r="AN159" s="122">
        <f>SUM($AD$6:AD159)</f>
        <v>0</v>
      </c>
      <c r="AO159" s="122">
        <f ca="1">IF(D159=D158,AO158,OFFSET(AO159,-1,COLUMN(db_jSaldoGes)-COLUMN()))</f>
        <v>0</v>
      </c>
      <c r="AP159" s="126">
        <f>IF(OR($G159=-1,$G159=82),-1,IF(OR($G159=0,$G159=83),1,0))</f>
        <v>0</v>
      </c>
      <c r="AQ159" s="126">
        <f>IF($F159=Krank,1,IF($F159="J",-1,0))</f>
        <v>0</v>
      </c>
      <c r="AR159" s="126">
        <f>IF($F159=Urlaub,1,IF($F159="T",-1,0))</f>
        <v>0</v>
      </c>
      <c r="AS159" s="125">
        <f>IF(A159="","",AS158-IF(F159=Urlaub,1,0)+IF(AND(MONTH(A159)=1,DAY(A159)=1),B_UrlaubNeu,0))</f>
        <v>30</v>
      </c>
      <c r="AT159" s="125">
        <f ca="1">IF(A159="","",IF(D159=D158,AT158,OFFSET(AT159,-1,COLUMN(db_jUrlRest)-COLUMN()))+IF(AND(MONTH(A159)=1,DAY(A159)=1),B_UrlaubNeu,0))</f>
        <v>30</v>
      </c>
      <c r="AU159" s="135">
        <f>(IF(ISNUMBER(V159),V159,0)+IF(ISNUMBER(AD159),AD159,0))*24</f>
        <v>0</v>
      </c>
      <c r="AV159" s="125">
        <f>IF(ISNUMBER(AD159),K_ArbeitOverMax,IF(AND(ISNUMBER(AA159),AA159&gt;0),K_ArbeitOverTime,IF(AND(ISNUMBER(V159),V159&gt;0),K_ArbeitNormal,IF(F159=Krank,K_Krank,IF(F159=Urlaub,K_Urlaub,IF(AM159=Feiertag,K_Feiertag,IF(OR(AM159=6,AM159=7),K_Wochenende,0)))))))+IF(F159=Gleittag,K_Gleittag,0)</f>
        <v>7</v>
      </c>
      <c r="AW159" t="b">
        <f>OR((F159&gt;0),(NOT(ISBLANK(H159))),SUM(H159:H$373),SUM(G159:G$373))</f>
        <v>0</v>
      </c>
      <c r="AX159" t="b">
        <f ca="1">INDIRECT(ADDRESS(ROW(),COLUMN(xDay)))&gt;5</f>
        <v>1</v>
      </c>
      <c r="AY159" s="600">
        <f>IF(OR(R159&lt;&gt;0,F159&lt;&gt;0),AA159,IF(Z159="",0,-Z159))+(IF(AG159="+",AF159,-AF159))</f>
        <v>0</v>
      </c>
      <c r="AZ159" s="225">
        <f>SUM(AY$5:AY159)</f>
        <v>-30.333333333333378</v>
      </c>
      <c r="BA159" s="643"/>
      <c r="BB159" s="658">
        <f>IF(ISNA(MATCH(BA159,B_Arbeitsort,0)),0,MATCH(BA159,B_Arbeitsort,0))</f>
        <v>0</v>
      </c>
      <c r="BC159" s="643"/>
    </row>
    <row r="160" spans="1:55" ht="15.75">
      <c r="A160" s="305">
        <f>IF(A159="","",IF((A159+1)&gt;=DATE(YEAR(xJahr)+1,MONTH(xJahr),DAY(xJahr)),"",A159+1))</f>
        <v>43619</v>
      </c>
      <c r="B160" s="306">
        <f>IF(A160="","",A160)</f>
        <v>43619</v>
      </c>
      <c r="C160" s="307">
        <f>IF(A160="","",NumberOfWeek(A160))</f>
        <v>22</v>
      </c>
      <c r="D160" s="308">
        <f>IF(A160="","",DATE(YEAR(A160),MONTH(A160),1))</f>
        <v>43616</v>
      </c>
      <c r="E160" s="318" t="str">
        <f>IF((R160-U160)&gt;XWorkTimeMax,$Z$4,IF(AV160=Feiertag,VLOOKUP(B160,db_Feiertag,2,FALSE),""))</f>
        <v/>
      </c>
      <c r="F160" s="5"/>
      <c r="G160" s="6" t="str">
        <f>IF(ISBLANK(F160),IF(ISBLANK(H160),"",0),CODE(UPPER(F160)))</f>
        <v/>
      </c>
      <c r="H160" s="7"/>
      <c r="I160" s="7">
        <f>IF(H160&gt;0,H160+Y160+X160+AC160,0)</f>
        <v>0</v>
      </c>
      <c r="J160" s="113">
        <f>IF(K160&gt;I160,IF(I160&lt;H160,I160+1,I160)-B_WalkTime,IF(I160&lt;H160,I160+1,I160))</f>
        <v>0</v>
      </c>
      <c r="K160" s="7"/>
      <c r="L160" s="7">
        <f>IF(K160&gt;0,K160+IF((J160-H160)&lt;Y160,Y160-(J160-H160),TIME(0,10,0))+IF((K160-J160)&gt;xNoWorkTime,0,xNoWorkTime-(K160-J160)),0)</f>
        <v>0</v>
      </c>
      <c r="M160" s="113">
        <f>IF(L160&lt;K160,L160+1,L160)</f>
        <v>0</v>
      </c>
      <c r="N160" s="113"/>
      <c r="O160" s="113">
        <f>IF(N160&gt;0,N160+IF((J160-H160+M160-K160)&lt;Y160,Y160-(J160-H160+M160-K160),TIME(0,10,0))+IF((K160-J160+N160-M160)&gt;xNoWorkTime,0,xNoWorkTime-(K160-J160+N160-M160)),0)</f>
        <v>0</v>
      </c>
      <c r="P160" s="113"/>
      <c r="Q160" s="113">
        <f>IF(O160&lt;N160,O160+1,O160)</f>
        <v>0</v>
      </c>
      <c r="R160" s="113">
        <f>J160-H160+M160-K160+Q160-N160</f>
        <v>0</v>
      </c>
      <c r="S160" s="113">
        <f>IF(K160&gt;0,K160-I160,0)+IF(N160&gt;0,N160-L160)</f>
        <v>0</v>
      </c>
      <c r="T160" s="113">
        <f>IF(H160&gt;0,(IF(R160&gt;B_Pause1Nach,B_Pause1Dauer+IF(BA160="Büro",B_WalkTime,0),IF(BA160="Büro",B_WalkTime,0))+IF(R160&gt;B_Pause2Nach,B_Pause2Dauer,0)),0)</f>
        <v>0</v>
      </c>
      <c r="U160" s="113">
        <f>IF(T160&gt;S160,T160-S160,0)</f>
        <v>0</v>
      </c>
      <c r="V160" s="146">
        <f>IF(F160="S",Z160,(IF((R160-U160)&gt;XWorkTimeMax,XWorkTimeMax,IF((R160-U160)&gt;0,R160-U160,0))))</f>
        <v>0</v>
      </c>
      <c r="W160" s="66"/>
      <c r="X160" s="115">
        <f>xNoWorkTime</f>
        <v>4.027777777777778E-2</v>
      </c>
      <c r="Y160" s="110">
        <f>IF(AND((AM160&lt;Feiertag),(G160&lt;&gt;85)),IF(OR(F160="B",F160="G",F160="S",H160&gt;0),H160-H160+Z160,0),0)</f>
        <v>0</v>
      </c>
      <c r="Z160" s="111">
        <f>IF(AND(AM160&gt;0,AM160&lt;Feiertag),INDEX(Arbeitszeit,AM160),"")</f>
        <v>0</v>
      </c>
      <c r="AA160" s="112">
        <f>V160-Y160</f>
        <v>0</v>
      </c>
      <c r="AB160" s="67" t="str">
        <f>IF((V160-Y160)&lt;0,"*","")</f>
        <v/>
      </c>
      <c r="AC160" s="193">
        <f>xOverTime</f>
        <v>0</v>
      </c>
      <c r="AD160" s="144" t="str">
        <f>IF((R160-U160)&gt;XWorkTimeMax,(R160-U160-XWorkTimeMax),"")</f>
        <v/>
      </c>
      <c r="AE160" s="225">
        <f>IF(AW160,(AE159+SUM(AA160)+(IF(AG160="+",AF160,-AF160))),)</f>
        <v>0</v>
      </c>
      <c r="AF160" s="110"/>
      <c r="AG160" s="627"/>
      <c r="AH160" s="110"/>
      <c r="AI160" s="110" t="str">
        <f>IF(AND(AF160&lt;&gt;"",AF160&lt;=V160),V160-AF160,"")</f>
        <v/>
      </c>
      <c r="AJ160" s="68">
        <f>IF(ISNUMBER(V160 ), IF( V160 &gt;= Y160, Y160, V160 ),"")</f>
        <v>0</v>
      </c>
      <c r="AK160" s="68">
        <f>IF( ISNUMBER( V160 ), IF( V160 &gt;= Y160, V160 - Y160, "" ), "" )</f>
        <v>0</v>
      </c>
      <c r="AL160" s="68" t="str">
        <f>IF( AND(ISNUMBER( V160 ),ISNUMBER( Y160 )), IF( V160 &gt;= Y160, "", Y160 - V160 ), "" )</f>
        <v/>
      </c>
      <c r="AM160">
        <f>IF(A160="",0,IF(ISERROR(VLOOKUP(A160,db_Feiertag,2,FALSE)),WEEKDAY(A160,2),Feiertag))</f>
        <v>7</v>
      </c>
      <c r="AN160" s="122">
        <f>SUM($AD$6:AD160)</f>
        <v>0</v>
      </c>
      <c r="AO160" s="122">
        <f ca="1">IF(D160=D159,AO159,OFFSET(AO160,-1,COLUMN(db_jSaldoGes)-COLUMN()))</f>
        <v>0</v>
      </c>
      <c r="AP160" s="126">
        <f>IF(OR($G160=-1,$G160=82),-1,IF(OR($G160=0,$G160=83),1,0))</f>
        <v>0</v>
      </c>
      <c r="AQ160" s="126">
        <f>IF($F160=Krank,1,IF($F160="J",-1,0))</f>
        <v>0</v>
      </c>
      <c r="AR160" s="126">
        <f>IF($F160=Urlaub,1,IF($F160="T",-1,0))</f>
        <v>0</v>
      </c>
      <c r="AS160" s="125">
        <f>IF(A160="","",AS159-IF(F160=Urlaub,1,0)+IF(AND(MONTH(A160)=1,DAY(A160)=1),B_UrlaubNeu,0))</f>
        <v>30</v>
      </c>
      <c r="AT160" s="125">
        <f ca="1">IF(A160="","",IF(D160=D159,AT159,OFFSET(AT160,-1,COLUMN(db_jUrlRest)-COLUMN()))+IF(AND(MONTH(A160)=1,DAY(A160)=1),B_UrlaubNeu,0))</f>
        <v>30</v>
      </c>
      <c r="AU160" s="135">
        <f>(IF(ISNUMBER(V160),V160,0)+IF(ISNUMBER(AD160),AD160,0))*24</f>
        <v>0</v>
      </c>
      <c r="AV160" s="125">
        <f>IF(ISNUMBER(AD160),K_ArbeitOverMax,IF(AND(ISNUMBER(AA160),AA160&gt;0),K_ArbeitOverTime,IF(AND(ISNUMBER(V160),V160&gt;0),K_ArbeitNormal,IF(F160=Krank,K_Krank,IF(F160=Urlaub,K_Urlaub,IF(AM160=Feiertag,K_Feiertag,IF(OR(AM160=6,AM160=7),K_Wochenende,0)))))))+IF(F160=Gleittag,K_Gleittag,0)</f>
        <v>7</v>
      </c>
      <c r="AW160" t="b">
        <f>OR((F160&gt;0),(NOT(ISBLANK(H160))),SUM(H160:H$373),SUM(G160:G$373))</f>
        <v>0</v>
      </c>
      <c r="AX160" t="b">
        <f ca="1">INDIRECT(ADDRESS(ROW(),COLUMN(xDay)))&gt;5</f>
        <v>1</v>
      </c>
      <c r="AY160" s="600">
        <f>IF(OR(R160&lt;&gt;0,F160&lt;&gt;0),AA160,IF(Z160="",0,-Z160))+(IF(AG160="+",AF160,-AF160))</f>
        <v>0</v>
      </c>
      <c r="AZ160" s="225">
        <f>SUM(AY$5:AY160)</f>
        <v>-30.333333333333378</v>
      </c>
      <c r="BA160" s="643"/>
      <c r="BB160" s="658">
        <f>IF(ISNA(MATCH(BA160,B_Arbeitsort,0)),0,MATCH(BA160,B_Arbeitsort,0))</f>
        <v>0</v>
      </c>
      <c r="BC160" s="643"/>
    </row>
    <row r="161" spans="1:55" ht="15.75">
      <c r="A161" s="305">
        <f>IF(A160="","",IF((A160+1)&gt;=DATE(YEAR(xJahr)+1,MONTH(xJahr),DAY(xJahr)),"",A160+1))</f>
        <v>43620</v>
      </c>
      <c r="B161" s="306">
        <f>IF(A161="","",A161)</f>
        <v>43620</v>
      </c>
      <c r="C161" s="307">
        <f>IF(A161="","",NumberOfWeek(A161))</f>
        <v>23</v>
      </c>
      <c r="D161" s="308">
        <f>IF(A161="","",DATE(YEAR(A161),MONTH(A161),1))</f>
        <v>43616</v>
      </c>
      <c r="E161" s="318" t="str">
        <f>IF((R161-U161)&gt;XWorkTimeMax,$Z$4,IF(AV161=Feiertag,VLOOKUP(B161,db_Feiertag,2,FALSE),""))</f>
        <v/>
      </c>
      <c r="F161" s="5"/>
      <c r="G161" s="6" t="str">
        <f>IF(ISBLANK(F161),IF(ISBLANK(H161),"",0),CODE(UPPER(F161)))</f>
        <v/>
      </c>
      <c r="H161" s="7"/>
      <c r="I161" s="7">
        <f>IF(H161&gt;0,H161+Y161+X161+AC161,0)</f>
        <v>0</v>
      </c>
      <c r="J161" s="113">
        <f>IF(K161&gt;I161,IF(I161&lt;H161,I161+1,I161)-B_WalkTime,IF(I161&lt;H161,I161+1,I161))</f>
        <v>0</v>
      </c>
      <c r="K161" s="7"/>
      <c r="L161" s="7">
        <f>IF(K161&gt;0,K161+IF((J161-H161)&lt;Y161,Y161-(J161-H161),TIME(0,10,0))+IF((K161-J161)&gt;xNoWorkTime,0,xNoWorkTime-(K161-J161)),0)</f>
        <v>0</v>
      </c>
      <c r="M161" s="113">
        <f>IF(L161&lt;K161,L161+1,L161)</f>
        <v>0</v>
      </c>
      <c r="N161" s="113"/>
      <c r="O161" s="113">
        <f>IF(N161&gt;0,N161+IF((J161-H161+M161-K161)&lt;Y161,Y161-(J161-H161+M161-K161),TIME(0,10,0))+IF((K161-J161+N161-M161)&gt;xNoWorkTime,0,xNoWorkTime-(K161-J161+N161-M161)),0)</f>
        <v>0</v>
      </c>
      <c r="P161" s="113"/>
      <c r="Q161" s="113">
        <f>IF(O161&lt;N161,O161+1,O161)</f>
        <v>0</v>
      </c>
      <c r="R161" s="113">
        <f>J161-H161+M161-K161+Q161-N161</f>
        <v>0</v>
      </c>
      <c r="S161" s="113">
        <f>IF(K161&gt;0,K161-I161,0)+IF(N161&gt;0,N161-L161)</f>
        <v>0</v>
      </c>
      <c r="T161" s="113">
        <f>IF(H161&gt;0,(IF(R161&gt;B_Pause1Nach,B_Pause1Dauer+IF(BA161="Büro",B_WalkTime,0),IF(BA161="Büro",B_WalkTime,0))+IF(R161&gt;B_Pause2Nach,B_Pause2Dauer,0)),0)</f>
        <v>0</v>
      </c>
      <c r="U161" s="113">
        <f>IF(T161&gt;S161,T161-S161,0)</f>
        <v>0</v>
      </c>
      <c r="V161" s="146">
        <f>IF(F161="S",Z161,(IF((R161-U161)&gt;XWorkTimeMax,XWorkTimeMax,IF((R161-U161)&gt;0,R161-U161,0))))</f>
        <v>0</v>
      </c>
      <c r="W161" s="66"/>
      <c r="X161" s="115">
        <f>xNoWorkTime</f>
        <v>4.027777777777778E-2</v>
      </c>
      <c r="Y161" s="110">
        <f>IF(AND((AM161&lt;Feiertag),(G161&lt;&gt;85)),IF(OR(F161="B",F161="G",F161="S",H161&gt;0),H161-H161+Z161,0),0)</f>
        <v>0</v>
      </c>
      <c r="Z161" s="111">
        <f>IF(AND(AM161&gt;0,AM161&lt;Feiertag),INDEX(Arbeitszeit,AM161),"")</f>
        <v>0.29166666666666669</v>
      </c>
      <c r="AA161" s="112">
        <f>V161-Y161</f>
        <v>0</v>
      </c>
      <c r="AB161" s="67" t="str">
        <f>IF((V161-Y161)&lt;0,"*","")</f>
        <v/>
      </c>
      <c r="AC161" s="193">
        <f>xOverTime</f>
        <v>0</v>
      </c>
      <c r="AD161" s="144" t="str">
        <f>IF((R161-U161)&gt;XWorkTimeMax,(R161-U161-XWorkTimeMax),"")</f>
        <v/>
      </c>
      <c r="AE161" s="225">
        <f>IF(AW161,(AE160+SUM(AA161)+(IF(AG161="+",AF161,-AF161))),)</f>
        <v>0</v>
      </c>
      <c r="AF161" s="110"/>
      <c r="AG161" s="627"/>
      <c r="AH161" s="110"/>
      <c r="AI161" s="110" t="str">
        <f>IF(AND(AF161&lt;&gt;"",AF161&lt;=V161),V161-AF161,"")</f>
        <v/>
      </c>
      <c r="AJ161" s="68">
        <f>IF(ISNUMBER(V161 ), IF( V161 &gt;= Y161, Y161, V161 ),"")</f>
        <v>0</v>
      </c>
      <c r="AK161" s="68">
        <f>IF( ISNUMBER( V161 ), IF( V161 &gt;= Y161, V161 - Y161, "" ), "" )</f>
        <v>0</v>
      </c>
      <c r="AL161" s="68" t="str">
        <f>IF( AND(ISNUMBER( V161 ),ISNUMBER( Y161 )), IF( V161 &gt;= Y161, "", Y161 - V161 ), "" )</f>
        <v/>
      </c>
      <c r="AM161">
        <f>IF(A161="",0,IF(ISERROR(VLOOKUP(A161,db_Feiertag,2,FALSE)),WEEKDAY(A161,2),Feiertag))</f>
        <v>1</v>
      </c>
      <c r="AN161" s="122">
        <f>SUM($AD$6:AD161)</f>
        <v>0</v>
      </c>
      <c r="AO161" s="122">
        <f ca="1">IF(D161=D160,AO160,OFFSET(AO161,-1,COLUMN(db_jSaldoGes)-COLUMN()))</f>
        <v>0</v>
      </c>
      <c r="AP161" s="126">
        <f>IF(OR($G161=-1,$G161=82),-1,IF(OR($G161=0,$G161=83),1,0))</f>
        <v>0</v>
      </c>
      <c r="AQ161" s="126">
        <f>IF($F161=Krank,1,IF($F161="J",-1,0))</f>
        <v>0</v>
      </c>
      <c r="AR161" s="126">
        <f>IF($F161=Urlaub,1,IF($F161="T",-1,0))</f>
        <v>0</v>
      </c>
      <c r="AS161" s="125">
        <f>IF(A161="","",AS160-IF(F161=Urlaub,1,0)+IF(AND(MONTH(A161)=1,DAY(A161)=1),B_UrlaubNeu,0))</f>
        <v>30</v>
      </c>
      <c r="AT161" s="125">
        <f ca="1">IF(A161="","",IF(D161=D160,AT160,OFFSET(AT161,-1,COLUMN(db_jUrlRest)-COLUMN()))+IF(AND(MONTH(A161)=1,DAY(A161)=1),B_UrlaubNeu,0))</f>
        <v>30</v>
      </c>
      <c r="AU161" s="135">
        <f>(IF(ISNUMBER(V161),V161,0)+IF(ISNUMBER(AD161),AD161,0))*24</f>
        <v>0</v>
      </c>
      <c r="AV161" s="125">
        <f>IF(ISNUMBER(AD161),K_ArbeitOverMax,IF(AND(ISNUMBER(AA161),AA161&gt;0),K_ArbeitOverTime,IF(AND(ISNUMBER(V161),V161&gt;0),K_ArbeitNormal,IF(F161=Krank,K_Krank,IF(F161=Urlaub,K_Urlaub,IF(AM161=Feiertag,K_Feiertag,IF(OR(AM161=6,AM161=7),K_Wochenende,0)))))))+IF(F161=Gleittag,K_Gleittag,0)</f>
        <v>0</v>
      </c>
      <c r="AW161" t="b">
        <f>OR((F161&gt;0),(NOT(ISBLANK(H161))),SUM(H161:H$373),SUM(G161:G$373))</f>
        <v>0</v>
      </c>
      <c r="AX161" t="b">
        <f ca="1">INDIRECT(ADDRESS(ROW(),COLUMN(xDay)))&gt;5</f>
        <v>0</v>
      </c>
      <c r="AY161" s="600">
        <f>IF(OR(R161&lt;&gt;0,F161&lt;&gt;0),AA161,IF(Z161="",0,-Z161))+(IF(AG161="+",AF161,-AF161))</f>
        <v>-0.29166666666666669</v>
      </c>
      <c r="AZ161" s="225">
        <f>SUM(AY$5:AY161)</f>
        <v>-30.625000000000046</v>
      </c>
      <c r="BA161" s="658"/>
      <c r="BB161" s="658">
        <f>IF(ISNA(MATCH(BA161,B_Arbeitsort,0)),0,MATCH(BA161,B_Arbeitsort,0))</f>
        <v>0</v>
      </c>
      <c r="BC161" s="658"/>
    </row>
    <row r="162" spans="1:55" ht="15.75">
      <c r="A162" s="305">
        <f>IF(A161="","",IF((A161+1)&gt;=DATE(YEAR(xJahr)+1,MONTH(xJahr),DAY(xJahr)),"",A161+1))</f>
        <v>43621</v>
      </c>
      <c r="B162" s="306">
        <f>IF(A162="","",A162)</f>
        <v>43621</v>
      </c>
      <c r="C162" s="307">
        <f>IF(A162="","",NumberOfWeek(A162))</f>
        <v>23</v>
      </c>
      <c r="D162" s="308">
        <f>IF(A162="","",DATE(YEAR(A162),MONTH(A162),1))</f>
        <v>43616</v>
      </c>
      <c r="E162" s="318" t="str">
        <f>IF((R162-U162)&gt;XWorkTimeMax,$Z$4,IF(AV162=Feiertag,VLOOKUP(B162,db_Feiertag,2,FALSE),""))</f>
        <v/>
      </c>
      <c r="F162" s="5"/>
      <c r="G162" s="6" t="str">
        <f>IF(ISBLANK(F162),IF(ISBLANK(H162),"",0),CODE(UPPER(F162)))</f>
        <v/>
      </c>
      <c r="H162" s="7"/>
      <c r="I162" s="7">
        <f>IF(H162&gt;0,H162+Y162+X162+AC162,0)</f>
        <v>0</v>
      </c>
      <c r="J162" s="113">
        <f>IF(K162&gt;I162,IF(I162&lt;H162,I162+1,I162)-B_WalkTime,IF(I162&lt;H162,I162+1,I162))</f>
        <v>0</v>
      </c>
      <c r="K162" s="7"/>
      <c r="L162" s="7">
        <f>IF(K162&gt;0,K162+IF((J162-H162)&lt;Y162,Y162-(J162-H162),TIME(0,10,0))+IF((K162-J162)&gt;xNoWorkTime,0,xNoWorkTime-(K162-J162)),0)</f>
        <v>0</v>
      </c>
      <c r="M162" s="113">
        <f>IF(L162&lt;K162,L162+1,L162)</f>
        <v>0</v>
      </c>
      <c r="N162" s="113"/>
      <c r="O162" s="113">
        <f>IF(N162&gt;0,N162+IF((J162-H162+M162-K162)&lt;Y162,Y162-(J162-H162+M162-K162),TIME(0,10,0))+IF((K162-J162+N162-M162)&gt;xNoWorkTime,0,xNoWorkTime-(K162-J162+N162-M162)),0)</f>
        <v>0</v>
      </c>
      <c r="P162" s="113"/>
      <c r="Q162" s="113">
        <f>IF(O162&lt;N162,O162+1,O162)</f>
        <v>0</v>
      </c>
      <c r="R162" s="113">
        <f>J162-H162+M162-K162+Q162-N162</f>
        <v>0</v>
      </c>
      <c r="S162" s="113">
        <f>IF(K162&gt;0,K162-I162,0)+IF(N162&gt;0,N162-L162)</f>
        <v>0</v>
      </c>
      <c r="T162" s="113">
        <f>IF(H162&gt;0,(IF(R162&gt;B_Pause1Nach,B_Pause1Dauer+IF(BA162="Büro",B_WalkTime,0),IF(BA162="Büro",B_WalkTime,0))+IF(R162&gt;B_Pause2Nach,B_Pause2Dauer,0)),0)</f>
        <v>0</v>
      </c>
      <c r="U162" s="113">
        <f>IF(T162&gt;S162,T162-S162,0)</f>
        <v>0</v>
      </c>
      <c r="V162" s="146">
        <f>IF(F162="S",Z162,(IF((R162-U162)&gt;XWorkTimeMax,XWorkTimeMax,IF((R162-U162)&gt;0,R162-U162,0))))</f>
        <v>0</v>
      </c>
      <c r="W162" s="66"/>
      <c r="X162" s="115">
        <f>xNoWorkTime</f>
        <v>4.027777777777778E-2</v>
      </c>
      <c r="Y162" s="110">
        <f>IF(AND((AM162&lt;Feiertag),(G162&lt;&gt;85)),IF(OR(F162="B",F162="G",F162="S",H162&gt;0),H162-H162+Z162,0),0)</f>
        <v>0</v>
      </c>
      <c r="Z162" s="111">
        <f>IF(AND(AM162&gt;0,AM162&lt;Feiertag),INDEX(Arbeitszeit,AM162),"")</f>
        <v>0.29166666666666669</v>
      </c>
      <c r="AA162" s="112">
        <f>V162-Y162</f>
        <v>0</v>
      </c>
      <c r="AB162" s="67" t="str">
        <f>IF((V162-Y162)&lt;0,"*","")</f>
        <v/>
      </c>
      <c r="AC162" s="193">
        <f>xOverTime</f>
        <v>0</v>
      </c>
      <c r="AD162" s="144" t="str">
        <f>IF((R162-U162)&gt;XWorkTimeMax,(R162-U162-XWorkTimeMax),"")</f>
        <v/>
      </c>
      <c r="AE162" s="225">
        <f>IF(AW162,(AE161+SUM(AA162)+(IF(AG162="+",AF162,-AF162))),)</f>
        <v>0</v>
      </c>
      <c r="AF162" s="110"/>
      <c r="AG162" s="627"/>
      <c r="AH162" s="110"/>
      <c r="AI162" s="110" t="str">
        <f>IF(AND(AF162&lt;&gt;"",AF162&lt;=V162),V162-AF162,"")</f>
        <v/>
      </c>
      <c r="AJ162" s="68">
        <f>IF(ISNUMBER(V162 ), IF( V162 &gt;= Y162, Y162, V162 ),"")</f>
        <v>0</v>
      </c>
      <c r="AK162" s="68">
        <f>IF( ISNUMBER( V162 ), IF( V162 &gt;= Y162, V162 - Y162, "" ), "" )</f>
        <v>0</v>
      </c>
      <c r="AL162" s="68" t="str">
        <f>IF( AND(ISNUMBER( V162 ),ISNUMBER( Y162 )), IF( V162 &gt;= Y162, "", Y162 - V162 ), "" )</f>
        <v/>
      </c>
      <c r="AM162">
        <f>IF(A162="",0,IF(ISERROR(VLOOKUP(A162,db_Feiertag,2,FALSE)),WEEKDAY(A162,2),Feiertag))</f>
        <v>2</v>
      </c>
      <c r="AN162" s="122">
        <f>SUM($AD$6:AD162)</f>
        <v>0</v>
      </c>
      <c r="AO162" s="122">
        <f ca="1">IF(D162=D161,AO161,OFFSET(AO162,-1,COLUMN(db_jSaldoGes)-COLUMN()))</f>
        <v>0</v>
      </c>
      <c r="AP162" s="126">
        <f>IF(OR($G162=-1,$G162=82),-1,IF(OR($G162=0,$G162=83),1,0))</f>
        <v>0</v>
      </c>
      <c r="AQ162" s="126">
        <f>IF($F162=Krank,1,IF($F162="J",-1,0))</f>
        <v>0</v>
      </c>
      <c r="AR162" s="126">
        <f>IF($F162=Urlaub,1,IF($F162="T",-1,0))</f>
        <v>0</v>
      </c>
      <c r="AS162" s="125">
        <f>IF(A162="","",AS161-IF(F162=Urlaub,1,0)+IF(AND(MONTH(A162)=1,DAY(A162)=1),B_UrlaubNeu,0))</f>
        <v>30</v>
      </c>
      <c r="AT162" s="125">
        <f ca="1">IF(A162="","",IF(D162=D161,AT161,OFFSET(AT162,-1,COLUMN(db_jUrlRest)-COLUMN()))+IF(AND(MONTH(A162)=1,DAY(A162)=1),B_UrlaubNeu,0))</f>
        <v>30</v>
      </c>
      <c r="AU162" s="135">
        <f>(IF(ISNUMBER(V162),V162,0)+IF(ISNUMBER(AD162),AD162,0))*24</f>
        <v>0</v>
      </c>
      <c r="AV162" s="125">
        <f>IF(ISNUMBER(AD162),K_ArbeitOverMax,IF(AND(ISNUMBER(AA162),AA162&gt;0),K_ArbeitOverTime,IF(AND(ISNUMBER(V162),V162&gt;0),K_ArbeitNormal,IF(F162=Krank,K_Krank,IF(F162=Urlaub,K_Urlaub,IF(AM162=Feiertag,K_Feiertag,IF(OR(AM162=6,AM162=7),K_Wochenende,0)))))))+IF(F162=Gleittag,K_Gleittag,0)</f>
        <v>0</v>
      </c>
      <c r="AW162" t="b">
        <f>OR((F162&gt;0),(NOT(ISBLANK(H162))),SUM(H162:H$373),SUM(G162:G$373))</f>
        <v>0</v>
      </c>
      <c r="AX162" t="b">
        <f ca="1">INDIRECT(ADDRESS(ROW(),COLUMN(xDay)))&gt;5</f>
        <v>0</v>
      </c>
      <c r="AY162" s="600">
        <f>IF(OR(R162&lt;&gt;0,F162&lt;&gt;0),AA162,IF(Z162="",0,-Z162))+(IF(AG162="+",AF162,-AF162))</f>
        <v>-0.29166666666666669</v>
      </c>
      <c r="AZ162" s="225">
        <f>SUM(AY$5:AY162)</f>
        <v>-30.916666666666714</v>
      </c>
      <c r="BA162" s="658"/>
      <c r="BB162" s="658">
        <f>IF(ISNA(MATCH(BA162,B_Arbeitsort,0)),0,MATCH(BA162,B_Arbeitsort,0))</f>
        <v>0</v>
      </c>
      <c r="BC162" s="658"/>
    </row>
    <row r="163" spans="1:55" ht="15.75">
      <c r="A163" s="305">
        <f>IF(A162="","",IF((A162+1)&gt;=DATE(YEAR(xJahr)+1,MONTH(xJahr),DAY(xJahr)),"",A162+1))</f>
        <v>43622</v>
      </c>
      <c r="B163" s="306">
        <f>IF(A163="","",A163)</f>
        <v>43622</v>
      </c>
      <c r="C163" s="307">
        <f>IF(A163="","",NumberOfWeek(A163))</f>
        <v>23</v>
      </c>
      <c r="D163" s="308">
        <f>IF(A163="","",DATE(YEAR(A163),MONTH(A163),1))</f>
        <v>43616</v>
      </c>
      <c r="E163" s="318" t="str">
        <f>IF((R163-U163)&gt;XWorkTimeMax,$Z$4,IF(AV163=Feiertag,VLOOKUP(B163,db_Feiertag,2,FALSE),""))</f>
        <v/>
      </c>
      <c r="F163" s="5"/>
      <c r="G163" s="6" t="str">
        <f>IF(ISBLANK(F163),IF(ISBLANK(H163),"",0),CODE(UPPER(F163)))</f>
        <v/>
      </c>
      <c r="H163" s="7"/>
      <c r="I163" s="7">
        <f>IF(H163&gt;0,H163+Y163+X163+AC163,0)</f>
        <v>0</v>
      </c>
      <c r="J163" s="113">
        <f>IF(K163&gt;I163,IF(I163&lt;H163,I163+1,I163)-B_WalkTime,IF(I163&lt;H163,I163+1,I163))</f>
        <v>0</v>
      </c>
      <c r="K163" s="7"/>
      <c r="L163" s="7">
        <f>IF(K163&gt;0,K163+IF((J163-H163)&lt;Y163,Y163-(J163-H163),TIME(0,10,0))+IF((K163-J163)&gt;xNoWorkTime,0,xNoWorkTime-(K163-J163)),0)</f>
        <v>0</v>
      </c>
      <c r="M163" s="113">
        <f>IF(L163&lt;K163,L163+1,L163)</f>
        <v>0</v>
      </c>
      <c r="N163" s="113"/>
      <c r="O163" s="113">
        <f>IF(N163&gt;0,N163+IF((J163-H163+M163-K163)&lt;Y163,Y163-(J163-H163+M163-K163),TIME(0,10,0))+IF((K163-J163+N163-M163)&gt;xNoWorkTime,0,xNoWorkTime-(K163-J163+N163-M163)),0)</f>
        <v>0</v>
      </c>
      <c r="P163" s="113"/>
      <c r="Q163" s="113">
        <f>IF(O163&lt;N163,O163+1,O163)</f>
        <v>0</v>
      </c>
      <c r="R163" s="113">
        <f>J163-H163+M163-K163+Q163-N163</f>
        <v>0</v>
      </c>
      <c r="S163" s="113">
        <f>IF(K163&gt;0,K163-I163,0)+IF(N163&gt;0,N163-L163)</f>
        <v>0</v>
      </c>
      <c r="T163" s="113">
        <f>IF(H163&gt;0,(IF(R163&gt;B_Pause1Nach,B_Pause1Dauer+IF(BA163="Büro",B_WalkTime,0),IF(BA163="Büro",B_WalkTime,0))+IF(R163&gt;B_Pause2Nach,B_Pause2Dauer,0)),0)</f>
        <v>0</v>
      </c>
      <c r="U163" s="113">
        <f>IF(T163&gt;S163,T163-S163,0)</f>
        <v>0</v>
      </c>
      <c r="V163" s="146">
        <f>IF(F163="S",Z163,(IF((R163-U163)&gt;XWorkTimeMax,XWorkTimeMax,IF((R163-U163)&gt;0,R163-U163,0))))</f>
        <v>0</v>
      </c>
      <c r="W163" s="66"/>
      <c r="X163" s="115">
        <f>xNoWorkTime</f>
        <v>4.027777777777778E-2</v>
      </c>
      <c r="Y163" s="110">
        <f>IF(AND((AM163&lt;Feiertag),(G163&lt;&gt;85)),IF(OR(F163="B",F163="G",F163="S",H163&gt;0),H163-H163+Z163,0),0)</f>
        <v>0</v>
      </c>
      <c r="Z163" s="111">
        <f>IF(AND(AM163&gt;0,AM163&lt;Feiertag),INDEX(Arbeitszeit,AM163),"")</f>
        <v>0.29166666666666669</v>
      </c>
      <c r="AA163" s="112">
        <f>V163-Y163</f>
        <v>0</v>
      </c>
      <c r="AB163" s="67" t="str">
        <f>IF((V163-Y163)&lt;0,"*","")</f>
        <v/>
      </c>
      <c r="AC163" s="193">
        <f>xOverTime</f>
        <v>0</v>
      </c>
      <c r="AD163" s="144" t="str">
        <f>IF((R163-U163)&gt;XWorkTimeMax,(R163-U163-XWorkTimeMax),"")</f>
        <v/>
      </c>
      <c r="AE163" s="225">
        <f>IF(AW163,(AE162+SUM(AA163)+(IF(AG163="+",AF163,-AF163))),)</f>
        <v>0</v>
      </c>
      <c r="AF163" s="110"/>
      <c r="AG163" s="627"/>
      <c r="AH163" s="110"/>
      <c r="AI163" s="110" t="str">
        <f>IF(AND(AF163&lt;&gt;"",AF163&lt;=V163),V163-AF163,"")</f>
        <v/>
      </c>
      <c r="AJ163" s="68">
        <f>IF(ISNUMBER(V163 ), IF( V163 &gt;= Y163, Y163, V163 ),"")</f>
        <v>0</v>
      </c>
      <c r="AK163" s="68">
        <f>IF( ISNUMBER( V163 ), IF( V163 &gt;= Y163, V163 - Y163, "" ), "" )</f>
        <v>0</v>
      </c>
      <c r="AL163" s="68" t="str">
        <f>IF( AND(ISNUMBER( V163 ),ISNUMBER( Y163 )), IF( V163 &gt;= Y163, "", Y163 - V163 ), "" )</f>
        <v/>
      </c>
      <c r="AM163">
        <f>IF(A163="",0,IF(ISERROR(VLOOKUP(A163,db_Feiertag,2,FALSE)),WEEKDAY(A163,2),Feiertag))</f>
        <v>3</v>
      </c>
      <c r="AN163" s="122">
        <f>SUM($AD$6:AD163)</f>
        <v>0</v>
      </c>
      <c r="AO163" s="122">
        <f ca="1">IF(D163=D162,AO162,OFFSET(AO163,-1,COLUMN(db_jSaldoGes)-COLUMN()))</f>
        <v>0</v>
      </c>
      <c r="AP163" s="126">
        <f>IF(OR($G163=-1,$G163=82),-1,IF(OR($G163=0,$G163=83),1,0))</f>
        <v>0</v>
      </c>
      <c r="AQ163" s="126">
        <f>IF($F163=Krank,1,IF($F163="J",-1,0))</f>
        <v>0</v>
      </c>
      <c r="AR163" s="126">
        <f>IF($F163=Urlaub,1,IF($F163="T",-1,0))</f>
        <v>0</v>
      </c>
      <c r="AS163" s="125">
        <f>IF(A163="","",AS162-IF(F163=Urlaub,1,0)+IF(AND(MONTH(A163)=1,DAY(A163)=1),B_UrlaubNeu,0))</f>
        <v>30</v>
      </c>
      <c r="AT163" s="125">
        <f ca="1">IF(A163="","",IF(D163=D162,AT162,OFFSET(AT163,-1,COLUMN(db_jUrlRest)-COLUMN()))+IF(AND(MONTH(A163)=1,DAY(A163)=1),B_UrlaubNeu,0))</f>
        <v>30</v>
      </c>
      <c r="AU163" s="135">
        <f>(IF(ISNUMBER(V163),V163,0)+IF(ISNUMBER(AD163),AD163,0))*24</f>
        <v>0</v>
      </c>
      <c r="AV163" s="125">
        <f>IF(ISNUMBER(AD163),K_ArbeitOverMax,IF(AND(ISNUMBER(AA163),AA163&gt;0),K_ArbeitOverTime,IF(AND(ISNUMBER(V163),V163&gt;0),K_ArbeitNormal,IF(F163=Krank,K_Krank,IF(F163=Urlaub,K_Urlaub,IF(AM163=Feiertag,K_Feiertag,IF(OR(AM163=6,AM163=7),K_Wochenende,0)))))))+IF(F163=Gleittag,K_Gleittag,0)</f>
        <v>0</v>
      </c>
      <c r="AW163" t="b">
        <f>OR((F163&gt;0),(NOT(ISBLANK(H163))),SUM(H163:H$373),SUM(G163:G$373))</f>
        <v>0</v>
      </c>
      <c r="AX163" t="b">
        <f ca="1">INDIRECT(ADDRESS(ROW(),COLUMN(xDay)))&gt;5</f>
        <v>0</v>
      </c>
      <c r="AY163" s="600">
        <f>IF(OR(R163&lt;&gt;0,F163&lt;&gt;0),AA163,IF(Z163="",0,-Z163))+(IF(AG163="+",AF163,-AF163))</f>
        <v>-0.29166666666666669</v>
      </c>
      <c r="AZ163" s="225">
        <f>SUM(AY$5:AY163)</f>
        <v>-31.208333333333382</v>
      </c>
      <c r="BA163" s="658"/>
      <c r="BB163" s="658">
        <f>IF(ISNA(MATCH(BA163,B_Arbeitsort,0)),0,MATCH(BA163,B_Arbeitsort,0))</f>
        <v>0</v>
      </c>
      <c r="BC163" s="658"/>
    </row>
    <row r="164" spans="1:55" ht="15.75">
      <c r="A164" s="305">
        <f>IF(A163="","",IF((A163+1)&gt;=DATE(YEAR(xJahr)+1,MONTH(xJahr),DAY(xJahr)),"",A163+1))</f>
        <v>43623</v>
      </c>
      <c r="B164" s="306">
        <f>IF(A164="","",A164)</f>
        <v>43623</v>
      </c>
      <c r="C164" s="307">
        <f>IF(A164="","",NumberOfWeek(A164))</f>
        <v>23</v>
      </c>
      <c r="D164" s="308">
        <f>IF(A164="","",DATE(YEAR(A164),MONTH(A164),1))</f>
        <v>43616</v>
      </c>
      <c r="E164" s="318" t="str">
        <f>IF((R164-U164)&gt;XWorkTimeMax,$Z$4,IF(AV164=Feiertag,VLOOKUP(B164,db_Feiertag,2,FALSE),""))</f>
        <v>Fronleichnam</v>
      </c>
      <c r="F164" s="5"/>
      <c r="G164" s="6" t="str">
        <f>IF(ISBLANK(F164),IF(ISBLANK(H164),"",0),CODE(UPPER(F164)))</f>
        <v/>
      </c>
      <c r="H164" s="7"/>
      <c r="I164" s="7">
        <f>IF(H164&gt;0,H164+Y164+X164+AC164,0)</f>
        <v>0</v>
      </c>
      <c r="J164" s="113">
        <f>IF(K164&gt;I164,IF(I164&lt;H164,I164+1,I164)-B_WalkTime,IF(I164&lt;H164,I164+1,I164))</f>
        <v>0</v>
      </c>
      <c r="K164" s="7"/>
      <c r="L164" s="7">
        <f>IF(K164&gt;0,K164+IF((J164-H164)&lt;Y164,Y164-(J164-H164),TIME(0,10,0))+IF((K164-J164)&gt;xNoWorkTime,0,xNoWorkTime-(K164-J164)),0)</f>
        <v>0</v>
      </c>
      <c r="M164" s="113">
        <f>IF(L164&lt;K164,L164+1,L164)</f>
        <v>0</v>
      </c>
      <c r="N164" s="113"/>
      <c r="O164" s="113">
        <f>IF(N164&gt;0,N164+IF((J164-H164+M164-K164)&lt;Y164,Y164-(J164-H164+M164-K164),TIME(0,10,0))+IF((K164-J164+N164-M164)&gt;xNoWorkTime,0,xNoWorkTime-(K164-J164+N164-M164)),0)</f>
        <v>0</v>
      </c>
      <c r="P164" s="113"/>
      <c r="Q164" s="113">
        <f>IF(O164&lt;N164,O164+1,O164)</f>
        <v>0</v>
      </c>
      <c r="R164" s="113">
        <f>J164-H164+M164-K164+Q164-N164</f>
        <v>0</v>
      </c>
      <c r="S164" s="113">
        <f>IF(K164&gt;0,K164-I164,0)+IF(N164&gt;0,N164-L164)</f>
        <v>0</v>
      </c>
      <c r="T164" s="113">
        <f>IF(H164&gt;0,(IF(R164&gt;B_Pause1Nach,B_Pause1Dauer+IF(BA164="Büro",B_WalkTime,0),IF(BA164="Büro",B_WalkTime,0))+IF(R164&gt;B_Pause2Nach,B_Pause2Dauer,0)),0)</f>
        <v>0</v>
      </c>
      <c r="U164" s="113">
        <f>IF(T164&gt;S164,T164-S164,0)</f>
        <v>0</v>
      </c>
      <c r="V164" s="146">
        <f>IF(F164="S",Z164,(IF((R164-U164)&gt;XWorkTimeMax,XWorkTimeMax,IF((R164-U164)&gt;0,R164-U164,0))))</f>
        <v>0</v>
      </c>
      <c r="W164" s="66"/>
      <c r="X164" s="115">
        <f>xNoWorkTime</f>
        <v>4.027777777777778E-2</v>
      </c>
      <c r="Y164" s="110">
        <f>IF(AND((AM164&lt;Feiertag),(G164&lt;&gt;85)),IF(OR(F164="B",F164="G",F164="S",H164&gt;0),H164-H164+Z164,0),0)</f>
        <v>0</v>
      </c>
      <c r="Z164" s="111" t="str">
        <f>IF(AND(AM164&gt;0,AM164&lt;Feiertag),INDEX(Arbeitszeit,AM164),"")</f>
        <v/>
      </c>
      <c r="AA164" s="112">
        <f>V164-Y164</f>
        <v>0</v>
      </c>
      <c r="AB164" s="67" t="str">
        <f>IF((V164-Y164)&lt;0,"*","")</f>
        <v/>
      </c>
      <c r="AC164" s="193">
        <f>xOverTime</f>
        <v>0</v>
      </c>
      <c r="AD164" s="144" t="str">
        <f>IF((R164-U164)&gt;XWorkTimeMax,(R164-U164-XWorkTimeMax),"")</f>
        <v/>
      </c>
      <c r="AE164" s="225">
        <f>IF(AW164,(AE163+SUM(AA164)+(IF(AG164="+",AF164,-AF164))),)</f>
        <v>0</v>
      </c>
      <c r="AF164" s="110"/>
      <c r="AG164" s="627"/>
      <c r="AH164" s="110"/>
      <c r="AI164" s="110" t="str">
        <f>IF(AND(AF164&lt;&gt;"",AF164&lt;=V164),V164-AF164,"")</f>
        <v/>
      </c>
      <c r="AJ164" s="68">
        <f>IF(ISNUMBER(V164 ), IF( V164 &gt;= Y164, Y164, V164 ),"")</f>
        <v>0</v>
      </c>
      <c r="AK164" s="68">
        <f>IF( ISNUMBER( V164 ), IF( V164 &gt;= Y164, V164 - Y164, "" ), "" )</f>
        <v>0</v>
      </c>
      <c r="AL164" s="68" t="str">
        <f>IF( AND(ISNUMBER( V164 ),ISNUMBER( Y164 )), IF( V164 &gt;= Y164, "", Y164 - V164 ), "" )</f>
        <v/>
      </c>
      <c r="AM164">
        <f>IF(A164="",0,IF(ISERROR(VLOOKUP(A164,db_Feiertag,2,FALSE)),WEEKDAY(A164,2),Feiertag))</f>
        <v>8</v>
      </c>
      <c r="AN164" s="122">
        <f>SUM($AD$6:AD164)</f>
        <v>0</v>
      </c>
      <c r="AO164" s="122">
        <f ca="1">IF(D164=D163,AO163,OFFSET(AO164,-1,COLUMN(db_jSaldoGes)-COLUMN()))</f>
        <v>0</v>
      </c>
      <c r="AP164" s="126">
        <f>IF(OR($G164=-1,$G164=82),-1,IF(OR($G164=0,$G164=83),1,0))</f>
        <v>0</v>
      </c>
      <c r="AQ164" s="126">
        <f>IF($F164=Krank,1,IF($F164="J",-1,0))</f>
        <v>0</v>
      </c>
      <c r="AR164" s="126">
        <f>IF($F164=Urlaub,1,IF($F164="T",-1,0))</f>
        <v>0</v>
      </c>
      <c r="AS164" s="125">
        <f>IF(A164="","",AS163-IF(F164=Urlaub,1,0)+IF(AND(MONTH(A164)=1,DAY(A164)=1),B_UrlaubNeu,0))</f>
        <v>30</v>
      </c>
      <c r="AT164" s="125">
        <f ca="1">IF(A164="","",IF(D164=D163,AT163,OFFSET(AT164,-1,COLUMN(db_jUrlRest)-COLUMN()))+IF(AND(MONTH(A164)=1,DAY(A164)=1),B_UrlaubNeu,0))</f>
        <v>30</v>
      </c>
      <c r="AU164" s="135">
        <f>(IF(ISNUMBER(V164),V164,0)+IF(ISNUMBER(AD164),AD164,0))*24</f>
        <v>0</v>
      </c>
      <c r="AV164" s="125">
        <f>IF(ISNUMBER(AD164),K_ArbeitOverMax,IF(AND(ISNUMBER(AA164),AA164&gt;0),K_ArbeitOverTime,IF(AND(ISNUMBER(V164),V164&gt;0),K_ArbeitNormal,IF(F164=Krank,K_Krank,IF(F164=Urlaub,K_Urlaub,IF(AM164=Feiertag,K_Feiertag,IF(OR(AM164=6,AM164=7),K_Wochenende,0)))))))+IF(F164=Gleittag,K_Gleittag,0)</f>
        <v>8</v>
      </c>
      <c r="AW164" t="b">
        <f>OR((F164&gt;0),(NOT(ISBLANK(H164))),SUM(H164:H$373),SUM(G164:G$373))</f>
        <v>0</v>
      </c>
      <c r="AX164" t="b">
        <f ca="1">INDIRECT(ADDRESS(ROW(),COLUMN(xDay)))&gt;5</f>
        <v>1</v>
      </c>
      <c r="AY164" s="600">
        <f>IF(OR(R164&lt;&gt;0,F164&lt;&gt;0),AA164,IF(Z164="",0,-Z164))+(IF(AG164="+",AF164,-AF164))</f>
        <v>0</v>
      </c>
      <c r="AZ164" s="225">
        <f>SUM(AY$5:AY164)</f>
        <v>-31.208333333333382</v>
      </c>
      <c r="BA164" s="643"/>
      <c r="BB164" s="658">
        <f>IF(ISNA(MATCH(BA164,B_Arbeitsort,0)),0,MATCH(BA164,B_Arbeitsort,0))</f>
        <v>0</v>
      </c>
      <c r="BC164" s="643"/>
    </row>
    <row r="165" spans="1:55" ht="15.75">
      <c r="A165" s="305">
        <f>IF(A164="","",IF((A164+1)&gt;=DATE(YEAR(xJahr)+1,MONTH(xJahr),DAY(xJahr)),"",A164+1))</f>
        <v>43624</v>
      </c>
      <c r="B165" s="306">
        <f>IF(A165="","",A165)</f>
        <v>43624</v>
      </c>
      <c r="C165" s="307">
        <f>IF(A165="","",NumberOfWeek(A165))</f>
        <v>23</v>
      </c>
      <c r="D165" s="308">
        <f>IF(A165="","",DATE(YEAR(A165),MONTH(A165),1))</f>
        <v>43616</v>
      </c>
      <c r="E165" s="318" t="str">
        <f>IF((R165-U165)&gt;XWorkTimeMax,$Z$4,IF(AV165=Feiertag,VLOOKUP(B165,db_Feiertag,2,FALSE),""))</f>
        <v/>
      </c>
      <c r="F165" s="5"/>
      <c r="G165" s="6" t="str">
        <f>IF(ISBLANK(F165),IF(ISBLANK(H165),"",0),CODE(UPPER(F165)))</f>
        <v/>
      </c>
      <c r="H165" s="7"/>
      <c r="I165" s="7">
        <f>IF(H165&gt;0,H165+Y165+X165+AC165,0)</f>
        <v>0</v>
      </c>
      <c r="J165" s="113">
        <f>IF(K165&gt;I165,IF(I165&lt;H165,I165+1,I165)-B_WalkTime,IF(I165&lt;H165,I165+1,I165))</f>
        <v>0</v>
      </c>
      <c r="K165" s="7"/>
      <c r="L165" s="7">
        <f>IF(K165&gt;0,K165+IF((J165-H165)&lt;Y165,Y165-(J165-H165),TIME(0,10,0))+IF((K165-J165)&gt;xNoWorkTime,0,xNoWorkTime-(K165-J165)),0)</f>
        <v>0</v>
      </c>
      <c r="M165" s="113">
        <f>IF(L165&lt;K165,L165+1,L165)</f>
        <v>0</v>
      </c>
      <c r="N165" s="113"/>
      <c r="O165" s="113">
        <f>IF(N165&gt;0,N165+IF((J165-H165+M165-K165)&lt;Y165,Y165-(J165-H165+M165-K165),TIME(0,10,0))+IF((K165-J165+N165-M165)&gt;xNoWorkTime,0,xNoWorkTime-(K165-J165+N165-M165)),0)</f>
        <v>0</v>
      </c>
      <c r="P165" s="113"/>
      <c r="Q165" s="113">
        <f>IF(O165&lt;N165,O165+1,O165)</f>
        <v>0</v>
      </c>
      <c r="R165" s="113">
        <f>J165-H165+M165-K165+Q165-N165</f>
        <v>0</v>
      </c>
      <c r="S165" s="113">
        <f>IF(K165&gt;0,K165-I165,0)+IF(N165&gt;0,N165-L165)</f>
        <v>0</v>
      </c>
      <c r="T165" s="113">
        <f>IF(H165&gt;0,(IF(R165&gt;B_Pause1Nach,B_Pause1Dauer+IF(BA165="Büro",B_WalkTime,0),IF(BA165="Büro",B_WalkTime,0))+IF(R165&gt;B_Pause2Nach,B_Pause2Dauer,0)),0)</f>
        <v>0</v>
      </c>
      <c r="U165" s="113">
        <f>IF(T165&gt;S165,T165-S165,0)</f>
        <v>0</v>
      </c>
      <c r="V165" s="146">
        <f>IF(F165="S",Z165,(IF((R165-U165)&gt;XWorkTimeMax,XWorkTimeMax,IF((R165-U165)&gt;0,R165-U165,0))))</f>
        <v>0</v>
      </c>
      <c r="W165" s="66"/>
      <c r="X165" s="115">
        <f>xNoWorkTime</f>
        <v>4.027777777777778E-2</v>
      </c>
      <c r="Y165" s="110">
        <f>IF(AND((AM165&lt;Feiertag),(G165&lt;&gt;85)),IF(OR(F165="B",F165="G",F165="S",H165&gt;0),H165-H165+Z165,0),0)</f>
        <v>0</v>
      </c>
      <c r="Z165" s="111">
        <f>IF(AND(AM165&gt;0,AM165&lt;Feiertag),INDEX(Arbeitszeit,AM165),"")</f>
        <v>0.29166666666666669</v>
      </c>
      <c r="AA165" s="112">
        <f>V165-Y165</f>
        <v>0</v>
      </c>
      <c r="AB165" s="67" t="str">
        <f>IF((V165-Y165)&lt;0,"*","")</f>
        <v/>
      </c>
      <c r="AC165" s="193">
        <f>xOverTime</f>
        <v>0</v>
      </c>
      <c r="AD165" s="144" t="str">
        <f>IF((R165-U165)&gt;XWorkTimeMax,(R165-U165-XWorkTimeMax),"")</f>
        <v/>
      </c>
      <c r="AE165" s="225">
        <f>IF(AW165,(AE164+SUM(AA165)+(IF(AG165="+",AF165,-AF165))),)</f>
        <v>0</v>
      </c>
      <c r="AF165" s="110"/>
      <c r="AG165" s="627"/>
      <c r="AH165" s="110"/>
      <c r="AI165" s="110" t="str">
        <f>IF(AND(AF165&lt;&gt;"",AF165&lt;=V165),V165-AF165,"")</f>
        <v/>
      </c>
      <c r="AJ165" s="68">
        <f>IF(ISNUMBER(V165 ), IF( V165 &gt;= Y165, Y165, V165 ),"")</f>
        <v>0</v>
      </c>
      <c r="AK165" s="68">
        <f>IF( ISNUMBER( V165 ), IF( V165 &gt;= Y165, V165 - Y165, "" ), "" )</f>
        <v>0</v>
      </c>
      <c r="AL165" s="68" t="str">
        <f>IF( AND(ISNUMBER( V165 ),ISNUMBER( Y165 )), IF( V165 &gt;= Y165, "", Y165 - V165 ), "" )</f>
        <v/>
      </c>
      <c r="AM165">
        <f>IF(A165="",0,IF(ISERROR(VLOOKUP(A165,db_Feiertag,2,FALSE)),WEEKDAY(A165,2),Feiertag))</f>
        <v>5</v>
      </c>
      <c r="AN165" s="122">
        <f>SUM($AD$6:AD165)</f>
        <v>0</v>
      </c>
      <c r="AO165" s="122">
        <f ca="1">IF(D165=D164,AO164,OFFSET(AO165,-1,COLUMN(db_jSaldoGes)-COLUMN()))</f>
        <v>0</v>
      </c>
      <c r="AP165" s="126">
        <f>IF(OR($G165=-1,$G165=82),-1,IF(OR($G165=0,$G165=83),1,0))</f>
        <v>0</v>
      </c>
      <c r="AQ165" s="126">
        <f>IF($F165=Krank,1,IF($F165="J",-1,0))</f>
        <v>0</v>
      </c>
      <c r="AR165" s="126">
        <f>IF($F165=Urlaub,1,IF($F165="T",-1,0))</f>
        <v>0</v>
      </c>
      <c r="AS165" s="125">
        <f>IF(A165="","",AS164-IF(F165=Urlaub,1,0)+IF(AND(MONTH(A165)=1,DAY(A165)=1),B_UrlaubNeu,0))</f>
        <v>30</v>
      </c>
      <c r="AT165" s="125">
        <f ca="1">IF(A165="","",IF(D165=D164,AT164,OFFSET(AT165,-1,COLUMN(db_jUrlRest)-COLUMN()))+IF(AND(MONTH(A165)=1,DAY(A165)=1),B_UrlaubNeu,0))</f>
        <v>30</v>
      </c>
      <c r="AU165" s="135">
        <f>(IF(ISNUMBER(V165),V165,0)+IF(ISNUMBER(AD165),AD165,0))*24</f>
        <v>0</v>
      </c>
      <c r="AV165" s="125">
        <f>IF(ISNUMBER(AD165),K_ArbeitOverMax,IF(AND(ISNUMBER(AA165),AA165&gt;0),K_ArbeitOverTime,IF(AND(ISNUMBER(V165),V165&gt;0),K_ArbeitNormal,IF(F165=Krank,K_Krank,IF(F165=Urlaub,K_Urlaub,IF(AM165=Feiertag,K_Feiertag,IF(OR(AM165=6,AM165=7),K_Wochenende,0)))))))+IF(F165=Gleittag,K_Gleittag,0)</f>
        <v>0</v>
      </c>
      <c r="AW165" t="b">
        <f>OR((F165&gt;0),(NOT(ISBLANK(H165))),SUM(H165:H$373),SUM(G165:G$373))</f>
        <v>0</v>
      </c>
      <c r="AX165" t="b">
        <f ca="1">INDIRECT(ADDRESS(ROW(),COLUMN(xDay)))&gt;5</f>
        <v>0</v>
      </c>
      <c r="AY165" s="600">
        <f>IF(OR(R165&lt;&gt;0,F165&lt;&gt;0),AA165,IF(Z165="",0,-Z165))+(IF(AG165="+",AF165,-AF165))</f>
        <v>-0.29166666666666669</v>
      </c>
      <c r="AZ165" s="225">
        <f>SUM(AY$5:AY165)</f>
        <v>-31.50000000000005</v>
      </c>
      <c r="BA165" s="658"/>
      <c r="BB165" s="658">
        <f>IF(ISNA(MATCH(BA165,B_Arbeitsort,0)),0,MATCH(BA165,B_Arbeitsort,0))</f>
        <v>0</v>
      </c>
      <c r="BC165" s="658"/>
    </row>
    <row r="166" spans="1:55" ht="15.75">
      <c r="A166" s="305">
        <f>IF(A165="","",IF((A165+1)&gt;=DATE(YEAR(xJahr)+1,MONTH(xJahr),DAY(xJahr)),"",A165+1))</f>
        <v>43625</v>
      </c>
      <c r="B166" s="306">
        <f>IF(A166="","",A166)</f>
        <v>43625</v>
      </c>
      <c r="C166" s="307">
        <f>IF(A166="","",NumberOfWeek(A166))</f>
        <v>23</v>
      </c>
      <c r="D166" s="308">
        <f>IF(A166="","",DATE(YEAR(A166),MONTH(A166),1))</f>
        <v>43616</v>
      </c>
      <c r="E166" s="318" t="str">
        <f>IF((R166-U166)&gt;XWorkTimeMax,$Z$4,IF(AV166=Feiertag,VLOOKUP(B166,db_Feiertag,2,FALSE),""))</f>
        <v/>
      </c>
      <c r="F166" s="5"/>
      <c r="G166" s="6" t="str">
        <f>IF(ISBLANK(F166),IF(ISBLANK(H166),"",0),CODE(UPPER(F166)))</f>
        <v/>
      </c>
      <c r="H166" s="7"/>
      <c r="I166" s="7">
        <f>IF(H166&gt;0,H166+Y166+X166+AC166,0)</f>
        <v>0</v>
      </c>
      <c r="J166" s="113">
        <f>IF(K166&gt;I166,IF(I166&lt;H166,I166+1,I166)-B_WalkTime,IF(I166&lt;H166,I166+1,I166))</f>
        <v>0</v>
      </c>
      <c r="K166" s="7"/>
      <c r="L166" s="7">
        <f>IF(K166&gt;0,K166+IF((J166-H166)&lt;Y166,Y166-(J166-H166),TIME(0,10,0))+IF((K166-J166)&gt;xNoWorkTime,0,xNoWorkTime-(K166-J166)),0)</f>
        <v>0</v>
      </c>
      <c r="M166" s="113">
        <f>IF(L166&lt;K166,L166+1,L166)</f>
        <v>0</v>
      </c>
      <c r="N166" s="113"/>
      <c r="O166" s="113">
        <f>IF(N166&gt;0,N166+IF((J166-H166+M166-K166)&lt;Y166,Y166-(J166-H166+M166-K166),TIME(0,10,0))+IF((K166-J166+N166-M166)&gt;xNoWorkTime,0,xNoWorkTime-(K166-J166+N166-M166)),0)</f>
        <v>0</v>
      </c>
      <c r="P166" s="113"/>
      <c r="Q166" s="113">
        <f>IF(O166&lt;N166,O166+1,O166)</f>
        <v>0</v>
      </c>
      <c r="R166" s="113">
        <f>J166-H166+M166-K166+Q166-N166</f>
        <v>0</v>
      </c>
      <c r="S166" s="113">
        <f>IF(K166&gt;0,K166-I166,0)+IF(N166&gt;0,N166-L166)</f>
        <v>0</v>
      </c>
      <c r="T166" s="113">
        <f>IF(H166&gt;0,(IF(R166&gt;B_Pause1Nach,B_Pause1Dauer+IF(BA166="Büro",B_WalkTime,0),IF(BA166="Büro",B_WalkTime,0))+IF(R166&gt;B_Pause2Nach,B_Pause2Dauer,0)),0)</f>
        <v>0</v>
      </c>
      <c r="U166" s="113">
        <f>IF(T166&gt;S166,T166-S166,0)</f>
        <v>0</v>
      </c>
      <c r="V166" s="146">
        <f>IF(F166="S",Z166,(IF((R166-U166)&gt;XWorkTimeMax,XWorkTimeMax,IF((R166-U166)&gt;0,R166-U166,0))))</f>
        <v>0</v>
      </c>
      <c r="W166" s="66"/>
      <c r="X166" s="115">
        <f>xNoWorkTime</f>
        <v>4.027777777777778E-2</v>
      </c>
      <c r="Y166" s="110">
        <f>IF(AND((AM166&lt;Feiertag),(G166&lt;&gt;85)),IF(OR(F166="B",F166="G",F166="S",H166&gt;0),H166-H166+Z166,0),0)</f>
        <v>0</v>
      </c>
      <c r="Z166" s="111">
        <f>IF(AND(AM166&gt;0,AM166&lt;Feiertag),INDEX(Arbeitszeit,AM166),"")</f>
        <v>0</v>
      </c>
      <c r="AA166" s="112">
        <f>V166-Y166</f>
        <v>0</v>
      </c>
      <c r="AB166" s="67" t="str">
        <f>IF((V166-Y166)&lt;0,"*","")</f>
        <v/>
      </c>
      <c r="AC166" s="193">
        <f>xOverTime</f>
        <v>0</v>
      </c>
      <c r="AD166" s="144" t="str">
        <f>IF((R166-U166)&gt;XWorkTimeMax,(R166-U166-XWorkTimeMax),"")</f>
        <v/>
      </c>
      <c r="AE166" s="225">
        <f>IF(AW166,(AE165+SUM(AA166)+(IF(AG166="+",AF166,-AF166))),)</f>
        <v>0</v>
      </c>
      <c r="AF166" s="110"/>
      <c r="AG166" s="627"/>
      <c r="AH166" s="110"/>
      <c r="AI166" s="110" t="str">
        <f>IF(AND(AF166&lt;&gt;"",AF166&lt;=V166),V166-AF166,"")</f>
        <v/>
      </c>
      <c r="AJ166" s="68">
        <f>IF(ISNUMBER(V166 ), IF( V166 &gt;= Y166, Y166, V166 ),"")</f>
        <v>0</v>
      </c>
      <c r="AK166" s="68">
        <f>IF( ISNUMBER( V166 ), IF( V166 &gt;= Y166, V166 - Y166, "" ), "" )</f>
        <v>0</v>
      </c>
      <c r="AL166" s="68" t="str">
        <f>IF( AND(ISNUMBER( V166 ),ISNUMBER( Y166 )), IF( V166 &gt;= Y166, "", Y166 - V166 ), "" )</f>
        <v/>
      </c>
      <c r="AM166">
        <f>IF(A166="",0,IF(ISERROR(VLOOKUP(A166,db_Feiertag,2,FALSE)),WEEKDAY(A166,2),Feiertag))</f>
        <v>6</v>
      </c>
      <c r="AN166" s="122">
        <f>SUM($AD$6:AD166)</f>
        <v>0</v>
      </c>
      <c r="AO166" s="122">
        <f ca="1">IF(D166=D165,AO165,OFFSET(AO166,-1,COLUMN(db_jSaldoGes)-COLUMN()))</f>
        <v>0</v>
      </c>
      <c r="AP166" s="126">
        <f>IF(OR($G166=-1,$G166=82),-1,IF(OR($G166=0,$G166=83),1,0))</f>
        <v>0</v>
      </c>
      <c r="AQ166" s="126">
        <f>IF($F166=Krank,1,IF($F166="J",-1,0))</f>
        <v>0</v>
      </c>
      <c r="AR166" s="126">
        <f>IF($F166=Urlaub,1,IF($F166="T",-1,0))</f>
        <v>0</v>
      </c>
      <c r="AS166" s="125">
        <f>IF(A166="","",AS165-IF(F166=Urlaub,1,0)+IF(AND(MONTH(A166)=1,DAY(A166)=1),B_UrlaubNeu,0))</f>
        <v>30</v>
      </c>
      <c r="AT166" s="125">
        <f ca="1">IF(A166="","",IF(D166=D165,AT165,OFFSET(AT166,-1,COLUMN(db_jUrlRest)-COLUMN()))+IF(AND(MONTH(A166)=1,DAY(A166)=1),B_UrlaubNeu,0))</f>
        <v>30</v>
      </c>
      <c r="AU166" s="135">
        <f>(IF(ISNUMBER(V166),V166,0)+IF(ISNUMBER(AD166),AD166,0))*24</f>
        <v>0</v>
      </c>
      <c r="AV166" s="125">
        <f>IF(ISNUMBER(AD166),K_ArbeitOverMax,IF(AND(ISNUMBER(AA166),AA166&gt;0),K_ArbeitOverTime,IF(AND(ISNUMBER(V166),V166&gt;0),K_ArbeitNormal,IF(F166=Krank,K_Krank,IF(F166=Urlaub,K_Urlaub,IF(AM166=Feiertag,K_Feiertag,IF(OR(AM166=6,AM166=7),K_Wochenende,0)))))))+IF(F166=Gleittag,K_Gleittag,0)</f>
        <v>7</v>
      </c>
      <c r="AW166" t="b">
        <f>OR((F166&gt;0),(NOT(ISBLANK(H166))),SUM(H166:H$373),SUM(G166:G$373))</f>
        <v>0</v>
      </c>
      <c r="AX166" t="b">
        <f ca="1">INDIRECT(ADDRESS(ROW(),COLUMN(xDay)))&gt;5</f>
        <v>1</v>
      </c>
      <c r="AY166" s="600">
        <f>IF(OR(R166&lt;&gt;0,F166&lt;&gt;0),AA166,IF(Z166="",0,-Z166))+(IF(AG166="+",AF166,-AF166))</f>
        <v>0</v>
      </c>
      <c r="AZ166" s="225">
        <f>SUM(AY$5:AY166)</f>
        <v>-31.50000000000005</v>
      </c>
      <c r="BA166" s="643"/>
      <c r="BB166" s="658">
        <f>IF(ISNA(MATCH(BA166,B_Arbeitsort,0)),0,MATCH(BA166,B_Arbeitsort,0))</f>
        <v>0</v>
      </c>
      <c r="BC166" s="643"/>
    </row>
    <row r="167" spans="1:55" ht="15.75">
      <c r="A167" s="305">
        <f>IF(A166="","",IF((A166+1)&gt;=DATE(YEAR(xJahr)+1,MONTH(xJahr),DAY(xJahr)),"",A166+1))</f>
        <v>43626</v>
      </c>
      <c r="B167" s="306">
        <f>IF(A167="","",A167)</f>
        <v>43626</v>
      </c>
      <c r="C167" s="307">
        <f>IF(A167="","",NumberOfWeek(A167))</f>
        <v>23</v>
      </c>
      <c r="D167" s="308">
        <f>IF(A167="","",DATE(YEAR(A167),MONTH(A167),1))</f>
        <v>43616</v>
      </c>
      <c r="E167" s="318" t="str">
        <f>IF((R167-U167)&gt;XWorkTimeMax,$Z$4,IF(AV167=Feiertag,VLOOKUP(B167,db_Feiertag,2,FALSE),""))</f>
        <v/>
      </c>
      <c r="F167" s="5"/>
      <c r="G167" s="6" t="str">
        <f>IF(ISBLANK(F167),IF(ISBLANK(H167),"",0),CODE(UPPER(F167)))</f>
        <v/>
      </c>
      <c r="H167" s="7"/>
      <c r="I167" s="7">
        <f>IF(H167&gt;0,H167+Y167+X167+AC167,0)</f>
        <v>0</v>
      </c>
      <c r="J167" s="113">
        <f>IF(K167&gt;I167,IF(I167&lt;H167,I167+1,I167)-B_WalkTime,IF(I167&lt;H167,I167+1,I167))</f>
        <v>0</v>
      </c>
      <c r="K167" s="7"/>
      <c r="L167" s="7">
        <f>IF(K167&gt;0,K167+IF((J167-H167)&lt;Y167,Y167-(J167-H167),TIME(0,10,0))+IF((K167-J167)&gt;xNoWorkTime,0,xNoWorkTime-(K167-J167)),0)</f>
        <v>0</v>
      </c>
      <c r="M167" s="113">
        <f>IF(L167&lt;K167,L167+1,L167)</f>
        <v>0</v>
      </c>
      <c r="N167" s="113"/>
      <c r="O167" s="113">
        <f>IF(N167&gt;0,N167+IF((J167-H167+M167-K167)&lt;Y167,Y167-(J167-H167+M167-K167),TIME(0,10,0))+IF((K167-J167+N167-M167)&gt;xNoWorkTime,0,xNoWorkTime-(K167-J167+N167-M167)),0)</f>
        <v>0</v>
      </c>
      <c r="P167" s="113"/>
      <c r="Q167" s="113">
        <f>IF(O167&lt;N167,O167+1,O167)</f>
        <v>0</v>
      </c>
      <c r="R167" s="113">
        <f>J167-H167+M167-K167+Q167-N167</f>
        <v>0</v>
      </c>
      <c r="S167" s="113">
        <f>IF(K167&gt;0,K167-I167,0)+IF(N167&gt;0,N167-L167)</f>
        <v>0</v>
      </c>
      <c r="T167" s="113">
        <f>IF(H167&gt;0,(IF(R167&gt;B_Pause1Nach,B_Pause1Dauer+IF(BA167="Büro",B_WalkTime,0),IF(BA167="Büro",B_WalkTime,0))+IF(R167&gt;B_Pause2Nach,B_Pause2Dauer,0)),0)</f>
        <v>0</v>
      </c>
      <c r="U167" s="113">
        <f>IF(T167&gt;S167,T167-S167,0)</f>
        <v>0</v>
      </c>
      <c r="V167" s="146">
        <f>IF(F167="S",Z167,(IF((R167-U167)&gt;XWorkTimeMax,XWorkTimeMax,IF((R167-U167)&gt;0,R167-U167,0))))</f>
        <v>0</v>
      </c>
      <c r="W167" s="66"/>
      <c r="X167" s="115">
        <f>xNoWorkTime</f>
        <v>4.027777777777778E-2</v>
      </c>
      <c r="Y167" s="110">
        <f>IF(AND((AM167&lt;Feiertag),(G167&lt;&gt;85)),IF(OR(F167="B",F167="G",F167="S",H167&gt;0),H167-H167+Z167,0),0)</f>
        <v>0</v>
      </c>
      <c r="Z167" s="111">
        <f>IF(AND(AM167&gt;0,AM167&lt;Feiertag),INDEX(Arbeitszeit,AM167),"")</f>
        <v>0</v>
      </c>
      <c r="AA167" s="112">
        <f>V167-Y167</f>
        <v>0</v>
      </c>
      <c r="AB167" s="67" t="str">
        <f>IF((V167-Y167)&lt;0,"*","")</f>
        <v/>
      </c>
      <c r="AC167" s="193">
        <f>xOverTime</f>
        <v>0</v>
      </c>
      <c r="AD167" s="144" t="str">
        <f>IF((R167-U167)&gt;XWorkTimeMax,(R167-U167-XWorkTimeMax),"")</f>
        <v/>
      </c>
      <c r="AE167" s="225">
        <f>IF(AW167,(AE166+SUM(AA167)+(IF(AG167="+",AF167,-AF167))),)</f>
        <v>0</v>
      </c>
      <c r="AF167" s="110"/>
      <c r="AG167" s="627"/>
      <c r="AH167" s="110"/>
      <c r="AI167" s="110" t="str">
        <f>IF(AND(AF167&lt;&gt;"",AF167&lt;=V167),V167-AF167,"")</f>
        <v/>
      </c>
      <c r="AJ167" s="68">
        <f>IF(ISNUMBER(V167 ), IF( V167 &gt;= Y167, Y167, V167 ),"")</f>
        <v>0</v>
      </c>
      <c r="AK167" s="68">
        <f>IF( ISNUMBER( V167 ), IF( V167 &gt;= Y167, V167 - Y167, "" ), "" )</f>
        <v>0</v>
      </c>
      <c r="AL167" s="68" t="str">
        <f>IF( AND(ISNUMBER( V167 ),ISNUMBER( Y167 )), IF( V167 &gt;= Y167, "", Y167 - V167 ), "" )</f>
        <v/>
      </c>
      <c r="AM167">
        <f>IF(A167="",0,IF(ISERROR(VLOOKUP(A167,db_Feiertag,2,FALSE)),WEEKDAY(A167,2),Feiertag))</f>
        <v>7</v>
      </c>
      <c r="AN167" s="122">
        <f>SUM($AD$6:AD167)</f>
        <v>0</v>
      </c>
      <c r="AO167" s="122">
        <f ca="1">IF(D167=D166,AO166,OFFSET(AO167,-1,COLUMN(db_jSaldoGes)-COLUMN()))</f>
        <v>0</v>
      </c>
      <c r="AP167" s="126">
        <f>IF(OR($G167=-1,$G167=82),-1,IF(OR($G167=0,$G167=83),1,0))</f>
        <v>0</v>
      </c>
      <c r="AQ167" s="126">
        <f>IF($F167=Krank,1,IF($F167="J",-1,0))</f>
        <v>0</v>
      </c>
      <c r="AR167" s="126">
        <f>IF($F167=Urlaub,1,IF($F167="T",-1,0))</f>
        <v>0</v>
      </c>
      <c r="AS167" s="125">
        <f>IF(A167="","",AS166-IF(F167=Urlaub,1,0)+IF(AND(MONTH(A167)=1,DAY(A167)=1),B_UrlaubNeu,0))</f>
        <v>30</v>
      </c>
      <c r="AT167" s="125">
        <f ca="1">IF(A167="","",IF(D167=D166,AT166,OFFSET(AT167,-1,COLUMN(db_jUrlRest)-COLUMN()))+IF(AND(MONTH(A167)=1,DAY(A167)=1),B_UrlaubNeu,0))</f>
        <v>30</v>
      </c>
      <c r="AU167" s="135">
        <f>(IF(ISNUMBER(V167),V167,0)+IF(ISNUMBER(AD167),AD167,0))*24</f>
        <v>0</v>
      </c>
      <c r="AV167" s="125">
        <f>IF(ISNUMBER(AD167),K_ArbeitOverMax,IF(AND(ISNUMBER(AA167),AA167&gt;0),K_ArbeitOverTime,IF(AND(ISNUMBER(V167),V167&gt;0),K_ArbeitNormal,IF(F167=Krank,K_Krank,IF(F167=Urlaub,K_Urlaub,IF(AM167=Feiertag,K_Feiertag,IF(OR(AM167=6,AM167=7),K_Wochenende,0)))))))+IF(F167=Gleittag,K_Gleittag,0)</f>
        <v>7</v>
      </c>
      <c r="AW167" t="b">
        <f>OR((F167&gt;0),(NOT(ISBLANK(H167))),SUM(H167:H$373),SUM(G167:G$373))</f>
        <v>0</v>
      </c>
      <c r="AX167" t="b">
        <f ca="1">INDIRECT(ADDRESS(ROW(),COLUMN(xDay)))&gt;5</f>
        <v>1</v>
      </c>
      <c r="AY167" s="600">
        <f>IF(OR(R167&lt;&gt;0,F167&lt;&gt;0),AA167,IF(Z167="",0,-Z167))+(IF(AG167="+",AF167,-AF167))</f>
        <v>0</v>
      </c>
      <c r="AZ167" s="225">
        <f>SUM(AY$5:AY167)</f>
        <v>-31.50000000000005</v>
      </c>
      <c r="BA167" s="643"/>
      <c r="BB167" s="658">
        <f>IF(ISNA(MATCH(BA167,B_Arbeitsort,0)),0,MATCH(BA167,B_Arbeitsort,0))</f>
        <v>0</v>
      </c>
      <c r="BC167" s="643"/>
    </row>
    <row r="168" spans="1:55" ht="15.75">
      <c r="A168" s="305">
        <f>IF(A167="","",IF((A167+1)&gt;=DATE(YEAR(xJahr)+1,MONTH(xJahr),DAY(xJahr)),"",A167+1))</f>
        <v>43627</v>
      </c>
      <c r="B168" s="306">
        <f>IF(A168="","",A168)</f>
        <v>43627</v>
      </c>
      <c r="C168" s="307">
        <f>IF(A168="","",NumberOfWeek(A168))</f>
        <v>24</v>
      </c>
      <c r="D168" s="308">
        <f>IF(A168="","",DATE(YEAR(A168),MONTH(A168),1))</f>
        <v>43616</v>
      </c>
      <c r="E168" s="318" t="str">
        <f>IF((R168-U168)&gt;XWorkTimeMax,$Z$4,IF(AV168=Feiertag,VLOOKUP(B168,db_Feiertag,2,FALSE),""))</f>
        <v/>
      </c>
      <c r="F168" s="5"/>
      <c r="G168" s="6" t="str">
        <f>IF(ISBLANK(F168),IF(ISBLANK(H168),"",0),CODE(UPPER(F168)))</f>
        <v/>
      </c>
      <c r="H168" s="7"/>
      <c r="I168" s="7">
        <f>IF(H168&gt;0,H168+Y168+X168+AC168,0)</f>
        <v>0</v>
      </c>
      <c r="J168" s="113">
        <f>IF(K168&gt;I168,IF(I168&lt;H168,I168+1,I168)-B_WalkTime,IF(I168&lt;H168,I168+1,I168))</f>
        <v>0</v>
      </c>
      <c r="K168" s="7"/>
      <c r="L168" s="7">
        <f>IF(K168&gt;0,K168+IF((J168-H168)&lt;Y168,Y168-(J168-H168),TIME(0,10,0))+IF((K168-J168)&gt;xNoWorkTime,0,xNoWorkTime-(K168-J168)),0)</f>
        <v>0</v>
      </c>
      <c r="M168" s="113">
        <f>IF(L168&lt;K168,L168+1,L168)</f>
        <v>0</v>
      </c>
      <c r="N168" s="113"/>
      <c r="O168" s="113">
        <f>IF(N168&gt;0,N168+IF((J168-H168+M168-K168)&lt;Y168,Y168-(J168-H168+M168-K168),TIME(0,10,0))+IF((K168-J168+N168-M168)&gt;xNoWorkTime,0,xNoWorkTime-(K168-J168+N168-M168)),0)</f>
        <v>0</v>
      </c>
      <c r="P168" s="113"/>
      <c r="Q168" s="113">
        <f>IF(O168&lt;N168,O168+1,O168)</f>
        <v>0</v>
      </c>
      <c r="R168" s="113">
        <f>J168-H168+M168-K168+Q168-N168</f>
        <v>0</v>
      </c>
      <c r="S168" s="113">
        <f>IF(K168&gt;0,K168-I168,0)+IF(N168&gt;0,N168-L168)</f>
        <v>0</v>
      </c>
      <c r="T168" s="113">
        <f>IF(H168&gt;0,(IF(R168&gt;B_Pause1Nach,B_Pause1Dauer+IF(BA168="Büro",B_WalkTime,0),IF(BA168="Büro",B_WalkTime,0))+IF(R168&gt;B_Pause2Nach,B_Pause2Dauer,0)),0)</f>
        <v>0</v>
      </c>
      <c r="U168" s="113">
        <f>IF(T168&gt;S168,T168-S168,0)</f>
        <v>0</v>
      </c>
      <c r="V168" s="146">
        <f>IF(F168="S",Z168,(IF((R168-U168)&gt;XWorkTimeMax,XWorkTimeMax,IF((R168-U168)&gt;0,R168-U168,0))))</f>
        <v>0</v>
      </c>
      <c r="W168" s="66"/>
      <c r="X168" s="115">
        <f>xNoWorkTime</f>
        <v>4.027777777777778E-2</v>
      </c>
      <c r="Y168" s="110">
        <f>IF(AND((AM168&lt;Feiertag),(G168&lt;&gt;85)),IF(OR(F168="B",F168="G",F168="S",H168&gt;0),H168-H168+Z168,0),0)</f>
        <v>0</v>
      </c>
      <c r="Z168" s="111">
        <f>IF(AND(AM168&gt;0,AM168&lt;Feiertag),INDEX(Arbeitszeit,AM168),"")</f>
        <v>0.29166666666666669</v>
      </c>
      <c r="AA168" s="112">
        <f>V168-Y168</f>
        <v>0</v>
      </c>
      <c r="AB168" s="67" t="str">
        <f>IF((V168-Y168)&lt;0,"*","")</f>
        <v/>
      </c>
      <c r="AC168" s="193">
        <f>xOverTime</f>
        <v>0</v>
      </c>
      <c r="AD168" s="144" t="str">
        <f>IF((R168-U168)&gt;XWorkTimeMax,(R168-U168-XWorkTimeMax),"")</f>
        <v/>
      </c>
      <c r="AE168" s="225">
        <f>IF(AW168,(AE167+SUM(AA168)+(IF(AG168="+",AF168,-AF168))),)</f>
        <v>0</v>
      </c>
      <c r="AF168" s="110"/>
      <c r="AG168" s="627"/>
      <c r="AH168" s="110"/>
      <c r="AI168" s="110" t="str">
        <f>IF(AND(AF168&lt;&gt;"",AF168&lt;=V168),V168-AF168,"")</f>
        <v/>
      </c>
      <c r="AJ168" s="68">
        <f>IF(ISNUMBER(V168 ), IF( V168 &gt;= Y168, Y168, V168 ),"")</f>
        <v>0</v>
      </c>
      <c r="AK168" s="68">
        <f>IF( ISNUMBER( V168 ), IF( V168 &gt;= Y168, V168 - Y168, "" ), "" )</f>
        <v>0</v>
      </c>
      <c r="AL168" s="68" t="str">
        <f>IF( AND(ISNUMBER( V168 ),ISNUMBER( Y168 )), IF( V168 &gt;= Y168, "", Y168 - V168 ), "" )</f>
        <v/>
      </c>
      <c r="AM168">
        <f>IF(A168="",0,IF(ISERROR(VLOOKUP(A168,db_Feiertag,2,FALSE)),WEEKDAY(A168,2),Feiertag))</f>
        <v>1</v>
      </c>
      <c r="AN168" s="122">
        <f>SUM($AD$6:AD168)</f>
        <v>0</v>
      </c>
      <c r="AO168" s="122">
        <f ca="1">IF(D168=D167,AO167,OFFSET(AO168,-1,COLUMN(db_jSaldoGes)-COLUMN()))</f>
        <v>0</v>
      </c>
      <c r="AP168" s="126">
        <f>IF(OR($G168=-1,$G168=82),-1,IF(OR($G168=0,$G168=83),1,0))</f>
        <v>0</v>
      </c>
      <c r="AQ168" s="126">
        <f>IF($F168=Krank,1,IF($F168="J",-1,0))</f>
        <v>0</v>
      </c>
      <c r="AR168" s="126">
        <f>IF($F168=Urlaub,1,IF($F168="T",-1,0))</f>
        <v>0</v>
      </c>
      <c r="AS168" s="125">
        <f>IF(A168="","",AS167-IF(F168=Urlaub,1,0)+IF(AND(MONTH(A168)=1,DAY(A168)=1),B_UrlaubNeu,0))</f>
        <v>30</v>
      </c>
      <c r="AT168" s="125">
        <f ca="1">IF(A168="","",IF(D168=D167,AT167,OFFSET(AT168,-1,COLUMN(db_jUrlRest)-COLUMN()))+IF(AND(MONTH(A168)=1,DAY(A168)=1),B_UrlaubNeu,0))</f>
        <v>30</v>
      </c>
      <c r="AU168" s="135">
        <f>(IF(ISNUMBER(V168),V168,0)+IF(ISNUMBER(AD168),AD168,0))*24</f>
        <v>0</v>
      </c>
      <c r="AV168" s="125">
        <f>IF(ISNUMBER(AD168),K_ArbeitOverMax,IF(AND(ISNUMBER(AA168),AA168&gt;0),K_ArbeitOverTime,IF(AND(ISNUMBER(V168),V168&gt;0),K_ArbeitNormal,IF(F168=Krank,K_Krank,IF(F168=Urlaub,K_Urlaub,IF(AM168=Feiertag,K_Feiertag,IF(OR(AM168=6,AM168=7),K_Wochenende,0)))))))+IF(F168=Gleittag,K_Gleittag,0)</f>
        <v>0</v>
      </c>
      <c r="AW168" t="b">
        <f>OR((F168&gt;0),(NOT(ISBLANK(H168))),SUM(H168:H$373),SUM(G168:G$373))</f>
        <v>0</v>
      </c>
      <c r="AX168" t="b">
        <f ca="1">INDIRECT(ADDRESS(ROW(),COLUMN(xDay)))&gt;5</f>
        <v>0</v>
      </c>
      <c r="AY168" s="600">
        <f>IF(OR(R168&lt;&gt;0,F168&lt;&gt;0),AA168,IF(Z168="",0,-Z168))+(IF(AG168="+",AF168,-AF168))</f>
        <v>-0.29166666666666669</v>
      </c>
      <c r="AZ168" s="225">
        <f>SUM(AY$5:AY168)</f>
        <v>-31.791666666666718</v>
      </c>
      <c r="BA168" s="658"/>
      <c r="BB168" s="658">
        <f>IF(ISNA(MATCH(BA168,B_Arbeitsort,0)),0,MATCH(BA168,B_Arbeitsort,0))</f>
        <v>0</v>
      </c>
      <c r="BC168" s="658"/>
    </row>
    <row r="169" spans="1:55" ht="15.75">
      <c r="A169" s="305">
        <f>IF(A168="","",IF((A168+1)&gt;=DATE(YEAR(xJahr)+1,MONTH(xJahr),DAY(xJahr)),"",A168+1))</f>
        <v>43628</v>
      </c>
      <c r="B169" s="306">
        <f>IF(A169="","",A169)</f>
        <v>43628</v>
      </c>
      <c r="C169" s="307">
        <f>IF(A169="","",NumberOfWeek(A169))</f>
        <v>24</v>
      </c>
      <c r="D169" s="308">
        <f>IF(A169="","",DATE(YEAR(A169),MONTH(A169),1))</f>
        <v>43616</v>
      </c>
      <c r="E169" s="318" t="str">
        <f>IF((R169-U169)&gt;XWorkTimeMax,$Z$4,IF(AV169=Feiertag,VLOOKUP(B169,db_Feiertag,2,FALSE),""))</f>
        <v/>
      </c>
      <c r="F169" s="5"/>
      <c r="G169" s="6" t="str">
        <f>IF(ISBLANK(F169),IF(ISBLANK(H169),"",0),CODE(UPPER(F169)))</f>
        <v/>
      </c>
      <c r="H169" s="7"/>
      <c r="I169" s="7">
        <f>IF(H169&gt;0,H169+Y169+X169+AC169,0)</f>
        <v>0</v>
      </c>
      <c r="J169" s="113">
        <f>IF(K169&gt;I169,IF(I169&lt;H169,I169+1,I169)-B_WalkTime,IF(I169&lt;H169,I169+1,I169))</f>
        <v>0</v>
      </c>
      <c r="K169" s="7"/>
      <c r="L169" s="7">
        <f>IF(K169&gt;0,K169+IF((J169-H169)&lt;Y169,Y169-(J169-H169),TIME(0,10,0))+IF((K169-J169)&gt;xNoWorkTime,0,xNoWorkTime-(K169-J169)),0)</f>
        <v>0</v>
      </c>
      <c r="M169" s="113">
        <f>IF(L169&lt;K169,L169+1,L169)</f>
        <v>0</v>
      </c>
      <c r="N169" s="113"/>
      <c r="O169" s="113">
        <f>IF(N169&gt;0,N169+IF((J169-H169+M169-K169)&lt;Y169,Y169-(J169-H169+M169-K169),TIME(0,10,0))+IF((K169-J169+N169-M169)&gt;xNoWorkTime,0,xNoWorkTime-(K169-J169+N169-M169)),0)</f>
        <v>0</v>
      </c>
      <c r="P169" s="113"/>
      <c r="Q169" s="113">
        <f>IF(O169&lt;N169,O169+1,O169)</f>
        <v>0</v>
      </c>
      <c r="R169" s="113">
        <f>J169-H169+M169-K169+Q169-N169</f>
        <v>0</v>
      </c>
      <c r="S169" s="113">
        <f>IF(K169&gt;0,K169-I169,0)+IF(N169&gt;0,N169-L169)</f>
        <v>0</v>
      </c>
      <c r="T169" s="113">
        <f>IF(H169&gt;0,(IF(R169&gt;B_Pause1Nach,B_Pause1Dauer+IF(BA169="Büro",B_WalkTime,0),IF(BA169="Büro",B_WalkTime,0))+IF(R169&gt;B_Pause2Nach,B_Pause2Dauer,0)),0)</f>
        <v>0</v>
      </c>
      <c r="U169" s="113">
        <f>IF(T169&gt;S169,T169-S169,0)</f>
        <v>0</v>
      </c>
      <c r="V169" s="146">
        <f>IF(F169="S",Z169,(IF((R169-U169)&gt;XWorkTimeMax,XWorkTimeMax,IF((R169-U169)&gt;0,R169-U169,0))))</f>
        <v>0</v>
      </c>
      <c r="W169" s="66"/>
      <c r="X169" s="115">
        <f>xNoWorkTime</f>
        <v>4.027777777777778E-2</v>
      </c>
      <c r="Y169" s="110">
        <f>IF(AND((AM169&lt;Feiertag),(G169&lt;&gt;85)),IF(OR(F169="B",F169="G",F169="S",H169&gt;0),H169-H169+Z169,0),0)</f>
        <v>0</v>
      </c>
      <c r="Z169" s="111">
        <f>IF(AND(AM169&gt;0,AM169&lt;Feiertag),INDEX(Arbeitszeit,AM169),"")</f>
        <v>0.29166666666666669</v>
      </c>
      <c r="AA169" s="112">
        <f>V169-Y169</f>
        <v>0</v>
      </c>
      <c r="AB169" s="67" t="str">
        <f>IF((V169-Y169)&lt;0,"*","")</f>
        <v/>
      </c>
      <c r="AC169" s="193">
        <f>xOverTime</f>
        <v>0</v>
      </c>
      <c r="AD169" s="144" t="str">
        <f>IF((R169-U169)&gt;XWorkTimeMax,(R169-U169-XWorkTimeMax),"")</f>
        <v/>
      </c>
      <c r="AE169" s="225">
        <f>IF(AW169,(AE168+SUM(AA169)+(IF(AG169="+",AF169,-AF169))),)</f>
        <v>0</v>
      </c>
      <c r="AF169" s="110"/>
      <c r="AG169" s="627"/>
      <c r="AH169" s="110"/>
      <c r="AI169" s="110" t="str">
        <f>IF(AND(AF169&lt;&gt;"",AF169&lt;=V169),V169-AF169,"")</f>
        <v/>
      </c>
      <c r="AJ169" s="68">
        <f>IF(ISNUMBER(V169 ), IF( V169 &gt;= Y169, Y169, V169 ),"")</f>
        <v>0</v>
      </c>
      <c r="AK169" s="68">
        <f>IF( ISNUMBER( V169 ), IF( V169 &gt;= Y169, V169 - Y169, "" ), "" )</f>
        <v>0</v>
      </c>
      <c r="AL169" s="68" t="str">
        <f>IF( AND(ISNUMBER( V169 ),ISNUMBER( Y169 )), IF( V169 &gt;= Y169, "", Y169 - V169 ), "" )</f>
        <v/>
      </c>
      <c r="AM169">
        <f>IF(A169="",0,IF(ISERROR(VLOOKUP(A169,db_Feiertag,2,FALSE)),WEEKDAY(A169,2),Feiertag))</f>
        <v>2</v>
      </c>
      <c r="AN169" s="122">
        <f>SUM($AD$6:AD169)</f>
        <v>0</v>
      </c>
      <c r="AO169" s="122">
        <f ca="1">IF(D169=D168,AO168,OFFSET(AO169,-1,COLUMN(db_jSaldoGes)-COLUMN()))</f>
        <v>0</v>
      </c>
      <c r="AP169" s="126">
        <f>IF(OR($G169=-1,$G169=82),-1,IF(OR($G169=0,$G169=83),1,0))</f>
        <v>0</v>
      </c>
      <c r="AQ169" s="126">
        <f>IF($F169=Krank,1,IF($F169="J",-1,0))</f>
        <v>0</v>
      </c>
      <c r="AR169" s="126">
        <f>IF($F169=Urlaub,1,IF($F169="T",-1,0))</f>
        <v>0</v>
      </c>
      <c r="AS169" s="125">
        <f>IF(A169="","",AS168-IF(F169=Urlaub,1,0)+IF(AND(MONTH(A169)=1,DAY(A169)=1),B_UrlaubNeu,0))</f>
        <v>30</v>
      </c>
      <c r="AT169" s="125">
        <f ca="1">IF(A169="","",IF(D169=D168,AT168,OFFSET(AT169,-1,COLUMN(db_jUrlRest)-COLUMN()))+IF(AND(MONTH(A169)=1,DAY(A169)=1),B_UrlaubNeu,0))</f>
        <v>30</v>
      </c>
      <c r="AU169" s="135">
        <f>(IF(ISNUMBER(V169),V169,0)+IF(ISNUMBER(AD169),AD169,0))*24</f>
        <v>0</v>
      </c>
      <c r="AV169" s="125">
        <f>IF(ISNUMBER(AD169),K_ArbeitOverMax,IF(AND(ISNUMBER(AA169),AA169&gt;0),K_ArbeitOverTime,IF(AND(ISNUMBER(V169),V169&gt;0),K_ArbeitNormal,IF(F169=Krank,K_Krank,IF(F169=Urlaub,K_Urlaub,IF(AM169=Feiertag,K_Feiertag,IF(OR(AM169=6,AM169=7),K_Wochenende,0)))))))+IF(F169=Gleittag,K_Gleittag,0)</f>
        <v>0</v>
      </c>
      <c r="AW169" t="b">
        <f>OR((F169&gt;0),(NOT(ISBLANK(H169))),SUM(H169:H$373),SUM(G169:G$373))</f>
        <v>0</v>
      </c>
      <c r="AX169" t="b">
        <f ca="1">INDIRECT(ADDRESS(ROW(),COLUMN(xDay)))&gt;5</f>
        <v>0</v>
      </c>
      <c r="AY169" s="600">
        <f>IF(OR(R169&lt;&gt;0,F169&lt;&gt;0),AA169,IF(Z169="",0,-Z169))+(IF(AG169="+",AF169,-AF169))</f>
        <v>-0.29166666666666669</v>
      </c>
      <c r="AZ169" s="225">
        <f>SUM(AY$5:AY169)</f>
        <v>-32.083333333333385</v>
      </c>
      <c r="BA169" s="658"/>
      <c r="BB169" s="658">
        <f>IF(ISNA(MATCH(BA169,B_Arbeitsort,0)),0,MATCH(BA169,B_Arbeitsort,0))</f>
        <v>0</v>
      </c>
      <c r="BC169" s="658"/>
    </row>
    <row r="170" spans="1:55" ht="15.75">
      <c r="A170" s="305">
        <f>IF(A169="","",IF((A169+1)&gt;=DATE(YEAR(xJahr)+1,MONTH(xJahr),DAY(xJahr)),"",A169+1))</f>
        <v>43629</v>
      </c>
      <c r="B170" s="306">
        <f>IF(A170="","",A170)</f>
        <v>43629</v>
      </c>
      <c r="C170" s="307">
        <f>IF(A170="","",NumberOfWeek(A170))</f>
        <v>24</v>
      </c>
      <c r="D170" s="308">
        <f>IF(A170="","",DATE(YEAR(A170),MONTH(A170),1))</f>
        <v>43616</v>
      </c>
      <c r="E170" s="318" t="str">
        <f>IF((R170-U170)&gt;XWorkTimeMax,$Z$4,IF(AV170=Feiertag,VLOOKUP(B170,db_Feiertag,2,FALSE),""))</f>
        <v/>
      </c>
      <c r="F170" s="5"/>
      <c r="G170" s="6" t="str">
        <f>IF(ISBLANK(F170),IF(ISBLANK(H170),"",0),CODE(UPPER(F170)))</f>
        <v/>
      </c>
      <c r="H170" s="7"/>
      <c r="I170" s="7">
        <f>IF(H170&gt;0,H170+Y170+X170+AC170,0)</f>
        <v>0</v>
      </c>
      <c r="J170" s="113">
        <f>IF(K170&gt;I170,IF(I170&lt;H170,I170+1,I170)-B_WalkTime,IF(I170&lt;H170,I170+1,I170))</f>
        <v>0</v>
      </c>
      <c r="K170" s="7"/>
      <c r="L170" s="7">
        <f>IF(K170&gt;0,K170+IF((J170-H170)&lt;Y170,Y170-(J170-H170),TIME(0,10,0))+IF((K170-J170)&gt;xNoWorkTime,0,xNoWorkTime-(K170-J170)),0)</f>
        <v>0</v>
      </c>
      <c r="M170" s="113">
        <f>IF(L170&lt;K170,L170+1,L170)</f>
        <v>0</v>
      </c>
      <c r="N170" s="113"/>
      <c r="O170" s="113">
        <f>IF(N170&gt;0,N170+IF((J170-H170+M170-K170)&lt;Y170,Y170-(J170-H170+M170-K170),TIME(0,10,0))+IF((K170-J170+N170-M170)&gt;xNoWorkTime,0,xNoWorkTime-(K170-J170+N170-M170)),0)</f>
        <v>0</v>
      </c>
      <c r="P170" s="113"/>
      <c r="Q170" s="113">
        <f>IF(O170&lt;N170,O170+1,O170)</f>
        <v>0</v>
      </c>
      <c r="R170" s="113">
        <f>J170-H170+M170-K170+Q170-N170</f>
        <v>0</v>
      </c>
      <c r="S170" s="113">
        <f>IF(K170&gt;0,K170-I170,0)+IF(N170&gt;0,N170-L170)</f>
        <v>0</v>
      </c>
      <c r="T170" s="113">
        <f>IF(H170&gt;0,(IF(R170&gt;B_Pause1Nach,B_Pause1Dauer+IF(BA170="Büro",B_WalkTime,0),IF(BA170="Büro",B_WalkTime,0))+IF(R170&gt;B_Pause2Nach,B_Pause2Dauer,0)),0)</f>
        <v>0</v>
      </c>
      <c r="U170" s="113">
        <f>IF(T170&gt;S170,T170-S170,0)</f>
        <v>0</v>
      </c>
      <c r="V170" s="146">
        <f>IF(F170="S",Z170,(IF((R170-U170)&gt;XWorkTimeMax,XWorkTimeMax,IF((R170-U170)&gt;0,R170-U170,0))))</f>
        <v>0</v>
      </c>
      <c r="W170" s="66"/>
      <c r="X170" s="115">
        <f>xNoWorkTime</f>
        <v>4.027777777777778E-2</v>
      </c>
      <c r="Y170" s="110">
        <f>IF(AND((AM170&lt;Feiertag),(G170&lt;&gt;85)),IF(OR(F170="B",F170="G",F170="S",H170&gt;0),H170-H170+Z170,0),0)</f>
        <v>0</v>
      </c>
      <c r="Z170" s="111">
        <f>IF(AND(AM170&gt;0,AM170&lt;Feiertag),INDEX(Arbeitszeit,AM170),"")</f>
        <v>0.29166666666666669</v>
      </c>
      <c r="AA170" s="112">
        <f>V170-Y170</f>
        <v>0</v>
      </c>
      <c r="AB170" s="67" t="str">
        <f>IF((V170-Y170)&lt;0,"*","")</f>
        <v/>
      </c>
      <c r="AC170" s="193">
        <f>xOverTime</f>
        <v>0</v>
      </c>
      <c r="AD170" s="144" t="str">
        <f>IF((R170-U170)&gt;XWorkTimeMax,(R170-U170-XWorkTimeMax),"")</f>
        <v/>
      </c>
      <c r="AE170" s="225">
        <f>IF(AW170,(AE169+SUM(AA170)+(IF(AG170="+",AF170,-AF170))),)</f>
        <v>0</v>
      </c>
      <c r="AF170" s="110"/>
      <c r="AG170" s="627"/>
      <c r="AH170" s="110"/>
      <c r="AI170" s="110" t="str">
        <f>IF(AND(AF170&lt;&gt;"",AF170&lt;=V170),V170-AF170,"")</f>
        <v/>
      </c>
      <c r="AJ170" s="68">
        <f>IF(ISNUMBER(V170 ), IF( V170 &gt;= Y170, Y170, V170 ),"")</f>
        <v>0</v>
      </c>
      <c r="AK170" s="68">
        <f>IF( ISNUMBER( V170 ), IF( V170 &gt;= Y170, V170 - Y170, "" ), "" )</f>
        <v>0</v>
      </c>
      <c r="AL170" s="68" t="str">
        <f>IF( AND(ISNUMBER( V170 ),ISNUMBER( Y170 )), IF( V170 &gt;= Y170, "", Y170 - V170 ), "" )</f>
        <v/>
      </c>
      <c r="AM170">
        <f>IF(A170="",0,IF(ISERROR(VLOOKUP(A170,db_Feiertag,2,FALSE)),WEEKDAY(A170,2),Feiertag))</f>
        <v>3</v>
      </c>
      <c r="AN170" s="122">
        <f>SUM($AD$6:AD170)</f>
        <v>0</v>
      </c>
      <c r="AO170" s="122">
        <f ca="1">IF(D170=D169,AO169,OFFSET(AO170,-1,COLUMN(db_jSaldoGes)-COLUMN()))</f>
        <v>0</v>
      </c>
      <c r="AP170" s="126">
        <f>IF(OR($G170=-1,$G170=82),-1,IF(OR($G170=0,$G170=83),1,0))</f>
        <v>0</v>
      </c>
      <c r="AQ170" s="126">
        <f>IF($F170=Krank,1,IF($F170="J",-1,0))</f>
        <v>0</v>
      </c>
      <c r="AR170" s="126">
        <f>IF($F170=Urlaub,1,IF($F170="T",-1,0))</f>
        <v>0</v>
      </c>
      <c r="AS170" s="125">
        <f>IF(A170="","",AS169-IF(F170=Urlaub,1,0)+IF(AND(MONTH(A170)=1,DAY(A170)=1),B_UrlaubNeu,0))</f>
        <v>30</v>
      </c>
      <c r="AT170" s="125">
        <f ca="1">IF(A170="","",IF(D170=D169,AT169,OFFSET(AT170,-1,COLUMN(db_jUrlRest)-COLUMN()))+IF(AND(MONTH(A170)=1,DAY(A170)=1),B_UrlaubNeu,0))</f>
        <v>30</v>
      </c>
      <c r="AU170" s="135">
        <f>(IF(ISNUMBER(V170),V170,0)+IF(ISNUMBER(AD170),AD170,0))*24</f>
        <v>0</v>
      </c>
      <c r="AV170" s="125">
        <f>IF(ISNUMBER(AD170),K_ArbeitOverMax,IF(AND(ISNUMBER(AA170),AA170&gt;0),K_ArbeitOverTime,IF(AND(ISNUMBER(V170),V170&gt;0),K_ArbeitNormal,IF(F170=Krank,K_Krank,IF(F170=Urlaub,K_Urlaub,IF(AM170=Feiertag,K_Feiertag,IF(OR(AM170=6,AM170=7),K_Wochenende,0)))))))+IF(F170=Gleittag,K_Gleittag,0)</f>
        <v>0</v>
      </c>
      <c r="AW170" t="b">
        <f>OR((F170&gt;0),(NOT(ISBLANK(H170))),SUM(H170:H$373),SUM(G170:G$373))</f>
        <v>0</v>
      </c>
      <c r="AX170" t="b">
        <f ca="1">INDIRECT(ADDRESS(ROW(),COLUMN(xDay)))&gt;5</f>
        <v>0</v>
      </c>
      <c r="AY170" s="600">
        <f>IF(OR(R170&lt;&gt;0,F170&lt;&gt;0),AA170,IF(Z170="",0,-Z170))+(IF(AG170="+",AF170,-AF170))</f>
        <v>-0.29166666666666669</v>
      </c>
      <c r="AZ170" s="225">
        <f>SUM(AY$5:AY170)</f>
        <v>-32.37500000000005</v>
      </c>
      <c r="BA170" s="658"/>
      <c r="BB170" s="658">
        <f>IF(ISNA(MATCH(BA170,B_Arbeitsort,0)),0,MATCH(BA170,B_Arbeitsort,0))</f>
        <v>0</v>
      </c>
      <c r="BC170" s="658"/>
    </row>
    <row r="171" spans="1:55" ht="15.75">
      <c r="A171" s="305">
        <f>IF(A170="","",IF((A170+1)&gt;=DATE(YEAR(xJahr)+1,MONTH(xJahr),DAY(xJahr)),"",A170+1))</f>
        <v>43630</v>
      </c>
      <c r="B171" s="306">
        <f>IF(A171="","",A171)</f>
        <v>43630</v>
      </c>
      <c r="C171" s="307">
        <f>IF(A171="","",NumberOfWeek(A171))</f>
        <v>24</v>
      </c>
      <c r="D171" s="308">
        <f>IF(A171="","",DATE(YEAR(A171),MONTH(A171),1))</f>
        <v>43616</v>
      </c>
      <c r="E171" s="318" t="str">
        <f>IF((R171-U171)&gt;XWorkTimeMax,$Z$4,IF(AV171=Feiertag,VLOOKUP(B171,db_Feiertag,2,FALSE),""))</f>
        <v/>
      </c>
      <c r="F171" s="5"/>
      <c r="G171" s="6" t="str">
        <f>IF(ISBLANK(F171),IF(ISBLANK(H171),"",0),CODE(UPPER(F171)))</f>
        <v/>
      </c>
      <c r="H171" s="7"/>
      <c r="I171" s="7">
        <f>IF(H171&gt;0,H171+Y171+X171+AC171,0)</f>
        <v>0</v>
      </c>
      <c r="J171" s="113">
        <f>IF(K171&gt;I171,IF(I171&lt;H171,I171+1,I171)-B_WalkTime,IF(I171&lt;H171,I171+1,I171))</f>
        <v>0</v>
      </c>
      <c r="K171" s="7"/>
      <c r="L171" s="7">
        <f>IF(K171&gt;0,K171+IF((J171-H171)&lt;Y171,Y171-(J171-H171),TIME(0,10,0))+IF((K171-J171)&gt;xNoWorkTime,0,xNoWorkTime-(K171-J171)),0)</f>
        <v>0</v>
      </c>
      <c r="M171" s="113">
        <f>IF(L171&lt;K171,L171+1,L171)</f>
        <v>0</v>
      </c>
      <c r="N171" s="113"/>
      <c r="O171" s="113">
        <f>IF(N171&gt;0,N171+IF((J171-H171+M171-K171)&lt;Y171,Y171-(J171-H171+M171-K171),TIME(0,10,0))+IF((K171-J171+N171-M171)&gt;xNoWorkTime,0,xNoWorkTime-(K171-J171+N171-M171)),0)</f>
        <v>0</v>
      </c>
      <c r="P171" s="113"/>
      <c r="Q171" s="113">
        <f>IF(O171&lt;N171,O171+1,O171)</f>
        <v>0</v>
      </c>
      <c r="R171" s="113">
        <f>J171-H171+M171-K171+Q171-N171</f>
        <v>0</v>
      </c>
      <c r="S171" s="113">
        <f>IF(K171&gt;0,K171-I171,0)+IF(N171&gt;0,N171-L171)</f>
        <v>0</v>
      </c>
      <c r="T171" s="113">
        <f>IF(H171&gt;0,(IF(R171&gt;B_Pause1Nach,B_Pause1Dauer+IF(BA171="Büro",B_WalkTime,0),IF(BA171="Büro",B_WalkTime,0))+IF(R171&gt;B_Pause2Nach,B_Pause2Dauer,0)),0)</f>
        <v>0</v>
      </c>
      <c r="U171" s="113">
        <f>IF(T171&gt;S171,T171-S171,0)</f>
        <v>0</v>
      </c>
      <c r="V171" s="146">
        <f>IF(F171="S",Z171,(IF((R171-U171)&gt;XWorkTimeMax,XWorkTimeMax,IF((R171-U171)&gt;0,R171-U171,0))))</f>
        <v>0</v>
      </c>
      <c r="W171" s="66"/>
      <c r="X171" s="115">
        <f>xNoWorkTime</f>
        <v>4.027777777777778E-2</v>
      </c>
      <c r="Y171" s="110">
        <f>IF(AND((AM171&lt;Feiertag),(G171&lt;&gt;85)),IF(OR(F171="B",F171="G",F171="S",H171&gt;0),H171-H171+Z171,0),0)</f>
        <v>0</v>
      </c>
      <c r="Z171" s="111">
        <f>IF(AND(AM171&gt;0,AM171&lt;Feiertag),INDEX(Arbeitszeit,AM171),"")</f>
        <v>0.29166666666666669</v>
      </c>
      <c r="AA171" s="112">
        <f>V171-Y171</f>
        <v>0</v>
      </c>
      <c r="AB171" s="67" t="str">
        <f>IF((V171-Y171)&lt;0,"*","")</f>
        <v/>
      </c>
      <c r="AC171" s="193">
        <f>xOverTime</f>
        <v>0</v>
      </c>
      <c r="AD171" s="144" t="str">
        <f>IF((R171-U171)&gt;XWorkTimeMax,(R171-U171-XWorkTimeMax),"")</f>
        <v/>
      </c>
      <c r="AE171" s="225">
        <f>IF(AW171,(AE170+SUM(AA171)+(IF(AG171="+",AF171,-AF171))),)</f>
        <v>0</v>
      </c>
      <c r="AF171" s="110"/>
      <c r="AG171" s="627"/>
      <c r="AH171" s="110"/>
      <c r="AI171" s="110" t="str">
        <f>IF(AND(AF171&lt;&gt;"",AF171&lt;=V171),V171-AF171,"")</f>
        <v/>
      </c>
      <c r="AJ171" s="68">
        <f>IF(ISNUMBER(V171 ), IF( V171 &gt;= Y171, Y171, V171 ),"")</f>
        <v>0</v>
      </c>
      <c r="AK171" s="68">
        <f>IF( ISNUMBER( V171 ), IF( V171 &gt;= Y171, V171 - Y171, "" ), "" )</f>
        <v>0</v>
      </c>
      <c r="AL171" s="68" t="str">
        <f>IF( AND(ISNUMBER( V171 ),ISNUMBER( Y171 )), IF( V171 &gt;= Y171, "", Y171 - V171 ), "" )</f>
        <v/>
      </c>
      <c r="AM171">
        <f>IF(A171="",0,IF(ISERROR(VLOOKUP(A171,db_Feiertag,2,FALSE)),WEEKDAY(A171,2),Feiertag))</f>
        <v>4</v>
      </c>
      <c r="AN171" s="122">
        <f>SUM($AD$6:AD171)</f>
        <v>0</v>
      </c>
      <c r="AO171" s="122">
        <f ca="1">IF(D171=D170,AO170,OFFSET(AO171,-1,COLUMN(db_jSaldoGes)-COLUMN()))</f>
        <v>0</v>
      </c>
      <c r="AP171" s="126">
        <f>IF(OR($G171=-1,$G171=82),-1,IF(OR($G171=0,$G171=83),1,0))</f>
        <v>0</v>
      </c>
      <c r="AQ171" s="126">
        <f>IF($F171=Krank,1,IF($F171="J",-1,0))</f>
        <v>0</v>
      </c>
      <c r="AR171" s="126">
        <f>IF($F171=Urlaub,1,IF($F171="T",-1,0))</f>
        <v>0</v>
      </c>
      <c r="AS171" s="125">
        <f>IF(A171="","",AS170-IF(F171=Urlaub,1,0)+IF(AND(MONTH(A171)=1,DAY(A171)=1),B_UrlaubNeu,0))</f>
        <v>30</v>
      </c>
      <c r="AT171" s="125">
        <f ca="1">IF(A171="","",IF(D171=D170,AT170,OFFSET(AT171,-1,COLUMN(db_jUrlRest)-COLUMN()))+IF(AND(MONTH(A171)=1,DAY(A171)=1),B_UrlaubNeu,0))</f>
        <v>30</v>
      </c>
      <c r="AU171" s="135">
        <f>(IF(ISNUMBER(V171),V171,0)+IF(ISNUMBER(AD171),AD171,0))*24</f>
        <v>0</v>
      </c>
      <c r="AV171" s="125">
        <f>IF(ISNUMBER(AD171),K_ArbeitOverMax,IF(AND(ISNUMBER(AA171),AA171&gt;0),K_ArbeitOverTime,IF(AND(ISNUMBER(V171),V171&gt;0),K_ArbeitNormal,IF(F171=Krank,K_Krank,IF(F171=Urlaub,K_Urlaub,IF(AM171=Feiertag,K_Feiertag,IF(OR(AM171=6,AM171=7),K_Wochenende,0)))))))+IF(F171=Gleittag,K_Gleittag,0)</f>
        <v>0</v>
      </c>
      <c r="AW171" t="b">
        <f>OR((F171&gt;0),(NOT(ISBLANK(H171))),SUM(H171:H$373),SUM(G171:G$373))</f>
        <v>0</v>
      </c>
      <c r="AX171" t="b">
        <f ca="1">INDIRECT(ADDRESS(ROW(),COLUMN(xDay)))&gt;5</f>
        <v>0</v>
      </c>
      <c r="AY171" s="600">
        <f>IF(OR(R171&lt;&gt;0,F171&lt;&gt;0),AA171,IF(Z171="",0,-Z171))+(IF(AG171="+",AF171,-AF171))</f>
        <v>-0.29166666666666669</v>
      </c>
      <c r="AZ171" s="225">
        <f>SUM(AY$5:AY171)</f>
        <v>-32.666666666666714</v>
      </c>
      <c r="BA171" s="658"/>
      <c r="BB171" s="658">
        <f>IF(ISNA(MATCH(BA171,B_Arbeitsort,0)),0,MATCH(BA171,B_Arbeitsort,0))</f>
        <v>0</v>
      </c>
      <c r="BC171" s="658"/>
    </row>
    <row r="172" spans="1:55" ht="15.75">
      <c r="A172" s="305">
        <f>IF(A171="","",IF((A171+1)&gt;=DATE(YEAR(xJahr)+1,MONTH(xJahr),DAY(xJahr)),"",A171+1))</f>
        <v>43631</v>
      </c>
      <c r="B172" s="306">
        <f>IF(A172="","",A172)</f>
        <v>43631</v>
      </c>
      <c r="C172" s="307">
        <f>IF(A172="","",NumberOfWeek(A172))</f>
        <v>24</v>
      </c>
      <c r="D172" s="308">
        <f>IF(A172="","",DATE(YEAR(A172),MONTH(A172),1))</f>
        <v>43616</v>
      </c>
      <c r="E172" s="318" t="str">
        <f>IF((R172-U172)&gt;XWorkTimeMax,$Z$4,IF(AV172=Feiertag,VLOOKUP(B172,db_Feiertag,2,FALSE),""))</f>
        <v/>
      </c>
      <c r="F172" s="5"/>
      <c r="G172" s="6" t="str">
        <f>IF(ISBLANK(F172),IF(ISBLANK(H172),"",0),CODE(UPPER(F172)))</f>
        <v/>
      </c>
      <c r="H172" s="7"/>
      <c r="I172" s="7">
        <f>IF(H172&gt;0,H172+Y172+X172+AC172,0)</f>
        <v>0</v>
      </c>
      <c r="J172" s="113">
        <f>IF(K172&gt;I172,IF(I172&lt;H172,I172+1,I172)-B_WalkTime,IF(I172&lt;H172,I172+1,I172))</f>
        <v>0</v>
      </c>
      <c r="K172" s="7"/>
      <c r="L172" s="7">
        <f>IF(K172&gt;0,K172+IF((J172-H172)&lt;Y172,Y172-(J172-H172),TIME(0,10,0))+IF((K172-J172)&gt;xNoWorkTime,0,xNoWorkTime-(K172-J172)),0)</f>
        <v>0</v>
      </c>
      <c r="M172" s="113">
        <f>IF(L172&lt;K172,L172+1,L172)</f>
        <v>0</v>
      </c>
      <c r="N172" s="113"/>
      <c r="O172" s="113">
        <f>IF(N172&gt;0,N172+IF((J172-H172+M172-K172)&lt;Y172,Y172-(J172-H172+M172-K172),TIME(0,10,0))+IF((K172-J172+N172-M172)&gt;xNoWorkTime,0,xNoWorkTime-(K172-J172+N172-M172)),0)</f>
        <v>0</v>
      </c>
      <c r="P172" s="113"/>
      <c r="Q172" s="113">
        <f>IF(O172&lt;N172,O172+1,O172)</f>
        <v>0</v>
      </c>
      <c r="R172" s="113">
        <f>J172-H172+M172-K172+Q172-N172</f>
        <v>0</v>
      </c>
      <c r="S172" s="113">
        <f>IF(K172&gt;0,K172-I172,0)+IF(N172&gt;0,N172-L172)</f>
        <v>0</v>
      </c>
      <c r="T172" s="113">
        <f>IF(H172&gt;0,(IF(R172&gt;B_Pause1Nach,B_Pause1Dauer+IF(BA172="Büro",B_WalkTime,0),IF(BA172="Büro",B_WalkTime,0))+IF(R172&gt;B_Pause2Nach,B_Pause2Dauer,0)),0)</f>
        <v>0</v>
      </c>
      <c r="U172" s="113">
        <f>IF(T172&gt;S172,T172-S172,0)</f>
        <v>0</v>
      </c>
      <c r="V172" s="146">
        <f>IF(F172="S",Z172,(IF((R172-U172)&gt;XWorkTimeMax,XWorkTimeMax,IF((R172-U172)&gt;0,R172-U172,0))))</f>
        <v>0</v>
      </c>
      <c r="W172" s="66"/>
      <c r="X172" s="115">
        <f>xNoWorkTime</f>
        <v>4.027777777777778E-2</v>
      </c>
      <c r="Y172" s="110">
        <f>IF(AND((AM172&lt;Feiertag),(G172&lt;&gt;85)),IF(OR(F172="B",F172="G",F172="S",H172&gt;0),H172-H172+Z172,0),0)</f>
        <v>0</v>
      </c>
      <c r="Z172" s="111">
        <f>IF(AND(AM172&gt;0,AM172&lt;Feiertag),INDEX(Arbeitszeit,AM172),"")</f>
        <v>0.29166666666666669</v>
      </c>
      <c r="AA172" s="112">
        <f>V172-Y172</f>
        <v>0</v>
      </c>
      <c r="AB172" s="67" t="str">
        <f>IF((V172-Y172)&lt;0,"*","")</f>
        <v/>
      </c>
      <c r="AC172" s="193">
        <f>xOverTime</f>
        <v>0</v>
      </c>
      <c r="AD172" s="144" t="str">
        <f>IF((R172-U172)&gt;XWorkTimeMax,(R172-U172-XWorkTimeMax),"")</f>
        <v/>
      </c>
      <c r="AE172" s="225">
        <f>IF(AW172,(AE171+SUM(AA172)+(IF(AG172="+",AF172,-AF172))),)</f>
        <v>0</v>
      </c>
      <c r="AF172" s="110"/>
      <c r="AG172" s="627"/>
      <c r="AH172" s="110"/>
      <c r="AI172" s="110" t="str">
        <f>IF(AND(AF172&lt;&gt;"",AF172&lt;=V172),V172-AF172,"")</f>
        <v/>
      </c>
      <c r="AJ172" s="68">
        <f>IF(ISNUMBER(V172 ), IF( V172 &gt;= Y172, Y172, V172 ),"")</f>
        <v>0</v>
      </c>
      <c r="AK172" s="68">
        <f>IF( ISNUMBER( V172 ), IF( V172 &gt;= Y172, V172 - Y172, "" ), "" )</f>
        <v>0</v>
      </c>
      <c r="AL172" s="68" t="str">
        <f>IF( AND(ISNUMBER( V172 ),ISNUMBER( Y172 )), IF( V172 &gt;= Y172, "", Y172 - V172 ), "" )</f>
        <v/>
      </c>
      <c r="AM172">
        <f>IF(A172="",0,IF(ISERROR(VLOOKUP(A172,db_Feiertag,2,FALSE)),WEEKDAY(A172,2),Feiertag))</f>
        <v>5</v>
      </c>
      <c r="AN172" s="122">
        <f>SUM($AD$6:AD172)</f>
        <v>0</v>
      </c>
      <c r="AO172" s="122">
        <f ca="1">IF(D172=D171,AO171,OFFSET(AO172,-1,COLUMN(db_jSaldoGes)-COLUMN()))</f>
        <v>0</v>
      </c>
      <c r="AP172" s="126">
        <f>IF(OR($G172=-1,$G172=82),-1,IF(OR($G172=0,$G172=83),1,0))</f>
        <v>0</v>
      </c>
      <c r="AQ172" s="126">
        <f>IF($F172=Krank,1,IF($F172="J",-1,0))</f>
        <v>0</v>
      </c>
      <c r="AR172" s="126">
        <f>IF($F172=Urlaub,1,IF($F172="T",-1,0))</f>
        <v>0</v>
      </c>
      <c r="AS172" s="125">
        <f>IF(A172="","",AS171-IF(F172=Urlaub,1,0)+IF(AND(MONTH(A172)=1,DAY(A172)=1),B_UrlaubNeu,0))</f>
        <v>30</v>
      </c>
      <c r="AT172" s="125">
        <f ca="1">IF(A172="","",IF(D172=D171,AT171,OFFSET(AT172,-1,COLUMN(db_jUrlRest)-COLUMN()))+IF(AND(MONTH(A172)=1,DAY(A172)=1),B_UrlaubNeu,0))</f>
        <v>30</v>
      </c>
      <c r="AU172" s="135">
        <f>(IF(ISNUMBER(V172),V172,0)+IF(ISNUMBER(AD172),AD172,0))*24</f>
        <v>0</v>
      </c>
      <c r="AV172" s="125">
        <f>IF(ISNUMBER(AD172),K_ArbeitOverMax,IF(AND(ISNUMBER(AA172),AA172&gt;0),K_ArbeitOverTime,IF(AND(ISNUMBER(V172),V172&gt;0),K_ArbeitNormal,IF(F172=Krank,K_Krank,IF(F172=Urlaub,K_Urlaub,IF(AM172=Feiertag,K_Feiertag,IF(OR(AM172=6,AM172=7),K_Wochenende,0)))))))+IF(F172=Gleittag,K_Gleittag,0)</f>
        <v>0</v>
      </c>
      <c r="AW172" t="b">
        <f>OR((F172&gt;0),(NOT(ISBLANK(H172))),SUM(H172:H$373),SUM(G172:G$373))</f>
        <v>0</v>
      </c>
      <c r="AX172" t="b">
        <f ca="1">INDIRECT(ADDRESS(ROW(),COLUMN(xDay)))&gt;5</f>
        <v>0</v>
      </c>
      <c r="AY172" s="600">
        <f>IF(OR(R172&lt;&gt;0,F172&lt;&gt;0),AA172,IF(Z172="",0,-Z172))+(IF(AG172="+",AF172,-AF172))</f>
        <v>-0.29166666666666669</v>
      </c>
      <c r="AZ172" s="225">
        <f>SUM(AY$5:AY172)</f>
        <v>-32.958333333333378</v>
      </c>
      <c r="BA172" s="658"/>
      <c r="BB172" s="658">
        <f>IF(ISNA(MATCH(BA172,B_Arbeitsort,0)),0,MATCH(BA172,B_Arbeitsort,0))</f>
        <v>0</v>
      </c>
      <c r="BC172" s="658"/>
    </row>
    <row r="173" spans="1:55" ht="15.75">
      <c r="A173" s="305">
        <f>IF(A172="","",IF((A172+1)&gt;=DATE(YEAR(xJahr)+1,MONTH(xJahr),DAY(xJahr)),"",A172+1))</f>
        <v>43632</v>
      </c>
      <c r="B173" s="306">
        <f>IF(A173="","",A173)</f>
        <v>43632</v>
      </c>
      <c r="C173" s="307">
        <f>IF(A173="","",NumberOfWeek(A173))</f>
        <v>24</v>
      </c>
      <c r="D173" s="308">
        <f>IF(A173="","",DATE(YEAR(A173),MONTH(A173),1))</f>
        <v>43616</v>
      </c>
      <c r="E173" s="318" t="str">
        <f>IF((R173-U173)&gt;XWorkTimeMax,$Z$4,IF(AV173=Feiertag,VLOOKUP(B173,db_Feiertag,2,FALSE),""))</f>
        <v/>
      </c>
      <c r="F173" s="5"/>
      <c r="G173" s="6" t="str">
        <f>IF(ISBLANK(F173),IF(ISBLANK(H173),"",0),CODE(UPPER(F173)))</f>
        <v/>
      </c>
      <c r="H173" s="7"/>
      <c r="I173" s="7">
        <f>IF(H173&gt;0,H173+Y173+X173+AC173,0)</f>
        <v>0</v>
      </c>
      <c r="J173" s="113">
        <f>IF(K173&gt;I173,IF(I173&lt;H173,I173+1,I173)-B_WalkTime,IF(I173&lt;H173,I173+1,I173))</f>
        <v>0</v>
      </c>
      <c r="K173" s="7"/>
      <c r="L173" s="7">
        <f>IF(K173&gt;0,K173+IF((J173-H173)&lt;Y173,Y173-(J173-H173),TIME(0,10,0))+IF((K173-J173)&gt;xNoWorkTime,0,xNoWorkTime-(K173-J173)),0)</f>
        <v>0</v>
      </c>
      <c r="M173" s="113">
        <f>IF(L173&lt;K173,L173+1,L173)</f>
        <v>0</v>
      </c>
      <c r="N173" s="113"/>
      <c r="O173" s="113">
        <f>IF(N173&gt;0,N173+IF((J173-H173+M173-K173)&lt;Y173,Y173-(J173-H173+M173-K173),TIME(0,10,0))+IF((K173-J173+N173-M173)&gt;xNoWorkTime,0,xNoWorkTime-(K173-J173+N173-M173)),0)</f>
        <v>0</v>
      </c>
      <c r="P173" s="113"/>
      <c r="Q173" s="113">
        <f>IF(O173&lt;N173,O173+1,O173)</f>
        <v>0</v>
      </c>
      <c r="R173" s="113">
        <f>J173-H173+M173-K173+Q173-N173</f>
        <v>0</v>
      </c>
      <c r="S173" s="113">
        <f>IF(K173&gt;0,K173-I173,0)+IF(N173&gt;0,N173-L173)</f>
        <v>0</v>
      </c>
      <c r="T173" s="113">
        <f>IF(H173&gt;0,(IF(R173&gt;B_Pause1Nach,B_Pause1Dauer+IF(BA173="Büro",B_WalkTime,0),IF(BA173="Büro",B_WalkTime,0))+IF(R173&gt;B_Pause2Nach,B_Pause2Dauer,0)),0)</f>
        <v>0</v>
      </c>
      <c r="U173" s="113">
        <f>IF(T173&gt;S173,T173-S173,0)</f>
        <v>0</v>
      </c>
      <c r="V173" s="146">
        <f>IF(F173="S",Z173,(IF((R173-U173)&gt;XWorkTimeMax,XWorkTimeMax,IF((R173-U173)&gt;0,R173-U173,0))))</f>
        <v>0</v>
      </c>
      <c r="W173" s="66"/>
      <c r="X173" s="115">
        <f>xNoWorkTime</f>
        <v>4.027777777777778E-2</v>
      </c>
      <c r="Y173" s="110">
        <f>IF(AND((AM173&lt;Feiertag),(G173&lt;&gt;85)),IF(OR(F173="B",F173="G",F173="S",H173&gt;0),H173-H173+Z173,0),0)</f>
        <v>0</v>
      </c>
      <c r="Z173" s="111">
        <f>IF(AND(AM173&gt;0,AM173&lt;Feiertag),INDEX(Arbeitszeit,AM173),"")</f>
        <v>0</v>
      </c>
      <c r="AA173" s="112">
        <f>V173-Y173</f>
        <v>0</v>
      </c>
      <c r="AB173" s="67" t="str">
        <f>IF((V173-Y173)&lt;0,"*","")</f>
        <v/>
      </c>
      <c r="AC173" s="193">
        <f>xOverTime</f>
        <v>0</v>
      </c>
      <c r="AD173" s="144" t="str">
        <f>IF((R173-U173)&gt;XWorkTimeMax,(R173-U173-XWorkTimeMax),"")</f>
        <v/>
      </c>
      <c r="AE173" s="225">
        <f>IF(AW173,(AE172+SUM(AA173)+(IF(AG173="+",AF173,-AF173))),)</f>
        <v>0</v>
      </c>
      <c r="AF173" s="110"/>
      <c r="AG173" s="627"/>
      <c r="AH173" s="110"/>
      <c r="AI173" s="110" t="str">
        <f>IF(AND(AF173&lt;&gt;"",AF173&lt;=V173),V173-AF173,"")</f>
        <v/>
      </c>
      <c r="AJ173" s="68">
        <f>IF(ISNUMBER(V173 ), IF( V173 &gt;= Y173, Y173, V173 ),"")</f>
        <v>0</v>
      </c>
      <c r="AK173" s="68">
        <f>IF( ISNUMBER( V173 ), IF( V173 &gt;= Y173, V173 - Y173, "" ), "" )</f>
        <v>0</v>
      </c>
      <c r="AL173" s="68" t="str">
        <f>IF( AND(ISNUMBER( V173 ),ISNUMBER( Y173 )), IF( V173 &gt;= Y173, "", Y173 - V173 ), "" )</f>
        <v/>
      </c>
      <c r="AM173">
        <f>IF(A173="",0,IF(ISERROR(VLOOKUP(A173,db_Feiertag,2,FALSE)),WEEKDAY(A173,2),Feiertag))</f>
        <v>6</v>
      </c>
      <c r="AN173" s="122">
        <f>SUM($AD$6:AD173)</f>
        <v>0</v>
      </c>
      <c r="AO173" s="122">
        <f ca="1">IF(D173=D172,AO172,OFFSET(AO173,-1,COLUMN(db_jSaldoGes)-COLUMN()))</f>
        <v>0</v>
      </c>
      <c r="AP173" s="126">
        <f>IF(OR($G173=-1,$G173=82),-1,IF(OR($G173=0,$G173=83),1,0))</f>
        <v>0</v>
      </c>
      <c r="AQ173" s="126">
        <f>IF($F173=Krank,1,IF($F173="J",-1,0))</f>
        <v>0</v>
      </c>
      <c r="AR173" s="126">
        <f>IF($F173=Urlaub,1,IF($F173="T",-1,0))</f>
        <v>0</v>
      </c>
      <c r="AS173" s="125">
        <f>IF(A173="","",AS172-IF(F173=Urlaub,1,0)+IF(AND(MONTH(A173)=1,DAY(A173)=1),B_UrlaubNeu,0))</f>
        <v>30</v>
      </c>
      <c r="AT173" s="125">
        <f ca="1">IF(A173="","",IF(D173=D172,AT172,OFFSET(AT173,-1,COLUMN(db_jUrlRest)-COLUMN()))+IF(AND(MONTH(A173)=1,DAY(A173)=1),B_UrlaubNeu,0))</f>
        <v>30</v>
      </c>
      <c r="AU173" s="135">
        <f>(IF(ISNUMBER(V173),V173,0)+IF(ISNUMBER(AD173),AD173,0))*24</f>
        <v>0</v>
      </c>
      <c r="AV173" s="125">
        <f>IF(ISNUMBER(AD173),K_ArbeitOverMax,IF(AND(ISNUMBER(AA173),AA173&gt;0),K_ArbeitOverTime,IF(AND(ISNUMBER(V173),V173&gt;0),K_ArbeitNormal,IF(F173=Krank,K_Krank,IF(F173=Urlaub,K_Urlaub,IF(AM173=Feiertag,K_Feiertag,IF(OR(AM173=6,AM173=7),K_Wochenende,0)))))))+IF(F173=Gleittag,K_Gleittag,0)</f>
        <v>7</v>
      </c>
      <c r="AW173" t="b">
        <f>OR((F173&gt;0),(NOT(ISBLANK(H173))),SUM(H173:H$373),SUM(G173:G$373))</f>
        <v>0</v>
      </c>
      <c r="AX173" t="b">
        <f ca="1">INDIRECT(ADDRESS(ROW(),COLUMN(xDay)))&gt;5</f>
        <v>1</v>
      </c>
      <c r="AY173" s="600">
        <f>IF(OR(R173&lt;&gt;0,F173&lt;&gt;0),AA173,IF(Z173="",0,-Z173))+(IF(AG173="+",AF173,-AF173))</f>
        <v>0</v>
      </c>
      <c r="AZ173" s="225">
        <f>SUM(AY$5:AY173)</f>
        <v>-32.958333333333378</v>
      </c>
      <c r="BA173" s="643"/>
      <c r="BB173" s="658">
        <f>IF(ISNA(MATCH(BA173,B_Arbeitsort,0)),0,MATCH(BA173,B_Arbeitsort,0))</f>
        <v>0</v>
      </c>
      <c r="BC173" s="643"/>
    </row>
    <row r="174" spans="1:55" ht="15.75">
      <c r="A174" s="305">
        <f>IF(A173="","",IF((A173+1)&gt;=DATE(YEAR(xJahr)+1,MONTH(xJahr),DAY(xJahr)),"",A173+1))</f>
        <v>43633</v>
      </c>
      <c r="B174" s="306">
        <f>IF(A174="","",A174)</f>
        <v>43633</v>
      </c>
      <c r="C174" s="307">
        <f>IF(A174="","",NumberOfWeek(A174))</f>
        <v>24</v>
      </c>
      <c r="D174" s="308">
        <f>IF(A174="","",DATE(YEAR(A174),MONTH(A174),1))</f>
        <v>43616</v>
      </c>
      <c r="E174" s="318" t="str">
        <f>IF((R174-U174)&gt;XWorkTimeMax,$Z$4,IF(AV174=Feiertag,VLOOKUP(B174,db_Feiertag,2,FALSE),""))</f>
        <v/>
      </c>
      <c r="F174" s="5"/>
      <c r="G174" s="6" t="str">
        <f>IF(ISBLANK(F174),IF(ISBLANK(H174),"",0),CODE(UPPER(F174)))</f>
        <v/>
      </c>
      <c r="H174" s="7"/>
      <c r="I174" s="7">
        <f>IF(H174&gt;0,H174+Y174+X174+AC174,0)</f>
        <v>0</v>
      </c>
      <c r="J174" s="113">
        <f>IF(K174&gt;I174,IF(I174&lt;H174,I174+1,I174)-B_WalkTime,IF(I174&lt;H174,I174+1,I174))</f>
        <v>0</v>
      </c>
      <c r="K174" s="7"/>
      <c r="L174" s="7">
        <f>IF(K174&gt;0,K174+IF((J174-H174)&lt;Y174,Y174-(J174-H174),TIME(0,10,0))+IF((K174-J174)&gt;xNoWorkTime,0,xNoWorkTime-(K174-J174)),0)</f>
        <v>0</v>
      </c>
      <c r="M174" s="113">
        <f>IF(L174&lt;K174,L174+1,L174)</f>
        <v>0</v>
      </c>
      <c r="N174" s="113"/>
      <c r="O174" s="113">
        <f>IF(N174&gt;0,N174+IF((J174-H174+M174-K174)&lt;Y174,Y174-(J174-H174+M174-K174),TIME(0,10,0))+IF((K174-J174+N174-M174)&gt;xNoWorkTime,0,xNoWorkTime-(K174-J174+N174-M174)),0)</f>
        <v>0</v>
      </c>
      <c r="P174" s="113"/>
      <c r="Q174" s="113">
        <f>IF(O174&lt;N174,O174+1,O174)</f>
        <v>0</v>
      </c>
      <c r="R174" s="113">
        <f>J174-H174+M174-K174+Q174-N174</f>
        <v>0</v>
      </c>
      <c r="S174" s="113">
        <f>IF(K174&gt;0,K174-I174,0)+IF(N174&gt;0,N174-L174)</f>
        <v>0</v>
      </c>
      <c r="T174" s="113">
        <f>IF(H174&gt;0,(IF(R174&gt;B_Pause1Nach,B_Pause1Dauer+IF(BA174="Büro",B_WalkTime,0),IF(BA174="Büro",B_WalkTime,0))+IF(R174&gt;B_Pause2Nach,B_Pause2Dauer,0)),0)</f>
        <v>0</v>
      </c>
      <c r="U174" s="113">
        <f>IF(T174&gt;S174,T174-S174,0)</f>
        <v>0</v>
      </c>
      <c r="V174" s="146">
        <f>IF(F174="S",Z174,(IF((R174-U174)&gt;XWorkTimeMax,XWorkTimeMax,IF((R174-U174)&gt;0,R174-U174,0))))</f>
        <v>0</v>
      </c>
      <c r="W174" s="66"/>
      <c r="X174" s="115">
        <f>xNoWorkTime</f>
        <v>4.027777777777778E-2</v>
      </c>
      <c r="Y174" s="110">
        <f>IF(AND((AM174&lt;Feiertag),(G174&lt;&gt;85)),IF(OR(F174="B",F174="G",F174="S",H174&gt;0),H174-H174+Z174,0),0)</f>
        <v>0</v>
      </c>
      <c r="Z174" s="111">
        <f>IF(AND(AM174&gt;0,AM174&lt;Feiertag),INDEX(Arbeitszeit,AM174),"")</f>
        <v>0</v>
      </c>
      <c r="AA174" s="112">
        <f>V174-Y174</f>
        <v>0</v>
      </c>
      <c r="AB174" s="67" t="str">
        <f>IF((V174-Y174)&lt;0,"*","")</f>
        <v/>
      </c>
      <c r="AC174" s="193">
        <f>xOverTime</f>
        <v>0</v>
      </c>
      <c r="AD174" s="144" t="str">
        <f>IF((R174-U174)&gt;XWorkTimeMax,(R174-U174-XWorkTimeMax),"")</f>
        <v/>
      </c>
      <c r="AE174" s="225">
        <f>IF(AW174,(AE173+SUM(AA174)+(IF(AG174="+",AF174,-AF174))),)</f>
        <v>0</v>
      </c>
      <c r="AF174" s="110"/>
      <c r="AG174" s="627"/>
      <c r="AH174" s="110"/>
      <c r="AI174" s="110" t="str">
        <f>IF(AND(AF174&lt;&gt;"",AF174&lt;=V174),V174-AF174,"")</f>
        <v/>
      </c>
      <c r="AJ174" s="68">
        <f>IF(ISNUMBER(V174 ), IF( V174 &gt;= Y174, Y174, V174 ),"")</f>
        <v>0</v>
      </c>
      <c r="AK174" s="68">
        <f>IF( ISNUMBER( V174 ), IF( V174 &gt;= Y174, V174 - Y174, "" ), "" )</f>
        <v>0</v>
      </c>
      <c r="AL174" s="68" t="str">
        <f>IF( AND(ISNUMBER( V174 ),ISNUMBER( Y174 )), IF( V174 &gt;= Y174, "", Y174 - V174 ), "" )</f>
        <v/>
      </c>
      <c r="AM174">
        <f>IF(A174="",0,IF(ISERROR(VLOOKUP(A174,db_Feiertag,2,FALSE)),WEEKDAY(A174,2),Feiertag))</f>
        <v>7</v>
      </c>
      <c r="AN174" s="122">
        <f>SUM($AD$6:AD174)</f>
        <v>0</v>
      </c>
      <c r="AO174" s="122">
        <f ca="1">IF(D174=D173,AO173,OFFSET(AO174,-1,COLUMN(db_jSaldoGes)-COLUMN()))</f>
        <v>0</v>
      </c>
      <c r="AP174" s="126">
        <f>IF(OR($G174=-1,$G174=82),-1,IF(OR($G174=0,$G174=83),1,0))</f>
        <v>0</v>
      </c>
      <c r="AQ174" s="126">
        <f>IF($F174=Krank,1,IF($F174="J",-1,0))</f>
        <v>0</v>
      </c>
      <c r="AR174" s="126">
        <f>IF($F174=Urlaub,1,IF($F174="T",-1,0))</f>
        <v>0</v>
      </c>
      <c r="AS174" s="125">
        <f>IF(A174="","",AS173-IF(F174=Urlaub,1,0)+IF(AND(MONTH(A174)=1,DAY(A174)=1),B_UrlaubNeu,0))</f>
        <v>30</v>
      </c>
      <c r="AT174" s="125">
        <f ca="1">IF(A174="","",IF(D174=D173,AT173,OFFSET(AT174,-1,COLUMN(db_jUrlRest)-COLUMN()))+IF(AND(MONTH(A174)=1,DAY(A174)=1),B_UrlaubNeu,0))</f>
        <v>30</v>
      </c>
      <c r="AU174" s="135">
        <f>(IF(ISNUMBER(V174),V174,0)+IF(ISNUMBER(AD174),AD174,0))*24</f>
        <v>0</v>
      </c>
      <c r="AV174" s="125">
        <f>IF(ISNUMBER(AD174),K_ArbeitOverMax,IF(AND(ISNUMBER(AA174),AA174&gt;0),K_ArbeitOverTime,IF(AND(ISNUMBER(V174),V174&gt;0),K_ArbeitNormal,IF(F174=Krank,K_Krank,IF(F174=Urlaub,K_Urlaub,IF(AM174=Feiertag,K_Feiertag,IF(OR(AM174=6,AM174=7),K_Wochenende,0)))))))+IF(F174=Gleittag,K_Gleittag,0)</f>
        <v>7</v>
      </c>
      <c r="AW174" t="b">
        <f>OR((F174&gt;0),(NOT(ISBLANK(H174))),SUM(H174:H$373),SUM(G174:G$373))</f>
        <v>0</v>
      </c>
      <c r="AX174" t="b">
        <f ca="1">INDIRECT(ADDRESS(ROW(),COLUMN(xDay)))&gt;5</f>
        <v>1</v>
      </c>
      <c r="AY174" s="600">
        <f>IF(OR(R174&lt;&gt;0,F174&lt;&gt;0),AA174,IF(Z174="",0,-Z174))+(IF(AG174="+",AF174,-AF174))</f>
        <v>0</v>
      </c>
      <c r="AZ174" s="225">
        <f>SUM(AY$5:AY174)</f>
        <v>-32.958333333333378</v>
      </c>
      <c r="BA174" s="643"/>
      <c r="BB174" s="658">
        <f>IF(ISNA(MATCH(BA174,B_Arbeitsort,0)),0,MATCH(BA174,B_Arbeitsort,0))</f>
        <v>0</v>
      </c>
      <c r="BC174" s="643"/>
    </row>
    <row r="175" spans="1:55" ht="15.75">
      <c r="A175" s="305">
        <f>IF(A174="","",IF((A174+1)&gt;=DATE(YEAR(xJahr)+1,MONTH(xJahr),DAY(xJahr)),"",A174+1))</f>
        <v>43634</v>
      </c>
      <c r="B175" s="306">
        <f>IF(A175="","",A175)</f>
        <v>43634</v>
      </c>
      <c r="C175" s="307">
        <f>IF(A175="","",NumberOfWeek(A175))</f>
        <v>25</v>
      </c>
      <c r="D175" s="308">
        <f>IF(A175="","",DATE(YEAR(A175),MONTH(A175),1))</f>
        <v>43616</v>
      </c>
      <c r="E175" s="318" t="str">
        <f>IF((R175-U175)&gt;XWorkTimeMax,$Z$4,IF(AV175=Feiertag,VLOOKUP(B175,db_Feiertag,2,FALSE),""))</f>
        <v/>
      </c>
      <c r="F175" s="5"/>
      <c r="G175" s="6" t="str">
        <f>IF(ISBLANK(F175),IF(ISBLANK(H175),"",0),CODE(UPPER(F175)))</f>
        <v/>
      </c>
      <c r="H175" s="7"/>
      <c r="I175" s="7">
        <f>IF(H175&gt;0,H175+Y175+X175+AC175,0)</f>
        <v>0</v>
      </c>
      <c r="J175" s="113">
        <f>IF(K175&gt;I175,IF(I175&lt;H175,I175+1,I175)-B_WalkTime,IF(I175&lt;H175,I175+1,I175))</f>
        <v>0</v>
      </c>
      <c r="K175" s="7"/>
      <c r="L175" s="7">
        <f>IF(K175&gt;0,K175+IF((J175-H175)&lt;Y175,Y175-(J175-H175),TIME(0,10,0))+IF((K175-J175)&gt;xNoWorkTime,0,xNoWorkTime-(K175-J175)),0)</f>
        <v>0</v>
      </c>
      <c r="M175" s="113">
        <f>IF(L175&lt;K175,L175+1,L175)</f>
        <v>0</v>
      </c>
      <c r="N175" s="113"/>
      <c r="O175" s="113">
        <f>IF(N175&gt;0,N175+IF((J175-H175+M175-K175)&lt;Y175,Y175-(J175-H175+M175-K175),TIME(0,10,0))+IF((K175-J175+N175-M175)&gt;xNoWorkTime,0,xNoWorkTime-(K175-J175+N175-M175)),0)</f>
        <v>0</v>
      </c>
      <c r="P175" s="113"/>
      <c r="Q175" s="113">
        <f>IF(O175&lt;N175,O175+1,O175)</f>
        <v>0</v>
      </c>
      <c r="R175" s="113">
        <f>J175-H175+M175-K175+Q175-N175</f>
        <v>0</v>
      </c>
      <c r="S175" s="113">
        <f>IF(K175&gt;0,K175-I175,0)+IF(N175&gt;0,N175-L175)</f>
        <v>0</v>
      </c>
      <c r="T175" s="113">
        <f>IF(H175&gt;0,(IF(R175&gt;B_Pause1Nach,B_Pause1Dauer+IF(BA175="Büro",B_WalkTime,0),IF(BA175="Büro",B_WalkTime,0))+IF(R175&gt;B_Pause2Nach,B_Pause2Dauer,0)),0)</f>
        <v>0</v>
      </c>
      <c r="U175" s="113">
        <f>IF(T175&gt;S175,T175-S175,0)</f>
        <v>0</v>
      </c>
      <c r="V175" s="146">
        <f>IF(F175="S",Z175,(IF((R175-U175)&gt;XWorkTimeMax,XWorkTimeMax,IF((R175-U175)&gt;0,R175-U175,0))))</f>
        <v>0</v>
      </c>
      <c r="W175" s="66"/>
      <c r="X175" s="115">
        <f>xNoWorkTime</f>
        <v>4.027777777777778E-2</v>
      </c>
      <c r="Y175" s="110">
        <f>IF(AND((AM175&lt;Feiertag),(G175&lt;&gt;85)),IF(OR(F175="B",F175="G",F175="S",H175&gt;0),H175-H175+Z175,0),0)</f>
        <v>0</v>
      </c>
      <c r="Z175" s="111">
        <f>IF(AND(AM175&gt;0,AM175&lt;Feiertag),INDEX(Arbeitszeit,AM175),"")</f>
        <v>0.29166666666666669</v>
      </c>
      <c r="AA175" s="112">
        <f>V175-Y175</f>
        <v>0</v>
      </c>
      <c r="AB175" s="67" t="str">
        <f>IF((V175-Y175)&lt;0,"*","")</f>
        <v/>
      </c>
      <c r="AC175" s="193">
        <f>xOverTime</f>
        <v>0</v>
      </c>
      <c r="AD175" s="144" t="str">
        <f>IF((R175-U175)&gt;XWorkTimeMax,(R175-U175-XWorkTimeMax),"")</f>
        <v/>
      </c>
      <c r="AE175" s="225">
        <f>IF(AW175,(AE174+SUM(AA175)+(IF(AG175="+",AF175,-AF175))),)</f>
        <v>0</v>
      </c>
      <c r="AF175" s="110"/>
      <c r="AG175" s="627"/>
      <c r="AH175" s="110"/>
      <c r="AI175" s="110" t="str">
        <f>IF(AND(AF175&lt;&gt;"",AF175&lt;=V175),V175-AF175,"")</f>
        <v/>
      </c>
      <c r="AJ175" s="68">
        <f>IF(ISNUMBER(V175 ), IF( V175 &gt;= Y175, Y175, V175 ),"")</f>
        <v>0</v>
      </c>
      <c r="AK175" s="68">
        <f>IF( ISNUMBER( V175 ), IF( V175 &gt;= Y175, V175 - Y175, "" ), "" )</f>
        <v>0</v>
      </c>
      <c r="AL175" s="68" t="str">
        <f>IF( AND(ISNUMBER( V175 ),ISNUMBER( Y175 )), IF( V175 &gt;= Y175, "", Y175 - V175 ), "" )</f>
        <v/>
      </c>
      <c r="AM175">
        <f>IF(A175="",0,IF(ISERROR(VLOOKUP(A175,db_Feiertag,2,FALSE)),WEEKDAY(A175,2),Feiertag))</f>
        <v>1</v>
      </c>
      <c r="AN175" s="122">
        <f>SUM($AD$6:AD175)</f>
        <v>0</v>
      </c>
      <c r="AO175" s="122">
        <f ca="1">IF(D175=D174,AO174,OFFSET(AO175,-1,COLUMN(db_jSaldoGes)-COLUMN()))</f>
        <v>0</v>
      </c>
      <c r="AP175" s="126">
        <f>IF(OR($G175=-1,$G175=82),-1,IF(OR($G175=0,$G175=83),1,0))</f>
        <v>0</v>
      </c>
      <c r="AQ175" s="126">
        <f>IF($F175=Krank,1,IF($F175="J",-1,0))</f>
        <v>0</v>
      </c>
      <c r="AR175" s="126">
        <f>IF($F175=Urlaub,1,IF($F175="T",-1,0))</f>
        <v>0</v>
      </c>
      <c r="AS175" s="125">
        <f>IF(A175="","",AS174-IF(F175=Urlaub,1,0)+IF(AND(MONTH(A175)=1,DAY(A175)=1),B_UrlaubNeu,0))</f>
        <v>30</v>
      </c>
      <c r="AT175" s="125">
        <f ca="1">IF(A175="","",IF(D175=D174,AT174,OFFSET(AT175,-1,COLUMN(db_jUrlRest)-COLUMN()))+IF(AND(MONTH(A175)=1,DAY(A175)=1),B_UrlaubNeu,0))</f>
        <v>30</v>
      </c>
      <c r="AU175" s="135">
        <f>(IF(ISNUMBER(V175),V175,0)+IF(ISNUMBER(AD175),AD175,0))*24</f>
        <v>0</v>
      </c>
      <c r="AV175" s="125">
        <f>IF(ISNUMBER(AD175),K_ArbeitOverMax,IF(AND(ISNUMBER(AA175),AA175&gt;0),K_ArbeitOverTime,IF(AND(ISNUMBER(V175),V175&gt;0),K_ArbeitNormal,IF(F175=Krank,K_Krank,IF(F175=Urlaub,K_Urlaub,IF(AM175=Feiertag,K_Feiertag,IF(OR(AM175=6,AM175=7),K_Wochenende,0)))))))+IF(F175=Gleittag,K_Gleittag,0)</f>
        <v>0</v>
      </c>
      <c r="AW175" t="b">
        <f>OR((F175&gt;0),(NOT(ISBLANK(H175))),SUM(H175:H$373),SUM(G175:G$373))</f>
        <v>0</v>
      </c>
      <c r="AX175" t="b">
        <f ca="1">INDIRECT(ADDRESS(ROW(),COLUMN(xDay)))&gt;5</f>
        <v>0</v>
      </c>
      <c r="AY175" s="600">
        <f>IF(OR(R175&lt;&gt;0,F175&lt;&gt;0),AA175,IF(Z175="",0,-Z175))+(IF(AG175="+",AF175,-AF175))</f>
        <v>-0.29166666666666669</v>
      </c>
      <c r="AZ175" s="225">
        <f>SUM(AY$5:AY175)</f>
        <v>-33.250000000000043</v>
      </c>
      <c r="BA175" s="658"/>
      <c r="BB175" s="658">
        <f>IF(ISNA(MATCH(BA175,B_Arbeitsort,0)),0,MATCH(BA175,B_Arbeitsort,0))</f>
        <v>0</v>
      </c>
      <c r="BC175" s="658"/>
    </row>
    <row r="176" spans="1:55" ht="15.75">
      <c r="A176" s="305">
        <f>IF(A175="","",IF((A175+1)&gt;=DATE(YEAR(xJahr)+1,MONTH(xJahr),DAY(xJahr)),"",A175+1))</f>
        <v>43635</v>
      </c>
      <c r="B176" s="306">
        <f>IF(A176="","",A176)</f>
        <v>43635</v>
      </c>
      <c r="C176" s="307">
        <f>IF(A176="","",NumberOfWeek(A176))</f>
        <v>25</v>
      </c>
      <c r="D176" s="308">
        <f>IF(A176="","",DATE(YEAR(A176),MONTH(A176),1))</f>
        <v>43616</v>
      </c>
      <c r="E176" s="318" t="str">
        <f>IF((R176-U176)&gt;XWorkTimeMax,$Z$4,IF(AV176=Feiertag,VLOOKUP(B176,db_Feiertag,2,FALSE),""))</f>
        <v/>
      </c>
      <c r="F176" s="5"/>
      <c r="G176" s="6" t="str">
        <f>IF(ISBLANK(F176),IF(ISBLANK(H176),"",0),CODE(UPPER(F176)))</f>
        <v/>
      </c>
      <c r="H176" s="7"/>
      <c r="I176" s="7">
        <f>IF(H176&gt;0,H176+Y176+X176+AC176,0)</f>
        <v>0</v>
      </c>
      <c r="J176" s="113">
        <f>IF(K176&gt;I176,IF(I176&lt;H176,I176+1,I176)-B_WalkTime,IF(I176&lt;H176,I176+1,I176))</f>
        <v>0</v>
      </c>
      <c r="K176" s="7"/>
      <c r="L176" s="7">
        <f>IF(K176&gt;0,K176+IF((J176-H176)&lt;Y176,Y176-(J176-H176),TIME(0,10,0))+IF((K176-J176)&gt;xNoWorkTime,0,xNoWorkTime-(K176-J176)),0)</f>
        <v>0</v>
      </c>
      <c r="M176" s="113">
        <f>IF(L176&lt;K176,L176+1,L176)</f>
        <v>0</v>
      </c>
      <c r="N176" s="113"/>
      <c r="O176" s="113">
        <f>IF(N176&gt;0,N176+IF((J176-H176+M176-K176)&lt;Y176,Y176-(J176-H176+M176-K176),TIME(0,10,0))+IF((K176-J176+N176-M176)&gt;xNoWorkTime,0,xNoWorkTime-(K176-J176+N176-M176)),0)</f>
        <v>0</v>
      </c>
      <c r="P176" s="113"/>
      <c r="Q176" s="113">
        <f>IF(O176&lt;N176,O176+1,O176)</f>
        <v>0</v>
      </c>
      <c r="R176" s="113">
        <f>J176-H176+M176-K176+Q176-N176</f>
        <v>0</v>
      </c>
      <c r="S176" s="113">
        <f>IF(K176&gt;0,K176-I176,0)+IF(N176&gt;0,N176-L176)</f>
        <v>0</v>
      </c>
      <c r="T176" s="113">
        <f>IF(H176&gt;0,(IF(R176&gt;B_Pause1Nach,B_Pause1Dauer+IF(BA176="Büro",B_WalkTime,0),IF(BA176="Büro",B_WalkTime,0))+IF(R176&gt;B_Pause2Nach,B_Pause2Dauer,0)),0)</f>
        <v>0</v>
      </c>
      <c r="U176" s="113">
        <f>IF(T176&gt;S176,T176-S176,0)</f>
        <v>0</v>
      </c>
      <c r="V176" s="146">
        <f>IF(F176="S",Z176,(IF((R176-U176)&gt;XWorkTimeMax,XWorkTimeMax,IF((R176-U176)&gt;0,R176-U176,0))))</f>
        <v>0</v>
      </c>
      <c r="W176" s="66"/>
      <c r="X176" s="115">
        <f>xNoWorkTime</f>
        <v>4.027777777777778E-2</v>
      </c>
      <c r="Y176" s="110">
        <f>IF(AND((AM176&lt;Feiertag),(G176&lt;&gt;85)),IF(OR(F176="B",F176="G",F176="S",H176&gt;0),H176-H176+Z176,0),0)</f>
        <v>0</v>
      </c>
      <c r="Z176" s="111">
        <f>IF(AND(AM176&gt;0,AM176&lt;Feiertag),INDEX(Arbeitszeit,AM176),"")</f>
        <v>0.29166666666666669</v>
      </c>
      <c r="AA176" s="112">
        <f>V176-Y176</f>
        <v>0</v>
      </c>
      <c r="AB176" s="67" t="str">
        <f>IF((V176-Y176)&lt;0,"*","")</f>
        <v/>
      </c>
      <c r="AC176" s="193">
        <f>xOverTime</f>
        <v>0</v>
      </c>
      <c r="AD176" s="144" t="str">
        <f>IF((R176-U176)&gt;XWorkTimeMax,(R176-U176-XWorkTimeMax),"")</f>
        <v/>
      </c>
      <c r="AE176" s="225">
        <f>IF(AW176,(AE175+SUM(AA176)+(IF(AG176="+",AF176,-AF176))),)</f>
        <v>0</v>
      </c>
      <c r="AF176" s="110"/>
      <c r="AG176" s="627"/>
      <c r="AH176" s="110"/>
      <c r="AI176" s="110" t="str">
        <f>IF(AND(AF176&lt;&gt;"",AF176&lt;=V176),V176-AF176,"")</f>
        <v/>
      </c>
      <c r="AJ176" s="68">
        <f>IF(ISNUMBER(V176 ), IF( V176 &gt;= Y176, Y176, V176 ),"")</f>
        <v>0</v>
      </c>
      <c r="AK176" s="68">
        <f>IF( ISNUMBER( V176 ), IF( V176 &gt;= Y176, V176 - Y176, "" ), "" )</f>
        <v>0</v>
      </c>
      <c r="AL176" s="68" t="str">
        <f>IF( AND(ISNUMBER( V176 ),ISNUMBER( Y176 )), IF( V176 &gt;= Y176, "", Y176 - V176 ), "" )</f>
        <v/>
      </c>
      <c r="AM176">
        <f>IF(A176="",0,IF(ISERROR(VLOOKUP(A176,db_Feiertag,2,FALSE)),WEEKDAY(A176,2),Feiertag))</f>
        <v>2</v>
      </c>
      <c r="AN176" s="122">
        <f>SUM($AD$6:AD176)</f>
        <v>0</v>
      </c>
      <c r="AO176" s="122">
        <f ca="1">IF(D176=D175,AO175,OFFSET(AO176,-1,COLUMN(db_jSaldoGes)-COLUMN()))</f>
        <v>0</v>
      </c>
      <c r="AP176" s="126">
        <f>IF(OR($G176=-1,$G176=82),-1,IF(OR($G176=0,$G176=83),1,0))</f>
        <v>0</v>
      </c>
      <c r="AQ176" s="126">
        <f>IF($F176=Krank,1,IF($F176="J",-1,0))</f>
        <v>0</v>
      </c>
      <c r="AR176" s="126">
        <f>IF($F176=Urlaub,1,IF($F176="T",-1,0))</f>
        <v>0</v>
      </c>
      <c r="AS176" s="125">
        <f>IF(A176="","",AS175-IF(F176=Urlaub,1,0)+IF(AND(MONTH(A176)=1,DAY(A176)=1),B_UrlaubNeu,0))</f>
        <v>30</v>
      </c>
      <c r="AT176" s="125">
        <f ca="1">IF(A176="","",IF(D176=D175,AT175,OFFSET(AT176,-1,COLUMN(db_jUrlRest)-COLUMN()))+IF(AND(MONTH(A176)=1,DAY(A176)=1),B_UrlaubNeu,0))</f>
        <v>30</v>
      </c>
      <c r="AU176" s="135">
        <f>(IF(ISNUMBER(V176),V176,0)+IF(ISNUMBER(AD176),AD176,0))*24</f>
        <v>0</v>
      </c>
      <c r="AV176" s="125">
        <f>IF(ISNUMBER(AD176),K_ArbeitOverMax,IF(AND(ISNUMBER(AA176),AA176&gt;0),K_ArbeitOverTime,IF(AND(ISNUMBER(V176),V176&gt;0),K_ArbeitNormal,IF(F176=Krank,K_Krank,IF(F176=Urlaub,K_Urlaub,IF(AM176=Feiertag,K_Feiertag,IF(OR(AM176=6,AM176=7),K_Wochenende,0)))))))+IF(F176=Gleittag,K_Gleittag,0)</f>
        <v>0</v>
      </c>
      <c r="AW176" t="b">
        <f>OR((F176&gt;0),(NOT(ISBLANK(H176))),SUM(H176:H$373),SUM(G176:G$373))</f>
        <v>0</v>
      </c>
      <c r="AX176" t="b">
        <f ca="1">INDIRECT(ADDRESS(ROW(),COLUMN(xDay)))&gt;5</f>
        <v>0</v>
      </c>
      <c r="AY176" s="600">
        <f>IF(OR(R176&lt;&gt;0,F176&lt;&gt;0),AA176,IF(Z176="",0,-Z176))+(IF(AG176="+",AF176,-AF176))</f>
        <v>-0.29166666666666669</v>
      </c>
      <c r="AZ176" s="225">
        <f>SUM(AY$5:AY176)</f>
        <v>-33.541666666666707</v>
      </c>
      <c r="BA176" s="658"/>
      <c r="BB176" s="658">
        <f>IF(ISNA(MATCH(BA176,B_Arbeitsort,0)),0,MATCH(BA176,B_Arbeitsort,0))</f>
        <v>0</v>
      </c>
      <c r="BC176" s="658"/>
    </row>
    <row r="177" spans="1:55" ht="15.75">
      <c r="A177" s="305">
        <f>IF(A176="","",IF((A176+1)&gt;=DATE(YEAR(xJahr)+1,MONTH(xJahr),DAY(xJahr)),"",A176+1))</f>
        <v>43636</v>
      </c>
      <c r="B177" s="306">
        <f>IF(A177="","",A177)</f>
        <v>43636</v>
      </c>
      <c r="C177" s="307">
        <f>IF(A177="","",NumberOfWeek(A177))</f>
        <v>25</v>
      </c>
      <c r="D177" s="308">
        <f>IF(A177="","",DATE(YEAR(A177),MONTH(A177),1))</f>
        <v>43616</v>
      </c>
      <c r="E177" s="318" t="str">
        <f>IF((R177-U177)&gt;XWorkTimeMax,$Z$4,IF(AV177=Feiertag,VLOOKUP(B177,db_Feiertag,2,FALSE),""))</f>
        <v/>
      </c>
      <c r="F177" s="5"/>
      <c r="G177" s="6" t="str">
        <f>IF(ISBLANK(F177),IF(ISBLANK(H177),"",0),CODE(UPPER(F177)))</f>
        <v/>
      </c>
      <c r="H177" s="7"/>
      <c r="I177" s="7">
        <f>IF(H177&gt;0,H177+Y177+X177+AC177,0)</f>
        <v>0</v>
      </c>
      <c r="J177" s="113">
        <f>IF(K177&gt;I177,IF(I177&lt;H177,I177+1,I177)-B_WalkTime,IF(I177&lt;H177,I177+1,I177))</f>
        <v>0</v>
      </c>
      <c r="K177" s="7"/>
      <c r="L177" s="7">
        <f>IF(K177&gt;0,K177+IF((J177-H177)&lt;Y177,Y177-(J177-H177),TIME(0,10,0))+IF((K177-J177)&gt;xNoWorkTime,0,xNoWorkTime-(K177-J177)),0)</f>
        <v>0</v>
      </c>
      <c r="M177" s="113">
        <f>IF(L177&lt;K177,L177+1,L177)</f>
        <v>0</v>
      </c>
      <c r="N177" s="113"/>
      <c r="O177" s="113">
        <f>IF(N177&gt;0,N177+IF((J177-H177+M177-K177)&lt;Y177,Y177-(J177-H177+M177-K177),TIME(0,10,0))+IF((K177-J177+N177-M177)&gt;xNoWorkTime,0,xNoWorkTime-(K177-J177+N177-M177)),0)</f>
        <v>0</v>
      </c>
      <c r="P177" s="113"/>
      <c r="Q177" s="113">
        <f>IF(O177&lt;N177,O177+1,O177)</f>
        <v>0</v>
      </c>
      <c r="R177" s="113">
        <f>J177-H177+M177-K177+Q177-N177</f>
        <v>0</v>
      </c>
      <c r="S177" s="113">
        <f>IF(K177&gt;0,K177-I177,0)+IF(N177&gt;0,N177-L177)</f>
        <v>0</v>
      </c>
      <c r="T177" s="113">
        <f>IF(H177&gt;0,(IF(R177&gt;B_Pause1Nach,B_Pause1Dauer+IF(BA177="Büro",B_WalkTime,0),IF(BA177="Büro",B_WalkTime,0))+IF(R177&gt;B_Pause2Nach,B_Pause2Dauer,0)),0)</f>
        <v>0</v>
      </c>
      <c r="U177" s="113">
        <f>IF(T177&gt;S177,T177-S177,0)</f>
        <v>0</v>
      </c>
      <c r="V177" s="146">
        <f>IF(F177="S",Z177,(IF((R177-U177)&gt;XWorkTimeMax,XWorkTimeMax,IF((R177-U177)&gt;0,R177-U177,0))))</f>
        <v>0</v>
      </c>
      <c r="W177" s="66"/>
      <c r="X177" s="115">
        <f>xNoWorkTime</f>
        <v>4.027777777777778E-2</v>
      </c>
      <c r="Y177" s="110">
        <f>IF(AND((AM177&lt;Feiertag),(G177&lt;&gt;85)),IF(OR(F177="B",F177="G",F177="S",H177&gt;0),H177-H177+Z177,0),0)</f>
        <v>0</v>
      </c>
      <c r="Z177" s="111">
        <f>IF(AND(AM177&gt;0,AM177&lt;Feiertag),INDEX(Arbeitszeit,AM177),"")</f>
        <v>0.29166666666666669</v>
      </c>
      <c r="AA177" s="112">
        <f>V177-Y177</f>
        <v>0</v>
      </c>
      <c r="AB177" s="67" t="str">
        <f>IF((V177-Y177)&lt;0,"*","")</f>
        <v/>
      </c>
      <c r="AC177" s="193">
        <f>xOverTime</f>
        <v>0</v>
      </c>
      <c r="AD177" s="144" t="str">
        <f>IF((R177-U177)&gt;XWorkTimeMax,(R177-U177-XWorkTimeMax),"")</f>
        <v/>
      </c>
      <c r="AE177" s="225">
        <f>IF(AW177,(AE176+SUM(AA177)+(IF(AG177="+",AF177,-AF177))),)</f>
        <v>0</v>
      </c>
      <c r="AF177" s="110"/>
      <c r="AG177" s="627"/>
      <c r="AH177" s="110"/>
      <c r="AI177" s="110" t="str">
        <f>IF(AND(AF177&lt;&gt;"",AF177&lt;=V177),V177-AF177,"")</f>
        <v/>
      </c>
      <c r="AJ177" s="68">
        <f>IF(ISNUMBER(V177 ), IF( V177 &gt;= Y177, Y177, V177 ),"")</f>
        <v>0</v>
      </c>
      <c r="AK177" s="68">
        <f>IF( ISNUMBER( V177 ), IF( V177 &gt;= Y177, V177 - Y177, "" ), "" )</f>
        <v>0</v>
      </c>
      <c r="AL177" s="68" t="str">
        <f>IF( AND(ISNUMBER( V177 ),ISNUMBER( Y177 )), IF( V177 &gt;= Y177, "", Y177 - V177 ), "" )</f>
        <v/>
      </c>
      <c r="AM177">
        <f>IF(A177="",0,IF(ISERROR(VLOOKUP(A177,db_Feiertag,2,FALSE)),WEEKDAY(A177,2),Feiertag))</f>
        <v>3</v>
      </c>
      <c r="AN177" s="122">
        <f>SUM($AD$6:AD177)</f>
        <v>0</v>
      </c>
      <c r="AO177" s="122">
        <f ca="1">IF(D177=D176,AO176,OFFSET(AO177,-1,COLUMN(db_jSaldoGes)-COLUMN()))</f>
        <v>0</v>
      </c>
      <c r="AP177" s="126">
        <f>IF(OR($G177=-1,$G177=82),-1,IF(OR($G177=0,$G177=83),1,0))</f>
        <v>0</v>
      </c>
      <c r="AQ177" s="126">
        <f>IF($F177=Krank,1,IF($F177="J",-1,0))</f>
        <v>0</v>
      </c>
      <c r="AR177" s="126">
        <f>IF($F177=Urlaub,1,IF($F177="T",-1,0))</f>
        <v>0</v>
      </c>
      <c r="AS177" s="125">
        <f>IF(A177="","",AS176-IF(F177=Urlaub,1,0)+IF(AND(MONTH(A177)=1,DAY(A177)=1),B_UrlaubNeu,0))</f>
        <v>30</v>
      </c>
      <c r="AT177" s="125">
        <f ca="1">IF(A177="","",IF(D177=D176,AT176,OFFSET(AT177,-1,COLUMN(db_jUrlRest)-COLUMN()))+IF(AND(MONTH(A177)=1,DAY(A177)=1),B_UrlaubNeu,0))</f>
        <v>30</v>
      </c>
      <c r="AU177" s="135">
        <f>(IF(ISNUMBER(V177),V177,0)+IF(ISNUMBER(AD177),AD177,0))*24</f>
        <v>0</v>
      </c>
      <c r="AV177" s="125">
        <f>IF(ISNUMBER(AD177),K_ArbeitOverMax,IF(AND(ISNUMBER(AA177),AA177&gt;0),K_ArbeitOverTime,IF(AND(ISNUMBER(V177),V177&gt;0),K_ArbeitNormal,IF(F177=Krank,K_Krank,IF(F177=Urlaub,K_Urlaub,IF(AM177=Feiertag,K_Feiertag,IF(OR(AM177=6,AM177=7),K_Wochenende,0)))))))+IF(F177=Gleittag,K_Gleittag,0)</f>
        <v>0</v>
      </c>
      <c r="AW177" t="b">
        <f>OR((F177&gt;0),(NOT(ISBLANK(H177))),SUM(H177:H$373),SUM(G177:G$373))</f>
        <v>0</v>
      </c>
      <c r="AX177" t="b">
        <f ca="1">INDIRECT(ADDRESS(ROW(),COLUMN(xDay)))&gt;5</f>
        <v>0</v>
      </c>
      <c r="AY177" s="600">
        <f>IF(OR(R177&lt;&gt;0,F177&lt;&gt;0),AA177,IF(Z177="",0,-Z177))+(IF(AG177="+",AF177,-AF177))</f>
        <v>-0.29166666666666669</v>
      </c>
      <c r="AZ177" s="225">
        <f>SUM(AY$5:AY177)</f>
        <v>-33.833333333333371</v>
      </c>
      <c r="BA177" s="658"/>
      <c r="BB177" s="658">
        <f>IF(ISNA(MATCH(BA177,B_Arbeitsort,0)),0,MATCH(BA177,B_Arbeitsort,0))</f>
        <v>0</v>
      </c>
      <c r="BC177" s="658"/>
    </row>
    <row r="178" spans="1:55" ht="15.75">
      <c r="A178" s="305">
        <f>IF(A177="","",IF((A177+1)&gt;=DATE(YEAR(xJahr)+1,MONTH(xJahr),DAY(xJahr)),"",A177+1))</f>
        <v>43637</v>
      </c>
      <c r="B178" s="306">
        <f>IF(A178="","",A178)</f>
        <v>43637</v>
      </c>
      <c r="C178" s="307">
        <f>IF(A178="","",NumberOfWeek(A178))</f>
        <v>25</v>
      </c>
      <c r="D178" s="308">
        <f>IF(A178="","",DATE(YEAR(A178),MONTH(A178),1))</f>
        <v>43616</v>
      </c>
      <c r="E178" s="318" t="str">
        <f>IF((R178-U178)&gt;XWorkTimeMax,$Z$4,IF(AV178=Feiertag,VLOOKUP(B178,db_Feiertag,2,FALSE),""))</f>
        <v/>
      </c>
      <c r="F178" s="5"/>
      <c r="G178" s="6" t="str">
        <f>IF(ISBLANK(F178),IF(ISBLANK(H178),"",0),CODE(UPPER(F178)))</f>
        <v/>
      </c>
      <c r="H178" s="7"/>
      <c r="I178" s="7">
        <f>IF(H178&gt;0,H178+Y178+X178+AC178,0)</f>
        <v>0</v>
      </c>
      <c r="J178" s="113">
        <f>IF(K178&gt;I178,IF(I178&lt;H178,I178+1,I178)-B_WalkTime,IF(I178&lt;H178,I178+1,I178))</f>
        <v>0</v>
      </c>
      <c r="K178" s="7"/>
      <c r="L178" s="7">
        <f>IF(K178&gt;0,K178+IF((J178-H178)&lt;Y178,Y178-(J178-H178),TIME(0,10,0))+IF((K178-J178)&gt;xNoWorkTime,0,xNoWorkTime-(K178-J178)),0)</f>
        <v>0</v>
      </c>
      <c r="M178" s="113">
        <f>IF(L178&lt;K178,L178+1,L178)</f>
        <v>0</v>
      </c>
      <c r="N178" s="113"/>
      <c r="O178" s="113">
        <f>IF(N178&gt;0,N178+IF((J178-H178+M178-K178)&lt;Y178,Y178-(J178-H178+M178-K178),TIME(0,10,0))+IF((K178-J178+N178-M178)&gt;xNoWorkTime,0,xNoWorkTime-(K178-J178+N178-M178)),0)</f>
        <v>0</v>
      </c>
      <c r="P178" s="113"/>
      <c r="Q178" s="113">
        <f>IF(O178&lt;N178,O178+1,O178)</f>
        <v>0</v>
      </c>
      <c r="R178" s="113">
        <f>J178-H178+M178-K178+Q178-N178</f>
        <v>0</v>
      </c>
      <c r="S178" s="113">
        <f>IF(K178&gt;0,K178-I178,0)+IF(N178&gt;0,N178-L178)</f>
        <v>0</v>
      </c>
      <c r="T178" s="113">
        <f>IF(H178&gt;0,(IF(R178&gt;B_Pause1Nach,B_Pause1Dauer+IF(BA178="Büro",B_WalkTime,0),IF(BA178="Büro",B_WalkTime,0))+IF(R178&gt;B_Pause2Nach,B_Pause2Dauer,0)),0)</f>
        <v>0</v>
      </c>
      <c r="U178" s="113">
        <f>IF(T178&gt;S178,T178-S178,0)</f>
        <v>0</v>
      </c>
      <c r="V178" s="146">
        <f>IF(F178="S",Z178,(IF((R178-U178)&gt;XWorkTimeMax,XWorkTimeMax,IF((R178-U178)&gt;0,R178-U178,0))))</f>
        <v>0</v>
      </c>
      <c r="W178" s="66"/>
      <c r="X178" s="115">
        <f>xNoWorkTime</f>
        <v>4.027777777777778E-2</v>
      </c>
      <c r="Y178" s="110">
        <f>IF(AND((AM178&lt;Feiertag),(G178&lt;&gt;85)),IF(OR(F178="B",F178="G",F178="S",H178&gt;0),H178-H178+Z178,0),0)</f>
        <v>0</v>
      </c>
      <c r="Z178" s="111">
        <f>IF(AND(AM178&gt;0,AM178&lt;Feiertag),INDEX(Arbeitszeit,AM178),"")</f>
        <v>0.29166666666666669</v>
      </c>
      <c r="AA178" s="112">
        <f>V178-Y178</f>
        <v>0</v>
      </c>
      <c r="AB178" s="67" t="str">
        <f>IF((V178-Y178)&lt;0,"*","")</f>
        <v/>
      </c>
      <c r="AC178" s="193">
        <f>xOverTime</f>
        <v>0</v>
      </c>
      <c r="AD178" s="144" t="str">
        <f>IF((R178-U178)&gt;XWorkTimeMax,(R178-U178-XWorkTimeMax),"")</f>
        <v/>
      </c>
      <c r="AE178" s="225">
        <f>IF(AW178,(AE177+SUM(AA178)+(IF(AG178="+",AF178,-AF178))),)</f>
        <v>0</v>
      </c>
      <c r="AF178" s="110"/>
      <c r="AG178" s="627"/>
      <c r="AH178" s="110"/>
      <c r="AI178" s="110" t="str">
        <f>IF(AND(AF178&lt;&gt;"",AF178&lt;=V178),V178-AF178,"")</f>
        <v/>
      </c>
      <c r="AJ178" s="68">
        <f>IF(ISNUMBER(V178 ), IF( V178 &gt;= Y178, Y178, V178 ),"")</f>
        <v>0</v>
      </c>
      <c r="AK178" s="68">
        <f>IF( ISNUMBER( V178 ), IF( V178 &gt;= Y178, V178 - Y178, "" ), "" )</f>
        <v>0</v>
      </c>
      <c r="AL178" s="68" t="str">
        <f>IF( AND(ISNUMBER( V178 ),ISNUMBER( Y178 )), IF( V178 &gt;= Y178, "", Y178 - V178 ), "" )</f>
        <v/>
      </c>
      <c r="AM178">
        <f>IF(A178="",0,IF(ISERROR(VLOOKUP(A178,db_Feiertag,2,FALSE)),WEEKDAY(A178,2),Feiertag))</f>
        <v>4</v>
      </c>
      <c r="AN178" s="122">
        <f>SUM($AD$6:AD178)</f>
        <v>0</v>
      </c>
      <c r="AO178" s="122">
        <f ca="1">IF(D178=D177,AO177,OFFSET(AO178,-1,COLUMN(db_jSaldoGes)-COLUMN()))</f>
        <v>0</v>
      </c>
      <c r="AP178" s="126">
        <f>IF(OR($G178=-1,$G178=82),-1,IF(OR($G178=0,$G178=83),1,0))</f>
        <v>0</v>
      </c>
      <c r="AQ178" s="126">
        <f>IF($F178=Krank,1,IF($F178="J",-1,0))</f>
        <v>0</v>
      </c>
      <c r="AR178" s="126">
        <f>IF($F178=Urlaub,1,IF($F178="T",-1,0))</f>
        <v>0</v>
      </c>
      <c r="AS178" s="125">
        <f>IF(A178="","",AS177-IF(F178=Urlaub,1,0)+IF(AND(MONTH(A178)=1,DAY(A178)=1),B_UrlaubNeu,0))</f>
        <v>30</v>
      </c>
      <c r="AT178" s="125">
        <f ca="1">IF(A178="","",IF(D178=D177,AT177,OFFSET(AT178,-1,COLUMN(db_jUrlRest)-COLUMN()))+IF(AND(MONTH(A178)=1,DAY(A178)=1),B_UrlaubNeu,0))</f>
        <v>30</v>
      </c>
      <c r="AU178" s="135">
        <f>(IF(ISNUMBER(V178),V178,0)+IF(ISNUMBER(AD178),AD178,0))*24</f>
        <v>0</v>
      </c>
      <c r="AV178" s="125">
        <f>IF(ISNUMBER(AD178),K_ArbeitOverMax,IF(AND(ISNUMBER(AA178),AA178&gt;0),K_ArbeitOverTime,IF(AND(ISNUMBER(V178),V178&gt;0),K_ArbeitNormal,IF(F178=Krank,K_Krank,IF(F178=Urlaub,K_Urlaub,IF(AM178=Feiertag,K_Feiertag,IF(OR(AM178=6,AM178=7),K_Wochenende,0)))))))+IF(F178=Gleittag,K_Gleittag,0)</f>
        <v>0</v>
      </c>
      <c r="AW178" t="b">
        <f>OR((F178&gt;0),(NOT(ISBLANK(H178))),SUM(H178:H$373),SUM(G178:G$373))</f>
        <v>0</v>
      </c>
      <c r="AX178" t="b">
        <f ca="1">INDIRECT(ADDRESS(ROW(),COLUMN(xDay)))&gt;5</f>
        <v>0</v>
      </c>
      <c r="AY178" s="600">
        <f>IF(OR(R178&lt;&gt;0,F178&lt;&gt;0),AA178,IF(Z178="",0,-Z178))+(IF(AG178="+",AF178,-AF178))</f>
        <v>-0.29166666666666669</v>
      </c>
      <c r="AZ178" s="225">
        <f>SUM(AY$5:AY178)</f>
        <v>-34.125000000000036</v>
      </c>
      <c r="BA178" s="658"/>
      <c r="BB178" s="658">
        <f>IF(ISNA(MATCH(BA178,B_Arbeitsort,0)),0,MATCH(BA178,B_Arbeitsort,0))</f>
        <v>0</v>
      </c>
      <c r="BC178" s="658"/>
    </row>
    <row r="179" spans="1:55" ht="15.75">
      <c r="A179" s="305">
        <f>IF(A178="","",IF((A178+1)&gt;=DATE(YEAR(xJahr)+1,MONTH(xJahr),DAY(xJahr)),"",A178+1))</f>
        <v>43638</v>
      </c>
      <c r="B179" s="306">
        <f>IF(A179="","",A179)</f>
        <v>43638</v>
      </c>
      <c r="C179" s="307">
        <f>IF(A179="","",NumberOfWeek(A179))</f>
        <v>25</v>
      </c>
      <c r="D179" s="308">
        <f>IF(A179="","",DATE(YEAR(A179),MONTH(A179),1))</f>
        <v>43616</v>
      </c>
      <c r="E179" s="318" t="str">
        <f>IF((R179-U179)&gt;XWorkTimeMax,$Z$4,IF(AV179=Feiertag,VLOOKUP(B179,db_Feiertag,2,FALSE),""))</f>
        <v/>
      </c>
      <c r="F179" s="5"/>
      <c r="G179" s="6" t="str">
        <f>IF(ISBLANK(F179),IF(ISBLANK(H179),"",0),CODE(UPPER(F179)))</f>
        <v/>
      </c>
      <c r="H179" s="7"/>
      <c r="I179" s="7">
        <f>IF(H179&gt;0,H179+Y179+X179+AC179,0)</f>
        <v>0</v>
      </c>
      <c r="J179" s="113">
        <f>IF(K179&gt;I179,IF(I179&lt;H179,I179+1,I179)-B_WalkTime,IF(I179&lt;H179,I179+1,I179))</f>
        <v>0</v>
      </c>
      <c r="K179" s="7"/>
      <c r="L179" s="7">
        <f>IF(K179&gt;0,K179+IF((J179-H179)&lt;Y179,Y179-(J179-H179),TIME(0,10,0))+IF((K179-J179)&gt;xNoWorkTime,0,xNoWorkTime-(K179-J179)),0)</f>
        <v>0</v>
      </c>
      <c r="M179" s="113">
        <f>IF(L179&lt;K179,L179+1,L179)</f>
        <v>0</v>
      </c>
      <c r="N179" s="113"/>
      <c r="O179" s="113">
        <f>IF(N179&gt;0,N179+IF((J179-H179+M179-K179)&lt;Y179,Y179-(J179-H179+M179-K179),TIME(0,10,0))+IF((K179-J179+N179-M179)&gt;xNoWorkTime,0,xNoWorkTime-(K179-J179+N179-M179)),0)</f>
        <v>0</v>
      </c>
      <c r="P179" s="113"/>
      <c r="Q179" s="113">
        <f>IF(O179&lt;N179,O179+1,O179)</f>
        <v>0</v>
      </c>
      <c r="R179" s="113">
        <f>J179-H179+M179-K179+Q179-N179</f>
        <v>0</v>
      </c>
      <c r="S179" s="113">
        <f>IF(K179&gt;0,K179-I179,0)+IF(N179&gt;0,N179-L179)</f>
        <v>0</v>
      </c>
      <c r="T179" s="113">
        <f>IF(H179&gt;0,(IF(R179&gt;B_Pause1Nach,B_Pause1Dauer+IF(BA179="Büro",B_WalkTime,0),IF(BA179="Büro",B_WalkTime,0))+IF(R179&gt;B_Pause2Nach,B_Pause2Dauer,0)),0)</f>
        <v>0</v>
      </c>
      <c r="U179" s="113">
        <f>IF(T179&gt;S179,T179-S179,0)</f>
        <v>0</v>
      </c>
      <c r="V179" s="146">
        <f>IF(F179="S",Z179,(IF((R179-U179)&gt;XWorkTimeMax,XWorkTimeMax,IF((R179-U179)&gt;0,R179-U179,0))))</f>
        <v>0</v>
      </c>
      <c r="W179" s="66"/>
      <c r="X179" s="115">
        <f>xNoWorkTime</f>
        <v>4.027777777777778E-2</v>
      </c>
      <c r="Y179" s="110">
        <f>IF(AND((AM179&lt;Feiertag),(G179&lt;&gt;85)),IF(OR(F179="B",F179="G",F179="S",H179&gt;0),H179-H179+Z179,0),0)</f>
        <v>0</v>
      </c>
      <c r="Z179" s="111">
        <f>IF(AND(AM179&gt;0,AM179&lt;Feiertag),INDEX(Arbeitszeit,AM179),"")</f>
        <v>0.29166666666666669</v>
      </c>
      <c r="AA179" s="112">
        <f>V179-Y179</f>
        <v>0</v>
      </c>
      <c r="AB179" s="67" t="str">
        <f>IF((V179-Y179)&lt;0,"*","")</f>
        <v/>
      </c>
      <c r="AC179" s="193">
        <f>xOverTime</f>
        <v>0</v>
      </c>
      <c r="AD179" s="144" t="str">
        <f>IF((R179-U179)&gt;XWorkTimeMax,(R179-U179-XWorkTimeMax),"")</f>
        <v/>
      </c>
      <c r="AE179" s="225">
        <f>IF(AW179,(AE178+SUM(AA179)+(IF(AG179="+",AF179,-AF179))),)</f>
        <v>0</v>
      </c>
      <c r="AF179" s="110"/>
      <c r="AG179" s="627"/>
      <c r="AH179" s="110"/>
      <c r="AI179" s="110" t="str">
        <f>IF(AND(AF179&lt;&gt;"",AF179&lt;=V179),V179-AF179,"")</f>
        <v/>
      </c>
      <c r="AJ179" s="68">
        <f>IF(ISNUMBER(V179 ), IF( V179 &gt;= Y179, Y179, V179 ),"")</f>
        <v>0</v>
      </c>
      <c r="AK179" s="68">
        <f>IF( ISNUMBER( V179 ), IF( V179 &gt;= Y179, V179 - Y179, "" ), "" )</f>
        <v>0</v>
      </c>
      <c r="AL179" s="68" t="str">
        <f>IF( AND(ISNUMBER( V179 ),ISNUMBER( Y179 )), IF( V179 &gt;= Y179, "", Y179 - V179 ), "" )</f>
        <v/>
      </c>
      <c r="AM179">
        <f>IF(A179="",0,IF(ISERROR(VLOOKUP(A179,db_Feiertag,2,FALSE)),WEEKDAY(A179,2),Feiertag))</f>
        <v>5</v>
      </c>
      <c r="AN179" s="122">
        <f>SUM($AD$6:AD179)</f>
        <v>0</v>
      </c>
      <c r="AO179" s="122">
        <f ca="1">IF(D179=D178,AO178,OFFSET(AO179,-1,COLUMN(db_jSaldoGes)-COLUMN()))</f>
        <v>0</v>
      </c>
      <c r="AP179" s="126">
        <f>IF(OR($G179=-1,$G179=82),-1,IF(OR($G179=0,$G179=83),1,0))</f>
        <v>0</v>
      </c>
      <c r="AQ179" s="126">
        <f>IF($F179=Krank,1,IF($F179="J",-1,0))</f>
        <v>0</v>
      </c>
      <c r="AR179" s="126">
        <f>IF($F179=Urlaub,1,IF($F179="T",-1,0))</f>
        <v>0</v>
      </c>
      <c r="AS179" s="125">
        <f>IF(A179="","",AS178-IF(F179=Urlaub,1,0)+IF(AND(MONTH(A179)=1,DAY(A179)=1),B_UrlaubNeu,0))</f>
        <v>30</v>
      </c>
      <c r="AT179" s="125">
        <f ca="1">IF(A179="","",IF(D179=D178,AT178,OFFSET(AT179,-1,COLUMN(db_jUrlRest)-COLUMN()))+IF(AND(MONTH(A179)=1,DAY(A179)=1),B_UrlaubNeu,0))</f>
        <v>30</v>
      </c>
      <c r="AU179" s="135">
        <f>(IF(ISNUMBER(V179),V179,0)+IF(ISNUMBER(AD179),AD179,0))*24</f>
        <v>0</v>
      </c>
      <c r="AV179" s="125">
        <f>IF(ISNUMBER(AD179),K_ArbeitOverMax,IF(AND(ISNUMBER(AA179),AA179&gt;0),K_ArbeitOverTime,IF(AND(ISNUMBER(V179),V179&gt;0),K_ArbeitNormal,IF(F179=Krank,K_Krank,IF(F179=Urlaub,K_Urlaub,IF(AM179=Feiertag,K_Feiertag,IF(OR(AM179=6,AM179=7),K_Wochenende,0)))))))+IF(F179=Gleittag,K_Gleittag,0)</f>
        <v>0</v>
      </c>
      <c r="AW179" t="b">
        <f>OR((F179&gt;0),(NOT(ISBLANK(H179))),SUM(H179:H$373),SUM(G179:G$373))</f>
        <v>0</v>
      </c>
      <c r="AX179" t="b">
        <f ca="1">INDIRECT(ADDRESS(ROW(),COLUMN(xDay)))&gt;5</f>
        <v>0</v>
      </c>
      <c r="AY179" s="600">
        <f>IF(OR(R179&lt;&gt;0,F179&lt;&gt;0),AA179,IF(Z179="",0,-Z179))+(IF(AG179="+",AF179,-AF179))</f>
        <v>-0.29166666666666669</v>
      </c>
      <c r="AZ179" s="225">
        <f>SUM(AY$5:AY179)</f>
        <v>-34.4166666666667</v>
      </c>
      <c r="BA179" s="658"/>
      <c r="BB179" s="658">
        <f>IF(ISNA(MATCH(BA179,B_Arbeitsort,0)),0,MATCH(BA179,B_Arbeitsort,0))</f>
        <v>0</v>
      </c>
      <c r="BC179" s="658"/>
    </row>
    <row r="180" spans="1:55" ht="15.75">
      <c r="A180" s="305">
        <f>IF(A179="","",IF((A179+1)&gt;=DATE(YEAR(xJahr)+1,MONTH(xJahr),DAY(xJahr)),"",A179+1))</f>
        <v>43639</v>
      </c>
      <c r="B180" s="306">
        <f>IF(A180="","",A180)</f>
        <v>43639</v>
      </c>
      <c r="C180" s="307">
        <f>IF(A180="","",NumberOfWeek(A180))</f>
        <v>25</v>
      </c>
      <c r="D180" s="308">
        <f>IF(A180="","",DATE(YEAR(A180),MONTH(A180),1))</f>
        <v>43616</v>
      </c>
      <c r="E180" s="318" t="str">
        <f>IF((R180-U180)&gt;XWorkTimeMax,$Z$4,IF(AV180=Feiertag,VLOOKUP(B180,db_Feiertag,2,FALSE),""))</f>
        <v/>
      </c>
      <c r="F180" s="5"/>
      <c r="G180" s="6" t="str">
        <f>IF(ISBLANK(F180),IF(ISBLANK(H180),"",0),CODE(UPPER(F180)))</f>
        <v/>
      </c>
      <c r="H180" s="7"/>
      <c r="I180" s="7">
        <f>IF(H180&gt;0,H180+Y180+X180+AC180,0)</f>
        <v>0</v>
      </c>
      <c r="J180" s="113">
        <f>IF(K180&gt;I180,IF(I180&lt;H180,I180+1,I180)-B_WalkTime,IF(I180&lt;H180,I180+1,I180))</f>
        <v>0</v>
      </c>
      <c r="K180" s="7"/>
      <c r="L180" s="7">
        <f>IF(K180&gt;0,K180+IF((J180-H180)&lt;Y180,Y180-(J180-H180),TIME(0,10,0))+IF((K180-J180)&gt;xNoWorkTime,0,xNoWorkTime-(K180-J180)),0)</f>
        <v>0</v>
      </c>
      <c r="M180" s="113">
        <f>IF(L180&lt;K180,L180+1,L180)</f>
        <v>0</v>
      </c>
      <c r="N180" s="113"/>
      <c r="O180" s="113">
        <f>IF(N180&gt;0,N180+IF((J180-H180+M180-K180)&lt;Y180,Y180-(J180-H180+M180-K180),TIME(0,10,0))+IF((K180-J180+N180-M180)&gt;xNoWorkTime,0,xNoWorkTime-(K180-J180+N180-M180)),0)</f>
        <v>0</v>
      </c>
      <c r="P180" s="113"/>
      <c r="Q180" s="113">
        <f>IF(O180&lt;N180,O180+1,O180)</f>
        <v>0</v>
      </c>
      <c r="R180" s="113">
        <f>J180-H180+M180-K180+Q180-N180</f>
        <v>0</v>
      </c>
      <c r="S180" s="113">
        <f>IF(K180&gt;0,K180-I180,0)+IF(N180&gt;0,N180-L180)</f>
        <v>0</v>
      </c>
      <c r="T180" s="113">
        <f>IF(H180&gt;0,(IF(R180&gt;B_Pause1Nach,B_Pause1Dauer+IF(BA180="Büro",B_WalkTime,0),IF(BA180="Büro",B_WalkTime,0))+IF(R180&gt;B_Pause2Nach,B_Pause2Dauer,0)),0)</f>
        <v>0</v>
      </c>
      <c r="U180" s="113">
        <f>IF(T180&gt;S180,T180-S180,0)</f>
        <v>0</v>
      </c>
      <c r="V180" s="146">
        <f>IF(F180="S",Z180,(IF((R180-U180)&gt;XWorkTimeMax,XWorkTimeMax,IF((R180-U180)&gt;0,R180-U180,0))))</f>
        <v>0</v>
      </c>
      <c r="W180" s="66"/>
      <c r="X180" s="115">
        <f>xNoWorkTime</f>
        <v>4.027777777777778E-2</v>
      </c>
      <c r="Y180" s="110">
        <f>IF(AND((AM180&lt;Feiertag),(G180&lt;&gt;85)),IF(OR(F180="B",F180="G",F180="S",H180&gt;0),H180-H180+Z180,0),0)</f>
        <v>0</v>
      </c>
      <c r="Z180" s="111">
        <f>IF(AND(AM180&gt;0,AM180&lt;Feiertag),INDEX(Arbeitszeit,AM180),"")</f>
        <v>0</v>
      </c>
      <c r="AA180" s="112">
        <f>V180-Y180</f>
        <v>0</v>
      </c>
      <c r="AB180" s="67" t="str">
        <f>IF((V180-Y180)&lt;0,"*","")</f>
        <v/>
      </c>
      <c r="AC180" s="193">
        <f>xOverTime</f>
        <v>0</v>
      </c>
      <c r="AD180" s="144" t="str">
        <f>IF((R180-U180)&gt;XWorkTimeMax,(R180-U180-XWorkTimeMax),"")</f>
        <v/>
      </c>
      <c r="AE180" s="225">
        <f>IF(AW180,(AE179+SUM(AA180)+(IF(AG180="+",AF180,-AF180))),)</f>
        <v>0</v>
      </c>
      <c r="AF180" s="110"/>
      <c r="AG180" s="627"/>
      <c r="AH180" s="110"/>
      <c r="AI180" s="110" t="str">
        <f>IF(AND(AF180&lt;&gt;"",AF180&lt;=V180),V180-AF180,"")</f>
        <v/>
      </c>
      <c r="AJ180" s="68">
        <f>IF(ISNUMBER(V180 ), IF( V180 &gt;= Y180, Y180, V180 ),"")</f>
        <v>0</v>
      </c>
      <c r="AK180" s="68">
        <f>IF( ISNUMBER( V180 ), IF( V180 &gt;= Y180, V180 - Y180, "" ), "" )</f>
        <v>0</v>
      </c>
      <c r="AL180" s="68" t="str">
        <f>IF( AND(ISNUMBER( V180 ),ISNUMBER( Y180 )), IF( V180 &gt;= Y180, "", Y180 - V180 ), "" )</f>
        <v/>
      </c>
      <c r="AM180">
        <f>IF(A180="",0,IF(ISERROR(VLOOKUP(A180,db_Feiertag,2,FALSE)),WEEKDAY(A180,2),Feiertag))</f>
        <v>6</v>
      </c>
      <c r="AN180" s="122">
        <f>SUM($AD$6:AD180)</f>
        <v>0</v>
      </c>
      <c r="AO180" s="122">
        <f ca="1">IF(D180=D179,AO179,OFFSET(AO180,-1,COLUMN(db_jSaldoGes)-COLUMN()))</f>
        <v>0</v>
      </c>
      <c r="AP180" s="126">
        <f>IF(OR($G180=-1,$G180=82),-1,IF(OR($G180=0,$G180=83),1,0))</f>
        <v>0</v>
      </c>
      <c r="AQ180" s="126">
        <f>IF($F180=Krank,1,IF($F180="J",-1,0))</f>
        <v>0</v>
      </c>
      <c r="AR180" s="126">
        <f>IF($F180=Urlaub,1,IF($F180="T",-1,0))</f>
        <v>0</v>
      </c>
      <c r="AS180" s="125">
        <f>IF(A180="","",AS179-IF(F180=Urlaub,1,0)+IF(AND(MONTH(A180)=1,DAY(A180)=1),B_UrlaubNeu,0))</f>
        <v>30</v>
      </c>
      <c r="AT180" s="125">
        <f ca="1">IF(A180="","",IF(D180=D179,AT179,OFFSET(AT180,-1,COLUMN(db_jUrlRest)-COLUMN()))+IF(AND(MONTH(A180)=1,DAY(A180)=1),B_UrlaubNeu,0))</f>
        <v>30</v>
      </c>
      <c r="AU180" s="135">
        <f>(IF(ISNUMBER(V180),V180,0)+IF(ISNUMBER(AD180),AD180,0))*24</f>
        <v>0</v>
      </c>
      <c r="AV180" s="125">
        <f>IF(ISNUMBER(AD180),K_ArbeitOverMax,IF(AND(ISNUMBER(AA180),AA180&gt;0),K_ArbeitOverTime,IF(AND(ISNUMBER(V180),V180&gt;0),K_ArbeitNormal,IF(F180=Krank,K_Krank,IF(F180=Urlaub,K_Urlaub,IF(AM180=Feiertag,K_Feiertag,IF(OR(AM180=6,AM180=7),K_Wochenende,0)))))))+IF(F180=Gleittag,K_Gleittag,0)</f>
        <v>7</v>
      </c>
      <c r="AW180" t="b">
        <f>OR((F180&gt;0),(NOT(ISBLANK(H180))),SUM(H180:H$373),SUM(G180:G$373))</f>
        <v>0</v>
      </c>
      <c r="AX180" t="b">
        <f ca="1">INDIRECT(ADDRESS(ROW(),COLUMN(xDay)))&gt;5</f>
        <v>1</v>
      </c>
      <c r="AY180" s="600">
        <f>IF(OR(R180&lt;&gt;0,F180&lt;&gt;0),AA180,IF(Z180="",0,-Z180))+(IF(AG180="+",AF180,-AF180))</f>
        <v>0</v>
      </c>
      <c r="AZ180" s="225">
        <f>SUM(AY$5:AY180)</f>
        <v>-34.4166666666667</v>
      </c>
      <c r="BA180" s="643"/>
      <c r="BB180" s="658">
        <f>IF(ISNA(MATCH(BA180,B_Arbeitsort,0)),0,MATCH(BA180,B_Arbeitsort,0))</f>
        <v>0</v>
      </c>
      <c r="BC180" s="643"/>
    </row>
    <row r="181" spans="1:55" ht="15.75">
      <c r="A181" s="305">
        <f>IF(A180="","",IF((A180+1)&gt;=DATE(YEAR(xJahr)+1,MONTH(xJahr),DAY(xJahr)),"",A180+1))</f>
        <v>43640</v>
      </c>
      <c r="B181" s="306">
        <f>IF(A181="","",A181)</f>
        <v>43640</v>
      </c>
      <c r="C181" s="307">
        <f>IF(A181="","",NumberOfWeek(A181))</f>
        <v>25</v>
      </c>
      <c r="D181" s="308">
        <f>IF(A181="","",DATE(YEAR(A181),MONTH(A181),1))</f>
        <v>43616</v>
      </c>
      <c r="E181" s="318" t="str">
        <f>IF((R181-U181)&gt;XWorkTimeMax,$Z$4,IF(AV181=Feiertag,VLOOKUP(B181,db_Feiertag,2,FALSE),""))</f>
        <v/>
      </c>
      <c r="F181" s="5"/>
      <c r="G181" s="6" t="str">
        <f>IF(ISBLANK(F181),IF(ISBLANK(H181),"",0),CODE(UPPER(F181)))</f>
        <v/>
      </c>
      <c r="H181" s="7"/>
      <c r="I181" s="7">
        <f>IF(H181&gt;0,H181+Y181+X181+AC181,0)</f>
        <v>0</v>
      </c>
      <c r="J181" s="113">
        <f>IF(K181&gt;I181,IF(I181&lt;H181,I181+1,I181)-B_WalkTime,IF(I181&lt;H181,I181+1,I181))</f>
        <v>0</v>
      </c>
      <c r="K181" s="7"/>
      <c r="L181" s="7">
        <f>IF(K181&gt;0,K181+IF((J181-H181)&lt;Y181,Y181-(J181-H181),TIME(0,10,0))+IF((K181-J181)&gt;xNoWorkTime,0,xNoWorkTime-(K181-J181)),0)</f>
        <v>0</v>
      </c>
      <c r="M181" s="113">
        <f>IF(L181&lt;K181,L181+1,L181)</f>
        <v>0</v>
      </c>
      <c r="N181" s="113"/>
      <c r="O181" s="113">
        <f>IF(N181&gt;0,N181+IF((J181-H181+M181-K181)&lt;Y181,Y181-(J181-H181+M181-K181),TIME(0,10,0))+IF((K181-J181+N181-M181)&gt;xNoWorkTime,0,xNoWorkTime-(K181-J181+N181-M181)),0)</f>
        <v>0</v>
      </c>
      <c r="P181" s="113"/>
      <c r="Q181" s="113">
        <f>IF(O181&lt;N181,O181+1,O181)</f>
        <v>0</v>
      </c>
      <c r="R181" s="113">
        <f>J181-H181+M181-K181+Q181-N181</f>
        <v>0</v>
      </c>
      <c r="S181" s="113">
        <f>IF(K181&gt;0,K181-I181,0)+IF(N181&gt;0,N181-L181)</f>
        <v>0</v>
      </c>
      <c r="T181" s="113">
        <f>IF(H181&gt;0,(IF(R181&gt;B_Pause1Nach,B_Pause1Dauer+IF(BA181="Büro",B_WalkTime,0),IF(BA181="Büro",B_WalkTime,0))+IF(R181&gt;B_Pause2Nach,B_Pause2Dauer,0)),0)</f>
        <v>0</v>
      </c>
      <c r="U181" s="113">
        <f>IF(T181&gt;S181,T181-S181,0)</f>
        <v>0</v>
      </c>
      <c r="V181" s="146">
        <f>IF(F181="S",Z181,(IF((R181-U181)&gt;XWorkTimeMax,XWorkTimeMax,IF((R181-U181)&gt;0,R181-U181,0))))</f>
        <v>0</v>
      </c>
      <c r="W181" s="66"/>
      <c r="X181" s="115">
        <f>xNoWorkTime</f>
        <v>4.027777777777778E-2</v>
      </c>
      <c r="Y181" s="110">
        <f>IF(AND((AM181&lt;Feiertag),(G181&lt;&gt;85)),IF(OR(F181="B",F181="G",F181="S",H181&gt;0),H181-H181+Z181,0),0)</f>
        <v>0</v>
      </c>
      <c r="Z181" s="111">
        <f>IF(AND(AM181&gt;0,AM181&lt;Feiertag),INDEX(Arbeitszeit,AM181),"")</f>
        <v>0</v>
      </c>
      <c r="AA181" s="112">
        <f>V181-Y181</f>
        <v>0</v>
      </c>
      <c r="AB181" s="67" t="str">
        <f>IF((V181-Y181)&lt;0,"*","")</f>
        <v/>
      </c>
      <c r="AC181" s="193">
        <f>xOverTime</f>
        <v>0</v>
      </c>
      <c r="AD181" s="144" t="str">
        <f>IF((R181-U181)&gt;XWorkTimeMax,(R181-U181-XWorkTimeMax),"")</f>
        <v/>
      </c>
      <c r="AE181" s="225">
        <f>IF(AW181,(AE180+SUM(AA181)+(IF(AG181="+",AF181,-AF181))),)</f>
        <v>0</v>
      </c>
      <c r="AF181" s="110"/>
      <c r="AG181" s="627"/>
      <c r="AH181" s="110"/>
      <c r="AI181" s="110" t="str">
        <f>IF(AND(AF181&lt;&gt;"",AF181&lt;=V181),V181-AF181,"")</f>
        <v/>
      </c>
      <c r="AJ181" s="68">
        <f>IF(ISNUMBER(V181 ), IF( V181 &gt;= Y181, Y181, V181 ),"")</f>
        <v>0</v>
      </c>
      <c r="AK181" s="68">
        <f>IF( ISNUMBER( V181 ), IF( V181 &gt;= Y181, V181 - Y181, "" ), "" )</f>
        <v>0</v>
      </c>
      <c r="AL181" s="68" t="str">
        <f>IF( AND(ISNUMBER( V181 ),ISNUMBER( Y181 )), IF( V181 &gt;= Y181, "", Y181 - V181 ), "" )</f>
        <v/>
      </c>
      <c r="AM181">
        <f>IF(A181="",0,IF(ISERROR(VLOOKUP(A181,db_Feiertag,2,FALSE)),WEEKDAY(A181,2),Feiertag))</f>
        <v>7</v>
      </c>
      <c r="AN181" s="122">
        <f>SUM($AD$6:AD181)</f>
        <v>0</v>
      </c>
      <c r="AO181" s="122">
        <f ca="1">IF(D181=D180,AO180,OFFSET(AO181,-1,COLUMN(db_jSaldoGes)-COLUMN()))</f>
        <v>0</v>
      </c>
      <c r="AP181" s="126">
        <f>IF(OR($G181=-1,$G181=82),-1,IF(OR($G181=0,$G181=83),1,0))</f>
        <v>0</v>
      </c>
      <c r="AQ181" s="126">
        <f>IF($F181=Krank,1,IF($F181="J",-1,0))</f>
        <v>0</v>
      </c>
      <c r="AR181" s="126">
        <f>IF($F181=Urlaub,1,IF($F181="T",-1,0))</f>
        <v>0</v>
      </c>
      <c r="AS181" s="125">
        <f>IF(A181="","",AS180-IF(F181=Urlaub,1,0)+IF(AND(MONTH(A181)=1,DAY(A181)=1),B_UrlaubNeu,0))</f>
        <v>30</v>
      </c>
      <c r="AT181" s="125">
        <f ca="1">IF(A181="","",IF(D181=D180,AT180,OFFSET(AT181,-1,COLUMN(db_jUrlRest)-COLUMN()))+IF(AND(MONTH(A181)=1,DAY(A181)=1),B_UrlaubNeu,0))</f>
        <v>30</v>
      </c>
      <c r="AU181" s="135">
        <f>(IF(ISNUMBER(V181),V181,0)+IF(ISNUMBER(AD181),AD181,0))*24</f>
        <v>0</v>
      </c>
      <c r="AV181" s="125">
        <f>IF(ISNUMBER(AD181),K_ArbeitOverMax,IF(AND(ISNUMBER(AA181),AA181&gt;0),K_ArbeitOverTime,IF(AND(ISNUMBER(V181),V181&gt;0),K_ArbeitNormal,IF(F181=Krank,K_Krank,IF(F181=Urlaub,K_Urlaub,IF(AM181=Feiertag,K_Feiertag,IF(OR(AM181=6,AM181=7),K_Wochenende,0)))))))+IF(F181=Gleittag,K_Gleittag,0)</f>
        <v>7</v>
      </c>
      <c r="AW181" t="b">
        <f>OR((F181&gt;0),(NOT(ISBLANK(H181))),SUM(H181:H$373),SUM(G181:G$373))</f>
        <v>0</v>
      </c>
      <c r="AX181" t="b">
        <f ca="1">INDIRECT(ADDRESS(ROW(),COLUMN(xDay)))&gt;5</f>
        <v>1</v>
      </c>
      <c r="AY181" s="600">
        <f>IF(OR(R181&lt;&gt;0,F181&lt;&gt;0),AA181,IF(Z181="",0,-Z181))+(IF(AG181="+",AF181,-AF181))</f>
        <v>0</v>
      </c>
      <c r="AZ181" s="225">
        <f>SUM(AY$5:AY181)</f>
        <v>-34.4166666666667</v>
      </c>
      <c r="BA181" s="643"/>
      <c r="BB181" s="658">
        <f>IF(ISNA(MATCH(BA181,B_Arbeitsort,0)),0,MATCH(BA181,B_Arbeitsort,0))</f>
        <v>0</v>
      </c>
      <c r="BC181" s="643"/>
    </row>
    <row r="182" spans="1:55" ht="15.75">
      <c r="A182" s="305">
        <f>IF(A181="","",IF((A181+1)&gt;=DATE(YEAR(xJahr)+1,MONTH(xJahr),DAY(xJahr)),"",A181+1))</f>
        <v>43641</v>
      </c>
      <c r="B182" s="306">
        <f>IF(A182="","",A182)</f>
        <v>43641</v>
      </c>
      <c r="C182" s="307">
        <f>IF(A182="","",NumberOfWeek(A182))</f>
        <v>26</v>
      </c>
      <c r="D182" s="308">
        <f>IF(A182="","",DATE(YEAR(A182),MONTH(A182),1))</f>
        <v>43616</v>
      </c>
      <c r="E182" s="318" t="str">
        <f>IF((R182-U182)&gt;XWorkTimeMax,$Z$4,IF(AV182=Feiertag,VLOOKUP(B182,db_Feiertag,2,FALSE),""))</f>
        <v/>
      </c>
      <c r="F182" s="5"/>
      <c r="G182" s="6" t="str">
        <f>IF(ISBLANK(F182),IF(ISBLANK(H182),"",0),CODE(UPPER(F182)))</f>
        <v/>
      </c>
      <c r="H182" s="7"/>
      <c r="I182" s="7">
        <f>IF(H182&gt;0,H182+Y182+X182+AC182,0)</f>
        <v>0</v>
      </c>
      <c r="J182" s="113">
        <f>IF(K182&gt;I182,IF(I182&lt;H182,I182+1,I182)-B_WalkTime,IF(I182&lt;H182,I182+1,I182))</f>
        <v>0</v>
      </c>
      <c r="K182" s="7"/>
      <c r="L182" s="7">
        <f>IF(K182&gt;0,K182+IF((J182-H182)&lt;Y182,Y182-(J182-H182),TIME(0,10,0))+IF((K182-J182)&gt;xNoWorkTime,0,xNoWorkTime-(K182-J182)),0)</f>
        <v>0</v>
      </c>
      <c r="M182" s="113">
        <f>IF(L182&lt;K182,L182+1,L182)</f>
        <v>0</v>
      </c>
      <c r="N182" s="113"/>
      <c r="O182" s="113">
        <f>IF(N182&gt;0,N182+IF((J182-H182+M182-K182)&lt;Y182,Y182-(J182-H182+M182-K182),TIME(0,10,0))+IF((K182-J182+N182-M182)&gt;xNoWorkTime,0,xNoWorkTime-(K182-J182+N182-M182)),0)</f>
        <v>0</v>
      </c>
      <c r="P182" s="113"/>
      <c r="Q182" s="113">
        <f>IF(O182&lt;N182,O182+1,O182)</f>
        <v>0</v>
      </c>
      <c r="R182" s="113">
        <f>J182-H182+M182-K182+Q182-N182</f>
        <v>0</v>
      </c>
      <c r="S182" s="113">
        <f>IF(K182&gt;0,K182-I182,0)+IF(N182&gt;0,N182-L182)</f>
        <v>0</v>
      </c>
      <c r="T182" s="113">
        <f>IF(H182&gt;0,(IF(R182&gt;B_Pause1Nach,B_Pause1Dauer+IF(BA182="Büro",B_WalkTime,0),IF(BA182="Büro",B_WalkTime,0))+IF(R182&gt;B_Pause2Nach,B_Pause2Dauer,0)),0)</f>
        <v>0</v>
      </c>
      <c r="U182" s="113">
        <f>IF(T182&gt;S182,T182-S182,0)</f>
        <v>0</v>
      </c>
      <c r="V182" s="146">
        <f>IF(F182="S",Z182,(IF((R182-U182)&gt;XWorkTimeMax,XWorkTimeMax,IF((R182-U182)&gt;0,R182-U182,0))))</f>
        <v>0</v>
      </c>
      <c r="W182" s="66"/>
      <c r="X182" s="115">
        <f>xNoWorkTime</f>
        <v>4.027777777777778E-2</v>
      </c>
      <c r="Y182" s="110">
        <f>IF(AND((AM182&lt;Feiertag),(G182&lt;&gt;85)),IF(OR(F182="B",F182="G",F182="S",H182&gt;0),H182-H182+Z182,0),0)</f>
        <v>0</v>
      </c>
      <c r="Z182" s="111">
        <f>IF(AND(AM182&gt;0,AM182&lt;Feiertag),INDEX(Arbeitszeit,AM182),"")</f>
        <v>0.29166666666666669</v>
      </c>
      <c r="AA182" s="112">
        <f>V182-Y182</f>
        <v>0</v>
      </c>
      <c r="AB182" s="67" t="str">
        <f>IF((V182-Y182)&lt;0,"*","")</f>
        <v/>
      </c>
      <c r="AC182" s="193">
        <f>xOverTime</f>
        <v>0</v>
      </c>
      <c r="AD182" s="144" t="str">
        <f>IF((R182-U182)&gt;XWorkTimeMax,(R182-U182-XWorkTimeMax),"")</f>
        <v/>
      </c>
      <c r="AE182" s="225">
        <f>IF(AW182,(AE181+SUM(AA182)+(IF(AG182="+",AF182,-AF182))),)</f>
        <v>0</v>
      </c>
      <c r="AF182" s="110"/>
      <c r="AG182" s="627"/>
      <c r="AH182" s="110"/>
      <c r="AI182" s="110" t="str">
        <f>IF(AND(AF182&lt;&gt;"",AF182&lt;=V182),V182-AF182,"")</f>
        <v/>
      </c>
      <c r="AJ182" s="68">
        <f>IF(ISNUMBER(V182 ), IF( V182 &gt;= Y182, Y182, V182 ),"")</f>
        <v>0</v>
      </c>
      <c r="AK182" s="68">
        <f>IF( ISNUMBER( V182 ), IF( V182 &gt;= Y182, V182 - Y182, "" ), "" )</f>
        <v>0</v>
      </c>
      <c r="AL182" s="68" t="str">
        <f>IF( AND(ISNUMBER( V182 ),ISNUMBER( Y182 )), IF( V182 &gt;= Y182, "", Y182 - V182 ), "" )</f>
        <v/>
      </c>
      <c r="AM182">
        <f>IF(A182="",0,IF(ISERROR(VLOOKUP(A182,db_Feiertag,2,FALSE)),WEEKDAY(A182,2),Feiertag))</f>
        <v>1</v>
      </c>
      <c r="AN182" s="122">
        <f>SUM($AD$6:AD182)</f>
        <v>0</v>
      </c>
      <c r="AO182" s="122">
        <f ca="1">IF(D182=D181,AO181,OFFSET(AO182,-1,COLUMN(db_jSaldoGes)-COLUMN()))</f>
        <v>0</v>
      </c>
      <c r="AP182" s="126">
        <f>IF(OR($G182=-1,$G182=82),-1,IF(OR($G182=0,$G182=83),1,0))</f>
        <v>0</v>
      </c>
      <c r="AQ182" s="126">
        <f>IF($F182=Krank,1,IF($F182="J",-1,0))</f>
        <v>0</v>
      </c>
      <c r="AR182" s="126">
        <f>IF($F182=Urlaub,1,IF($F182="T",-1,0))</f>
        <v>0</v>
      </c>
      <c r="AS182" s="125">
        <f>IF(A182="","",AS181-IF(F182=Urlaub,1,0)+IF(AND(MONTH(A182)=1,DAY(A182)=1),B_UrlaubNeu,0))</f>
        <v>30</v>
      </c>
      <c r="AT182" s="125">
        <f ca="1">IF(A182="","",IF(D182=D181,AT181,OFFSET(AT182,-1,COLUMN(db_jUrlRest)-COLUMN()))+IF(AND(MONTH(A182)=1,DAY(A182)=1),B_UrlaubNeu,0))</f>
        <v>30</v>
      </c>
      <c r="AU182" s="135">
        <f>(IF(ISNUMBER(V182),V182,0)+IF(ISNUMBER(AD182),AD182,0))*24</f>
        <v>0</v>
      </c>
      <c r="AV182" s="125">
        <f>IF(ISNUMBER(AD182),K_ArbeitOverMax,IF(AND(ISNUMBER(AA182),AA182&gt;0),K_ArbeitOverTime,IF(AND(ISNUMBER(V182),V182&gt;0),K_ArbeitNormal,IF(F182=Krank,K_Krank,IF(F182=Urlaub,K_Urlaub,IF(AM182=Feiertag,K_Feiertag,IF(OR(AM182=6,AM182=7),K_Wochenende,0)))))))+IF(F182=Gleittag,K_Gleittag,0)</f>
        <v>0</v>
      </c>
      <c r="AW182" t="b">
        <f>OR((F182&gt;0),(NOT(ISBLANK(H182))),SUM(H182:H$373),SUM(G182:G$373))</f>
        <v>0</v>
      </c>
      <c r="AX182" t="b">
        <f ca="1">INDIRECT(ADDRESS(ROW(),COLUMN(xDay)))&gt;5</f>
        <v>0</v>
      </c>
      <c r="AY182" s="600">
        <f>IF(OR(R182&lt;&gt;0,F182&lt;&gt;0),AA182,IF(Z182="",0,-Z182))+(IF(AG182="+",AF182,-AF182))</f>
        <v>-0.29166666666666669</v>
      </c>
      <c r="AZ182" s="225">
        <f>SUM(AY$5:AY182)</f>
        <v>-34.708333333333364</v>
      </c>
      <c r="BA182" s="658"/>
      <c r="BB182" s="658">
        <f>IF(ISNA(MATCH(BA182,B_Arbeitsort,0)),0,MATCH(BA182,B_Arbeitsort,0))</f>
        <v>0</v>
      </c>
      <c r="BC182" s="658"/>
    </row>
    <row r="183" spans="1:55" ht="15.75">
      <c r="A183" s="305">
        <f>IF(A182="","",IF((A182+1)&gt;=DATE(YEAR(xJahr)+1,MONTH(xJahr),DAY(xJahr)),"",A182+1))</f>
        <v>43642</v>
      </c>
      <c r="B183" s="306">
        <f>IF(A183="","",A183)</f>
        <v>43642</v>
      </c>
      <c r="C183" s="307">
        <f>IF(A183="","",NumberOfWeek(A183))</f>
        <v>26</v>
      </c>
      <c r="D183" s="308">
        <f>IF(A183="","",DATE(YEAR(A183),MONTH(A183),1))</f>
        <v>43616</v>
      </c>
      <c r="E183" s="318" t="str">
        <f>IF((R183-U183)&gt;XWorkTimeMax,$Z$4,IF(AV183=Feiertag,VLOOKUP(B183,db_Feiertag,2,FALSE),""))</f>
        <v/>
      </c>
      <c r="F183" s="5"/>
      <c r="G183" s="6" t="str">
        <f>IF(ISBLANK(F183),IF(ISBLANK(H183),"",0),CODE(UPPER(F183)))</f>
        <v/>
      </c>
      <c r="H183" s="7"/>
      <c r="I183" s="7">
        <f>IF(H183&gt;0,H183+Y183+X183+AC183,0)</f>
        <v>0</v>
      </c>
      <c r="J183" s="113">
        <f>IF(K183&gt;I183,IF(I183&lt;H183,I183+1,I183)-B_WalkTime,IF(I183&lt;H183,I183+1,I183))</f>
        <v>0</v>
      </c>
      <c r="K183" s="7"/>
      <c r="L183" s="7">
        <f>IF(K183&gt;0,K183+IF((J183-H183)&lt;Y183,Y183-(J183-H183),TIME(0,10,0))+IF((K183-J183)&gt;xNoWorkTime,0,xNoWorkTime-(K183-J183)),0)</f>
        <v>0</v>
      </c>
      <c r="M183" s="113">
        <f>IF(L183&lt;K183,L183+1,L183)</f>
        <v>0</v>
      </c>
      <c r="N183" s="113"/>
      <c r="O183" s="113">
        <f>IF(N183&gt;0,N183+IF((J183-H183+M183-K183)&lt;Y183,Y183-(J183-H183+M183-K183),TIME(0,10,0))+IF((K183-J183+N183-M183)&gt;xNoWorkTime,0,xNoWorkTime-(K183-J183+N183-M183)),0)</f>
        <v>0</v>
      </c>
      <c r="P183" s="113"/>
      <c r="Q183" s="113">
        <f>IF(O183&lt;N183,O183+1,O183)</f>
        <v>0</v>
      </c>
      <c r="R183" s="113">
        <f>J183-H183+M183-K183+Q183-N183</f>
        <v>0</v>
      </c>
      <c r="S183" s="113">
        <f>IF(K183&gt;0,K183-I183,0)+IF(N183&gt;0,N183-L183)</f>
        <v>0</v>
      </c>
      <c r="T183" s="113">
        <f>IF(H183&gt;0,(IF(R183&gt;B_Pause1Nach,B_Pause1Dauer+IF(BA183="Büro",B_WalkTime,0),IF(BA183="Büro",B_WalkTime,0))+IF(R183&gt;B_Pause2Nach,B_Pause2Dauer,0)),0)</f>
        <v>0</v>
      </c>
      <c r="U183" s="113">
        <f>IF(T183&gt;S183,T183-S183,0)</f>
        <v>0</v>
      </c>
      <c r="V183" s="146">
        <f>IF(F183="S",Z183,(IF((R183-U183)&gt;XWorkTimeMax,XWorkTimeMax,IF((R183-U183)&gt;0,R183-U183,0))))</f>
        <v>0</v>
      </c>
      <c r="W183" s="66"/>
      <c r="X183" s="115">
        <f>xNoWorkTime</f>
        <v>4.027777777777778E-2</v>
      </c>
      <c r="Y183" s="110">
        <f>IF(AND((AM183&lt;Feiertag),(G183&lt;&gt;85)),IF(OR(F183="B",F183="G",F183="S",H183&gt;0),H183-H183+Z183,0),0)</f>
        <v>0</v>
      </c>
      <c r="Z183" s="111">
        <f>IF(AND(AM183&gt;0,AM183&lt;Feiertag),INDEX(Arbeitszeit,AM183),"")</f>
        <v>0.29166666666666669</v>
      </c>
      <c r="AA183" s="112">
        <f>V183-Y183</f>
        <v>0</v>
      </c>
      <c r="AB183" s="67" t="str">
        <f>IF((V183-Y183)&lt;0,"*","")</f>
        <v/>
      </c>
      <c r="AC183" s="193">
        <f>xOverTime</f>
        <v>0</v>
      </c>
      <c r="AD183" s="144" t="str">
        <f>IF((R183-U183)&gt;XWorkTimeMax,(R183-U183-XWorkTimeMax),"")</f>
        <v/>
      </c>
      <c r="AE183" s="225">
        <f>IF(AW183,(AE182+SUM(AA183)+(IF(AG183="+",AF183,-AF183))),)</f>
        <v>0</v>
      </c>
      <c r="AF183" s="110"/>
      <c r="AG183" s="627"/>
      <c r="AH183" s="110"/>
      <c r="AI183" s="110" t="str">
        <f>IF(AND(AF183&lt;&gt;"",AF183&lt;=V183),V183-AF183,"")</f>
        <v/>
      </c>
      <c r="AJ183" s="68">
        <f>IF(ISNUMBER(V183 ), IF( V183 &gt;= Y183, Y183, V183 ),"")</f>
        <v>0</v>
      </c>
      <c r="AK183" s="68">
        <f>IF( ISNUMBER( V183 ), IF( V183 &gt;= Y183, V183 - Y183, "" ), "" )</f>
        <v>0</v>
      </c>
      <c r="AL183" s="68" t="str">
        <f>IF( AND(ISNUMBER( V183 ),ISNUMBER( Y183 )), IF( V183 &gt;= Y183, "", Y183 - V183 ), "" )</f>
        <v/>
      </c>
      <c r="AM183">
        <f>IF(A183="",0,IF(ISERROR(VLOOKUP(A183,db_Feiertag,2,FALSE)),WEEKDAY(A183,2),Feiertag))</f>
        <v>2</v>
      </c>
      <c r="AN183" s="122">
        <f>SUM($AD$6:AD183)</f>
        <v>0</v>
      </c>
      <c r="AO183" s="122">
        <f ca="1">IF(D183=D182,AO182,OFFSET(AO183,-1,COLUMN(db_jSaldoGes)-COLUMN()))</f>
        <v>0</v>
      </c>
      <c r="AP183" s="126">
        <f>IF(OR($G183=-1,$G183=82),-1,IF(OR($G183=0,$G183=83),1,0))</f>
        <v>0</v>
      </c>
      <c r="AQ183" s="126">
        <f>IF($F183=Krank,1,IF($F183="J",-1,0))</f>
        <v>0</v>
      </c>
      <c r="AR183" s="126">
        <f>IF($F183=Urlaub,1,IF($F183="T",-1,0))</f>
        <v>0</v>
      </c>
      <c r="AS183" s="125">
        <f>IF(A183="","",AS182-IF(F183=Urlaub,1,0)+IF(AND(MONTH(A183)=1,DAY(A183)=1),B_UrlaubNeu,0))</f>
        <v>30</v>
      </c>
      <c r="AT183" s="125">
        <f ca="1">IF(A183="","",IF(D183=D182,AT182,OFFSET(AT183,-1,COLUMN(db_jUrlRest)-COLUMN()))+IF(AND(MONTH(A183)=1,DAY(A183)=1),B_UrlaubNeu,0))</f>
        <v>30</v>
      </c>
      <c r="AU183" s="135">
        <f>(IF(ISNUMBER(V183),V183,0)+IF(ISNUMBER(AD183),AD183,0))*24</f>
        <v>0</v>
      </c>
      <c r="AV183" s="125">
        <f>IF(ISNUMBER(AD183),K_ArbeitOverMax,IF(AND(ISNUMBER(AA183),AA183&gt;0),K_ArbeitOverTime,IF(AND(ISNUMBER(V183),V183&gt;0),K_ArbeitNormal,IF(F183=Krank,K_Krank,IF(F183=Urlaub,K_Urlaub,IF(AM183=Feiertag,K_Feiertag,IF(OR(AM183=6,AM183=7),K_Wochenende,0)))))))+IF(F183=Gleittag,K_Gleittag,0)</f>
        <v>0</v>
      </c>
      <c r="AW183" t="b">
        <f>OR((F183&gt;0),(NOT(ISBLANK(H183))),SUM(H183:H$373),SUM(G183:G$373))</f>
        <v>0</v>
      </c>
      <c r="AX183" t="b">
        <f ca="1">INDIRECT(ADDRESS(ROW(),COLUMN(xDay)))&gt;5</f>
        <v>0</v>
      </c>
      <c r="AY183" s="600">
        <f>IF(OR(R183&lt;&gt;0,F183&lt;&gt;0),AA183,IF(Z183="",0,-Z183))+(IF(AG183="+",AF183,-AF183))</f>
        <v>-0.29166666666666669</v>
      </c>
      <c r="AZ183" s="225">
        <f>SUM(AY$5:AY183)</f>
        <v>-35.000000000000028</v>
      </c>
      <c r="BA183" s="658"/>
      <c r="BB183" s="658">
        <f>IF(ISNA(MATCH(BA183,B_Arbeitsort,0)),0,MATCH(BA183,B_Arbeitsort,0))</f>
        <v>0</v>
      </c>
      <c r="BC183" s="658"/>
    </row>
    <row r="184" spans="1:55" ht="15.75">
      <c r="A184" s="305">
        <f>IF(A183="","",IF((A183+1)&gt;=DATE(YEAR(xJahr)+1,MONTH(xJahr),DAY(xJahr)),"",A183+1))</f>
        <v>43643</v>
      </c>
      <c r="B184" s="306">
        <f>IF(A184="","",A184)</f>
        <v>43643</v>
      </c>
      <c r="C184" s="307">
        <f>IF(A184="","",NumberOfWeek(A184))</f>
        <v>26</v>
      </c>
      <c r="D184" s="308">
        <f>IF(A184="","",DATE(YEAR(A184),MONTH(A184),1))</f>
        <v>43616</v>
      </c>
      <c r="E184" s="318" t="str">
        <f>IF((R184-U184)&gt;XWorkTimeMax,$Z$4,IF(AV184=Feiertag,VLOOKUP(B184,db_Feiertag,2,FALSE),""))</f>
        <v/>
      </c>
      <c r="F184" s="5"/>
      <c r="G184" s="6" t="str">
        <f>IF(ISBLANK(F184),IF(ISBLANK(H184),"",0),CODE(UPPER(F184)))</f>
        <v/>
      </c>
      <c r="H184" s="7"/>
      <c r="I184" s="7">
        <f>IF(H184&gt;0,H184+Y184+X184+AC184,0)</f>
        <v>0</v>
      </c>
      <c r="J184" s="113">
        <f>IF(K184&gt;I184,IF(I184&lt;H184,I184+1,I184)-B_WalkTime,IF(I184&lt;H184,I184+1,I184))</f>
        <v>0</v>
      </c>
      <c r="K184" s="7"/>
      <c r="L184" s="7">
        <f>IF(K184&gt;0,K184+IF((J184-H184)&lt;Y184,Y184-(J184-H184),TIME(0,10,0))+IF((K184-J184)&gt;xNoWorkTime,0,xNoWorkTime-(K184-J184)),0)</f>
        <v>0</v>
      </c>
      <c r="M184" s="113">
        <f>IF(L184&lt;K184,L184+1,L184)</f>
        <v>0</v>
      </c>
      <c r="N184" s="113"/>
      <c r="O184" s="113">
        <f>IF(N184&gt;0,N184+IF((J184-H184+M184-K184)&lt;Y184,Y184-(J184-H184+M184-K184),TIME(0,10,0))+IF((K184-J184+N184-M184)&gt;xNoWorkTime,0,xNoWorkTime-(K184-J184+N184-M184)),0)</f>
        <v>0</v>
      </c>
      <c r="P184" s="113"/>
      <c r="Q184" s="113">
        <f>IF(O184&lt;N184,O184+1,O184)</f>
        <v>0</v>
      </c>
      <c r="R184" s="113">
        <f>J184-H184+M184-K184+Q184-N184</f>
        <v>0</v>
      </c>
      <c r="S184" s="113">
        <f>IF(K184&gt;0,K184-I184,0)+IF(N184&gt;0,N184-L184)</f>
        <v>0</v>
      </c>
      <c r="T184" s="113">
        <f>IF(H184&gt;0,(IF(R184&gt;B_Pause1Nach,B_Pause1Dauer+IF(BA184="Büro",B_WalkTime,0),IF(BA184="Büro",B_WalkTime,0))+IF(R184&gt;B_Pause2Nach,B_Pause2Dauer,0)),0)</f>
        <v>0</v>
      </c>
      <c r="U184" s="113">
        <f>IF(T184&gt;S184,T184-S184,0)</f>
        <v>0</v>
      </c>
      <c r="V184" s="146">
        <f>IF(F184="S",Z184,(IF((R184-U184)&gt;XWorkTimeMax,XWorkTimeMax,IF((R184-U184)&gt;0,R184-U184,0))))</f>
        <v>0</v>
      </c>
      <c r="W184" s="66"/>
      <c r="X184" s="115">
        <f>xNoWorkTime</f>
        <v>4.027777777777778E-2</v>
      </c>
      <c r="Y184" s="110">
        <f>IF(AND((AM184&lt;Feiertag),(G184&lt;&gt;85)),IF(OR(F184="B",F184="G",F184="S",H184&gt;0),H184-H184+Z184,0),0)</f>
        <v>0</v>
      </c>
      <c r="Z184" s="111">
        <f>IF(AND(AM184&gt;0,AM184&lt;Feiertag),INDEX(Arbeitszeit,AM184),"")</f>
        <v>0.29166666666666669</v>
      </c>
      <c r="AA184" s="112">
        <f>V184-Y184</f>
        <v>0</v>
      </c>
      <c r="AB184" s="67" t="str">
        <f>IF((V184-Y184)&lt;0,"*","")</f>
        <v/>
      </c>
      <c r="AC184" s="193">
        <f>xOverTime</f>
        <v>0</v>
      </c>
      <c r="AD184" s="144" t="str">
        <f>IF((R184-U184)&gt;XWorkTimeMax,(R184-U184-XWorkTimeMax),"")</f>
        <v/>
      </c>
      <c r="AE184" s="225">
        <f>IF(AW184,(AE183+SUM(AA184)+(IF(AG184="+",AF184,-AF184))),)</f>
        <v>0</v>
      </c>
      <c r="AF184" s="110"/>
      <c r="AG184" s="627"/>
      <c r="AH184" s="110"/>
      <c r="AI184" s="110" t="str">
        <f>IF(AND(AF184&lt;&gt;"",AF184&lt;=V184),V184-AF184,"")</f>
        <v/>
      </c>
      <c r="AJ184" s="68">
        <f>IF(ISNUMBER(V184 ), IF( V184 &gt;= Y184, Y184, V184 ),"")</f>
        <v>0</v>
      </c>
      <c r="AK184" s="68">
        <f>IF( ISNUMBER( V184 ), IF( V184 &gt;= Y184, V184 - Y184, "" ), "" )</f>
        <v>0</v>
      </c>
      <c r="AL184" s="68" t="str">
        <f>IF( AND(ISNUMBER( V184 ),ISNUMBER( Y184 )), IF( V184 &gt;= Y184, "", Y184 - V184 ), "" )</f>
        <v/>
      </c>
      <c r="AM184">
        <f>IF(A184="",0,IF(ISERROR(VLOOKUP(A184,db_Feiertag,2,FALSE)),WEEKDAY(A184,2),Feiertag))</f>
        <v>3</v>
      </c>
      <c r="AN184" s="122">
        <f>SUM($AD$6:AD184)</f>
        <v>0</v>
      </c>
      <c r="AO184" s="122">
        <f ca="1">IF(D184=D183,AO183,OFFSET(AO184,-1,COLUMN(db_jSaldoGes)-COLUMN()))</f>
        <v>0</v>
      </c>
      <c r="AP184" s="126">
        <f>IF(OR($G184=-1,$G184=82),-1,IF(OR($G184=0,$G184=83),1,0))</f>
        <v>0</v>
      </c>
      <c r="AQ184" s="126">
        <f>IF($F184=Krank,1,IF($F184="J",-1,0))</f>
        <v>0</v>
      </c>
      <c r="AR184" s="126">
        <f>IF($F184=Urlaub,1,IF($F184="T",-1,0))</f>
        <v>0</v>
      </c>
      <c r="AS184" s="125">
        <f>IF(A184="","",AS183-IF(F184=Urlaub,1,0)+IF(AND(MONTH(A184)=1,DAY(A184)=1),B_UrlaubNeu,0))</f>
        <v>30</v>
      </c>
      <c r="AT184" s="125">
        <f ca="1">IF(A184="","",IF(D184=D183,AT183,OFFSET(AT184,-1,COLUMN(db_jUrlRest)-COLUMN()))+IF(AND(MONTH(A184)=1,DAY(A184)=1),B_UrlaubNeu,0))</f>
        <v>30</v>
      </c>
      <c r="AU184" s="135">
        <f>(IF(ISNUMBER(V184),V184,0)+IF(ISNUMBER(AD184),AD184,0))*24</f>
        <v>0</v>
      </c>
      <c r="AV184" s="125">
        <f>IF(ISNUMBER(AD184),K_ArbeitOverMax,IF(AND(ISNUMBER(AA184),AA184&gt;0),K_ArbeitOverTime,IF(AND(ISNUMBER(V184),V184&gt;0),K_ArbeitNormal,IF(F184=Krank,K_Krank,IF(F184=Urlaub,K_Urlaub,IF(AM184=Feiertag,K_Feiertag,IF(OR(AM184=6,AM184=7),K_Wochenende,0)))))))+IF(F184=Gleittag,K_Gleittag,0)</f>
        <v>0</v>
      </c>
      <c r="AW184" t="b">
        <f>OR((F184&gt;0),(NOT(ISBLANK(H184))),SUM(H184:H$373),SUM(G184:G$373))</f>
        <v>0</v>
      </c>
      <c r="AX184" t="b">
        <f ca="1">INDIRECT(ADDRESS(ROW(),COLUMN(xDay)))&gt;5</f>
        <v>0</v>
      </c>
      <c r="AY184" s="600">
        <f>IF(OR(R184&lt;&gt;0,F184&lt;&gt;0),AA184,IF(Z184="",0,-Z184))+(IF(AG184="+",AF184,-AF184))</f>
        <v>-0.29166666666666669</v>
      </c>
      <c r="AZ184" s="225">
        <f>SUM(AY$5:AY184)</f>
        <v>-35.291666666666693</v>
      </c>
      <c r="BA184" s="658"/>
      <c r="BB184" s="658">
        <f>IF(ISNA(MATCH(BA184,B_Arbeitsort,0)),0,MATCH(BA184,B_Arbeitsort,0))</f>
        <v>0</v>
      </c>
      <c r="BC184" s="658"/>
    </row>
    <row r="185" spans="1:55" ht="15.75">
      <c r="A185" s="305">
        <f>IF(A184="","",IF((A184+1)&gt;=DATE(YEAR(xJahr)+1,MONTH(xJahr),DAY(xJahr)),"",A184+1))</f>
        <v>43644</v>
      </c>
      <c r="B185" s="306">
        <f>IF(A185="","",A185)</f>
        <v>43644</v>
      </c>
      <c r="C185" s="307">
        <f>IF(A185="","",NumberOfWeek(A185))</f>
        <v>26</v>
      </c>
      <c r="D185" s="308">
        <f>IF(A185="","",DATE(YEAR(A185),MONTH(A185),1))</f>
        <v>43616</v>
      </c>
      <c r="E185" s="318" t="str">
        <f>IF((R185-U185)&gt;XWorkTimeMax,$Z$4,IF(AV185=Feiertag,VLOOKUP(B185,db_Feiertag,2,FALSE),""))</f>
        <v/>
      </c>
      <c r="F185" s="5"/>
      <c r="G185" s="6" t="str">
        <f>IF(ISBLANK(F185),IF(ISBLANK(H185),"",0),CODE(UPPER(F185)))</f>
        <v/>
      </c>
      <c r="H185" s="7"/>
      <c r="I185" s="7">
        <f>IF(H185&gt;0,H185+Y185+X185+AC185,0)</f>
        <v>0</v>
      </c>
      <c r="J185" s="113">
        <f>IF(K185&gt;I185,IF(I185&lt;H185,I185+1,I185)-B_WalkTime,IF(I185&lt;H185,I185+1,I185))</f>
        <v>0</v>
      </c>
      <c r="K185" s="7"/>
      <c r="L185" s="7">
        <f>IF(K185&gt;0,K185+IF((J185-H185)&lt;Y185,Y185-(J185-H185),TIME(0,10,0))+IF((K185-J185)&gt;xNoWorkTime,0,xNoWorkTime-(K185-J185)),0)</f>
        <v>0</v>
      </c>
      <c r="M185" s="113">
        <f>IF(L185&lt;K185,L185+1,L185)</f>
        <v>0</v>
      </c>
      <c r="N185" s="113"/>
      <c r="O185" s="113">
        <f>IF(N185&gt;0,N185+IF((J185-H185+M185-K185)&lt;Y185,Y185-(J185-H185+M185-K185),TIME(0,10,0))+IF((K185-J185+N185-M185)&gt;xNoWorkTime,0,xNoWorkTime-(K185-J185+N185-M185)),0)</f>
        <v>0</v>
      </c>
      <c r="P185" s="113"/>
      <c r="Q185" s="113">
        <f>IF(O185&lt;N185,O185+1,O185)</f>
        <v>0</v>
      </c>
      <c r="R185" s="113">
        <f>J185-H185+M185-K185+Q185-N185</f>
        <v>0</v>
      </c>
      <c r="S185" s="113">
        <f>IF(K185&gt;0,K185-I185,0)+IF(N185&gt;0,N185-L185)</f>
        <v>0</v>
      </c>
      <c r="T185" s="113">
        <f>IF(H185&gt;0,(IF(R185&gt;B_Pause1Nach,B_Pause1Dauer+IF(BA185="Büro",B_WalkTime,0),IF(BA185="Büro",B_WalkTime,0))+IF(R185&gt;B_Pause2Nach,B_Pause2Dauer,0)),0)</f>
        <v>0</v>
      </c>
      <c r="U185" s="113">
        <f>IF(T185&gt;S185,T185-S185,0)</f>
        <v>0</v>
      </c>
      <c r="V185" s="146">
        <f>IF(F185="S",Z185,(IF((R185-U185)&gt;XWorkTimeMax,XWorkTimeMax,IF((R185-U185)&gt;0,R185-U185,0))))</f>
        <v>0</v>
      </c>
      <c r="W185" s="66"/>
      <c r="X185" s="115">
        <f>xNoWorkTime</f>
        <v>4.027777777777778E-2</v>
      </c>
      <c r="Y185" s="110">
        <f>IF(AND((AM185&lt;Feiertag),(G185&lt;&gt;85)),IF(OR(F185="B",F185="G",F185="S",H185&gt;0),H185-H185+Z185,0),0)</f>
        <v>0</v>
      </c>
      <c r="Z185" s="111">
        <f>IF(AND(AM185&gt;0,AM185&lt;Feiertag),INDEX(Arbeitszeit,AM185),"")</f>
        <v>0.29166666666666669</v>
      </c>
      <c r="AA185" s="112">
        <f>V185-Y185</f>
        <v>0</v>
      </c>
      <c r="AB185" s="67" t="str">
        <f>IF((V185-Y185)&lt;0,"*","")</f>
        <v/>
      </c>
      <c r="AC185" s="193">
        <f>xOverTime</f>
        <v>0</v>
      </c>
      <c r="AD185" s="144" t="str">
        <f>IF((R185-U185)&gt;XWorkTimeMax,(R185-U185-XWorkTimeMax),"")</f>
        <v/>
      </c>
      <c r="AE185" s="225">
        <f>IF(AW185,(AE184+SUM(AA185)+(IF(AG185="+",AF185,-AF185))),)</f>
        <v>0</v>
      </c>
      <c r="AF185" s="110"/>
      <c r="AG185" s="627"/>
      <c r="AH185" s="110"/>
      <c r="AI185" s="110" t="str">
        <f>IF(AND(AF185&lt;&gt;"",AF185&lt;=V185),V185-AF185,"")</f>
        <v/>
      </c>
      <c r="AJ185" s="68">
        <f>IF(ISNUMBER(V185 ), IF( V185 &gt;= Y185, Y185, V185 ),"")</f>
        <v>0</v>
      </c>
      <c r="AK185" s="68">
        <f>IF( ISNUMBER( V185 ), IF( V185 &gt;= Y185, V185 - Y185, "" ), "" )</f>
        <v>0</v>
      </c>
      <c r="AL185" s="68" t="str">
        <f>IF( AND(ISNUMBER( V185 ),ISNUMBER( Y185 )), IF( V185 &gt;= Y185, "", Y185 - V185 ), "" )</f>
        <v/>
      </c>
      <c r="AM185">
        <f>IF(A185="",0,IF(ISERROR(VLOOKUP(A185,db_Feiertag,2,FALSE)),WEEKDAY(A185,2),Feiertag))</f>
        <v>4</v>
      </c>
      <c r="AN185" s="122">
        <f>SUM($AD$6:AD185)</f>
        <v>0</v>
      </c>
      <c r="AO185" s="122">
        <f ca="1">IF(D185=D184,AO184,OFFSET(AO185,-1,COLUMN(db_jSaldoGes)-COLUMN()))</f>
        <v>0</v>
      </c>
      <c r="AP185" s="126">
        <f>IF(OR($G185=-1,$G185=82),-1,IF(OR($G185=0,$G185=83),1,0))</f>
        <v>0</v>
      </c>
      <c r="AQ185" s="126">
        <f>IF($F185=Krank,1,IF($F185="J",-1,0))</f>
        <v>0</v>
      </c>
      <c r="AR185" s="126">
        <f>IF($F185=Urlaub,1,IF($F185="T",-1,0))</f>
        <v>0</v>
      </c>
      <c r="AS185" s="125">
        <f>IF(A185="","",AS184-IF(F185=Urlaub,1,0)+IF(AND(MONTH(A185)=1,DAY(A185)=1),B_UrlaubNeu,0))</f>
        <v>30</v>
      </c>
      <c r="AT185" s="125">
        <f ca="1">IF(A185="","",IF(D185=D184,AT184,OFFSET(AT185,-1,COLUMN(db_jUrlRest)-COLUMN()))+IF(AND(MONTH(A185)=1,DAY(A185)=1),B_UrlaubNeu,0))</f>
        <v>30</v>
      </c>
      <c r="AU185" s="135">
        <f>(IF(ISNUMBER(V185),V185,0)+IF(ISNUMBER(AD185),AD185,0))*24</f>
        <v>0</v>
      </c>
      <c r="AV185" s="125">
        <f>IF(ISNUMBER(AD185),K_ArbeitOverMax,IF(AND(ISNUMBER(AA185),AA185&gt;0),K_ArbeitOverTime,IF(AND(ISNUMBER(V185),V185&gt;0),K_ArbeitNormal,IF(F185=Krank,K_Krank,IF(F185=Urlaub,K_Urlaub,IF(AM185=Feiertag,K_Feiertag,IF(OR(AM185=6,AM185=7),K_Wochenende,0)))))))+IF(F185=Gleittag,K_Gleittag,0)</f>
        <v>0</v>
      </c>
      <c r="AW185" t="b">
        <f>OR((F185&gt;0),(NOT(ISBLANK(H185))),SUM(H185:H$373),SUM(G185:G$373))</f>
        <v>0</v>
      </c>
      <c r="AX185" t="b">
        <f ca="1">INDIRECT(ADDRESS(ROW(),COLUMN(xDay)))&gt;5</f>
        <v>0</v>
      </c>
      <c r="AY185" s="600">
        <f>IF(OR(R185&lt;&gt;0,F185&lt;&gt;0),AA185,IF(Z185="",0,-Z185))+(IF(AG185="+",AF185,-AF185))</f>
        <v>-0.29166666666666669</v>
      </c>
      <c r="AZ185" s="225">
        <f>SUM(AY$5:AY185)</f>
        <v>-35.583333333333357</v>
      </c>
      <c r="BA185" s="658"/>
      <c r="BB185" s="658">
        <f>IF(ISNA(MATCH(BA185,B_Arbeitsort,0)),0,MATCH(BA185,B_Arbeitsort,0))</f>
        <v>0</v>
      </c>
      <c r="BC185" s="658"/>
    </row>
    <row r="186" spans="1:55" ht="15.75">
      <c r="A186" s="305">
        <f>IF(A185="","",IF((A185+1)&gt;=DATE(YEAR(xJahr)+1,MONTH(xJahr),DAY(xJahr)),"",A185+1))</f>
        <v>43645</v>
      </c>
      <c r="B186" s="306">
        <f>IF(A186="","",A186)</f>
        <v>43645</v>
      </c>
      <c r="C186" s="307">
        <f>IF(A186="","",NumberOfWeek(A186))</f>
        <v>26</v>
      </c>
      <c r="D186" s="308">
        <f>IF(A186="","",DATE(YEAR(A186),MONTH(A186),1))</f>
        <v>43616</v>
      </c>
      <c r="E186" s="318" t="str">
        <f>IF((R186-U186)&gt;XWorkTimeMax,$Z$4,IF(AV186=Feiertag,VLOOKUP(B186,db_Feiertag,2,FALSE),""))</f>
        <v/>
      </c>
      <c r="F186" s="5"/>
      <c r="G186" s="6" t="str">
        <f>IF(ISBLANK(F186),IF(ISBLANK(H186),"",0),CODE(UPPER(F186)))</f>
        <v/>
      </c>
      <c r="H186" s="7"/>
      <c r="I186" s="7">
        <f>IF(H186&gt;0,H186+Y186+X186+AC186,0)</f>
        <v>0</v>
      </c>
      <c r="J186" s="113">
        <f>IF(K186&gt;I186,IF(I186&lt;H186,I186+1,I186)-B_WalkTime,IF(I186&lt;H186,I186+1,I186))</f>
        <v>0</v>
      </c>
      <c r="K186" s="7"/>
      <c r="L186" s="7">
        <f>IF(K186&gt;0,K186+IF((J186-H186)&lt;Y186,Y186-(J186-H186),TIME(0,10,0))+IF((K186-J186)&gt;xNoWorkTime,0,xNoWorkTime-(K186-J186)),0)</f>
        <v>0</v>
      </c>
      <c r="M186" s="113">
        <f>IF(L186&lt;K186,L186+1,L186)</f>
        <v>0</v>
      </c>
      <c r="N186" s="113"/>
      <c r="O186" s="113">
        <f>IF(N186&gt;0,N186+IF((J186-H186+M186-K186)&lt;Y186,Y186-(J186-H186+M186-K186),TIME(0,10,0))+IF((K186-J186+N186-M186)&gt;xNoWorkTime,0,xNoWorkTime-(K186-J186+N186-M186)),0)</f>
        <v>0</v>
      </c>
      <c r="P186" s="113"/>
      <c r="Q186" s="113">
        <f>IF(O186&lt;N186,O186+1,O186)</f>
        <v>0</v>
      </c>
      <c r="R186" s="113">
        <f>J186-H186+M186-K186+Q186-N186</f>
        <v>0</v>
      </c>
      <c r="S186" s="113">
        <f>IF(K186&gt;0,K186-I186,0)+IF(N186&gt;0,N186-L186)</f>
        <v>0</v>
      </c>
      <c r="T186" s="113">
        <f>IF(H186&gt;0,(IF(R186&gt;B_Pause1Nach,B_Pause1Dauer+IF(BA186="Büro",B_WalkTime,0),IF(BA186="Büro",B_WalkTime,0))+IF(R186&gt;B_Pause2Nach,B_Pause2Dauer,0)),0)</f>
        <v>0</v>
      </c>
      <c r="U186" s="113">
        <f>IF(T186&gt;S186,T186-S186,0)</f>
        <v>0</v>
      </c>
      <c r="V186" s="146">
        <f>IF(F186="S",Z186,(IF((R186-U186)&gt;XWorkTimeMax,XWorkTimeMax,IF((R186-U186)&gt;0,R186-U186,0))))</f>
        <v>0</v>
      </c>
      <c r="W186" s="66"/>
      <c r="X186" s="115">
        <f>xNoWorkTime</f>
        <v>4.027777777777778E-2</v>
      </c>
      <c r="Y186" s="110">
        <f>IF(AND((AM186&lt;Feiertag),(G186&lt;&gt;85)),IF(OR(F186="B",F186="G",F186="S",H186&gt;0),H186-H186+Z186,0),0)</f>
        <v>0</v>
      </c>
      <c r="Z186" s="111">
        <f>IF(AND(AM186&gt;0,AM186&lt;Feiertag),INDEX(Arbeitszeit,AM186),"")</f>
        <v>0.29166666666666669</v>
      </c>
      <c r="AA186" s="112">
        <f>V186-Y186</f>
        <v>0</v>
      </c>
      <c r="AB186" s="67" t="str">
        <f>IF((V186-Y186)&lt;0,"*","")</f>
        <v/>
      </c>
      <c r="AC186" s="193">
        <f>xOverTime</f>
        <v>0</v>
      </c>
      <c r="AD186" s="144" t="str">
        <f>IF((R186-U186)&gt;XWorkTimeMax,(R186-U186-XWorkTimeMax),"")</f>
        <v/>
      </c>
      <c r="AE186" s="225">
        <f>IF(AW186,(AE185+SUM(AA186)+(IF(AG186="+",AF186,-AF186))),)</f>
        <v>0</v>
      </c>
      <c r="AF186" s="110"/>
      <c r="AG186" s="627"/>
      <c r="AH186" s="110"/>
      <c r="AI186" s="110" t="str">
        <f>IF(AND(AF186&lt;&gt;"",AF186&lt;=V186),V186-AF186,"")</f>
        <v/>
      </c>
      <c r="AJ186" s="68">
        <f>IF(ISNUMBER(V186 ), IF( V186 &gt;= Y186, Y186, V186 ),"")</f>
        <v>0</v>
      </c>
      <c r="AK186" s="68">
        <f>IF( ISNUMBER( V186 ), IF( V186 &gt;= Y186, V186 - Y186, "" ), "" )</f>
        <v>0</v>
      </c>
      <c r="AL186" s="68" t="str">
        <f>IF( AND(ISNUMBER( V186 ),ISNUMBER( Y186 )), IF( V186 &gt;= Y186, "", Y186 - V186 ), "" )</f>
        <v/>
      </c>
      <c r="AM186">
        <f>IF(A186="",0,IF(ISERROR(VLOOKUP(A186,db_Feiertag,2,FALSE)),WEEKDAY(A186,2),Feiertag))</f>
        <v>5</v>
      </c>
      <c r="AN186" s="122">
        <f>SUM($AD$6:AD186)</f>
        <v>0</v>
      </c>
      <c r="AO186" s="122">
        <f ca="1">IF(D186=D185,AO185,OFFSET(AO186,-1,COLUMN(db_jSaldoGes)-COLUMN()))</f>
        <v>0</v>
      </c>
      <c r="AP186" s="126">
        <f>IF(OR($G186=-1,$G186=82),-1,IF(OR($G186=0,$G186=83),1,0))</f>
        <v>0</v>
      </c>
      <c r="AQ186" s="126">
        <f>IF($F186=Krank,1,IF($F186="J",-1,0))</f>
        <v>0</v>
      </c>
      <c r="AR186" s="126">
        <f>IF($F186=Urlaub,1,IF($F186="T",-1,0))</f>
        <v>0</v>
      </c>
      <c r="AS186" s="125">
        <f>IF(A186="","",AS185-IF(F186=Urlaub,1,0)+IF(AND(MONTH(A186)=1,DAY(A186)=1),B_UrlaubNeu,0))</f>
        <v>30</v>
      </c>
      <c r="AT186" s="125">
        <f ca="1">IF(A186="","",IF(D186=D185,AT185,OFFSET(AT186,-1,COLUMN(db_jUrlRest)-COLUMN()))+IF(AND(MONTH(A186)=1,DAY(A186)=1),B_UrlaubNeu,0))</f>
        <v>30</v>
      </c>
      <c r="AU186" s="135">
        <f>(IF(ISNUMBER(V186),V186,0)+IF(ISNUMBER(AD186),AD186,0))*24</f>
        <v>0</v>
      </c>
      <c r="AV186" s="125">
        <f>IF(ISNUMBER(AD186),K_ArbeitOverMax,IF(AND(ISNUMBER(AA186),AA186&gt;0),K_ArbeitOverTime,IF(AND(ISNUMBER(V186),V186&gt;0),K_ArbeitNormal,IF(F186=Krank,K_Krank,IF(F186=Urlaub,K_Urlaub,IF(AM186=Feiertag,K_Feiertag,IF(OR(AM186=6,AM186=7),K_Wochenende,0)))))))+IF(F186=Gleittag,K_Gleittag,0)</f>
        <v>0</v>
      </c>
      <c r="AW186" t="b">
        <f>OR((F186&gt;0),(NOT(ISBLANK(H186))),SUM(H186:H$373),SUM(G186:G$373))</f>
        <v>0</v>
      </c>
      <c r="AX186" t="b">
        <f ca="1">INDIRECT(ADDRESS(ROW(),COLUMN(xDay)))&gt;5</f>
        <v>0</v>
      </c>
      <c r="AY186" s="600">
        <f>IF(OR(R186&lt;&gt;0,F186&lt;&gt;0),AA186,IF(Z186="",0,-Z186))+(IF(AG186="+",AF186,-AF186))</f>
        <v>-0.29166666666666669</v>
      </c>
      <c r="AZ186" s="225">
        <f>SUM(AY$5:AY186)</f>
        <v>-35.875000000000021</v>
      </c>
      <c r="BA186" s="658"/>
      <c r="BB186" s="658">
        <f>IF(ISNA(MATCH(BA186,B_Arbeitsort,0)),0,MATCH(BA186,B_Arbeitsort,0))</f>
        <v>0</v>
      </c>
      <c r="BC186" s="658"/>
    </row>
    <row r="187" spans="1:55" ht="15.75">
      <c r="A187" s="305">
        <f>IF(A186="","",IF((A186+1)&gt;=DATE(YEAR(xJahr)+1,MONTH(xJahr),DAY(xJahr)),"",A186+1))</f>
        <v>43646</v>
      </c>
      <c r="B187" s="306">
        <f>IF(A187="","",A187)</f>
        <v>43646</v>
      </c>
      <c r="C187" s="307">
        <f>IF(A187="","",NumberOfWeek(A187))</f>
        <v>26</v>
      </c>
      <c r="D187" s="308">
        <f>IF(A187="","",DATE(YEAR(A187),MONTH(A187),1))</f>
        <v>43646</v>
      </c>
      <c r="E187" s="318" t="str">
        <f>IF((R187-U187)&gt;XWorkTimeMax,$Z$4,IF(AV187=Feiertag,VLOOKUP(B187,db_Feiertag,2,FALSE),""))</f>
        <v/>
      </c>
      <c r="F187" s="5"/>
      <c r="G187" s="6" t="str">
        <f>IF(ISBLANK(F187),IF(ISBLANK(H187),"",0),CODE(UPPER(F187)))</f>
        <v/>
      </c>
      <c r="H187" s="7"/>
      <c r="I187" s="7">
        <f>IF(H187&gt;0,H187+Y187+X187+AC187,0)</f>
        <v>0</v>
      </c>
      <c r="J187" s="113">
        <f>IF(K187&gt;I187,IF(I187&lt;H187,I187+1,I187)-B_WalkTime,IF(I187&lt;H187,I187+1,I187))</f>
        <v>0</v>
      </c>
      <c r="K187" s="7"/>
      <c r="L187" s="7">
        <f>IF(K187&gt;0,K187+IF((J187-H187)&lt;Y187,Y187-(J187-H187),TIME(0,10,0))+IF((K187-J187)&gt;xNoWorkTime,0,xNoWorkTime-(K187-J187)),0)</f>
        <v>0</v>
      </c>
      <c r="M187" s="113">
        <f>IF(L187&lt;K187,L187+1,L187)</f>
        <v>0</v>
      </c>
      <c r="N187" s="113"/>
      <c r="O187" s="113">
        <f>IF(N187&gt;0,N187+IF((J187-H187+M187-K187)&lt;Y187,Y187-(J187-H187+M187-K187),TIME(0,10,0))+IF((K187-J187+N187-M187)&gt;xNoWorkTime,0,xNoWorkTime-(K187-J187+N187-M187)),0)</f>
        <v>0</v>
      </c>
      <c r="P187" s="113"/>
      <c r="Q187" s="113">
        <f>IF(O187&lt;N187,O187+1,O187)</f>
        <v>0</v>
      </c>
      <c r="R187" s="113">
        <f>J187-H187+M187-K187+Q187-N187</f>
        <v>0</v>
      </c>
      <c r="S187" s="113">
        <f>IF(K187&gt;0,K187-I187,0)+IF(N187&gt;0,N187-L187)</f>
        <v>0</v>
      </c>
      <c r="T187" s="113">
        <f>IF(H187&gt;0,(IF(R187&gt;B_Pause1Nach,B_Pause1Dauer+IF(BA187="Büro",B_WalkTime,0),IF(BA187="Büro",B_WalkTime,0))+IF(R187&gt;B_Pause2Nach,B_Pause2Dauer,0)),0)</f>
        <v>0</v>
      </c>
      <c r="U187" s="113">
        <f>IF(T187&gt;S187,T187-S187,0)</f>
        <v>0</v>
      </c>
      <c r="V187" s="146">
        <f>IF(F187="S",Z187,(IF((R187-U187)&gt;XWorkTimeMax,XWorkTimeMax,IF((R187-U187)&gt;0,R187-U187,0))))</f>
        <v>0</v>
      </c>
      <c r="W187" s="66"/>
      <c r="X187" s="115">
        <f>xNoWorkTime</f>
        <v>4.027777777777778E-2</v>
      </c>
      <c r="Y187" s="110">
        <f>IF(AND((AM187&lt;Feiertag),(G187&lt;&gt;85)),IF(OR(F187="B",F187="G",F187="S",H187&gt;0),H187-H187+Z187,0),0)</f>
        <v>0</v>
      </c>
      <c r="Z187" s="111">
        <f>IF(AND(AM187&gt;0,AM187&lt;Feiertag),INDEX(Arbeitszeit,AM187),"")</f>
        <v>0</v>
      </c>
      <c r="AA187" s="112">
        <f>V187-Y187</f>
        <v>0</v>
      </c>
      <c r="AB187" s="67" t="str">
        <f>IF((V187-Y187)&lt;0,"*","")</f>
        <v/>
      </c>
      <c r="AC187" s="193">
        <f>xOverTime</f>
        <v>0</v>
      </c>
      <c r="AD187" s="144" t="str">
        <f>IF((R187-U187)&gt;XWorkTimeMax,(R187-U187-XWorkTimeMax),"")</f>
        <v/>
      </c>
      <c r="AE187" s="225">
        <f>IF(AW187,(AE186+SUM(AA187)+(IF(AG187="+",AF187,-AF187))),)</f>
        <v>0</v>
      </c>
      <c r="AF187" s="110"/>
      <c r="AG187" s="627"/>
      <c r="AH187" s="110"/>
      <c r="AI187" s="110" t="str">
        <f>IF(AND(AF187&lt;&gt;"",AF187&lt;=V187),V187-AF187,"")</f>
        <v/>
      </c>
      <c r="AJ187" s="68">
        <f>IF(ISNUMBER(V187 ), IF( V187 &gt;= Y187, Y187, V187 ),"")</f>
        <v>0</v>
      </c>
      <c r="AK187" s="68">
        <f>IF( ISNUMBER( V187 ), IF( V187 &gt;= Y187, V187 - Y187, "" ), "" )</f>
        <v>0</v>
      </c>
      <c r="AL187" s="68" t="str">
        <f>IF( AND(ISNUMBER( V187 ),ISNUMBER( Y187 )), IF( V187 &gt;= Y187, "", Y187 - V187 ), "" )</f>
        <v/>
      </c>
      <c r="AM187">
        <f>IF(A187="",0,IF(ISERROR(VLOOKUP(A187,db_Feiertag,2,FALSE)),WEEKDAY(A187,2),Feiertag))</f>
        <v>6</v>
      </c>
      <c r="AN187" s="122">
        <f>SUM($AD$6:AD187)</f>
        <v>0</v>
      </c>
      <c r="AO187" s="122">
        <f ca="1">IF(D187=D186,AO186,OFFSET(AO187,-1,COLUMN(db_jSaldoGes)-COLUMN()))</f>
        <v>0</v>
      </c>
      <c r="AP187" s="126">
        <f>IF(OR($G187=-1,$G187=82),-1,IF(OR($G187=0,$G187=83),1,0))</f>
        <v>0</v>
      </c>
      <c r="AQ187" s="126">
        <f>IF($F187=Krank,1,IF($F187="J",-1,0))</f>
        <v>0</v>
      </c>
      <c r="AR187" s="126">
        <f>IF($F187=Urlaub,1,IF($F187="T",-1,0))</f>
        <v>0</v>
      </c>
      <c r="AS187" s="125">
        <f>IF(A187="","",AS186-IF(F187=Urlaub,1,0)+IF(AND(MONTH(A187)=1,DAY(A187)=1),B_UrlaubNeu,0))</f>
        <v>30</v>
      </c>
      <c r="AT187" s="125">
        <f ca="1">IF(A187="","",IF(D187=D186,AT186,OFFSET(AT187,-1,COLUMN(db_jUrlRest)-COLUMN()))+IF(AND(MONTH(A187)=1,DAY(A187)=1),B_UrlaubNeu,0))</f>
        <v>30</v>
      </c>
      <c r="AU187" s="135">
        <f>(IF(ISNUMBER(V187),V187,0)+IF(ISNUMBER(AD187),AD187,0))*24</f>
        <v>0</v>
      </c>
      <c r="AV187" s="125">
        <f>IF(ISNUMBER(AD187),K_ArbeitOverMax,IF(AND(ISNUMBER(AA187),AA187&gt;0),K_ArbeitOverTime,IF(AND(ISNUMBER(V187),V187&gt;0),K_ArbeitNormal,IF(F187=Krank,K_Krank,IF(F187=Urlaub,K_Urlaub,IF(AM187=Feiertag,K_Feiertag,IF(OR(AM187=6,AM187=7),K_Wochenende,0)))))))+IF(F187=Gleittag,K_Gleittag,0)</f>
        <v>7</v>
      </c>
      <c r="AW187" t="b">
        <f>OR((F187&gt;0),(NOT(ISBLANK(H187))),SUM(H187:H$373),SUM(G187:G$373))</f>
        <v>0</v>
      </c>
      <c r="AX187" t="b">
        <f ca="1">INDIRECT(ADDRESS(ROW(),COLUMN(xDay)))&gt;5</f>
        <v>1</v>
      </c>
      <c r="AY187" s="600">
        <f>IF(OR(R187&lt;&gt;0,F187&lt;&gt;0),AA187,IF(Z187="",0,-Z187))+(IF(AG187="+",AF187,-AF187))</f>
        <v>0</v>
      </c>
      <c r="AZ187" s="225">
        <f>SUM(AY$5:AY187)</f>
        <v>-35.875000000000021</v>
      </c>
      <c r="BA187" s="643"/>
      <c r="BB187" s="658">
        <f>IF(ISNA(MATCH(BA187,B_Arbeitsort,0)),0,MATCH(BA187,B_Arbeitsort,0))</f>
        <v>0</v>
      </c>
      <c r="BC187" s="643"/>
    </row>
    <row r="188" spans="1:55" ht="15.75">
      <c r="A188" s="305">
        <f>IF(A187="","",IF((A187+1)&gt;=DATE(YEAR(xJahr)+1,MONTH(xJahr),DAY(xJahr)),"",A187+1))</f>
        <v>43647</v>
      </c>
      <c r="B188" s="306">
        <f>IF(A188="","",A188)</f>
        <v>43647</v>
      </c>
      <c r="C188" s="307">
        <f>IF(A188="","",NumberOfWeek(A188))</f>
        <v>26</v>
      </c>
      <c r="D188" s="308">
        <f>IF(A188="","",DATE(YEAR(A188),MONTH(A188),1))</f>
        <v>43646</v>
      </c>
      <c r="E188" s="318" t="str">
        <f>IF((R188-U188)&gt;XWorkTimeMax,$Z$4,IF(AV188=Feiertag,VLOOKUP(B188,db_Feiertag,2,FALSE),""))</f>
        <v/>
      </c>
      <c r="F188" s="5"/>
      <c r="G188" s="6" t="str">
        <f>IF(ISBLANK(F188),IF(ISBLANK(H188),"",0),CODE(UPPER(F188)))</f>
        <v/>
      </c>
      <c r="H188" s="7"/>
      <c r="I188" s="7">
        <f>IF(H188&gt;0,H188+Y188+X188+AC188,0)</f>
        <v>0</v>
      </c>
      <c r="J188" s="113">
        <f>IF(K188&gt;I188,IF(I188&lt;H188,I188+1,I188)-B_WalkTime,IF(I188&lt;H188,I188+1,I188))</f>
        <v>0</v>
      </c>
      <c r="K188" s="7"/>
      <c r="L188" s="7">
        <f>IF(K188&gt;0,K188+IF((J188-H188)&lt;Y188,Y188-(J188-H188),TIME(0,10,0))+IF((K188-J188)&gt;xNoWorkTime,0,xNoWorkTime-(K188-J188)),0)</f>
        <v>0</v>
      </c>
      <c r="M188" s="113">
        <f>IF(L188&lt;K188,L188+1,L188)</f>
        <v>0</v>
      </c>
      <c r="N188" s="113"/>
      <c r="O188" s="113">
        <f>IF(N188&gt;0,N188+IF((J188-H188+M188-K188)&lt;Y188,Y188-(J188-H188+M188-K188),TIME(0,10,0))+IF((K188-J188+N188-M188)&gt;xNoWorkTime,0,xNoWorkTime-(K188-J188+N188-M188)),0)</f>
        <v>0</v>
      </c>
      <c r="P188" s="113"/>
      <c r="Q188" s="113">
        <f>IF(O188&lt;N188,O188+1,O188)</f>
        <v>0</v>
      </c>
      <c r="R188" s="113">
        <f>J188-H188+M188-K188+Q188-N188</f>
        <v>0</v>
      </c>
      <c r="S188" s="113">
        <f>IF(K188&gt;0,K188-I188,0)+IF(N188&gt;0,N188-L188)</f>
        <v>0</v>
      </c>
      <c r="T188" s="113">
        <f>IF(H188&gt;0,(IF(R188&gt;B_Pause1Nach,B_Pause1Dauer+IF(BA188="Büro",B_WalkTime,0),IF(BA188="Büro",B_WalkTime,0))+IF(R188&gt;B_Pause2Nach,B_Pause2Dauer,0)),0)</f>
        <v>0</v>
      </c>
      <c r="U188" s="113">
        <f>IF(T188&gt;S188,T188-S188,0)</f>
        <v>0</v>
      </c>
      <c r="V188" s="146">
        <f>IF(F188="S",Z188,(IF((R188-U188)&gt;XWorkTimeMax,XWorkTimeMax,IF((R188-U188)&gt;0,R188-U188,0))))</f>
        <v>0</v>
      </c>
      <c r="W188" s="66"/>
      <c r="X188" s="115">
        <f>xNoWorkTime</f>
        <v>4.027777777777778E-2</v>
      </c>
      <c r="Y188" s="110">
        <f>IF(AND((AM188&lt;Feiertag),(G188&lt;&gt;85)),IF(OR(F188="B",F188="G",F188="S",H188&gt;0),H188-H188+Z188,0),0)</f>
        <v>0</v>
      </c>
      <c r="Z188" s="111">
        <f>IF(AND(AM188&gt;0,AM188&lt;Feiertag),INDEX(Arbeitszeit,AM188),"")</f>
        <v>0</v>
      </c>
      <c r="AA188" s="112">
        <f>V188-Y188</f>
        <v>0</v>
      </c>
      <c r="AB188" s="67" t="str">
        <f>IF((V188-Y188)&lt;0,"*","")</f>
        <v/>
      </c>
      <c r="AC188" s="193">
        <f>xOverTime</f>
        <v>0</v>
      </c>
      <c r="AD188" s="144" t="str">
        <f>IF((R188-U188)&gt;XWorkTimeMax,(R188-U188-XWorkTimeMax),"")</f>
        <v/>
      </c>
      <c r="AE188" s="225">
        <f>IF(AW188,(AE187+SUM(AA188)+(IF(AG188="+",AF188,-AF188))),)</f>
        <v>0</v>
      </c>
      <c r="AF188" s="110"/>
      <c r="AG188" s="627"/>
      <c r="AH188" s="110"/>
      <c r="AI188" s="110" t="str">
        <f>IF(AND(AF188&lt;&gt;"",AF188&lt;=V188),V188-AF188,"")</f>
        <v/>
      </c>
      <c r="AJ188" s="68">
        <f>IF(ISNUMBER(V188 ), IF( V188 &gt;= Y188, Y188, V188 ),"")</f>
        <v>0</v>
      </c>
      <c r="AK188" s="68">
        <f>IF( ISNUMBER( V188 ), IF( V188 &gt;= Y188, V188 - Y188, "" ), "" )</f>
        <v>0</v>
      </c>
      <c r="AL188" s="68" t="str">
        <f>IF( AND(ISNUMBER( V188 ),ISNUMBER( Y188 )), IF( V188 &gt;= Y188, "", Y188 - V188 ), "" )</f>
        <v/>
      </c>
      <c r="AM188">
        <f>IF(A188="",0,IF(ISERROR(VLOOKUP(A188,db_Feiertag,2,FALSE)),WEEKDAY(A188,2),Feiertag))</f>
        <v>7</v>
      </c>
      <c r="AN188" s="122">
        <f>SUM($AD$6:AD188)</f>
        <v>0</v>
      </c>
      <c r="AO188" s="122">
        <f ca="1">IF(D188=D187,AO187,OFFSET(AO188,-1,COLUMN(db_jSaldoGes)-COLUMN()))</f>
        <v>0</v>
      </c>
      <c r="AP188" s="126">
        <f>IF(OR($G188=-1,$G188=82),-1,IF(OR($G188=0,$G188=83),1,0))</f>
        <v>0</v>
      </c>
      <c r="AQ188" s="126">
        <f>IF($F188=Krank,1,IF($F188="J",-1,0))</f>
        <v>0</v>
      </c>
      <c r="AR188" s="126">
        <f>IF($F188=Urlaub,1,IF($F188="T",-1,0))</f>
        <v>0</v>
      </c>
      <c r="AS188" s="125">
        <f>IF(A188="","",AS187-IF(F188=Urlaub,1,0)+IF(AND(MONTH(A188)=1,DAY(A188)=1),B_UrlaubNeu,0))</f>
        <v>30</v>
      </c>
      <c r="AT188" s="125">
        <f ca="1">IF(A188="","",IF(D188=D187,AT187,OFFSET(AT188,-1,COLUMN(db_jUrlRest)-COLUMN()))+IF(AND(MONTH(A188)=1,DAY(A188)=1),B_UrlaubNeu,0))</f>
        <v>30</v>
      </c>
      <c r="AU188" s="135">
        <f>(IF(ISNUMBER(V188),V188,0)+IF(ISNUMBER(AD188),AD188,0))*24</f>
        <v>0</v>
      </c>
      <c r="AV188" s="125">
        <f>IF(ISNUMBER(AD188),K_ArbeitOverMax,IF(AND(ISNUMBER(AA188),AA188&gt;0),K_ArbeitOverTime,IF(AND(ISNUMBER(V188),V188&gt;0),K_ArbeitNormal,IF(F188=Krank,K_Krank,IF(F188=Urlaub,K_Urlaub,IF(AM188=Feiertag,K_Feiertag,IF(OR(AM188=6,AM188=7),K_Wochenende,0)))))))+IF(F188=Gleittag,K_Gleittag,0)</f>
        <v>7</v>
      </c>
      <c r="AW188" t="b">
        <f>OR((F188&gt;0),(NOT(ISBLANK(H188))),SUM(H188:H$373),SUM(G188:G$373))</f>
        <v>0</v>
      </c>
      <c r="AX188" t="b">
        <f ca="1">INDIRECT(ADDRESS(ROW(),COLUMN(xDay)))&gt;5</f>
        <v>1</v>
      </c>
      <c r="AY188" s="600">
        <f>IF(OR(R188&lt;&gt;0,F188&lt;&gt;0),AA188,IF(Z188="",0,-Z188))+(IF(AG188="+",AF188,-AF188))</f>
        <v>0</v>
      </c>
      <c r="AZ188" s="225">
        <f>SUM(AY$5:AY188)</f>
        <v>-35.875000000000021</v>
      </c>
      <c r="BA188" s="643"/>
      <c r="BB188" s="658">
        <f>IF(ISNA(MATCH(BA188,B_Arbeitsort,0)),0,MATCH(BA188,B_Arbeitsort,0))</f>
        <v>0</v>
      </c>
      <c r="BC188" s="643"/>
    </row>
    <row r="189" spans="1:55" ht="15.75">
      <c r="A189" s="305">
        <f>IF(A188="","",IF((A188+1)&gt;=DATE(YEAR(xJahr)+1,MONTH(xJahr),DAY(xJahr)),"",A188+1))</f>
        <v>43648</v>
      </c>
      <c r="B189" s="306">
        <f>IF(A189="","",A189)</f>
        <v>43648</v>
      </c>
      <c r="C189" s="307">
        <f>IF(A189="","",NumberOfWeek(A189))</f>
        <v>27</v>
      </c>
      <c r="D189" s="308">
        <f>IF(A189="","",DATE(YEAR(A189),MONTH(A189),1))</f>
        <v>43646</v>
      </c>
      <c r="E189" s="318" t="str">
        <f>IF((R189-U189)&gt;XWorkTimeMax,$Z$4,IF(AV189=Feiertag,VLOOKUP(B189,db_Feiertag,2,FALSE),""))</f>
        <v/>
      </c>
      <c r="F189" s="5"/>
      <c r="G189" s="6" t="str">
        <f>IF(ISBLANK(F189),IF(ISBLANK(H189),"",0),CODE(UPPER(F189)))</f>
        <v/>
      </c>
      <c r="H189" s="7"/>
      <c r="I189" s="7">
        <f>IF(H189&gt;0,H189+Y189+X189+AC189,0)</f>
        <v>0</v>
      </c>
      <c r="J189" s="113">
        <f>IF(K189&gt;I189,IF(I189&lt;H189,I189+1,I189)-B_WalkTime,IF(I189&lt;H189,I189+1,I189))</f>
        <v>0</v>
      </c>
      <c r="K189" s="7"/>
      <c r="L189" s="7">
        <f>IF(K189&gt;0,K189+IF((J189-H189)&lt;Y189,Y189-(J189-H189),TIME(0,10,0))+IF((K189-J189)&gt;xNoWorkTime,0,xNoWorkTime-(K189-J189)),0)</f>
        <v>0</v>
      </c>
      <c r="M189" s="113">
        <f>IF(L189&lt;K189,L189+1,L189)</f>
        <v>0</v>
      </c>
      <c r="N189" s="113"/>
      <c r="O189" s="113">
        <f>IF(N189&gt;0,N189+IF((J189-H189+M189-K189)&lt;Y189,Y189-(J189-H189+M189-K189),TIME(0,10,0))+IF((K189-J189+N189-M189)&gt;xNoWorkTime,0,xNoWorkTime-(K189-J189+N189-M189)),0)</f>
        <v>0</v>
      </c>
      <c r="P189" s="113"/>
      <c r="Q189" s="113">
        <f>IF(O189&lt;N189,O189+1,O189)</f>
        <v>0</v>
      </c>
      <c r="R189" s="113">
        <f>J189-H189+M189-K189+Q189-N189</f>
        <v>0</v>
      </c>
      <c r="S189" s="113">
        <f>IF(K189&gt;0,K189-I189,0)+IF(N189&gt;0,N189-L189)</f>
        <v>0</v>
      </c>
      <c r="T189" s="113">
        <f>IF(H189&gt;0,(IF(R189&gt;B_Pause1Nach,B_Pause1Dauer+IF(BA189="Büro",B_WalkTime,0),IF(BA189="Büro",B_WalkTime,0))+IF(R189&gt;B_Pause2Nach,B_Pause2Dauer,0)),0)</f>
        <v>0</v>
      </c>
      <c r="U189" s="113">
        <f>IF(T189&gt;S189,T189-S189,0)</f>
        <v>0</v>
      </c>
      <c r="V189" s="146">
        <f>IF(F189="S",Z189,(IF((R189-U189)&gt;XWorkTimeMax,XWorkTimeMax,IF((R189-U189)&gt;0,R189-U189,0))))</f>
        <v>0</v>
      </c>
      <c r="W189" s="66"/>
      <c r="X189" s="115">
        <f>xNoWorkTime</f>
        <v>4.027777777777778E-2</v>
      </c>
      <c r="Y189" s="110">
        <f>IF(AND((AM189&lt;Feiertag),(G189&lt;&gt;85)),IF(OR(F189="B",F189="G",F189="S",H189&gt;0),H189-H189+Z189,0),0)</f>
        <v>0</v>
      </c>
      <c r="Z189" s="111">
        <f>IF(AND(AM189&gt;0,AM189&lt;Feiertag),INDEX(Arbeitszeit,AM189),"")</f>
        <v>0.29166666666666669</v>
      </c>
      <c r="AA189" s="112">
        <f>V189-Y189</f>
        <v>0</v>
      </c>
      <c r="AB189" s="67" t="str">
        <f>IF((V189-Y189)&lt;0,"*","")</f>
        <v/>
      </c>
      <c r="AC189" s="193">
        <f>xOverTime</f>
        <v>0</v>
      </c>
      <c r="AD189" s="144" t="str">
        <f>IF((R189-U189)&gt;XWorkTimeMax,(R189-U189-XWorkTimeMax),"")</f>
        <v/>
      </c>
      <c r="AE189" s="225">
        <f>IF(AW189,(AE188+SUM(AA189)+(IF(AG189="+",AF189,-AF189))),)</f>
        <v>0</v>
      </c>
      <c r="AF189" s="110"/>
      <c r="AG189" s="627"/>
      <c r="AH189" s="110"/>
      <c r="AI189" s="110" t="str">
        <f>IF(AND(AF189&lt;&gt;"",AF189&lt;=V189),V189-AF189,"")</f>
        <v/>
      </c>
      <c r="AJ189" s="68">
        <f>IF(ISNUMBER(V189 ), IF( V189 &gt;= Y189, Y189, V189 ),"")</f>
        <v>0</v>
      </c>
      <c r="AK189" s="68">
        <f>IF( ISNUMBER( V189 ), IF( V189 &gt;= Y189, V189 - Y189, "" ), "" )</f>
        <v>0</v>
      </c>
      <c r="AL189" s="68" t="str">
        <f>IF( AND(ISNUMBER( V189 ),ISNUMBER( Y189 )), IF( V189 &gt;= Y189, "", Y189 - V189 ), "" )</f>
        <v/>
      </c>
      <c r="AM189">
        <f>IF(A189="",0,IF(ISERROR(VLOOKUP(A189,db_Feiertag,2,FALSE)),WEEKDAY(A189,2),Feiertag))</f>
        <v>1</v>
      </c>
      <c r="AN189" s="122">
        <f>SUM($AD$6:AD189)</f>
        <v>0</v>
      </c>
      <c r="AO189" s="122">
        <f ca="1">IF(D189=D188,AO188,OFFSET(AO189,-1,COLUMN(db_jSaldoGes)-COLUMN()))</f>
        <v>0</v>
      </c>
      <c r="AP189" s="126">
        <f>IF(OR($G189=-1,$G189=82),-1,IF(OR($G189=0,$G189=83),1,0))</f>
        <v>0</v>
      </c>
      <c r="AQ189" s="126">
        <f>IF($F189=Krank,1,IF($F189="J",-1,0))</f>
        <v>0</v>
      </c>
      <c r="AR189" s="126">
        <f>IF($F189=Urlaub,1,IF($F189="T",-1,0))</f>
        <v>0</v>
      </c>
      <c r="AS189" s="125">
        <f>IF(A189="","",AS188-IF(F189=Urlaub,1,0)+IF(AND(MONTH(A189)=1,DAY(A189)=1),B_UrlaubNeu,0))</f>
        <v>30</v>
      </c>
      <c r="AT189" s="125">
        <f ca="1">IF(A189="","",IF(D189=D188,AT188,OFFSET(AT189,-1,COLUMN(db_jUrlRest)-COLUMN()))+IF(AND(MONTH(A189)=1,DAY(A189)=1),B_UrlaubNeu,0))</f>
        <v>30</v>
      </c>
      <c r="AU189" s="135">
        <f>(IF(ISNUMBER(V189),V189,0)+IF(ISNUMBER(AD189),AD189,0))*24</f>
        <v>0</v>
      </c>
      <c r="AV189" s="125">
        <f>IF(ISNUMBER(AD189),K_ArbeitOverMax,IF(AND(ISNUMBER(AA189),AA189&gt;0),K_ArbeitOverTime,IF(AND(ISNUMBER(V189),V189&gt;0),K_ArbeitNormal,IF(F189=Krank,K_Krank,IF(F189=Urlaub,K_Urlaub,IF(AM189=Feiertag,K_Feiertag,IF(OR(AM189=6,AM189=7),K_Wochenende,0)))))))+IF(F189=Gleittag,K_Gleittag,0)</f>
        <v>0</v>
      </c>
      <c r="AW189" t="b">
        <f>OR((F189&gt;0),(NOT(ISBLANK(H189))),SUM(H189:H$373),SUM(G189:G$373))</f>
        <v>0</v>
      </c>
      <c r="AX189" t="b">
        <f ca="1">INDIRECT(ADDRESS(ROW(),COLUMN(xDay)))&gt;5</f>
        <v>0</v>
      </c>
      <c r="AY189" s="600">
        <f>IF(OR(R189&lt;&gt;0,F189&lt;&gt;0),AA189,IF(Z189="",0,-Z189))+(IF(AG189="+",AF189,-AF189))</f>
        <v>-0.29166666666666669</v>
      </c>
      <c r="AZ189" s="225">
        <f>SUM(AY$5:AY189)</f>
        <v>-36.166666666666686</v>
      </c>
      <c r="BA189" s="658"/>
      <c r="BB189" s="658">
        <f>IF(ISNA(MATCH(BA189,B_Arbeitsort,0)),0,MATCH(BA189,B_Arbeitsort,0))</f>
        <v>0</v>
      </c>
      <c r="BC189" s="658"/>
    </row>
    <row r="190" spans="1:55" ht="15.75">
      <c r="A190" s="305">
        <f>IF(A189="","",IF((A189+1)&gt;=DATE(YEAR(xJahr)+1,MONTH(xJahr),DAY(xJahr)),"",A189+1))</f>
        <v>43649</v>
      </c>
      <c r="B190" s="306">
        <f>IF(A190="","",A190)</f>
        <v>43649</v>
      </c>
      <c r="C190" s="307">
        <f>IF(A190="","",NumberOfWeek(A190))</f>
        <v>27</v>
      </c>
      <c r="D190" s="308">
        <f>IF(A190="","",DATE(YEAR(A190),MONTH(A190),1))</f>
        <v>43646</v>
      </c>
      <c r="E190" s="318" t="str">
        <f>IF((R190-U190)&gt;XWorkTimeMax,$Z$4,IF(AV190=Feiertag,VLOOKUP(B190,db_Feiertag,2,FALSE),""))</f>
        <v/>
      </c>
      <c r="F190" s="5"/>
      <c r="G190" s="6" t="str">
        <f>IF(ISBLANK(F190),IF(ISBLANK(H190),"",0),CODE(UPPER(F190)))</f>
        <v/>
      </c>
      <c r="H190" s="7"/>
      <c r="I190" s="7">
        <f>IF(H190&gt;0,H190+Y190+X190+AC190,0)</f>
        <v>0</v>
      </c>
      <c r="J190" s="113">
        <f>IF(K190&gt;I190,IF(I190&lt;H190,I190+1,I190)-B_WalkTime,IF(I190&lt;H190,I190+1,I190))</f>
        <v>0</v>
      </c>
      <c r="K190" s="7"/>
      <c r="L190" s="7">
        <f>IF(K190&gt;0,K190+IF((J190-H190)&lt;Y190,Y190-(J190-H190),TIME(0,10,0))+IF((K190-J190)&gt;xNoWorkTime,0,xNoWorkTime-(K190-J190)),0)</f>
        <v>0</v>
      </c>
      <c r="M190" s="113">
        <f>IF(L190&lt;K190,L190+1,L190)</f>
        <v>0</v>
      </c>
      <c r="N190" s="113"/>
      <c r="O190" s="113">
        <f>IF(N190&gt;0,N190+IF((J190-H190+M190-K190)&lt;Y190,Y190-(J190-H190+M190-K190),TIME(0,10,0))+IF((K190-J190+N190-M190)&gt;xNoWorkTime,0,xNoWorkTime-(K190-J190+N190-M190)),0)</f>
        <v>0</v>
      </c>
      <c r="P190" s="113"/>
      <c r="Q190" s="113">
        <f>IF(O190&lt;N190,O190+1,O190)</f>
        <v>0</v>
      </c>
      <c r="R190" s="113">
        <f>J190-H190+M190-K190+Q190-N190</f>
        <v>0</v>
      </c>
      <c r="S190" s="113">
        <f>IF(K190&gt;0,K190-I190,0)+IF(N190&gt;0,N190-L190)</f>
        <v>0</v>
      </c>
      <c r="T190" s="113">
        <f>IF(H190&gt;0,(IF(R190&gt;B_Pause1Nach,B_Pause1Dauer+IF(BA190="Büro",B_WalkTime,0),IF(BA190="Büro",B_WalkTime,0))+IF(R190&gt;B_Pause2Nach,B_Pause2Dauer,0)),0)</f>
        <v>0</v>
      </c>
      <c r="U190" s="113">
        <f>IF(T190&gt;S190,T190-S190,0)</f>
        <v>0</v>
      </c>
      <c r="V190" s="146">
        <f>IF(F190="S",Z190,(IF((R190-U190)&gt;XWorkTimeMax,XWorkTimeMax,IF((R190-U190)&gt;0,R190-U190,0))))</f>
        <v>0</v>
      </c>
      <c r="W190" s="66"/>
      <c r="X190" s="115">
        <f>xNoWorkTime</f>
        <v>4.027777777777778E-2</v>
      </c>
      <c r="Y190" s="110">
        <f>IF(AND((AM190&lt;Feiertag),(G190&lt;&gt;85)),IF(OR(F190="B",F190="G",F190="S",H190&gt;0),H190-H190+Z190,0),0)</f>
        <v>0</v>
      </c>
      <c r="Z190" s="111">
        <f>IF(AND(AM190&gt;0,AM190&lt;Feiertag),INDEX(Arbeitszeit,AM190),"")</f>
        <v>0.29166666666666669</v>
      </c>
      <c r="AA190" s="112">
        <f>V190-Y190</f>
        <v>0</v>
      </c>
      <c r="AB190" s="67" t="str">
        <f>IF((V190-Y190)&lt;0,"*","")</f>
        <v/>
      </c>
      <c r="AC190" s="193">
        <f>xOverTime</f>
        <v>0</v>
      </c>
      <c r="AD190" s="144" t="str">
        <f>IF((R190-U190)&gt;XWorkTimeMax,(R190-U190-XWorkTimeMax),"")</f>
        <v/>
      </c>
      <c r="AE190" s="225">
        <f>IF(AW190,(AE189+SUM(AA190)+(IF(AG190="+",AF190,-AF190))),)</f>
        <v>0</v>
      </c>
      <c r="AF190" s="110"/>
      <c r="AG190" s="627"/>
      <c r="AH190" s="110"/>
      <c r="AI190" s="110" t="str">
        <f>IF(AND(AF190&lt;&gt;"",AF190&lt;=V190),V190-AF190,"")</f>
        <v/>
      </c>
      <c r="AJ190" s="68">
        <f>IF(ISNUMBER(V190 ), IF( V190 &gt;= Y190, Y190, V190 ),"")</f>
        <v>0</v>
      </c>
      <c r="AK190" s="68">
        <f>IF( ISNUMBER( V190 ), IF( V190 &gt;= Y190, V190 - Y190, "" ), "" )</f>
        <v>0</v>
      </c>
      <c r="AL190" s="68" t="str">
        <f>IF( AND(ISNUMBER( V190 ),ISNUMBER( Y190 )), IF( V190 &gt;= Y190, "", Y190 - V190 ), "" )</f>
        <v/>
      </c>
      <c r="AM190">
        <f>IF(A190="",0,IF(ISERROR(VLOOKUP(A190,db_Feiertag,2,FALSE)),WEEKDAY(A190,2),Feiertag))</f>
        <v>2</v>
      </c>
      <c r="AN190" s="122">
        <f>SUM($AD$6:AD190)</f>
        <v>0</v>
      </c>
      <c r="AO190" s="122">
        <f ca="1">IF(D190=D189,AO189,OFFSET(AO190,-1,COLUMN(db_jSaldoGes)-COLUMN()))</f>
        <v>0</v>
      </c>
      <c r="AP190" s="126">
        <f>IF(OR($G190=-1,$G190=82),-1,IF(OR($G190=0,$G190=83),1,0))</f>
        <v>0</v>
      </c>
      <c r="AQ190" s="126">
        <f>IF($F190=Krank,1,IF($F190="J",-1,0))</f>
        <v>0</v>
      </c>
      <c r="AR190" s="126">
        <f>IF($F190=Urlaub,1,IF($F190="T",-1,0))</f>
        <v>0</v>
      </c>
      <c r="AS190" s="125">
        <f>IF(A190="","",AS189-IF(F190=Urlaub,1,0)+IF(AND(MONTH(A190)=1,DAY(A190)=1),B_UrlaubNeu,0))</f>
        <v>30</v>
      </c>
      <c r="AT190" s="125">
        <f ca="1">IF(A190="","",IF(D190=D189,AT189,OFFSET(AT190,-1,COLUMN(db_jUrlRest)-COLUMN()))+IF(AND(MONTH(A190)=1,DAY(A190)=1),B_UrlaubNeu,0))</f>
        <v>30</v>
      </c>
      <c r="AU190" s="135">
        <f>(IF(ISNUMBER(V190),V190,0)+IF(ISNUMBER(AD190),AD190,0))*24</f>
        <v>0</v>
      </c>
      <c r="AV190" s="125">
        <f>IF(ISNUMBER(AD190),K_ArbeitOverMax,IF(AND(ISNUMBER(AA190),AA190&gt;0),K_ArbeitOverTime,IF(AND(ISNUMBER(V190),V190&gt;0),K_ArbeitNormal,IF(F190=Krank,K_Krank,IF(F190=Urlaub,K_Urlaub,IF(AM190=Feiertag,K_Feiertag,IF(OR(AM190=6,AM190=7),K_Wochenende,0)))))))+IF(F190=Gleittag,K_Gleittag,0)</f>
        <v>0</v>
      </c>
      <c r="AW190" t="b">
        <f>OR((F190&gt;0),(NOT(ISBLANK(H190))),SUM(H190:H$373),SUM(G190:G$373))</f>
        <v>0</v>
      </c>
      <c r="AX190" t="b">
        <f ca="1">INDIRECT(ADDRESS(ROW(),COLUMN(xDay)))&gt;5</f>
        <v>0</v>
      </c>
      <c r="AY190" s="600">
        <f>IF(OR(R190&lt;&gt;0,F190&lt;&gt;0),AA190,IF(Z190="",0,-Z190))+(IF(AG190="+",AF190,-AF190))</f>
        <v>-0.29166666666666669</v>
      </c>
      <c r="AZ190" s="225">
        <f>SUM(AY$5:AY190)</f>
        <v>-36.45833333333335</v>
      </c>
      <c r="BA190" s="658"/>
      <c r="BB190" s="658">
        <f>IF(ISNA(MATCH(BA190,B_Arbeitsort,0)),0,MATCH(BA190,B_Arbeitsort,0))</f>
        <v>0</v>
      </c>
      <c r="BC190" s="658"/>
    </row>
    <row r="191" spans="1:55" ht="15.75">
      <c r="A191" s="305">
        <f>IF(A190="","",IF((A190+1)&gt;=DATE(YEAR(xJahr)+1,MONTH(xJahr),DAY(xJahr)),"",A190+1))</f>
        <v>43650</v>
      </c>
      <c r="B191" s="306">
        <f>IF(A191="","",A191)</f>
        <v>43650</v>
      </c>
      <c r="C191" s="307">
        <f>IF(A191="","",NumberOfWeek(A191))</f>
        <v>27</v>
      </c>
      <c r="D191" s="308">
        <f>IF(A191="","",DATE(YEAR(A191),MONTH(A191),1))</f>
        <v>43646</v>
      </c>
      <c r="E191" s="318" t="str">
        <f>IF((R191-U191)&gt;XWorkTimeMax,$Z$4,IF(AV191=Feiertag,VLOOKUP(B191,db_Feiertag,2,FALSE),""))</f>
        <v/>
      </c>
      <c r="F191" s="5"/>
      <c r="G191" s="6" t="str">
        <f>IF(ISBLANK(F191),IF(ISBLANK(H191),"",0),CODE(UPPER(F191)))</f>
        <v/>
      </c>
      <c r="H191" s="7"/>
      <c r="I191" s="7">
        <f>IF(H191&gt;0,H191+Y191+X191+AC191,0)</f>
        <v>0</v>
      </c>
      <c r="J191" s="113">
        <f>IF(K191&gt;I191,IF(I191&lt;H191,I191+1,I191)-B_WalkTime,IF(I191&lt;H191,I191+1,I191))</f>
        <v>0</v>
      </c>
      <c r="K191" s="7"/>
      <c r="L191" s="7">
        <f>IF(K191&gt;0,K191+IF((J191-H191)&lt;Y191,Y191-(J191-H191),TIME(0,10,0))+IF((K191-J191)&gt;xNoWorkTime,0,xNoWorkTime-(K191-J191)),0)</f>
        <v>0</v>
      </c>
      <c r="M191" s="113">
        <f>IF(L191&lt;K191,L191+1,L191)</f>
        <v>0</v>
      </c>
      <c r="N191" s="113"/>
      <c r="O191" s="113">
        <f>IF(N191&gt;0,N191+IF((J191-H191+M191-K191)&lt;Y191,Y191-(J191-H191+M191-K191),TIME(0,10,0))+IF((K191-J191+N191-M191)&gt;xNoWorkTime,0,xNoWorkTime-(K191-J191+N191-M191)),0)</f>
        <v>0</v>
      </c>
      <c r="P191" s="113"/>
      <c r="Q191" s="113">
        <f>IF(O191&lt;N191,O191+1,O191)</f>
        <v>0</v>
      </c>
      <c r="R191" s="113">
        <f>J191-H191+M191-K191+Q191-N191</f>
        <v>0</v>
      </c>
      <c r="S191" s="113">
        <f>IF(K191&gt;0,K191-I191,0)+IF(N191&gt;0,N191-L191)</f>
        <v>0</v>
      </c>
      <c r="T191" s="113">
        <f>IF(H191&gt;0,(IF(R191&gt;B_Pause1Nach,B_Pause1Dauer+IF(BA191="Büro",B_WalkTime,0),IF(BA191="Büro",B_WalkTime,0))+IF(R191&gt;B_Pause2Nach,B_Pause2Dauer,0)),0)</f>
        <v>0</v>
      </c>
      <c r="U191" s="113">
        <f>IF(T191&gt;S191,T191-S191,0)</f>
        <v>0</v>
      </c>
      <c r="V191" s="146">
        <f>IF(F191="S",Z191,(IF((R191-U191)&gt;XWorkTimeMax,XWorkTimeMax,IF((R191-U191)&gt;0,R191-U191,0))))</f>
        <v>0</v>
      </c>
      <c r="W191" s="66"/>
      <c r="X191" s="115">
        <f>xNoWorkTime</f>
        <v>4.027777777777778E-2</v>
      </c>
      <c r="Y191" s="110">
        <f>IF(AND((AM191&lt;Feiertag),(G191&lt;&gt;85)),IF(OR(F191="B",F191="G",F191="S",H191&gt;0),H191-H191+Z191,0),0)</f>
        <v>0</v>
      </c>
      <c r="Z191" s="111">
        <f>IF(AND(AM191&gt;0,AM191&lt;Feiertag),INDEX(Arbeitszeit,AM191),"")</f>
        <v>0.29166666666666669</v>
      </c>
      <c r="AA191" s="112">
        <f>V191-Y191</f>
        <v>0</v>
      </c>
      <c r="AB191" s="67" t="str">
        <f>IF((V191-Y191)&lt;0,"*","")</f>
        <v/>
      </c>
      <c r="AC191" s="193">
        <f>xOverTime</f>
        <v>0</v>
      </c>
      <c r="AD191" s="144" t="str">
        <f>IF((R191-U191)&gt;XWorkTimeMax,(R191-U191-XWorkTimeMax),"")</f>
        <v/>
      </c>
      <c r="AE191" s="225">
        <f>IF(AW191,(AE190+SUM(AA191)+(IF(AG191="+",AF191,-AF191))),)</f>
        <v>0</v>
      </c>
      <c r="AF191" s="110"/>
      <c r="AG191" s="627"/>
      <c r="AH191" s="110"/>
      <c r="AI191" s="110" t="str">
        <f>IF(AND(AF191&lt;&gt;"",AF191&lt;=V191),V191-AF191,"")</f>
        <v/>
      </c>
      <c r="AJ191" s="68">
        <f>IF(ISNUMBER(V191 ), IF( V191 &gt;= Y191, Y191, V191 ),"")</f>
        <v>0</v>
      </c>
      <c r="AK191" s="68">
        <f>IF( ISNUMBER( V191 ), IF( V191 &gt;= Y191, V191 - Y191, "" ), "" )</f>
        <v>0</v>
      </c>
      <c r="AL191" s="68" t="str">
        <f>IF( AND(ISNUMBER( V191 ),ISNUMBER( Y191 )), IF( V191 &gt;= Y191, "", Y191 - V191 ), "" )</f>
        <v/>
      </c>
      <c r="AM191">
        <f>IF(A191="",0,IF(ISERROR(VLOOKUP(A191,db_Feiertag,2,FALSE)),WEEKDAY(A191,2),Feiertag))</f>
        <v>3</v>
      </c>
      <c r="AN191" s="122">
        <f>SUM($AD$6:AD191)</f>
        <v>0</v>
      </c>
      <c r="AO191" s="122">
        <f ca="1">IF(D191=D190,AO190,OFFSET(AO191,-1,COLUMN(db_jSaldoGes)-COLUMN()))</f>
        <v>0</v>
      </c>
      <c r="AP191" s="126">
        <f>IF(OR($G191=-1,$G191=82),-1,IF(OR($G191=0,$G191=83),1,0))</f>
        <v>0</v>
      </c>
      <c r="AQ191" s="126">
        <f>IF($F191=Krank,1,IF($F191="J",-1,0))</f>
        <v>0</v>
      </c>
      <c r="AR191" s="126">
        <f>IF($F191=Urlaub,1,IF($F191="T",-1,0))</f>
        <v>0</v>
      </c>
      <c r="AS191" s="125">
        <f>IF(A191="","",AS190-IF(F191=Urlaub,1,0)+IF(AND(MONTH(A191)=1,DAY(A191)=1),B_UrlaubNeu,0))</f>
        <v>30</v>
      </c>
      <c r="AT191" s="125">
        <f ca="1">IF(A191="","",IF(D191=D190,AT190,OFFSET(AT191,-1,COLUMN(db_jUrlRest)-COLUMN()))+IF(AND(MONTH(A191)=1,DAY(A191)=1),B_UrlaubNeu,0))</f>
        <v>30</v>
      </c>
      <c r="AU191" s="135">
        <f>(IF(ISNUMBER(V191),V191,0)+IF(ISNUMBER(AD191),AD191,0))*24</f>
        <v>0</v>
      </c>
      <c r="AV191" s="125">
        <f>IF(ISNUMBER(AD191),K_ArbeitOverMax,IF(AND(ISNUMBER(AA191),AA191&gt;0),K_ArbeitOverTime,IF(AND(ISNUMBER(V191),V191&gt;0),K_ArbeitNormal,IF(F191=Krank,K_Krank,IF(F191=Urlaub,K_Urlaub,IF(AM191=Feiertag,K_Feiertag,IF(OR(AM191=6,AM191=7),K_Wochenende,0)))))))+IF(F191=Gleittag,K_Gleittag,0)</f>
        <v>0</v>
      </c>
      <c r="AW191" t="b">
        <f>OR((F191&gt;0),(NOT(ISBLANK(H191))),SUM(H191:H$373),SUM(G191:G$373))</f>
        <v>0</v>
      </c>
      <c r="AX191" t="b">
        <f ca="1">INDIRECT(ADDRESS(ROW(),COLUMN(xDay)))&gt;5</f>
        <v>0</v>
      </c>
      <c r="AY191" s="600">
        <f>IF(OR(R191&lt;&gt;0,F191&lt;&gt;0),AA191,IF(Z191="",0,-Z191))+(IF(AG191="+",AF191,-AF191))</f>
        <v>-0.29166666666666669</v>
      </c>
      <c r="AZ191" s="225">
        <f>SUM(AY$5:AY191)</f>
        <v>-36.750000000000014</v>
      </c>
      <c r="BA191" s="658"/>
      <c r="BB191" s="658">
        <f>IF(ISNA(MATCH(BA191,B_Arbeitsort,0)),0,MATCH(BA191,B_Arbeitsort,0))</f>
        <v>0</v>
      </c>
      <c r="BC191" s="658"/>
    </row>
    <row r="192" spans="1:55" ht="15.75">
      <c r="A192" s="305">
        <f>IF(A191="","",IF((A191+1)&gt;=DATE(YEAR(xJahr)+1,MONTH(xJahr),DAY(xJahr)),"",A191+1))</f>
        <v>43651</v>
      </c>
      <c r="B192" s="306">
        <f>IF(A192="","",A192)</f>
        <v>43651</v>
      </c>
      <c r="C192" s="307">
        <f>IF(A192="","",NumberOfWeek(A192))</f>
        <v>27</v>
      </c>
      <c r="D192" s="308">
        <f>IF(A192="","",DATE(YEAR(A192),MONTH(A192),1))</f>
        <v>43646</v>
      </c>
      <c r="E192" s="318" t="str">
        <f>IF((R192-U192)&gt;XWorkTimeMax,$Z$4,IF(AV192=Feiertag,VLOOKUP(B192,db_Feiertag,2,FALSE),""))</f>
        <v/>
      </c>
      <c r="F192" s="5"/>
      <c r="G192" s="6" t="str">
        <f>IF(ISBLANK(F192),IF(ISBLANK(H192),"",0),CODE(UPPER(F192)))</f>
        <v/>
      </c>
      <c r="H192" s="7"/>
      <c r="I192" s="7">
        <f>IF(H192&gt;0,H192+Y192+X192+AC192,0)</f>
        <v>0</v>
      </c>
      <c r="J192" s="113">
        <f>IF(K192&gt;I192,IF(I192&lt;H192,I192+1,I192)-B_WalkTime,IF(I192&lt;H192,I192+1,I192))</f>
        <v>0</v>
      </c>
      <c r="K192" s="7"/>
      <c r="L192" s="7">
        <f>IF(K192&gt;0,K192+IF((J192-H192)&lt;Y192,Y192-(J192-H192),TIME(0,10,0))+IF((K192-J192)&gt;xNoWorkTime,0,xNoWorkTime-(K192-J192)),0)</f>
        <v>0</v>
      </c>
      <c r="M192" s="113">
        <f>IF(L192&lt;K192,L192+1,L192)</f>
        <v>0</v>
      </c>
      <c r="N192" s="113"/>
      <c r="O192" s="113">
        <f>IF(N192&gt;0,N192+IF((J192-H192+M192-K192)&lt;Y192,Y192-(J192-H192+M192-K192),TIME(0,10,0))+IF((K192-J192+N192-M192)&gt;xNoWorkTime,0,xNoWorkTime-(K192-J192+N192-M192)),0)</f>
        <v>0</v>
      </c>
      <c r="P192" s="113"/>
      <c r="Q192" s="113">
        <f>IF(O192&lt;N192,O192+1,O192)</f>
        <v>0</v>
      </c>
      <c r="R192" s="113">
        <f>J192-H192+M192-K192+Q192-N192</f>
        <v>0</v>
      </c>
      <c r="S192" s="113">
        <f>IF(K192&gt;0,K192-I192,0)+IF(N192&gt;0,N192-L192)</f>
        <v>0</v>
      </c>
      <c r="T192" s="113">
        <f>IF(H192&gt;0,(IF(R192&gt;B_Pause1Nach,B_Pause1Dauer+IF(BA192="Büro",B_WalkTime,0),IF(BA192="Büro",B_WalkTime,0))+IF(R192&gt;B_Pause2Nach,B_Pause2Dauer,0)),0)</f>
        <v>0</v>
      </c>
      <c r="U192" s="113">
        <f>IF(T192&gt;S192,T192-S192,0)</f>
        <v>0</v>
      </c>
      <c r="V192" s="146">
        <f>IF(F192="S",Z192,(IF((R192-U192)&gt;XWorkTimeMax,XWorkTimeMax,IF((R192-U192)&gt;0,R192-U192,0))))</f>
        <v>0</v>
      </c>
      <c r="W192" s="66"/>
      <c r="X192" s="115">
        <f>xNoWorkTime</f>
        <v>4.027777777777778E-2</v>
      </c>
      <c r="Y192" s="110">
        <f>IF(AND((AM192&lt;Feiertag),(G192&lt;&gt;85)),IF(OR(F192="B",F192="G",F192="S",H192&gt;0),H192-H192+Z192,0),0)</f>
        <v>0</v>
      </c>
      <c r="Z192" s="111">
        <f>IF(AND(AM192&gt;0,AM192&lt;Feiertag),INDEX(Arbeitszeit,AM192),"")</f>
        <v>0.29166666666666669</v>
      </c>
      <c r="AA192" s="112">
        <f>V192-Y192</f>
        <v>0</v>
      </c>
      <c r="AB192" s="67" t="str">
        <f>IF((V192-Y192)&lt;0,"*","")</f>
        <v/>
      </c>
      <c r="AC192" s="193">
        <f>xOverTime</f>
        <v>0</v>
      </c>
      <c r="AD192" s="144" t="str">
        <f>IF((R192-U192)&gt;XWorkTimeMax,(R192-U192-XWorkTimeMax),"")</f>
        <v/>
      </c>
      <c r="AE192" s="225">
        <f>IF(AW192,(AE191+SUM(AA192)+(IF(AG192="+",AF192,-AF192))),)</f>
        <v>0</v>
      </c>
      <c r="AF192" s="110"/>
      <c r="AG192" s="627"/>
      <c r="AH192" s="110"/>
      <c r="AI192" s="110" t="str">
        <f>IF(AND(AF192&lt;&gt;"",AF192&lt;=V192),V192-AF192,"")</f>
        <v/>
      </c>
      <c r="AJ192" s="68">
        <f>IF(ISNUMBER(V192 ), IF( V192 &gt;= Y192, Y192, V192 ),"")</f>
        <v>0</v>
      </c>
      <c r="AK192" s="68">
        <f>IF( ISNUMBER( V192 ), IF( V192 &gt;= Y192, V192 - Y192, "" ), "" )</f>
        <v>0</v>
      </c>
      <c r="AL192" s="68" t="str">
        <f>IF( AND(ISNUMBER( V192 ),ISNUMBER( Y192 )), IF( V192 &gt;= Y192, "", Y192 - V192 ), "" )</f>
        <v/>
      </c>
      <c r="AM192">
        <f>IF(A192="",0,IF(ISERROR(VLOOKUP(A192,db_Feiertag,2,FALSE)),WEEKDAY(A192,2),Feiertag))</f>
        <v>4</v>
      </c>
      <c r="AN192" s="122">
        <f>SUM($AD$6:AD192)</f>
        <v>0</v>
      </c>
      <c r="AO192" s="122">
        <f ca="1">IF(D192=D191,AO191,OFFSET(AO192,-1,COLUMN(db_jSaldoGes)-COLUMN()))</f>
        <v>0</v>
      </c>
      <c r="AP192" s="126">
        <f>IF(OR($G192=-1,$G192=82),-1,IF(OR($G192=0,$G192=83),1,0))</f>
        <v>0</v>
      </c>
      <c r="AQ192" s="126">
        <f>IF($F192=Krank,1,IF($F192="J",-1,0))</f>
        <v>0</v>
      </c>
      <c r="AR192" s="126">
        <f>IF($F192=Urlaub,1,IF($F192="T",-1,0))</f>
        <v>0</v>
      </c>
      <c r="AS192" s="125">
        <f>IF(A192="","",AS191-IF(F192=Urlaub,1,0)+IF(AND(MONTH(A192)=1,DAY(A192)=1),B_UrlaubNeu,0))</f>
        <v>30</v>
      </c>
      <c r="AT192" s="125">
        <f ca="1">IF(A192="","",IF(D192=D191,AT191,OFFSET(AT192,-1,COLUMN(db_jUrlRest)-COLUMN()))+IF(AND(MONTH(A192)=1,DAY(A192)=1),B_UrlaubNeu,0))</f>
        <v>30</v>
      </c>
      <c r="AU192" s="135">
        <f>(IF(ISNUMBER(V192),V192,0)+IF(ISNUMBER(AD192),AD192,0))*24</f>
        <v>0</v>
      </c>
      <c r="AV192" s="125">
        <f>IF(ISNUMBER(AD192),K_ArbeitOverMax,IF(AND(ISNUMBER(AA192),AA192&gt;0),K_ArbeitOverTime,IF(AND(ISNUMBER(V192),V192&gt;0),K_ArbeitNormal,IF(F192=Krank,K_Krank,IF(F192=Urlaub,K_Urlaub,IF(AM192=Feiertag,K_Feiertag,IF(OR(AM192=6,AM192=7),K_Wochenende,0)))))))+IF(F192=Gleittag,K_Gleittag,0)</f>
        <v>0</v>
      </c>
      <c r="AW192" t="b">
        <f>OR((F192&gt;0),(NOT(ISBLANK(H192))),SUM(H192:H$373),SUM(G192:G$373))</f>
        <v>0</v>
      </c>
      <c r="AX192" t="b">
        <f ca="1">INDIRECT(ADDRESS(ROW(),COLUMN(xDay)))&gt;5</f>
        <v>0</v>
      </c>
      <c r="AY192" s="600">
        <f>IF(OR(R192&lt;&gt;0,F192&lt;&gt;0),AA192,IF(Z192="",0,-Z192))+(IF(AG192="+",AF192,-AF192))</f>
        <v>-0.29166666666666669</v>
      </c>
      <c r="AZ192" s="225">
        <f>SUM(AY$5:AY192)</f>
        <v>-37.041666666666679</v>
      </c>
      <c r="BA192" s="658"/>
      <c r="BB192" s="658">
        <f>IF(ISNA(MATCH(BA192,B_Arbeitsort,0)),0,MATCH(BA192,B_Arbeitsort,0))</f>
        <v>0</v>
      </c>
      <c r="BC192" s="658"/>
    </row>
    <row r="193" spans="1:55" ht="15.75">
      <c r="A193" s="305">
        <f>IF(A192="","",IF((A192+1)&gt;=DATE(YEAR(xJahr)+1,MONTH(xJahr),DAY(xJahr)),"",A192+1))</f>
        <v>43652</v>
      </c>
      <c r="B193" s="306">
        <f>IF(A193="","",A193)</f>
        <v>43652</v>
      </c>
      <c r="C193" s="307">
        <f>IF(A193="","",NumberOfWeek(A193))</f>
        <v>27</v>
      </c>
      <c r="D193" s="308">
        <f>IF(A193="","",DATE(YEAR(A193),MONTH(A193),1))</f>
        <v>43646</v>
      </c>
      <c r="E193" s="318" t="str">
        <f>IF((R193-U193)&gt;XWorkTimeMax,$Z$4,IF(AV193=Feiertag,VLOOKUP(B193,db_Feiertag,2,FALSE),""))</f>
        <v/>
      </c>
      <c r="F193" s="5"/>
      <c r="G193" s="6" t="str">
        <f>IF(ISBLANK(F193),IF(ISBLANK(H193),"",0),CODE(UPPER(F193)))</f>
        <v/>
      </c>
      <c r="H193" s="7"/>
      <c r="I193" s="7">
        <f>IF(H193&gt;0,H193+Y193+X193+AC193,0)</f>
        <v>0</v>
      </c>
      <c r="J193" s="113">
        <f>IF(K193&gt;I193,IF(I193&lt;H193,I193+1,I193)-B_WalkTime,IF(I193&lt;H193,I193+1,I193))</f>
        <v>0</v>
      </c>
      <c r="K193" s="7"/>
      <c r="L193" s="7">
        <f>IF(K193&gt;0,K193+IF((J193-H193)&lt;Y193,Y193-(J193-H193),TIME(0,10,0))+IF((K193-J193)&gt;xNoWorkTime,0,xNoWorkTime-(K193-J193)),0)</f>
        <v>0</v>
      </c>
      <c r="M193" s="113">
        <f>IF(L193&lt;K193,L193+1,L193)</f>
        <v>0</v>
      </c>
      <c r="N193" s="113"/>
      <c r="O193" s="113">
        <f>IF(N193&gt;0,N193+IF((J193-H193+M193-K193)&lt;Y193,Y193-(J193-H193+M193-K193),TIME(0,10,0))+IF((K193-J193+N193-M193)&gt;xNoWorkTime,0,xNoWorkTime-(K193-J193+N193-M193)),0)</f>
        <v>0</v>
      </c>
      <c r="P193" s="113"/>
      <c r="Q193" s="113">
        <f>IF(O193&lt;N193,O193+1,O193)</f>
        <v>0</v>
      </c>
      <c r="R193" s="113">
        <f>J193-H193+M193-K193+Q193-N193</f>
        <v>0</v>
      </c>
      <c r="S193" s="113">
        <f>IF(K193&gt;0,K193-I193,0)+IF(N193&gt;0,N193-L193)</f>
        <v>0</v>
      </c>
      <c r="T193" s="113">
        <f>IF(H193&gt;0,(IF(R193&gt;B_Pause1Nach,B_Pause1Dauer+IF(BA193="Büro",B_WalkTime,0),IF(BA193="Büro",B_WalkTime,0))+IF(R193&gt;B_Pause2Nach,B_Pause2Dauer,0)),0)</f>
        <v>0</v>
      </c>
      <c r="U193" s="113">
        <f>IF(T193&gt;S193,T193-S193,0)</f>
        <v>0</v>
      </c>
      <c r="V193" s="146">
        <f>IF(F193="S",Z193,(IF((R193-U193)&gt;XWorkTimeMax,XWorkTimeMax,IF((R193-U193)&gt;0,R193-U193,0))))</f>
        <v>0</v>
      </c>
      <c r="W193" s="66"/>
      <c r="X193" s="115">
        <f>xNoWorkTime</f>
        <v>4.027777777777778E-2</v>
      </c>
      <c r="Y193" s="110">
        <f>IF(AND((AM193&lt;Feiertag),(G193&lt;&gt;85)),IF(OR(F193="B",F193="G",F193="S",H193&gt;0),H193-H193+Z193,0),0)</f>
        <v>0</v>
      </c>
      <c r="Z193" s="111">
        <f>IF(AND(AM193&gt;0,AM193&lt;Feiertag),INDEX(Arbeitszeit,AM193),"")</f>
        <v>0.29166666666666669</v>
      </c>
      <c r="AA193" s="112">
        <f>V193-Y193</f>
        <v>0</v>
      </c>
      <c r="AB193" s="67" t="str">
        <f>IF((V193-Y193)&lt;0,"*","")</f>
        <v/>
      </c>
      <c r="AC193" s="193">
        <f>xOverTime</f>
        <v>0</v>
      </c>
      <c r="AD193" s="144" t="str">
        <f>IF((R193-U193)&gt;XWorkTimeMax,(R193-U193-XWorkTimeMax),"")</f>
        <v/>
      </c>
      <c r="AE193" s="225">
        <f>IF(AW193,(AE192+SUM(AA193)+(IF(AG193="+",AF193,-AF193))),)</f>
        <v>0</v>
      </c>
      <c r="AF193" s="110"/>
      <c r="AG193" s="627"/>
      <c r="AH193" s="110"/>
      <c r="AI193" s="110" t="str">
        <f>IF(AND(AF193&lt;&gt;"",AF193&lt;=V193),V193-AF193,"")</f>
        <v/>
      </c>
      <c r="AJ193" s="68">
        <f>IF(ISNUMBER(V193 ), IF( V193 &gt;= Y193, Y193, V193 ),"")</f>
        <v>0</v>
      </c>
      <c r="AK193" s="68">
        <f>IF( ISNUMBER( V193 ), IF( V193 &gt;= Y193, V193 - Y193, "" ), "" )</f>
        <v>0</v>
      </c>
      <c r="AL193" s="68" t="str">
        <f>IF( AND(ISNUMBER( V193 ),ISNUMBER( Y193 )), IF( V193 &gt;= Y193, "", Y193 - V193 ), "" )</f>
        <v/>
      </c>
      <c r="AM193">
        <f>IF(A193="",0,IF(ISERROR(VLOOKUP(A193,db_Feiertag,2,FALSE)),WEEKDAY(A193,2),Feiertag))</f>
        <v>5</v>
      </c>
      <c r="AN193" s="122">
        <f>SUM($AD$6:AD193)</f>
        <v>0</v>
      </c>
      <c r="AO193" s="122">
        <f ca="1">IF(D193=D192,AO192,OFFSET(AO193,-1,COLUMN(db_jSaldoGes)-COLUMN()))</f>
        <v>0</v>
      </c>
      <c r="AP193" s="126">
        <f>IF(OR($G193=-1,$G193=82),-1,IF(OR($G193=0,$G193=83),1,0))</f>
        <v>0</v>
      </c>
      <c r="AQ193" s="126">
        <f>IF($F193=Krank,1,IF($F193="J",-1,0))</f>
        <v>0</v>
      </c>
      <c r="AR193" s="126">
        <f>IF($F193=Urlaub,1,IF($F193="T",-1,0))</f>
        <v>0</v>
      </c>
      <c r="AS193" s="125">
        <f>IF(A193="","",AS192-IF(F193=Urlaub,1,0)+IF(AND(MONTH(A193)=1,DAY(A193)=1),B_UrlaubNeu,0))</f>
        <v>30</v>
      </c>
      <c r="AT193" s="125">
        <f ca="1">IF(A193="","",IF(D193=D192,AT192,OFFSET(AT193,-1,COLUMN(db_jUrlRest)-COLUMN()))+IF(AND(MONTH(A193)=1,DAY(A193)=1),B_UrlaubNeu,0))</f>
        <v>30</v>
      </c>
      <c r="AU193" s="135">
        <f>(IF(ISNUMBER(V193),V193,0)+IF(ISNUMBER(AD193),AD193,0))*24</f>
        <v>0</v>
      </c>
      <c r="AV193" s="125">
        <f>IF(ISNUMBER(AD193),K_ArbeitOverMax,IF(AND(ISNUMBER(AA193),AA193&gt;0),K_ArbeitOverTime,IF(AND(ISNUMBER(V193),V193&gt;0),K_ArbeitNormal,IF(F193=Krank,K_Krank,IF(F193=Urlaub,K_Urlaub,IF(AM193=Feiertag,K_Feiertag,IF(OR(AM193=6,AM193=7),K_Wochenende,0)))))))+IF(F193=Gleittag,K_Gleittag,0)</f>
        <v>0</v>
      </c>
      <c r="AW193" t="b">
        <f>OR((F193&gt;0),(NOT(ISBLANK(H193))),SUM(H193:H$373),SUM(G193:G$373))</f>
        <v>0</v>
      </c>
      <c r="AX193" t="b">
        <f ca="1">INDIRECT(ADDRESS(ROW(),COLUMN(xDay)))&gt;5</f>
        <v>0</v>
      </c>
      <c r="AY193" s="600">
        <f>IF(OR(R193&lt;&gt;0,F193&lt;&gt;0),AA193,IF(Z193="",0,-Z193))+(IF(AG193="+",AF193,-AF193))</f>
        <v>-0.29166666666666669</v>
      </c>
      <c r="AZ193" s="225">
        <f>SUM(AY$5:AY193)</f>
        <v>-37.333333333333343</v>
      </c>
      <c r="BA193" s="658"/>
      <c r="BB193" s="658">
        <f>IF(ISNA(MATCH(BA193,B_Arbeitsort,0)),0,MATCH(BA193,B_Arbeitsort,0))</f>
        <v>0</v>
      </c>
      <c r="BC193" s="658"/>
    </row>
    <row r="194" spans="1:55" ht="15.75">
      <c r="A194" s="305">
        <f>IF(A193="","",IF((A193+1)&gt;=DATE(YEAR(xJahr)+1,MONTH(xJahr),DAY(xJahr)),"",A193+1))</f>
        <v>43653</v>
      </c>
      <c r="B194" s="306">
        <f>IF(A194="","",A194)</f>
        <v>43653</v>
      </c>
      <c r="C194" s="307">
        <f>IF(A194="","",NumberOfWeek(A194))</f>
        <v>27</v>
      </c>
      <c r="D194" s="308">
        <f>IF(A194="","",DATE(YEAR(A194),MONTH(A194),1))</f>
        <v>43646</v>
      </c>
      <c r="E194" s="318" t="str">
        <f>IF((R194-U194)&gt;XWorkTimeMax,$Z$4,IF(AV194=Feiertag,VLOOKUP(B194,db_Feiertag,2,FALSE),""))</f>
        <v/>
      </c>
      <c r="F194" s="5"/>
      <c r="G194" s="6" t="str">
        <f>IF(ISBLANK(F194),IF(ISBLANK(H194),"",0),CODE(UPPER(F194)))</f>
        <v/>
      </c>
      <c r="H194" s="7"/>
      <c r="I194" s="7">
        <f>IF(H194&gt;0,H194+Y194+X194+AC194,0)</f>
        <v>0</v>
      </c>
      <c r="J194" s="113">
        <f>IF(K194&gt;I194,IF(I194&lt;H194,I194+1,I194)-B_WalkTime,IF(I194&lt;H194,I194+1,I194))</f>
        <v>0</v>
      </c>
      <c r="K194" s="7"/>
      <c r="L194" s="7">
        <f>IF(K194&gt;0,K194+IF((J194-H194)&lt;Y194,Y194-(J194-H194),TIME(0,10,0))+IF((K194-J194)&gt;xNoWorkTime,0,xNoWorkTime-(K194-J194)),0)</f>
        <v>0</v>
      </c>
      <c r="M194" s="113">
        <f>IF(L194&lt;K194,L194+1,L194)</f>
        <v>0</v>
      </c>
      <c r="N194" s="113"/>
      <c r="O194" s="113">
        <f>IF(N194&gt;0,N194+IF((J194-H194+M194-K194)&lt;Y194,Y194-(J194-H194+M194-K194),TIME(0,10,0))+IF((K194-J194+N194-M194)&gt;xNoWorkTime,0,xNoWorkTime-(K194-J194+N194-M194)),0)</f>
        <v>0</v>
      </c>
      <c r="P194" s="113"/>
      <c r="Q194" s="113">
        <f>IF(O194&lt;N194,O194+1,O194)</f>
        <v>0</v>
      </c>
      <c r="R194" s="113">
        <f>J194-H194+M194-K194+Q194-N194</f>
        <v>0</v>
      </c>
      <c r="S194" s="113">
        <f>IF(K194&gt;0,K194-I194,0)+IF(N194&gt;0,N194-L194)</f>
        <v>0</v>
      </c>
      <c r="T194" s="113">
        <f>IF(H194&gt;0,(IF(R194&gt;B_Pause1Nach,B_Pause1Dauer+IF(BA194="Büro",B_WalkTime,0),IF(BA194="Büro",B_WalkTime,0))+IF(R194&gt;B_Pause2Nach,B_Pause2Dauer,0)),0)</f>
        <v>0</v>
      </c>
      <c r="U194" s="113">
        <f>IF(T194&gt;S194,T194-S194,0)</f>
        <v>0</v>
      </c>
      <c r="V194" s="146">
        <f>IF(F194="S",Z194,(IF((R194-U194)&gt;XWorkTimeMax,XWorkTimeMax,IF((R194-U194)&gt;0,R194-U194,0))))</f>
        <v>0</v>
      </c>
      <c r="W194" s="66"/>
      <c r="X194" s="115">
        <f>xNoWorkTime</f>
        <v>4.027777777777778E-2</v>
      </c>
      <c r="Y194" s="110">
        <f>IF(AND((AM194&lt;Feiertag),(G194&lt;&gt;85)),IF(OR(F194="B",F194="G",F194="S",H194&gt;0),H194-H194+Z194,0),0)</f>
        <v>0</v>
      </c>
      <c r="Z194" s="111">
        <f>IF(AND(AM194&gt;0,AM194&lt;Feiertag),INDEX(Arbeitszeit,AM194),"")</f>
        <v>0</v>
      </c>
      <c r="AA194" s="112">
        <f>V194-Y194</f>
        <v>0</v>
      </c>
      <c r="AB194" s="67" t="str">
        <f>IF((V194-Y194)&lt;0,"*","")</f>
        <v/>
      </c>
      <c r="AC194" s="193">
        <f>xOverTime</f>
        <v>0</v>
      </c>
      <c r="AD194" s="144" t="str">
        <f>IF((R194-U194)&gt;XWorkTimeMax,(R194-U194-XWorkTimeMax),"")</f>
        <v/>
      </c>
      <c r="AE194" s="225">
        <f>IF(AW194,(AE193+SUM(AA194)+(IF(AG194="+",AF194,-AF194))),)</f>
        <v>0</v>
      </c>
      <c r="AF194" s="110"/>
      <c r="AG194" s="627"/>
      <c r="AH194" s="110"/>
      <c r="AI194" s="110" t="str">
        <f>IF(AND(AF194&lt;&gt;"",AF194&lt;=V194),V194-AF194,"")</f>
        <v/>
      </c>
      <c r="AJ194" s="68">
        <f>IF(ISNUMBER(V194 ), IF( V194 &gt;= Y194, Y194, V194 ),"")</f>
        <v>0</v>
      </c>
      <c r="AK194" s="68">
        <f>IF( ISNUMBER( V194 ), IF( V194 &gt;= Y194, V194 - Y194, "" ), "" )</f>
        <v>0</v>
      </c>
      <c r="AL194" s="68" t="str">
        <f>IF( AND(ISNUMBER( V194 ),ISNUMBER( Y194 )), IF( V194 &gt;= Y194, "", Y194 - V194 ), "" )</f>
        <v/>
      </c>
      <c r="AM194">
        <f>IF(A194="",0,IF(ISERROR(VLOOKUP(A194,db_Feiertag,2,FALSE)),WEEKDAY(A194,2),Feiertag))</f>
        <v>6</v>
      </c>
      <c r="AN194" s="122">
        <f>SUM($AD$6:AD194)</f>
        <v>0</v>
      </c>
      <c r="AO194" s="122">
        <f ca="1">IF(D194=D193,AO193,OFFSET(AO194,-1,COLUMN(db_jSaldoGes)-COLUMN()))</f>
        <v>0</v>
      </c>
      <c r="AP194" s="126">
        <f>IF(OR($G194=-1,$G194=82),-1,IF(OR($G194=0,$G194=83),1,0))</f>
        <v>0</v>
      </c>
      <c r="AQ194" s="126">
        <f>IF($F194=Krank,1,IF($F194="J",-1,0))</f>
        <v>0</v>
      </c>
      <c r="AR194" s="126">
        <f>IF($F194=Urlaub,1,IF($F194="T",-1,0))</f>
        <v>0</v>
      </c>
      <c r="AS194" s="125">
        <f>IF(A194="","",AS193-IF(F194=Urlaub,1,0)+IF(AND(MONTH(A194)=1,DAY(A194)=1),B_UrlaubNeu,0))</f>
        <v>30</v>
      </c>
      <c r="AT194" s="125">
        <f ca="1">IF(A194="","",IF(D194=D193,AT193,OFFSET(AT194,-1,COLUMN(db_jUrlRest)-COLUMN()))+IF(AND(MONTH(A194)=1,DAY(A194)=1),B_UrlaubNeu,0))</f>
        <v>30</v>
      </c>
      <c r="AU194" s="135">
        <f>(IF(ISNUMBER(V194),V194,0)+IF(ISNUMBER(AD194),AD194,0))*24</f>
        <v>0</v>
      </c>
      <c r="AV194" s="125">
        <f>IF(ISNUMBER(AD194),K_ArbeitOverMax,IF(AND(ISNUMBER(AA194),AA194&gt;0),K_ArbeitOverTime,IF(AND(ISNUMBER(V194),V194&gt;0),K_ArbeitNormal,IF(F194=Krank,K_Krank,IF(F194=Urlaub,K_Urlaub,IF(AM194=Feiertag,K_Feiertag,IF(OR(AM194=6,AM194=7),K_Wochenende,0)))))))+IF(F194=Gleittag,K_Gleittag,0)</f>
        <v>7</v>
      </c>
      <c r="AW194" t="b">
        <f>OR((F194&gt;0),(NOT(ISBLANK(H194))),SUM(H194:H$373),SUM(G194:G$373))</f>
        <v>0</v>
      </c>
      <c r="AX194" t="b">
        <f ca="1">INDIRECT(ADDRESS(ROW(),COLUMN(xDay)))&gt;5</f>
        <v>1</v>
      </c>
      <c r="AY194" s="600">
        <f>IF(OR(R194&lt;&gt;0,F194&lt;&gt;0),AA194,IF(Z194="",0,-Z194))+(IF(AG194="+",AF194,-AF194))</f>
        <v>0</v>
      </c>
      <c r="AZ194" s="225">
        <f>SUM(AY$5:AY194)</f>
        <v>-37.333333333333343</v>
      </c>
      <c r="BA194" s="643"/>
      <c r="BB194" s="658">
        <f>IF(ISNA(MATCH(BA194,B_Arbeitsort,0)),0,MATCH(BA194,B_Arbeitsort,0))</f>
        <v>0</v>
      </c>
      <c r="BC194" s="643"/>
    </row>
    <row r="195" spans="1:55" ht="15.75">
      <c r="A195" s="305">
        <f>IF(A194="","",IF((A194+1)&gt;=DATE(YEAR(xJahr)+1,MONTH(xJahr),DAY(xJahr)),"",A194+1))</f>
        <v>43654</v>
      </c>
      <c r="B195" s="306">
        <f>IF(A195="","",A195)</f>
        <v>43654</v>
      </c>
      <c r="C195" s="307">
        <f>IF(A195="","",NumberOfWeek(A195))</f>
        <v>27</v>
      </c>
      <c r="D195" s="308">
        <f>IF(A195="","",DATE(YEAR(A195),MONTH(A195),1))</f>
        <v>43646</v>
      </c>
      <c r="E195" s="318" t="str">
        <f>IF((R195-U195)&gt;XWorkTimeMax,$Z$4,IF(AV195=Feiertag,VLOOKUP(B195,db_Feiertag,2,FALSE),""))</f>
        <v/>
      </c>
      <c r="F195" s="5"/>
      <c r="G195" s="6" t="str">
        <f>IF(ISBLANK(F195),IF(ISBLANK(H195),"",0),CODE(UPPER(F195)))</f>
        <v/>
      </c>
      <c r="H195" s="7"/>
      <c r="I195" s="7">
        <f>IF(H195&gt;0,H195+Y195+X195+AC195,0)</f>
        <v>0</v>
      </c>
      <c r="J195" s="113">
        <f>IF(K195&gt;I195,IF(I195&lt;H195,I195+1,I195)-B_WalkTime,IF(I195&lt;H195,I195+1,I195))</f>
        <v>0</v>
      </c>
      <c r="K195" s="7"/>
      <c r="L195" s="7">
        <f>IF(K195&gt;0,K195+IF((J195-H195)&lt;Y195,Y195-(J195-H195),TIME(0,10,0))+IF((K195-J195)&gt;xNoWorkTime,0,xNoWorkTime-(K195-J195)),0)</f>
        <v>0</v>
      </c>
      <c r="M195" s="113">
        <f>IF(L195&lt;K195,L195+1,L195)</f>
        <v>0</v>
      </c>
      <c r="N195" s="113"/>
      <c r="O195" s="113">
        <f>IF(N195&gt;0,N195+IF((J195-H195+M195-K195)&lt;Y195,Y195-(J195-H195+M195-K195),TIME(0,10,0))+IF((K195-J195+N195-M195)&gt;xNoWorkTime,0,xNoWorkTime-(K195-J195+N195-M195)),0)</f>
        <v>0</v>
      </c>
      <c r="P195" s="113"/>
      <c r="Q195" s="113">
        <f>IF(O195&lt;N195,O195+1,O195)</f>
        <v>0</v>
      </c>
      <c r="R195" s="113">
        <f>J195-H195+M195-K195+Q195-N195</f>
        <v>0</v>
      </c>
      <c r="S195" s="113">
        <f>IF(K195&gt;0,K195-I195,0)+IF(N195&gt;0,N195-L195)</f>
        <v>0</v>
      </c>
      <c r="T195" s="113">
        <f>IF(H195&gt;0,(IF(R195&gt;B_Pause1Nach,B_Pause1Dauer+IF(BA195="Büro",B_WalkTime,0),IF(BA195="Büro",B_WalkTime,0))+IF(R195&gt;B_Pause2Nach,B_Pause2Dauer,0)),0)</f>
        <v>0</v>
      </c>
      <c r="U195" s="113">
        <f>IF(T195&gt;S195,T195-S195,0)</f>
        <v>0</v>
      </c>
      <c r="V195" s="146">
        <f>IF(F195="S",Z195,(IF((R195-U195)&gt;XWorkTimeMax,XWorkTimeMax,IF((R195-U195)&gt;0,R195-U195,0))))</f>
        <v>0</v>
      </c>
      <c r="W195" s="66"/>
      <c r="X195" s="115">
        <f>xNoWorkTime</f>
        <v>4.027777777777778E-2</v>
      </c>
      <c r="Y195" s="110">
        <f>IF(AND((AM195&lt;Feiertag),(G195&lt;&gt;85)),IF(OR(F195="B",F195="G",F195="S",H195&gt;0),H195-H195+Z195,0),0)</f>
        <v>0</v>
      </c>
      <c r="Z195" s="111">
        <f>IF(AND(AM195&gt;0,AM195&lt;Feiertag),INDEX(Arbeitszeit,AM195),"")</f>
        <v>0</v>
      </c>
      <c r="AA195" s="112">
        <f>V195-Y195</f>
        <v>0</v>
      </c>
      <c r="AB195" s="67" t="str">
        <f>IF((V195-Y195)&lt;0,"*","")</f>
        <v/>
      </c>
      <c r="AC195" s="193">
        <f>xOverTime</f>
        <v>0</v>
      </c>
      <c r="AD195" s="144" t="str">
        <f>IF((R195-U195)&gt;XWorkTimeMax,(R195-U195-XWorkTimeMax),"")</f>
        <v/>
      </c>
      <c r="AE195" s="225">
        <f>IF(AW195,(AE194+SUM(AA195)+(IF(AG195="+",AF195,-AF195))),)</f>
        <v>0</v>
      </c>
      <c r="AF195" s="110"/>
      <c r="AG195" s="627"/>
      <c r="AH195" s="110"/>
      <c r="AI195" s="110" t="str">
        <f>IF(AND(AF195&lt;&gt;"",AF195&lt;=V195),V195-AF195,"")</f>
        <v/>
      </c>
      <c r="AJ195" s="68">
        <f>IF(ISNUMBER(V195 ), IF( V195 &gt;= Y195, Y195, V195 ),"")</f>
        <v>0</v>
      </c>
      <c r="AK195" s="68">
        <f>IF( ISNUMBER( V195 ), IF( V195 &gt;= Y195, V195 - Y195, "" ), "" )</f>
        <v>0</v>
      </c>
      <c r="AL195" s="68" t="str">
        <f>IF( AND(ISNUMBER( V195 ),ISNUMBER( Y195 )), IF( V195 &gt;= Y195, "", Y195 - V195 ), "" )</f>
        <v/>
      </c>
      <c r="AM195">
        <f>IF(A195="",0,IF(ISERROR(VLOOKUP(A195,db_Feiertag,2,FALSE)),WEEKDAY(A195,2),Feiertag))</f>
        <v>7</v>
      </c>
      <c r="AN195" s="122">
        <f>SUM($AD$6:AD195)</f>
        <v>0</v>
      </c>
      <c r="AO195" s="122">
        <f ca="1">IF(D195=D194,AO194,OFFSET(AO195,-1,COLUMN(db_jSaldoGes)-COLUMN()))</f>
        <v>0</v>
      </c>
      <c r="AP195" s="126">
        <f>IF(OR($G195=-1,$G195=82),-1,IF(OR($G195=0,$G195=83),1,0))</f>
        <v>0</v>
      </c>
      <c r="AQ195" s="126">
        <f>IF($F195=Krank,1,IF($F195="J",-1,0))</f>
        <v>0</v>
      </c>
      <c r="AR195" s="126">
        <f>IF($F195=Urlaub,1,IF($F195="T",-1,0))</f>
        <v>0</v>
      </c>
      <c r="AS195" s="125">
        <f>IF(A195="","",AS194-IF(F195=Urlaub,1,0)+IF(AND(MONTH(A195)=1,DAY(A195)=1),B_UrlaubNeu,0))</f>
        <v>30</v>
      </c>
      <c r="AT195" s="125">
        <f ca="1">IF(A195="","",IF(D195=D194,AT194,OFFSET(AT195,-1,COLUMN(db_jUrlRest)-COLUMN()))+IF(AND(MONTH(A195)=1,DAY(A195)=1),B_UrlaubNeu,0))</f>
        <v>30</v>
      </c>
      <c r="AU195" s="135">
        <f>(IF(ISNUMBER(V195),V195,0)+IF(ISNUMBER(AD195),AD195,0))*24</f>
        <v>0</v>
      </c>
      <c r="AV195" s="125">
        <f>IF(ISNUMBER(AD195),K_ArbeitOverMax,IF(AND(ISNUMBER(AA195),AA195&gt;0),K_ArbeitOverTime,IF(AND(ISNUMBER(V195),V195&gt;0),K_ArbeitNormal,IF(F195=Krank,K_Krank,IF(F195=Urlaub,K_Urlaub,IF(AM195=Feiertag,K_Feiertag,IF(OR(AM195=6,AM195=7),K_Wochenende,0)))))))+IF(F195=Gleittag,K_Gleittag,0)</f>
        <v>7</v>
      </c>
      <c r="AW195" t="b">
        <f>OR((F195&gt;0),(NOT(ISBLANK(H195))),SUM(H195:H$373),SUM(G195:G$373))</f>
        <v>0</v>
      </c>
      <c r="AX195" t="b">
        <f ca="1">INDIRECT(ADDRESS(ROW(),COLUMN(xDay)))&gt;5</f>
        <v>1</v>
      </c>
      <c r="AY195" s="600">
        <f>IF(OR(R195&lt;&gt;0,F195&lt;&gt;0),AA195,IF(Z195="",0,-Z195))+(IF(AG195="+",AF195,-AF195))</f>
        <v>0</v>
      </c>
      <c r="AZ195" s="225">
        <f>SUM(AY$5:AY195)</f>
        <v>-37.333333333333343</v>
      </c>
      <c r="BA195" s="643"/>
      <c r="BB195" s="658">
        <f>IF(ISNA(MATCH(BA195,B_Arbeitsort,0)),0,MATCH(BA195,B_Arbeitsort,0))</f>
        <v>0</v>
      </c>
      <c r="BC195" s="643"/>
    </row>
    <row r="196" spans="1:55" ht="15.75">
      <c r="A196" s="305">
        <f>IF(A195="","",IF((A195+1)&gt;=DATE(YEAR(xJahr)+1,MONTH(xJahr),DAY(xJahr)),"",A195+1))</f>
        <v>43655</v>
      </c>
      <c r="B196" s="306">
        <f>IF(A196="","",A196)</f>
        <v>43655</v>
      </c>
      <c r="C196" s="307">
        <f>IF(A196="","",NumberOfWeek(A196))</f>
        <v>28</v>
      </c>
      <c r="D196" s="308">
        <f>IF(A196="","",DATE(YEAR(A196),MONTH(A196),1))</f>
        <v>43646</v>
      </c>
      <c r="E196" s="318" t="str">
        <f>IF((R196-U196)&gt;XWorkTimeMax,$Z$4,IF(AV196=Feiertag,VLOOKUP(B196,db_Feiertag,2,FALSE),""))</f>
        <v/>
      </c>
      <c r="F196" s="5"/>
      <c r="G196" s="6" t="str">
        <f>IF(ISBLANK(F196),IF(ISBLANK(H196),"",0),CODE(UPPER(F196)))</f>
        <v/>
      </c>
      <c r="H196" s="7"/>
      <c r="I196" s="7">
        <f>IF(H196&gt;0,H196+Y196+X196+AC196,0)</f>
        <v>0</v>
      </c>
      <c r="J196" s="113">
        <f>IF(K196&gt;I196,IF(I196&lt;H196,I196+1,I196)-B_WalkTime,IF(I196&lt;H196,I196+1,I196))</f>
        <v>0</v>
      </c>
      <c r="K196" s="7"/>
      <c r="L196" s="7">
        <f>IF(K196&gt;0,K196+IF((J196-H196)&lt;Y196,Y196-(J196-H196),TIME(0,10,0))+IF((K196-J196)&gt;xNoWorkTime,0,xNoWorkTime-(K196-J196)),0)</f>
        <v>0</v>
      </c>
      <c r="M196" s="113">
        <f>IF(L196&lt;K196,L196+1,L196)</f>
        <v>0</v>
      </c>
      <c r="N196" s="113"/>
      <c r="O196" s="113">
        <f>IF(N196&gt;0,N196+IF((J196-H196+M196-K196)&lt;Y196,Y196-(J196-H196+M196-K196),TIME(0,10,0))+IF((K196-J196+N196-M196)&gt;xNoWorkTime,0,xNoWorkTime-(K196-J196+N196-M196)),0)</f>
        <v>0</v>
      </c>
      <c r="P196" s="113"/>
      <c r="Q196" s="113">
        <f>IF(O196&lt;N196,O196+1,O196)</f>
        <v>0</v>
      </c>
      <c r="R196" s="113">
        <f>J196-H196+M196-K196+Q196-N196</f>
        <v>0</v>
      </c>
      <c r="S196" s="113">
        <f>IF(K196&gt;0,K196-I196,0)+IF(N196&gt;0,N196-L196)</f>
        <v>0</v>
      </c>
      <c r="T196" s="113">
        <f>IF(H196&gt;0,(IF(R196&gt;B_Pause1Nach,B_Pause1Dauer+IF(BA196="Büro",B_WalkTime,0),IF(BA196="Büro",B_WalkTime,0))+IF(R196&gt;B_Pause2Nach,B_Pause2Dauer,0)),0)</f>
        <v>0</v>
      </c>
      <c r="U196" s="113">
        <f>IF(T196&gt;S196,T196-S196,0)</f>
        <v>0</v>
      </c>
      <c r="V196" s="146">
        <f>IF(F196="S",Z196,(IF((R196-U196)&gt;XWorkTimeMax,XWorkTimeMax,IF((R196-U196)&gt;0,R196-U196,0))))</f>
        <v>0</v>
      </c>
      <c r="W196" s="66"/>
      <c r="X196" s="115">
        <f>xNoWorkTime</f>
        <v>4.027777777777778E-2</v>
      </c>
      <c r="Y196" s="110">
        <f>IF(AND((AM196&lt;Feiertag),(G196&lt;&gt;85)),IF(OR(F196="B",F196="G",F196="S",H196&gt;0),H196-H196+Z196,0),0)</f>
        <v>0</v>
      </c>
      <c r="Z196" s="111">
        <f>IF(AND(AM196&gt;0,AM196&lt;Feiertag),INDEX(Arbeitszeit,AM196),"")</f>
        <v>0.29166666666666669</v>
      </c>
      <c r="AA196" s="112">
        <f>V196-Y196</f>
        <v>0</v>
      </c>
      <c r="AB196" s="67" t="str">
        <f>IF((V196-Y196)&lt;0,"*","")</f>
        <v/>
      </c>
      <c r="AC196" s="193">
        <f>xOverTime</f>
        <v>0</v>
      </c>
      <c r="AD196" s="144" t="str">
        <f>IF((R196-U196)&gt;XWorkTimeMax,(R196-U196-XWorkTimeMax),"")</f>
        <v/>
      </c>
      <c r="AE196" s="225">
        <f>IF(AW196,(AE195+SUM(AA196)+(IF(AG196="+",AF196,-AF196))),)</f>
        <v>0</v>
      </c>
      <c r="AF196" s="110"/>
      <c r="AG196" s="627"/>
      <c r="AH196" s="110"/>
      <c r="AI196" s="110" t="str">
        <f>IF(AND(AF196&lt;&gt;"",AF196&lt;=V196),V196-AF196,"")</f>
        <v/>
      </c>
      <c r="AJ196" s="68">
        <f>IF(ISNUMBER(V196 ), IF( V196 &gt;= Y196, Y196, V196 ),"")</f>
        <v>0</v>
      </c>
      <c r="AK196" s="68">
        <f>IF( ISNUMBER( V196 ), IF( V196 &gt;= Y196, V196 - Y196, "" ), "" )</f>
        <v>0</v>
      </c>
      <c r="AL196" s="68" t="str">
        <f>IF( AND(ISNUMBER( V196 ),ISNUMBER( Y196 )), IF( V196 &gt;= Y196, "", Y196 - V196 ), "" )</f>
        <v/>
      </c>
      <c r="AM196">
        <f>IF(A196="",0,IF(ISERROR(VLOOKUP(A196,db_Feiertag,2,FALSE)),WEEKDAY(A196,2),Feiertag))</f>
        <v>1</v>
      </c>
      <c r="AN196" s="122">
        <f>SUM($AD$6:AD196)</f>
        <v>0</v>
      </c>
      <c r="AO196" s="122">
        <f ca="1">IF(D196=D195,AO195,OFFSET(AO196,-1,COLUMN(db_jSaldoGes)-COLUMN()))</f>
        <v>0</v>
      </c>
      <c r="AP196" s="126">
        <f>IF(OR($G196=-1,$G196=82),-1,IF(OR($G196=0,$G196=83),1,0))</f>
        <v>0</v>
      </c>
      <c r="AQ196" s="126">
        <f>IF($F196=Krank,1,IF($F196="J",-1,0))</f>
        <v>0</v>
      </c>
      <c r="AR196" s="126">
        <f>IF($F196=Urlaub,1,IF($F196="T",-1,0))</f>
        <v>0</v>
      </c>
      <c r="AS196" s="125">
        <f>IF(A196="","",AS195-IF(F196=Urlaub,1,0)+IF(AND(MONTH(A196)=1,DAY(A196)=1),B_UrlaubNeu,0))</f>
        <v>30</v>
      </c>
      <c r="AT196" s="125">
        <f ca="1">IF(A196="","",IF(D196=D195,AT195,OFFSET(AT196,-1,COLUMN(db_jUrlRest)-COLUMN()))+IF(AND(MONTH(A196)=1,DAY(A196)=1),B_UrlaubNeu,0))</f>
        <v>30</v>
      </c>
      <c r="AU196" s="135">
        <f>(IF(ISNUMBER(V196),V196,0)+IF(ISNUMBER(AD196),AD196,0))*24</f>
        <v>0</v>
      </c>
      <c r="AV196" s="125">
        <f>IF(ISNUMBER(AD196),K_ArbeitOverMax,IF(AND(ISNUMBER(AA196),AA196&gt;0),K_ArbeitOverTime,IF(AND(ISNUMBER(V196),V196&gt;0),K_ArbeitNormal,IF(F196=Krank,K_Krank,IF(F196=Urlaub,K_Urlaub,IF(AM196=Feiertag,K_Feiertag,IF(OR(AM196=6,AM196=7),K_Wochenende,0)))))))+IF(F196=Gleittag,K_Gleittag,0)</f>
        <v>0</v>
      </c>
      <c r="AW196" t="b">
        <f>OR((F196&gt;0),(NOT(ISBLANK(H196))),SUM(H196:H$373),SUM(G196:G$373))</f>
        <v>0</v>
      </c>
      <c r="AX196" t="b">
        <f ca="1">INDIRECT(ADDRESS(ROW(),COLUMN(xDay)))&gt;5</f>
        <v>0</v>
      </c>
      <c r="AY196" s="600">
        <f>IF(OR(R196&lt;&gt;0,F196&lt;&gt;0),AA196,IF(Z196="",0,-Z196))+(IF(AG196="+",AF196,-AF196))</f>
        <v>-0.29166666666666669</v>
      </c>
      <c r="AZ196" s="225">
        <f>SUM(AY$5:AY196)</f>
        <v>-37.625000000000007</v>
      </c>
      <c r="BA196" s="658"/>
      <c r="BB196" s="658">
        <f>IF(ISNA(MATCH(BA196,B_Arbeitsort,0)),0,MATCH(BA196,B_Arbeitsort,0))</f>
        <v>0</v>
      </c>
      <c r="BC196" s="658"/>
    </row>
    <row r="197" spans="1:55" ht="15.75">
      <c r="A197" s="305">
        <f>IF(A196="","",IF((A196+1)&gt;=DATE(YEAR(xJahr)+1,MONTH(xJahr),DAY(xJahr)),"",A196+1))</f>
        <v>43656</v>
      </c>
      <c r="B197" s="306">
        <f>IF(A197="","",A197)</f>
        <v>43656</v>
      </c>
      <c r="C197" s="307">
        <f>IF(A197="","",NumberOfWeek(A197))</f>
        <v>28</v>
      </c>
      <c r="D197" s="308">
        <f>IF(A197="","",DATE(YEAR(A197),MONTH(A197),1))</f>
        <v>43646</v>
      </c>
      <c r="E197" s="318" t="str">
        <f>IF((R197-U197)&gt;XWorkTimeMax,$Z$4,IF(AV197=Feiertag,VLOOKUP(B197,db_Feiertag,2,FALSE),""))</f>
        <v/>
      </c>
      <c r="F197" s="5"/>
      <c r="G197" s="6" t="str">
        <f>IF(ISBLANK(F197),IF(ISBLANK(H197),"",0),CODE(UPPER(F197)))</f>
        <v/>
      </c>
      <c r="H197" s="7"/>
      <c r="I197" s="7">
        <f>IF(H197&gt;0,H197+Y197+X197+AC197,0)</f>
        <v>0</v>
      </c>
      <c r="J197" s="113">
        <f>IF(K197&gt;I197,IF(I197&lt;H197,I197+1,I197)-B_WalkTime,IF(I197&lt;H197,I197+1,I197))</f>
        <v>0</v>
      </c>
      <c r="K197" s="7"/>
      <c r="L197" s="7">
        <f>IF(K197&gt;0,K197+IF((J197-H197)&lt;Y197,Y197-(J197-H197),TIME(0,10,0))+IF((K197-J197)&gt;xNoWorkTime,0,xNoWorkTime-(K197-J197)),0)</f>
        <v>0</v>
      </c>
      <c r="M197" s="113">
        <f>IF(L197&lt;K197,L197+1,L197)</f>
        <v>0</v>
      </c>
      <c r="N197" s="113"/>
      <c r="O197" s="113">
        <f>IF(N197&gt;0,N197+IF((J197-H197+M197-K197)&lt;Y197,Y197-(J197-H197+M197-K197),TIME(0,10,0))+IF((K197-J197+N197-M197)&gt;xNoWorkTime,0,xNoWorkTime-(K197-J197+N197-M197)),0)</f>
        <v>0</v>
      </c>
      <c r="P197" s="113"/>
      <c r="Q197" s="113">
        <f>IF(O197&lt;N197,O197+1,O197)</f>
        <v>0</v>
      </c>
      <c r="R197" s="113">
        <f>J197-H197+M197-K197+Q197-N197</f>
        <v>0</v>
      </c>
      <c r="S197" s="113">
        <f>IF(K197&gt;0,K197-I197,0)+IF(N197&gt;0,N197-L197)</f>
        <v>0</v>
      </c>
      <c r="T197" s="113">
        <f>IF(H197&gt;0,(IF(R197&gt;B_Pause1Nach,B_Pause1Dauer+IF(BA197="Büro",B_WalkTime,0),IF(BA197="Büro",B_WalkTime,0))+IF(R197&gt;B_Pause2Nach,B_Pause2Dauer,0)),0)</f>
        <v>0</v>
      </c>
      <c r="U197" s="113">
        <f>IF(T197&gt;S197,T197-S197,0)</f>
        <v>0</v>
      </c>
      <c r="V197" s="146">
        <f>IF(F197="S",Z197,(IF((R197-U197)&gt;XWorkTimeMax,XWorkTimeMax,IF((R197-U197)&gt;0,R197-U197,0))))</f>
        <v>0</v>
      </c>
      <c r="W197" s="66"/>
      <c r="X197" s="115">
        <f>xNoWorkTime</f>
        <v>4.027777777777778E-2</v>
      </c>
      <c r="Y197" s="110">
        <f>IF(AND((AM197&lt;Feiertag),(G197&lt;&gt;85)),IF(OR(F197="B",F197="G",F197="S",H197&gt;0),H197-H197+Z197,0),0)</f>
        <v>0</v>
      </c>
      <c r="Z197" s="111">
        <f>IF(AND(AM197&gt;0,AM197&lt;Feiertag),INDEX(Arbeitszeit,AM197),"")</f>
        <v>0.29166666666666669</v>
      </c>
      <c r="AA197" s="112">
        <f>V197-Y197</f>
        <v>0</v>
      </c>
      <c r="AB197" s="67" t="str">
        <f>IF((V197-Y197)&lt;0,"*","")</f>
        <v/>
      </c>
      <c r="AC197" s="193">
        <f>xOverTime</f>
        <v>0</v>
      </c>
      <c r="AD197" s="144" t="str">
        <f>IF((R197-U197)&gt;XWorkTimeMax,(R197-U197-XWorkTimeMax),"")</f>
        <v/>
      </c>
      <c r="AE197" s="225">
        <f>IF(AW197,(AE196+SUM(AA197)+(IF(AG197="+",AF197,-AF197))),)</f>
        <v>0</v>
      </c>
      <c r="AF197" s="110"/>
      <c r="AG197" s="627"/>
      <c r="AH197" s="110"/>
      <c r="AI197" s="110" t="str">
        <f>IF(AND(AF197&lt;&gt;"",AF197&lt;=V197),V197-AF197,"")</f>
        <v/>
      </c>
      <c r="AJ197" s="68">
        <f>IF(ISNUMBER(V197 ), IF( V197 &gt;= Y197, Y197, V197 ),"")</f>
        <v>0</v>
      </c>
      <c r="AK197" s="68">
        <f>IF( ISNUMBER( V197 ), IF( V197 &gt;= Y197, V197 - Y197, "" ), "" )</f>
        <v>0</v>
      </c>
      <c r="AL197" s="68" t="str">
        <f>IF( AND(ISNUMBER( V197 ),ISNUMBER( Y197 )), IF( V197 &gt;= Y197, "", Y197 - V197 ), "" )</f>
        <v/>
      </c>
      <c r="AM197">
        <f>IF(A197="",0,IF(ISERROR(VLOOKUP(A197,db_Feiertag,2,FALSE)),WEEKDAY(A197,2),Feiertag))</f>
        <v>2</v>
      </c>
      <c r="AN197" s="122">
        <f>SUM($AD$6:AD197)</f>
        <v>0</v>
      </c>
      <c r="AO197" s="122">
        <f ca="1">IF(D197=D196,AO196,OFFSET(AO197,-1,COLUMN(db_jSaldoGes)-COLUMN()))</f>
        <v>0</v>
      </c>
      <c r="AP197" s="126">
        <f>IF(OR($G197=-1,$G197=82),-1,IF(OR($G197=0,$G197=83),1,0))</f>
        <v>0</v>
      </c>
      <c r="AQ197" s="126">
        <f>IF($F197=Krank,1,IF($F197="J",-1,0))</f>
        <v>0</v>
      </c>
      <c r="AR197" s="126">
        <f>IF($F197=Urlaub,1,IF($F197="T",-1,0))</f>
        <v>0</v>
      </c>
      <c r="AS197" s="125">
        <f>IF(A197="","",AS196-IF(F197=Urlaub,1,0)+IF(AND(MONTH(A197)=1,DAY(A197)=1),B_UrlaubNeu,0))</f>
        <v>30</v>
      </c>
      <c r="AT197" s="125">
        <f ca="1">IF(A197="","",IF(D197=D196,AT196,OFFSET(AT197,-1,COLUMN(db_jUrlRest)-COLUMN()))+IF(AND(MONTH(A197)=1,DAY(A197)=1),B_UrlaubNeu,0))</f>
        <v>30</v>
      </c>
      <c r="AU197" s="135">
        <f>(IF(ISNUMBER(V197),V197,0)+IF(ISNUMBER(AD197),AD197,0))*24</f>
        <v>0</v>
      </c>
      <c r="AV197" s="125">
        <f>IF(ISNUMBER(AD197),K_ArbeitOverMax,IF(AND(ISNUMBER(AA197),AA197&gt;0),K_ArbeitOverTime,IF(AND(ISNUMBER(V197),V197&gt;0),K_ArbeitNormal,IF(F197=Krank,K_Krank,IF(F197=Urlaub,K_Urlaub,IF(AM197=Feiertag,K_Feiertag,IF(OR(AM197=6,AM197=7),K_Wochenende,0)))))))+IF(F197=Gleittag,K_Gleittag,0)</f>
        <v>0</v>
      </c>
      <c r="AW197" t="b">
        <f>OR((F197&gt;0),(NOT(ISBLANK(H197))),SUM(H197:H$373),SUM(G197:G$373))</f>
        <v>0</v>
      </c>
      <c r="AX197" t="b">
        <f ca="1">INDIRECT(ADDRESS(ROW(),COLUMN(xDay)))&gt;5</f>
        <v>0</v>
      </c>
      <c r="AY197" s="600">
        <f>IF(OR(R197&lt;&gt;0,F197&lt;&gt;0),AA197,IF(Z197="",0,-Z197))+(IF(AG197="+",AF197,-AF197))</f>
        <v>-0.29166666666666669</v>
      </c>
      <c r="AZ197" s="225">
        <f>SUM(AY$5:AY197)</f>
        <v>-37.916666666666671</v>
      </c>
      <c r="BA197" s="658"/>
      <c r="BB197" s="658">
        <f>IF(ISNA(MATCH(BA197,B_Arbeitsort,0)),0,MATCH(BA197,B_Arbeitsort,0))</f>
        <v>0</v>
      </c>
      <c r="BC197" s="658"/>
    </row>
    <row r="198" spans="1:55" ht="15.75">
      <c r="A198" s="305">
        <f>IF(A197="","",IF((A197+1)&gt;=DATE(YEAR(xJahr)+1,MONTH(xJahr),DAY(xJahr)),"",A197+1))</f>
        <v>43657</v>
      </c>
      <c r="B198" s="306">
        <f>IF(A198="","",A198)</f>
        <v>43657</v>
      </c>
      <c r="C198" s="307">
        <f>IF(A198="","",NumberOfWeek(A198))</f>
        <v>28</v>
      </c>
      <c r="D198" s="308">
        <f>IF(A198="","",DATE(YEAR(A198),MONTH(A198),1))</f>
        <v>43646</v>
      </c>
      <c r="E198" s="318" t="str">
        <f>IF((R198-U198)&gt;XWorkTimeMax,$Z$4,IF(AV198=Feiertag,VLOOKUP(B198,db_Feiertag,2,FALSE),""))</f>
        <v/>
      </c>
      <c r="F198" s="5"/>
      <c r="G198" s="6" t="str">
        <f>IF(ISBLANK(F198),IF(ISBLANK(H198),"",0),CODE(UPPER(F198)))</f>
        <v/>
      </c>
      <c r="H198" s="7"/>
      <c r="I198" s="7">
        <f>IF(H198&gt;0,H198+Y198+X198+AC198,0)</f>
        <v>0</v>
      </c>
      <c r="J198" s="113">
        <f>IF(K198&gt;I198,IF(I198&lt;H198,I198+1,I198)-B_WalkTime,IF(I198&lt;H198,I198+1,I198))</f>
        <v>0</v>
      </c>
      <c r="K198" s="7"/>
      <c r="L198" s="7">
        <f>IF(K198&gt;0,K198+IF((J198-H198)&lt;Y198,Y198-(J198-H198),TIME(0,10,0))+IF((K198-J198)&gt;xNoWorkTime,0,xNoWorkTime-(K198-J198)),0)</f>
        <v>0</v>
      </c>
      <c r="M198" s="113">
        <f>IF(L198&lt;K198,L198+1,L198)</f>
        <v>0</v>
      </c>
      <c r="N198" s="113"/>
      <c r="O198" s="113">
        <f>IF(N198&gt;0,N198+IF((J198-H198+M198-K198)&lt;Y198,Y198-(J198-H198+M198-K198),TIME(0,10,0))+IF((K198-J198+N198-M198)&gt;xNoWorkTime,0,xNoWorkTime-(K198-J198+N198-M198)),0)</f>
        <v>0</v>
      </c>
      <c r="P198" s="113"/>
      <c r="Q198" s="113">
        <f>IF(O198&lt;N198,O198+1,O198)</f>
        <v>0</v>
      </c>
      <c r="R198" s="113">
        <f>J198-H198+M198-K198+Q198-N198</f>
        <v>0</v>
      </c>
      <c r="S198" s="113">
        <f>IF(K198&gt;0,K198-I198,0)+IF(N198&gt;0,N198-L198)</f>
        <v>0</v>
      </c>
      <c r="T198" s="113">
        <f>IF(H198&gt;0,(IF(R198&gt;B_Pause1Nach,B_Pause1Dauer+IF(BA198="Büro",B_WalkTime,0),IF(BA198="Büro",B_WalkTime,0))+IF(R198&gt;B_Pause2Nach,B_Pause2Dauer,0)),0)</f>
        <v>0</v>
      </c>
      <c r="U198" s="113">
        <f>IF(T198&gt;S198,T198-S198,0)</f>
        <v>0</v>
      </c>
      <c r="V198" s="146">
        <f>IF(F198="S",Z198,(IF((R198-U198)&gt;XWorkTimeMax,XWorkTimeMax,IF((R198-U198)&gt;0,R198-U198,0))))</f>
        <v>0</v>
      </c>
      <c r="W198" s="66"/>
      <c r="X198" s="115">
        <f>xNoWorkTime</f>
        <v>4.027777777777778E-2</v>
      </c>
      <c r="Y198" s="110">
        <f>IF(AND((AM198&lt;Feiertag),(G198&lt;&gt;85)),IF(OR(F198="B",F198="G",F198="S",H198&gt;0),H198-H198+Z198,0),0)</f>
        <v>0</v>
      </c>
      <c r="Z198" s="111">
        <f>IF(AND(AM198&gt;0,AM198&lt;Feiertag),INDEX(Arbeitszeit,AM198),"")</f>
        <v>0.29166666666666669</v>
      </c>
      <c r="AA198" s="112">
        <f>V198-Y198</f>
        <v>0</v>
      </c>
      <c r="AB198" s="67" t="str">
        <f>IF((V198-Y198)&lt;0,"*","")</f>
        <v/>
      </c>
      <c r="AC198" s="193">
        <f>xOverTime</f>
        <v>0</v>
      </c>
      <c r="AD198" s="144" t="str">
        <f>IF((R198-U198)&gt;XWorkTimeMax,(R198-U198-XWorkTimeMax),"")</f>
        <v/>
      </c>
      <c r="AE198" s="225">
        <f>IF(AW198,(AE197+SUM(AA198)+(IF(AG198="+",AF198,-AF198))),)</f>
        <v>0</v>
      </c>
      <c r="AF198" s="110"/>
      <c r="AG198" s="627"/>
      <c r="AH198" s="110"/>
      <c r="AI198" s="110" t="str">
        <f>IF(AND(AF198&lt;&gt;"",AF198&lt;=V198),V198-AF198,"")</f>
        <v/>
      </c>
      <c r="AJ198" s="68">
        <f>IF(ISNUMBER(V198 ), IF( V198 &gt;= Y198, Y198, V198 ),"")</f>
        <v>0</v>
      </c>
      <c r="AK198" s="68">
        <f>IF( ISNUMBER( V198 ), IF( V198 &gt;= Y198, V198 - Y198, "" ), "" )</f>
        <v>0</v>
      </c>
      <c r="AL198" s="68" t="str">
        <f>IF( AND(ISNUMBER( V198 ),ISNUMBER( Y198 )), IF( V198 &gt;= Y198, "", Y198 - V198 ), "" )</f>
        <v/>
      </c>
      <c r="AM198">
        <f>IF(A198="",0,IF(ISERROR(VLOOKUP(A198,db_Feiertag,2,FALSE)),WEEKDAY(A198,2),Feiertag))</f>
        <v>3</v>
      </c>
      <c r="AN198" s="122">
        <f>SUM($AD$6:AD198)</f>
        <v>0</v>
      </c>
      <c r="AO198" s="122">
        <f ca="1">IF(D198=D197,AO197,OFFSET(AO198,-1,COLUMN(db_jSaldoGes)-COLUMN()))</f>
        <v>0</v>
      </c>
      <c r="AP198" s="126">
        <f>IF(OR($G198=-1,$G198=82),-1,IF(OR($G198=0,$G198=83),1,0))</f>
        <v>0</v>
      </c>
      <c r="AQ198" s="126">
        <f>IF($F198=Krank,1,IF($F198="J",-1,0))</f>
        <v>0</v>
      </c>
      <c r="AR198" s="126">
        <f>IF($F198=Urlaub,1,IF($F198="T",-1,0))</f>
        <v>0</v>
      </c>
      <c r="AS198" s="125">
        <f>IF(A198="","",AS197-IF(F198=Urlaub,1,0)+IF(AND(MONTH(A198)=1,DAY(A198)=1),B_UrlaubNeu,0))</f>
        <v>30</v>
      </c>
      <c r="AT198" s="125">
        <f ca="1">IF(A198="","",IF(D198=D197,AT197,OFFSET(AT198,-1,COLUMN(db_jUrlRest)-COLUMN()))+IF(AND(MONTH(A198)=1,DAY(A198)=1),B_UrlaubNeu,0))</f>
        <v>30</v>
      </c>
      <c r="AU198" s="135">
        <f>(IF(ISNUMBER(V198),V198,0)+IF(ISNUMBER(AD198),AD198,0))*24</f>
        <v>0</v>
      </c>
      <c r="AV198" s="125">
        <f>IF(ISNUMBER(AD198),K_ArbeitOverMax,IF(AND(ISNUMBER(AA198),AA198&gt;0),K_ArbeitOverTime,IF(AND(ISNUMBER(V198),V198&gt;0),K_ArbeitNormal,IF(F198=Krank,K_Krank,IF(F198=Urlaub,K_Urlaub,IF(AM198=Feiertag,K_Feiertag,IF(OR(AM198=6,AM198=7),K_Wochenende,0)))))))+IF(F198=Gleittag,K_Gleittag,0)</f>
        <v>0</v>
      </c>
      <c r="AW198" t="b">
        <f>OR((F198&gt;0),(NOT(ISBLANK(H198))),SUM(H198:H$373),SUM(G198:G$373))</f>
        <v>0</v>
      </c>
      <c r="AX198" t="b">
        <f ca="1">INDIRECT(ADDRESS(ROW(),COLUMN(xDay)))&gt;5</f>
        <v>0</v>
      </c>
      <c r="AY198" s="600">
        <f>IF(OR(R198&lt;&gt;0,F198&lt;&gt;0),AA198,IF(Z198="",0,-Z198))+(IF(AG198="+",AF198,-AF198))</f>
        <v>-0.29166666666666669</v>
      </c>
      <c r="AZ198" s="225">
        <f>SUM(AY$5:AY198)</f>
        <v>-38.208333333333336</v>
      </c>
      <c r="BA198" s="658"/>
      <c r="BB198" s="658">
        <f>IF(ISNA(MATCH(BA198,B_Arbeitsort,0)),0,MATCH(BA198,B_Arbeitsort,0))</f>
        <v>0</v>
      </c>
      <c r="BC198" s="658"/>
    </row>
    <row r="199" spans="1:55" ht="15.75">
      <c r="A199" s="305">
        <f>IF(A198="","",IF((A198+1)&gt;=DATE(YEAR(xJahr)+1,MONTH(xJahr),DAY(xJahr)),"",A198+1))</f>
        <v>43658</v>
      </c>
      <c r="B199" s="306">
        <f>IF(A199="","",A199)</f>
        <v>43658</v>
      </c>
      <c r="C199" s="307">
        <f>IF(A199="","",NumberOfWeek(A199))</f>
        <v>28</v>
      </c>
      <c r="D199" s="308">
        <f>IF(A199="","",DATE(YEAR(A199),MONTH(A199),1))</f>
        <v>43646</v>
      </c>
      <c r="E199" s="318" t="str">
        <f>IF((R199-U199)&gt;XWorkTimeMax,$Z$4,IF(AV199=Feiertag,VLOOKUP(B199,db_Feiertag,2,FALSE),""))</f>
        <v/>
      </c>
      <c r="F199" s="5"/>
      <c r="G199" s="6" t="str">
        <f>IF(ISBLANK(F199),IF(ISBLANK(H199),"",0),CODE(UPPER(F199)))</f>
        <v/>
      </c>
      <c r="H199" s="7"/>
      <c r="I199" s="7">
        <f>IF(H199&gt;0,H199+Y199+X199+AC199,0)</f>
        <v>0</v>
      </c>
      <c r="J199" s="113">
        <f>IF(K199&gt;I199,IF(I199&lt;H199,I199+1,I199)-B_WalkTime,IF(I199&lt;H199,I199+1,I199))</f>
        <v>0</v>
      </c>
      <c r="K199" s="7"/>
      <c r="L199" s="7">
        <f>IF(K199&gt;0,K199+IF((J199-H199)&lt;Y199,Y199-(J199-H199),TIME(0,10,0))+IF((K199-J199)&gt;xNoWorkTime,0,xNoWorkTime-(K199-J199)),0)</f>
        <v>0</v>
      </c>
      <c r="M199" s="113">
        <f>IF(L199&lt;K199,L199+1,L199)</f>
        <v>0</v>
      </c>
      <c r="N199" s="113"/>
      <c r="O199" s="113">
        <f>IF(N199&gt;0,N199+IF((J199-H199+M199-K199)&lt;Y199,Y199-(J199-H199+M199-K199),TIME(0,10,0))+IF((K199-J199+N199-M199)&gt;xNoWorkTime,0,xNoWorkTime-(K199-J199+N199-M199)),0)</f>
        <v>0</v>
      </c>
      <c r="P199" s="113"/>
      <c r="Q199" s="113">
        <f>IF(O199&lt;N199,O199+1,O199)</f>
        <v>0</v>
      </c>
      <c r="R199" s="113">
        <f>J199-H199+M199-K199+Q199-N199</f>
        <v>0</v>
      </c>
      <c r="S199" s="113">
        <f>IF(K199&gt;0,K199-I199,0)+IF(N199&gt;0,N199-L199)</f>
        <v>0</v>
      </c>
      <c r="T199" s="113">
        <f>IF(H199&gt;0,(IF(R199&gt;B_Pause1Nach,B_Pause1Dauer+IF(BA199="Büro",B_WalkTime,0),IF(BA199="Büro",B_WalkTime,0))+IF(R199&gt;B_Pause2Nach,B_Pause2Dauer,0)),0)</f>
        <v>0</v>
      </c>
      <c r="U199" s="113">
        <f>IF(T199&gt;S199,T199-S199,0)</f>
        <v>0</v>
      </c>
      <c r="V199" s="146">
        <f>IF(F199="S",Z199,(IF((R199-U199)&gt;XWorkTimeMax,XWorkTimeMax,IF((R199-U199)&gt;0,R199-U199,0))))</f>
        <v>0</v>
      </c>
      <c r="W199" s="66"/>
      <c r="X199" s="115">
        <f>xNoWorkTime</f>
        <v>4.027777777777778E-2</v>
      </c>
      <c r="Y199" s="110">
        <f>IF(AND((AM199&lt;Feiertag),(G199&lt;&gt;85)),IF(OR(F199="B",F199="G",F199="S",H199&gt;0),H199-H199+Z199,0),0)</f>
        <v>0</v>
      </c>
      <c r="Z199" s="111">
        <f>IF(AND(AM199&gt;0,AM199&lt;Feiertag),INDEX(Arbeitszeit,AM199),"")</f>
        <v>0.29166666666666669</v>
      </c>
      <c r="AA199" s="112">
        <f>V199-Y199</f>
        <v>0</v>
      </c>
      <c r="AB199" s="67" t="str">
        <f>IF((V199-Y199)&lt;0,"*","")</f>
        <v/>
      </c>
      <c r="AC199" s="193">
        <f>xOverTime</f>
        <v>0</v>
      </c>
      <c r="AD199" s="144" t="str">
        <f>IF((R199-U199)&gt;XWorkTimeMax,(R199-U199-XWorkTimeMax),"")</f>
        <v/>
      </c>
      <c r="AE199" s="225">
        <f>IF(AW199,(AE198+SUM(AA199)+(IF(AG199="+",AF199,-AF199))),)</f>
        <v>0</v>
      </c>
      <c r="AF199" s="110"/>
      <c r="AG199" s="627"/>
      <c r="AH199" s="110"/>
      <c r="AI199" s="110" t="str">
        <f>IF(AND(AF199&lt;&gt;"",AF199&lt;=V199),V199-AF199,"")</f>
        <v/>
      </c>
      <c r="AJ199" s="68">
        <f>IF(ISNUMBER(V199 ), IF( V199 &gt;= Y199, Y199, V199 ),"")</f>
        <v>0</v>
      </c>
      <c r="AK199" s="68">
        <f>IF( ISNUMBER( V199 ), IF( V199 &gt;= Y199, V199 - Y199, "" ), "" )</f>
        <v>0</v>
      </c>
      <c r="AL199" s="68" t="str">
        <f>IF( AND(ISNUMBER( V199 ),ISNUMBER( Y199 )), IF( V199 &gt;= Y199, "", Y199 - V199 ), "" )</f>
        <v/>
      </c>
      <c r="AM199">
        <f>IF(A199="",0,IF(ISERROR(VLOOKUP(A199,db_Feiertag,2,FALSE)),WEEKDAY(A199,2),Feiertag))</f>
        <v>4</v>
      </c>
      <c r="AN199" s="122">
        <f>SUM($AD$6:AD199)</f>
        <v>0</v>
      </c>
      <c r="AO199" s="122">
        <f ca="1">IF(D199=D198,AO198,OFFSET(AO199,-1,COLUMN(db_jSaldoGes)-COLUMN()))</f>
        <v>0</v>
      </c>
      <c r="AP199" s="126">
        <f>IF(OR($G199=-1,$G199=82),-1,IF(OR($G199=0,$G199=83),1,0))</f>
        <v>0</v>
      </c>
      <c r="AQ199" s="126">
        <f>IF($F199=Krank,1,IF($F199="J",-1,0))</f>
        <v>0</v>
      </c>
      <c r="AR199" s="126">
        <f>IF($F199=Urlaub,1,IF($F199="T",-1,0))</f>
        <v>0</v>
      </c>
      <c r="AS199" s="125">
        <f>IF(A199="","",AS198-IF(F199=Urlaub,1,0)+IF(AND(MONTH(A199)=1,DAY(A199)=1),B_UrlaubNeu,0))</f>
        <v>30</v>
      </c>
      <c r="AT199" s="125">
        <f ca="1">IF(A199="","",IF(D199=D198,AT198,OFFSET(AT199,-1,COLUMN(db_jUrlRest)-COLUMN()))+IF(AND(MONTH(A199)=1,DAY(A199)=1),B_UrlaubNeu,0))</f>
        <v>30</v>
      </c>
      <c r="AU199" s="135">
        <f>(IF(ISNUMBER(V199),V199,0)+IF(ISNUMBER(AD199),AD199,0))*24</f>
        <v>0</v>
      </c>
      <c r="AV199" s="125">
        <f>IF(ISNUMBER(AD199),K_ArbeitOverMax,IF(AND(ISNUMBER(AA199),AA199&gt;0),K_ArbeitOverTime,IF(AND(ISNUMBER(V199),V199&gt;0),K_ArbeitNormal,IF(F199=Krank,K_Krank,IF(F199=Urlaub,K_Urlaub,IF(AM199=Feiertag,K_Feiertag,IF(OR(AM199=6,AM199=7),K_Wochenende,0)))))))+IF(F199=Gleittag,K_Gleittag,0)</f>
        <v>0</v>
      </c>
      <c r="AW199" t="b">
        <f>OR((F199&gt;0),(NOT(ISBLANK(H199))),SUM(H199:H$373),SUM(G199:G$373))</f>
        <v>0</v>
      </c>
      <c r="AX199" t="b">
        <f ca="1">INDIRECT(ADDRESS(ROW(),COLUMN(xDay)))&gt;5</f>
        <v>0</v>
      </c>
      <c r="AY199" s="600">
        <f>IF(OR(R199&lt;&gt;0,F199&lt;&gt;0),AA199,IF(Z199="",0,-Z199))+(IF(AG199="+",AF199,-AF199))</f>
        <v>-0.29166666666666669</v>
      </c>
      <c r="AZ199" s="225">
        <f>SUM(AY$5:AY199)</f>
        <v>-38.5</v>
      </c>
      <c r="BA199" s="658"/>
      <c r="BB199" s="658">
        <f>IF(ISNA(MATCH(BA199,B_Arbeitsort,0)),0,MATCH(BA199,B_Arbeitsort,0))</f>
        <v>0</v>
      </c>
      <c r="BC199" s="658"/>
    </row>
    <row r="200" spans="1:55" ht="15.75">
      <c r="A200" s="305">
        <f>IF(A199="","",IF((A199+1)&gt;=DATE(YEAR(xJahr)+1,MONTH(xJahr),DAY(xJahr)),"",A199+1))</f>
        <v>43659</v>
      </c>
      <c r="B200" s="306">
        <f>IF(A200="","",A200)</f>
        <v>43659</v>
      </c>
      <c r="C200" s="307">
        <f>IF(A200="","",NumberOfWeek(A200))</f>
        <v>28</v>
      </c>
      <c r="D200" s="308">
        <f>IF(A200="","",DATE(YEAR(A200),MONTH(A200),1))</f>
        <v>43646</v>
      </c>
      <c r="E200" s="318" t="str">
        <f>IF((R200-U200)&gt;XWorkTimeMax,$Z$4,IF(AV200=Feiertag,VLOOKUP(B200,db_Feiertag,2,FALSE),""))</f>
        <v/>
      </c>
      <c r="F200" s="5"/>
      <c r="G200" s="6" t="str">
        <f>IF(ISBLANK(F200),IF(ISBLANK(H200),"",0),CODE(UPPER(F200)))</f>
        <v/>
      </c>
      <c r="H200" s="7"/>
      <c r="I200" s="7">
        <f>IF(H200&gt;0,H200+Y200+X200+AC200,0)</f>
        <v>0</v>
      </c>
      <c r="J200" s="113">
        <f>IF(K200&gt;I200,IF(I200&lt;H200,I200+1,I200)-B_WalkTime,IF(I200&lt;H200,I200+1,I200))</f>
        <v>0</v>
      </c>
      <c r="K200" s="7"/>
      <c r="L200" s="7">
        <f>IF(K200&gt;0,K200+IF((J200-H200)&lt;Y200,Y200-(J200-H200),TIME(0,10,0))+IF((K200-J200)&gt;xNoWorkTime,0,xNoWorkTime-(K200-J200)),0)</f>
        <v>0</v>
      </c>
      <c r="M200" s="113">
        <f>IF(L200&lt;K200,L200+1,L200)</f>
        <v>0</v>
      </c>
      <c r="N200" s="113"/>
      <c r="O200" s="113">
        <f>IF(N200&gt;0,N200+IF((J200-H200+M200-K200)&lt;Y200,Y200-(J200-H200+M200-K200),TIME(0,10,0))+IF((K200-J200+N200-M200)&gt;xNoWorkTime,0,xNoWorkTime-(K200-J200+N200-M200)),0)</f>
        <v>0</v>
      </c>
      <c r="P200" s="113"/>
      <c r="Q200" s="113">
        <f>IF(O200&lt;N200,O200+1,O200)</f>
        <v>0</v>
      </c>
      <c r="R200" s="113">
        <f>J200-H200+M200-K200+Q200-N200</f>
        <v>0</v>
      </c>
      <c r="S200" s="113">
        <f>IF(K200&gt;0,K200-I200,0)+IF(N200&gt;0,N200-L200)</f>
        <v>0</v>
      </c>
      <c r="T200" s="113">
        <f>IF(H200&gt;0,(IF(R200&gt;B_Pause1Nach,B_Pause1Dauer+IF(BA200="Büro",B_WalkTime,0),IF(BA200="Büro",B_WalkTime,0))+IF(R200&gt;B_Pause2Nach,B_Pause2Dauer,0)),0)</f>
        <v>0</v>
      </c>
      <c r="U200" s="113">
        <f>IF(T200&gt;S200,T200-S200,0)</f>
        <v>0</v>
      </c>
      <c r="V200" s="146">
        <f>IF(F200="S",Z200,(IF((R200-U200)&gt;XWorkTimeMax,XWorkTimeMax,IF((R200-U200)&gt;0,R200-U200,0))))</f>
        <v>0</v>
      </c>
      <c r="W200" s="66"/>
      <c r="X200" s="115">
        <f>xNoWorkTime</f>
        <v>4.027777777777778E-2</v>
      </c>
      <c r="Y200" s="110">
        <f>IF(AND((AM200&lt;Feiertag),(G200&lt;&gt;85)),IF(OR(F200="B",F200="G",F200="S",H200&gt;0),H200-H200+Z200,0),0)</f>
        <v>0</v>
      </c>
      <c r="Z200" s="111">
        <f>IF(AND(AM200&gt;0,AM200&lt;Feiertag),INDEX(Arbeitszeit,AM200),"")</f>
        <v>0.29166666666666669</v>
      </c>
      <c r="AA200" s="112">
        <f>V200-Y200</f>
        <v>0</v>
      </c>
      <c r="AB200" s="67" t="str">
        <f>IF((V200-Y200)&lt;0,"*","")</f>
        <v/>
      </c>
      <c r="AC200" s="193">
        <f>xOverTime</f>
        <v>0</v>
      </c>
      <c r="AD200" s="144" t="str">
        <f>IF((R200-U200)&gt;XWorkTimeMax,(R200-U200-XWorkTimeMax),"")</f>
        <v/>
      </c>
      <c r="AE200" s="225">
        <f>IF(AW200,(AE199+SUM(AA200)+(IF(AG200="+",AF200,-AF200))),)</f>
        <v>0</v>
      </c>
      <c r="AF200" s="110"/>
      <c r="AG200" s="627"/>
      <c r="AH200" s="110"/>
      <c r="AI200" s="110" t="str">
        <f>IF(AND(AF200&lt;&gt;"",AF200&lt;=V200),V200-AF200,"")</f>
        <v/>
      </c>
      <c r="AJ200" s="68">
        <f>IF(ISNUMBER(V200 ), IF( V200 &gt;= Y200, Y200, V200 ),"")</f>
        <v>0</v>
      </c>
      <c r="AK200" s="68">
        <f>IF( ISNUMBER( V200 ), IF( V200 &gt;= Y200, V200 - Y200, "" ), "" )</f>
        <v>0</v>
      </c>
      <c r="AL200" s="68" t="str">
        <f>IF( AND(ISNUMBER( V200 ),ISNUMBER( Y200 )), IF( V200 &gt;= Y200, "", Y200 - V200 ), "" )</f>
        <v/>
      </c>
      <c r="AM200">
        <f>IF(A200="",0,IF(ISERROR(VLOOKUP(A200,db_Feiertag,2,FALSE)),WEEKDAY(A200,2),Feiertag))</f>
        <v>5</v>
      </c>
      <c r="AN200" s="122">
        <f>SUM($AD$6:AD200)</f>
        <v>0</v>
      </c>
      <c r="AO200" s="122">
        <f ca="1">IF(D200=D199,AO199,OFFSET(AO200,-1,COLUMN(db_jSaldoGes)-COLUMN()))</f>
        <v>0</v>
      </c>
      <c r="AP200" s="126">
        <f>IF(OR($G200=-1,$G200=82),-1,IF(OR($G200=0,$G200=83),1,0))</f>
        <v>0</v>
      </c>
      <c r="AQ200" s="126">
        <f>IF($F200=Krank,1,IF($F200="J",-1,0))</f>
        <v>0</v>
      </c>
      <c r="AR200" s="126">
        <f>IF($F200=Urlaub,1,IF($F200="T",-1,0))</f>
        <v>0</v>
      </c>
      <c r="AS200" s="125">
        <f>IF(A200="","",AS199-IF(F200=Urlaub,1,0)+IF(AND(MONTH(A200)=1,DAY(A200)=1),B_UrlaubNeu,0))</f>
        <v>30</v>
      </c>
      <c r="AT200" s="125">
        <f ca="1">IF(A200="","",IF(D200=D199,AT199,OFFSET(AT200,-1,COLUMN(db_jUrlRest)-COLUMN()))+IF(AND(MONTH(A200)=1,DAY(A200)=1),B_UrlaubNeu,0))</f>
        <v>30</v>
      </c>
      <c r="AU200" s="135">
        <f>(IF(ISNUMBER(V200),V200,0)+IF(ISNUMBER(AD200),AD200,0))*24</f>
        <v>0</v>
      </c>
      <c r="AV200" s="125">
        <f>IF(ISNUMBER(AD200),K_ArbeitOverMax,IF(AND(ISNUMBER(AA200),AA200&gt;0),K_ArbeitOverTime,IF(AND(ISNUMBER(V200),V200&gt;0),K_ArbeitNormal,IF(F200=Krank,K_Krank,IF(F200=Urlaub,K_Urlaub,IF(AM200=Feiertag,K_Feiertag,IF(OR(AM200=6,AM200=7),K_Wochenende,0)))))))+IF(F200=Gleittag,K_Gleittag,0)</f>
        <v>0</v>
      </c>
      <c r="AW200" t="b">
        <f>OR((F200&gt;0),(NOT(ISBLANK(H200))),SUM(H200:H$373),SUM(G200:G$373))</f>
        <v>0</v>
      </c>
      <c r="AX200" t="b">
        <f ca="1">INDIRECT(ADDRESS(ROW(),COLUMN(xDay)))&gt;5</f>
        <v>0</v>
      </c>
      <c r="AY200" s="600">
        <f>IF(OR(R200&lt;&gt;0,F200&lt;&gt;0),AA200,IF(Z200="",0,-Z200))+(IF(AG200="+",AF200,-AF200))</f>
        <v>-0.29166666666666669</v>
      </c>
      <c r="AZ200" s="225">
        <f>SUM(AY$5:AY200)</f>
        <v>-38.791666666666664</v>
      </c>
      <c r="BA200" s="658"/>
      <c r="BB200" s="658">
        <f>IF(ISNA(MATCH(BA200,B_Arbeitsort,0)),0,MATCH(BA200,B_Arbeitsort,0))</f>
        <v>0</v>
      </c>
      <c r="BC200" s="658"/>
    </row>
    <row r="201" spans="1:55" ht="15.75">
      <c r="A201" s="305">
        <f>IF(A200="","",IF((A200+1)&gt;=DATE(YEAR(xJahr)+1,MONTH(xJahr),DAY(xJahr)),"",A200+1))</f>
        <v>43660</v>
      </c>
      <c r="B201" s="306">
        <f>IF(A201="","",A201)</f>
        <v>43660</v>
      </c>
      <c r="C201" s="307">
        <f>IF(A201="","",NumberOfWeek(A201))</f>
        <v>28</v>
      </c>
      <c r="D201" s="308">
        <f>IF(A201="","",DATE(YEAR(A201),MONTH(A201),1))</f>
        <v>43646</v>
      </c>
      <c r="E201" s="318" t="str">
        <f>IF((R201-U201)&gt;XWorkTimeMax,$Z$4,IF(AV201=Feiertag,VLOOKUP(B201,db_Feiertag,2,FALSE),""))</f>
        <v/>
      </c>
      <c r="F201" s="5"/>
      <c r="G201" s="6" t="str">
        <f>IF(ISBLANK(F201),IF(ISBLANK(H201),"",0),CODE(UPPER(F201)))</f>
        <v/>
      </c>
      <c r="H201" s="7"/>
      <c r="I201" s="7">
        <f>IF(H201&gt;0,H201+Y201+X201+AC201,0)</f>
        <v>0</v>
      </c>
      <c r="J201" s="113">
        <f>IF(K201&gt;I201,IF(I201&lt;H201,I201+1,I201)-B_WalkTime,IF(I201&lt;H201,I201+1,I201))</f>
        <v>0</v>
      </c>
      <c r="K201" s="7"/>
      <c r="L201" s="7">
        <f>IF(K201&gt;0,K201+IF((J201-H201)&lt;Y201,Y201-(J201-H201),TIME(0,10,0))+IF((K201-J201)&gt;xNoWorkTime,0,xNoWorkTime-(K201-J201)),0)</f>
        <v>0</v>
      </c>
      <c r="M201" s="113">
        <f>IF(L201&lt;K201,L201+1,L201)</f>
        <v>0</v>
      </c>
      <c r="N201" s="113"/>
      <c r="O201" s="113">
        <f>IF(N201&gt;0,N201+IF((J201-H201+M201-K201)&lt;Y201,Y201-(J201-H201+M201-K201),TIME(0,10,0))+IF((K201-J201+N201-M201)&gt;xNoWorkTime,0,xNoWorkTime-(K201-J201+N201-M201)),0)</f>
        <v>0</v>
      </c>
      <c r="P201" s="113"/>
      <c r="Q201" s="113">
        <f>IF(O201&lt;N201,O201+1,O201)</f>
        <v>0</v>
      </c>
      <c r="R201" s="113">
        <f>J201-H201+M201-K201+Q201-N201</f>
        <v>0</v>
      </c>
      <c r="S201" s="113">
        <f>IF(K201&gt;0,K201-I201,0)+IF(N201&gt;0,N201-L201)</f>
        <v>0</v>
      </c>
      <c r="T201" s="113">
        <f>IF(H201&gt;0,(IF(R201&gt;B_Pause1Nach,B_Pause1Dauer+IF(BA201="Büro",B_WalkTime,0),IF(BA201="Büro",B_WalkTime,0))+IF(R201&gt;B_Pause2Nach,B_Pause2Dauer,0)),0)</f>
        <v>0</v>
      </c>
      <c r="U201" s="113">
        <f>IF(T201&gt;S201,T201-S201,0)</f>
        <v>0</v>
      </c>
      <c r="V201" s="146">
        <f>IF(F201="S",Z201,(IF((R201-U201)&gt;XWorkTimeMax,XWorkTimeMax,IF((R201-U201)&gt;0,R201-U201,0))))</f>
        <v>0</v>
      </c>
      <c r="W201" s="66"/>
      <c r="X201" s="115">
        <f>xNoWorkTime</f>
        <v>4.027777777777778E-2</v>
      </c>
      <c r="Y201" s="110">
        <f>IF(AND((AM201&lt;Feiertag),(G201&lt;&gt;85)),IF(OR(F201="B",F201="G",F201="S",H201&gt;0),H201-H201+Z201,0),0)</f>
        <v>0</v>
      </c>
      <c r="Z201" s="111">
        <f>IF(AND(AM201&gt;0,AM201&lt;Feiertag),INDEX(Arbeitszeit,AM201),"")</f>
        <v>0</v>
      </c>
      <c r="AA201" s="112">
        <f>V201-Y201</f>
        <v>0</v>
      </c>
      <c r="AB201" s="67" t="str">
        <f>IF((V201-Y201)&lt;0,"*","")</f>
        <v/>
      </c>
      <c r="AC201" s="193">
        <f>xOverTime</f>
        <v>0</v>
      </c>
      <c r="AD201" s="144" t="str">
        <f>IF((R201-U201)&gt;XWorkTimeMax,(R201-U201-XWorkTimeMax),"")</f>
        <v/>
      </c>
      <c r="AE201" s="225">
        <f>IF(AW201,(AE200+SUM(AA201)+(IF(AG201="+",AF201,-AF201))),)</f>
        <v>0</v>
      </c>
      <c r="AF201" s="110"/>
      <c r="AG201" s="627"/>
      <c r="AH201" s="110"/>
      <c r="AI201" s="110" t="str">
        <f>IF(AND(AF201&lt;&gt;"",AF201&lt;=V201),V201-AF201,"")</f>
        <v/>
      </c>
      <c r="AJ201" s="68">
        <f>IF(ISNUMBER(V201 ), IF( V201 &gt;= Y201, Y201, V201 ),"")</f>
        <v>0</v>
      </c>
      <c r="AK201" s="68">
        <f>IF( ISNUMBER( V201 ), IF( V201 &gt;= Y201, V201 - Y201, "" ), "" )</f>
        <v>0</v>
      </c>
      <c r="AL201" s="68" t="str">
        <f>IF( AND(ISNUMBER( V201 ),ISNUMBER( Y201 )), IF( V201 &gt;= Y201, "", Y201 - V201 ), "" )</f>
        <v/>
      </c>
      <c r="AM201">
        <f>IF(A201="",0,IF(ISERROR(VLOOKUP(A201,db_Feiertag,2,FALSE)),WEEKDAY(A201,2),Feiertag))</f>
        <v>6</v>
      </c>
      <c r="AN201" s="122">
        <f>SUM($AD$6:AD201)</f>
        <v>0</v>
      </c>
      <c r="AO201" s="122">
        <f ca="1">IF(D201=D200,AO200,OFFSET(AO201,-1,COLUMN(db_jSaldoGes)-COLUMN()))</f>
        <v>0</v>
      </c>
      <c r="AP201" s="126">
        <f>IF(OR($G201=-1,$G201=82),-1,IF(OR($G201=0,$G201=83),1,0))</f>
        <v>0</v>
      </c>
      <c r="AQ201" s="126">
        <f>IF($F201=Krank,1,IF($F201="J",-1,0))</f>
        <v>0</v>
      </c>
      <c r="AR201" s="126">
        <f>IF($F201=Urlaub,1,IF($F201="T",-1,0))</f>
        <v>0</v>
      </c>
      <c r="AS201" s="125">
        <f>IF(A201="","",AS200-IF(F201=Urlaub,1,0)+IF(AND(MONTH(A201)=1,DAY(A201)=1),B_UrlaubNeu,0))</f>
        <v>30</v>
      </c>
      <c r="AT201" s="125">
        <f ca="1">IF(A201="","",IF(D201=D200,AT200,OFFSET(AT201,-1,COLUMN(db_jUrlRest)-COLUMN()))+IF(AND(MONTH(A201)=1,DAY(A201)=1),B_UrlaubNeu,0))</f>
        <v>30</v>
      </c>
      <c r="AU201" s="135">
        <f>(IF(ISNUMBER(V201),V201,0)+IF(ISNUMBER(AD201),AD201,0))*24</f>
        <v>0</v>
      </c>
      <c r="AV201" s="125">
        <f>IF(ISNUMBER(AD201),K_ArbeitOverMax,IF(AND(ISNUMBER(AA201),AA201&gt;0),K_ArbeitOverTime,IF(AND(ISNUMBER(V201),V201&gt;0),K_ArbeitNormal,IF(F201=Krank,K_Krank,IF(F201=Urlaub,K_Urlaub,IF(AM201=Feiertag,K_Feiertag,IF(OR(AM201=6,AM201=7),K_Wochenende,0)))))))+IF(F201=Gleittag,K_Gleittag,0)</f>
        <v>7</v>
      </c>
      <c r="AW201" t="b">
        <f>OR((F201&gt;0),(NOT(ISBLANK(H201))),SUM(H201:H$373),SUM(G201:G$373))</f>
        <v>0</v>
      </c>
      <c r="AX201" t="b">
        <f ca="1">INDIRECT(ADDRESS(ROW(),COLUMN(xDay)))&gt;5</f>
        <v>1</v>
      </c>
      <c r="AY201" s="600">
        <f>IF(OR(R201&lt;&gt;0,F201&lt;&gt;0),AA201,IF(Z201="",0,-Z201))+(IF(AG201="+",AF201,-AF201))</f>
        <v>0</v>
      </c>
      <c r="AZ201" s="225">
        <f>SUM(AY$5:AY201)</f>
        <v>-38.791666666666664</v>
      </c>
      <c r="BA201" s="643"/>
      <c r="BB201" s="658">
        <f>IF(ISNA(MATCH(BA201,B_Arbeitsort,0)),0,MATCH(BA201,B_Arbeitsort,0))</f>
        <v>0</v>
      </c>
      <c r="BC201" s="643"/>
    </row>
    <row r="202" spans="1:55" ht="15.75">
      <c r="A202" s="305">
        <f>IF(A201="","",IF((A201+1)&gt;=DATE(YEAR(xJahr)+1,MONTH(xJahr),DAY(xJahr)),"",A201+1))</f>
        <v>43661</v>
      </c>
      <c r="B202" s="306">
        <f>IF(A202="","",A202)</f>
        <v>43661</v>
      </c>
      <c r="C202" s="307">
        <f>IF(A202="","",NumberOfWeek(A202))</f>
        <v>28</v>
      </c>
      <c r="D202" s="308">
        <f>IF(A202="","",DATE(YEAR(A202),MONTH(A202),1))</f>
        <v>43646</v>
      </c>
      <c r="E202" s="318" t="str">
        <f>IF((R202-U202)&gt;XWorkTimeMax,$Z$4,IF(AV202=Feiertag,VLOOKUP(B202,db_Feiertag,2,FALSE),""))</f>
        <v/>
      </c>
      <c r="F202" s="5"/>
      <c r="G202" s="6" t="str">
        <f>IF(ISBLANK(F202),IF(ISBLANK(H202),"",0),CODE(UPPER(F202)))</f>
        <v/>
      </c>
      <c r="H202" s="7"/>
      <c r="I202" s="7">
        <f>IF(H202&gt;0,H202+Y202+X202+AC202,0)</f>
        <v>0</v>
      </c>
      <c r="J202" s="113">
        <f>IF(K202&gt;I202,IF(I202&lt;H202,I202+1,I202)-B_WalkTime,IF(I202&lt;H202,I202+1,I202))</f>
        <v>0</v>
      </c>
      <c r="K202" s="7"/>
      <c r="L202" s="7">
        <f>IF(K202&gt;0,K202+IF((J202-H202)&lt;Y202,Y202-(J202-H202),TIME(0,10,0))+IF((K202-J202)&gt;xNoWorkTime,0,xNoWorkTime-(K202-J202)),0)</f>
        <v>0</v>
      </c>
      <c r="M202" s="113">
        <f>IF(L202&lt;K202,L202+1,L202)</f>
        <v>0</v>
      </c>
      <c r="N202" s="113"/>
      <c r="O202" s="113">
        <f>IF(N202&gt;0,N202+IF((J202-H202+M202-K202)&lt;Y202,Y202-(J202-H202+M202-K202),TIME(0,10,0))+IF((K202-J202+N202-M202)&gt;xNoWorkTime,0,xNoWorkTime-(K202-J202+N202-M202)),0)</f>
        <v>0</v>
      </c>
      <c r="P202" s="113"/>
      <c r="Q202" s="113">
        <f>IF(O202&lt;N202,O202+1,O202)</f>
        <v>0</v>
      </c>
      <c r="R202" s="113">
        <f>J202-H202+M202-K202+Q202-N202</f>
        <v>0</v>
      </c>
      <c r="S202" s="113">
        <f>IF(K202&gt;0,K202-I202,0)+IF(N202&gt;0,N202-L202)</f>
        <v>0</v>
      </c>
      <c r="T202" s="113">
        <f>IF(H202&gt;0,(IF(R202&gt;B_Pause1Nach,B_Pause1Dauer+IF(BA202="Büro",B_WalkTime,0),IF(BA202="Büro",B_WalkTime,0))+IF(R202&gt;B_Pause2Nach,B_Pause2Dauer,0)),0)</f>
        <v>0</v>
      </c>
      <c r="U202" s="113">
        <f>IF(T202&gt;S202,T202-S202,0)</f>
        <v>0</v>
      </c>
      <c r="V202" s="146">
        <f>IF(F202="S",Z202,(IF((R202-U202)&gt;XWorkTimeMax,XWorkTimeMax,IF((R202-U202)&gt;0,R202-U202,0))))</f>
        <v>0</v>
      </c>
      <c r="W202" s="66"/>
      <c r="X202" s="115">
        <f>xNoWorkTime</f>
        <v>4.027777777777778E-2</v>
      </c>
      <c r="Y202" s="110">
        <f>IF(AND((AM202&lt;Feiertag),(G202&lt;&gt;85)),IF(OR(F202="B",F202="G",F202="S",H202&gt;0),H202-H202+Z202,0),0)</f>
        <v>0</v>
      </c>
      <c r="Z202" s="111">
        <f>IF(AND(AM202&gt;0,AM202&lt;Feiertag),INDEX(Arbeitszeit,AM202),"")</f>
        <v>0</v>
      </c>
      <c r="AA202" s="112">
        <f>V202-Y202</f>
        <v>0</v>
      </c>
      <c r="AB202" s="67" t="str">
        <f>IF((V202-Y202)&lt;0,"*","")</f>
        <v/>
      </c>
      <c r="AC202" s="193">
        <f>xOverTime</f>
        <v>0</v>
      </c>
      <c r="AD202" s="144" t="str">
        <f>IF((R202-U202)&gt;XWorkTimeMax,(R202-U202-XWorkTimeMax),"")</f>
        <v/>
      </c>
      <c r="AE202" s="225">
        <f>IF(AW202,(AE201+SUM(AA202)+(IF(AG202="+",AF202,-AF202))),)</f>
        <v>0</v>
      </c>
      <c r="AF202" s="110"/>
      <c r="AG202" s="627"/>
      <c r="AH202" s="110"/>
      <c r="AI202" s="110" t="str">
        <f>IF(AND(AF202&lt;&gt;"",AF202&lt;=V202),V202-AF202,"")</f>
        <v/>
      </c>
      <c r="AJ202" s="68">
        <f>IF(ISNUMBER(V202 ), IF( V202 &gt;= Y202, Y202, V202 ),"")</f>
        <v>0</v>
      </c>
      <c r="AK202" s="68">
        <f>IF( ISNUMBER( V202 ), IF( V202 &gt;= Y202, V202 - Y202, "" ), "" )</f>
        <v>0</v>
      </c>
      <c r="AL202" s="68" t="str">
        <f>IF( AND(ISNUMBER( V202 ),ISNUMBER( Y202 )), IF( V202 &gt;= Y202, "", Y202 - V202 ), "" )</f>
        <v/>
      </c>
      <c r="AM202">
        <f>IF(A202="",0,IF(ISERROR(VLOOKUP(A202,db_Feiertag,2,FALSE)),WEEKDAY(A202,2),Feiertag))</f>
        <v>7</v>
      </c>
      <c r="AN202" s="122">
        <f>SUM($AD$6:AD202)</f>
        <v>0</v>
      </c>
      <c r="AO202" s="122">
        <f ca="1">IF(D202=D201,AO201,OFFSET(AO202,-1,COLUMN(db_jSaldoGes)-COLUMN()))</f>
        <v>0</v>
      </c>
      <c r="AP202" s="126">
        <f>IF(OR($G202=-1,$G202=82),-1,IF(OR($G202=0,$G202=83),1,0))</f>
        <v>0</v>
      </c>
      <c r="AQ202" s="126">
        <f>IF($F202=Krank,1,IF($F202="J",-1,0))</f>
        <v>0</v>
      </c>
      <c r="AR202" s="126">
        <f>IF($F202=Urlaub,1,IF($F202="T",-1,0))</f>
        <v>0</v>
      </c>
      <c r="AS202" s="125">
        <f>IF(A202="","",AS201-IF(F202=Urlaub,1,0)+IF(AND(MONTH(A202)=1,DAY(A202)=1),B_UrlaubNeu,0))</f>
        <v>30</v>
      </c>
      <c r="AT202" s="125">
        <f ca="1">IF(A202="","",IF(D202=D201,AT201,OFFSET(AT202,-1,COLUMN(db_jUrlRest)-COLUMN()))+IF(AND(MONTH(A202)=1,DAY(A202)=1),B_UrlaubNeu,0))</f>
        <v>30</v>
      </c>
      <c r="AU202" s="135">
        <f>(IF(ISNUMBER(V202),V202,0)+IF(ISNUMBER(AD202),AD202,0))*24</f>
        <v>0</v>
      </c>
      <c r="AV202" s="125">
        <f>IF(ISNUMBER(AD202),K_ArbeitOverMax,IF(AND(ISNUMBER(AA202),AA202&gt;0),K_ArbeitOverTime,IF(AND(ISNUMBER(V202),V202&gt;0),K_ArbeitNormal,IF(F202=Krank,K_Krank,IF(F202=Urlaub,K_Urlaub,IF(AM202=Feiertag,K_Feiertag,IF(OR(AM202=6,AM202=7),K_Wochenende,0)))))))+IF(F202=Gleittag,K_Gleittag,0)</f>
        <v>7</v>
      </c>
      <c r="AW202" t="b">
        <f>OR((F202&gt;0),(NOT(ISBLANK(H202))),SUM(H202:H$373),SUM(G202:G$373))</f>
        <v>0</v>
      </c>
      <c r="AX202" t="b">
        <f ca="1">INDIRECT(ADDRESS(ROW(),COLUMN(xDay)))&gt;5</f>
        <v>1</v>
      </c>
      <c r="AY202" s="600">
        <f>IF(OR(R202&lt;&gt;0,F202&lt;&gt;0),AA202,IF(Z202="",0,-Z202))+(IF(AG202="+",AF202,-AF202))</f>
        <v>0</v>
      </c>
      <c r="AZ202" s="225">
        <f>SUM(AY$5:AY202)</f>
        <v>-38.791666666666664</v>
      </c>
      <c r="BA202" s="643"/>
      <c r="BB202" s="658">
        <f>IF(ISNA(MATCH(BA202,B_Arbeitsort,0)),0,MATCH(BA202,B_Arbeitsort,0))</f>
        <v>0</v>
      </c>
      <c r="BC202" s="643"/>
    </row>
    <row r="203" spans="1:55" ht="15.75">
      <c r="A203" s="305">
        <f>IF(A202="","",IF((A202+1)&gt;=DATE(YEAR(xJahr)+1,MONTH(xJahr),DAY(xJahr)),"",A202+1))</f>
        <v>43662</v>
      </c>
      <c r="B203" s="306">
        <f>IF(A203="","",A203)</f>
        <v>43662</v>
      </c>
      <c r="C203" s="307">
        <f>IF(A203="","",NumberOfWeek(A203))</f>
        <v>29</v>
      </c>
      <c r="D203" s="308">
        <f>IF(A203="","",DATE(YEAR(A203),MONTH(A203),1))</f>
        <v>43646</v>
      </c>
      <c r="E203" s="318" t="str">
        <f>IF((R203-U203)&gt;XWorkTimeMax,$Z$4,IF(AV203=Feiertag,VLOOKUP(B203,db_Feiertag,2,FALSE),""))</f>
        <v/>
      </c>
      <c r="F203" s="5"/>
      <c r="G203" s="6" t="str">
        <f>IF(ISBLANK(F203),IF(ISBLANK(H203),"",0),CODE(UPPER(F203)))</f>
        <v/>
      </c>
      <c r="H203" s="7"/>
      <c r="I203" s="7">
        <f>IF(H203&gt;0,H203+Y203+X203+AC203,0)</f>
        <v>0</v>
      </c>
      <c r="J203" s="113">
        <f>IF(K203&gt;I203,IF(I203&lt;H203,I203+1,I203)-B_WalkTime,IF(I203&lt;H203,I203+1,I203))</f>
        <v>0</v>
      </c>
      <c r="K203" s="7"/>
      <c r="L203" s="7">
        <f>IF(K203&gt;0,K203+IF((J203-H203)&lt;Y203,Y203-(J203-H203),TIME(0,10,0))+IF((K203-J203)&gt;xNoWorkTime,0,xNoWorkTime-(K203-J203)),0)</f>
        <v>0</v>
      </c>
      <c r="M203" s="113">
        <f>IF(L203&lt;K203,L203+1,L203)</f>
        <v>0</v>
      </c>
      <c r="N203" s="113"/>
      <c r="O203" s="113">
        <f>IF(N203&gt;0,N203+IF((J203-H203+M203-K203)&lt;Y203,Y203-(J203-H203+M203-K203),TIME(0,10,0))+IF((K203-J203+N203-M203)&gt;xNoWorkTime,0,xNoWorkTime-(K203-J203+N203-M203)),0)</f>
        <v>0</v>
      </c>
      <c r="P203" s="113"/>
      <c r="Q203" s="113">
        <f>IF(O203&lt;N203,O203+1,O203)</f>
        <v>0</v>
      </c>
      <c r="R203" s="113">
        <f>J203-H203+M203-K203+Q203-N203</f>
        <v>0</v>
      </c>
      <c r="S203" s="113">
        <f>IF(K203&gt;0,K203-I203,0)+IF(N203&gt;0,N203-L203)</f>
        <v>0</v>
      </c>
      <c r="T203" s="113">
        <f>IF(H203&gt;0,(IF(R203&gt;B_Pause1Nach,B_Pause1Dauer+IF(BA203="Büro",B_WalkTime,0),IF(BA203="Büro",B_WalkTime,0))+IF(R203&gt;B_Pause2Nach,B_Pause2Dauer,0)),0)</f>
        <v>0</v>
      </c>
      <c r="U203" s="113">
        <f>IF(T203&gt;S203,T203-S203,0)</f>
        <v>0</v>
      </c>
      <c r="V203" s="146">
        <f>IF(F203="S",Z203,(IF((R203-U203)&gt;XWorkTimeMax,XWorkTimeMax,IF((R203-U203)&gt;0,R203-U203,0))))</f>
        <v>0</v>
      </c>
      <c r="W203" s="66"/>
      <c r="X203" s="115">
        <f>xNoWorkTime</f>
        <v>4.027777777777778E-2</v>
      </c>
      <c r="Y203" s="110">
        <f>IF(AND((AM203&lt;Feiertag),(G203&lt;&gt;85)),IF(OR(F203="B",F203="G",F203="S",H203&gt;0),H203-H203+Z203,0),0)</f>
        <v>0</v>
      </c>
      <c r="Z203" s="111">
        <f>IF(AND(AM203&gt;0,AM203&lt;Feiertag),INDEX(Arbeitszeit,AM203),"")</f>
        <v>0.29166666666666669</v>
      </c>
      <c r="AA203" s="112">
        <f>V203-Y203</f>
        <v>0</v>
      </c>
      <c r="AB203" s="67" t="str">
        <f>IF((V203-Y203)&lt;0,"*","")</f>
        <v/>
      </c>
      <c r="AC203" s="193">
        <f>xOverTime</f>
        <v>0</v>
      </c>
      <c r="AD203" s="144" t="str">
        <f>IF((R203-U203)&gt;XWorkTimeMax,(R203-U203-XWorkTimeMax),"")</f>
        <v/>
      </c>
      <c r="AE203" s="225">
        <f>IF(AW203,(AE202+SUM(AA203)+(IF(AG203="+",AF203,-AF203))),)</f>
        <v>0</v>
      </c>
      <c r="AF203" s="110"/>
      <c r="AG203" s="627"/>
      <c r="AH203" s="110"/>
      <c r="AI203" s="110" t="str">
        <f>IF(AND(AF203&lt;&gt;"",AF203&lt;=V203),V203-AF203,"")</f>
        <v/>
      </c>
      <c r="AJ203" s="68">
        <f>IF(ISNUMBER(V203 ), IF( V203 &gt;= Y203, Y203, V203 ),"")</f>
        <v>0</v>
      </c>
      <c r="AK203" s="68">
        <f>IF( ISNUMBER( V203 ), IF( V203 &gt;= Y203, V203 - Y203, "" ), "" )</f>
        <v>0</v>
      </c>
      <c r="AL203" s="68" t="str">
        <f>IF( AND(ISNUMBER( V203 ),ISNUMBER( Y203 )), IF( V203 &gt;= Y203, "", Y203 - V203 ), "" )</f>
        <v/>
      </c>
      <c r="AM203">
        <f>IF(A203="",0,IF(ISERROR(VLOOKUP(A203,db_Feiertag,2,FALSE)),WEEKDAY(A203,2),Feiertag))</f>
        <v>1</v>
      </c>
      <c r="AN203" s="122">
        <f>SUM($AD$6:AD203)</f>
        <v>0</v>
      </c>
      <c r="AO203" s="122">
        <f ca="1">IF(D203=D202,AO202,OFFSET(AO203,-1,COLUMN(db_jSaldoGes)-COLUMN()))</f>
        <v>0</v>
      </c>
      <c r="AP203" s="126">
        <f>IF(OR($G203=-1,$G203=82),-1,IF(OR($G203=0,$G203=83),1,0))</f>
        <v>0</v>
      </c>
      <c r="AQ203" s="126">
        <f>IF($F203=Krank,1,IF($F203="J",-1,0))</f>
        <v>0</v>
      </c>
      <c r="AR203" s="126">
        <f>IF($F203=Urlaub,1,IF($F203="T",-1,0))</f>
        <v>0</v>
      </c>
      <c r="AS203" s="125">
        <f>IF(A203="","",AS202-IF(F203=Urlaub,1,0)+IF(AND(MONTH(A203)=1,DAY(A203)=1),B_UrlaubNeu,0))</f>
        <v>30</v>
      </c>
      <c r="AT203" s="125">
        <f ca="1">IF(A203="","",IF(D203=D202,AT202,OFFSET(AT203,-1,COLUMN(db_jUrlRest)-COLUMN()))+IF(AND(MONTH(A203)=1,DAY(A203)=1),B_UrlaubNeu,0))</f>
        <v>30</v>
      </c>
      <c r="AU203" s="135">
        <f>(IF(ISNUMBER(V203),V203,0)+IF(ISNUMBER(AD203),AD203,0))*24</f>
        <v>0</v>
      </c>
      <c r="AV203" s="125">
        <f>IF(ISNUMBER(AD203),K_ArbeitOverMax,IF(AND(ISNUMBER(AA203),AA203&gt;0),K_ArbeitOverTime,IF(AND(ISNUMBER(V203),V203&gt;0),K_ArbeitNormal,IF(F203=Krank,K_Krank,IF(F203=Urlaub,K_Urlaub,IF(AM203=Feiertag,K_Feiertag,IF(OR(AM203=6,AM203=7),K_Wochenende,0)))))))+IF(F203=Gleittag,K_Gleittag,0)</f>
        <v>0</v>
      </c>
      <c r="AW203" t="b">
        <f>OR((F203&gt;0),(NOT(ISBLANK(H203))),SUM(H203:H$373),SUM(G203:G$373))</f>
        <v>0</v>
      </c>
      <c r="AX203" t="b">
        <f ca="1">INDIRECT(ADDRESS(ROW(),COLUMN(xDay)))&gt;5</f>
        <v>0</v>
      </c>
      <c r="AY203" s="600">
        <f>IF(OR(R203&lt;&gt;0,F203&lt;&gt;0),AA203,IF(Z203="",0,-Z203))+(IF(AG203="+",AF203,-AF203))</f>
        <v>-0.29166666666666669</v>
      </c>
      <c r="AZ203" s="225">
        <f>SUM(AY$5:AY203)</f>
        <v>-39.083333333333329</v>
      </c>
      <c r="BA203" s="658"/>
      <c r="BB203" s="658">
        <f>IF(ISNA(MATCH(BA203,B_Arbeitsort,0)),0,MATCH(BA203,B_Arbeitsort,0))</f>
        <v>0</v>
      </c>
      <c r="BC203" s="658"/>
    </row>
    <row r="204" spans="1:55" ht="15.75">
      <c r="A204" s="305">
        <f>IF(A203="","",IF((A203+1)&gt;=DATE(YEAR(xJahr)+1,MONTH(xJahr),DAY(xJahr)),"",A203+1))</f>
        <v>43663</v>
      </c>
      <c r="B204" s="306">
        <f>IF(A204="","",A204)</f>
        <v>43663</v>
      </c>
      <c r="C204" s="307">
        <f>IF(A204="","",NumberOfWeek(A204))</f>
        <v>29</v>
      </c>
      <c r="D204" s="308">
        <f>IF(A204="","",DATE(YEAR(A204),MONTH(A204),1))</f>
        <v>43646</v>
      </c>
      <c r="E204" s="318" t="str">
        <f>IF((R204-U204)&gt;XWorkTimeMax,$Z$4,IF(AV204=Feiertag,VLOOKUP(B204,db_Feiertag,2,FALSE),""))</f>
        <v/>
      </c>
      <c r="F204" s="5"/>
      <c r="G204" s="6" t="str">
        <f>IF(ISBLANK(F204),IF(ISBLANK(H204),"",0),CODE(UPPER(F204)))</f>
        <v/>
      </c>
      <c r="H204" s="7"/>
      <c r="I204" s="7">
        <f>IF(H204&gt;0,H204+Y204+X204+AC204,0)</f>
        <v>0</v>
      </c>
      <c r="J204" s="113">
        <f>IF(K204&gt;I204,IF(I204&lt;H204,I204+1,I204)-B_WalkTime,IF(I204&lt;H204,I204+1,I204))</f>
        <v>0</v>
      </c>
      <c r="K204" s="7"/>
      <c r="L204" s="7">
        <f>IF(K204&gt;0,K204+IF((J204-H204)&lt;Y204,Y204-(J204-H204),TIME(0,10,0))+IF((K204-J204)&gt;xNoWorkTime,0,xNoWorkTime-(K204-J204)),0)</f>
        <v>0</v>
      </c>
      <c r="M204" s="113">
        <f>IF(L204&lt;K204,L204+1,L204)</f>
        <v>0</v>
      </c>
      <c r="N204" s="113"/>
      <c r="O204" s="113">
        <f>IF(N204&gt;0,N204+IF((J204-H204+M204-K204)&lt;Y204,Y204-(J204-H204+M204-K204),TIME(0,10,0))+IF((K204-J204+N204-M204)&gt;xNoWorkTime,0,xNoWorkTime-(K204-J204+N204-M204)),0)</f>
        <v>0</v>
      </c>
      <c r="P204" s="113"/>
      <c r="Q204" s="113">
        <f>IF(O204&lt;N204,O204+1,O204)</f>
        <v>0</v>
      </c>
      <c r="R204" s="113">
        <f>J204-H204+M204-K204+Q204-N204</f>
        <v>0</v>
      </c>
      <c r="S204" s="113">
        <f>IF(K204&gt;0,K204-I204,0)+IF(N204&gt;0,N204-L204)</f>
        <v>0</v>
      </c>
      <c r="T204" s="113">
        <f>IF(H204&gt;0,(IF(R204&gt;B_Pause1Nach,B_Pause1Dauer+IF(BA204="Büro",B_WalkTime,0),IF(BA204="Büro",B_WalkTime,0))+IF(R204&gt;B_Pause2Nach,B_Pause2Dauer,0)),0)</f>
        <v>0</v>
      </c>
      <c r="U204" s="113">
        <f>IF(T204&gt;S204,T204-S204,0)</f>
        <v>0</v>
      </c>
      <c r="V204" s="146">
        <f>IF(F204="S",Z204,(IF((R204-U204)&gt;XWorkTimeMax,XWorkTimeMax,IF((R204-U204)&gt;0,R204-U204,0))))</f>
        <v>0</v>
      </c>
      <c r="W204" s="66"/>
      <c r="X204" s="115">
        <f>xNoWorkTime</f>
        <v>4.027777777777778E-2</v>
      </c>
      <c r="Y204" s="110">
        <f>IF(AND((AM204&lt;Feiertag),(G204&lt;&gt;85)),IF(OR(F204="B",F204="G",F204="S",H204&gt;0),H204-H204+Z204,0),0)</f>
        <v>0</v>
      </c>
      <c r="Z204" s="111">
        <f>IF(AND(AM204&gt;0,AM204&lt;Feiertag),INDEX(Arbeitszeit,AM204),"")</f>
        <v>0.29166666666666669</v>
      </c>
      <c r="AA204" s="112">
        <f>V204-Y204</f>
        <v>0</v>
      </c>
      <c r="AB204" s="67" t="str">
        <f>IF((V204-Y204)&lt;0,"*","")</f>
        <v/>
      </c>
      <c r="AC204" s="193">
        <f>xOverTime</f>
        <v>0</v>
      </c>
      <c r="AD204" s="144" t="str">
        <f>IF((R204-U204)&gt;XWorkTimeMax,(R204-U204-XWorkTimeMax),"")</f>
        <v/>
      </c>
      <c r="AE204" s="225">
        <f>IF(AW204,(AE203+SUM(AA204)+(IF(AG204="+",AF204,-AF204))),)</f>
        <v>0</v>
      </c>
      <c r="AF204" s="110"/>
      <c r="AG204" s="627"/>
      <c r="AH204" s="110"/>
      <c r="AI204" s="110" t="str">
        <f>IF(AND(AF204&lt;&gt;"",AF204&lt;=V204),V204-AF204,"")</f>
        <v/>
      </c>
      <c r="AJ204" s="68">
        <f>IF(ISNUMBER(V204 ), IF( V204 &gt;= Y204, Y204, V204 ),"")</f>
        <v>0</v>
      </c>
      <c r="AK204" s="68">
        <f>IF( ISNUMBER( V204 ), IF( V204 &gt;= Y204, V204 - Y204, "" ), "" )</f>
        <v>0</v>
      </c>
      <c r="AL204" s="68" t="str">
        <f>IF( AND(ISNUMBER( V204 ),ISNUMBER( Y204 )), IF( V204 &gt;= Y204, "", Y204 - V204 ), "" )</f>
        <v/>
      </c>
      <c r="AM204">
        <f>IF(A204="",0,IF(ISERROR(VLOOKUP(A204,db_Feiertag,2,FALSE)),WEEKDAY(A204,2),Feiertag))</f>
        <v>2</v>
      </c>
      <c r="AN204" s="122">
        <f>SUM($AD$6:AD204)</f>
        <v>0</v>
      </c>
      <c r="AO204" s="122">
        <f ca="1">IF(D204=D203,AO203,OFFSET(AO204,-1,COLUMN(db_jSaldoGes)-COLUMN()))</f>
        <v>0</v>
      </c>
      <c r="AP204" s="126">
        <f>IF(OR($G204=-1,$G204=82),-1,IF(OR($G204=0,$G204=83),1,0))</f>
        <v>0</v>
      </c>
      <c r="AQ204" s="126">
        <f>IF($F204=Krank,1,IF($F204="J",-1,0))</f>
        <v>0</v>
      </c>
      <c r="AR204" s="126">
        <f>IF($F204=Urlaub,1,IF($F204="T",-1,0))</f>
        <v>0</v>
      </c>
      <c r="AS204" s="125">
        <f>IF(A204="","",AS203-IF(F204=Urlaub,1,0)+IF(AND(MONTH(A204)=1,DAY(A204)=1),B_UrlaubNeu,0))</f>
        <v>30</v>
      </c>
      <c r="AT204" s="125">
        <f ca="1">IF(A204="","",IF(D204=D203,AT203,OFFSET(AT204,-1,COLUMN(db_jUrlRest)-COLUMN()))+IF(AND(MONTH(A204)=1,DAY(A204)=1),B_UrlaubNeu,0))</f>
        <v>30</v>
      </c>
      <c r="AU204" s="135">
        <f>(IF(ISNUMBER(V204),V204,0)+IF(ISNUMBER(AD204),AD204,0))*24</f>
        <v>0</v>
      </c>
      <c r="AV204" s="125">
        <f>IF(ISNUMBER(AD204),K_ArbeitOverMax,IF(AND(ISNUMBER(AA204),AA204&gt;0),K_ArbeitOverTime,IF(AND(ISNUMBER(V204),V204&gt;0),K_ArbeitNormal,IF(F204=Krank,K_Krank,IF(F204=Urlaub,K_Urlaub,IF(AM204=Feiertag,K_Feiertag,IF(OR(AM204=6,AM204=7),K_Wochenende,0)))))))+IF(F204=Gleittag,K_Gleittag,0)</f>
        <v>0</v>
      </c>
      <c r="AW204" t="b">
        <f>OR((F204&gt;0),(NOT(ISBLANK(H204))),SUM(H204:H$373),SUM(G204:G$373))</f>
        <v>0</v>
      </c>
      <c r="AX204" t="b">
        <f ca="1">INDIRECT(ADDRESS(ROW(),COLUMN(xDay)))&gt;5</f>
        <v>0</v>
      </c>
      <c r="AY204" s="600">
        <f>IF(OR(R204&lt;&gt;0,F204&lt;&gt;0),AA204,IF(Z204="",0,-Z204))+(IF(AG204="+",AF204,-AF204))</f>
        <v>-0.29166666666666669</v>
      </c>
      <c r="AZ204" s="225">
        <f>SUM(AY$5:AY204)</f>
        <v>-39.374999999999993</v>
      </c>
      <c r="BA204" s="658"/>
      <c r="BB204" s="658">
        <f>IF(ISNA(MATCH(BA204,B_Arbeitsort,0)),0,MATCH(BA204,B_Arbeitsort,0))</f>
        <v>0</v>
      </c>
      <c r="BC204" s="658"/>
    </row>
    <row r="205" spans="1:55" ht="15.75">
      <c r="A205" s="305">
        <f>IF(A204="","",IF((A204+1)&gt;=DATE(YEAR(xJahr)+1,MONTH(xJahr),DAY(xJahr)),"",A204+1))</f>
        <v>43664</v>
      </c>
      <c r="B205" s="306">
        <f>IF(A205="","",A205)</f>
        <v>43664</v>
      </c>
      <c r="C205" s="307">
        <f>IF(A205="","",NumberOfWeek(A205))</f>
        <v>29</v>
      </c>
      <c r="D205" s="308">
        <f>IF(A205="","",DATE(YEAR(A205),MONTH(A205),1))</f>
        <v>43646</v>
      </c>
      <c r="E205" s="318" t="str">
        <f>IF((R205-U205)&gt;XWorkTimeMax,$Z$4,IF(AV205=Feiertag,VLOOKUP(B205,db_Feiertag,2,FALSE),""))</f>
        <v/>
      </c>
      <c r="F205" s="5"/>
      <c r="G205" s="6" t="str">
        <f>IF(ISBLANK(F205),IF(ISBLANK(H205),"",0),CODE(UPPER(F205)))</f>
        <v/>
      </c>
      <c r="H205" s="7"/>
      <c r="I205" s="7">
        <f>IF(H205&gt;0,H205+Y205+X205+AC205,0)</f>
        <v>0</v>
      </c>
      <c r="J205" s="113">
        <f>IF(K205&gt;I205,IF(I205&lt;H205,I205+1,I205)-B_WalkTime,IF(I205&lt;H205,I205+1,I205))</f>
        <v>0</v>
      </c>
      <c r="K205" s="7"/>
      <c r="L205" s="7">
        <f>IF(K205&gt;0,K205+IF((J205-H205)&lt;Y205,Y205-(J205-H205),TIME(0,10,0))+IF((K205-J205)&gt;xNoWorkTime,0,xNoWorkTime-(K205-J205)),0)</f>
        <v>0</v>
      </c>
      <c r="M205" s="113">
        <f>IF(L205&lt;K205,L205+1,L205)</f>
        <v>0</v>
      </c>
      <c r="N205" s="113"/>
      <c r="O205" s="113">
        <f>IF(N205&gt;0,N205+IF((J205-H205+M205-K205)&lt;Y205,Y205-(J205-H205+M205-K205),TIME(0,10,0))+IF((K205-J205+N205-M205)&gt;xNoWorkTime,0,xNoWorkTime-(K205-J205+N205-M205)),0)</f>
        <v>0</v>
      </c>
      <c r="P205" s="113"/>
      <c r="Q205" s="113">
        <f>IF(O205&lt;N205,O205+1,O205)</f>
        <v>0</v>
      </c>
      <c r="R205" s="113">
        <f>J205-H205+M205-K205+Q205-N205</f>
        <v>0</v>
      </c>
      <c r="S205" s="113">
        <f>IF(K205&gt;0,K205-I205,0)+IF(N205&gt;0,N205-L205)</f>
        <v>0</v>
      </c>
      <c r="T205" s="113">
        <f>IF(H205&gt;0,(IF(R205&gt;B_Pause1Nach,B_Pause1Dauer+IF(BA205="Büro",B_WalkTime,0),IF(BA205="Büro",B_WalkTime,0))+IF(R205&gt;B_Pause2Nach,B_Pause2Dauer,0)),0)</f>
        <v>0</v>
      </c>
      <c r="U205" s="113">
        <f>IF(T205&gt;S205,T205-S205,0)</f>
        <v>0</v>
      </c>
      <c r="V205" s="146">
        <f>IF(F205="S",Z205,(IF((R205-U205)&gt;XWorkTimeMax,XWorkTimeMax,IF((R205-U205)&gt;0,R205-U205,0))))</f>
        <v>0</v>
      </c>
      <c r="W205" s="66"/>
      <c r="X205" s="115">
        <f>xNoWorkTime</f>
        <v>4.027777777777778E-2</v>
      </c>
      <c r="Y205" s="110">
        <f>IF(AND((AM205&lt;Feiertag),(G205&lt;&gt;85)),IF(OR(F205="B",F205="G",F205="S",H205&gt;0),H205-H205+Z205,0),0)</f>
        <v>0</v>
      </c>
      <c r="Z205" s="111">
        <f>IF(AND(AM205&gt;0,AM205&lt;Feiertag),INDEX(Arbeitszeit,AM205),"")</f>
        <v>0.29166666666666669</v>
      </c>
      <c r="AA205" s="112">
        <f>V205-Y205</f>
        <v>0</v>
      </c>
      <c r="AB205" s="67" t="str">
        <f>IF((V205-Y205)&lt;0,"*","")</f>
        <v/>
      </c>
      <c r="AC205" s="193">
        <f>xOverTime</f>
        <v>0</v>
      </c>
      <c r="AD205" s="144" t="str">
        <f>IF((R205-U205)&gt;XWorkTimeMax,(R205-U205-XWorkTimeMax),"")</f>
        <v/>
      </c>
      <c r="AE205" s="225">
        <f>IF(AW205,(AE204+SUM(AA205)+(IF(AG205="+",AF205,-AF205))),)</f>
        <v>0</v>
      </c>
      <c r="AF205" s="110"/>
      <c r="AG205" s="627"/>
      <c r="AH205" s="110"/>
      <c r="AI205" s="110" t="str">
        <f>IF(AND(AF205&lt;&gt;"",AF205&lt;=V205),V205-AF205,"")</f>
        <v/>
      </c>
      <c r="AJ205" s="68">
        <f>IF(ISNUMBER(V205 ), IF( V205 &gt;= Y205, Y205, V205 ),"")</f>
        <v>0</v>
      </c>
      <c r="AK205" s="68">
        <f>IF( ISNUMBER( V205 ), IF( V205 &gt;= Y205, V205 - Y205, "" ), "" )</f>
        <v>0</v>
      </c>
      <c r="AL205" s="68" t="str">
        <f>IF( AND(ISNUMBER( V205 ),ISNUMBER( Y205 )), IF( V205 &gt;= Y205, "", Y205 - V205 ), "" )</f>
        <v/>
      </c>
      <c r="AM205">
        <f>IF(A205="",0,IF(ISERROR(VLOOKUP(A205,db_Feiertag,2,FALSE)),WEEKDAY(A205,2),Feiertag))</f>
        <v>3</v>
      </c>
      <c r="AN205" s="122">
        <f>SUM($AD$6:AD205)</f>
        <v>0</v>
      </c>
      <c r="AO205" s="122">
        <f ca="1">IF(D205=D204,AO204,OFFSET(AO205,-1,COLUMN(db_jSaldoGes)-COLUMN()))</f>
        <v>0</v>
      </c>
      <c r="AP205" s="126">
        <f>IF(OR($G205=-1,$G205=82),-1,IF(OR($G205=0,$G205=83),1,0))</f>
        <v>0</v>
      </c>
      <c r="AQ205" s="126">
        <f>IF($F205=Krank,1,IF($F205="J",-1,0))</f>
        <v>0</v>
      </c>
      <c r="AR205" s="126">
        <f>IF($F205=Urlaub,1,IF($F205="T",-1,0))</f>
        <v>0</v>
      </c>
      <c r="AS205" s="125">
        <f>IF(A205="","",AS204-IF(F205=Urlaub,1,0)+IF(AND(MONTH(A205)=1,DAY(A205)=1),B_UrlaubNeu,0))</f>
        <v>30</v>
      </c>
      <c r="AT205" s="125">
        <f ca="1">IF(A205="","",IF(D205=D204,AT204,OFFSET(AT205,-1,COLUMN(db_jUrlRest)-COLUMN()))+IF(AND(MONTH(A205)=1,DAY(A205)=1),B_UrlaubNeu,0))</f>
        <v>30</v>
      </c>
      <c r="AU205" s="135">
        <f>(IF(ISNUMBER(V205),V205,0)+IF(ISNUMBER(AD205),AD205,0))*24</f>
        <v>0</v>
      </c>
      <c r="AV205" s="125">
        <f>IF(ISNUMBER(AD205),K_ArbeitOverMax,IF(AND(ISNUMBER(AA205),AA205&gt;0),K_ArbeitOverTime,IF(AND(ISNUMBER(V205),V205&gt;0),K_ArbeitNormal,IF(F205=Krank,K_Krank,IF(F205=Urlaub,K_Urlaub,IF(AM205=Feiertag,K_Feiertag,IF(OR(AM205=6,AM205=7),K_Wochenende,0)))))))+IF(F205=Gleittag,K_Gleittag,0)</f>
        <v>0</v>
      </c>
      <c r="AW205" t="b">
        <f>OR((F205&gt;0),(NOT(ISBLANK(H205))),SUM(H205:H$373),SUM(G205:G$373))</f>
        <v>0</v>
      </c>
      <c r="AX205" t="b">
        <f ca="1">INDIRECT(ADDRESS(ROW(),COLUMN(xDay)))&gt;5</f>
        <v>0</v>
      </c>
      <c r="AY205" s="600">
        <f>IF(OR(R205&lt;&gt;0,F205&lt;&gt;0),AA205,IF(Z205="",0,-Z205))+(IF(AG205="+",AF205,-AF205))</f>
        <v>-0.29166666666666669</v>
      </c>
      <c r="AZ205" s="225">
        <f>SUM(AY$5:AY205)</f>
        <v>-39.666666666666657</v>
      </c>
      <c r="BA205" s="658"/>
      <c r="BB205" s="658">
        <f>IF(ISNA(MATCH(BA205,B_Arbeitsort,0)),0,MATCH(BA205,B_Arbeitsort,0))</f>
        <v>0</v>
      </c>
      <c r="BC205" s="658"/>
    </row>
    <row r="206" spans="1:55" ht="15.75">
      <c r="A206" s="305">
        <f>IF(A205="","",IF((A205+1)&gt;=DATE(YEAR(xJahr)+1,MONTH(xJahr),DAY(xJahr)),"",A205+1))</f>
        <v>43665</v>
      </c>
      <c r="B206" s="306">
        <f>IF(A206="","",A206)</f>
        <v>43665</v>
      </c>
      <c r="C206" s="307">
        <f>IF(A206="","",NumberOfWeek(A206))</f>
        <v>29</v>
      </c>
      <c r="D206" s="308">
        <f>IF(A206="","",DATE(YEAR(A206),MONTH(A206),1))</f>
        <v>43646</v>
      </c>
      <c r="E206" s="318" t="str">
        <f>IF((R206-U206)&gt;XWorkTimeMax,$Z$4,IF(AV206=Feiertag,VLOOKUP(B206,db_Feiertag,2,FALSE),""))</f>
        <v/>
      </c>
      <c r="F206" s="5"/>
      <c r="G206" s="6" t="str">
        <f>IF(ISBLANK(F206),IF(ISBLANK(H206),"",0),CODE(UPPER(F206)))</f>
        <v/>
      </c>
      <c r="H206" s="7"/>
      <c r="I206" s="7">
        <f>IF(H206&gt;0,H206+Y206+X206+AC206,0)</f>
        <v>0</v>
      </c>
      <c r="J206" s="113">
        <f>IF(K206&gt;I206,IF(I206&lt;H206,I206+1,I206)-B_WalkTime,IF(I206&lt;H206,I206+1,I206))</f>
        <v>0</v>
      </c>
      <c r="K206" s="7"/>
      <c r="L206" s="7">
        <f>IF(K206&gt;0,K206+IF((J206-H206)&lt;Y206,Y206-(J206-H206),TIME(0,10,0))+IF((K206-J206)&gt;xNoWorkTime,0,xNoWorkTime-(K206-J206)),0)</f>
        <v>0</v>
      </c>
      <c r="M206" s="113">
        <f>IF(L206&lt;K206,L206+1,L206)</f>
        <v>0</v>
      </c>
      <c r="N206" s="113"/>
      <c r="O206" s="113">
        <f>IF(N206&gt;0,N206+IF((J206-H206+M206-K206)&lt;Y206,Y206-(J206-H206+M206-K206),TIME(0,10,0))+IF((K206-J206+N206-M206)&gt;xNoWorkTime,0,xNoWorkTime-(K206-J206+N206-M206)),0)</f>
        <v>0</v>
      </c>
      <c r="P206" s="113"/>
      <c r="Q206" s="113">
        <f>IF(O206&lt;N206,O206+1,O206)</f>
        <v>0</v>
      </c>
      <c r="R206" s="113">
        <f>J206-H206+M206-K206+Q206-N206</f>
        <v>0</v>
      </c>
      <c r="S206" s="113">
        <f>IF(K206&gt;0,K206-I206,0)+IF(N206&gt;0,N206-L206)</f>
        <v>0</v>
      </c>
      <c r="T206" s="113">
        <f>IF(H206&gt;0,(IF(R206&gt;B_Pause1Nach,B_Pause1Dauer+IF(BA206="Büro",B_WalkTime,0),IF(BA206="Büro",B_WalkTime,0))+IF(R206&gt;B_Pause2Nach,B_Pause2Dauer,0)),0)</f>
        <v>0</v>
      </c>
      <c r="U206" s="113">
        <f>IF(T206&gt;S206,T206-S206,0)</f>
        <v>0</v>
      </c>
      <c r="V206" s="146">
        <f>IF(F206="S",Z206,(IF((R206-U206)&gt;XWorkTimeMax,XWorkTimeMax,IF((R206-U206)&gt;0,R206-U206,0))))</f>
        <v>0</v>
      </c>
      <c r="W206" s="66"/>
      <c r="X206" s="115">
        <f>xNoWorkTime</f>
        <v>4.027777777777778E-2</v>
      </c>
      <c r="Y206" s="110">
        <f>IF(AND((AM206&lt;Feiertag),(G206&lt;&gt;85)),IF(OR(F206="B",F206="G",F206="S",H206&gt;0),H206-H206+Z206,0),0)</f>
        <v>0</v>
      </c>
      <c r="Z206" s="111">
        <f>IF(AND(AM206&gt;0,AM206&lt;Feiertag),INDEX(Arbeitszeit,AM206),"")</f>
        <v>0.29166666666666669</v>
      </c>
      <c r="AA206" s="112">
        <f>V206-Y206</f>
        <v>0</v>
      </c>
      <c r="AB206" s="67" t="str">
        <f>IF((V206-Y206)&lt;0,"*","")</f>
        <v/>
      </c>
      <c r="AC206" s="193">
        <f>xOverTime</f>
        <v>0</v>
      </c>
      <c r="AD206" s="144" t="str">
        <f>IF((R206-U206)&gt;XWorkTimeMax,(R206-U206-XWorkTimeMax),"")</f>
        <v/>
      </c>
      <c r="AE206" s="225">
        <f>IF(AW206,(AE205+SUM(AA206)+(IF(AG206="+",AF206,-AF206))),)</f>
        <v>0</v>
      </c>
      <c r="AF206" s="110"/>
      <c r="AG206" s="627"/>
      <c r="AH206" s="110"/>
      <c r="AI206" s="110" t="str">
        <f>IF(AND(AF206&lt;&gt;"",AF206&lt;=V206),V206-AF206,"")</f>
        <v/>
      </c>
      <c r="AJ206" s="68">
        <f>IF(ISNUMBER(V206 ), IF( V206 &gt;= Y206, Y206, V206 ),"")</f>
        <v>0</v>
      </c>
      <c r="AK206" s="68">
        <f>IF( ISNUMBER( V206 ), IF( V206 &gt;= Y206, V206 - Y206, "" ), "" )</f>
        <v>0</v>
      </c>
      <c r="AL206" s="68" t="str">
        <f>IF( AND(ISNUMBER( V206 ),ISNUMBER( Y206 )), IF( V206 &gt;= Y206, "", Y206 - V206 ), "" )</f>
        <v/>
      </c>
      <c r="AM206">
        <f>IF(A206="",0,IF(ISERROR(VLOOKUP(A206,db_Feiertag,2,FALSE)),WEEKDAY(A206,2),Feiertag))</f>
        <v>4</v>
      </c>
      <c r="AN206" s="122">
        <f>SUM($AD$6:AD206)</f>
        <v>0</v>
      </c>
      <c r="AO206" s="122">
        <f ca="1">IF(D206=D205,AO205,OFFSET(AO206,-1,COLUMN(db_jSaldoGes)-COLUMN()))</f>
        <v>0</v>
      </c>
      <c r="AP206" s="126">
        <f>IF(OR($G206=-1,$G206=82),-1,IF(OR($G206=0,$G206=83),1,0))</f>
        <v>0</v>
      </c>
      <c r="AQ206" s="126">
        <f>IF($F206=Krank,1,IF($F206="J",-1,0))</f>
        <v>0</v>
      </c>
      <c r="AR206" s="126">
        <f>IF($F206=Urlaub,1,IF($F206="T",-1,0))</f>
        <v>0</v>
      </c>
      <c r="AS206" s="125">
        <f>IF(A206="","",AS205-IF(F206=Urlaub,1,0)+IF(AND(MONTH(A206)=1,DAY(A206)=1),B_UrlaubNeu,0))</f>
        <v>30</v>
      </c>
      <c r="AT206" s="125">
        <f ca="1">IF(A206="","",IF(D206=D205,AT205,OFFSET(AT206,-1,COLUMN(db_jUrlRest)-COLUMN()))+IF(AND(MONTH(A206)=1,DAY(A206)=1),B_UrlaubNeu,0))</f>
        <v>30</v>
      </c>
      <c r="AU206" s="135">
        <f>(IF(ISNUMBER(V206),V206,0)+IF(ISNUMBER(AD206),AD206,0))*24</f>
        <v>0</v>
      </c>
      <c r="AV206" s="125">
        <f>IF(ISNUMBER(AD206),K_ArbeitOverMax,IF(AND(ISNUMBER(AA206),AA206&gt;0),K_ArbeitOverTime,IF(AND(ISNUMBER(V206),V206&gt;0),K_ArbeitNormal,IF(F206=Krank,K_Krank,IF(F206=Urlaub,K_Urlaub,IF(AM206=Feiertag,K_Feiertag,IF(OR(AM206=6,AM206=7),K_Wochenende,0)))))))+IF(F206=Gleittag,K_Gleittag,0)</f>
        <v>0</v>
      </c>
      <c r="AW206" t="b">
        <f>OR((F206&gt;0),(NOT(ISBLANK(H206))),SUM(H206:H$373),SUM(G206:G$373))</f>
        <v>0</v>
      </c>
      <c r="AX206" t="b">
        <f ca="1">INDIRECT(ADDRESS(ROW(),COLUMN(xDay)))&gt;5</f>
        <v>0</v>
      </c>
      <c r="AY206" s="600">
        <f>IF(OR(R206&lt;&gt;0,F206&lt;&gt;0),AA206,IF(Z206="",0,-Z206))+(IF(AG206="+",AF206,-AF206))</f>
        <v>-0.29166666666666669</v>
      </c>
      <c r="AZ206" s="225">
        <f>SUM(AY$5:AY206)</f>
        <v>-39.958333333333321</v>
      </c>
      <c r="BA206" s="658"/>
      <c r="BB206" s="658">
        <f>IF(ISNA(MATCH(BA206,B_Arbeitsort,0)),0,MATCH(BA206,B_Arbeitsort,0))</f>
        <v>0</v>
      </c>
      <c r="BC206" s="658"/>
    </row>
    <row r="207" spans="1:55" ht="15.75">
      <c r="A207" s="305">
        <f>IF(A206="","",IF((A206+1)&gt;=DATE(YEAR(xJahr)+1,MONTH(xJahr),DAY(xJahr)),"",A206+1))</f>
        <v>43666</v>
      </c>
      <c r="B207" s="306">
        <f>IF(A207="","",A207)</f>
        <v>43666</v>
      </c>
      <c r="C207" s="307">
        <f>IF(A207="","",NumberOfWeek(A207))</f>
        <v>29</v>
      </c>
      <c r="D207" s="308">
        <f>IF(A207="","",DATE(YEAR(A207),MONTH(A207),1))</f>
        <v>43646</v>
      </c>
      <c r="E207" s="318" t="str">
        <f>IF((R207-U207)&gt;XWorkTimeMax,$Z$4,IF(AV207=Feiertag,VLOOKUP(B207,db_Feiertag,2,FALSE),""))</f>
        <v/>
      </c>
      <c r="F207" s="5"/>
      <c r="G207" s="6" t="str">
        <f>IF(ISBLANK(F207),IF(ISBLANK(H207),"",0),CODE(UPPER(F207)))</f>
        <v/>
      </c>
      <c r="H207" s="7"/>
      <c r="I207" s="7">
        <f>IF(H207&gt;0,H207+Y207+X207+AC207,0)</f>
        <v>0</v>
      </c>
      <c r="J207" s="113">
        <f>IF(K207&gt;I207,IF(I207&lt;H207,I207+1,I207)-B_WalkTime,IF(I207&lt;H207,I207+1,I207))</f>
        <v>0</v>
      </c>
      <c r="K207" s="7"/>
      <c r="L207" s="7">
        <f>IF(K207&gt;0,K207+IF((J207-H207)&lt;Y207,Y207-(J207-H207),TIME(0,10,0))+IF((K207-J207)&gt;xNoWorkTime,0,xNoWorkTime-(K207-J207)),0)</f>
        <v>0</v>
      </c>
      <c r="M207" s="113">
        <f>IF(L207&lt;K207,L207+1,L207)</f>
        <v>0</v>
      </c>
      <c r="N207" s="113"/>
      <c r="O207" s="113">
        <f>IF(N207&gt;0,N207+IF((J207-H207+M207-K207)&lt;Y207,Y207-(J207-H207+M207-K207),TIME(0,10,0))+IF((K207-J207+N207-M207)&gt;xNoWorkTime,0,xNoWorkTime-(K207-J207+N207-M207)),0)</f>
        <v>0</v>
      </c>
      <c r="P207" s="113"/>
      <c r="Q207" s="113">
        <f>IF(O207&lt;N207,O207+1,O207)</f>
        <v>0</v>
      </c>
      <c r="R207" s="113">
        <f>J207-H207+M207-K207+Q207-N207</f>
        <v>0</v>
      </c>
      <c r="S207" s="113">
        <f>IF(K207&gt;0,K207-I207,0)+IF(N207&gt;0,N207-L207)</f>
        <v>0</v>
      </c>
      <c r="T207" s="113">
        <f>IF(H207&gt;0,(IF(R207&gt;B_Pause1Nach,B_Pause1Dauer+IF(BA207="Büro",B_WalkTime,0),IF(BA207="Büro",B_WalkTime,0))+IF(R207&gt;B_Pause2Nach,B_Pause2Dauer,0)),0)</f>
        <v>0</v>
      </c>
      <c r="U207" s="113">
        <f>IF(T207&gt;S207,T207-S207,0)</f>
        <v>0</v>
      </c>
      <c r="V207" s="146">
        <f>IF(F207="S",Z207,(IF((R207-U207)&gt;XWorkTimeMax,XWorkTimeMax,IF((R207-U207)&gt;0,R207-U207,0))))</f>
        <v>0</v>
      </c>
      <c r="W207" s="66"/>
      <c r="X207" s="115">
        <f>xNoWorkTime</f>
        <v>4.027777777777778E-2</v>
      </c>
      <c r="Y207" s="110">
        <f>IF(AND((AM207&lt;Feiertag),(G207&lt;&gt;85)),IF(OR(F207="B",F207="G",F207="S",H207&gt;0),H207-H207+Z207,0),0)</f>
        <v>0</v>
      </c>
      <c r="Z207" s="111">
        <f>IF(AND(AM207&gt;0,AM207&lt;Feiertag),INDEX(Arbeitszeit,AM207),"")</f>
        <v>0.29166666666666669</v>
      </c>
      <c r="AA207" s="112">
        <f>V207-Y207</f>
        <v>0</v>
      </c>
      <c r="AB207" s="67" t="str">
        <f>IF((V207-Y207)&lt;0,"*","")</f>
        <v/>
      </c>
      <c r="AC207" s="193">
        <f>xOverTime</f>
        <v>0</v>
      </c>
      <c r="AD207" s="144" t="str">
        <f>IF((R207-U207)&gt;XWorkTimeMax,(R207-U207-XWorkTimeMax),"")</f>
        <v/>
      </c>
      <c r="AE207" s="225">
        <f>IF(AW207,(AE206+SUM(AA207)+(IF(AG207="+",AF207,-AF207))),)</f>
        <v>0</v>
      </c>
      <c r="AF207" s="110"/>
      <c r="AG207" s="627"/>
      <c r="AH207" s="110"/>
      <c r="AI207" s="110" t="str">
        <f>IF(AND(AF207&lt;&gt;"",AF207&lt;=V207),V207-AF207,"")</f>
        <v/>
      </c>
      <c r="AJ207" s="68">
        <f>IF(ISNUMBER(V207 ), IF( V207 &gt;= Y207, Y207, V207 ),"")</f>
        <v>0</v>
      </c>
      <c r="AK207" s="68">
        <f>IF( ISNUMBER( V207 ), IF( V207 &gt;= Y207, V207 - Y207, "" ), "" )</f>
        <v>0</v>
      </c>
      <c r="AL207" s="68" t="str">
        <f>IF( AND(ISNUMBER( V207 ),ISNUMBER( Y207 )), IF( V207 &gt;= Y207, "", Y207 - V207 ), "" )</f>
        <v/>
      </c>
      <c r="AM207">
        <f>IF(A207="",0,IF(ISERROR(VLOOKUP(A207,db_Feiertag,2,FALSE)),WEEKDAY(A207,2),Feiertag))</f>
        <v>5</v>
      </c>
      <c r="AN207" s="122">
        <f>SUM($AD$6:AD207)</f>
        <v>0</v>
      </c>
      <c r="AO207" s="122">
        <f ca="1">IF(D207=D206,AO206,OFFSET(AO207,-1,COLUMN(db_jSaldoGes)-COLUMN()))</f>
        <v>0</v>
      </c>
      <c r="AP207" s="126">
        <f>IF(OR($G207=-1,$G207=82),-1,IF(OR($G207=0,$G207=83),1,0))</f>
        <v>0</v>
      </c>
      <c r="AQ207" s="126">
        <f>IF($F207=Krank,1,IF($F207="J",-1,0))</f>
        <v>0</v>
      </c>
      <c r="AR207" s="126">
        <f>IF($F207=Urlaub,1,IF($F207="T",-1,0))</f>
        <v>0</v>
      </c>
      <c r="AS207" s="125">
        <f>IF(A207="","",AS206-IF(F207=Urlaub,1,0)+IF(AND(MONTH(A207)=1,DAY(A207)=1),B_UrlaubNeu,0))</f>
        <v>30</v>
      </c>
      <c r="AT207" s="125">
        <f ca="1">IF(A207="","",IF(D207=D206,AT206,OFFSET(AT207,-1,COLUMN(db_jUrlRest)-COLUMN()))+IF(AND(MONTH(A207)=1,DAY(A207)=1),B_UrlaubNeu,0))</f>
        <v>30</v>
      </c>
      <c r="AU207" s="135">
        <f>(IF(ISNUMBER(V207),V207,0)+IF(ISNUMBER(AD207),AD207,0))*24</f>
        <v>0</v>
      </c>
      <c r="AV207" s="125">
        <f>IF(ISNUMBER(AD207),K_ArbeitOverMax,IF(AND(ISNUMBER(AA207),AA207&gt;0),K_ArbeitOverTime,IF(AND(ISNUMBER(V207),V207&gt;0),K_ArbeitNormal,IF(F207=Krank,K_Krank,IF(F207=Urlaub,K_Urlaub,IF(AM207=Feiertag,K_Feiertag,IF(OR(AM207=6,AM207=7),K_Wochenende,0)))))))+IF(F207=Gleittag,K_Gleittag,0)</f>
        <v>0</v>
      </c>
      <c r="AW207" t="b">
        <f>OR((F207&gt;0),(NOT(ISBLANK(H207))),SUM(H207:H$373),SUM(G207:G$373))</f>
        <v>0</v>
      </c>
      <c r="AX207" t="b">
        <f ca="1">INDIRECT(ADDRESS(ROW(),COLUMN(xDay)))&gt;5</f>
        <v>0</v>
      </c>
      <c r="AY207" s="600">
        <f>IF(OR(R207&lt;&gt;0,F207&lt;&gt;0),AA207,IF(Z207="",0,-Z207))+(IF(AG207="+",AF207,-AF207))</f>
        <v>-0.29166666666666669</v>
      </c>
      <c r="AZ207" s="225">
        <f>SUM(AY$5:AY207)</f>
        <v>-40.249999999999986</v>
      </c>
      <c r="BA207" s="658"/>
      <c r="BB207" s="658">
        <f>IF(ISNA(MATCH(BA207,B_Arbeitsort,0)),0,MATCH(BA207,B_Arbeitsort,0))</f>
        <v>0</v>
      </c>
      <c r="BC207" s="658"/>
    </row>
    <row r="208" spans="1:55" ht="15.75">
      <c r="A208" s="305">
        <f>IF(A207="","",IF((A207+1)&gt;=DATE(YEAR(xJahr)+1,MONTH(xJahr),DAY(xJahr)),"",A207+1))</f>
        <v>43667</v>
      </c>
      <c r="B208" s="306">
        <f>IF(A208="","",A208)</f>
        <v>43667</v>
      </c>
      <c r="C208" s="307">
        <f>IF(A208="","",NumberOfWeek(A208))</f>
        <v>29</v>
      </c>
      <c r="D208" s="308">
        <f>IF(A208="","",DATE(YEAR(A208),MONTH(A208),1))</f>
        <v>43646</v>
      </c>
      <c r="E208" s="318" t="str">
        <f>IF((R208-U208)&gt;XWorkTimeMax,$Z$4,IF(AV208=Feiertag,VLOOKUP(B208,db_Feiertag,2,FALSE),""))</f>
        <v/>
      </c>
      <c r="F208" s="5"/>
      <c r="G208" s="6" t="str">
        <f>IF(ISBLANK(F208),IF(ISBLANK(H208),"",0),CODE(UPPER(F208)))</f>
        <v/>
      </c>
      <c r="H208" s="7"/>
      <c r="I208" s="7">
        <f>IF(H208&gt;0,H208+Y208+X208+AC208,0)</f>
        <v>0</v>
      </c>
      <c r="J208" s="113">
        <f>IF(K208&gt;I208,IF(I208&lt;H208,I208+1,I208)-B_WalkTime,IF(I208&lt;H208,I208+1,I208))</f>
        <v>0</v>
      </c>
      <c r="K208" s="7"/>
      <c r="L208" s="7">
        <f>IF(K208&gt;0,K208+IF((J208-H208)&lt;Y208,Y208-(J208-H208),TIME(0,10,0))+IF((K208-J208)&gt;xNoWorkTime,0,xNoWorkTime-(K208-J208)),0)</f>
        <v>0</v>
      </c>
      <c r="M208" s="113">
        <f>IF(L208&lt;K208,L208+1,L208)</f>
        <v>0</v>
      </c>
      <c r="N208" s="113"/>
      <c r="O208" s="113">
        <f>IF(N208&gt;0,N208+IF((J208-H208+M208-K208)&lt;Y208,Y208-(J208-H208+M208-K208),TIME(0,10,0))+IF((K208-J208+N208-M208)&gt;xNoWorkTime,0,xNoWorkTime-(K208-J208+N208-M208)),0)</f>
        <v>0</v>
      </c>
      <c r="P208" s="113"/>
      <c r="Q208" s="113">
        <f>IF(O208&lt;N208,O208+1,O208)</f>
        <v>0</v>
      </c>
      <c r="R208" s="113">
        <f>J208-H208+M208-K208+Q208-N208</f>
        <v>0</v>
      </c>
      <c r="S208" s="113">
        <f>IF(K208&gt;0,K208-I208,0)+IF(N208&gt;0,N208-L208)</f>
        <v>0</v>
      </c>
      <c r="T208" s="113">
        <f>IF(H208&gt;0,(IF(R208&gt;B_Pause1Nach,B_Pause1Dauer+IF(BA208="Büro",B_WalkTime,0),IF(BA208="Büro",B_WalkTime,0))+IF(R208&gt;B_Pause2Nach,B_Pause2Dauer,0)),0)</f>
        <v>0</v>
      </c>
      <c r="U208" s="113">
        <f>IF(T208&gt;S208,T208-S208,0)</f>
        <v>0</v>
      </c>
      <c r="V208" s="146">
        <f>IF(F208="S",Z208,(IF((R208-U208)&gt;XWorkTimeMax,XWorkTimeMax,IF((R208-U208)&gt;0,R208-U208,0))))</f>
        <v>0</v>
      </c>
      <c r="W208" s="66"/>
      <c r="X208" s="115">
        <f>xNoWorkTime</f>
        <v>4.027777777777778E-2</v>
      </c>
      <c r="Y208" s="110">
        <f>IF(AND((AM208&lt;Feiertag),(G208&lt;&gt;85)),IF(OR(F208="B",F208="G",F208="S",H208&gt;0),H208-H208+Z208,0),0)</f>
        <v>0</v>
      </c>
      <c r="Z208" s="111">
        <f>IF(AND(AM208&gt;0,AM208&lt;Feiertag),INDEX(Arbeitszeit,AM208),"")</f>
        <v>0</v>
      </c>
      <c r="AA208" s="112">
        <f>V208-Y208</f>
        <v>0</v>
      </c>
      <c r="AB208" s="67" t="str">
        <f>IF((V208-Y208)&lt;0,"*","")</f>
        <v/>
      </c>
      <c r="AC208" s="193">
        <f>xOverTime</f>
        <v>0</v>
      </c>
      <c r="AD208" s="144" t="str">
        <f>IF((R208-U208)&gt;XWorkTimeMax,(R208-U208-XWorkTimeMax),"")</f>
        <v/>
      </c>
      <c r="AE208" s="225">
        <f>IF(AW208,(AE207+SUM(AA208)+(IF(AG208="+",AF208,-AF208))),)</f>
        <v>0</v>
      </c>
      <c r="AF208" s="110"/>
      <c r="AG208" s="627"/>
      <c r="AH208" s="110"/>
      <c r="AI208" s="110" t="str">
        <f>IF(AND(AF208&lt;&gt;"",AF208&lt;=V208),V208-AF208,"")</f>
        <v/>
      </c>
      <c r="AJ208" s="68">
        <f>IF(ISNUMBER(V208 ), IF( V208 &gt;= Y208, Y208, V208 ),"")</f>
        <v>0</v>
      </c>
      <c r="AK208" s="68">
        <f>IF( ISNUMBER( V208 ), IF( V208 &gt;= Y208, V208 - Y208, "" ), "" )</f>
        <v>0</v>
      </c>
      <c r="AL208" s="68" t="str">
        <f>IF( AND(ISNUMBER( V208 ),ISNUMBER( Y208 )), IF( V208 &gt;= Y208, "", Y208 - V208 ), "" )</f>
        <v/>
      </c>
      <c r="AM208">
        <f>IF(A208="",0,IF(ISERROR(VLOOKUP(A208,db_Feiertag,2,FALSE)),WEEKDAY(A208,2),Feiertag))</f>
        <v>6</v>
      </c>
      <c r="AN208" s="122">
        <f>SUM($AD$6:AD208)</f>
        <v>0</v>
      </c>
      <c r="AO208" s="122">
        <f ca="1">IF(D208=D207,AO207,OFFSET(AO208,-1,COLUMN(db_jSaldoGes)-COLUMN()))</f>
        <v>0</v>
      </c>
      <c r="AP208" s="126">
        <f>IF(OR($G208=-1,$G208=82),-1,IF(OR($G208=0,$G208=83),1,0))</f>
        <v>0</v>
      </c>
      <c r="AQ208" s="126">
        <f>IF($F208=Krank,1,IF($F208="J",-1,0))</f>
        <v>0</v>
      </c>
      <c r="AR208" s="126">
        <f>IF($F208=Urlaub,1,IF($F208="T",-1,0))</f>
        <v>0</v>
      </c>
      <c r="AS208" s="125">
        <f>IF(A208="","",AS207-IF(F208=Urlaub,1,0)+IF(AND(MONTH(A208)=1,DAY(A208)=1),B_UrlaubNeu,0))</f>
        <v>30</v>
      </c>
      <c r="AT208" s="125">
        <f ca="1">IF(A208="","",IF(D208=D207,AT207,OFFSET(AT208,-1,COLUMN(db_jUrlRest)-COLUMN()))+IF(AND(MONTH(A208)=1,DAY(A208)=1),B_UrlaubNeu,0))</f>
        <v>30</v>
      </c>
      <c r="AU208" s="135">
        <f>(IF(ISNUMBER(V208),V208,0)+IF(ISNUMBER(AD208),AD208,0))*24</f>
        <v>0</v>
      </c>
      <c r="AV208" s="125">
        <f>IF(ISNUMBER(AD208),K_ArbeitOverMax,IF(AND(ISNUMBER(AA208),AA208&gt;0),K_ArbeitOverTime,IF(AND(ISNUMBER(V208),V208&gt;0),K_ArbeitNormal,IF(F208=Krank,K_Krank,IF(F208=Urlaub,K_Urlaub,IF(AM208=Feiertag,K_Feiertag,IF(OR(AM208=6,AM208=7),K_Wochenende,0)))))))+IF(F208=Gleittag,K_Gleittag,0)</f>
        <v>7</v>
      </c>
      <c r="AW208" t="b">
        <f>OR((F208&gt;0),(NOT(ISBLANK(H208))),SUM(H208:H$373),SUM(G208:G$373))</f>
        <v>0</v>
      </c>
      <c r="AX208" t="b">
        <f ca="1">INDIRECT(ADDRESS(ROW(),COLUMN(xDay)))&gt;5</f>
        <v>1</v>
      </c>
      <c r="AY208" s="600">
        <f>IF(OR(R208&lt;&gt;0,F208&lt;&gt;0),AA208,IF(Z208="",0,-Z208))+(IF(AG208="+",AF208,-AF208))</f>
        <v>0</v>
      </c>
      <c r="AZ208" s="225">
        <f>SUM(AY$5:AY208)</f>
        <v>-40.249999999999986</v>
      </c>
      <c r="BA208" s="643"/>
      <c r="BB208" s="658">
        <f>IF(ISNA(MATCH(BA208,B_Arbeitsort,0)),0,MATCH(BA208,B_Arbeitsort,0))</f>
        <v>0</v>
      </c>
      <c r="BC208" s="643"/>
    </row>
    <row r="209" spans="1:55" ht="15.75">
      <c r="A209" s="305">
        <f>IF(A208="","",IF((A208+1)&gt;=DATE(YEAR(xJahr)+1,MONTH(xJahr),DAY(xJahr)),"",A208+1))</f>
        <v>43668</v>
      </c>
      <c r="B209" s="306">
        <f>IF(A209="","",A209)</f>
        <v>43668</v>
      </c>
      <c r="C209" s="307">
        <f>IF(A209="","",NumberOfWeek(A209))</f>
        <v>29</v>
      </c>
      <c r="D209" s="308">
        <f>IF(A209="","",DATE(YEAR(A209),MONTH(A209),1))</f>
        <v>43646</v>
      </c>
      <c r="E209" s="318" t="str">
        <f>IF((R209-U209)&gt;XWorkTimeMax,$Z$4,IF(AV209=Feiertag,VLOOKUP(B209,db_Feiertag,2,FALSE),""))</f>
        <v/>
      </c>
      <c r="F209" s="5"/>
      <c r="G209" s="6" t="str">
        <f>IF(ISBLANK(F209),IF(ISBLANK(H209),"",0),CODE(UPPER(F209)))</f>
        <v/>
      </c>
      <c r="H209" s="7"/>
      <c r="I209" s="7">
        <f>IF(H209&gt;0,H209+Y209+X209+AC209,0)</f>
        <v>0</v>
      </c>
      <c r="J209" s="113">
        <f>IF(K209&gt;I209,IF(I209&lt;H209,I209+1,I209)-B_WalkTime,IF(I209&lt;H209,I209+1,I209))</f>
        <v>0</v>
      </c>
      <c r="K209" s="7"/>
      <c r="L209" s="7">
        <f>IF(K209&gt;0,K209+IF((J209-H209)&lt;Y209,Y209-(J209-H209),TIME(0,10,0))+IF((K209-J209)&gt;xNoWorkTime,0,xNoWorkTime-(K209-J209)),0)</f>
        <v>0</v>
      </c>
      <c r="M209" s="113">
        <f>IF(L209&lt;K209,L209+1,L209)</f>
        <v>0</v>
      </c>
      <c r="N209" s="113"/>
      <c r="O209" s="113">
        <f>IF(N209&gt;0,N209+IF((J209-H209+M209-K209)&lt;Y209,Y209-(J209-H209+M209-K209),TIME(0,10,0))+IF((K209-J209+N209-M209)&gt;xNoWorkTime,0,xNoWorkTime-(K209-J209+N209-M209)),0)</f>
        <v>0</v>
      </c>
      <c r="P209" s="113"/>
      <c r="Q209" s="113">
        <f>IF(O209&lt;N209,O209+1,O209)</f>
        <v>0</v>
      </c>
      <c r="R209" s="113">
        <f>J209-H209+M209-K209+Q209-N209</f>
        <v>0</v>
      </c>
      <c r="S209" s="113">
        <f>IF(K209&gt;0,K209-I209,0)+IF(N209&gt;0,N209-L209)</f>
        <v>0</v>
      </c>
      <c r="T209" s="113">
        <f>IF(H209&gt;0,(IF(R209&gt;B_Pause1Nach,B_Pause1Dauer+IF(BA209="Büro",B_WalkTime,0),IF(BA209="Büro",B_WalkTime,0))+IF(R209&gt;B_Pause2Nach,B_Pause2Dauer,0)),0)</f>
        <v>0</v>
      </c>
      <c r="U209" s="113">
        <f>IF(T209&gt;S209,T209-S209,0)</f>
        <v>0</v>
      </c>
      <c r="V209" s="146">
        <f>IF(F209="S",Z209,(IF((R209-U209)&gt;XWorkTimeMax,XWorkTimeMax,IF((R209-U209)&gt;0,R209-U209,0))))</f>
        <v>0</v>
      </c>
      <c r="W209" s="66"/>
      <c r="X209" s="115">
        <f>xNoWorkTime</f>
        <v>4.027777777777778E-2</v>
      </c>
      <c r="Y209" s="110">
        <f>IF(AND((AM209&lt;Feiertag),(G209&lt;&gt;85)),IF(OR(F209="B",F209="G",F209="S",H209&gt;0),H209-H209+Z209,0),0)</f>
        <v>0</v>
      </c>
      <c r="Z209" s="111">
        <f>IF(AND(AM209&gt;0,AM209&lt;Feiertag),INDEX(Arbeitszeit,AM209),"")</f>
        <v>0</v>
      </c>
      <c r="AA209" s="112">
        <f>V209-Y209</f>
        <v>0</v>
      </c>
      <c r="AB209" s="67" t="str">
        <f>IF((V209-Y209)&lt;0,"*","")</f>
        <v/>
      </c>
      <c r="AC209" s="193">
        <f>xOverTime</f>
        <v>0</v>
      </c>
      <c r="AD209" s="144" t="str">
        <f>IF((R209-U209)&gt;XWorkTimeMax,(R209-U209-XWorkTimeMax),"")</f>
        <v/>
      </c>
      <c r="AE209" s="225">
        <f>IF(AW209,(AE208+SUM(AA209)+(IF(AG209="+",AF209,-AF209))),)</f>
        <v>0</v>
      </c>
      <c r="AF209" s="110"/>
      <c r="AG209" s="627"/>
      <c r="AH209" s="110"/>
      <c r="AI209" s="110" t="str">
        <f>IF(AND(AF209&lt;&gt;"",AF209&lt;=V209),V209-AF209,"")</f>
        <v/>
      </c>
      <c r="AJ209" s="68">
        <f>IF(ISNUMBER(V209 ), IF( V209 &gt;= Y209, Y209, V209 ),"")</f>
        <v>0</v>
      </c>
      <c r="AK209" s="68">
        <f>IF( ISNUMBER( V209 ), IF( V209 &gt;= Y209, V209 - Y209, "" ), "" )</f>
        <v>0</v>
      </c>
      <c r="AL209" s="68" t="str">
        <f>IF( AND(ISNUMBER( V209 ),ISNUMBER( Y209 )), IF( V209 &gt;= Y209, "", Y209 - V209 ), "" )</f>
        <v/>
      </c>
      <c r="AM209">
        <f>IF(A209="",0,IF(ISERROR(VLOOKUP(A209,db_Feiertag,2,FALSE)),WEEKDAY(A209,2),Feiertag))</f>
        <v>7</v>
      </c>
      <c r="AN209" s="122">
        <f>SUM($AD$6:AD209)</f>
        <v>0</v>
      </c>
      <c r="AO209" s="122">
        <f ca="1">IF(D209=D208,AO208,OFFSET(AO209,-1,COLUMN(db_jSaldoGes)-COLUMN()))</f>
        <v>0</v>
      </c>
      <c r="AP209" s="126">
        <f>IF(OR($G209=-1,$G209=82),-1,IF(OR($G209=0,$G209=83),1,0))</f>
        <v>0</v>
      </c>
      <c r="AQ209" s="126">
        <f>IF($F209=Krank,1,IF($F209="J",-1,0))</f>
        <v>0</v>
      </c>
      <c r="AR209" s="126">
        <f>IF($F209=Urlaub,1,IF($F209="T",-1,0))</f>
        <v>0</v>
      </c>
      <c r="AS209" s="125">
        <f>IF(A209="","",AS208-IF(F209=Urlaub,1,0)+IF(AND(MONTH(A209)=1,DAY(A209)=1),B_UrlaubNeu,0))</f>
        <v>30</v>
      </c>
      <c r="AT209" s="125">
        <f ca="1">IF(A209="","",IF(D209=D208,AT208,OFFSET(AT209,-1,COLUMN(db_jUrlRest)-COLUMN()))+IF(AND(MONTH(A209)=1,DAY(A209)=1),B_UrlaubNeu,0))</f>
        <v>30</v>
      </c>
      <c r="AU209" s="135">
        <f>(IF(ISNUMBER(V209),V209,0)+IF(ISNUMBER(AD209),AD209,0))*24</f>
        <v>0</v>
      </c>
      <c r="AV209" s="125">
        <f>IF(ISNUMBER(AD209),K_ArbeitOverMax,IF(AND(ISNUMBER(AA209),AA209&gt;0),K_ArbeitOverTime,IF(AND(ISNUMBER(V209),V209&gt;0),K_ArbeitNormal,IF(F209=Krank,K_Krank,IF(F209=Urlaub,K_Urlaub,IF(AM209=Feiertag,K_Feiertag,IF(OR(AM209=6,AM209=7),K_Wochenende,0)))))))+IF(F209=Gleittag,K_Gleittag,0)</f>
        <v>7</v>
      </c>
      <c r="AW209" t="b">
        <f>OR((F209&gt;0),(NOT(ISBLANK(H209))),SUM(H209:H$373),SUM(G209:G$373))</f>
        <v>0</v>
      </c>
      <c r="AX209" t="b">
        <f ca="1">INDIRECT(ADDRESS(ROW(),COLUMN(xDay)))&gt;5</f>
        <v>1</v>
      </c>
      <c r="AY209" s="600">
        <f>IF(OR(R209&lt;&gt;0,F209&lt;&gt;0),AA209,IF(Z209="",0,-Z209))+(IF(AG209="+",AF209,-AF209))</f>
        <v>0</v>
      </c>
      <c r="AZ209" s="225">
        <f>SUM(AY$5:AY209)</f>
        <v>-40.249999999999986</v>
      </c>
      <c r="BA209" s="643"/>
      <c r="BB209" s="658">
        <f>IF(ISNA(MATCH(BA209,B_Arbeitsort,0)),0,MATCH(BA209,B_Arbeitsort,0))</f>
        <v>0</v>
      </c>
      <c r="BC209" s="643"/>
    </row>
    <row r="210" spans="1:55" ht="15.75">
      <c r="A210" s="305">
        <f>IF(A209="","",IF((A209+1)&gt;=DATE(YEAR(xJahr)+1,MONTH(xJahr),DAY(xJahr)),"",A209+1))</f>
        <v>43669</v>
      </c>
      <c r="B210" s="306">
        <f>IF(A210="","",A210)</f>
        <v>43669</v>
      </c>
      <c r="C210" s="307">
        <f>IF(A210="","",NumberOfWeek(A210))</f>
        <v>30</v>
      </c>
      <c r="D210" s="308">
        <f>IF(A210="","",DATE(YEAR(A210),MONTH(A210),1))</f>
        <v>43646</v>
      </c>
      <c r="E210" s="318" t="str">
        <f>IF((R210-U210)&gt;XWorkTimeMax,$Z$4,IF(AV210=Feiertag,VLOOKUP(B210,db_Feiertag,2,FALSE),""))</f>
        <v/>
      </c>
      <c r="F210" s="5"/>
      <c r="G210" s="6" t="str">
        <f>IF(ISBLANK(F210),IF(ISBLANK(H210),"",0),CODE(UPPER(F210)))</f>
        <v/>
      </c>
      <c r="H210" s="7"/>
      <c r="I210" s="7">
        <f>IF(H210&gt;0,H210+Y210+X210+AC210,0)</f>
        <v>0</v>
      </c>
      <c r="J210" s="113">
        <f>IF(K210&gt;I210,IF(I210&lt;H210,I210+1,I210)-B_WalkTime,IF(I210&lt;H210,I210+1,I210))</f>
        <v>0</v>
      </c>
      <c r="K210" s="7"/>
      <c r="L210" s="7">
        <f>IF(K210&gt;0,K210+IF((J210-H210)&lt;Y210,Y210-(J210-H210),TIME(0,10,0))+IF((K210-J210)&gt;xNoWorkTime,0,xNoWorkTime-(K210-J210)),0)</f>
        <v>0</v>
      </c>
      <c r="M210" s="113">
        <f>IF(L210&lt;K210,L210+1,L210)</f>
        <v>0</v>
      </c>
      <c r="N210" s="113"/>
      <c r="O210" s="113">
        <f>IF(N210&gt;0,N210+IF((J210-H210+M210-K210)&lt;Y210,Y210-(J210-H210+M210-K210),TIME(0,10,0))+IF((K210-J210+N210-M210)&gt;xNoWorkTime,0,xNoWorkTime-(K210-J210+N210-M210)),0)</f>
        <v>0</v>
      </c>
      <c r="P210" s="113"/>
      <c r="Q210" s="113">
        <f>IF(O210&lt;N210,O210+1,O210)</f>
        <v>0</v>
      </c>
      <c r="R210" s="113">
        <f>J210-H210+M210-K210+Q210-N210</f>
        <v>0</v>
      </c>
      <c r="S210" s="113">
        <f>IF(K210&gt;0,K210-I210,0)+IF(N210&gt;0,N210-L210)</f>
        <v>0</v>
      </c>
      <c r="T210" s="113">
        <f>IF(H210&gt;0,(IF(R210&gt;B_Pause1Nach,B_Pause1Dauer+IF(BA210="Büro",B_WalkTime,0),IF(BA210="Büro",B_WalkTime,0))+IF(R210&gt;B_Pause2Nach,B_Pause2Dauer,0)),0)</f>
        <v>0</v>
      </c>
      <c r="U210" s="113">
        <f>IF(T210&gt;S210,T210-S210,0)</f>
        <v>0</v>
      </c>
      <c r="V210" s="146">
        <f>IF(F210="S",Z210,(IF((R210-U210)&gt;XWorkTimeMax,XWorkTimeMax,IF((R210-U210)&gt;0,R210-U210,0))))</f>
        <v>0</v>
      </c>
      <c r="W210" s="66"/>
      <c r="X210" s="115">
        <f>xNoWorkTime</f>
        <v>4.027777777777778E-2</v>
      </c>
      <c r="Y210" s="110">
        <f>IF(AND((AM210&lt;Feiertag),(G210&lt;&gt;85)),IF(OR(F210="B",F210="G",F210="S",H210&gt;0),H210-H210+Z210,0),0)</f>
        <v>0</v>
      </c>
      <c r="Z210" s="111">
        <f>IF(AND(AM210&gt;0,AM210&lt;Feiertag),INDEX(Arbeitszeit,AM210),"")</f>
        <v>0.29166666666666669</v>
      </c>
      <c r="AA210" s="112">
        <f>V210-Y210</f>
        <v>0</v>
      </c>
      <c r="AB210" s="67" t="str">
        <f>IF((V210-Y210)&lt;0,"*","")</f>
        <v/>
      </c>
      <c r="AC210" s="193">
        <f>xOverTime</f>
        <v>0</v>
      </c>
      <c r="AD210" s="144" t="str">
        <f>IF((R210-U210)&gt;XWorkTimeMax,(R210-U210-XWorkTimeMax),"")</f>
        <v/>
      </c>
      <c r="AE210" s="225">
        <f>IF(AW210,(AE209+SUM(AA210)+(IF(AG210="+",AF210,-AF210))),)</f>
        <v>0</v>
      </c>
      <c r="AF210" s="110"/>
      <c r="AG210" s="627"/>
      <c r="AH210" s="110"/>
      <c r="AI210" s="110" t="str">
        <f>IF(AND(AF210&lt;&gt;"",AF210&lt;=V210),V210-AF210,"")</f>
        <v/>
      </c>
      <c r="AJ210" s="68">
        <f>IF(ISNUMBER(V210 ), IF( V210 &gt;= Y210, Y210, V210 ),"")</f>
        <v>0</v>
      </c>
      <c r="AK210" s="68">
        <f>IF( ISNUMBER( V210 ), IF( V210 &gt;= Y210, V210 - Y210, "" ), "" )</f>
        <v>0</v>
      </c>
      <c r="AL210" s="68" t="str">
        <f>IF( AND(ISNUMBER( V210 ),ISNUMBER( Y210 )), IF( V210 &gt;= Y210, "", Y210 - V210 ), "" )</f>
        <v/>
      </c>
      <c r="AM210">
        <f>IF(A210="",0,IF(ISERROR(VLOOKUP(A210,db_Feiertag,2,FALSE)),WEEKDAY(A210,2),Feiertag))</f>
        <v>1</v>
      </c>
      <c r="AN210" s="122">
        <f>SUM($AD$6:AD210)</f>
        <v>0</v>
      </c>
      <c r="AO210" s="122">
        <f ca="1">IF(D210=D209,AO209,OFFSET(AO210,-1,COLUMN(db_jSaldoGes)-COLUMN()))</f>
        <v>0</v>
      </c>
      <c r="AP210" s="126">
        <f>IF(OR($G210=-1,$G210=82),-1,IF(OR($G210=0,$G210=83),1,0))</f>
        <v>0</v>
      </c>
      <c r="AQ210" s="126">
        <f>IF($F210=Krank,1,IF($F210="J",-1,0))</f>
        <v>0</v>
      </c>
      <c r="AR210" s="126">
        <f>IF($F210=Urlaub,1,IF($F210="T",-1,0))</f>
        <v>0</v>
      </c>
      <c r="AS210" s="125">
        <f>IF(A210="","",AS209-IF(F210=Urlaub,1,0)+IF(AND(MONTH(A210)=1,DAY(A210)=1),B_UrlaubNeu,0))</f>
        <v>30</v>
      </c>
      <c r="AT210" s="125">
        <f ca="1">IF(A210="","",IF(D210=D209,AT209,OFFSET(AT210,-1,COLUMN(db_jUrlRest)-COLUMN()))+IF(AND(MONTH(A210)=1,DAY(A210)=1),B_UrlaubNeu,0))</f>
        <v>30</v>
      </c>
      <c r="AU210" s="135">
        <f>(IF(ISNUMBER(V210),V210,0)+IF(ISNUMBER(AD210),AD210,0))*24</f>
        <v>0</v>
      </c>
      <c r="AV210" s="125">
        <f>IF(ISNUMBER(AD210),K_ArbeitOverMax,IF(AND(ISNUMBER(AA210),AA210&gt;0),K_ArbeitOverTime,IF(AND(ISNUMBER(V210),V210&gt;0),K_ArbeitNormal,IF(F210=Krank,K_Krank,IF(F210=Urlaub,K_Urlaub,IF(AM210=Feiertag,K_Feiertag,IF(OR(AM210=6,AM210=7),K_Wochenende,0)))))))+IF(F210=Gleittag,K_Gleittag,0)</f>
        <v>0</v>
      </c>
      <c r="AW210" t="b">
        <f>OR((F210&gt;0),(NOT(ISBLANK(H210))),SUM(H210:H$373),SUM(G210:G$373))</f>
        <v>0</v>
      </c>
      <c r="AX210" t="b">
        <f ca="1">INDIRECT(ADDRESS(ROW(),COLUMN(xDay)))&gt;5</f>
        <v>0</v>
      </c>
      <c r="AY210" s="600">
        <f>IF(OR(R210&lt;&gt;0,F210&lt;&gt;0),AA210,IF(Z210="",0,-Z210))+(IF(AG210="+",AF210,-AF210))</f>
        <v>-0.29166666666666669</v>
      </c>
      <c r="AZ210" s="225">
        <f>SUM(AY$5:AY210)</f>
        <v>-40.54166666666665</v>
      </c>
      <c r="BA210" s="658"/>
      <c r="BB210" s="658">
        <f>IF(ISNA(MATCH(BA210,B_Arbeitsort,0)),0,MATCH(BA210,B_Arbeitsort,0))</f>
        <v>0</v>
      </c>
      <c r="BC210" s="658"/>
    </row>
    <row r="211" spans="1:55" ht="15.75">
      <c r="A211" s="305">
        <f>IF(A210="","",IF((A210+1)&gt;=DATE(YEAR(xJahr)+1,MONTH(xJahr),DAY(xJahr)),"",A210+1))</f>
        <v>43670</v>
      </c>
      <c r="B211" s="306">
        <f>IF(A211="","",A211)</f>
        <v>43670</v>
      </c>
      <c r="C211" s="307">
        <f>IF(A211="","",NumberOfWeek(A211))</f>
        <v>30</v>
      </c>
      <c r="D211" s="308">
        <f>IF(A211="","",DATE(YEAR(A211),MONTH(A211),1))</f>
        <v>43646</v>
      </c>
      <c r="E211" s="318" t="str">
        <f>IF((R211-U211)&gt;XWorkTimeMax,$Z$4,IF(AV211=Feiertag,VLOOKUP(B211,db_Feiertag,2,FALSE),""))</f>
        <v/>
      </c>
      <c r="F211" s="5"/>
      <c r="G211" s="6" t="str">
        <f>IF(ISBLANK(F211),IF(ISBLANK(H211),"",0),CODE(UPPER(F211)))</f>
        <v/>
      </c>
      <c r="H211" s="7"/>
      <c r="I211" s="7">
        <f>IF(H211&gt;0,H211+Y211+X211+AC211,0)</f>
        <v>0</v>
      </c>
      <c r="J211" s="113">
        <f>IF(K211&gt;I211,IF(I211&lt;H211,I211+1,I211)-B_WalkTime,IF(I211&lt;H211,I211+1,I211))</f>
        <v>0</v>
      </c>
      <c r="K211" s="7"/>
      <c r="L211" s="7">
        <f>IF(K211&gt;0,K211+IF((J211-H211)&lt;Y211,Y211-(J211-H211),TIME(0,10,0))+IF((K211-J211)&gt;xNoWorkTime,0,xNoWorkTime-(K211-J211)),0)</f>
        <v>0</v>
      </c>
      <c r="M211" s="113">
        <f>IF(L211&lt;K211,L211+1,L211)</f>
        <v>0</v>
      </c>
      <c r="N211" s="113"/>
      <c r="O211" s="113">
        <f>IF(N211&gt;0,N211+IF((J211-H211+M211-K211)&lt;Y211,Y211-(J211-H211+M211-K211),TIME(0,10,0))+IF((K211-J211+N211-M211)&gt;xNoWorkTime,0,xNoWorkTime-(K211-J211+N211-M211)),0)</f>
        <v>0</v>
      </c>
      <c r="P211" s="113"/>
      <c r="Q211" s="113">
        <f>IF(O211&lt;N211,O211+1,O211)</f>
        <v>0</v>
      </c>
      <c r="R211" s="113">
        <f>J211-H211+M211-K211+Q211-N211</f>
        <v>0</v>
      </c>
      <c r="S211" s="113">
        <f>IF(K211&gt;0,K211-I211,0)+IF(N211&gt;0,N211-L211)</f>
        <v>0</v>
      </c>
      <c r="T211" s="113">
        <f>IF(H211&gt;0,(IF(R211&gt;B_Pause1Nach,B_Pause1Dauer+IF(BA211="Büro",B_WalkTime,0),IF(BA211="Büro",B_WalkTime,0))+IF(R211&gt;B_Pause2Nach,B_Pause2Dauer,0)),0)</f>
        <v>0</v>
      </c>
      <c r="U211" s="113">
        <f>IF(T211&gt;S211,T211-S211,0)</f>
        <v>0</v>
      </c>
      <c r="V211" s="146">
        <f>IF(F211="S",Z211,(IF((R211-U211)&gt;XWorkTimeMax,XWorkTimeMax,IF((R211-U211)&gt;0,R211-U211,0))))</f>
        <v>0</v>
      </c>
      <c r="W211" s="66"/>
      <c r="X211" s="115">
        <f>xNoWorkTime</f>
        <v>4.027777777777778E-2</v>
      </c>
      <c r="Y211" s="110">
        <f>IF(AND((AM211&lt;Feiertag),(G211&lt;&gt;85)),IF(OR(F211="B",F211="G",F211="S",H211&gt;0),H211-H211+Z211,0),0)</f>
        <v>0</v>
      </c>
      <c r="Z211" s="111">
        <f>IF(AND(AM211&gt;0,AM211&lt;Feiertag),INDEX(Arbeitszeit,AM211),"")</f>
        <v>0.29166666666666669</v>
      </c>
      <c r="AA211" s="112">
        <f>V211-Y211</f>
        <v>0</v>
      </c>
      <c r="AB211" s="67" t="str">
        <f>IF((V211-Y211)&lt;0,"*","")</f>
        <v/>
      </c>
      <c r="AC211" s="193">
        <f>xOverTime</f>
        <v>0</v>
      </c>
      <c r="AD211" s="144" t="str">
        <f>IF((R211-U211)&gt;XWorkTimeMax,(R211-U211-XWorkTimeMax),"")</f>
        <v/>
      </c>
      <c r="AE211" s="225">
        <f>IF(AW211,(AE210+SUM(AA211)+(IF(AG211="+",AF211,-AF211))),)</f>
        <v>0</v>
      </c>
      <c r="AF211" s="110"/>
      <c r="AG211" s="627"/>
      <c r="AH211" s="110"/>
      <c r="AI211" s="110" t="str">
        <f>IF(AND(AF211&lt;&gt;"",AF211&lt;=V211),V211-AF211,"")</f>
        <v/>
      </c>
      <c r="AJ211" s="68">
        <f>IF(ISNUMBER(V211 ), IF( V211 &gt;= Y211, Y211, V211 ),"")</f>
        <v>0</v>
      </c>
      <c r="AK211" s="68">
        <f>IF( ISNUMBER( V211 ), IF( V211 &gt;= Y211, V211 - Y211, "" ), "" )</f>
        <v>0</v>
      </c>
      <c r="AL211" s="68" t="str">
        <f>IF( AND(ISNUMBER( V211 ),ISNUMBER( Y211 )), IF( V211 &gt;= Y211, "", Y211 - V211 ), "" )</f>
        <v/>
      </c>
      <c r="AM211">
        <f>IF(A211="",0,IF(ISERROR(VLOOKUP(A211,db_Feiertag,2,FALSE)),WEEKDAY(A211,2),Feiertag))</f>
        <v>2</v>
      </c>
      <c r="AN211" s="122">
        <f>SUM($AD$6:AD211)</f>
        <v>0</v>
      </c>
      <c r="AO211" s="122">
        <f ca="1">IF(D211=D210,AO210,OFFSET(AO211,-1,COLUMN(db_jSaldoGes)-COLUMN()))</f>
        <v>0</v>
      </c>
      <c r="AP211" s="126">
        <f>IF(OR($G211=-1,$G211=82),-1,IF(OR($G211=0,$G211=83),1,0))</f>
        <v>0</v>
      </c>
      <c r="AQ211" s="126">
        <f>IF($F211=Krank,1,IF($F211="J",-1,0))</f>
        <v>0</v>
      </c>
      <c r="AR211" s="126">
        <f>IF($F211=Urlaub,1,IF($F211="T",-1,0))</f>
        <v>0</v>
      </c>
      <c r="AS211" s="125">
        <f>IF(A211="","",AS210-IF(F211=Urlaub,1,0)+IF(AND(MONTH(A211)=1,DAY(A211)=1),B_UrlaubNeu,0))</f>
        <v>30</v>
      </c>
      <c r="AT211" s="125">
        <f ca="1">IF(A211="","",IF(D211=D210,AT210,OFFSET(AT211,-1,COLUMN(db_jUrlRest)-COLUMN()))+IF(AND(MONTH(A211)=1,DAY(A211)=1),B_UrlaubNeu,0))</f>
        <v>30</v>
      </c>
      <c r="AU211" s="135">
        <f>(IF(ISNUMBER(V211),V211,0)+IF(ISNUMBER(AD211),AD211,0))*24</f>
        <v>0</v>
      </c>
      <c r="AV211" s="125">
        <f>IF(ISNUMBER(AD211),K_ArbeitOverMax,IF(AND(ISNUMBER(AA211),AA211&gt;0),K_ArbeitOverTime,IF(AND(ISNUMBER(V211),V211&gt;0),K_ArbeitNormal,IF(F211=Krank,K_Krank,IF(F211=Urlaub,K_Urlaub,IF(AM211=Feiertag,K_Feiertag,IF(OR(AM211=6,AM211=7),K_Wochenende,0)))))))+IF(F211=Gleittag,K_Gleittag,0)</f>
        <v>0</v>
      </c>
      <c r="AW211" t="b">
        <f>OR((F211&gt;0),(NOT(ISBLANK(H211))),SUM(H211:H$373),SUM(G211:G$373))</f>
        <v>0</v>
      </c>
      <c r="AX211" t="b">
        <f ca="1">INDIRECT(ADDRESS(ROW(),COLUMN(xDay)))&gt;5</f>
        <v>0</v>
      </c>
      <c r="AY211" s="600">
        <f>IF(OR(R211&lt;&gt;0,F211&lt;&gt;0),AA211,IF(Z211="",0,-Z211))+(IF(AG211="+",AF211,-AF211))</f>
        <v>-0.29166666666666669</v>
      </c>
      <c r="AZ211" s="225">
        <f>SUM(AY$5:AY211)</f>
        <v>-40.833333333333314</v>
      </c>
      <c r="BA211" s="658"/>
      <c r="BB211" s="658">
        <f>IF(ISNA(MATCH(BA211,B_Arbeitsort,0)),0,MATCH(BA211,B_Arbeitsort,0))</f>
        <v>0</v>
      </c>
      <c r="BC211" s="658"/>
    </row>
    <row r="212" spans="1:55" ht="15.75">
      <c r="A212" s="305">
        <f>IF(A211="","",IF((A211+1)&gt;=DATE(YEAR(xJahr)+1,MONTH(xJahr),DAY(xJahr)),"",A211+1))</f>
        <v>43671</v>
      </c>
      <c r="B212" s="306">
        <f>IF(A212="","",A212)</f>
        <v>43671</v>
      </c>
      <c r="C212" s="307">
        <f>IF(A212="","",NumberOfWeek(A212))</f>
        <v>30</v>
      </c>
      <c r="D212" s="308">
        <f>IF(A212="","",DATE(YEAR(A212),MONTH(A212),1))</f>
        <v>43646</v>
      </c>
      <c r="E212" s="318" t="str">
        <f>IF((R212-U212)&gt;XWorkTimeMax,$Z$4,IF(AV212=Feiertag,VLOOKUP(B212,db_Feiertag,2,FALSE),""))</f>
        <v/>
      </c>
      <c r="F212" s="5"/>
      <c r="G212" s="6" t="str">
        <f>IF(ISBLANK(F212),IF(ISBLANK(H212),"",0),CODE(UPPER(F212)))</f>
        <v/>
      </c>
      <c r="H212" s="7"/>
      <c r="I212" s="7">
        <f>IF(H212&gt;0,H212+Y212+X212+AC212,0)</f>
        <v>0</v>
      </c>
      <c r="J212" s="113">
        <f>IF(K212&gt;I212,IF(I212&lt;H212,I212+1,I212)-B_WalkTime,IF(I212&lt;H212,I212+1,I212))</f>
        <v>0</v>
      </c>
      <c r="K212" s="7"/>
      <c r="L212" s="7">
        <f>IF(K212&gt;0,K212+IF((J212-H212)&lt;Y212,Y212-(J212-H212),TIME(0,10,0))+IF((K212-J212)&gt;xNoWorkTime,0,xNoWorkTime-(K212-J212)),0)</f>
        <v>0</v>
      </c>
      <c r="M212" s="113">
        <f>IF(L212&lt;K212,L212+1,L212)</f>
        <v>0</v>
      </c>
      <c r="N212" s="113"/>
      <c r="O212" s="113">
        <f>IF(N212&gt;0,N212+IF((J212-H212+M212-K212)&lt;Y212,Y212-(J212-H212+M212-K212),TIME(0,10,0))+IF((K212-J212+N212-M212)&gt;xNoWorkTime,0,xNoWorkTime-(K212-J212+N212-M212)),0)</f>
        <v>0</v>
      </c>
      <c r="P212" s="113"/>
      <c r="Q212" s="113">
        <f>IF(O212&lt;N212,O212+1,O212)</f>
        <v>0</v>
      </c>
      <c r="R212" s="113">
        <f>J212-H212+M212-K212+Q212-N212</f>
        <v>0</v>
      </c>
      <c r="S212" s="113">
        <f>IF(K212&gt;0,K212-I212,0)+IF(N212&gt;0,N212-L212)</f>
        <v>0</v>
      </c>
      <c r="T212" s="113">
        <f>IF(H212&gt;0,(IF(R212&gt;B_Pause1Nach,B_Pause1Dauer+IF(BA212="Büro",B_WalkTime,0),IF(BA212="Büro",B_WalkTime,0))+IF(R212&gt;B_Pause2Nach,B_Pause2Dauer,0)),0)</f>
        <v>0</v>
      </c>
      <c r="U212" s="113">
        <f>IF(T212&gt;S212,T212-S212,0)</f>
        <v>0</v>
      </c>
      <c r="V212" s="146">
        <f>IF(F212="S",Z212,(IF((R212-U212)&gt;XWorkTimeMax,XWorkTimeMax,IF((R212-U212)&gt;0,R212-U212,0))))</f>
        <v>0</v>
      </c>
      <c r="W212" s="66"/>
      <c r="X212" s="115">
        <f>xNoWorkTime</f>
        <v>4.027777777777778E-2</v>
      </c>
      <c r="Y212" s="110">
        <f>IF(AND((AM212&lt;Feiertag),(G212&lt;&gt;85)),IF(OR(F212="B",F212="G",F212="S",H212&gt;0),H212-H212+Z212,0),0)</f>
        <v>0</v>
      </c>
      <c r="Z212" s="111">
        <f>IF(AND(AM212&gt;0,AM212&lt;Feiertag),INDEX(Arbeitszeit,AM212),"")</f>
        <v>0.29166666666666669</v>
      </c>
      <c r="AA212" s="112">
        <f>V212-Y212</f>
        <v>0</v>
      </c>
      <c r="AB212" s="67" t="str">
        <f>IF((V212-Y212)&lt;0,"*","")</f>
        <v/>
      </c>
      <c r="AC212" s="193">
        <f>xOverTime</f>
        <v>0</v>
      </c>
      <c r="AD212" s="144" t="str">
        <f>IF((R212-U212)&gt;XWorkTimeMax,(R212-U212-XWorkTimeMax),"")</f>
        <v/>
      </c>
      <c r="AE212" s="225">
        <f>IF(AW212,(AE211+SUM(AA212)+(IF(AG212="+",AF212,-AF212))),)</f>
        <v>0</v>
      </c>
      <c r="AF212" s="110"/>
      <c r="AG212" s="627"/>
      <c r="AH212" s="110"/>
      <c r="AI212" s="110" t="str">
        <f>IF(AND(AF212&lt;&gt;"",AF212&lt;=V212),V212-AF212,"")</f>
        <v/>
      </c>
      <c r="AJ212" s="68">
        <f>IF(ISNUMBER(V212 ), IF( V212 &gt;= Y212, Y212, V212 ),"")</f>
        <v>0</v>
      </c>
      <c r="AK212" s="68">
        <f>IF( ISNUMBER( V212 ), IF( V212 &gt;= Y212, V212 - Y212, "" ), "" )</f>
        <v>0</v>
      </c>
      <c r="AL212" s="68" t="str">
        <f>IF( AND(ISNUMBER( V212 ),ISNUMBER( Y212 )), IF( V212 &gt;= Y212, "", Y212 - V212 ), "" )</f>
        <v/>
      </c>
      <c r="AM212">
        <f>IF(A212="",0,IF(ISERROR(VLOOKUP(A212,db_Feiertag,2,FALSE)),WEEKDAY(A212,2),Feiertag))</f>
        <v>3</v>
      </c>
      <c r="AN212" s="122">
        <f>SUM($AD$6:AD212)</f>
        <v>0</v>
      </c>
      <c r="AO212" s="122">
        <f ca="1">IF(D212=D211,AO211,OFFSET(AO212,-1,COLUMN(db_jSaldoGes)-COLUMN()))</f>
        <v>0</v>
      </c>
      <c r="AP212" s="126">
        <f>IF(OR($G212=-1,$G212=82),-1,IF(OR($G212=0,$G212=83),1,0))</f>
        <v>0</v>
      </c>
      <c r="AQ212" s="126">
        <f>IF($F212=Krank,1,IF($F212="J",-1,0))</f>
        <v>0</v>
      </c>
      <c r="AR212" s="126">
        <f>IF($F212=Urlaub,1,IF($F212="T",-1,0))</f>
        <v>0</v>
      </c>
      <c r="AS212" s="125">
        <f>IF(A212="","",AS211-IF(F212=Urlaub,1,0)+IF(AND(MONTH(A212)=1,DAY(A212)=1),B_UrlaubNeu,0))</f>
        <v>30</v>
      </c>
      <c r="AT212" s="125">
        <f ca="1">IF(A212="","",IF(D212=D211,AT211,OFFSET(AT212,-1,COLUMN(db_jUrlRest)-COLUMN()))+IF(AND(MONTH(A212)=1,DAY(A212)=1),B_UrlaubNeu,0))</f>
        <v>30</v>
      </c>
      <c r="AU212" s="135">
        <f>(IF(ISNUMBER(V212),V212,0)+IF(ISNUMBER(AD212),AD212,0))*24</f>
        <v>0</v>
      </c>
      <c r="AV212" s="125">
        <f>IF(ISNUMBER(AD212),K_ArbeitOverMax,IF(AND(ISNUMBER(AA212),AA212&gt;0),K_ArbeitOverTime,IF(AND(ISNUMBER(V212),V212&gt;0),K_ArbeitNormal,IF(F212=Krank,K_Krank,IF(F212=Urlaub,K_Urlaub,IF(AM212=Feiertag,K_Feiertag,IF(OR(AM212=6,AM212=7),K_Wochenende,0)))))))+IF(F212=Gleittag,K_Gleittag,0)</f>
        <v>0</v>
      </c>
      <c r="AW212" t="b">
        <f>OR((F212&gt;0),(NOT(ISBLANK(H212))),SUM(H212:H$373),SUM(G212:G$373))</f>
        <v>0</v>
      </c>
      <c r="AX212" t="b">
        <f ca="1">INDIRECT(ADDRESS(ROW(),COLUMN(xDay)))&gt;5</f>
        <v>0</v>
      </c>
      <c r="AY212" s="600">
        <f>IF(OR(R212&lt;&gt;0,F212&lt;&gt;0),AA212,IF(Z212="",0,-Z212))+(IF(AG212="+",AF212,-AF212))</f>
        <v>-0.29166666666666669</v>
      </c>
      <c r="AZ212" s="225">
        <f>SUM(AY$5:AY212)</f>
        <v>-41.124999999999979</v>
      </c>
      <c r="BA212" s="658"/>
      <c r="BB212" s="658">
        <f>IF(ISNA(MATCH(BA212,B_Arbeitsort,0)),0,MATCH(BA212,B_Arbeitsort,0))</f>
        <v>0</v>
      </c>
      <c r="BC212" s="658"/>
    </row>
    <row r="213" spans="1:55" ht="15.75">
      <c r="A213" s="305">
        <f>IF(A212="","",IF((A212+1)&gt;=DATE(YEAR(xJahr)+1,MONTH(xJahr),DAY(xJahr)),"",A212+1))</f>
        <v>43672</v>
      </c>
      <c r="B213" s="306">
        <f>IF(A213="","",A213)</f>
        <v>43672</v>
      </c>
      <c r="C213" s="307">
        <f>IF(A213="","",NumberOfWeek(A213))</f>
        <v>30</v>
      </c>
      <c r="D213" s="308">
        <f>IF(A213="","",DATE(YEAR(A213),MONTH(A213),1))</f>
        <v>43646</v>
      </c>
      <c r="E213" s="318" t="str">
        <f>IF((R213-U213)&gt;XWorkTimeMax,$Z$4,IF(AV213=Feiertag,VLOOKUP(B213,db_Feiertag,2,FALSE),""))</f>
        <v/>
      </c>
      <c r="F213" s="5"/>
      <c r="G213" s="6" t="str">
        <f>IF(ISBLANK(F213),IF(ISBLANK(H213),"",0),CODE(UPPER(F213)))</f>
        <v/>
      </c>
      <c r="H213" s="7"/>
      <c r="I213" s="7">
        <f>IF(H213&gt;0,H213+Y213+X213+AC213,0)</f>
        <v>0</v>
      </c>
      <c r="J213" s="113">
        <f>IF(K213&gt;I213,IF(I213&lt;H213,I213+1,I213)-B_WalkTime,IF(I213&lt;H213,I213+1,I213))</f>
        <v>0</v>
      </c>
      <c r="K213" s="7"/>
      <c r="L213" s="7">
        <f>IF(K213&gt;0,K213+IF((J213-H213)&lt;Y213,Y213-(J213-H213),TIME(0,10,0))+IF((K213-J213)&gt;xNoWorkTime,0,xNoWorkTime-(K213-J213)),0)</f>
        <v>0</v>
      </c>
      <c r="M213" s="113">
        <f>IF(L213&lt;K213,L213+1,L213)</f>
        <v>0</v>
      </c>
      <c r="N213" s="113"/>
      <c r="O213" s="113">
        <f>IF(N213&gt;0,N213+IF((J213-H213+M213-K213)&lt;Y213,Y213-(J213-H213+M213-K213),TIME(0,10,0))+IF((K213-J213+N213-M213)&gt;xNoWorkTime,0,xNoWorkTime-(K213-J213+N213-M213)),0)</f>
        <v>0</v>
      </c>
      <c r="P213" s="113"/>
      <c r="Q213" s="113">
        <f>IF(O213&lt;N213,O213+1,O213)</f>
        <v>0</v>
      </c>
      <c r="R213" s="113">
        <f>J213-H213+M213-K213+Q213-N213</f>
        <v>0</v>
      </c>
      <c r="S213" s="113">
        <f>IF(K213&gt;0,K213-I213,0)+IF(N213&gt;0,N213-L213)</f>
        <v>0</v>
      </c>
      <c r="T213" s="113">
        <f>IF(H213&gt;0,(IF(R213&gt;B_Pause1Nach,B_Pause1Dauer+IF(BA213="Büro",B_WalkTime,0),IF(BA213="Büro",B_WalkTime,0))+IF(R213&gt;B_Pause2Nach,B_Pause2Dauer,0)),0)</f>
        <v>0</v>
      </c>
      <c r="U213" s="113">
        <f>IF(T213&gt;S213,T213-S213,0)</f>
        <v>0</v>
      </c>
      <c r="V213" s="146">
        <f>IF(F213="S",Z213,(IF((R213-U213)&gt;XWorkTimeMax,XWorkTimeMax,IF((R213-U213)&gt;0,R213-U213,0))))</f>
        <v>0</v>
      </c>
      <c r="W213" s="66"/>
      <c r="X213" s="115">
        <f>xNoWorkTime</f>
        <v>4.027777777777778E-2</v>
      </c>
      <c r="Y213" s="110">
        <f>IF(AND((AM213&lt;Feiertag),(G213&lt;&gt;85)),IF(OR(F213="B",F213="G",F213="S",H213&gt;0),H213-H213+Z213,0),0)</f>
        <v>0</v>
      </c>
      <c r="Z213" s="111">
        <f>IF(AND(AM213&gt;0,AM213&lt;Feiertag),INDEX(Arbeitszeit,AM213),"")</f>
        <v>0.29166666666666669</v>
      </c>
      <c r="AA213" s="112">
        <f>V213-Y213</f>
        <v>0</v>
      </c>
      <c r="AB213" s="67" t="str">
        <f>IF((V213-Y213)&lt;0,"*","")</f>
        <v/>
      </c>
      <c r="AC213" s="193">
        <f>xOverTime</f>
        <v>0</v>
      </c>
      <c r="AD213" s="144" t="str">
        <f>IF((R213-U213)&gt;XWorkTimeMax,(R213-U213-XWorkTimeMax),"")</f>
        <v/>
      </c>
      <c r="AE213" s="225">
        <f>IF(AW213,(AE212+SUM(AA213)+(IF(AG213="+",AF213,-AF213))),)</f>
        <v>0</v>
      </c>
      <c r="AF213" s="110"/>
      <c r="AG213" s="627"/>
      <c r="AH213" s="110"/>
      <c r="AI213" s="110" t="str">
        <f>IF(AND(AF213&lt;&gt;"",AF213&lt;=V213),V213-AF213,"")</f>
        <v/>
      </c>
      <c r="AJ213" s="68">
        <f>IF(ISNUMBER(V213 ), IF( V213 &gt;= Y213, Y213, V213 ),"")</f>
        <v>0</v>
      </c>
      <c r="AK213" s="68">
        <f>IF( ISNUMBER( V213 ), IF( V213 &gt;= Y213, V213 - Y213, "" ), "" )</f>
        <v>0</v>
      </c>
      <c r="AL213" s="68" t="str">
        <f>IF( AND(ISNUMBER( V213 ),ISNUMBER( Y213 )), IF( V213 &gt;= Y213, "", Y213 - V213 ), "" )</f>
        <v/>
      </c>
      <c r="AM213">
        <f>IF(A213="",0,IF(ISERROR(VLOOKUP(A213,db_Feiertag,2,FALSE)),WEEKDAY(A213,2),Feiertag))</f>
        <v>4</v>
      </c>
      <c r="AN213" s="122">
        <f>SUM($AD$6:AD213)</f>
        <v>0</v>
      </c>
      <c r="AO213" s="122">
        <f ca="1">IF(D213=D212,AO212,OFFSET(AO213,-1,COLUMN(db_jSaldoGes)-COLUMN()))</f>
        <v>0</v>
      </c>
      <c r="AP213" s="126">
        <f>IF(OR($G213=-1,$G213=82),-1,IF(OR($G213=0,$G213=83),1,0))</f>
        <v>0</v>
      </c>
      <c r="AQ213" s="126">
        <f>IF($F213=Krank,1,IF($F213="J",-1,0))</f>
        <v>0</v>
      </c>
      <c r="AR213" s="126">
        <f>IF($F213=Urlaub,1,IF($F213="T",-1,0))</f>
        <v>0</v>
      </c>
      <c r="AS213" s="125">
        <f>IF(A213="","",AS212-IF(F213=Urlaub,1,0)+IF(AND(MONTH(A213)=1,DAY(A213)=1),B_UrlaubNeu,0))</f>
        <v>30</v>
      </c>
      <c r="AT213" s="125">
        <f ca="1">IF(A213="","",IF(D213=D212,AT212,OFFSET(AT213,-1,COLUMN(db_jUrlRest)-COLUMN()))+IF(AND(MONTH(A213)=1,DAY(A213)=1),B_UrlaubNeu,0))</f>
        <v>30</v>
      </c>
      <c r="AU213" s="135">
        <f>(IF(ISNUMBER(V213),V213,0)+IF(ISNUMBER(AD213),AD213,0))*24</f>
        <v>0</v>
      </c>
      <c r="AV213" s="125">
        <f>IF(ISNUMBER(AD213),K_ArbeitOverMax,IF(AND(ISNUMBER(AA213),AA213&gt;0),K_ArbeitOverTime,IF(AND(ISNUMBER(V213),V213&gt;0),K_ArbeitNormal,IF(F213=Krank,K_Krank,IF(F213=Urlaub,K_Urlaub,IF(AM213=Feiertag,K_Feiertag,IF(OR(AM213=6,AM213=7),K_Wochenende,0)))))))+IF(F213=Gleittag,K_Gleittag,0)</f>
        <v>0</v>
      </c>
      <c r="AW213" t="b">
        <f>OR((F213&gt;0),(NOT(ISBLANK(H213))),SUM(H213:H$373),SUM(G213:G$373))</f>
        <v>0</v>
      </c>
      <c r="AX213" t="b">
        <f ca="1">INDIRECT(ADDRESS(ROW(),COLUMN(xDay)))&gt;5</f>
        <v>0</v>
      </c>
      <c r="AY213" s="600">
        <f>IF(OR(R213&lt;&gt;0,F213&lt;&gt;0),AA213,IF(Z213="",0,-Z213))+(IF(AG213="+",AF213,-AF213))</f>
        <v>-0.29166666666666669</v>
      </c>
      <c r="AZ213" s="225">
        <f>SUM(AY$5:AY213)</f>
        <v>-41.416666666666643</v>
      </c>
      <c r="BA213" s="658"/>
      <c r="BB213" s="658">
        <f>IF(ISNA(MATCH(BA213,B_Arbeitsort,0)),0,MATCH(BA213,B_Arbeitsort,0))</f>
        <v>0</v>
      </c>
      <c r="BC213" s="658"/>
    </row>
    <row r="214" spans="1:55" ht="15.75">
      <c r="A214" s="305">
        <f>IF(A213="","",IF((A213+1)&gt;=DATE(YEAR(xJahr)+1,MONTH(xJahr),DAY(xJahr)),"",A213+1))</f>
        <v>43673</v>
      </c>
      <c r="B214" s="306">
        <f>IF(A214="","",A214)</f>
        <v>43673</v>
      </c>
      <c r="C214" s="307">
        <f>IF(A214="","",NumberOfWeek(A214))</f>
        <v>30</v>
      </c>
      <c r="D214" s="308">
        <f>IF(A214="","",DATE(YEAR(A214),MONTH(A214),1))</f>
        <v>43646</v>
      </c>
      <c r="E214" s="318" t="str">
        <f>IF((R214-U214)&gt;XWorkTimeMax,$Z$4,IF(AV214=Feiertag,VLOOKUP(B214,db_Feiertag,2,FALSE),""))</f>
        <v/>
      </c>
      <c r="F214" s="5"/>
      <c r="G214" s="6" t="str">
        <f>IF(ISBLANK(F214),IF(ISBLANK(H214),"",0),CODE(UPPER(F214)))</f>
        <v/>
      </c>
      <c r="H214" s="7"/>
      <c r="I214" s="7">
        <f>IF(H214&gt;0,H214+Y214+X214+AC214,0)</f>
        <v>0</v>
      </c>
      <c r="J214" s="113">
        <f>IF(K214&gt;I214,IF(I214&lt;H214,I214+1,I214)-B_WalkTime,IF(I214&lt;H214,I214+1,I214))</f>
        <v>0</v>
      </c>
      <c r="K214" s="7"/>
      <c r="L214" s="7">
        <f>IF(K214&gt;0,K214+IF((J214-H214)&lt;Y214,Y214-(J214-H214),TIME(0,10,0))+IF((K214-J214)&gt;xNoWorkTime,0,xNoWorkTime-(K214-J214)),0)</f>
        <v>0</v>
      </c>
      <c r="M214" s="113">
        <f>IF(L214&lt;K214,L214+1,L214)</f>
        <v>0</v>
      </c>
      <c r="N214" s="113"/>
      <c r="O214" s="113">
        <f>IF(N214&gt;0,N214+IF((J214-H214+M214-K214)&lt;Y214,Y214-(J214-H214+M214-K214),TIME(0,10,0))+IF((K214-J214+N214-M214)&gt;xNoWorkTime,0,xNoWorkTime-(K214-J214+N214-M214)),0)</f>
        <v>0</v>
      </c>
      <c r="P214" s="113"/>
      <c r="Q214" s="113">
        <f>IF(O214&lt;N214,O214+1,O214)</f>
        <v>0</v>
      </c>
      <c r="R214" s="113">
        <f>J214-H214+M214-K214+Q214-N214</f>
        <v>0</v>
      </c>
      <c r="S214" s="113">
        <f>IF(K214&gt;0,K214-I214,0)+IF(N214&gt;0,N214-L214)</f>
        <v>0</v>
      </c>
      <c r="T214" s="113">
        <f>IF(H214&gt;0,(IF(R214&gt;B_Pause1Nach,B_Pause1Dauer+IF(BA214="Büro",B_WalkTime,0),IF(BA214="Büro",B_WalkTime,0))+IF(R214&gt;B_Pause2Nach,B_Pause2Dauer,0)),0)</f>
        <v>0</v>
      </c>
      <c r="U214" s="113">
        <f>IF(T214&gt;S214,T214-S214,0)</f>
        <v>0</v>
      </c>
      <c r="V214" s="146">
        <f>IF(F214="S",Z214,(IF((R214-U214)&gt;XWorkTimeMax,XWorkTimeMax,IF((R214-U214)&gt;0,R214-U214,0))))</f>
        <v>0</v>
      </c>
      <c r="W214" s="66"/>
      <c r="X214" s="115">
        <f>xNoWorkTime</f>
        <v>4.027777777777778E-2</v>
      </c>
      <c r="Y214" s="110">
        <f>IF(AND((AM214&lt;Feiertag),(G214&lt;&gt;85)),IF(OR(F214="B",F214="G",F214="S",H214&gt;0),H214-H214+Z214,0),0)</f>
        <v>0</v>
      </c>
      <c r="Z214" s="111">
        <f>IF(AND(AM214&gt;0,AM214&lt;Feiertag),INDEX(Arbeitszeit,AM214),"")</f>
        <v>0.29166666666666669</v>
      </c>
      <c r="AA214" s="112">
        <f>V214-Y214</f>
        <v>0</v>
      </c>
      <c r="AB214" s="67" t="str">
        <f>IF((V214-Y214)&lt;0,"*","")</f>
        <v/>
      </c>
      <c r="AC214" s="193">
        <f>xOverTime</f>
        <v>0</v>
      </c>
      <c r="AD214" s="144" t="str">
        <f>IF((R214-U214)&gt;XWorkTimeMax,(R214-U214-XWorkTimeMax),"")</f>
        <v/>
      </c>
      <c r="AE214" s="225">
        <f>IF(AW214,(AE213+SUM(AA214)+(IF(AG214="+",AF214,-AF214))),)</f>
        <v>0</v>
      </c>
      <c r="AF214" s="110"/>
      <c r="AG214" s="627"/>
      <c r="AH214" s="110"/>
      <c r="AI214" s="110" t="str">
        <f>IF(AND(AF214&lt;&gt;"",AF214&lt;=V214),V214-AF214,"")</f>
        <v/>
      </c>
      <c r="AJ214" s="68">
        <f>IF(ISNUMBER(V214 ), IF( V214 &gt;= Y214, Y214, V214 ),"")</f>
        <v>0</v>
      </c>
      <c r="AK214" s="68">
        <f>IF( ISNUMBER( V214 ), IF( V214 &gt;= Y214, V214 - Y214, "" ), "" )</f>
        <v>0</v>
      </c>
      <c r="AL214" s="68" t="str">
        <f>IF( AND(ISNUMBER( V214 ),ISNUMBER( Y214 )), IF( V214 &gt;= Y214, "", Y214 - V214 ), "" )</f>
        <v/>
      </c>
      <c r="AM214">
        <f>IF(A214="",0,IF(ISERROR(VLOOKUP(A214,db_Feiertag,2,FALSE)),WEEKDAY(A214,2),Feiertag))</f>
        <v>5</v>
      </c>
      <c r="AN214" s="122">
        <f>SUM($AD$6:AD214)</f>
        <v>0</v>
      </c>
      <c r="AO214" s="122">
        <f ca="1">IF(D214=D213,AO213,OFFSET(AO214,-1,COLUMN(db_jSaldoGes)-COLUMN()))</f>
        <v>0</v>
      </c>
      <c r="AP214" s="126">
        <f>IF(OR($G214=-1,$G214=82),-1,IF(OR($G214=0,$G214=83),1,0))</f>
        <v>0</v>
      </c>
      <c r="AQ214" s="126">
        <f>IF($F214=Krank,1,IF($F214="J",-1,0))</f>
        <v>0</v>
      </c>
      <c r="AR214" s="126">
        <f>IF($F214=Urlaub,1,IF($F214="T",-1,0))</f>
        <v>0</v>
      </c>
      <c r="AS214" s="125">
        <f>IF(A214="","",AS213-IF(F214=Urlaub,1,0)+IF(AND(MONTH(A214)=1,DAY(A214)=1),B_UrlaubNeu,0))</f>
        <v>30</v>
      </c>
      <c r="AT214" s="125">
        <f ca="1">IF(A214="","",IF(D214=D213,AT213,OFFSET(AT214,-1,COLUMN(db_jUrlRest)-COLUMN()))+IF(AND(MONTH(A214)=1,DAY(A214)=1),B_UrlaubNeu,0))</f>
        <v>30</v>
      </c>
      <c r="AU214" s="135">
        <f>(IF(ISNUMBER(V214),V214,0)+IF(ISNUMBER(AD214),AD214,0))*24</f>
        <v>0</v>
      </c>
      <c r="AV214" s="125">
        <f>IF(ISNUMBER(AD214),K_ArbeitOverMax,IF(AND(ISNUMBER(AA214),AA214&gt;0),K_ArbeitOverTime,IF(AND(ISNUMBER(V214),V214&gt;0),K_ArbeitNormal,IF(F214=Krank,K_Krank,IF(F214=Urlaub,K_Urlaub,IF(AM214=Feiertag,K_Feiertag,IF(OR(AM214=6,AM214=7),K_Wochenende,0)))))))+IF(F214=Gleittag,K_Gleittag,0)</f>
        <v>0</v>
      </c>
      <c r="AW214" t="b">
        <f>OR((F214&gt;0),(NOT(ISBLANK(H214))),SUM(H214:H$373),SUM(G214:G$373))</f>
        <v>0</v>
      </c>
      <c r="AX214" t="b">
        <f ca="1">INDIRECT(ADDRESS(ROW(),COLUMN(xDay)))&gt;5</f>
        <v>0</v>
      </c>
      <c r="AY214" s="600">
        <f>IF(OR(R214&lt;&gt;0,F214&lt;&gt;0),AA214,IF(Z214="",0,-Z214))+(IF(AG214="+",AF214,-AF214))</f>
        <v>-0.29166666666666669</v>
      </c>
      <c r="AZ214" s="225">
        <f>SUM(AY$5:AY214)</f>
        <v>-41.708333333333307</v>
      </c>
      <c r="BA214" s="658"/>
      <c r="BB214" s="658">
        <f>IF(ISNA(MATCH(BA214,B_Arbeitsort,0)),0,MATCH(BA214,B_Arbeitsort,0))</f>
        <v>0</v>
      </c>
      <c r="BC214" s="658"/>
    </row>
    <row r="215" spans="1:55" ht="15.75">
      <c r="A215" s="305">
        <f>IF(A214="","",IF((A214+1)&gt;=DATE(YEAR(xJahr)+1,MONTH(xJahr),DAY(xJahr)),"",A214+1))</f>
        <v>43674</v>
      </c>
      <c r="B215" s="306">
        <f>IF(A215="","",A215)</f>
        <v>43674</v>
      </c>
      <c r="C215" s="307">
        <f>IF(A215="","",NumberOfWeek(A215))</f>
        <v>30</v>
      </c>
      <c r="D215" s="308">
        <f>IF(A215="","",DATE(YEAR(A215),MONTH(A215),1))</f>
        <v>43646</v>
      </c>
      <c r="E215" s="318" t="str">
        <f>IF((R215-U215)&gt;XWorkTimeMax,$Z$4,IF(AV215=Feiertag,VLOOKUP(B215,db_Feiertag,2,FALSE),""))</f>
        <v/>
      </c>
      <c r="F215" s="5"/>
      <c r="G215" s="6" t="str">
        <f>IF(ISBLANK(F215),IF(ISBLANK(H215),"",0),CODE(UPPER(F215)))</f>
        <v/>
      </c>
      <c r="H215" s="7"/>
      <c r="I215" s="7">
        <f>IF(H215&gt;0,H215+Y215+X215+AC215,0)</f>
        <v>0</v>
      </c>
      <c r="J215" s="113">
        <f>IF(K215&gt;I215,IF(I215&lt;H215,I215+1,I215)-B_WalkTime,IF(I215&lt;H215,I215+1,I215))</f>
        <v>0</v>
      </c>
      <c r="K215" s="7"/>
      <c r="L215" s="7">
        <f>IF(K215&gt;0,K215+IF((J215-H215)&lt;Y215,Y215-(J215-H215),TIME(0,10,0))+IF((K215-J215)&gt;xNoWorkTime,0,xNoWorkTime-(K215-J215)),0)</f>
        <v>0</v>
      </c>
      <c r="M215" s="113">
        <f>IF(L215&lt;K215,L215+1,L215)</f>
        <v>0</v>
      </c>
      <c r="N215" s="113"/>
      <c r="O215" s="113">
        <f>IF(N215&gt;0,N215+IF((J215-H215+M215-K215)&lt;Y215,Y215-(J215-H215+M215-K215),TIME(0,10,0))+IF((K215-J215+N215-M215)&gt;xNoWorkTime,0,xNoWorkTime-(K215-J215+N215-M215)),0)</f>
        <v>0</v>
      </c>
      <c r="P215" s="113"/>
      <c r="Q215" s="113">
        <f>IF(O215&lt;N215,O215+1,O215)</f>
        <v>0</v>
      </c>
      <c r="R215" s="113">
        <f>J215-H215+M215-K215+Q215-N215</f>
        <v>0</v>
      </c>
      <c r="S215" s="113">
        <f>IF(K215&gt;0,K215-I215,0)+IF(N215&gt;0,N215-L215)</f>
        <v>0</v>
      </c>
      <c r="T215" s="113">
        <f>IF(H215&gt;0,(IF(R215&gt;B_Pause1Nach,B_Pause1Dauer+IF(BA215="Büro",B_WalkTime,0),IF(BA215="Büro",B_WalkTime,0))+IF(R215&gt;B_Pause2Nach,B_Pause2Dauer,0)),0)</f>
        <v>0</v>
      </c>
      <c r="U215" s="113">
        <f>IF(T215&gt;S215,T215-S215,0)</f>
        <v>0</v>
      </c>
      <c r="V215" s="146">
        <f>IF(F215="S",Z215,(IF((R215-U215)&gt;XWorkTimeMax,XWorkTimeMax,IF((R215-U215)&gt;0,R215-U215,0))))</f>
        <v>0</v>
      </c>
      <c r="W215" s="66"/>
      <c r="X215" s="115">
        <f>xNoWorkTime</f>
        <v>4.027777777777778E-2</v>
      </c>
      <c r="Y215" s="110">
        <f>IF(AND((AM215&lt;Feiertag),(G215&lt;&gt;85)),IF(OR(F215="B",F215="G",F215="S",H215&gt;0),H215-H215+Z215,0),0)</f>
        <v>0</v>
      </c>
      <c r="Z215" s="111">
        <f>IF(AND(AM215&gt;0,AM215&lt;Feiertag),INDEX(Arbeitszeit,AM215),"")</f>
        <v>0</v>
      </c>
      <c r="AA215" s="112">
        <f>V215-Y215</f>
        <v>0</v>
      </c>
      <c r="AB215" s="67" t="str">
        <f>IF((V215-Y215)&lt;0,"*","")</f>
        <v/>
      </c>
      <c r="AC215" s="193">
        <f>xOverTime</f>
        <v>0</v>
      </c>
      <c r="AD215" s="144" t="str">
        <f>IF((R215-U215)&gt;XWorkTimeMax,(R215-U215-XWorkTimeMax),"")</f>
        <v/>
      </c>
      <c r="AE215" s="225">
        <f>IF(AW215,(AE214+SUM(AA215)+(IF(AG215="+",AF215,-AF215))),)</f>
        <v>0</v>
      </c>
      <c r="AF215" s="110"/>
      <c r="AG215" s="627"/>
      <c r="AH215" s="110"/>
      <c r="AI215" s="110" t="str">
        <f>IF(AND(AF215&lt;&gt;"",AF215&lt;=V215),V215-AF215,"")</f>
        <v/>
      </c>
      <c r="AJ215" s="68">
        <f>IF(ISNUMBER(V215 ), IF( V215 &gt;= Y215, Y215, V215 ),"")</f>
        <v>0</v>
      </c>
      <c r="AK215" s="68">
        <f>IF( ISNUMBER( V215 ), IF( V215 &gt;= Y215, V215 - Y215, "" ), "" )</f>
        <v>0</v>
      </c>
      <c r="AL215" s="68" t="str">
        <f>IF( AND(ISNUMBER( V215 ),ISNUMBER( Y215 )), IF( V215 &gt;= Y215, "", Y215 - V215 ), "" )</f>
        <v/>
      </c>
      <c r="AM215">
        <f>IF(A215="",0,IF(ISERROR(VLOOKUP(A215,db_Feiertag,2,FALSE)),WEEKDAY(A215,2),Feiertag))</f>
        <v>6</v>
      </c>
      <c r="AN215" s="122">
        <f>SUM($AD$6:AD215)</f>
        <v>0</v>
      </c>
      <c r="AO215" s="122">
        <f ca="1">IF(D215=D214,AO214,OFFSET(AO215,-1,COLUMN(db_jSaldoGes)-COLUMN()))</f>
        <v>0</v>
      </c>
      <c r="AP215" s="126">
        <f>IF(OR($G215=-1,$G215=82),-1,IF(OR($G215=0,$G215=83),1,0))</f>
        <v>0</v>
      </c>
      <c r="AQ215" s="126">
        <f>IF($F215=Krank,1,IF($F215="J",-1,0))</f>
        <v>0</v>
      </c>
      <c r="AR215" s="126">
        <f>IF($F215=Urlaub,1,IF($F215="T",-1,0))</f>
        <v>0</v>
      </c>
      <c r="AS215" s="125">
        <f>IF(A215="","",AS214-IF(F215=Urlaub,1,0)+IF(AND(MONTH(A215)=1,DAY(A215)=1),B_UrlaubNeu,0))</f>
        <v>30</v>
      </c>
      <c r="AT215" s="125">
        <f ca="1">IF(A215="","",IF(D215=D214,AT214,OFFSET(AT215,-1,COLUMN(db_jUrlRest)-COLUMN()))+IF(AND(MONTH(A215)=1,DAY(A215)=1),B_UrlaubNeu,0))</f>
        <v>30</v>
      </c>
      <c r="AU215" s="135">
        <f>(IF(ISNUMBER(V215),V215,0)+IF(ISNUMBER(AD215),AD215,0))*24</f>
        <v>0</v>
      </c>
      <c r="AV215" s="125">
        <f>IF(ISNUMBER(AD215),K_ArbeitOverMax,IF(AND(ISNUMBER(AA215),AA215&gt;0),K_ArbeitOverTime,IF(AND(ISNUMBER(V215),V215&gt;0),K_ArbeitNormal,IF(F215=Krank,K_Krank,IF(F215=Urlaub,K_Urlaub,IF(AM215=Feiertag,K_Feiertag,IF(OR(AM215=6,AM215=7),K_Wochenende,0)))))))+IF(F215=Gleittag,K_Gleittag,0)</f>
        <v>7</v>
      </c>
      <c r="AW215" t="b">
        <f>OR((F215&gt;0),(NOT(ISBLANK(H215))),SUM(H215:H$373),SUM(G215:G$373))</f>
        <v>0</v>
      </c>
      <c r="AX215" t="b">
        <f ca="1">INDIRECT(ADDRESS(ROW(),COLUMN(xDay)))&gt;5</f>
        <v>1</v>
      </c>
      <c r="AY215" s="600">
        <f>IF(OR(R215&lt;&gt;0,F215&lt;&gt;0),AA215,IF(Z215="",0,-Z215))+(IF(AG215="+",AF215,-AF215))</f>
        <v>0</v>
      </c>
      <c r="AZ215" s="225">
        <f>SUM(AY$5:AY215)</f>
        <v>-41.708333333333307</v>
      </c>
      <c r="BA215" s="643"/>
      <c r="BB215" s="658">
        <f>IF(ISNA(MATCH(BA215,B_Arbeitsort,0)),0,MATCH(BA215,B_Arbeitsort,0))</f>
        <v>0</v>
      </c>
      <c r="BC215" s="643"/>
    </row>
    <row r="216" spans="1:55" ht="15.75">
      <c r="A216" s="305">
        <f>IF(A215="","",IF((A215+1)&gt;=DATE(YEAR(xJahr)+1,MONTH(xJahr),DAY(xJahr)),"",A215+1))</f>
        <v>43675</v>
      </c>
      <c r="B216" s="306">
        <f>IF(A216="","",A216)</f>
        <v>43675</v>
      </c>
      <c r="C216" s="307">
        <f>IF(A216="","",NumberOfWeek(A216))</f>
        <v>30</v>
      </c>
      <c r="D216" s="308">
        <f>IF(A216="","",DATE(YEAR(A216),MONTH(A216),1))</f>
        <v>43646</v>
      </c>
      <c r="E216" s="318" t="str">
        <f>IF((R216-U216)&gt;XWorkTimeMax,$Z$4,IF(AV216=Feiertag,VLOOKUP(B216,db_Feiertag,2,FALSE),""))</f>
        <v/>
      </c>
      <c r="F216" s="5"/>
      <c r="G216" s="6" t="str">
        <f>IF(ISBLANK(F216),IF(ISBLANK(H216),"",0),CODE(UPPER(F216)))</f>
        <v/>
      </c>
      <c r="H216" s="7"/>
      <c r="I216" s="7">
        <f>IF(H216&gt;0,H216+Y216+X216+AC216,0)</f>
        <v>0</v>
      </c>
      <c r="J216" s="113">
        <f>IF(K216&gt;I216,IF(I216&lt;H216,I216+1,I216)-B_WalkTime,IF(I216&lt;H216,I216+1,I216))</f>
        <v>0</v>
      </c>
      <c r="K216" s="7"/>
      <c r="L216" s="7">
        <f>IF(K216&gt;0,K216+IF((J216-H216)&lt;Y216,Y216-(J216-H216),TIME(0,10,0))+IF((K216-J216)&gt;xNoWorkTime,0,xNoWorkTime-(K216-J216)),0)</f>
        <v>0</v>
      </c>
      <c r="M216" s="113">
        <f>IF(L216&lt;K216,L216+1,L216)</f>
        <v>0</v>
      </c>
      <c r="N216" s="113"/>
      <c r="O216" s="113">
        <f>IF(N216&gt;0,N216+IF((J216-H216+M216-K216)&lt;Y216,Y216-(J216-H216+M216-K216),TIME(0,10,0))+IF((K216-J216+N216-M216)&gt;xNoWorkTime,0,xNoWorkTime-(K216-J216+N216-M216)),0)</f>
        <v>0</v>
      </c>
      <c r="P216" s="113"/>
      <c r="Q216" s="113">
        <f>IF(O216&lt;N216,O216+1,O216)</f>
        <v>0</v>
      </c>
      <c r="R216" s="113">
        <f>J216-H216+M216-K216+Q216-N216</f>
        <v>0</v>
      </c>
      <c r="S216" s="113">
        <f>IF(K216&gt;0,K216-I216,0)+IF(N216&gt;0,N216-L216)</f>
        <v>0</v>
      </c>
      <c r="T216" s="113">
        <f>IF(H216&gt;0,(IF(R216&gt;B_Pause1Nach,B_Pause1Dauer+IF(BA216="Büro",B_WalkTime,0),IF(BA216="Büro",B_WalkTime,0))+IF(R216&gt;B_Pause2Nach,B_Pause2Dauer,0)),0)</f>
        <v>0</v>
      </c>
      <c r="U216" s="113">
        <f>IF(T216&gt;S216,T216-S216,0)</f>
        <v>0</v>
      </c>
      <c r="V216" s="146">
        <f>IF(F216="S",Z216,(IF((R216-U216)&gt;XWorkTimeMax,XWorkTimeMax,IF((R216-U216)&gt;0,R216-U216,0))))</f>
        <v>0</v>
      </c>
      <c r="W216" s="66"/>
      <c r="X216" s="115">
        <f>xNoWorkTime</f>
        <v>4.027777777777778E-2</v>
      </c>
      <c r="Y216" s="110">
        <f>IF(AND((AM216&lt;Feiertag),(G216&lt;&gt;85)),IF(OR(F216="B",F216="G",F216="S",H216&gt;0),H216-H216+Z216,0),0)</f>
        <v>0</v>
      </c>
      <c r="Z216" s="111">
        <f>IF(AND(AM216&gt;0,AM216&lt;Feiertag),INDEX(Arbeitszeit,AM216),"")</f>
        <v>0</v>
      </c>
      <c r="AA216" s="112">
        <f>V216-Y216</f>
        <v>0</v>
      </c>
      <c r="AB216" s="67" t="str">
        <f>IF((V216-Y216)&lt;0,"*","")</f>
        <v/>
      </c>
      <c r="AC216" s="193">
        <f>xOverTime</f>
        <v>0</v>
      </c>
      <c r="AD216" s="144" t="str">
        <f>IF((R216-U216)&gt;XWorkTimeMax,(R216-U216-XWorkTimeMax),"")</f>
        <v/>
      </c>
      <c r="AE216" s="225">
        <f>IF(AW216,(AE215+SUM(AA216)+(IF(AG216="+",AF216,-AF216))),)</f>
        <v>0</v>
      </c>
      <c r="AF216" s="110"/>
      <c r="AG216" s="627"/>
      <c r="AH216" s="110"/>
      <c r="AI216" s="110" t="str">
        <f>IF(AND(AF216&lt;&gt;"",AF216&lt;=V216),V216-AF216,"")</f>
        <v/>
      </c>
      <c r="AJ216" s="68">
        <f>IF(ISNUMBER(V216 ), IF( V216 &gt;= Y216, Y216, V216 ),"")</f>
        <v>0</v>
      </c>
      <c r="AK216" s="68">
        <f>IF( ISNUMBER( V216 ), IF( V216 &gt;= Y216, V216 - Y216, "" ), "" )</f>
        <v>0</v>
      </c>
      <c r="AL216" s="68" t="str">
        <f>IF( AND(ISNUMBER( V216 ),ISNUMBER( Y216 )), IF( V216 &gt;= Y216, "", Y216 - V216 ), "" )</f>
        <v/>
      </c>
      <c r="AM216">
        <f>IF(A216="",0,IF(ISERROR(VLOOKUP(A216,db_Feiertag,2,FALSE)),WEEKDAY(A216,2),Feiertag))</f>
        <v>7</v>
      </c>
      <c r="AN216" s="122">
        <f>SUM($AD$6:AD216)</f>
        <v>0</v>
      </c>
      <c r="AO216" s="122">
        <f ca="1">IF(D216=D215,AO215,OFFSET(AO216,-1,COLUMN(db_jSaldoGes)-COLUMN()))</f>
        <v>0</v>
      </c>
      <c r="AP216" s="126">
        <f>IF(OR($G216=-1,$G216=82),-1,IF(OR($G216=0,$G216=83),1,0))</f>
        <v>0</v>
      </c>
      <c r="AQ216" s="126">
        <f>IF($F216=Krank,1,IF($F216="J",-1,0))</f>
        <v>0</v>
      </c>
      <c r="AR216" s="126">
        <f>IF($F216=Urlaub,1,IF($F216="T",-1,0))</f>
        <v>0</v>
      </c>
      <c r="AS216" s="125">
        <f>IF(A216="","",AS215-IF(F216=Urlaub,1,0)+IF(AND(MONTH(A216)=1,DAY(A216)=1),B_UrlaubNeu,0))</f>
        <v>30</v>
      </c>
      <c r="AT216" s="125">
        <f ca="1">IF(A216="","",IF(D216=D215,AT215,OFFSET(AT216,-1,COLUMN(db_jUrlRest)-COLUMN()))+IF(AND(MONTH(A216)=1,DAY(A216)=1),B_UrlaubNeu,0))</f>
        <v>30</v>
      </c>
      <c r="AU216" s="135">
        <f>(IF(ISNUMBER(V216),V216,0)+IF(ISNUMBER(AD216),AD216,0))*24</f>
        <v>0</v>
      </c>
      <c r="AV216" s="125">
        <f>IF(ISNUMBER(AD216),K_ArbeitOverMax,IF(AND(ISNUMBER(AA216),AA216&gt;0),K_ArbeitOverTime,IF(AND(ISNUMBER(V216),V216&gt;0),K_ArbeitNormal,IF(F216=Krank,K_Krank,IF(F216=Urlaub,K_Urlaub,IF(AM216=Feiertag,K_Feiertag,IF(OR(AM216=6,AM216=7),K_Wochenende,0)))))))+IF(F216=Gleittag,K_Gleittag,0)</f>
        <v>7</v>
      </c>
      <c r="AW216" t="b">
        <f>OR((F216&gt;0),(NOT(ISBLANK(H216))),SUM(H216:H$373),SUM(G216:G$373))</f>
        <v>0</v>
      </c>
      <c r="AX216" t="b">
        <f ca="1">INDIRECT(ADDRESS(ROW(),COLUMN(xDay)))&gt;5</f>
        <v>1</v>
      </c>
      <c r="AY216" s="600">
        <f>IF(OR(R216&lt;&gt;0,F216&lt;&gt;0),AA216,IF(Z216="",0,-Z216))+(IF(AG216="+",AF216,-AF216))</f>
        <v>0</v>
      </c>
      <c r="AZ216" s="225">
        <f>SUM(AY$5:AY216)</f>
        <v>-41.708333333333307</v>
      </c>
      <c r="BA216" s="643"/>
      <c r="BB216" s="658">
        <f>IF(ISNA(MATCH(BA216,B_Arbeitsort,0)),0,MATCH(BA216,B_Arbeitsort,0))</f>
        <v>0</v>
      </c>
      <c r="BC216" s="643"/>
    </row>
    <row r="217" spans="1:55" ht="15.75">
      <c r="A217" s="305">
        <f>IF(A216="","",IF((A216+1)&gt;=DATE(YEAR(xJahr)+1,MONTH(xJahr),DAY(xJahr)),"",A216+1))</f>
        <v>43676</v>
      </c>
      <c r="B217" s="306">
        <f>IF(A217="","",A217)</f>
        <v>43676</v>
      </c>
      <c r="C217" s="307">
        <f>IF(A217="","",NumberOfWeek(A217))</f>
        <v>31</v>
      </c>
      <c r="D217" s="308">
        <f>IF(A217="","",DATE(YEAR(A217),MONTH(A217),1))</f>
        <v>43646</v>
      </c>
      <c r="E217" s="318" t="str">
        <f>IF((R217-U217)&gt;XWorkTimeMax,$Z$4,IF(AV217=Feiertag,VLOOKUP(B217,db_Feiertag,2,FALSE),""))</f>
        <v/>
      </c>
      <c r="F217" s="5"/>
      <c r="G217" s="6" t="str">
        <f>IF(ISBLANK(F217),IF(ISBLANK(H217),"",0),CODE(UPPER(F217)))</f>
        <v/>
      </c>
      <c r="H217" s="7"/>
      <c r="I217" s="7">
        <f>IF(H217&gt;0,H217+Y217+X217+AC217,0)</f>
        <v>0</v>
      </c>
      <c r="J217" s="113">
        <f>IF(K217&gt;I217,IF(I217&lt;H217,I217+1,I217)-B_WalkTime,IF(I217&lt;H217,I217+1,I217))</f>
        <v>0</v>
      </c>
      <c r="K217" s="7"/>
      <c r="L217" s="7">
        <f>IF(K217&gt;0,K217+IF((J217-H217)&lt;Y217,Y217-(J217-H217),TIME(0,10,0))+IF((K217-J217)&gt;xNoWorkTime,0,xNoWorkTime-(K217-J217)),0)</f>
        <v>0</v>
      </c>
      <c r="M217" s="113">
        <f>IF(L217&lt;K217,L217+1,L217)</f>
        <v>0</v>
      </c>
      <c r="N217" s="113"/>
      <c r="O217" s="113">
        <f>IF(N217&gt;0,N217+IF((J217-H217+M217-K217)&lt;Y217,Y217-(J217-H217+M217-K217),TIME(0,10,0))+IF((K217-J217+N217-M217)&gt;xNoWorkTime,0,xNoWorkTime-(K217-J217+N217-M217)),0)</f>
        <v>0</v>
      </c>
      <c r="P217" s="113"/>
      <c r="Q217" s="113">
        <f>IF(O217&lt;N217,O217+1,O217)</f>
        <v>0</v>
      </c>
      <c r="R217" s="113">
        <f>J217-H217+M217-K217+Q217-N217</f>
        <v>0</v>
      </c>
      <c r="S217" s="113">
        <f>IF(K217&gt;0,K217-I217,0)+IF(N217&gt;0,N217-L217)</f>
        <v>0</v>
      </c>
      <c r="T217" s="113">
        <f>IF(H217&gt;0,(IF(R217&gt;B_Pause1Nach,B_Pause1Dauer+IF(BA217="Büro",B_WalkTime,0),IF(BA217="Büro",B_WalkTime,0))+IF(R217&gt;B_Pause2Nach,B_Pause2Dauer,0)),0)</f>
        <v>0</v>
      </c>
      <c r="U217" s="113">
        <f>IF(T217&gt;S217,T217-S217,0)</f>
        <v>0</v>
      </c>
      <c r="V217" s="146">
        <f>IF(F217="S",Z217,(IF((R217-U217)&gt;XWorkTimeMax,XWorkTimeMax,IF((R217-U217)&gt;0,R217-U217,0))))</f>
        <v>0</v>
      </c>
      <c r="W217" s="66"/>
      <c r="X217" s="115">
        <f>xNoWorkTime</f>
        <v>4.027777777777778E-2</v>
      </c>
      <c r="Y217" s="110">
        <f>IF(AND((AM217&lt;Feiertag),(G217&lt;&gt;85)),IF(OR(F217="B",F217="G",F217="S",H217&gt;0),H217-H217+Z217,0),0)</f>
        <v>0</v>
      </c>
      <c r="Z217" s="111">
        <f>IF(AND(AM217&gt;0,AM217&lt;Feiertag),INDEX(Arbeitszeit,AM217),"")</f>
        <v>0.29166666666666669</v>
      </c>
      <c r="AA217" s="112">
        <f>V217-Y217</f>
        <v>0</v>
      </c>
      <c r="AB217" s="67" t="str">
        <f>IF((V217-Y217)&lt;0,"*","")</f>
        <v/>
      </c>
      <c r="AC217" s="193">
        <f>xOverTime</f>
        <v>0</v>
      </c>
      <c r="AD217" s="144" t="str">
        <f>IF((R217-U217)&gt;XWorkTimeMax,(R217-U217-XWorkTimeMax),"")</f>
        <v/>
      </c>
      <c r="AE217" s="225">
        <f>IF(AW217,(AE216+SUM(AA217)+(IF(AG217="+",AF217,-AF217))),)</f>
        <v>0</v>
      </c>
      <c r="AF217" s="110"/>
      <c r="AG217" s="627"/>
      <c r="AH217" s="110"/>
      <c r="AI217" s="110" t="str">
        <f>IF(AND(AF217&lt;&gt;"",AF217&lt;=V217),V217-AF217,"")</f>
        <v/>
      </c>
      <c r="AJ217" s="68">
        <f>IF(ISNUMBER(V217 ), IF( V217 &gt;= Y217, Y217, V217 ),"")</f>
        <v>0</v>
      </c>
      <c r="AK217" s="68">
        <f>IF( ISNUMBER( V217 ), IF( V217 &gt;= Y217, V217 - Y217, "" ), "" )</f>
        <v>0</v>
      </c>
      <c r="AL217" s="68" t="str">
        <f>IF( AND(ISNUMBER( V217 ),ISNUMBER( Y217 )), IF( V217 &gt;= Y217, "", Y217 - V217 ), "" )</f>
        <v/>
      </c>
      <c r="AM217">
        <f>IF(A217="",0,IF(ISERROR(VLOOKUP(A217,db_Feiertag,2,FALSE)),WEEKDAY(A217,2),Feiertag))</f>
        <v>1</v>
      </c>
      <c r="AN217" s="122">
        <f>SUM($AD$6:AD217)</f>
        <v>0</v>
      </c>
      <c r="AO217" s="122">
        <f ca="1">IF(D217=D216,AO216,OFFSET(AO217,-1,COLUMN(db_jSaldoGes)-COLUMN()))</f>
        <v>0</v>
      </c>
      <c r="AP217" s="126">
        <f>IF(OR($G217=-1,$G217=82),-1,IF(OR($G217=0,$G217=83),1,0))</f>
        <v>0</v>
      </c>
      <c r="AQ217" s="126">
        <f>IF($F217=Krank,1,IF($F217="J",-1,0))</f>
        <v>0</v>
      </c>
      <c r="AR217" s="126">
        <f>IF($F217=Urlaub,1,IF($F217="T",-1,0))</f>
        <v>0</v>
      </c>
      <c r="AS217" s="125">
        <f>IF(A217="","",AS216-IF(F217=Urlaub,1,0)+IF(AND(MONTH(A217)=1,DAY(A217)=1),B_UrlaubNeu,0))</f>
        <v>30</v>
      </c>
      <c r="AT217" s="125">
        <f ca="1">IF(A217="","",IF(D217=D216,AT216,OFFSET(AT217,-1,COLUMN(db_jUrlRest)-COLUMN()))+IF(AND(MONTH(A217)=1,DAY(A217)=1),B_UrlaubNeu,0))</f>
        <v>30</v>
      </c>
      <c r="AU217" s="135">
        <f>(IF(ISNUMBER(V217),V217,0)+IF(ISNUMBER(AD217),AD217,0))*24</f>
        <v>0</v>
      </c>
      <c r="AV217" s="125">
        <f>IF(ISNUMBER(AD217),K_ArbeitOverMax,IF(AND(ISNUMBER(AA217),AA217&gt;0),K_ArbeitOverTime,IF(AND(ISNUMBER(V217),V217&gt;0),K_ArbeitNormal,IF(F217=Krank,K_Krank,IF(F217=Urlaub,K_Urlaub,IF(AM217=Feiertag,K_Feiertag,IF(OR(AM217=6,AM217=7),K_Wochenende,0)))))))+IF(F217=Gleittag,K_Gleittag,0)</f>
        <v>0</v>
      </c>
      <c r="AW217" t="b">
        <f>OR((F217&gt;0),(NOT(ISBLANK(H217))),SUM(H217:H$373),SUM(G217:G$373))</f>
        <v>0</v>
      </c>
      <c r="AX217" t="b">
        <f ca="1">INDIRECT(ADDRESS(ROW(),COLUMN(xDay)))&gt;5</f>
        <v>0</v>
      </c>
      <c r="AY217" s="600">
        <f>IF(OR(R217&lt;&gt;0,F217&lt;&gt;0),AA217,IF(Z217="",0,-Z217))+(IF(AG217="+",AF217,-AF217))</f>
        <v>-0.29166666666666669</v>
      </c>
      <c r="AZ217" s="225">
        <f>SUM(AY$5:AY217)</f>
        <v>-41.999999999999972</v>
      </c>
      <c r="BA217" s="658"/>
      <c r="BB217" s="658">
        <f>IF(ISNA(MATCH(BA217,B_Arbeitsort,0)),0,MATCH(BA217,B_Arbeitsort,0))</f>
        <v>0</v>
      </c>
      <c r="BC217" s="658"/>
    </row>
    <row r="218" spans="1:55" ht="15.75">
      <c r="A218" s="305">
        <f>IF(A217="","",IF((A217+1)&gt;=DATE(YEAR(xJahr)+1,MONTH(xJahr),DAY(xJahr)),"",A217+1))</f>
        <v>43677</v>
      </c>
      <c r="B218" s="306">
        <f>IF(A218="","",A218)</f>
        <v>43677</v>
      </c>
      <c r="C218" s="307">
        <f>IF(A218="","",NumberOfWeek(A218))</f>
        <v>31</v>
      </c>
      <c r="D218" s="308">
        <f>IF(A218="","",DATE(YEAR(A218),MONTH(A218),1))</f>
        <v>43677</v>
      </c>
      <c r="E218" s="318" t="str">
        <f>IF((R218-U218)&gt;XWorkTimeMax,$Z$4,IF(AV218=Feiertag,VLOOKUP(B218,db_Feiertag,2,FALSE),""))</f>
        <v/>
      </c>
      <c r="F218" s="5"/>
      <c r="G218" s="6" t="str">
        <f>IF(ISBLANK(F218),IF(ISBLANK(H218),"",0),CODE(UPPER(F218)))</f>
        <v/>
      </c>
      <c r="H218" s="7"/>
      <c r="I218" s="7">
        <f>IF(H218&gt;0,H218+Y218+X218+AC218,0)</f>
        <v>0</v>
      </c>
      <c r="J218" s="113">
        <f>IF(K218&gt;I218,IF(I218&lt;H218,I218+1,I218)-B_WalkTime,IF(I218&lt;H218,I218+1,I218))</f>
        <v>0</v>
      </c>
      <c r="K218" s="7"/>
      <c r="L218" s="7">
        <f>IF(K218&gt;0,K218+IF((J218-H218)&lt;Y218,Y218-(J218-H218),TIME(0,10,0))+IF((K218-J218)&gt;xNoWorkTime,0,xNoWorkTime-(K218-J218)),0)</f>
        <v>0</v>
      </c>
      <c r="M218" s="113">
        <f>IF(L218&lt;K218,L218+1,L218)</f>
        <v>0</v>
      </c>
      <c r="N218" s="113"/>
      <c r="O218" s="113">
        <f>IF(N218&gt;0,N218+IF((J218-H218+M218-K218)&lt;Y218,Y218-(J218-H218+M218-K218),TIME(0,10,0))+IF((K218-J218+N218-M218)&gt;xNoWorkTime,0,xNoWorkTime-(K218-J218+N218-M218)),0)</f>
        <v>0</v>
      </c>
      <c r="P218" s="113"/>
      <c r="Q218" s="113">
        <f>IF(O218&lt;N218,O218+1,O218)</f>
        <v>0</v>
      </c>
      <c r="R218" s="113">
        <f>J218-H218+M218-K218+Q218-N218</f>
        <v>0</v>
      </c>
      <c r="S218" s="113">
        <f>IF(K218&gt;0,K218-I218,0)+IF(N218&gt;0,N218-L218)</f>
        <v>0</v>
      </c>
      <c r="T218" s="113">
        <f>IF(H218&gt;0,(IF(R218&gt;B_Pause1Nach,B_Pause1Dauer+IF(BA218="Büro",B_WalkTime,0),IF(BA218="Büro",B_WalkTime,0))+IF(R218&gt;B_Pause2Nach,B_Pause2Dauer,0)),0)</f>
        <v>0</v>
      </c>
      <c r="U218" s="113">
        <f>IF(T218&gt;S218,T218-S218,0)</f>
        <v>0</v>
      </c>
      <c r="V218" s="146">
        <f>IF(F218="S",Z218,(IF((R218-U218)&gt;XWorkTimeMax,XWorkTimeMax,IF((R218-U218)&gt;0,R218-U218,0))))</f>
        <v>0</v>
      </c>
      <c r="W218" s="66"/>
      <c r="X218" s="115">
        <f>xNoWorkTime</f>
        <v>4.027777777777778E-2</v>
      </c>
      <c r="Y218" s="110">
        <f>IF(AND((AM218&lt;Feiertag),(G218&lt;&gt;85)),IF(OR(F218="B",F218="G",F218="S",H218&gt;0),H218-H218+Z218,0),0)</f>
        <v>0</v>
      </c>
      <c r="Z218" s="111">
        <f>IF(AND(AM218&gt;0,AM218&lt;Feiertag),INDEX(Arbeitszeit,AM218),"")</f>
        <v>0.29166666666666669</v>
      </c>
      <c r="AA218" s="112">
        <f>V218-Y218</f>
        <v>0</v>
      </c>
      <c r="AB218" s="67" t="str">
        <f>IF((V218-Y218)&lt;0,"*","")</f>
        <v/>
      </c>
      <c r="AC218" s="193">
        <f>xOverTime</f>
        <v>0</v>
      </c>
      <c r="AD218" s="144" t="str">
        <f>IF((R218-U218)&gt;XWorkTimeMax,(R218-U218-XWorkTimeMax),"")</f>
        <v/>
      </c>
      <c r="AE218" s="225">
        <f>IF(AW218,(AE217+SUM(AA218)+(IF(AG218="+",AF218,-AF218))),)</f>
        <v>0</v>
      </c>
      <c r="AF218" s="110"/>
      <c r="AG218" s="627"/>
      <c r="AH218" s="110"/>
      <c r="AI218" s="110" t="str">
        <f>IF(AND(AF218&lt;&gt;"",AF218&lt;=V218),V218-AF218,"")</f>
        <v/>
      </c>
      <c r="AJ218" s="68">
        <f>IF(ISNUMBER(V218 ), IF( V218 &gt;= Y218, Y218, V218 ),"")</f>
        <v>0</v>
      </c>
      <c r="AK218" s="68">
        <f>IF( ISNUMBER( V218 ), IF( V218 &gt;= Y218, V218 - Y218, "" ), "" )</f>
        <v>0</v>
      </c>
      <c r="AL218" s="68" t="str">
        <f>IF( AND(ISNUMBER( V218 ),ISNUMBER( Y218 )), IF( V218 &gt;= Y218, "", Y218 - V218 ), "" )</f>
        <v/>
      </c>
      <c r="AM218">
        <f>IF(A218="",0,IF(ISERROR(VLOOKUP(A218,db_Feiertag,2,FALSE)),WEEKDAY(A218,2),Feiertag))</f>
        <v>2</v>
      </c>
      <c r="AN218" s="122">
        <f>SUM($AD$6:AD218)</f>
        <v>0</v>
      </c>
      <c r="AO218" s="122">
        <f ca="1">IF(D218=D217,AO217,OFFSET(AO218,-1,COLUMN(db_jSaldoGes)-COLUMN()))</f>
        <v>0</v>
      </c>
      <c r="AP218" s="126">
        <f>IF(OR($G218=-1,$G218=82),-1,IF(OR($G218=0,$G218=83),1,0))</f>
        <v>0</v>
      </c>
      <c r="AQ218" s="126">
        <f>IF($F218=Krank,1,IF($F218="J",-1,0))</f>
        <v>0</v>
      </c>
      <c r="AR218" s="126">
        <f>IF($F218=Urlaub,1,IF($F218="T",-1,0))</f>
        <v>0</v>
      </c>
      <c r="AS218" s="125">
        <f>IF(A218="","",AS217-IF(F218=Urlaub,1,0)+IF(AND(MONTH(A218)=1,DAY(A218)=1),B_UrlaubNeu,0))</f>
        <v>30</v>
      </c>
      <c r="AT218" s="125">
        <f ca="1">IF(A218="","",IF(D218=D217,AT217,OFFSET(AT218,-1,COLUMN(db_jUrlRest)-COLUMN()))+IF(AND(MONTH(A218)=1,DAY(A218)=1),B_UrlaubNeu,0))</f>
        <v>30</v>
      </c>
      <c r="AU218" s="135">
        <f>(IF(ISNUMBER(V218),V218,0)+IF(ISNUMBER(AD218),AD218,0))*24</f>
        <v>0</v>
      </c>
      <c r="AV218" s="125">
        <f>IF(ISNUMBER(AD218),K_ArbeitOverMax,IF(AND(ISNUMBER(AA218),AA218&gt;0),K_ArbeitOverTime,IF(AND(ISNUMBER(V218),V218&gt;0),K_ArbeitNormal,IF(F218=Krank,K_Krank,IF(F218=Urlaub,K_Urlaub,IF(AM218=Feiertag,K_Feiertag,IF(OR(AM218=6,AM218=7),K_Wochenende,0)))))))+IF(F218=Gleittag,K_Gleittag,0)</f>
        <v>0</v>
      </c>
      <c r="AW218" t="b">
        <f>OR((F218&gt;0),(NOT(ISBLANK(H218))),SUM(H218:H$373),SUM(G218:G$373))</f>
        <v>0</v>
      </c>
      <c r="AX218" t="b">
        <f ca="1">INDIRECT(ADDRESS(ROW(),COLUMN(xDay)))&gt;5</f>
        <v>0</v>
      </c>
      <c r="AY218" s="600">
        <f>IF(OR(R218&lt;&gt;0,F218&lt;&gt;0),AA218,IF(Z218="",0,-Z218))+(IF(AG218="+",AF218,-AF218))</f>
        <v>-0.29166666666666669</v>
      </c>
      <c r="AZ218" s="225">
        <f>SUM(AY$5:AY218)</f>
        <v>-42.291666666666636</v>
      </c>
      <c r="BA218" s="658"/>
      <c r="BB218" s="658">
        <f>IF(ISNA(MATCH(BA218,B_Arbeitsort,0)),0,MATCH(BA218,B_Arbeitsort,0))</f>
        <v>0</v>
      </c>
      <c r="BC218" s="658"/>
    </row>
    <row r="219" spans="1:55" ht="15.75">
      <c r="A219" s="305">
        <f>IF(A218="","",IF((A218+1)&gt;=DATE(YEAR(xJahr)+1,MONTH(xJahr),DAY(xJahr)),"",A218+1))</f>
        <v>43678</v>
      </c>
      <c r="B219" s="306">
        <f>IF(A219="","",A219)</f>
        <v>43678</v>
      </c>
      <c r="C219" s="307">
        <f>IF(A219="","",NumberOfWeek(A219))</f>
        <v>31</v>
      </c>
      <c r="D219" s="308">
        <f>IF(A219="","",DATE(YEAR(A219),MONTH(A219),1))</f>
        <v>43677</v>
      </c>
      <c r="E219" s="318" t="str">
        <f>IF((R219-U219)&gt;XWorkTimeMax,$Z$4,IF(AV219=Feiertag,VLOOKUP(B219,db_Feiertag,2,FALSE),""))</f>
        <v/>
      </c>
      <c r="F219" s="5"/>
      <c r="G219" s="6" t="str">
        <f>IF(ISBLANK(F219),IF(ISBLANK(H219),"",0),CODE(UPPER(F219)))</f>
        <v/>
      </c>
      <c r="H219" s="7"/>
      <c r="I219" s="7">
        <f>IF(H219&gt;0,H219+Y219+X219+AC219,0)</f>
        <v>0</v>
      </c>
      <c r="J219" s="113">
        <f>IF(K219&gt;I219,IF(I219&lt;H219,I219+1,I219)-B_WalkTime,IF(I219&lt;H219,I219+1,I219))</f>
        <v>0</v>
      </c>
      <c r="K219" s="7"/>
      <c r="L219" s="7">
        <f>IF(K219&gt;0,K219+IF((J219-H219)&lt;Y219,Y219-(J219-H219),TIME(0,10,0))+IF((K219-J219)&gt;xNoWorkTime,0,xNoWorkTime-(K219-J219)),0)</f>
        <v>0</v>
      </c>
      <c r="M219" s="113">
        <f>IF(L219&lt;K219,L219+1,L219)</f>
        <v>0</v>
      </c>
      <c r="N219" s="113"/>
      <c r="O219" s="113">
        <f>IF(N219&gt;0,N219+IF((J219-H219+M219-K219)&lt;Y219,Y219-(J219-H219+M219-K219),TIME(0,10,0))+IF((K219-J219+N219-M219)&gt;xNoWorkTime,0,xNoWorkTime-(K219-J219+N219-M219)),0)</f>
        <v>0</v>
      </c>
      <c r="P219" s="113"/>
      <c r="Q219" s="113">
        <f>IF(O219&lt;N219,O219+1,O219)</f>
        <v>0</v>
      </c>
      <c r="R219" s="113">
        <f>J219-H219+M219-K219+Q219-N219</f>
        <v>0</v>
      </c>
      <c r="S219" s="113">
        <f>IF(K219&gt;0,K219-I219,0)+IF(N219&gt;0,N219-L219)</f>
        <v>0</v>
      </c>
      <c r="T219" s="113">
        <f>IF(H219&gt;0,(IF(R219&gt;B_Pause1Nach,B_Pause1Dauer+IF(BA219="Büro",B_WalkTime,0),IF(BA219="Büro",B_WalkTime,0))+IF(R219&gt;B_Pause2Nach,B_Pause2Dauer,0)),0)</f>
        <v>0</v>
      </c>
      <c r="U219" s="113">
        <f>IF(T219&gt;S219,T219-S219,0)</f>
        <v>0</v>
      </c>
      <c r="V219" s="146">
        <f>IF(F219="S",Z219,(IF((R219-U219)&gt;XWorkTimeMax,XWorkTimeMax,IF((R219-U219)&gt;0,R219-U219,0))))</f>
        <v>0</v>
      </c>
      <c r="W219" s="66"/>
      <c r="X219" s="115">
        <f>xNoWorkTime</f>
        <v>4.027777777777778E-2</v>
      </c>
      <c r="Y219" s="110">
        <f>IF(AND((AM219&lt;Feiertag),(G219&lt;&gt;85)),IF(OR(F219="B",F219="G",F219="S",H219&gt;0),H219-H219+Z219,0),0)</f>
        <v>0</v>
      </c>
      <c r="Z219" s="111">
        <f>IF(AND(AM219&gt;0,AM219&lt;Feiertag),INDEX(Arbeitszeit,AM219),"")</f>
        <v>0.29166666666666669</v>
      </c>
      <c r="AA219" s="112">
        <f>V219-Y219</f>
        <v>0</v>
      </c>
      <c r="AB219" s="67" t="str">
        <f>IF((V219-Y219)&lt;0,"*","")</f>
        <v/>
      </c>
      <c r="AC219" s="193">
        <f>xOverTime</f>
        <v>0</v>
      </c>
      <c r="AD219" s="144" t="str">
        <f>IF((R219-U219)&gt;XWorkTimeMax,(R219-U219-XWorkTimeMax),"")</f>
        <v/>
      </c>
      <c r="AE219" s="225">
        <f>IF(AW219,(AE218+SUM(AA219)+(IF(AG219="+",AF219,-AF219))),)</f>
        <v>0</v>
      </c>
      <c r="AF219" s="110"/>
      <c r="AG219" s="627"/>
      <c r="AH219" s="110"/>
      <c r="AI219" s="110" t="str">
        <f>IF(AND(AF219&lt;&gt;"",AF219&lt;=V219),V219-AF219,"")</f>
        <v/>
      </c>
      <c r="AJ219" s="68">
        <f>IF(ISNUMBER(V219 ), IF( V219 &gt;= Y219, Y219, V219 ),"")</f>
        <v>0</v>
      </c>
      <c r="AK219" s="68">
        <f>IF( ISNUMBER( V219 ), IF( V219 &gt;= Y219, V219 - Y219, "" ), "" )</f>
        <v>0</v>
      </c>
      <c r="AL219" s="68" t="str">
        <f>IF( AND(ISNUMBER( V219 ),ISNUMBER( Y219 )), IF( V219 &gt;= Y219, "", Y219 - V219 ), "" )</f>
        <v/>
      </c>
      <c r="AM219">
        <f>IF(A219="",0,IF(ISERROR(VLOOKUP(A219,db_Feiertag,2,FALSE)),WEEKDAY(A219,2),Feiertag))</f>
        <v>3</v>
      </c>
      <c r="AN219" s="122">
        <f>SUM($AD$6:AD219)</f>
        <v>0</v>
      </c>
      <c r="AO219" s="122">
        <f ca="1">IF(D219=D218,AO218,OFFSET(AO219,-1,COLUMN(db_jSaldoGes)-COLUMN()))</f>
        <v>0</v>
      </c>
      <c r="AP219" s="126">
        <f>IF(OR($G219=-1,$G219=82),-1,IF(OR($G219=0,$G219=83),1,0))</f>
        <v>0</v>
      </c>
      <c r="AQ219" s="126">
        <f>IF($F219=Krank,1,IF($F219="J",-1,0))</f>
        <v>0</v>
      </c>
      <c r="AR219" s="126">
        <f>IF($F219=Urlaub,1,IF($F219="T",-1,0))</f>
        <v>0</v>
      </c>
      <c r="AS219" s="125">
        <f>IF(A219="","",AS218-IF(F219=Urlaub,1,0)+IF(AND(MONTH(A219)=1,DAY(A219)=1),B_UrlaubNeu,0))</f>
        <v>30</v>
      </c>
      <c r="AT219" s="125">
        <f ca="1">IF(A219="","",IF(D219=D218,AT218,OFFSET(AT219,-1,COLUMN(db_jUrlRest)-COLUMN()))+IF(AND(MONTH(A219)=1,DAY(A219)=1),B_UrlaubNeu,0))</f>
        <v>30</v>
      </c>
      <c r="AU219" s="135">
        <f>(IF(ISNUMBER(V219),V219,0)+IF(ISNUMBER(AD219),AD219,0))*24</f>
        <v>0</v>
      </c>
      <c r="AV219" s="125">
        <f>IF(ISNUMBER(AD219),K_ArbeitOverMax,IF(AND(ISNUMBER(AA219),AA219&gt;0),K_ArbeitOverTime,IF(AND(ISNUMBER(V219),V219&gt;0),K_ArbeitNormal,IF(F219=Krank,K_Krank,IF(F219=Urlaub,K_Urlaub,IF(AM219=Feiertag,K_Feiertag,IF(OR(AM219=6,AM219=7),K_Wochenende,0)))))))+IF(F219=Gleittag,K_Gleittag,0)</f>
        <v>0</v>
      </c>
      <c r="AW219" t="b">
        <f>OR((F219&gt;0),(NOT(ISBLANK(H219))),SUM(H219:H$373),SUM(G219:G$373))</f>
        <v>0</v>
      </c>
      <c r="AX219" t="b">
        <f ca="1">INDIRECT(ADDRESS(ROW(),COLUMN(xDay)))&gt;5</f>
        <v>0</v>
      </c>
      <c r="AY219" s="600">
        <f>IF(OR(R219&lt;&gt;0,F219&lt;&gt;0),AA219,IF(Z219="",0,-Z219))+(IF(AG219="+",AF219,-AF219))</f>
        <v>-0.29166666666666669</v>
      </c>
      <c r="AZ219" s="225">
        <f>SUM(AY$5:AY219)</f>
        <v>-42.5833333333333</v>
      </c>
      <c r="BA219" s="658"/>
      <c r="BB219" s="658">
        <f>IF(ISNA(MATCH(BA219,B_Arbeitsort,0)),0,MATCH(BA219,B_Arbeitsort,0))</f>
        <v>0</v>
      </c>
      <c r="BC219" s="658"/>
    </row>
    <row r="220" spans="1:55" ht="15.75">
      <c r="A220" s="305">
        <f>IF(A219="","",IF((A219+1)&gt;=DATE(YEAR(xJahr)+1,MONTH(xJahr),DAY(xJahr)),"",A219+1))</f>
        <v>43679</v>
      </c>
      <c r="B220" s="306">
        <f>IF(A220="","",A220)</f>
        <v>43679</v>
      </c>
      <c r="C220" s="307">
        <f>IF(A220="","",NumberOfWeek(A220))</f>
        <v>31</v>
      </c>
      <c r="D220" s="308">
        <f>IF(A220="","",DATE(YEAR(A220),MONTH(A220),1))</f>
        <v>43677</v>
      </c>
      <c r="E220" s="318" t="str">
        <f>IF((R220-U220)&gt;XWorkTimeMax,$Z$4,IF(AV220=Feiertag,VLOOKUP(B220,db_Feiertag,2,FALSE),""))</f>
        <v/>
      </c>
      <c r="F220" s="5"/>
      <c r="G220" s="6" t="str">
        <f>IF(ISBLANK(F220),IF(ISBLANK(H220),"",0),CODE(UPPER(F220)))</f>
        <v/>
      </c>
      <c r="H220" s="7"/>
      <c r="I220" s="7">
        <f>IF(H220&gt;0,H220+Y220+X220+AC220,0)</f>
        <v>0</v>
      </c>
      <c r="J220" s="113">
        <f>IF(K220&gt;I220,IF(I220&lt;H220,I220+1,I220)-B_WalkTime,IF(I220&lt;H220,I220+1,I220))</f>
        <v>0</v>
      </c>
      <c r="K220" s="7"/>
      <c r="L220" s="7">
        <f>IF(K220&gt;0,K220+IF((J220-H220)&lt;Y220,Y220-(J220-H220),TIME(0,10,0))+IF((K220-J220)&gt;xNoWorkTime,0,xNoWorkTime-(K220-J220)),0)</f>
        <v>0</v>
      </c>
      <c r="M220" s="113">
        <f>IF(L220&lt;K220,L220+1,L220)</f>
        <v>0</v>
      </c>
      <c r="N220" s="113"/>
      <c r="O220" s="113">
        <f>IF(N220&gt;0,N220+IF((J220-H220+M220-K220)&lt;Y220,Y220-(J220-H220+M220-K220),TIME(0,10,0))+IF((K220-J220+N220-M220)&gt;xNoWorkTime,0,xNoWorkTime-(K220-J220+N220-M220)),0)</f>
        <v>0</v>
      </c>
      <c r="P220" s="113"/>
      <c r="Q220" s="113">
        <f>IF(O220&lt;N220,O220+1,O220)</f>
        <v>0</v>
      </c>
      <c r="R220" s="113">
        <f>J220-H220+M220-K220+Q220-N220</f>
        <v>0</v>
      </c>
      <c r="S220" s="113">
        <f>IF(K220&gt;0,K220-I220,0)+IF(N220&gt;0,N220-L220)</f>
        <v>0</v>
      </c>
      <c r="T220" s="113">
        <f>IF(H220&gt;0,(IF(R220&gt;B_Pause1Nach,B_Pause1Dauer+IF(BA220="Büro",B_WalkTime,0),IF(BA220="Büro",B_WalkTime,0))+IF(R220&gt;B_Pause2Nach,B_Pause2Dauer,0)),0)</f>
        <v>0</v>
      </c>
      <c r="U220" s="113">
        <f>IF(T220&gt;S220,T220-S220,0)</f>
        <v>0</v>
      </c>
      <c r="V220" s="146">
        <f>IF(F220="S",Z220,(IF((R220-U220)&gt;XWorkTimeMax,XWorkTimeMax,IF((R220-U220)&gt;0,R220-U220,0))))</f>
        <v>0</v>
      </c>
      <c r="W220" s="66"/>
      <c r="X220" s="115">
        <f>xNoWorkTime</f>
        <v>4.027777777777778E-2</v>
      </c>
      <c r="Y220" s="110">
        <f>IF(AND((AM220&lt;Feiertag),(G220&lt;&gt;85)),IF(OR(F220="B",F220="G",F220="S",H220&gt;0),H220-H220+Z220,0),0)</f>
        <v>0</v>
      </c>
      <c r="Z220" s="111">
        <f>IF(AND(AM220&gt;0,AM220&lt;Feiertag),INDEX(Arbeitszeit,AM220),"")</f>
        <v>0.29166666666666669</v>
      </c>
      <c r="AA220" s="112">
        <f>V220-Y220</f>
        <v>0</v>
      </c>
      <c r="AB220" s="67" t="str">
        <f>IF((V220-Y220)&lt;0,"*","")</f>
        <v/>
      </c>
      <c r="AC220" s="193">
        <f>xOverTime</f>
        <v>0</v>
      </c>
      <c r="AD220" s="144" t="str">
        <f>IF((R220-U220)&gt;XWorkTimeMax,(R220-U220-XWorkTimeMax),"")</f>
        <v/>
      </c>
      <c r="AE220" s="225">
        <f>IF(AW220,(AE219+SUM(AA220)+(IF(AG220="+",AF220,-AF220))),)</f>
        <v>0</v>
      </c>
      <c r="AF220" s="110"/>
      <c r="AG220" s="627"/>
      <c r="AH220" s="110"/>
      <c r="AI220" s="110" t="str">
        <f>IF(AND(AF220&lt;&gt;"",AF220&lt;=V220),V220-AF220,"")</f>
        <v/>
      </c>
      <c r="AJ220" s="68">
        <f>IF(ISNUMBER(V220 ), IF( V220 &gt;= Y220, Y220, V220 ),"")</f>
        <v>0</v>
      </c>
      <c r="AK220" s="68">
        <f>IF( ISNUMBER( V220 ), IF( V220 &gt;= Y220, V220 - Y220, "" ), "" )</f>
        <v>0</v>
      </c>
      <c r="AL220" s="68" t="str">
        <f>IF( AND(ISNUMBER( V220 ),ISNUMBER( Y220 )), IF( V220 &gt;= Y220, "", Y220 - V220 ), "" )</f>
        <v/>
      </c>
      <c r="AM220">
        <f>IF(A220="",0,IF(ISERROR(VLOOKUP(A220,db_Feiertag,2,FALSE)),WEEKDAY(A220,2),Feiertag))</f>
        <v>4</v>
      </c>
      <c r="AN220" s="122">
        <f>SUM($AD$6:AD220)</f>
        <v>0</v>
      </c>
      <c r="AO220" s="122">
        <f ca="1">IF(D220=D219,AO219,OFFSET(AO220,-1,COLUMN(db_jSaldoGes)-COLUMN()))</f>
        <v>0</v>
      </c>
      <c r="AP220" s="126">
        <f>IF(OR($G220=-1,$G220=82),-1,IF(OR($G220=0,$G220=83),1,0))</f>
        <v>0</v>
      </c>
      <c r="AQ220" s="126">
        <f>IF($F220=Krank,1,IF($F220="J",-1,0))</f>
        <v>0</v>
      </c>
      <c r="AR220" s="126">
        <f>IF($F220=Urlaub,1,IF($F220="T",-1,0))</f>
        <v>0</v>
      </c>
      <c r="AS220" s="125">
        <f>IF(A220="","",AS219-IF(F220=Urlaub,1,0)+IF(AND(MONTH(A220)=1,DAY(A220)=1),B_UrlaubNeu,0))</f>
        <v>30</v>
      </c>
      <c r="AT220" s="125">
        <f ca="1">IF(A220="","",IF(D220=D219,AT219,OFFSET(AT220,-1,COLUMN(db_jUrlRest)-COLUMN()))+IF(AND(MONTH(A220)=1,DAY(A220)=1),B_UrlaubNeu,0))</f>
        <v>30</v>
      </c>
      <c r="AU220" s="135">
        <f>(IF(ISNUMBER(V220),V220,0)+IF(ISNUMBER(AD220),AD220,0))*24</f>
        <v>0</v>
      </c>
      <c r="AV220" s="125">
        <f>IF(ISNUMBER(AD220),K_ArbeitOverMax,IF(AND(ISNUMBER(AA220),AA220&gt;0),K_ArbeitOverTime,IF(AND(ISNUMBER(V220),V220&gt;0),K_ArbeitNormal,IF(F220=Krank,K_Krank,IF(F220=Urlaub,K_Urlaub,IF(AM220=Feiertag,K_Feiertag,IF(OR(AM220=6,AM220=7),K_Wochenende,0)))))))+IF(F220=Gleittag,K_Gleittag,0)</f>
        <v>0</v>
      </c>
      <c r="AW220" t="b">
        <f>OR((F220&gt;0),(NOT(ISBLANK(H220))),SUM(H220:H$373),SUM(G220:G$373))</f>
        <v>0</v>
      </c>
      <c r="AX220" t="b">
        <f ca="1">INDIRECT(ADDRESS(ROW(),COLUMN(xDay)))&gt;5</f>
        <v>0</v>
      </c>
      <c r="AY220" s="600">
        <f>IF(OR(R220&lt;&gt;0,F220&lt;&gt;0),AA220,IF(Z220="",0,-Z220))+(IF(AG220="+",AF220,-AF220))</f>
        <v>-0.29166666666666669</v>
      </c>
      <c r="AZ220" s="225">
        <f>SUM(AY$5:AY220)</f>
        <v>-42.874999999999964</v>
      </c>
      <c r="BA220" s="658"/>
      <c r="BB220" s="658">
        <f>IF(ISNA(MATCH(BA220,B_Arbeitsort,0)),0,MATCH(BA220,B_Arbeitsort,0))</f>
        <v>0</v>
      </c>
      <c r="BC220" s="658"/>
    </row>
    <row r="221" spans="1:55" ht="15.75">
      <c r="A221" s="305">
        <f>IF(A220="","",IF((A220+1)&gt;=DATE(YEAR(xJahr)+1,MONTH(xJahr),DAY(xJahr)),"",A220+1))</f>
        <v>43680</v>
      </c>
      <c r="B221" s="306">
        <f>IF(A221="","",A221)</f>
        <v>43680</v>
      </c>
      <c r="C221" s="307">
        <f>IF(A221="","",NumberOfWeek(A221))</f>
        <v>31</v>
      </c>
      <c r="D221" s="308">
        <f>IF(A221="","",DATE(YEAR(A221),MONTH(A221),1))</f>
        <v>43677</v>
      </c>
      <c r="E221" s="318" t="str">
        <f>IF((R221-U221)&gt;XWorkTimeMax,$Z$4,IF(AV221=Feiertag,VLOOKUP(B221,db_Feiertag,2,FALSE),""))</f>
        <v/>
      </c>
      <c r="F221" s="5"/>
      <c r="G221" s="6" t="str">
        <f>IF(ISBLANK(F221),IF(ISBLANK(H221),"",0),CODE(UPPER(F221)))</f>
        <v/>
      </c>
      <c r="H221" s="7"/>
      <c r="I221" s="7">
        <f>IF(H221&gt;0,H221+Y221+X221+AC221,0)</f>
        <v>0</v>
      </c>
      <c r="J221" s="113">
        <f>IF(K221&gt;I221,IF(I221&lt;H221,I221+1,I221)-B_WalkTime,IF(I221&lt;H221,I221+1,I221))</f>
        <v>0</v>
      </c>
      <c r="K221" s="7"/>
      <c r="L221" s="7">
        <f>IF(K221&gt;0,K221+IF((J221-H221)&lt;Y221,Y221-(J221-H221),TIME(0,10,0))+IF((K221-J221)&gt;xNoWorkTime,0,xNoWorkTime-(K221-J221)),0)</f>
        <v>0</v>
      </c>
      <c r="M221" s="113">
        <f>IF(L221&lt;K221,L221+1,L221)</f>
        <v>0</v>
      </c>
      <c r="N221" s="113"/>
      <c r="O221" s="113">
        <f>IF(N221&gt;0,N221+IF((J221-H221+M221-K221)&lt;Y221,Y221-(J221-H221+M221-K221),TIME(0,10,0))+IF((K221-J221+N221-M221)&gt;xNoWorkTime,0,xNoWorkTime-(K221-J221+N221-M221)),0)</f>
        <v>0</v>
      </c>
      <c r="P221" s="113"/>
      <c r="Q221" s="113">
        <f>IF(O221&lt;N221,O221+1,O221)</f>
        <v>0</v>
      </c>
      <c r="R221" s="113">
        <f>J221-H221+M221-K221+Q221-N221</f>
        <v>0</v>
      </c>
      <c r="S221" s="113">
        <f>IF(K221&gt;0,K221-I221,0)+IF(N221&gt;0,N221-L221)</f>
        <v>0</v>
      </c>
      <c r="T221" s="113">
        <f>IF(H221&gt;0,(IF(R221&gt;B_Pause1Nach,B_Pause1Dauer+IF(BA221="Büro",B_WalkTime,0),IF(BA221="Büro",B_WalkTime,0))+IF(R221&gt;B_Pause2Nach,B_Pause2Dauer,0)),0)</f>
        <v>0</v>
      </c>
      <c r="U221" s="113">
        <f>IF(T221&gt;S221,T221-S221,0)</f>
        <v>0</v>
      </c>
      <c r="V221" s="146">
        <f>IF(F221="S",Z221,(IF((R221-U221)&gt;XWorkTimeMax,XWorkTimeMax,IF((R221-U221)&gt;0,R221-U221,0))))</f>
        <v>0</v>
      </c>
      <c r="W221" s="66"/>
      <c r="X221" s="115">
        <f>xNoWorkTime</f>
        <v>4.027777777777778E-2</v>
      </c>
      <c r="Y221" s="110">
        <f>IF(AND((AM221&lt;Feiertag),(G221&lt;&gt;85)),IF(OR(F221="B",F221="G",F221="S",H221&gt;0),H221-H221+Z221,0),0)</f>
        <v>0</v>
      </c>
      <c r="Z221" s="111">
        <f>IF(AND(AM221&gt;0,AM221&lt;Feiertag),INDEX(Arbeitszeit,AM221),"")</f>
        <v>0.29166666666666669</v>
      </c>
      <c r="AA221" s="112">
        <f>V221-Y221</f>
        <v>0</v>
      </c>
      <c r="AB221" s="67" t="str">
        <f>IF((V221-Y221)&lt;0,"*","")</f>
        <v/>
      </c>
      <c r="AC221" s="193">
        <f>xOverTime</f>
        <v>0</v>
      </c>
      <c r="AD221" s="144" t="str">
        <f>IF((R221-U221)&gt;XWorkTimeMax,(R221-U221-XWorkTimeMax),"")</f>
        <v/>
      </c>
      <c r="AE221" s="225">
        <f>IF(AW221,(AE220+SUM(AA221)+(IF(AG221="+",AF221,-AF221))),)</f>
        <v>0</v>
      </c>
      <c r="AF221" s="110"/>
      <c r="AG221" s="627"/>
      <c r="AH221" s="110"/>
      <c r="AI221" s="110" t="str">
        <f>IF(AND(AF221&lt;&gt;"",AF221&lt;=V221),V221-AF221,"")</f>
        <v/>
      </c>
      <c r="AJ221" s="68">
        <f>IF(ISNUMBER(V221 ), IF( V221 &gt;= Y221, Y221, V221 ),"")</f>
        <v>0</v>
      </c>
      <c r="AK221" s="68">
        <f>IF( ISNUMBER( V221 ), IF( V221 &gt;= Y221, V221 - Y221, "" ), "" )</f>
        <v>0</v>
      </c>
      <c r="AL221" s="68" t="str">
        <f>IF( AND(ISNUMBER( V221 ),ISNUMBER( Y221 )), IF( V221 &gt;= Y221, "", Y221 - V221 ), "" )</f>
        <v/>
      </c>
      <c r="AM221">
        <f>IF(A221="",0,IF(ISERROR(VLOOKUP(A221,db_Feiertag,2,FALSE)),WEEKDAY(A221,2),Feiertag))</f>
        <v>5</v>
      </c>
      <c r="AN221" s="122">
        <f>SUM($AD$6:AD221)</f>
        <v>0</v>
      </c>
      <c r="AO221" s="122">
        <f ca="1">IF(D221=D220,AO220,OFFSET(AO221,-1,COLUMN(db_jSaldoGes)-COLUMN()))</f>
        <v>0</v>
      </c>
      <c r="AP221" s="126">
        <f>IF(OR($G221=-1,$G221=82),-1,IF(OR($G221=0,$G221=83),1,0))</f>
        <v>0</v>
      </c>
      <c r="AQ221" s="126">
        <f>IF($F221=Krank,1,IF($F221="J",-1,0))</f>
        <v>0</v>
      </c>
      <c r="AR221" s="126">
        <f>IF($F221=Urlaub,1,IF($F221="T",-1,0))</f>
        <v>0</v>
      </c>
      <c r="AS221" s="125">
        <f>IF(A221="","",AS220-IF(F221=Urlaub,1,0)+IF(AND(MONTH(A221)=1,DAY(A221)=1),B_UrlaubNeu,0))</f>
        <v>30</v>
      </c>
      <c r="AT221" s="125">
        <f ca="1">IF(A221="","",IF(D221=D220,AT220,OFFSET(AT221,-1,COLUMN(db_jUrlRest)-COLUMN()))+IF(AND(MONTH(A221)=1,DAY(A221)=1),B_UrlaubNeu,0))</f>
        <v>30</v>
      </c>
      <c r="AU221" s="135">
        <f>(IF(ISNUMBER(V221),V221,0)+IF(ISNUMBER(AD221),AD221,0))*24</f>
        <v>0</v>
      </c>
      <c r="AV221" s="125">
        <f>IF(ISNUMBER(AD221),K_ArbeitOverMax,IF(AND(ISNUMBER(AA221),AA221&gt;0),K_ArbeitOverTime,IF(AND(ISNUMBER(V221),V221&gt;0),K_ArbeitNormal,IF(F221=Krank,K_Krank,IF(F221=Urlaub,K_Urlaub,IF(AM221=Feiertag,K_Feiertag,IF(OR(AM221=6,AM221=7),K_Wochenende,0)))))))+IF(F221=Gleittag,K_Gleittag,0)</f>
        <v>0</v>
      </c>
      <c r="AW221" t="b">
        <f>OR((F221&gt;0),(NOT(ISBLANK(H221))),SUM(H221:H$373),SUM(G221:G$373))</f>
        <v>0</v>
      </c>
      <c r="AX221" t="b">
        <f ca="1">INDIRECT(ADDRESS(ROW(),COLUMN(xDay)))&gt;5</f>
        <v>0</v>
      </c>
      <c r="AY221" s="600">
        <f>IF(OR(R221&lt;&gt;0,F221&lt;&gt;0),AA221,IF(Z221="",0,-Z221))+(IF(AG221="+",AF221,-AF221))</f>
        <v>-0.29166666666666669</v>
      </c>
      <c r="AZ221" s="225">
        <f>SUM(AY$5:AY221)</f>
        <v>-43.166666666666629</v>
      </c>
      <c r="BA221" s="658"/>
      <c r="BB221" s="658">
        <f>IF(ISNA(MATCH(BA221,B_Arbeitsort,0)),0,MATCH(BA221,B_Arbeitsort,0))</f>
        <v>0</v>
      </c>
      <c r="BC221" s="658"/>
    </row>
    <row r="222" spans="1:55" ht="15.75">
      <c r="A222" s="305">
        <f>IF(A221="","",IF((A221+1)&gt;=DATE(YEAR(xJahr)+1,MONTH(xJahr),DAY(xJahr)),"",A221+1))</f>
        <v>43681</v>
      </c>
      <c r="B222" s="306">
        <f>IF(A222="","",A222)</f>
        <v>43681</v>
      </c>
      <c r="C222" s="307">
        <f>IF(A222="","",NumberOfWeek(A222))</f>
        <v>31</v>
      </c>
      <c r="D222" s="308">
        <f>IF(A222="","",DATE(YEAR(A222),MONTH(A222),1))</f>
        <v>43677</v>
      </c>
      <c r="E222" s="318" t="str">
        <f>IF((R222-U222)&gt;XWorkTimeMax,$Z$4,IF(AV222=Feiertag,VLOOKUP(B222,db_Feiertag,2,FALSE),""))</f>
        <v/>
      </c>
      <c r="F222" s="5"/>
      <c r="G222" s="6" t="str">
        <f>IF(ISBLANK(F222),IF(ISBLANK(H222),"",0),CODE(UPPER(F222)))</f>
        <v/>
      </c>
      <c r="H222" s="7"/>
      <c r="I222" s="7">
        <f>IF(H222&gt;0,H222+Y222+X222+AC222,0)</f>
        <v>0</v>
      </c>
      <c r="J222" s="113">
        <f>IF(K222&gt;I222,IF(I222&lt;H222,I222+1,I222)-B_WalkTime,IF(I222&lt;H222,I222+1,I222))</f>
        <v>0</v>
      </c>
      <c r="K222" s="7"/>
      <c r="L222" s="7">
        <f>IF(K222&gt;0,K222+IF((J222-H222)&lt;Y222,Y222-(J222-H222),TIME(0,10,0))+IF((K222-J222)&gt;xNoWorkTime,0,xNoWorkTime-(K222-J222)),0)</f>
        <v>0</v>
      </c>
      <c r="M222" s="113">
        <f>IF(L222&lt;K222,L222+1,L222)</f>
        <v>0</v>
      </c>
      <c r="N222" s="113"/>
      <c r="O222" s="113">
        <f>IF(N222&gt;0,N222+IF((J222-H222+M222-K222)&lt;Y222,Y222-(J222-H222+M222-K222),TIME(0,10,0))+IF((K222-J222+N222-M222)&gt;xNoWorkTime,0,xNoWorkTime-(K222-J222+N222-M222)),0)</f>
        <v>0</v>
      </c>
      <c r="P222" s="113"/>
      <c r="Q222" s="113">
        <f>IF(O222&lt;N222,O222+1,O222)</f>
        <v>0</v>
      </c>
      <c r="R222" s="113">
        <f>J222-H222+M222-K222+Q222-N222</f>
        <v>0</v>
      </c>
      <c r="S222" s="113">
        <f>IF(K222&gt;0,K222-I222,0)+IF(N222&gt;0,N222-L222)</f>
        <v>0</v>
      </c>
      <c r="T222" s="113">
        <f>IF(H222&gt;0,(IF(R222&gt;B_Pause1Nach,B_Pause1Dauer+IF(BA222="Büro",B_WalkTime,0),IF(BA222="Büro",B_WalkTime,0))+IF(R222&gt;B_Pause2Nach,B_Pause2Dauer,0)),0)</f>
        <v>0</v>
      </c>
      <c r="U222" s="113">
        <f>IF(T222&gt;S222,T222-S222,0)</f>
        <v>0</v>
      </c>
      <c r="V222" s="146">
        <f>IF(F222="S",Z222,(IF((R222-U222)&gt;XWorkTimeMax,XWorkTimeMax,IF((R222-U222)&gt;0,R222-U222,0))))</f>
        <v>0</v>
      </c>
      <c r="W222" s="66"/>
      <c r="X222" s="115">
        <f>xNoWorkTime</f>
        <v>4.027777777777778E-2</v>
      </c>
      <c r="Y222" s="110">
        <f>IF(AND((AM222&lt;Feiertag),(G222&lt;&gt;85)),IF(OR(F222="B",F222="G",F222="S",H222&gt;0),H222-H222+Z222,0),0)</f>
        <v>0</v>
      </c>
      <c r="Z222" s="111">
        <f>IF(AND(AM222&gt;0,AM222&lt;Feiertag),INDEX(Arbeitszeit,AM222),"")</f>
        <v>0</v>
      </c>
      <c r="AA222" s="112">
        <f>V222-Y222</f>
        <v>0</v>
      </c>
      <c r="AB222" s="67" t="str">
        <f>IF((V222-Y222)&lt;0,"*","")</f>
        <v/>
      </c>
      <c r="AC222" s="193">
        <f>xOverTime</f>
        <v>0</v>
      </c>
      <c r="AD222" s="144" t="str">
        <f>IF((R222-U222)&gt;XWorkTimeMax,(R222-U222-XWorkTimeMax),"")</f>
        <v/>
      </c>
      <c r="AE222" s="225">
        <f>IF(AW222,(AE221+SUM(AA222)+(IF(AG222="+",AF222,-AF222))),)</f>
        <v>0</v>
      </c>
      <c r="AF222" s="110"/>
      <c r="AG222" s="627"/>
      <c r="AH222" s="110"/>
      <c r="AI222" s="110" t="str">
        <f>IF(AND(AF222&lt;&gt;"",AF222&lt;=V222),V222-AF222,"")</f>
        <v/>
      </c>
      <c r="AJ222" s="68">
        <f>IF(ISNUMBER(V222 ), IF( V222 &gt;= Y222, Y222, V222 ),"")</f>
        <v>0</v>
      </c>
      <c r="AK222" s="68">
        <f>IF( ISNUMBER( V222 ), IF( V222 &gt;= Y222, V222 - Y222, "" ), "" )</f>
        <v>0</v>
      </c>
      <c r="AL222" s="68" t="str">
        <f>IF( AND(ISNUMBER( V222 ),ISNUMBER( Y222 )), IF( V222 &gt;= Y222, "", Y222 - V222 ), "" )</f>
        <v/>
      </c>
      <c r="AM222">
        <f>IF(A222="",0,IF(ISERROR(VLOOKUP(A222,db_Feiertag,2,FALSE)),WEEKDAY(A222,2),Feiertag))</f>
        <v>6</v>
      </c>
      <c r="AN222" s="122">
        <f>SUM($AD$6:AD222)</f>
        <v>0</v>
      </c>
      <c r="AO222" s="122">
        <f ca="1">IF(D222=D221,AO221,OFFSET(AO222,-1,COLUMN(db_jSaldoGes)-COLUMN()))</f>
        <v>0</v>
      </c>
      <c r="AP222" s="126">
        <f>IF(OR($G222=-1,$G222=82),-1,IF(OR($G222=0,$G222=83),1,0))</f>
        <v>0</v>
      </c>
      <c r="AQ222" s="126">
        <f>IF($F222=Krank,1,IF($F222="J",-1,0))</f>
        <v>0</v>
      </c>
      <c r="AR222" s="126">
        <f>IF($F222=Urlaub,1,IF($F222="T",-1,0))</f>
        <v>0</v>
      </c>
      <c r="AS222" s="125">
        <f>IF(A222="","",AS221-IF(F222=Urlaub,1,0)+IF(AND(MONTH(A222)=1,DAY(A222)=1),B_UrlaubNeu,0))</f>
        <v>30</v>
      </c>
      <c r="AT222" s="125">
        <f ca="1">IF(A222="","",IF(D222=D221,AT221,OFFSET(AT222,-1,COLUMN(db_jUrlRest)-COLUMN()))+IF(AND(MONTH(A222)=1,DAY(A222)=1),B_UrlaubNeu,0))</f>
        <v>30</v>
      </c>
      <c r="AU222" s="135">
        <f>(IF(ISNUMBER(V222),V222,0)+IF(ISNUMBER(AD222),AD222,0))*24</f>
        <v>0</v>
      </c>
      <c r="AV222" s="125">
        <f>IF(ISNUMBER(AD222),K_ArbeitOverMax,IF(AND(ISNUMBER(AA222),AA222&gt;0),K_ArbeitOverTime,IF(AND(ISNUMBER(V222),V222&gt;0),K_ArbeitNormal,IF(F222=Krank,K_Krank,IF(F222=Urlaub,K_Urlaub,IF(AM222=Feiertag,K_Feiertag,IF(OR(AM222=6,AM222=7),K_Wochenende,0)))))))+IF(F222=Gleittag,K_Gleittag,0)</f>
        <v>7</v>
      </c>
      <c r="AW222" t="b">
        <f>OR((F222&gt;0),(NOT(ISBLANK(H222))),SUM(H222:H$373),SUM(G222:G$373))</f>
        <v>0</v>
      </c>
      <c r="AX222" t="b">
        <f ca="1">INDIRECT(ADDRESS(ROW(),COLUMN(xDay)))&gt;5</f>
        <v>1</v>
      </c>
      <c r="AY222" s="600">
        <f>IF(OR(R222&lt;&gt;0,F222&lt;&gt;0),AA222,IF(Z222="",0,-Z222))+(IF(AG222="+",AF222,-AF222))</f>
        <v>0</v>
      </c>
      <c r="AZ222" s="225">
        <f>SUM(AY$5:AY222)</f>
        <v>-43.166666666666629</v>
      </c>
      <c r="BA222" s="643"/>
      <c r="BB222" s="658">
        <f>IF(ISNA(MATCH(BA222,B_Arbeitsort,0)),0,MATCH(BA222,B_Arbeitsort,0))</f>
        <v>0</v>
      </c>
      <c r="BC222" s="643"/>
    </row>
    <row r="223" spans="1:55" ht="15.75">
      <c r="A223" s="305">
        <f>IF(A222="","",IF((A222+1)&gt;=DATE(YEAR(xJahr)+1,MONTH(xJahr),DAY(xJahr)),"",A222+1))</f>
        <v>43682</v>
      </c>
      <c r="B223" s="306">
        <f>IF(A223="","",A223)</f>
        <v>43682</v>
      </c>
      <c r="C223" s="307">
        <f>IF(A223="","",NumberOfWeek(A223))</f>
        <v>31</v>
      </c>
      <c r="D223" s="308">
        <f>IF(A223="","",DATE(YEAR(A223),MONTH(A223),1))</f>
        <v>43677</v>
      </c>
      <c r="E223" s="318" t="str">
        <f>IF((R223-U223)&gt;XWorkTimeMax,$Z$4,IF(AV223=Feiertag,VLOOKUP(B223,db_Feiertag,2,FALSE),""))</f>
        <v/>
      </c>
      <c r="F223" s="5"/>
      <c r="G223" s="6" t="str">
        <f>IF(ISBLANK(F223),IF(ISBLANK(H223),"",0),CODE(UPPER(F223)))</f>
        <v/>
      </c>
      <c r="H223" s="7"/>
      <c r="I223" s="7">
        <f>IF(H223&gt;0,H223+Y223+X223+AC223,0)</f>
        <v>0</v>
      </c>
      <c r="J223" s="113">
        <f>IF(K223&gt;I223,IF(I223&lt;H223,I223+1,I223)-B_WalkTime,IF(I223&lt;H223,I223+1,I223))</f>
        <v>0</v>
      </c>
      <c r="K223" s="7"/>
      <c r="L223" s="7">
        <f>IF(K223&gt;0,K223+IF((J223-H223)&lt;Y223,Y223-(J223-H223),TIME(0,10,0))+IF((K223-J223)&gt;xNoWorkTime,0,xNoWorkTime-(K223-J223)),0)</f>
        <v>0</v>
      </c>
      <c r="M223" s="113">
        <f>IF(L223&lt;K223,L223+1,L223)</f>
        <v>0</v>
      </c>
      <c r="N223" s="113"/>
      <c r="O223" s="113">
        <f>IF(N223&gt;0,N223+IF((J223-H223+M223-K223)&lt;Y223,Y223-(J223-H223+M223-K223),TIME(0,10,0))+IF((K223-J223+N223-M223)&gt;xNoWorkTime,0,xNoWorkTime-(K223-J223+N223-M223)),0)</f>
        <v>0</v>
      </c>
      <c r="P223" s="113"/>
      <c r="Q223" s="113">
        <f>IF(O223&lt;N223,O223+1,O223)</f>
        <v>0</v>
      </c>
      <c r="R223" s="113">
        <f>J223-H223+M223-K223+Q223-N223</f>
        <v>0</v>
      </c>
      <c r="S223" s="113">
        <f>IF(K223&gt;0,K223-I223,0)+IF(N223&gt;0,N223-L223)</f>
        <v>0</v>
      </c>
      <c r="T223" s="113">
        <f>IF(H223&gt;0,(IF(R223&gt;B_Pause1Nach,B_Pause1Dauer+IF(BA223="Büro",B_WalkTime,0),IF(BA223="Büro",B_WalkTime,0))+IF(R223&gt;B_Pause2Nach,B_Pause2Dauer,0)),0)</f>
        <v>0</v>
      </c>
      <c r="U223" s="113">
        <f>IF(T223&gt;S223,T223-S223,0)</f>
        <v>0</v>
      </c>
      <c r="V223" s="146">
        <f>IF(F223="S",Z223,(IF((R223-U223)&gt;XWorkTimeMax,XWorkTimeMax,IF((R223-U223)&gt;0,R223-U223,0))))</f>
        <v>0</v>
      </c>
      <c r="W223" s="66"/>
      <c r="X223" s="115">
        <f>xNoWorkTime</f>
        <v>4.027777777777778E-2</v>
      </c>
      <c r="Y223" s="110">
        <f>IF(AND((AM223&lt;Feiertag),(G223&lt;&gt;85)),IF(OR(F223="B",F223="G",F223="S",H223&gt;0),H223-H223+Z223,0),0)</f>
        <v>0</v>
      </c>
      <c r="Z223" s="111">
        <f>IF(AND(AM223&gt;0,AM223&lt;Feiertag),INDEX(Arbeitszeit,AM223),"")</f>
        <v>0</v>
      </c>
      <c r="AA223" s="112">
        <f>V223-Y223</f>
        <v>0</v>
      </c>
      <c r="AB223" s="67" t="str">
        <f>IF((V223-Y223)&lt;0,"*","")</f>
        <v/>
      </c>
      <c r="AC223" s="193">
        <f>xOverTime</f>
        <v>0</v>
      </c>
      <c r="AD223" s="144" t="str">
        <f>IF((R223-U223)&gt;XWorkTimeMax,(R223-U223-XWorkTimeMax),"")</f>
        <v/>
      </c>
      <c r="AE223" s="225">
        <f>IF(AW223,(AE222+SUM(AA223)+(IF(AG223="+",AF223,-AF223))),)</f>
        <v>0</v>
      </c>
      <c r="AF223" s="110"/>
      <c r="AG223" s="627"/>
      <c r="AH223" s="110"/>
      <c r="AI223" s="110" t="str">
        <f>IF(AND(AF223&lt;&gt;"",AF223&lt;=V223),V223-AF223,"")</f>
        <v/>
      </c>
      <c r="AJ223" s="68">
        <f>IF(ISNUMBER(V223 ), IF( V223 &gt;= Y223, Y223, V223 ),"")</f>
        <v>0</v>
      </c>
      <c r="AK223" s="68">
        <f>IF( ISNUMBER( V223 ), IF( V223 &gt;= Y223, V223 - Y223, "" ), "" )</f>
        <v>0</v>
      </c>
      <c r="AL223" s="68" t="str">
        <f>IF( AND(ISNUMBER( V223 ),ISNUMBER( Y223 )), IF( V223 &gt;= Y223, "", Y223 - V223 ), "" )</f>
        <v/>
      </c>
      <c r="AM223">
        <f>IF(A223="",0,IF(ISERROR(VLOOKUP(A223,db_Feiertag,2,FALSE)),WEEKDAY(A223,2),Feiertag))</f>
        <v>7</v>
      </c>
      <c r="AN223" s="122">
        <f>SUM($AD$6:AD223)</f>
        <v>0</v>
      </c>
      <c r="AO223" s="122">
        <f ca="1">IF(D223=D222,AO222,OFFSET(AO223,-1,COLUMN(db_jSaldoGes)-COLUMN()))</f>
        <v>0</v>
      </c>
      <c r="AP223" s="126">
        <f>IF(OR($G223=-1,$G223=82),-1,IF(OR($G223=0,$G223=83),1,0))</f>
        <v>0</v>
      </c>
      <c r="AQ223" s="126">
        <f>IF($F223=Krank,1,IF($F223="J",-1,0))</f>
        <v>0</v>
      </c>
      <c r="AR223" s="126">
        <f>IF($F223=Urlaub,1,IF($F223="T",-1,0))</f>
        <v>0</v>
      </c>
      <c r="AS223" s="125">
        <f>IF(A223="","",AS222-IF(F223=Urlaub,1,0)+IF(AND(MONTH(A223)=1,DAY(A223)=1),B_UrlaubNeu,0))</f>
        <v>30</v>
      </c>
      <c r="AT223" s="125">
        <f ca="1">IF(A223="","",IF(D223=D222,AT222,OFFSET(AT223,-1,COLUMN(db_jUrlRest)-COLUMN()))+IF(AND(MONTH(A223)=1,DAY(A223)=1),B_UrlaubNeu,0))</f>
        <v>30</v>
      </c>
      <c r="AU223" s="135">
        <f>(IF(ISNUMBER(V223),V223,0)+IF(ISNUMBER(AD223),AD223,0))*24</f>
        <v>0</v>
      </c>
      <c r="AV223" s="125">
        <f>IF(ISNUMBER(AD223),K_ArbeitOverMax,IF(AND(ISNUMBER(AA223),AA223&gt;0),K_ArbeitOverTime,IF(AND(ISNUMBER(V223),V223&gt;0),K_ArbeitNormal,IF(F223=Krank,K_Krank,IF(F223=Urlaub,K_Urlaub,IF(AM223=Feiertag,K_Feiertag,IF(OR(AM223=6,AM223=7),K_Wochenende,0)))))))+IF(F223=Gleittag,K_Gleittag,0)</f>
        <v>7</v>
      </c>
      <c r="AW223" t="b">
        <f>OR((F223&gt;0),(NOT(ISBLANK(H223))),SUM(H223:H$373),SUM(G223:G$373))</f>
        <v>0</v>
      </c>
      <c r="AX223" t="b">
        <f ca="1">INDIRECT(ADDRESS(ROW(),COLUMN(xDay)))&gt;5</f>
        <v>1</v>
      </c>
      <c r="AY223" s="600">
        <f>IF(OR(R223&lt;&gt;0,F223&lt;&gt;0),AA223,IF(Z223="",0,-Z223))+(IF(AG223="+",AF223,-AF223))</f>
        <v>0</v>
      </c>
      <c r="AZ223" s="225">
        <f>SUM(AY$5:AY223)</f>
        <v>-43.166666666666629</v>
      </c>
      <c r="BA223" s="643"/>
      <c r="BB223" s="658">
        <f>IF(ISNA(MATCH(BA223,B_Arbeitsort,0)),0,MATCH(BA223,B_Arbeitsort,0))</f>
        <v>0</v>
      </c>
      <c r="BC223" s="643"/>
    </row>
    <row r="224" spans="1:55" ht="15.75">
      <c r="A224" s="305">
        <f>IF(A223="","",IF((A223+1)&gt;=DATE(YEAR(xJahr)+1,MONTH(xJahr),DAY(xJahr)),"",A223+1))</f>
        <v>43683</v>
      </c>
      <c r="B224" s="306">
        <f>IF(A224="","",A224)</f>
        <v>43683</v>
      </c>
      <c r="C224" s="307">
        <f>IF(A224="","",NumberOfWeek(A224))</f>
        <v>32</v>
      </c>
      <c r="D224" s="308">
        <f>IF(A224="","",DATE(YEAR(A224),MONTH(A224),1))</f>
        <v>43677</v>
      </c>
      <c r="E224" s="318" t="str">
        <f>IF((R224-U224)&gt;XWorkTimeMax,$Z$4,IF(AV224=Feiertag,VLOOKUP(B224,db_Feiertag,2,FALSE),""))</f>
        <v/>
      </c>
      <c r="F224" s="5"/>
      <c r="G224" s="6" t="str">
        <f>IF(ISBLANK(F224),IF(ISBLANK(H224),"",0),CODE(UPPER(F224)))</f>
        <v/>
      </c>
      <c r="H224" s="7"/>
      <c r="I224" s="7">
        <f>IF(H224&gt;0,H224+Y224+X224+AC224,0)</f>
        <v>0</v>
      </c>
      <c r="J224" s="113">
        <f>IF(K224&gt;I224,IF(I224&lt;H224,I224+1,I224)-B_WalkTime,IF(I224&lt;H224,I224+1,I224))</f>
        <v>0</v>
      </c>
      <c r="K224" s="7"/>
      <c r="L224" s="7">
        <f>IF(K224&gt;0,K224+IF((J224-H224)&lt;Y224,Y224-(J224-H224),TIME(0,10,0))+IF((K224-J224)&gt;xNoWorkTime,0,xNoWorkTime-(K224-J224)),0)</f>
        <v>0</v>
      </c>
      <c r="M224" s="113">
        <f>IF(L224&lt;K224,L224+1,L224)</f>
        <v>0</v>
      </c>
      <c r="N224" s="113"/>
      <c r="O224" s="113">
        <f>IF(N224&gt;0,N224+IF((J224-H224+M224-K224)&lt;Y224,Y224-(J224-H224+M224-K224),TIME(0,10,0))+IF((K224-J224+N224-M224)&gt;xNoWorkTime,0,xNoWorkTime-(K224-J224+N224-M224)),0)</f>
        <v>0</v>
      </c>
      <c r="P224" s="113"/>
      <c r="Q224" s="113">
        <f>IF(O224&lt;N224,O224+1,O224)</f>
        <v>0</v>
      </c>
      <c r="R224" s="113">
        <f>J224-H224+M224-K224+Q224-N224</f>
        <v>0</v>
      </c>
      <c r="S224" s="113">
        <f>IF(K224&gt;0,K224-I224,0)+IF(N224&gt;0,N224-L224)</f>
        <v>0</v>
      </c>
      <c r="T224" s="113">
        <f>IF(H224&gt;0,(IF(R224&gt;B_Pause1Nach,B_Pause1Dauer+IF(BA224="Büro",B_WalkTime,0),IF(BA224="Büro",B_WalkTime,0))+IF(R224&gt;B_Pause2Nach,B_Pause2Dauer,0)),0)</f>
        <v>0</v>
      </c>
      <c r="U224" s="113">
        <f>IF(T224&gt;S224,T224-S224,0)</f>
        <v>0</v>
      </c>
      <c r="V224" s="146">
        <f>IF(F224="S",Z224,(IF((R224-U224)&gt;XWorkTimeMax,XWorkTimeMax,IF((R224-U224)&gt;0,R224-U224,0))))</f>
        <v>0</v>
      </c>
      <c r="W224" s="66"/>
      <c r="X224" s="115">
        <f>xNoWorkTime</f>
        <v>4.027777777777778E-2</v>
      </c>
      <c r="Y224" s="110">
        <f>IF(AND((AM224&lt;Feiertag),(G224&lt;&gt;85)),IF(OR(F224="B",F224="G",F224="S",H224&gt;0),H224-H224+Z224,0),0)</f>
        <v>0</v>
      </c>
      <c r="Z224" s="111">
        <f>IF(AND(AM224&gt;0,AM224&lt;Feiertag),INDEX(Arbeitszeit,AM224),"")</f>
        <v>0.29166666666666669</v>
      </c>
      <c r="AA224" s="112">
        <f>V224-Y224</f>
        <v>0</v>
      </c>
      <c r="AB224" s="67" t="str">
        <f>IF((V224-Y224)&lt;0,"*","")</f>
        <v/>
      </c>
      <c r="AC224" s="193">
        <f>xOverTime</f>
        <v>0</v>
      </c>
      <c r="AD224" s="144" t="str">
        <f>IF((R224-U224)&gt;XWorkTimeMax,(R224-U224-XWorkTimeMax),"")</f>
        <v/>
      </c>
      <c r="AE224" s="225">
        <f>IF(AW224,(AE223+SUM(AA224)+(IF(AG224="+",AF224,-AF224))),)</f>
        <v>0</v>
      </c>
      <c r="AF224" s="110"/>
      <c r="AG224" s="627"/>
      <c r="AH224" s="110"/>
      <c r="AI224" s="110" t="str">
        <f>IF(AND(AF224&lt;&gt;"",AF224&lt;=V224),V224-AF224,"")</f>
        <v/>
      </c>
      <c r="AJ224" s="68">
        <f>IF(ISNUMBER(V224 ), IF( V224 &gt;= Y224, Y224, V224 ),"")</f>
        <v>0</v>
      </c>
      <c r="AK224" s="68">
        <f>IF( ISNUMBER( V224 ), IF( V224 &gt;= Y224, V224 - Y224, "" ), "" )</f>
        <v>0</v>
      </c>
      <c r="AL224" s="68" t="str">
        <f>IF( AND(ISNUMBER( V224 ),ISNUMBER( Y224 )), IF( V224 &gt;= Y224, "", Y224 - V224 ), "" )</f>
        <v/>
      </c>
      <c r="AM224">
        <f>IF(A224="",0,IF(ISERROR(VLOOKUP(A224,db_Feiertag,2,FALSE)),WEEKDAY(A224,2),Feiertag))</f>
        <v>1</v>
      </c>
      <c r="AN224" s="122">
        <f>SUM($AD$6:AD224)</f>
        <v>0</v>
      </c>
      <c r="AO224" s="122">
        <f ca="1">IF(D224=D223,AO223,OFFSET(AO224,-1,COLUMN(db_jSaldoGes)-COLUMN()))</f>
        <v>0</v>
      </c>
      <c r="AP224" s="126">
        <f>IF(OR($G224=-1,$G224=82),-1,IF(OR($G224=0,$G224=83),1,0))</f>
        <v>0</v>
      </c>
      <c r="AQ224" s="126">
        <f>IF($F224=Krank,1,IF($F224="J",-1,0))</f>
        <v>0</v>
      </c>
      <c r="AR224" s="126">
        <f>IF($F224=Urlaub,1,IF($F224="T",-1,0))</f>
        <v>0</v>
      </c>
      <c r="AS224" s="125">
        <f>IF(A224="","",AS223-IF(F224=Urlaub,1,0)+IF(AND(MONTH(A224)=1,DAY(A224)=1),B_UrlaubNeu,0))</f>
        <v>30</v>
      </c>
      <c r="AT224" s="125">
        <f ca="1">IF(A224="","",IF(D224=D223,AT223,OFFSET(AT224,-1,COLUMN(db_jUrlRest)-COLUMN()))+IF(AND(MONTH(A224)=1,DAY(A224)=1),B_UrlaubNeu,0))</f>
        <v>30</v>
      </c>
      <c r="AU224" s="135">
        <f>(IF(ISNUMBER(V224),V224,0)+IF(ISNUMBER(AD224),AD224,0))*24</f>
        <v>0</v>
      </c>
      <c r="AV224" s="125">
        <f>IF(ISNUMBER(AD224),K_ArbeitOverMax,IF(AND(ISNUMBER(AA224),AA224&gt;0),K_ArbeitOverTime,IF(AND(ISNUMBER(V224),V224&gt;0),K_ArbeitNormal,IF(F224=Krank,K_Krank,IF(F224=Urlaub,K_Urlaub,IF(AM224=Feiertag,K_Feiertag,IF(OR(AM224=6,AM224=7),K_Wochenende,0)))))))+IF(F224=Gleittag,K_Gleittag,0)</f>
        <v>0</v>
      </c>
      <c r="AW224" t="b">
        <f>OR((F224&gt;0),(NOT(ISBLANK(H224))),SUM(H224:H$373),SUM(G224:G$373))</f>
        <v>0</v>
      </c>
      <c r="AX224" t="b">
        <f ca="1">INDIRECT(ADDRESS(ROW(),COLUMN(xDay)))&gt;5</f>
        <v>0</v>
      </c>
      <c r="AY224" s="600">
        <f>IF(OR(R224&lt;&gt;0,F224&lt;&gt;0),AA224,IF(Z224="",0,-Z224))+(IF(AG224="+",AF224,-AF224))</f>
        <v>-0.29166666666666669</v>
      </c>
      <c r="AZ224" s="225">
        <f>SUM(AY$5:AY224)</f>
        <v>-43.458333333333293</v>
      </c>
      <c r="BA224" s="658"/>
      <c r="BB224" s="658">
        <f>IF(ISNA(MATCH(BA224,B_Arbeitsort,0)),0,MATCH(BA224,B_Arbeitsort,0))</f>
        <v>0</v>
      </c>
      <c r="BC224" s="658"/>
    </row>
    <row r="225" spans="1:55" ht="15.75">
      <c r="A225" s="305">
        <f>IF(A224="","",IF((A224+1)&gt;=DATE(YEAR(xJahr)+1,MONTH(xJahr),DAY(xJahr)),"",A224+1))</f>
        <v>43684</v>
      </c>
      <c r="B225" s="306">
        <f>IF(A225="","",A225)</f>
        <v>43684</v>
      </c>
      <c r="C225" s="307">
        <f>IF(A225="","",NumberOfWeek(A225))</f>
        <v>32</v>
      </c>
      <c r="D225" s="308">
        <f>IF(A225="","",DATE(YEAR(A225),MONTH(A225),1))</f>
        <v>43677</v>
      </c>
      <c r="E225" s="318" t="str">
        <f>IF((R225-U225)&gt;XWorkTimeMax,$Z$4,IF(AV225=Feiertag,VLOOKUP(B225,db_Feiertag,2,FALSE),""))</f>
        <v/>
      </c>
      <c r="F225" s="5"/>
      <c r="G225" s="6" t="str">
        <f>IF(ISBLANK(F225),IF(ISBLANK(H225),"",0),CODE(UPPER(F225)))</f>
        <v/>
      </c>
      <c r="H225" s="7"/>
      <c r="I225" s="7">
        <f>IF(H225&gt;0,H225+Y225+X225+AC225,0)</f>
        <v>0</v>
      </c>
      <c r="J225" s="113">
        <f>IF(K225&gt;I225,IF(I225&lt;H225,I225+1,I225)-B_WalkTime,IF(I225&lt;H225,I225+1,I225))</f>
        <v>0</v>
      </c>
      <c r="K225" s="7"/>
      <c r="L225" s="7">
        <f>IF(K225&gt;0,K225+IF((J225-H225)&lt;Y225,Y225-(J225-H225),TIME(0,10,0))+IF((K225-J225)&gt;xNoWorkTime,0,xNoWorkTime-(K225-J225)),0)</f>
        <v>0</v>
      </c>
      <c r="M225" s="113">
        <f>IF(L225&lt;K225,L225+1,L225)</f>
        <v>0</v>
      </c>
      <c r="N225" s="113"/>
      <c r="O225" s="113">
        <f>IF(N225&gt;0,N225+IF((J225-H225+M225-K225)&lt;Y225,Y225-(J225-H225+M225-K225),TIME(0,10,0))+IF((K225-J225+N225-M225)&gt;xNoWorkTime,0,xNoWorkTime-(K225-J225+N225-M225)),0)</f>
        <v>0</v>
      </c>
      <c r="P225" s="113"/>
      <c r="Q225" s="113">
        <f>IF(O225&lt;N225,O225+1,O225)</f>
        <v>0</v>
      </c>
      <c r="R225" s="113">
        <f>J225-H225+M225-K225+Q225-N225</f>
        <v>0</v>
      </c>
      <c r="S225" s="113">
        <f>IF(K225&gt;0,K225-I225,0)+IF(N225&gt;0,N225-L225)</f>
        <v>0</v>
      </c>
      <c r="T225" s="113">
        <f>IF(H225&gt;0,(IF(R225&gt;B_Pause1Nach,B_Pause1Dauer+IF(BA225="Büro",B_WalkTime,0),IF(BA225="Büro",B_WalkTime,0))+IF(R225&gt;B_Pause2Nach,B_Pause2Dauer,0)),0)</f>
        <v>0</v>
      </c>
      <c r="U225" s="113">
        <f>IF(T225&gt;S225,T225-S225,0)</f>
        <v>0</v>
      </c>
      <c r="V225" s="146">
        <f>IF(F225="S",Z225,(IF((R225-U225)&gt;XWorkTimeMax,XWorkTimeMax,IF((R225-U225)&gt;0,R225-U225,0))))</f>
        <v>0</v>
      </c>
      <c r="W225" s="66"/>
      <c r="X225" s="115">
        <f>xNoWorkTime</f>
        <v>4.027777777777778E-2</v>
      </c>
      <c r="Y225" s="110">
        <f>IF(AND((AM225&lt;Feiertag),(G225&lt;&gt;85)),IF(OR(F225="B",F225="G",F225="S",H225&gt;0),H225-H225+Z225,0),0)</f>
        <v>0</v>
      </c>
      <c r="Z225" s="111">
        <f>IF(AND(AM225&gt;0,AM225&lt;Feiertag),INDEX(Arbeitszeit,AM225),"")</f>
        <v>0.29166666666666669</v>
      </c>
      <c r="AA225" s="112">
        <f>V225-Y225</f>
        <v>0</v>
      </c>
      <c r="AB225" s="67" t="str">
        <f>IF((V225-Y225)&lt;0,"*","")</f>
        <v/>
      </c>
      <c r="AC225" s="193">
        <f>xOverTime</f>
        <v>0</v>
      </c>
      <c r="AD225" s="144" t="str">
        <f>IF((R225-U225)&gt;XWorkTimeMax,(R225-U225-XWorkTimeMax),"")</f>
        <v/>
      </c>
      <c r="AE225" s="225">
        <f>IF(AW225,(AE224+SUM(AA225)+(IF(AG225="+",AF225,-AF225))),)</f>
        <v>0</v>
      </c>
      <c r="AF225" s="110"/>
      <c r="AG225" s="627"/>
      <c r="AH225" s="110"/>
      <c r="AI225" s="110" t="str">
        <f>IF(AND(AF225&lt;&gt;"",AF225&lt;=V225),V225-AF225,"")</f>
        <v/>
      </c>
      <c r="AJ225" s="68">
        <f>IF(ISNUMBER(V225 ), IF( V225 &gt;= Y225, Y225, V225 ),"")</f>
        <v>0</v>
      </c>
      <c r="AK225" s="68">
        <f>IF( ISNUMBER( V225 ), IF( V225 &gt;= Y225, V225 - Y225, "" ), "" )</f>
        <v>0</v>
      </c>
      <c r="AL225" s="68" t="str">
        <f>IF( AND(ISNUMBER( V225 ),ISNUMBER( Y225 )), IF( V225 &gt;= Y225, "", Y225 - V225 ), "" )</f>
        <v/>
      </c>
      <c r="AM225">
        <f>IF(A225="",0,IF(ISERROR(VLOOKUP(A225,db_Feiertag,2,FALSE)),WEEKDAY(A225,2),Feiertag))</f>
        <v>2</v>
      </c>
      <c r="AN225" s="122">
        <f>SUM($AD$6:AD225)</f>
        <v>0</v>
      </c>
      <c r="AO225" s="122">
        <f ca="1">IF(D225=D224,AO224,OFFSET(AO225,-1,COLUMN(db_jSaldoGes)-COLUMN()))</f>
        <v>0</v>
      </c>
      <c r="AP225" s="126">
        <f>IF(OR($G225=-1,$G225=82),-1,IF(OR($G225=0,$G225=83),1,0))</f>
        <v>0</v>
      </c>
      <c r="AQ225" s="126">
        <f>IF($F225=Krank,1,IF($F225="J",-1,0))</f>
        <v>0</v>
      </c>
      <c r="AR225" s="126">
        <f>IF($F225=Urlaub,1,IF($F225="T",-1,0))</f>
        <v>0</v>
      </c>
      <c r="AS225" s="125">
        <f>IF(A225="","",AS224-IF(F225=Urlaub,1,0)+IF(AND(MONTH(A225)=1,DAY(A225)=1),B_UrlaubNeu,0))</f>
        <v>30</v>
      </c>
      <c r="AT225" s="125">
        <f ca="1">IF(A225="","",IF(D225=D224,AT224,OFFSET(AT225,-1,COLUMN(db_jUrlRest)-COLUMN()))+IF(AND(MONTH(A225)=1,DAY(A225)=1),B_UrlaubNeu,0))</f>
        <v>30</v>
      </c>
      <c r="AU225" s="135">
        <f>(IF(ISNUMBER(V225),V225,0)+IF(ISNUMBER(AD225),AD225,0))*24</f>
        <v>0</v>
      </c>
      <c r="AV225" s="125">
        <f>IF(ISNUMBER(AD225),K_ArbeitOverMax,IF(AND(ISNUMBER(AA225),AA225&gt;0),K_ArbeitOverTime,IF(AND(ISNUMBER(V225),V225&gt;0),K_ArbeitNormal,IF(F225=Krank,K_Krank,IF(F225=Urlaub,K_Urlaub,IF(AM225=Feiertag,K_Feiertag,IF(OR(AM225=6,AM225=7),K_Wochenende,0)))))))+IF(F225=Gleittag,K_Gleittag,0)</f>
        <v>0</v>
      </c>
      <c r="AW225" t="b">
        <f>OR((F225&gt;0),(NOT(ISBLANK(H225))),SUM(H225:H$373),SUM(G225:G$373))</f>
        <v>0</v>
      </c>
      <c r="AX225" t="b">
        <f ca="1">INDIRECT(ADDRESS(ROW(),COLUMN(xDay)))&gt;5</f>
        <v>0</v>
      </c>
      <c r="AY225" s="600">
        <f>IF(OR(R225&lt;&gt;0,F225&lt;&gt;0),AA225,IF(Z225="",0,-Z225))+(IF(AG225="+",AF225,-AF225))</f>
        <v>-0.29166666666666669</v>
      </c>
      <c r="AZ225" s="225">
        <f>SUM(AY$5:AY225)</f>
        <v>-43.749999999999957</v>
      </c>
      <c r="BA225" s="658"/>
      <c r="BB225" s="658">
        <f>IF(ISNA(MATCH(BA225,B_Arbeitsort,0)),0,MATCH(BA225,B_Arbeitsort,0))</f>
        <v>0</v>
      </c>
      <c r="BC225" s="658"/>
    </row>
    <row r="226" spans="1:55" ht="15.75">
      <c r="A226" s="305">
        <f>IF(A225="","",IF((A225+1)&gt;=DATE(YEAR(xJahr)+1,MONTH(xJahr),DAY(xJahr)),"",A225+1))</f>
        <v>43685</v>
      </c>
      <c r="B226" s="306">
        <f>IF(A226="","",A226)</f>
        <v>43685</v>
      </c>
      <c r="C226" s="307">
        <f>IF(A226="","",NumberOfWeek(A226))</f>
        <v>32</v>
      </c>
      <c r="D226" s="308">
        <f>IF(A226="","",DATE(YEAR(A226),MONTH(A226),1))</f>
        <v>43677</v>
      </c>
      <c r="E226" s="318" t="str">
        <f>IF((R226-U226)&gt;XWorkTimeMax,$Z$4,IF(AV226=Feiertag,VLOOKUP(B226,db_Feiertag,2,FALSE),""))</f>
        <v/>
      </c>
      <c r="F226" s="5"/>
      <c r="G226" s="6" t="str">
        <f>IF(ISBLANK(F226),IF(ISBLANK(H226),"",0),CODE(UPPER(F226)))</f>
        <v/>
      </c>
      <c r="H226" s="7"/>
      <c r="I226" s="7">
        <f>IF(H226&gt;0,H226+Y226+X226+AC226,0)</f>
        <v>0</v>
      </c>
      <c r="J226" s="113">
        <f>IF(K226&gt;I226,IF(I226&lt;H226,I226+1,I226)-B_WalkTime,IF(I226&lt;H226,I226+1,I226))</f>
        <v>0</v>
      </c>
      <c r="K226" s="7"/>
      <c r="L226" s="7">
        <f>IF(K226&gt;0,K226+IF((J226-H226)&lt;Y226,Y226-(J226-H226),TIME(0,10,0))+IF((K226-J226)&gt;xNoWorkTime,0,xNoWorkTime-(K226-J226)),0)</f>
        <v>0</v>
      </c>
      <c r="M226" s="113">
        <f>IF(L226&lt;K226,L226+1,L226)</f>
        <v>0</v>
      </c>
      <c r="N226" s="113"/>
      <c r="O226" s="113">
        <f>IF(N226&gt;0,N226+IF((J226-H226+M226-K226)&lt;Y226,Y226-(J226-H226+M226-K226),TIME(0,10,0))+IF((K226-J226+N226-M226)&gt;xNoWorkTime,0,xNoWorkTime-(K226-J226+N226-M226)),0)</f>
        <v>0</v>
      </c>
      <c r="P226" s="113"/>
      <c r="Q226" s="113">
        <f>IF(O226&lt;N226,O226+1,O226)</f>
        <v>0</v>
      </c>
      <c r="R226" s="113">
        <f>J226-H226+M226-K226+Q226-N226</f>
        <v>0</v>
      </c>
      <c r="S226" s="113">
        <f>IF(K226&gt;0,K226-I226,0)+IF(N226&gt;0,N226-L226)</f>
        <v>0</v>
      </c>
      <c r="T226" s="113">
        <f>IF(H226&gt;0,(IF(R226&gt;B_Pause1Nach,B_Pause1Dauer+IF(BA226="Büro",B_WalkTime,0),IF(BA226="Büro",B_WalkTime,0))+IF(R226&gt;B_Pause2Nach,B_Pause2Dauer,0)),0)</f>
        <v>0</v>
      </c>
      <c r="U226" s="113">
        <f>IF(T226&gt;S226,T226-S226,0)</f>
        <v>0</v>
      </c>
      <c r="V226" s="146">
        <f>IF(F226="S",Z226,(IF((R226-U226)&gt;XWorkTimeMax,XWorkTimeMax,IF((R226-U226)&gt;0,R226-U226,0))))</f>
        <v>0</v>
      </c>
      <c r="W226" s="66"/>
      <c r="X226" s="115">
        <f>xNoWorkTime</f>
        <v>4.027777777777778E-2</v>
      </c>
      <c r="Y226" s="110">
        <f>IF(AND((AM226&lt;Feiertag),(G226&lt;&gt;85)),IF(OR(F226="B",F226="G",F226="S",H226&gt;0),H226-H226+Z226,0),0)</f>
        <v>0</v>
      </c>
      <c r="Z226" s="111">
        <f>IF(AND(AM226&gt;0,AM226&lt;Feiertag),INDEX(Arbeitszeit,AM226),"")</f>
        <v>0.29166666666666669</v>
      </c>
      <c r="AA226" s="112">
        <f>V226-Y226</f>
        <v>0</v>
      </c>
      <c r="AB226" s="67" t="str">
        <f>IF((V226-Y226)&lt;0,"*","")</f>
        <v/>
      </c>
      <c r="AC226" s="193">
        <f>xOverTime</f>
        <v>0</v>
      </c>
      <c r="AD226" s="144" t="str">
        <f>IF((R226-U226)&gt;XWorkTimeMax,(R226-U226-XWorkTimeMax),"")</f>
        <v/>
      </c>
      <c r="AE226" s="225">
        <f>IF(AW226,(AE225+SUM(AA226)+(IF(AG226="+",AF226,-AF226))),)</f>
        <v>0</v>
      </c>
      <c r="AF226" s="110"/>
      <c r="AG226" s="627"/>
      <c r="AH226" s="110"/>
      <c r="AI226" s="110" t="str">
        <f>IF(AND(AF226&lt;&gt;"",AF226&lt;=V226),V226-AF226,"")</f>
        <v/>
      </c>
      <c r="AJ226" s="68">
        <f>IF(ISNUMBER(V226 ), IF( V226 &gt;= Y226, Y226, V226 ),"")</f>
        <v>0</v>
      </c>
      <c r="AK226" s="68">
        <f>IF( ISNUMBER( V226 ), IF( V226 &gt;= Y226, V226 - Y226, "" ), "" )</f>
        <v>0</v>
      </c>
      <c r="AL226" s="68" t="str">
        <f>IF( AND(ISNUMBER( V226 ),ISNUMBER( Y226 )), IF( V226 &gt;= Y226, "", Y226 - V226 ), "" )</f>
        <v/>
      </c>
      <c r="AM226">
        <f>IF(A226="",0,IF(ISERROR(VLOOKUP(A226,db_Feiertag,2,FALSE)),WEEKDAY(A226,2),Feiertag))</f>
        <v>3</v>
      </c>
      <c r="AN226" s="122">
        <f>SUM($AD$6:AD226)</f>
        <v>0</v>
      </c>
      <c r="AO226" s="122">
        <f ca="1">IF(D226=D225,AO225,OFFSET(AO226,-1,COLUMN(db_jSaldoGes)-COLUMN()))</f>
        <v>0</v>
      </c>
      <c r="AP226" s="126">
        <f>IF(OR($G226=-1,$G226=82),-1,IF(OR($G226=0,$G226=83),1,0))</f>
        <v>0</v>
      </c>
      <c r="AQ226" s="126">
        <f>IF($F226=Krank,1,IF($F226="J",-1,0))</f>
        <v>0</v>
      </c>
      <c r="AR226" s="126">
        <f>IF($F226=Urlaub,1,IF($F226="T",-1,0))</f>
        <v>0</v>
      </c>
      <c r="AS226" s="125">
        <f>IF(A226="","",AS225-IF(F226=Urlaub,1,0)+IF(AND(MONTH(A226)=1,DAY(A226)=1),B_UrlaubNeu,0))</f>
        <v>30</v>
      </c>
      <c r="AT226" s="125">
        <f ca="1">IF(A226="","",IF(D226=D225,AT225,OFFSET(AT226,-1,COLUMN(db_jUrlRest)-COLUMN()))+IF(AND(MONTH(A226)=1,DAY(A226)=1),B_UrlaubNeu,0))</f>
        <v>30</v>
      </c>
      <c r="AU226" s="135">
        <f>(IF(ISNUMBER(V226),V226,0)+IF(ISNUMBER(AD226),AD226,0))*24</f>
        <v>0</v>
      </c>
      <c r="AV226" s="125">
        <f>IF(ISNUMBER(AD226),K_ArbeitOverMax,IF(AND(ISNUMBER(AA226),AA226&gt;0),K_ArbeitOverTime,IF(AND(ISNUMBER(V226),V226&gt;0),K_ArbeitNormal,IF(F226=Krank,K_Krank,IF(F226=Urlaub,K_Urlaub,IF(AM226=Feiertag,K_Feiertag,IF(OR(AM226=6,AM226=7),K_Wochenende,0)))))))+IF(F226=Gleittag,K_Gleittag,0)</f>
        <v>0</v>
      </c>
      <c r="AW226" t="b">
        <f>OR((F226&gt;0),(NOT(ISBLANK(H226))),SUM(H226:H$373),SUM(G226:G$373))</f>
        <v>0</v>
      </c>
      <c r="AX226" t="b">
        <f ca="1">INDIRECT(ADDRESS(ROW(),COLUMN(xDay)))&gt;5</f>
        <v>0</v>
      </c>
      <c r="AY226" s="600">
        <f>IF(OR(R226&lt;&gt;0,F226&lt;&gt;0),AA226,IF(Z226="",0,-Z226))+(IF(AG226="+",AF226,-AF226))</f>
        <v>-0.29166666666666669</v>
      </c>
      <c r="AZ226" s="225">
        <f>SUM(AY$5:AY226)</f>
        <v>-44.041666666666622</v>
      </c>
      <c r="BA226" s="658"/>
      <c r="BB226" s="658">
        <f>IF(ISNA(MATCH(BA226,B_Arbeitsort,0)),0,MATCH(BA226,B_Arbeitsort,0))</f>
        <v>0</v>
      </c>
      <c r="BC226" s="658"/>
    </row>
    <row r="227" spans="1:55" ht="15.75">
      <c r="A227" s="305">
        <f>IF(A226="","",IF((A226+1)&gt;=DATE(YEAR(xJahr)+1,MONTH(xJahr),DAY(xJahr)),"",A226+1))</f>
        <v>43686</v>
      </c>
      <c r="B227" s="306">
        <f>IF(A227="","",A227)</f>
        <v>43686</v>
      </c>
      <c r="C227" s="307">
        <f>IF(A227="","",NumberOfWeek(A227))</f>
        <v>32</v>
      </c>
      <c r="D227" s="308">
        <f>IF(A227="","",DATE(YEAR(A227),MONTH(A227),1))</f>
        <v>43677</v>
      </c>
      <c r="E227" s="318" t="str">
        <f>IF((R227-U227)&gt;XWorkTimeMax,$Z$4,IF(AV227=Feiertag,VLOOKUP(B227,db_Feiertag,2,FALSE),""))</f>
        <v/>
      </c>
      <c r="F227" s="5"/>
      <c r="G227" s="6" t="str">
        <f>IF(ISBLANK(F227),IF(ISBLANK(H227),"",0),CODE(UPPER(F227)))</f>
        <v/>
      </c>
      <c r="H227" s="7"/>
      <c r="I227" s="7">
        <f>IF(H227&gt;0,H227+Y227+X227+AC227,0)</f>
        <v>0</v>
      </c>
      <c r="J227" s="113">
        <f>IF(K227&gt;I227,IF(I227&lt;H227,I227+1,I227)-B_WalkTime,IF(I227&lt;H227,I227+1,I227))</f>
        <v>0</v>
      </c>
      <c r="K227" s="7"/>
      <c r="L227" s="7">
        <f>IF(K227&gt;0,K227+IF((J227-H227)&lt;Y227,Y227-(J227-H227),TIME(0,10,0))+IF((K227-J227)&gt;xNoWorkTime,0,xNoWorkTime-(K227-J227)),0)</f>
        <v>0</v>
      </c>
      <c r="M227" s="113">
        <f>IF(L227&lt;K227,L227+1,L227)</f>
        <v>0</v>
      </c>
      <c r="N227" s="113"/>
      <c r="O227" s="113">
        <f>IF(N227&gt;0,N227+IF((J227-H227+M227-K227)&lt;Y227,Y227-(J227-H227+M227-K227),TIME(0,10,0))+IF((K227-J227+N227-M227)&gt;xNoWorkTime,0,xNoWorkTime-(K227-J227+N227-M227)),0)</f>
        <v>0</v>
      </c>
      <c r="P227" s="113"/>
      <c r="Q227" s="113">
        <f>IF(O227&lt;N227,O227+1,O227)</f>
        <v>0</v>
      </c>
      <c r="R227" s="113">
        <f>J227-H227+M227-K227+Q227-N227</f>
        <v>0</v>
      </c>
      <c r="S227" s="113">
        <f>IF(K227&gt;0,K227-I227,0)+IF(N227&gt;0,N227-L227)</f>
        <v>0</v>
      </c>
      <c r="T227" s="113">
        <f>IF(H227&gt;0,(IF(R227&gt;B_Pause1Nach,B_Pause1Dauer+IF(BA227="Büro",B_WalkTime,0),IF(BA227="Büro",B_WalkTime,0))+IF(R227&gt;B_Pause2Nach,B_Pause2Dauer,0)),0)</f>
        <v>0</v>
      </c>
      <c r="U227" s="113">
        <f>IF(T227&gt;S227,T227-S227,0)</f>
        <v>0</v>
      </c>
      <c r="V227" s="146">
        <f>IF(F227="S",Z227,(IF((R227-U227)&gt;XWorkTimeMax,XWorkTimeMax,IF((R227-U227)&gt;0,R227-U227,0))))</f>
        <v>0</v>
      </c>
      <c r="W227" s="66"/>
      <c r="X227" s="115">
        <f>xNoWorkTime</f>
        <v>4.027777777777778E-2</v>
      </c>
      <c r="Y227" s="110">
        <f>IF(AND((AM227&lt;Feiertag),(G227&lt;&gt;85)),IF(OR(F227="B",F227="G",F227="S",H227&gt;0),H227-H227+Z227,0),0)</f>
        <v>0</v>
      </c>
      <c r="Z227" s="111">
        <f>IF(AND(AM227&gt;0,AM227&lt;Feiertag),INDEX(Arbeitszeit,AM227),"")</f>
        <v>0.29166666666666669</v>
      </c>
      <c r="AA227" s="112">
        <f>V227-Y227</f>
        <v>0</v>
      </c>
      <c r="AB227" s="67" t="str">
        <f>IF((V227-Y227)&lt;0,"*","")</f>
        <v/>
      </c>
      <c r="AC227" s="193">
        <f>xOverTime</f>
        <v>0</v>
      </c>
      <c r="AD227" s="144" t="str">
        <f>IF((R227-U227)&gt;XWorkTimeMax,(R227-U227-XWorkTimeMax),"")</f>
        <v/>
      </c>
      <c r="AE227" s="225">
        <f>IF(AW227,(AE226+SUM(AA227)+(IF(AG227="+",AF227,-AF227))),)</f>
        <v>0</v>
      </c>
      <c r="AF227" s="110"/>
      <c r="AG227" s="627"/>
      <c r="AH227" s="110"/>
      <c r="AI227" s="110" t="str">
        <f>IF(AND(AF227&lt;&gt;"",AF227&lt;=V227),V227-AF227,"")</f>
        <v/>
      </c>
      <c r="AJ227" s="68">
        <f>IF(ISNUMBER(V227 ), IF( V227 &gt;= Y227, Y227, V227 ),"")</f>
        <v>0</v>
      </c>
      <c r="AK227" s="68">
        <f>IF( ISNUMBER( V227 ), IF( V227 &gt;= Y227, V227 - Y227, "" ), "" )</f>
        <v>0</v>
      </c>
      <c r="AL227" s="68" t="str">
        <f>IF( AND(ISNUMBER( V227 ),ISNUMBER( Y227 )), IF( V227 &gt;= Y227, "", Y227 - V227 ), "" )</f>
        <v/>
      </c>
      <c r="AM227">
        <f>IF(A227="",0,IF(ISERROR(VLOOKUP(A227,db_Feiertag,2,FALSE)),WEEKDAY(A227,2),Feiertag))</f>
        <v>4</v>
      </c>
      <c r="AN227" s="122">
        <f>SUM($AD$6:AD227)</f>
        <v>0</v>
      </c>
      <c r="AO227" s="122">
        <f ca="1">IF(D227=D226,AO226,OFFSET(AO227,-1,COLUMN(db_jSaldoGes)-COLUMN()))</f>
        <v>0</v>
      </c>
      <c r="AP227" s="126">
        <f>IF(OR($G227=-1,$G227=82),-1,IF(OR($G227=0,$G227=83),1,0))</f>
        <v>0</v>
      </c>
      <c r="AQ227" s="126">
        <f>IF($F227=Krank,1,IF($F227="J",-1,0))</f>
        <v>0</v>
      </c>
      <c r="AR227" s="126">
        <f>IF($F227=Urlaub,1,IF($F227="T",-1,0))</f>
        <v>0</v>
      </c>
      <c r="AS227" s="125">
        <f>IF(A227="","",AS226-IF(F227=Urlaub,1,0)+IF(AND(MONTH(A227)=1,DAY(A227)=1),B_UrlaubNeu,0))</f>
        <v>30</v>
      </c>
      <c r="AT227" s="125">
        <f ca="1">IF(A227="","",IF(D227=D226,AT226,OFFSET(AT227,-1,COLUMN(db_jUrlRest)-COLUMN()))+IF(AND(MONTH(A227)=1,DAY(A227)=1),B_UrlaubNeu,0))</f>
        <v>30</v>
      </c>
      <c r="AU227" s="135">
        <f>(IF(ISNUMBER(V227),V227,0)+IF(ISNUMBER(AD227),AD227,0))*24</f>
        <v>0</v>
      </c>
      <c r="AV227" s="125">
        <f>IF(ISNUMBER(AD227),K_ArbeitOverMax,IF(AND(ISNUMBER(AA227),AA227&gt;0),K_ArbeitOverTime,IF(AND(ISNUMBER(V227),V227&gt;0),K_ArbeitNormal,IF(F227=Krank,K_Krank,IF(F227=Urlaub,K_Urlaub,IF(AM227=Feiertag,K_Feiertag,IF(OR(AM227=6,AM227=7),K_Wochenende,0)))))))+IF(F227=Gleittag,K_Gleittag,0)</f>
        <v>0</v>
      </c>
      <c r="AW227" t="b">
        <f>OR((F227&gt;0),(NOT(ISBLANK(H227))),SUM(H227:H$373),SUM(G227:G$373))</f>
        <v>0</v>
      </c>
      <c r="AX227" t="b">
        <f ca="1">INDIRECT(ADDRESS(ROW(),COLUMN(xDay)))&gt;5</f>
        <v>0</v>
      </c>
      <c r="AY227" s="600">
        <f>IF(OR(R227&lt;&gt;0,F227&lt;&gt;0),AA227,IF(Z227="",0,-Z227))+(IF(AG227="+",AF227,-AF227))</f>
        <v>-0.29166666666666669</v>
      </c>
      <c r="AZ227" s="225">
        <f>SUM(AY$5:AY227)</f>
        <v>-44.333333333333286</v>
      </c>
      <c r="BA227" s="658"/>
      <c r="BB227" s="658">
        <f>IF(ISNA(MATCH(BA227,B_Arbeitsort,0)),0,MATCH(BA227,B_Arbeitsort,0))</f>
        <v>0</v>
      </c>
      <c r="BC227" s="658"/>
    </row>
    <row r="228" spans="1:55" ht="15.75">
      <c r="A228" s="305">
        <f>IF(A227="","",IF((A227+1)&gt;=DATE(YEAR(xJahr)+1,MONTH(xJahr),DAY(xJahr)),"",A227+1))</f>
        <v>43687</v>
      </c>
      <c r="B228" s="306">
        <f>IF(A228="","",A228)</f>
        <v>43687</v>
      </c>
      <c r="C228" s="307">
        <f>IF(A228="","",NumberOfWeek(A228))</f>
        <v>32</v>
      </c>
      <c r="D228" s="308">
        <f>IF(A228="","",DATE(YEAR(A228),MONTH(A228),1))</f>
        <v>43677</v>
      </c>
      <c r="E228" s="318" t="str">
        <f>IF((R228-U228)&gt;XWorkTimeMax,$Z$4,IF(AV228=Feiertag,VLOOKUP(B228,db_Feiertag,2,FALSE),""))</f>
        <v/>
      </c>
      <c r="F228" s="5"/>
      <c r="G228" s="6" t="str">
        <f>IF(ISBLANK(F228),IF(ISBLANK(H228),"",0),CODE(UPPER(F228)))</f>
        <v/>
      </c>
      <c r="H228" s="7"/>
      <c r="I228" s="7">
        <f>IF(H228&gt;0,H228+Y228+X228+AC228,0)</f>
        <v>0</v>
      </c>
      <c r="J228" s="113">
        <f>IF(K228&gt;I228,IF(I228&lt;H228,I228+1,I228)-B_WalkTime,IF(I228&lt;H228,I228+1,I228))</f>
        <v>0</v>
      </c>
      <c r="K228" s="7"/>
      <c r="L228" s="7">
        <f>IF(K228&gt;0,K228+IF((J228-H228)&lt;Y228,Y228-(J228-H228),TIME(0,10,0))+IF((K228-J228)&gt;xNoWorkTime,0,xNoWorkTime-(K228-J228)),0)</f>
        <v>0</v>
      </c>
      <c r="M228" s="113">
        <f>IF(L228&lt;K228,L228+1,L228)</f>
        <v>0</v>
      </c>
      <c r="N228" s="113"/>
      <c r="O228" s="113">
        <f>IF(N228&gt;0,N228+IF((J228-H228+M228-K228)&lt;Y228,Y228-(J228-H228+M228-K228),TIME(0,10,0))+IF((K228-J228+N228-M228)&gt;xNoWorkTime,0,xNoWorkTime-(K228-J228+N228-M228)),0)</f>
        <v>0</v>
      </c>
      <c r="P228" s="113"/>
      <c r="Q228" s="113">
        <f>IF(O228&lt;N228,O228+1,O228)</f>
        <v>0</v>
      </c>
      <c r="R228" s="113">
        <f>J228-H228+M228-K228+Q228-N228</f>
        <v>0</v>
      </c>
      <c r="S228" s="113">
        <f>IF(K228&gt;0,K228-I228,0)+IF(N228&gt;0,N228-L228)</f>
        <v>0</v>
      </c>
      <c r="T228" s="113">
        <f>IF(H228&gt;0,(IF(R228&gt;B_Pause1Nach,B_Pause1Dauer+IF(BA228="Büro",B_WalkTime,0),IF(BA228="Büro",B_WalkTime,0))+IF(R228&gt;B_Pause2Nach,B_Pause2Dauer,0)),0)</f>
        <v>0</v>
      </c>
      <c r="U228" s="113">
        <f>IF(T228&gt;S228,T228-S228,0)</f>
        <v>0</v>
      </c>
      <c r="V228" s="146">
        <f>IF(F228="S",Z228,(IF((R228-U228)&gt;XWorkTimeMax,XWorkTimeMax,IF((R228-U228)&gt;0,R228-U228,0))))</f>
        <v>0</v>
      </c>
      <c r="W228" s="66"/>
      <c r="X228" s="115">
        <f>xNoWorkTime</f>
        <v>4.027777777777778E-2</v>
      </c>
      <c r="Y228" s="110">
        <f>IF(AND((AM228&lt;Feiertag),(G228&lt;&gt;85)),IF(OR(F228="B",F228="G",F228="S",H228&gt;0),H228-H228+Z228,0),0)</f>
        <v>0</v>
      </c>
      <c r="Z228" s="111">
        <f>IF(AND(AM228&gt;0,AM228&lt;Feiertag),INDEX(Arbeitszeit,AM228),"")</f>
        <v>0.29166666666666669</v>
      </c>
      <c r="AA228" s="112">
        <f>V228-Y228</f>
        <v>0</v>
      </c>
      <c r="AB228" s="67" t="str">
        <f>IF((V228-Y228)&lt;0,"*","")</f>
        <v/>
      </c>
      <c r="AC228" s="193">
        <f>xOverTime</f>
        <v>0</v>
      </c>
      <c r="AD228" s="144" t="str">
        <f>IF((R228-U228)&gt;XWorkTimeMax,(R228-U228-XWorkTimeMax),"")</f>
        <v/>
      </c>
      <c r="AE228" s="225">
        <f>IF(AW228,(AE227+SUM(AA228)+(IF(AG228="+",AF228,-AF228))),)</f>
        <v>0</v>
      </c>
      <c r="AF228" s="110"/>
      <c r="AG228" s="627"/>
      <c r="AH228" s="110"/>
      <c r="AI228" s="110" t="str">
        <f>IF(AND(AF228&lt;&gt;"",AF228&lt;=V228),V228-AF228,"")</f>
        <v/>
      </c>
      <c r="AJ228" s="68">
        <f>IF(ISNUMBER(V228 ), IF( V228 &gt;= Y228, Y228, V228 ),"")</f>
        <v>0</v>
      </c>
      <c r="AK228" s="68">
        <f>IF( ISNUMBER( V228 ), IF( V228 &gt;= Y228, V228 - Y228, "" ), "" )</f>
        <v>0</v>
      </c>
      <c r="AL228" s="68" t="str">
        <f>IF( AND(ISNUMBER( V228 ),ISNUMBER( Y228 )), IF( V228 &gt;= Y228, "", Y228 - V228 ), "" )</f>
        <v/>
      </c>
      <c r="AM228">
        <f>IF(A228="",0,IF(ISERROR(VLOOKUP(A228,db_Feiertag,2,FALSE)),WEEKDAY(A228,2),Feiertag))</f>
        <v>5</v>
      </c>
      <c r="AN228" s="122">
        <f>SUM($AD$6:AD228)</f>
        <v>0</v>
      </c>
      <c r="AO228" s="122">
        <f ca="1">IF(D228=D227,AO227,OFFSET(AO228,-1,COLUMN(db_jSaldoGes)-COLUMN()))</f>
        <v>0</v>
      </c>
      <c r="AP228" s="126">
        <f>IF(OR($G228=-1,$G228=82),-1,IF(OR($G228=0,$G228=83),1,0))</f>
        <v>0</v>
      </c>
      <c r="AQ228" s="126">
        <f>IF($F228=Krank,1,IF($F228="J",-1,0))</f>
        <v>0</v>
      </c>
      <c r="AR228" s="126">
        <f>IF($F228=Urlaub,1,IF($F228="T",-1,0))</f>
        <v>0</v>
      </c>
      <c r="AS228" s="125">
        <f>IF(A228="","",AS227-IF(F228=Urlaub,1,0)+IF(AND(MONTH(A228)=1,DAY(A228)=1),B_UrlaubNeu,0))</f>
        <v>30</v>
      </c>
      <c r="AT228" s="125">
        <f ca="1">IF(A228="","",IF(D228=D227,AT227,OFFSET(AT228,-1,COLUMN(db_jUrlRest)-COLUMN()))+IF(AND(MONTH(A228)=1,DAY(A228)=1),B_UrlaubNeu,0))</f>
        <v>30</v>
      </c>
      <c r="AU228" s="135">
        <f>(IF(ISNUMBER(V228),V228,0)+IF(ISNUMBER(AD228),AD228,0))*24</f>
        <v>0</v>
      </c>
      <c r="AV228" s="125">
        <f>IF(ISNUMBER(AD228),K_ArbeitOverMax,IF(AND(ISNUMBER(AA228),AA228&gt;0),K_ArbeitOverTime,IF(AND(ISNUMBER(V228),V228&gt;0),K_ArbeitNormal,IF(F228=Krank,K_Krank,IF(F228=Urlaub,K_Urlaub,IF(AM228=Feiertag,K_Feiertag,IF(OR(AM228=6,AM228=7),K_Wochenende,0)))))))+IF(F228=Gleittag,K_Gleittag,0)</f>
        <v>0</v>
      </c>
      <c r="AW228" t="b">
        <f>OR((F228&gt;0),(NOT(ISBLANK(H228))),SUM(H228:H$373),SUM(G228:G$373))</f>
        <v>0</v>
      </c>
      <c r="AX228" t="b">
        <f ca="1">INDIRECT(ADDRESS(ROW(),COLUMN(xDay)))&gt;5</f>
        <v>0</v>
      </c>
      <c r="AY228" s="600">
        <f>IF(OR(R228&lt;&gt;0,F228&lt;&gt;0),AA228,IF(Z228="",0,-Z228))+(IF(AG228="+",AF228,-AF228))</f>
        <v>-0.29166666666666669</v>
      </c>
      <c r="AZ228" s="225">
        <f>SUM(AY$5:AY228)</f>
        <v>-44.62499999999995</v>
      </c>
      <c r="BA228" s="658"/>
      <c r="BB228" s="658">
        <f>IF(ISNA(MATCH(BA228,B_Arbeitsort,0)),0,MATCH(BA228,B_Arbeitsort,0))</f>
        <v>0</v>
      </c>
      <c r="BC228" s="658"/>
    </row>
    <row r="229" spans="1:55" ht="15.75">
      <c r="A229" s="305">
        <f>IF(A228="","",IF((A228+1)&gt;=DATE(YEAR(xJahr)+1,MONTH(xJahr),DAY(xJahr)),"",A228+1))</f>
        <v>43688</v>
      </c>
      <c r="B229" s="306">
        <f>IF(A229="","",A229)</f>
        <v>43688</v>
      </c>
      <c r="C229" s="307">
        <f>IF(A229="","",NumberOfWeek(A229))</f>
        <v>32</v>
      </c>
      <c r="D229" s="308">
        <f>IF(A229="","",DATE(YEAR(A229),MONTH(A229),1))</f>
        <v>43677</v>
      </c>
      <c r="E229" s="318" t="str">
        <f>IF((R229-U229)&gt;XWorkTimeMax,$Z$4,IF(AV229=Feiertag,VLOOKUP(B229,db_Feiertag,2,FALSE),""))</f>
        <v/>
      </c>
      <c r="F229" s="5"/>
      <c r="G229" s="6" t="str">
        <f>IF(ISBLANK(F229),IF(ISBLANK(H229),"",0),CODE(UPPER(F229)))</f>
        <v/>
      </c>
      <c r="H229" s="7"/>
      <c r="I229" s="7">
        <f>IF(H229&gt;0,H229+Y229+X229+AC229,0)</f>
        <v>0</v>
      </c>
      <c r="J229" s="113">
        <f>IF(K229&gt;I229,IF(I229&lt;H229,I229+1,I229)-B_WalkTime,IF(I229&lt;H229,I229+1,I229))</f>
        <v>0</v>
      </c>
      <c r="K229" s="7"/>
      <c r="L229" s="7">
        <f>IF(K229&gt;0,K229+IF((J229-H229)&lt;Y229,Y229-(J229-H229),TIME(0,10,0))+IF((K229-J229)&gt;xNoWorkTime,0,xNoWorkTime-(K229-J229)),0)</f>
        <v>0</v>
      </c>
      <c r="M229" s="113">
        <f>IF(L229&lt;K229,L229+1,L229)</f>
        <v>0</v>
      </c>
      <c r="N229" s="113"/>
      <c r="O229" s="113">
        <f>IF(N229&gt;0,N229+IF((J229-H229+M229-K229)&lt;Y229,Y229-(J229-H229+M229-K229),TIME(0,10,0))+IF((K229-J229+N229-M229)&gt;xNoWorkTime,0,xNoWorkTime-(K229-J229+N229-M229)),0)</f>
        <v>0</v>
      </c>
      <c r="P229" s="113"/>
      <c r="Q229" s="113">
        <f>IF(O229&lt;N229,O229+1,O229)</f>
        <v>0</v>
      </c>
      <c r="R229" s="113">
        <f>J229-H229+M229-K229+Q229-N229</f>
        <v>0</v>
      </c>
      <c r="S229" s="113">
        <f>IF(K229&gt;0,K229-I229,0)+IF(N229&gt;0,N229-L229)</f>
        <v>0</v>
      </c>
      <c r="T229" s="113">
        <f>IF(H229&gt;0,(IF(R229&gt;B_Pause1Nach,B_Pause1Dauer+IF(BA229="Büro",B_WalkTime,0),IF(BA229="Büro",B_WalkTime,0))+IF(R229&gt;B_Pause2Nach,B_Pause2Dauer,0)),0)</f>
        <v>0</v>
      </c>
      <c r="U229" s="113">
        <f>IF(T229&gt;S229,T229-S229,0)</f>
        <v>0</v>
      </c>
      <c r="V229" s="146">
        <f>IF(F229="S",Z229,(IF((R229-U229)&gt;XWorkTimeMax,XWorkTimeMax,IF((R229-U229)&gt;0,R229-U229,0))))</f>
        <v>0</v>
      </c>
      <c r="W229" s="66"/>
      <c r="X229" s="115">
        <f>xNoWorkTime</f>
        <v>4.027777777777778E-2</v>
      </c>
      <c r="Y229" s="110">
        <f>IF(AND((AM229&lt;Feiertag),(G229&lt;&gt;85)),IF(OR(F229="B",F229="G",F229="S",H229&gt;0),H229-H229+Z229,0),0)</f>
        <v>0</v>
      </c>
      <c r="Z229" s="111">
        <f>IF(AND(AM229&gt;0,AM229&lt;Feiertag),INDEX(Arbeitszeit,AM229),"")</f>
        <v>0</v>
      </c>
      <c r="AA229" s="112">
        <f>V229-Y229</f>
        <v>0</v>
      </c>
      <c r="AB229" s="67" t="str">
        <f>IF((V229-Y229)&lt;0,"*","")</f>
        <v/>
      </c>
      <c r="AC229" s="193">
        <f>xOverTime</f>
        <v>0</v>
      </c>
      <c r="AD229" s="144" t="str">
        <f>IF((R229-U229)&gt;XWorkTimeMax,(R229-U229-XWorkTimeMax),"")</f>
        <v/>
      </c>
      <c r="AE229" s="225">
        <f>IF(AW229,(AE228+SUM(AA229)+(IF(AG229="+",AF229,-AF229))),)</f>
        <v>0</v>
      </c>
      <c r="AF229" s="110"/>
      <c r="AG229" s="627"/>
      <c r="AH229" s="110"/>
      <c r="AI229" s="110" t="str">
        <f>IF(AND(AF229&lt;&gt;"",AF229&lt;=V229),V229-AF229,"")</f>
        <v/>
      </c>
      <c r="AJ229" s="68">
        <f>IF(ISNUMBER(V229 ), IF( V229 &gt;= Y229, Y229, V229 ),"")</f>
        <v>0</v>
      </c>
      <c r="AK229" s="68">
        <f>IF( ISNUMBER( V229 ), IF( V229 &gt;= Y229, V229 - Y229, "" ), "" )</f>
        <v>0</v>
      </c>
      <c r="AL229" s="68" t="str">
        <f>IF( AND(ISNUMBER( V229 ),ISNUMBER( Y229 )), IF( V229 &gt;= Y229, "", Y229 - V229 ), "" )</f>
        <v/>
      </c>
      <c r="AM229">
        <f>IF(A229="",0,IF(ISERROR(VLOOKUP(A229,db_Feiertag,2,FALSE)),WEEKDAY(A229,2),Feiertag))</f>
        <v>6</v>
      </c>
      <c r="AN229" s="122">
        <f>SUM($AD$6:AD229)</f>
        <v>0</v>
      </c>
      <c r="AO229" s="122">
        <f ca="1">IF(D229=D228,AO228,OFFSET(AO229,-1,COLUMN(db_jSaldoGes)-COLUMN()))</f>
        <v>0</v>
      </c>
      <c r="AP229" s="126">
        <f>IF(OR($G229=-1,$G229=82),-1,IF(OR($G229=0,$G229=83),1,0))</f>
        <v>0</v>
      </c>
      <c r="AQ229" s="126">
        <f>IF($F229=Krank,1,IF($F229="J",-1,0))</f>
        <v>0</v>
      </c>
      <c r="AR229" s="126">
        <f>IF($F229=Urlaub,1,IF($F229="T",-1,0))</f>
        <v>0</v>
      </c>
      <c r="AS229" s="125">
        <f>IF(A229="","",AS228-IF(F229=Urlaub,1,0)+IF(AND(MONTH(A229)=1,DAY(A229)=1),B_UrlaubNeu,0))</f>
        <v>30</v>
      </c>
      <c r="AT229" s="125">
        <f ca="1">IF(A229="","",IF(D229=D228,AT228,OFFSET(AT229,-1,COLUMN(db_jUrlRest)-COLUMN()))+IF(AND(MONTH(A229)=1,DAY(A229)=1),B_UrlaubNeu,0))</f>
        <v>30</v>
      </c>
      <c r="AU229" s="135">
        <f>(IF(ISNUMBER(V229),V229,0)+IF(ISNUMBER(AD229),AD229,0))*24</f>
        <v>0</v>
      </c>
      <c r="AV229" s="125">
        <f>IF(ISNUMBER(AD229),K_ArbeitOverMax,IF(AND(ISNUMBER(AA229),AA229&gt;0),K_ArbeitOverTime,IF(AND(ISNUMBER(V229),V229&gt;0),K_ArbeitNormal,IF(F229=Krank,K_Krank,IF(F229=Urlaub,K_Urlaub,IF(AM229=Feiertag,K_Feiertag,IF(OR(AM229=6,AM229=7),K_Wochenende,0)))))))+IF(F229=Gleittag,K_Gleittag,0)</f>
        <v>7</v>
      </c>
      <c r="AW229" t="b">
        <f>OR((F229&gt;0),(NOT(ISBLANK(H229))),SUM(H229:H$373),SUM(G229:G$373))</f>
        <v>0</v>
      </c>
      <c r="AX229" t="b">
        <f ca="1">INDIRECT(ADDRESS(ROW(),COLUMN(xDay)))&gt;5</f>
        <v>1</v>
      </c>
      <c r="AY229" s="600">
        <f>IF(OR(R229&lt;&gt;0,F229&lt;&gt;0),AA229,IF(Z229="",0,-Z229))+(IF(AG229="+",AF229,-AF229))</f>
        <v>0</v>
      </c>
      <c r="AZ229" s="225">
        <f>SUM(AY$5:AY229)</f>
        <v>-44.62499999999995</v>
      </c>
      <c r="BA229" s="643"/>
      <c r="BB229" s="658">
        <f>IF(ISNA(MATCH(BA229,B_Arbeitsort,0)),0,MATCH(BA229,B_Arbeitsort,0))</f>
        <v>0</v>
      </c>
      <c r="BC229" s="643"/>
    </row>
    <row r="230" spans="1:55" ht="15.75">
      <c r="A230" s="305">
        <f>IF(A229="","",IF((A229+1)&gt;=DATE(YEAR(xJahr)+1,MONTH(xJahr),DAY(xJahr)),"",A229+1))</f>
        <v>43689</v>
      </c>
      <c r="B230" s="306">
        <f>IF(A230="","",A230)</f>
        <v>43689</v>
      </c>
      <c r="C230" s="307">
        <f>IF(A230="","",NumberOfWeek(A230))</f>
        <v>32</v>
      </c>
      <c r="D230" s="308">
        <f>IF(A230="","",DATE(YEAR(A230),MONTH(A230),1))</f>
        <v>43677</v>
      </c>
      <c r="E230" s="318" t="str">
        <f>IF((R230-U230)&gt;XWorkTimeMax,$Z$4,IF(AV230=Feiertag,VLOOKUP(B230,db_Feiertag,2,FALSE),""))</f>
        <v/>
      </c>
      <c r="F230" s="5"/>
      <c r="G230" s="6" t="str">
        <f>IF(ISBLANK(F230),IF(ISBLANK(H230),"",0),CODE(UPPER(F230)))</f>
        <v/>
      </c>
      <c r="H230" s="7"/>
      <c r="I230" s="7">
        <f>IF(H230&gt;0,H230+Y230+X230+AC230,0)</f>
        <v>0</v>
      </c>
      <c r="J230" s="113">
        <f>IF(K230&gt;I230,IF(I230&lt;H230,I230+1,I230)-B_WalkTime,IF(I230&lt;H230,I230+1,I230))</f>
        <v>0</v>
      </c>
      <c r="K230" s="7"/>
      <c r="L230" s="7">
        <f>IF(K230&gt;0,K230+IF((J230-H230)&lt;Y230,Y230-(J230-H230),TIME(0,10,0))+IF((K230-J230)&gt;xNoWorkTime,0,xNoWorkTime-(K230-J230)),0)</f>
        <v>0</v>
      </c>
      <c r="M230" s="113">
        <f>IF(L230&lt;K230,L230+1,L230)</f>
        <v>0</v>
      </c>
      <c r="N230" s="113"/>
      <c r="O230" s="113">
        <f>IF(N230&gt;0,N230+IF((J230-H230+M230-K230)&lt;Y230,Y230-(J230-H230+M230-K230),TIME(0,10,0))+IF((K230-J230+N230-M230)&gt;xNoWorkTime,0,xNoWorkTime-(K230-J230+N230-M230)),0)</f>
        <v>0</v>
      </c>
      <c r="P230" s="113"/>
      <c r="Q230" s="113">
        <f>IF(O230&lt;N230,O230+1,O230)</f>
        <v>0</v>
      </c>
      <c r="R230" s="113">
        <f>J230-H230+M230-K230+Q230-N230</f>
        <v>0</v>
      </c>
      <c r="S230" s="113">
        <f>IF(K230&gt;0,K230-I230,0)+IF(N230&gt;0,N230-L230)</f>
        <v>0</v>
      </c>
      <c r="T230" s="113">
        <f>IF(H230&gt;0,(IF(R230&gt;B_Pause1Nach,B_Pause1Dauer+IF(BA230="Büro",B_WalkTime,0),IF(BA230="Büro",B_WalkTime,0))+IF(R230&gt;B_Pause2Nach,B_Pause2Dauer,0)),0)</f>
        <v>0</v>
      </c>
      <c r="U230" s="113">
        <f>IF(T230&gt;S230,T230-S230,0)</f>
        <v>0</v>
      </c>
      <c r="V230" s="146">
        <f>IF(F230="S",Z230,(IF((R230-U230)&gt;XWorkTimeMax,XWorkTimeMax,IF((R230-U230)&gt;0,R230-U230,0))))</f>
        <v>0</v>
      </c>
      <c r="W230" s="66"/>
      <c r="X230" s="115">
        <f>xNoWorkTime</f>
        <v>4.027777777777778E-2</v>
      </c>
      <c r="Y230" s="110">
        <f>IF(AND((AM230&lt;Feiertag),(G230&lt;&gt;85)),IF(OR(F230="B",F230="G",F230="S",H230&gt;0),H230-H230+Z230,0),0)</f>
        <v>0</v>
      </c>
      <c r="Z230" s="111">
        <f>IF(AND(AM230&gt;0,AM230&lt;Feiertag),INDEX(Arbeitszeit,AM230),"")</f>
        <v>0</v>
      </c>
      <c r="AA230" s="112">
        <f>V230-Y230</f>
        <v>0</v>
      </c>
      <c r="AB230" s="67" t="str">
        <f>IF((V230-Y230)&lt;0,"*","")</f>
        <v/>
      </c>
      <c r="AC230" s="193">
        <f>xOverTime</f>
        <v>0</v>
      </c>
      <c r="AD230" s="144" t="str">
        <f>IF((R230-U230)&gt;XWorkTimeMax,(R230-U230-XWorkTimeMax),"")</f>
        <v/>
      </c>
      <c r="AE230" s="225">
        <f>IF(AW230,(AE229+SUM(AA230)+(IF(AG230="+",AF230,-AF230))),)</f>
        <v>0</v>
      </c>
      <c r="AF230" s="110"/>
      <c r="AG230" s="627"/>
      <c r="AH230" s="110"/>
      <c r="AI230" s="110" t="str">
        <f>IF(AND(AF230&lt;&gt;"",AF230&lt;=V230),V230-AF230,"")</f>
        <v/>
      </c>
      <c r="AJ230" s="68">
        <f>IF(ISNUMBER(V230 ), IF( V230 &gt;= Y230, Y230, V230 ),"")</f>
        <v>0</v>
      </c>
      <c r="AK230" s="68">
        <f>IF( ISNUMBER( V230 ), IF( V230 &gt;= Y230, V230 - Y230, "" ), "" )</f>
        <v>0</v>
      </c>
      <c r="AL230" s="68" t="str">
        <f>IF( AND(ISNUMBER( V230 ),ISNUMBER( Y230 )), IF( V230 &gt;= Y230, "", Y230 - V230 ), "" )</f>
        <v/>
      </c>
      <c r="AM230">
        <f>IF(A230="",0,IF(ISERROR(VLOOKUP(A230,db_Feiertag,2,FALSE)),WEEKDAY(A230,2),Feiertag))</f>
        <v>7</v>
      </c>
      <c r="AN230" s="122">
        <f>SUM($AD$6:AD230)</f>
        <v>0</v>
      </c>
      <c r="AO230" s="122">
        <f ca="1">IF(D230=D229,AO229,OFFSET(AO230,-1,COLUMN(db_jSaldoGes)-COLUMN()))</f>
        <v>0</v>
      </c>
      <c r="AP230" s="126">
        <f>IF(OR($G230=-1,$G230=82),-1,IF(OR($G230=0,$G230=83),1,0))</f>
        <v>0</v>
      </c>
      <c r="AQ230" s="126">
        <f>IF($F230=Krank,1,IF($F230="J",-1,0))</f>
        <v>0</v>
      </c>
      <c r="AR230" s="126">
        <f>IF($F230=Urlaub,1,IF($F230="T",-1,0))</f>
        <v>0</v>
      </c>
      <c r="AS230" s="125">
        <f>IF(A230="","",AS229-IF(F230=Urlaub,1,0)+IF(AND(MONTH(A230)=1,DAY(A230)=1),B_UrlaubNeu,0))</f>
        <v>30</v>
      </c>
      <c r="AT230" s="125">
        <f ca="1">IF(A230="","",IF(D230=D229,AT229,OFFSET(AT230,-1,COLUMN(db_jUrlRest)-COLUMN()))+IF(AND(MONTH(A230)=1,DAY(A230)=1),B_UrlaubNeu,0))</f>
        <v>30</v>
      </c>
      <c r="AU230" s="135">
        <f>(IF(ISNUMBER(V230),V230,0)+IF(ISNUMBER(AD230),AD230,0))*24</f>
        <v>0</v>
      </c>
      <c r="AV230" s="125">
        <f>IF(ISNUMBER(AD230),K_ArbeitOverMax,IF(AND(ISNUMBER(AA230),AA230&gt;0),K_ArbeitOverTime,IF(AND(ISNUMBER(V230),V230&gt;0),K_ArbeitNormal,IF(F230=Krank,K_Krank,IF(F230=Urlaub,K_Urlaub,IF(AM230=Feiertag,K_Feiertag,IF(OR(AM230=6,AM230=7),K_Wochenende,0)))))))+IF(F230=Gleittag,K_Gleittag,0)</f>
        <v>7</v>
      </c>
      <c r="AW230" t="b">
        <f>OR((F230&gt;0),(NOT(ISBLANK(H230))),SUM(H230:H$373),SUM(G230:G$373))</f>
        <v>0</v>
      </c>
      <c r="AX230" t="b">
        <f ca="1">INDIRECT(ADDRESS(ROW(),COLUMN(xDay)))&gt;5</f>
        <v>1</v>
      </c>
      <c r="AY230" s="600">
        <f>IF(OR(R230&lt;&gt;0,F230&lt;&gt;0),AA230,IF(Z230="",0,-Z230))+(IF(AG230="+",AF230,-AF230))</f>
        <v>0</v>
      </c>
      <c r="AZ230" s="225">
        <f>SUM(AY$5:AY230)</f>
        <v>-44.62499999999995</v>
      </c>
      <c r="BA230" s="643"/>
      <c r="BB230" s="658">
        <f>IF(ISNA(MATCH(BA230,B_Arbeitsort,0)),0,MATCH(BA230,B_Arbeitsort,0))</f>
        <v>0</v>
      </c>
      <c r="BC230" s="643"/>
    </row>
    <row r="231" spans="1:55" ht="15.75">
      <c r="A231" s="305">
        <f>IF(A230="","",IF((A230+1)&gt;=DATE(YEAR(xJahr)+1,MONTH(xJahr),DAY(xJahr)),"",A230+1))</f>
        <v>43690</v>
      </c>
      <c r="B231" s="306">
        <f>IF(A231="","",A231)</f>
        <v>43690</v>
      </c>
      <c r="C231" s="307">
        <f>IF(A231="","",NumberOfWeek(A231))</f>
        <v>33</v>
      </c>
      <c r="D231" s="308">
        <f>IF(A231="","",DATE(YEAR(A231),MONTH(A231),1))</f>
        <v>43677</v>
      </c>
      <c r="E231" s="318" t="str">
        <f>IF((R231-U231)&gt;XWorkTimeMax,$Z$4,IF(AV231=Feiertag,VLOOKUP(B231,db_Feiertag,2,FALSE),""))</f>
        <v/>
      </c>
      <c r="F231" s="5"/>
      <c r="G231" s="6" t="str">
        <f>IF(ISBLANK(F231),IF(ISBLANK(H231),"",0),CODE(UPPER(F231)))</f>
        <v/>
      </c>
      <c r="H231" s="7"/>
      <c r="I231" s="7">
        <f>IF(H231&gt;0,H231+Y231+X231+AC231,0)</f>
        <v>0</v>
      </c>
      <c r="J231" s="113">
        <f>IF(K231&gt;I231,IF(I231&lt;H231,I231+1,I231)-B_WalkTime,IF(I231&lt;H231,I231+1,I231))</f>
        <v>0</v>
      </c>
      <c r="K231" s="7"/>
      <c r="L231" s="7">
        <f>IF(K231&gt;0,K231+IF((J231-H231)&lt;Y231,Y231-(J231-H231),TIME(0,10,0))+IF((K231-J231)&gt;xNoWorkTime,0,xNoWorkTime-(K231-J231)),0)</f>
        <v>0</v>
      </c>
      <c r="M231" s="113">
        <f>IF(L231&lt;K231,L231+1,L231)</f>
        <v>0</v>
      </c>
      <c r="N231" s="113"/>
      <c r="O231" s="113">
        <f>IF(N231&gt;0,N231+IF((J231-H231+M231-K231)&lt;Y231,Y231-(J231-H231+M231-K231),TIME(0,10,0))+IF((K231-J231+N231-M231)&gt;xNoWorkTime,0,xNoWorkTime-(K231-J231+N231-M231)),0)</f>
        <v>0</v>
      </c>
      <c r="P231" s="113"/>
      <c r="Q231" s="113">
        <f>IF(O231&lt;N231,O231+1,O231)</f>
        <v>0</v>
      </c>
      <c r="R231" s="113">
        <f>J231-H231+M231-K231+Q231-N231</f>
        <v>0</v>
      </c>
      <c r="S231" s="113">
        <f>IF(K231&gt;0,K231-I231,0)+IF(N231&gt;0,N231-L231)</f>
        <v>0</v>
      </c>
      <c r="T231" s="113">
        <f>IF(H231&gt;0,(IF(R231&gt;B_Pause1Nach,B_Pause1Dauer+IF(BA231="Büro",B_WalkTime,0),IF(BA231="Büro",B_WalkTime,0))+IF(R231&gt;B_Pause2Nach,B_Pause2Dauer,0)),0)</f>
        <v>0</v>
      </c>
      <c r="U231" s="113">
        <f>IF(T231&gt;S231,T231-S231,0)</f>
        <v>0</v>
      </c>
      <c r="V231" s="146">
        <f>IF(F231="S",Z231,(IF((R231-U231)&gt;XWorkTimeMax,XWorkTimeMax,IF((R231-U231)&gt;0,R231-U231,0))))</f>
        <v>0</v>
      </c>
      <c r="W231" s="66"/>
      <c r="X231" s="115">
        <f>xNoWorkTime</f>
        <v>4.027777777777778E-2</v>
      </c>
      <c r="Y231" s="110">
        <f>IF(AND((AM231&lt;Feiertag),(G231&lt;&gt;85)),IF(OR(F231="B",F231="G",F231="S",H231&gt;0),H231-H231+Z231,0),0)</f>
        <v>0</v>
      </c>
      <c r="Z231" s="111">
        <f>IF(AND(AM231&gt;0,AM231&lt;Feiertag),INDEX(Arbeitszeit,AM231),"")</f>
        <v>0.29166666666666669</v>
      </c>
      <c r="AA231" s="112">
        <f>V231-Y231</f>
        <v>0</v>
      </c>
      <c r="AB231" s="67" t="str">
        <f>IF((V231-Y231)&lt;0,"*","")</f>
        <v/>
      </c>
      <c r="AC231" s="193">
        <f>xOverTime</f>
        <v>0</v>
      </c>
      <c r="AD231" s="144" t="str">
        <f>IF((R231-U231)&gt;XWorkTimeMax,(R231-U231-XWorkTimeMax),"")</f>
        <v/>
      </c>
      <c r="AE231" s="225">
        <f>IF(AW231,(AE230+SUM(AA231)+(IF(AG231="+",AF231,-AF231))),)</f>
        <v>0</v>
      </c>
      <c r="AF231" s="110"/>
      <c r="AG231" s="627"/>
      <c r="AH231" s="110"/>
      <c r="AI231" s="110" t="str">
        <f>IF(AND(AF231&lt;&gt;"",AF231&lt;=V231),V231-AF231,"")</f>
        <v/>
      </c>
      <c r="AJ231" s="68">
        <f>IF(ISNUMBER(V231 ), IF( V231 &gt;= Y231, Y231, V231 ),"")</f>
        <v>0</v>
      </c>
      <c r="AK231" s="68">
        <f>IF( ISNUMBER( V231 ), IF( V231 &gt;= Y231, V231 - Y231, "" ), "" )</f>
        <v>0</v>
      </c>
      <c r="AL231" s="68" t="str">
        <f>IF( AND(ISNUMBER( V231 ),ISNUMBER( Y231 )), IF( V231 &gt;= Y231, "", Y231 - V231 ), "" )</f>
        <v/>
      </c>
      <c r="AM231">
        <f>IF(A231="",0,IF(ISERROR(VLOOKUP(A231,db_Feiertag,2,FALSE)),WEEKDAY(A231,2),Feiertag))</f>
        <v>1</v>
      </c>
      <c r="AN231" s="122">
        <f>SUM($AD$6:AD231)</f>
        <v>0</v>
      </c>
      <c r="AO231" s="122">
        <f ca="1">IF(D231=D230,AO230,OFFSET(AO231,-1,COLUMN(db_jSaldoGes)-COLUMN()))</f>
        <v>0</v>
      </c>
      <c r="AP231" s="126">
        <f>IF(OR($G231=-1,$G231=82),-1,IF(OR($G231=0,$G231=83),1,0))</f>
        <v>0</v>
      </c>
      <c r="AQ231" s="126">
        <f>IF($F231=Krank,1,IF($F231="J",-1,0))</f>
        <v>0</v>
      </c>
      <c r="AR231" s="126">
        <f>IF($F231=Urlaub,1,IF($F231="T",-1,0))</f>
        <v>0</v>
      </c>
      <c r="AS231" s="125">
        <f>IF(A231="","",AS230-IF(F231=Urlaub,1,0)+IF(AND(MONTH(A231)=1,DAY(A231)=1),B_UrlaubNeu,0))</f>
        <v>30</v>
      </c>
      <c r="AT231" s="125">
        <f ca="1">IF(A231="","",IF(D231=D230,AT230,OFFSET(AT231,-1,COLUMN(db_jUrlRest)-COLUMN()))+IF(AND(MONTH(A231)=1,DAY(A231)=1),B_UrlaubNeu,0))</f>
        <v>30</v>
      </c>
      <c r="AU231" s="135">
        <f>(IF(ISNUMBER(V231),V231,0)+IF(ISNUMBER(AD231),AD231,0))*24</f>
        <v>0</v>
      </c>
      <c r="AV231" s="125">
        <f>IF(ISNUMBER(AD231),K_ArbeitOverMax,IF(AND(ISNUMBER(AA231),AA231&gt;0),K_ArbeitOverTime,IF(AND(ISNUMBER(V231),V231&gt;0),K_ArbeitNormal,IF(F231=Krank,K_Krank,IF(F231=Urlaub,K_Urlaub,IF(AM231=Feiertag,K_Feiertag,IF(OR(AM231=6,AM231=7),K_Wochenende,0)))))))+IF(F231=Gleittag,K_Gleittag,0)</f>
        <v>0</v>
      </c>
      <c r="AW231" t="b">
        <f>OR((F231&gt;0),(NOT(ISBLANK(H231))),SUM(H231:H$373),SUM(G231:G$373))</f>
        <v>0</v>
      </c>
      <c r="AX231" t="b">
        <f ca="1">INDIRECT(ADDRESS(ROW(),COLUMN(xDay)))&gt;5</f>
        <v>0</v>
      </c>
      <c r="AY231" s="600">
        <f>IF(OR(R231&lt;&gt;0,F231&lt;&gt;0),AA231,IF(Z231="",0,-Z231))+(IF(AG231="+",AF231,-AF231))</f>
        <v>-0.29166666666666669</v>
      </c>
      <c r="AZ231" s="225">
        <f>SUM(AY$5:AY231)</f>
        <v>-44.916666666666615</v>
      </c>
      <c r="BA231" s="658"/>
      <c r="BB231" s="658">
        <f>IF(ISNA(MATCH(BA231,B_Arbeitsort,0)),0,MATCH(BA231,B_Arbeitsort,0))</f>
        <v>0</v>
      </c>
      <c r="BC231" s="658"/>
    </row>
    <row r="232" spans="1:55" ht="15.75">
      <c r="A232" s="305">
        <f>IF(A231="","",IF((A231+1)&gt;=DATE(YEAR(xJahr)+1,MONTH(xJahr),DAY(xJahr)),"",A231+1))</f>
        <v>43691</v>
      </c>
      <c r="B232" s="306">
        <f>IF(A232="","",A232)</f>
        <v>43691</v>
      </c>
      <c r="C232" s="307">
        <f>IF(A232="","",NumberOfWeek(A232))</f>
        <v>33</v>
      </c>
      <c r="D232" s="308">
        <f>IF(A232="","",DATE(YEAR(A232),MONTH(A232),1))</f>
        <v>43677</v>
      </c>
      <c r="E232" s="318" t="str">
        <f>IF((R232-U232)&gt;XWorkTimeMax,$Z$4,IF(AV232=Feiertag,VLOOKUP(B232,db_Feiertag,2,FALSE),""))</f>
        <v/>
      </c>
      <c r="F232" s="5"/>
      <c r="G232" s="6" t="str">
        <f>IF(ISBLANK(F232),IF(ISBLANK(H232),"",0),CODE(UPPER(F232)))</f>
        <v/>
      </c>
      <c r="H232" s="7"/>
      <c r="I232" s="7">
        <f>IF(H232&gt;0,H232+Y232+X232+AC232,0)</f>
        <v>0</v>
      </c>
      <c r="J232" s="113">
        <f>IF(K232&gt;I232,IF(I232&lt;H232,I232+1,I232)-B_WalkTime,IF(I232&lt;H232,I232+1,I232))</f>
        <v>0</v>
      </c>
      <c r="K232" s="7"/>
      <c r="L232" s="7">
        <f>IF(K232&gt;0,K232+IF((J232-H232)&lt;Y232,Y232-(J232-H232),TIME(0,10,0))+IF((K232-J232)&gt;xNoWorkTime,0,xNoWorkTime-(K232-J232)),0)</f>
        <v>0</v>
      </c>
      <c r="M232" s="113">
        <f>IF(L232&lt;K232,L232+1,L232)</f>
        <v>0</v>
      </c>
      <c r="N232" s="113"/>
      <c r="O232" s="113">
        <f>IF(N232&gt;0,N232+IF((J232-H232+M232-K232)&lt;Y232,Y232-(J232-H232+M232-K232),TIME(0,10,0))+IF((K232-J232+N232-M232)&gt;xNoWorkTime,0,xNoWorkTime-(K232-J232+N232-M232)),0)</f>
        <v>0</v>
      </c>
      <c r="P232" s="113"/>
      <c r="Q232" s="113">
        <f>IF(O232&lt;N232,O232+1,O232)</f>
        <v>0</v>
      </c>
      <c r="R232" s="113">
        <f>J232-H232+M232-K232+Q232-N232</f>
        <v>0</v>
      </c>
      <c r="S232" s="113">
        <f>IF(K232&gt;0,K232-I232,0)+IF(N232&gt;0,N232-L232)</f>
        <v>0</v>
      </c>
      <c r="T232" s="113">
        <f>IF(H232&gt;0,(IF(R232&gt;B_Pause1Nach,B_Pause1Dauer+IF(BA232="Büro",B_WalkTime,0),IF(BA232="Büro",B_WalkTime,0))+IF(R232&gt;B_Pause2Nach,B_Pause2Dauer,0)),0)</f>
        <v>0</v>
      </c>
      <c r="U232" s="113">
        <f>IF(T232&gt;S232,T232-S232,0)</f>
        <v>0</v>
      </c>
      <c r="V232" s="146">
        <f>IF(F232="S",Z232,(IF((R232-U232)&gt;XWorkTimeMax,XWorkTimeMax,IF((R232-U232)&gt;0,R232-U232,0))))</f>
        <v>0</v>
      </c>
      <c r="W232" s="66"/>
      <c r="X232" s="115">
        <f>xNoWorkTime</f>
        <v>4.027777777777778E-2</v>
      </c>
      <c r="Y232" s="110">
        <f>IF(AND((AM232&lt;Feiertag),(G232&lt;&gt;85)),IF(OR(F232="B",F232="G",F232="S",H232&gt;0),H232-H232+Z232,0),0)</f>
        <v>0</v>
      </c>
      <c r="Z232" s="111">
        <f>IF(AND(AM232&gt;0,AM232&lt;Feiertag),INDEX(Arbeitszeit,AM232),"")</f>
        <v>0.29166666666666669</v>
      </c>
      <c r="AA232" s="112">
        <f>V232-Y232</f>
        <v>0</v>
      </c>
      <c r="AB232" s="67" t="str">
        <f>IF((V232-Y232)&lt;0,"*","")</f>
        <v/>
      </c>
      <c r="AC232" s="193">
        <f>xOverTime</f>
        <v>0</v>
      </c>
      <c r="AD232" s="144" t="str">
        <f>IF((R232-U232)&gt;XWorkTimeMax,(R232-U232-XWorkTimeMax),"")</f>
        <v/>
      </c>
      <c r="AE232" s="225">
        <f>IF(AW232,(AE231+SUM(AA232)+(IF(AG232="+",AF232,-AF232))),)</f>
        <v>0</v>
      </c>
      <c r="AF232" s="110"/>
      <c r="AG232" s="627"/>
      <c r="AH232" s="110"/>
      <c r="AI232" s="110" t="str">
        <f>IF(AND(AF232&lt;&gt;"",AF232&lt;=V232),V232-AF232,"")</f>
        <v/>
      </c>
      <c r="AJ232" s="68">
        <f>IF(ISNUMBER(V232 ), IF( V232 &gt;= Y232, Y232, V232 ),"")</f>
        <v>0</v>
      </c>
      <c r="AK232" s="68">
        <f>IF( ISNUMBER( V232 ), IF( V232 &gt;= Y232, V232 - Y232, "" ), "" )</f>
        <v>0</v>
      </c>
      <c r="AL232" s="68" t="str">
        <f>IF( AND(ISNUMBER( V232 ),ISNUMBER( Y232 )), IF( V232 &gt;= Y232, "", Y232 - V232 ), "" )</f>
        <v/>
      </c>
      <c r="AM232">
        <f>IF(A232="",0,IF(ISERROR(VLOOKUP(A232,db_Feiertag,2,FALSE)),WEEKDAY(A232,2),Feiertag))</f>
        <v>2</v>
      </c>
      <c r="AN232" s="122">
        <f>SUM($AD$6:AD232)</f>
        <v>0</v>
      </c>
      <c r="AO232" s="122">
        <f ca="1">IF(D232=D231,AO231,OFFSET(AO232,-1,COLUMN(db_jSaldoGes)-COLUMN()))</f>
        <v>0</v>
      </c>
      <c r="AP232" s="126">
        <f>IF(OR($G232=-1,$G232=82),-1,IF(OR($G232=0,$G232=83),1,0))</f>
        <v>0</v>
      </c>
      <c r="AQ232" s="126">
        <f>IF($F232=Krank,1,IF($F232="J",-1,0))</f>
        <v>0</v>
      </c>
      <c r="AR232" s="126">
        <f>IF($F232=Urlaub,1,IF($F232="T",-1,0))</f>
        <v>0</v>
      </c>
      <c r="AS232" s="125">
        <f>IF(A232="","",AS231-IF(F232=Urlaub,1,0)+IF(AND(MONTH(A232)=1,DAY(A232)=1),B_UrlaubNeu,0))</f>
        <v>30</v>
      </c>
      <c r="AT232" s="125">
        <f ca="1">IF(A232="","",IF(D232=D231,AT231,OFFSET(AT232,-1,COLUMN(db_jUrlRest)-COLUMN()))+IF(AND(MONTH(A232)=1,DAY(A232)=1),B_UrlaubNeu,0))</f>
        <v>30</v>
      </c>
      <c r="AU232" s="135">
        <f>(IF(ISNUMBER(V232),V232,0)+IF(ISNUMBER(AD232),AD232,0))*24</f>
        <v>0</v>
      </c>
      <c r="AV232" s="125">
        <f>IF(ISNUMBER(AD232),K_ArbeitOverMax,IF(AND(ISNUMBER(AA232),AA232&gt;0),K_ArbeitOverTime,IF(AND(ISNUMBER(V232),V232&gt;0),K_ArbeitNormal,IF(F232=Krank,K_Krank,IF(F232=Urlaub,K_Urlaub,IF(AM232=Feiertag,K_Feiertag,IF(OR(AM232=6,AM232=7),K_Wochenende,0)))))))+IF(F232=Gleittag,K_Gleittag,0)</f>
        <v>0</v>
      </c>
      <c r="AW232" t="b">
        <f>OR((F232&gt;0),(NOT(ISBLANK(H232))),SUM(H232:H$373),SUM(G232:G$373))</f>
        <v>0</v>
      </c>
      <c r="AX232" t="b">
        <f ca="1">INDIRECT(ADDRESS(ROW(),COLUMN(xDay)))&gt;5</f>
        <v>0</v>
      </c>
      <c r="AY232" s="600">
        <f>IF(OR(R232&lt;&gt;0,F232&lt;&gt;0),AA232,IF(Z232="",0,-Z232))+(IF(AG232="+",AF232,-AF232))</f>
        <v>-0.29166666666666669</v>
      </c>
      <c r="AZ232" s="225">
        <f>SUM(AY$5:AY232)</f>
        <v>-45.208333333333279</v>
      </c>
      <c r="BA232" s="658"/>
      <c r="BB232" s="658">
        <f>IF(ISNA(MATCH(BA232,B_Arbeitsort,0)),0,MATCH(BA232,B_Arbeitsort,0))</f>
        <v>0</v>
      </c>
      <c r="BC232" s="658"/>
    </row>
    <row r="233" spans="1:55" ht="15.75">
      <c r="A233" s="305">
        <f>IF(A232="","",IF((A232+1)&gt;=DATE(YEAR(xJahr)+1,MONTH(xJahr),DAY(xJahr)),"",A232+1))</f>
        <v>43692</v>
      </c>
      <c r="B233" s="306">
        <f>IF(A233="","",A233)</f>
        <v>43692</v>
      </c>
      <c r="C233" s="307">
        <f>IF(A233="","",NumberOfWeek(A233))</f>
        <v>33</v>
      </c>
      <c r="D233" s="308">
        <f>IF(A233="","",DATE(YEAR(A233),MONTH(A233),1))</f>
        <v>43677</v>
      </c>
      <c r="E233" s="318" t="str">
        <f>IF((R233-U233)&gt;XWorkTimeMax,$Z$4,IF(AV233=Feiertag,VLOOKUP(B233,db_Feiertag,2,FALSE),""))</f>
        <v/>
      </c>
      <c r="F233" s="5"/>
      <c r="G233" s="6" t="str">
        <f>IF(ISBLANK(F233),IF(ISBLANK(H233),"",0),CODE(UPPER(F233)))</f>
        <v/>
      </c>
      <c r="H233" s="7"/>
      <c r="I233" s="7">
        <f>IF(H233&gt;0,H233+Y233+X233+AC233,0)</f>
        <v>0</v>
      </c>
      <c r="J233" s="113">
        <f>IF(K233&gt;I233,IF(I233&lt;H233,I233+1,I233)-B_WalkTime,IF(I233&lt;H233,I233+1,I233))</f>
        <v>0</v>
      </c>
      <c r="K233" s="7"/>
      <c r="L233" s="7">
        <f>IF(K233&gt;0,K233+IF((J233-H233)&lt;Y233,Y233-(J233-H233),TIME(0,10,0))+IF((K233-J233)&gt;xNoWorkTime,0,xNoWorkTime-(K233-J233)),0)</f>
        <v>0</v>
      </c>
      <c r="M233" s="113">
        <f>IF(L233&lt;K233,L233+1,L233)</f>
        <v>0</v>
      </c>
      <c r="N233" s="113"/>
      <c r="O233" s="113">
        <f>IF(N233&gt;0,N233+IF((J233-H233+M233-K233)&lt;Y233,Y233-(J233-H233+M233-K233),TIME(0,10,0))+IF((K233-J233+N233-M233)&gt;xNoWorkTime,0,xNoWorkTime-(K233-J233+N233-M233)),0)</f>
        <v>0</v>
      </c>
      <c r="P233" s="113"/>
      <c r="Q233" s="113">
        <f>IF(O233&lt;N233,O233+1,O233)</f>
        <v>0</v>
      </c>
      <c r="R233" s="113">
        <f>J233-H233+M233-K233+Q233-N233</f>
        <v>0</v>
      </c>
      <c r="S233" s="113">
        <f>IF(K233&gt;0,K233-I233,0)+IF(N233&gt;0,N233-L233)</f>
        <v>0</v>
      </c>
      <c r="T233" s="113">
        <f>IF(H233&gt;0,(IF(R233&gt;B_Pause1Nach,B_Pause1Dauer+IF(BA233="Büro",B_WalkTime,0),IF(BA233="Büro",B_WalkTime,0))+IF(R233&gt;B_Pause2Nach,B_Pause2Dauer,0)),0)</f>
        <v>0</v>
      </c>
      <c r="U233" s="113">
        <f>IF(T233&gt;S233,T233-S233,0)</f>
        <v>0</v>
      </c>
      <c r="V233" s="146">
        <f>IF(F233="S",Z233,(IF((R233-U233)&gt;XWorkTimeMax,XWorkTimeMax,IF((R233-U233)&gt;0,R233-U233,0))))</f>
        <v>0</v>
      </c>
      <c r="W233" s="66"/>
      <c r="X233" s="115">
        <f>xNoWorkTime</f>
        <v>4.027777777777778E-2</v>
      </c>
      <c r="Y233" s="110">
        <f>IF(AND((AM233&lt;Feiertag),(G233&lt;&gt;85)),IF(OR(F233="B",F233="G",F233="S",H233&gt;0),H233-H233+Z233,0),0)</f>
        <v>0</v>
      </c>
      <c r="Z233" s="111">
        <f>IF(AND(AM233&gt;0,AM233&lt;Feiertag),INDEX(Arbeitszeit,AM233),"")</f>
        <v>0.29166666666666669</v>
      </c>
      <c r="AA233" s="112">
        <f>V233-Y233</f>
        <v>0</v>
      </c>
      <c r="AB233" s="67" t="str">
        <f>IF((V233-Y233)&lt;0,"*","")</f>
        <v/>
      </c>
      <c r="AC233" s="193">
        <f>xOverTime</f>
        <v>0</v>
      </c>
      <c r="AD233" s="144" t="str">
        <f>IF((R233-U233)&gt;XWorkTimeMax,(R233-U233-XWorkTimeMax),"")</f>
        <v/>
      </c>
      <c r="AE233" s="225">
        <f>IF(AW233,(AE232+SUM(AA233)+(IF(AG233="+",AF233,-AF233))),)</f>
        <v>0</v>
      </c>
      <c r="AF233" s="110"/>
      <c r="AG233" s="627"/>
      <c r="AH233" s="110"/>
      <c r="AI233" s="110" t="str">
        <f>IF(AND(AF233&lt;&gt;"",AF233&lt;=V233),V233-AF233,"")</f>
        <v/>
      </c>
      <c r="AJ233" s="68">
        <f>IF(ISNUMBER(V233 ), IF( V233 &gt;= Y233, Y233, V233 ),"")</f>
        <v>0</v>
      </c>
      <c r="AK233" s="68">
        <f>IF( ISNUMBER( V233 ), IF( V233 &gt;= Y233, V233 - Y233, "" ), "" )</f>
        <v>0</v>
      </c>
      <c r="AL233" s="68" t="str">
        <f>IF( AND(ISNUMBER( V233 ),ISNUMBER( Y233 )), IF( V233 &gt;= Y233, "", Y233 - V233 ), "" )</f>
        <v/>
      </c>
      <c r="AM233">
        <f>IF(A233="",0,IF(ISERROR(VLOOKUP(A233,db_Feiertag,2,FALSE)),WEEKDAY(A233,2),Feiertag))</f>
        <v>3</v>
      </c>
      <c r="AN233" s="122">
        <f>SUM($AD$6:AD233)</f>
        <v>0</v>
      </c>
      <c r="AO233" s="122">
        <f ca="1">IF(D233=D232,AO232,OFFSET(AO233,-1,COLUMN(db_jSaldoGes)-COLUMN()))</f>
        <v>0</v>
      </c>
      <c r="AP233" s="126">
        <f>IF(OR($G233=-1,$G233=82),-1,IF(OR($G233=0,$G233=83),1,0))</f>
        <v>0</v>
      </c>
      <c r="AQ233" s="126">
        <f>IF($F233=Krank,1,IF($F233="J",-1,0))</f>
        <v>0</v>
      </c>
      <c r="AR233" s="126">
        <f>IF($F233=Urlaub,1,IF($F233="T",-1,0))</f>
        <v>0</v>
      </c>
      <c r="AS233" s="125">
        <f>IF(A233="","",AS232-IF(F233=Urlaub,1,0)+IF(AND(MONTH(A233)=1,DAY(A233)=1),B_UrlaubNeu,0))</f>
        <v>30</v>
      </c>
      <c r="AT233" s="125">
        <f ca="1">IF(A233="","",IF(D233=D232,AT232,OFFSET(AT233,-1,COLUMN(db_jUrlRest)-COLUMN()))+IF(AND(MONTH(A233)=1,DAY(A233)=1),B_UrlaubNeu,0))</f>
        <v>30</v>
      </c>
      <c r="AU233" s="135">
        <f>(IF(ISNUMBER(V233),V233,0)+IF(ISNUMBER(AD233),AD233,0))*24</f>
        <v>0</v>
      </c>
      <c r="AV233" s="125">
        <f>IF(ISNUMBER(AD233),K_ArbeitOverMax,IF(AND(ISNUMBER(AA233),AA233&gt;0),K_ArbeitOverTime,IF(AND(ISNUMBER(V233),V233&gt;0),K_ArbeitNormal,IF(F233=Krank,K_Krank,IF(F233=Urlaub,K_Urlaub,IF(AM233=Feiertag,K_Feiertag,IF(OR(AM233=6,AM233=7),K_Wochenende,0)))))))+IF(F233=Gleittag,K_Gleittag,0)</f>
        <v>0</v>
      </c>
      <c r="AW233" t="b">
        <f>OR((F233&gt;0),(NOT(ISBLANK(H233))),SUM(H233:H$373),SUM(G233:G$373))</f>
        <v>0</v>
      </c>
      <c r="AX233" t="b">
        <f ca="1">INDIRECT(ADDRESS(ROW(),COLUMN(xDay)))&gt;5</f>
        <v>0</v>
      </c>
      <c r="AY233" s="600">
        <f>IF(OR(R233&lt;&gt;0,F233&lt;&gt;0),AA233,IF(Z233="",0,-Z233))+(IF(AG233="+",AF233,-AF233))</f>
        <v>-0.29166666666666669</v>
      </c>
      <c r="AZ233" s="225">
        <f>SUM(AY$5:AY233)</f>
        <v>-45.499999999999943</v>
      </c>
      <c r="BA233" s="658"/>
      <c r="BB233" s="658">
        <f>IF(ISNA(MATCH(BA233,B_Arbeitsort,0)),0,MATCH(BA233,B_Arbeitsort,0))</f>
        <v>0</v>
      </c>
      <c r="BC233" s="658"/>
    </row>
    <row r="234" spans="1:55" ht="15.75">
      <c r="A234" s="305">
        <f>IF(A233="","",IF((A233+1)&gt;=DATE(YEAR(xJahr)+1,MONTH(xJahr),DAY(xJahr)),"",A233+1))</f>
        <v>43693</v>
      </c>
      <c r="B234" s="306">
        <f>IF(A234="","",A234)</f>
        <v>43693</v>
      </c>
      <c r="C234" s="307">
        <f>IF(A234="","",NumberOfWeek(A234))</f>
        <v>33</v>
      </c>
      <c r="D234" s="308">
        <f>IF(A234="","",DATE(YEAR(A234),MONTH(A234),1))</f>
        <v>43677</v>
      </c>
      <c r="E234" s="318" t="str">
        <f>IF((R234-U234)&gt;XWorkTimeMax,$Z$4,IF(AV234=Feiertag,VLOOKUP(B234,db_Feiertag,2,FALSE),""))</f>
        <v/>
      </c>
      <c r="F234" s="5"/>
      <c r="G234" s="6" t="str">
        <f>IF(ISBLANK(F234),IF(ISBLANK(H234),"",0),CODE(UPPER(F234)))</f>
        <v/>
      </c>
      <c r="H234" s="7"/>
      <c r="I234" s="7">
        <f>IF(H234&gt;0,H234+Y234+X234+AC234,0)</f>
        <v>0</v>
      </c>
      <c r="J234" s="113">
        <f>IF(K234&gt;I234,IF(I234&lt;H234,I234+1,I234)-B_WalkTime,IF(I234&lt;H234,I234+1,I234))</f>
        <v>0</v>
      </c>
      <c r="K234" s="7"/>
      <c r="L234" s="7">
        <f>IF(K234&gt;0,K234+IF((J234-H234)&lt;Y234,Y234-(J234-H234),TIME(0,10,0))+IF((K234-J234)&gt;xNoWorkTime,0,xNoWorkTime-(K234-J234)),0)</f>
        <v>0</v>
      </c>
      <c r="M234" s="113">
        <f>IF(L234&lt;K234,L234+1,L234)</f>
        <v>0</v>
      </c>
      <c r="N234" s="113"/>
      <c r="O234" s="113">
        <f>IF(N234&gt;0,N234+IF((J234-H234+M234-K234)&lt;Y234,Y234-(J234-H234+M234-K234),TIME(0,10,0))+IF((K234-J234+N234-M234)&gt;xNoWorkTime,0,xNoWorkTime-(K234-J234+N234-M234)),0)</f>
        <v>0</v>
      </c>
      <c r="P234" s="113"/>
      <c r="Q234" s="113">
        <f>IF(O234&lt;N234,O234+1,O234)</f>
        <v>0</v>
      </c>
      <c r="R234" s="113">
        <f>J234-H234+M234-K234+Q234-N234</f>
        <v>0</v>
      </c>
      <c r="S234" s="113">
        <f>IF(K234&gt;0,K234-I234,0)+IF(N234&gt;0,N234-L234)</f>
        <v>0</v>
      </c>
      <c r="T234" s="113">
        <f>IF(H234&gt;0,(IF(R234&gt;B_Pause1Nach,B_Pause1Dauer+IF(BA234="Büro",B_WalkTime,0),IF(BA234="Büro",B_WalkTime,0))+IF(R234&gt;B_Pause2Nach,B_Pause2Dauer,0)),0)</f>
        <v>0</v>
      </c>
      <c r="U234" s="113">
        <f>IF(T234&gt;S234,T234-S234,0)</f>
        <v>0</v>
      </c>
      <c r="V234" s="146">
        <f>IF(F234="S",Z234,(IF((R234-U234)&gt;XWorkTimeMax,XWorkTimeMax,IF((R234-U234)&gt;0,R234-U234,0))))</f>
        <v>0</v>
      </c>
      <c r="W234" s="66"/>
      <c r="X234" s="115">
        <f>xNoWorkTime</f>
        <v>4.027777777777778E-2</v>
      </c>
      <c r="Y234" s="110">
        <f>IF(AND((AM234&lt;Feiertag),(G234&lt;&gt;85)),IF(OR(F234="B",F234="G",F234="S",H234&gt;0),H234-H234+Z234,0),0)</f>
        <v>0</v>
      </c>
      <c r="Z234" s="111">
        <f>IF(AND(AM234&gt;0,AM234&lt;Feiertag),INDEX(Arbeitszeit,AM234),"")</f>
        <v>0.29166666666666669</v>
      </c>
      <c r="AA234" s="112">
        <f>V234-Y234</f>
        <v>0</v>
      </c>
      <c r="AB234" s="67" t="str">
        <f>IF((V234-Y234)&lt;0,"*","")</f>
        <v/>
      </c>
      <c r="AC234" s="193">
        <f>xOverTime</f>
        <v>0</v>
      </c>
      <c r="AD234" s="144" t="str">
        <f>IF((R234-U234)&gt;XWorkTimeMax,(R234-U234-XWorkTimeMax),"")</f>
        <v/>
      </c>
      <c r="AE234" s="225">
        <f>IF(AW234,(AE233+SUM(AA234)+(IF(AG234="+",AF234,-AF234))),)</f>
        <v>0</v>
      </c>
      <c r="AF234" s="110"/>
      <c r="AG234" s="627"/>
      <c r="AH234" s="110"/>
      <c r="AI234" s="110" t="str">
        <f>IF(AND(AF234&lt;&gt;"",AF234&lt;=V234),V234-AF234,"")</f>
        <v/>
      </c>
      <c r="AJ234" s="68">
        <f>IF(ISNUMBER(V234 ), IF( V234 &gt;= Y234, Y234, V234 ),"")</f>
        <v>0</v>
      </c>
      <c r="AK234" s="68">
        <f>IF( ISNUMBER( V234 ), IF( V234 &gt;= Y234, V234 - Y234, "" ), "" )</f>
        <v>0</v>
      </c>
      <c r="AL234" s="68" t="str">
        <f>IF( AND(ISNUMBER( V234 ),ISNUMBER( Y234 )), IF( V234 &gt;= Y234, "", Y234 - V234 ), "" )</f>
        <v/>
      </c>
      <c r="AM234">
        <f>IF(A234="",0,IF(ISERROR(VLOOKUP(A234,db_Feiertag,2,FALSE)),WEEKDAY(A234,2),Feiertag))</f>
        <v>4</v>
      </c>
      <c r="AN234" s="122">
        <f>SUM($AD$6:AD234)</f>
        <v>0</v>
      </c>
      <c r="AO234" s="122">
        <f ca="1">IF(D234=D233,AO233,OFFSET(AO234,-1,COLUMN(db_jSaldoGes)-COLUMN()))</f>
        <v>0</v>
      </c>
      <c r="AP234" s="126">
        <f>IF(OR($G234=-1,$G234=82),-1,IF(OR($G234=0,$G234=83),1,0))</f>
        <v>0</v>
      </c>
      <c r="AQ234" s="126">
        <f>IF($F234=Krank,1,IF($F234="J",-1,0))</f>
        <v>0</v>
      </c>
      <c r="AR234" s="126">
        <f>IF($F234=Urlaub,1,IF($F234="T",-1,0))</f>
        <v>0</v>
      </c>
      <c r="AS234" s="125">
        <f>IF(A234="","",AS233-IF(F234=Urlaub,1,0)+IF(AND(MONTH(A234)=1,DAY(A234)=1),B_UrlaubNeu,0))</f>
        <v>30</v>
      </c>
      <c r="AT234" s="125">
        <f ca="1">IF(A234="","",IF(D234=D233,AT233,OFFSET(AT234,-1,COLUMN(db_jUrlRest)-COLUMN()))+IF(AND(MONTH(A234)=1,DAY(A234)=1),B_UrlaubNeu,0))</f>
        <v>30</v>
      </c>
      <c r="AU234" s="135">
        <f>(IF(ISNUMBER(V234),V234,0)+IF(ISNUMBER(AD234),AD234,0))*24</f>
        <v>0</v>
      </c>
      <c r="AV234" s="125">
        <f>IF(ISNUMBER(AD234),K_ArbeitOverMax,IF(AND(ISNUMBER(AA234),AA234&gt;0),K_ArbeitOverTime,IF(AND(ISNUMBER(V234),V234&gt;0),K_ArbeitNormal,IF(F234=Krank,K_Krank,IF(F234=Urlaub,K_Urlaub,IF(AM234=Feiertag,K_Feiertag,IF(OR(AM234=6,AM234=7),K_Wochenende,0)))))))+IF(F234=Gleittag,K_Gleittag,0)</f>
        <v>0</v>
      </c>
      <c r="AW234" t="b">
        <f>OR((F234&gt;0),(NOT(ISBLANK(H234))),SUM(H234:H$373),SUM(G234:G$373))</f>
        <v>0</v>
      </c>
      <c r="AX234" t="b">
        <f ca="1">INDIRECT(ADDRESS(ROW(),COLUMN(xDay)))&gt;5</f>
        <v>0</v>
      </c>
      <c r="AY234" s="600">
        <f>IF(OR(R234&lt;&gt;0,F234&lt;&gt;0),AA234,IF(Z234="",0,-Z234))+(IF(AG234="+",AF234,-AF234))</f>
        <v>-0.29166666666666669</v>
      </c>
      <c r="AZ234" s="225">
        <f>SUM(AY$5:AY234)</f>
        <v>-45.791666666666607</v>
      </c>
      <c r="BA234" s="658"/>
      <c r="BB234" s="658">
        <f>IF(ISNA(MATCH(BA234,B_Arbeitsort,0)),0,MATCH(BA234,B_Arbeitsort,0))</f>
        <v>0</v>
      </c>
      <c r="BC234" s="658"/>
    </row>
    <row r="235" spans="1:55" ht="15.75">
      <c r="A235" s="305">
        <f>IF(A234="","",IF((A234+1)&gt;=DATE(YEAR(xJahr)+1,MONTH(xJahr),DAY(xJahr)),"",A234+1))</f>
        <v>43694</v>
      </c>
      <c r="B235" s="306">
        <f>IF(A235="","",A235)</f>
        <v>43694</v>
      </c>
      <c r="C235" s="307">
        <f>IF(A235="","",NumberOfWeek(A235))</f>
        <v>33</v>
      </c>
      <c r="D235" s="308">
        <f>IF(A235="","",DATE(YEAR(A235),MONTH(A235),1))</f>
        <v>43677</v>
      </c>
      <c r="E235" s="318" t="str">
        <f>IF((R235-U235)&gt;XWorkTimeMax,$Z$4,IF(AV235=Feiertag,VLOOKUP(B235,db_Feiertag,2,FALSE),""))</f>
        <v/>
      </c>
      <c r="F235" s="5"/>
      <c r="G235" s="6" t="str">
        <f>IF(ISBLANK(F235),IF(ISBLANK(H235),"",0),CODE(UPPER(F235)))</f>
        <v/>
      </c>
      <c r="H235" s="7"/>
      <c r="I235" s="7">
        <f>IF(H235&gt;0,H235+Y235+X235+AC235,0)</f>
        <v>0</v>
      </c>
      <c r="J235" s="113">
        <f>IF(K235&gt;I235,IF(I235&lt;H235,I235+1,I235)-B_WalkTime,IF(I235&lt;H235,I235+1,I235))</f>
        <v>0</v>
      </c>
      <c r="K235" s="7"/>
      <c r="L235" s="7">
        <f>IF(K235&gt;0,K235+IF((J235-H235)&lt;Y235,Y235-(J235-H235),TIME(0,10,0))+IF((K235-J235)&gt;xNoWorkTime,0,xNoWorkTime-(K235-J235)),0)</f>
        <v>0</v>
      </c>
      <c r="M235" s="113">
        <f>IF(L235&lt;K235,L235+1,L235)</f>
        <v>0</v>
      </c>
      <c r="N235" s="113"/>
      <c r="O235" s="113">
        <f>IF(N235&gt;0,N235+IF((J235-H235+M235-K235)&lt;Y235,Y235-(J235-H235+M235-K235),TIME(0,10,0))+IF((K235-J235+N235-M235)&gt;xNoWorkTime,0,xNoWorkTime-(K235-J235+N235-M235)),0)</f>
        <v>0</v>
      </c>
      <c r="P235" s="113"/>
      <c r="Q235" s="113">
        <f>IF(O235&lt;N235,O235+1,O235)</f>
        <v>0</v>
      </c>
      <c r="R235" s="113">
        <f>J235-H235+M235-K235+Q235-N235</f>
        <v>0</v>
      </c>
      <c r="S235" s="113">
        <f>IF(K235&gt;0,K235-I235,0)+IF(N235&gt;0,N235-L235)</f>
        <v>0</v>
      </c>
      <c r="T235" s="113">
        <f>IF(H235&gt;0,(IF(R235&gt;B_Pause1Nach,B_Pause1Dauer+IF(BA235="Büro",B_WalkTime,0),IF(BA235="Büro",B_WalkTime,0))+IF(R235&gt;B_Pause2Nach,B_Pause2Dauer,0)),0)</f>
        <v>0</v>
      </c>
      <c r="U235" s="113">
        <f>IF(T235&gt;S235,T235-S235,0)</f>
        <v>0</v>
      </c>
      <c r="V235" s="146">
        <f>IF(F235="S",Z235,(IF((R235-U235)&gt;XWorkTimeMax,XWorkTimeMax,IF((R235-U235)&gt;0,R235-U235,0))))</f>
        <v>0</v>
      </c>
      <c r="W235" s="66"/>
      <c r="X235" s="115">
        <f>xNoWorkTime</f>
        <v>4.027777777777778E-2</v>
      </c>
      <c r="Y235" s="110">
        <f>IF(AND((AM235&lt;Feiertag),(G235&lt;&gt;85)),IF(OR(F235="B",F235="G",F235="S",H235&gt;0),H235-H235+Z235,0),0)</f>
        <v>0</v>
      </c>
      <c r="Z235" s="111">
        <f>IF(AND(AM235&gt;0,AM235&lt;Feiertag),INDEX(Arbeitszeit,AM235),"")</f>
        <v>0.29166666666666669</v>
      </c>
      <c r="AA235" s="112">
        <f>V235-Y235</f>
        <v>0</v>
      </c>
      <c r="AB235" s="67" t="str">
        <f>IF((V235-Y235)&lt;0,"*","")</f>
        <v/>
      </c>
      <c r="AC235" s="193">
        <f>xOverTime</f>
        <v>0</v>
      </c>
      <c r="AD235" s="144" t="str">
        <f>IF((R235-U235)&gt;XWorkTimeMax,(R235-U235-XWorkTimeMax),"")</f>
        <v/>
      </c>
      <c r="AE235" s="225">
        <f>IF(AW235,(AE234+SUM(AA235)+(IF(AG235="+",AF235,-AF235))),)</f>
        <v>0</v>
      </c>
      <c r="AF235" s="110"/>
      <c r="AG235" s="627"/>
      <c r="AH235" s="110"/>
      <c r="AI235" s="110" t="str">
        <f>IF(AND(AF235&lt;&gt;"",AF235&lt;=V235),V235-AF235,"")</f>
        <v/>
      </c>
      <c r="AJ235" s="68">
        <f>IF(ISNUMBER(V235 ), IF( V235 &gt;= Y235, Y235, V235 ),"")</f>
        <v>0</v>
      </c>
      <c r="AK235" s="68">
        <f>IF( ISNUMBER( V235 ), IF( V235 &gt;= Y235, V235 - Y235, "" ), "" )</f>
        <v>0</v>
      </c>
      <c r="AL235" s="68" t="str">
        <f>IF( AND(ISNUMBER( V235 ),ISNUMBER( Y235 )), IF( V235 &gt;= Y235, "", Y235 - V235 ), "" )</f>
        <v/>
      </c>
      <c r="AM235">
        <f>IF(A235="",0,IF(ISERROR(VLOOKUP(A235,db_Feiertag,2,FALSE)),WEEKDAY(A235,2),Feiertag))</f>
        <v>5</v>
      </c>
      <c r="AN235" s="122">
        <f>SUM($AD$6:AD235)</f>
        <v>0</v>
      </c>
      <c r="AO235" s="122">
        <f ca="1">IF(D235=D234,AO234,OFFSET(AO235,-1,COLUMN(db_jSaldoGes)-COLUMN()))</f>
        <v>0</v>
      </c>
      <c r="AP235" s="126">
        <f>IF(OR($G235=-1,$G235=82),-1,IF(OR($G235=0,$G235=83),1,0))</f>
        <v>0</v>
      </c>
      <c r="AQ235" s="126">
        <f>IF($F235=Krank,1,IF($F235="J",-1,0))</f>
        <v>0</v>
      </c>
      <c r="AR235" s="126">
        <f>IF($F235=Urlaub,1,IF($F235="T",-1,0))</f>
        <v>0</v>
      </c>
      <c r="AS235" s="125">
        <f>IF(A235="","",AS234-IF(F235=Urlaub,1,0)+IF(AND(MONTH(A235)=1,DAY(A235)=1),B_UrlaubNeu,0))</f>
        <v>30</v>
      </c>
      <c r="AT235" s="125">
        <f ca="1">IF(A235="","",IF(D235=D234,AT234,OFFSET(AT235,-1,COLUMN(db_jUrlRest)-COLUMN()))+IF(AND(MONTH(A235)=1,DAY(A235)=1),B_UrlaubNeu,0))</f>
        <v>30</v>
      </c>
      <c r="AU235" s="135">
        <f>(IF(ISNUMBER(V235),V235,0)+IF(ISNUMBER(AD235),AD235,0))*24</f>
        <v>0</v>
      </c>
      <c r="AV235" s="125">
        <f>IF(ISNUMBER(AD235),K_ArbeitOverMax,IF(AND(ISNUMBER(AA235),AA235&gt;0),K_ArbeitOverTime,IF(AND(ISNUMBER(V235),V235&gt;0),K_ArbeitNormal,IF(F235=Krank,K_Krank,IF(F235=Urlaub,K_Urlaub,IF(AM235=Feiertag,K_Feiertag,IF(OR(AM235=6,AM235=7),K_Wochenende,0)))))))+IF(F235=Gleittag,K_Gleittag,0)</f>
        <v>0</v>
      </c>
      <c r="AW235" t="b">
        <f>OR((F235&gt;0),(NOT(ISBLANK(H235))),SUM(H235:H$373),SUM(G235:G$373))</f>
        <v>0</v>
      </c>
      <c r="AX235" t="b">
        <f ca="1">INDIRECT(ADDRESS(ROW(),COLUMN(xDay)))&gt;5</f>
        <v>0</v>
      </c>
      <c r="AY235" s="600">
        <f>IF(OR(R235&lt;&gt;0,F235&lt;&gt;0),AA235,IF(Z235="",0,-Z235))+(IF(AG235="+",AF235,-AF235))</f>
        <v>-0.29166666666666669</v>
      </c>
      <c r="AZ235" s="225">
        <f>SUM(AY$5:AY235)</f>
        <v>-46.083333333333272</v>
      </c>
      <c r="BA235" s="658"/>
      <c r="BB235" s="658">
        <f>IF(ISNA(MATCH(BA235,B_Arbeitsort,0)),0,MATCH(BA235,B_Arbeitsort,0))</f>
        <v>0</v>
      </c>
      <c r="BC235" s="658"/>
    </row>
    <row r="236" spans="1:55" ht="15.75">
      <c r="A236" s="305">
        <f>IF(A235="","",IF((A235+1)&gt;=DATE(YEAR(xJahr)+1,MONTH(xJahr),DAY(xJahr)),"",A235+1))</f>
        <v>43695</v>
      </c>
      <c r="B236" s="306">
        <f>IF(A236="","",A236)</f>
        <v>43695</v>
      </c>
      <c r="C236" s="307">
        <f>IF(A236="","",NumberOfWeek(A236))</f>
        <v>33</v>
      </c>
      <c r="D236" s="308">
        <f>IF(A236="","",DATE(YEAR(A236),MONTH(A236),1))</f>
        <v>43677</v>
      </c>
      <c r="E236" s="318" t="str">
        <f>IF((R236-U236)&gt;XWorkTimeMax,$Z$4,IF(AV236=Feiertag,VLOOKUP(B236,db_Feiertag,2,FALSE),""))</f>
        <v/>
      </c>
      <c r="F236" s="5"/>
      <c r="G236" s="6" t="str">
        <f>IF(ISBLANK(F236),IF(ISBLANK(H236),"",0),CODE(UPPER(F236)))</f>
        <v/>
      </c>
      <c r="H236" s="7"/>
      <c r="I236" s="7">
        <f>IF(H236&gt;0,H236+Y236+X236+AC236,0)</f>
        <v>0</v>
      </c>
      <c r="J236" s="113">
        <f>IF(K236&gt;I236,IF(I236&lt;H236,I236+1,I236)-B_WalkTime,IF(I236&lt;H236,I236+1,I236))</f>
        <v>0</v>
      </c>
      <c r="K236" s="7"/>
      <c r="L236" s="7">
        <f>IF(K236&gt;0,K236+IF((J236-H236)&lt;Y236,Y236-(J236-H236),TIME(0,10,0))+IF((K236-J236)&gt;xNoWorkTime,0,xNoWorkTime-(K236-J236)),0)</f>
        <v>0</v>
      </c>
      <c r="M236" s="113">
        <f>IF(L236&lt;K236,L236+1,L236)</f>
        <v>0</v>
      </c>
      <c r="N236" s="113"/>
      <c r="O236" s="113">
        <f>IF(N236&gt;0,N236+IF((J236-H236+M236-K236)&lt;Y236,Y236-(J236-H236+M236-K236),TIME(0,10,0))+IF((K236-J236+N236-M236)&gt;xNoWorkTime,0,xNoWorkTime-(K236-J236+N236-M236)),0)</f>
        <v>0</v>
      </c>
      <c r="P236" s="113"/>
      <c r="Q236" s="113">
        <f>IF(O236&lt;N236,O236+1,O236)</f>
        <v>0</v>
      </c>
      <c r="R236" s="113">
        <f>J236-H236+M236-K236+Q236-N236</f>
        <v>0</v>
      </c>
      <c r="S236" s="113">
        <f>IF(K236&gt;0,K236-I236,0)+IF(N236&gt;0,N236-L236)</f>
        <v>0</v>
      </c>
      <c r="T236" s="113">
        <f>IF(H236&gt;0,(IF(R236&gt;B_Pause1Nach,B_Pause1Dauer+IF(BA236="Büro",B_WalkTime,0),IF(BA236="Büro",B_WalkTime,0))+IF(R236&gt;B_Pause2Nach,B_Pause2Dauer,0)),0)</f>
        <v>0</v>
      </c>
      <c r="U236" s="113">
        <f>IF(T236&gt;S236,T236-S236,0)</f>
        <v>0</v>
      </c>
      <c r="V236" s="146">
        <f>IF(F236="S",Z236,(IF((R236-U236)&gt;XWorkTimeMax,XWorkTimeMax,IF((R236-U236)&gt;0,R236-U236,0))))</f>
        <v>0</v>
      </c>
      <c r="W236" s="66"/>
      <c r="X236" s="115">
        <f>xNoWorkTime</f>
        <v>4.027777777777778E-2</v>
      </c>
      <c r="Y236" s="110">
        <f>IF(AND((AM236&lt;Feiertag),(G236&lt;&gt;85)),IF(OR(F236="B",F236="G",F236="S",H236&gt;0),H236-H236+Z236,0),0)</f>
        <v>0</v>
      </c>
      <c r="Z236" s="111">
        <f>IF(AND(AM236&gt;0,AM236&lt;Feiertag),INDEX(Arbeitszeit,AM236),"")</f>
        <v>0</v>
      </c>
      <c r="AA236" s="112">
        <f>V236-Y236</f>
        <v>0</v>
      </c>
      <c r="AB236" s="67" t="str">
        <f>IF((V236-Y236)&lt;0,"*","")</f>
        <v/>
      </c>
      <c r="AC236" s="193">
        <f>xOverTime</f>
        <v>0</v>
      </c>
      <c r="AD236" s="144" t="str">
        <f>IF((R236-U236)&gt;XWorkTimeMax,(R236-U236-XWorkTimeMax),"")</f>
        <v/>
      </c>
      <c r="AE236" s="225">
        <f>IF(AW236,(AE235+SUM(AA236)+(IF(AG236="+",AF236,-AF236))),)</f>
        <v>0</v>
      </c>
      <c r="AF236" s="110"/>
      <c r="AG236" s="627"/>
      <c r="AH236" s="110"/>
      <c r="AI236" s="110" t="str">
        <f>IF(AND(AF236&lt;&gt;"",AF236&lt;=V236),V236-AF236,"")</f>
        <v/>
      </c>
      <c r="AJ236" s="68">
        <f>IF(ISNUMBER(V236 ), IF( V236 &gt;= Y236, Y236, V236 ),"")</f>
        <v>0</v>
      </c>
      <c r="AK236" s="68">
        <f>IF( ISNUMBER( V236 ), IF( V236 &gt;= Y236, V236 - Y236, "" ), "" )</f>
        <v>0</v>
      </c>
      <c r="AL236" s="68" t="str">
        <f>IF( AND(ISNUMBER( V236 ),ISNUMBER( Y236 )), IF( V236 &gt;= Y236, "", Y236 - V236 ), "" )</f>
        <v/>
      </c>
      <c r="AM236">
        <f>IF(A236="",0,IF(ISERROR(VLOOKUP(A236,db_Feiertag,2,FALSE)),WEEKDAY(A236,2),Feiertag))</f>
        <v>6</v>
      </c>
      <c r="AN236" s="122">
        <f>SUM($AD$6:AD236)</f>
        <v>0</v>
      </c>
      <c r="AO236" s="122">
        <f ca="1">IF(D236=D235,AO235,OFFSET(AO236,-1,COLUMN(db_jSaldoGes)-COLUMN()))</f>
        <v>0</v>
      </c>
      <c r="AP236" s="126">
        <f>IF(OR($G236=-1,$G236=82),-1,IF(OR($G236=0,$G236=83),1,0))</f>
        <v>0</v>
      </c>
      <c r="AQ236" s="126">
        <f>IF($F236=Krank,1,IF($F236="J",-1,0))</f>
        <v>0</v>
      </c>
      <c r="AR236" s="126">
        <f>IF($F236=Urlaub,1,IF($F236="T",-1,0))</f>
        <v>0</v>
      </c>
      <c r="AS236" s="125">
        <f>IF(A236="","",AS235-IF(F236=Urlaub,1,0)+IF(AND(MONTH(A236)=1,DAY(A236)=1),B_UrlaubNeu,0))</f>
        <v>30</v>
      </c>
      <c r="AT236" s="125">
        <f ca="1">IF(A236="","",IF(D236=D235,AT235,OFFSET(AT236,-1,COLUMN(db_jUrlRest)-COLUMN()))+IF(AND(MONTH(A236)=1,DAY(A236)=1),B_UrlaubNeu,0))</f>
        <v>30</v>
      </c>
      <c r="AU236" s="135">
        <f>(IF(ISNUMBER(V236),V236,0)+IF(ISNUMBER(AD236),AD236,0))*24</f>
        <v>0</v>
      </c>
      <c r="AV236" s="125">
        <f>IF(ISNUMBER(AD236),K_ArbeitOverMax,IF(AND(ISNUMBER(AA236),AA236&gt;0),K_ArbeitOverTime,IF(AND(ISNUMBER(V236),V236&gt;0),K_ArbeitNormal,IF(F236=Krank,K_Krank,IF(F236=Urlaub,K_Urlaub,IF(AM236=Feiertag,K_Feiertag,IF(OR(AM236=6,AM236=7),K_Wochenende,0)))))))+IF(F236=Gleittag,K_Gleittag,0)</f>
        <v>7</v>
      </c>
      <c r="AW236" t="b">
        <f>OR((F236&gt;0),(NOT(ISBLANK(H236))),SUM(H236:H$373),SUM(G236:G$373))</f>
        <v>0</v>
      </c>
      <c r="AX236" t="b">
        <f ca="1">INDIRECT(ADDRESS(ROW(),COLUMN(xDay)))&gt;5</f>
        <v>1</v>
      </c>
      <c r="AY236" s="600">
        <f>IF(OR(R236&lt;&gt;0,F236&lt;&gt;0),AA236,IF(Z236="",0,-Z236))+(IF(AG236="+",AF236,-AF236))</f>
        <v>0</v>
      </c>
      <c r="AZ236" s="225">
        <f>SUM(AY$5:AY236)</f>
        <v>-46.083333333333272</v>
      </c>
      <c r="BA236" s="643"/>
      <c r="BB236" s="658">
        <f>IF(ISNA(MATCH(BA236,B_Arbeitsort,0)),0,MATCH(BA236,B_Arbeitsort,0))</f>
        <v>0</v>
      </c>
      <c r="BC236" s="643"/>
    </row>
    <row r="237" spans="1:55" ht="15.75">
      <c r="A237" s="305">
        <f>IF(A236="","",IF((A236+1)&gt;=DATE(YEAR(xJahr)+1,MONTH(xJahr),DAY(xJahr)),"",A236+1))</f>
        <v>43696</v>
      </c>
      <c r="B237" s="306">
        <f>IF(A237="","",A237)</f>
        <v>43696</v>
      </c>
      <c r="C237" s="307">
        <f>IF(A237="","",NumberOfWeek(A237))</f>
        <v>33</v>
      </c>
      <c r="D237" s="308">
        <f>IF(A237="","",DATE(YEAR(A237),MONTH(A237),1))</f>
        <v>43677</v>
      </c>
      <c r="E237" s="318" t="str">
        <f>IF((R237-U237)&gt;XWorkTimeMax,$Z$4,IF(AV237=Feiertag,VLOOKUP(B237,db_Feiertag,2,FALSE),""))</f>
        <v/>
      </c>
      <c r="F237" s="5"/>
      <c r="G237" s="6" t="str">
        <f>IF(ISBLANK(F237),IF(ISBLANK(H237),"",0),CODE(UPPER(F237)))</f>
        <v/>
      </c>
      <c r="H237" s="7"/>
      <c r="I237" s="7">
        <f>IF(H237&gt;0,H237+Y237+X237+AC237,0)</f>
        <v>0</v>
      </c>
      <c r="J237" s="113">
        <f>IF(K237&gt;I237,IF(I237&lt;H237,I237+1,I237)-B_WalkTime,IF(I237&lt;H237,I237+1,I237))</f>
        <v>0</v>
      </c>
      <c r="K237" s="7"/>
      <c r="L237" s="7">
        <f>IF(K237&gt;0,K237+IF((J237-H237)&lt;Y237,Y237-(J237-H237),TIME(0,10,0))+IF((K237-J237)&gt;xNoWorkTime,0,xNoWorkTime-(K237-J237)),0)</f>
        <v>0</v>
      </c>
      <c r="M237" s="113">
        <f>IF(L237&lt;K237,L237+1,L237)</f>
        <v>0</v>
      </c>
      <c r="N237" s="113"/>
      <c r="O237" s="113">
        <f>IF(N237&gt;0,N237+IF((J237-H237+M237-K237)&lt;Y237,Y237-(J237-H237+M237-K237),TIME(0,10,0))+IF((K237-J237+N237-M237)&gt;xNoWorkTime,0,xNoWorkTime-(K237-J237+N237-M237)),0)</f>
        <v>0</v>
      </c>
      <c r="P237" s="113"/>
      <c r="Q237" s="113">
        <f>IF(O237&lt;N237,O237+1,O237)</f>
        <v>0</v>
      </c>
      <c r="R237" s="113">
        <f>J237-H237+M237-K237+Q237-N237</f>
        <v>0</v>
      </c>
      <c r="S237" s="113">
        <f>IF(K237&gt;0,K237-I237,0)+IF(N237&gt;0,N237-L237)</f>
        <v>0</v>
      </c>
      <c r="T237" s="113">
        <f>IF(H237&gt;0,(IF(R237&gt;B_Pause1Nach,B_Pause1Dauer+IF(BA237="Büro",B_WalkTime,0),IF(BA237="Büro",B_WalkTime,0))+IF(R237&gt;B_Pause2Nach,B_Pause2Dauer,0)),0)</f>
        <v>0</v>
      </c>
      <c r="U237" s="113">
        <f>IF(T237&gt;S237,T237-S237,0)</f>
        <v>0</v>
      </c>
      <c r="V237" s="146">
        <f>IF(F237="S",Z237,(IF((R237-U237)&gt;XWorkTimeMax,XWorkTimeMax,IF((R237-U237)&gt;0,R237-U237,0))))</f>
        <v>0</v>
      </c>
      <c r="W237" s="66"/>
      <c r="X237" s="115">
        <f>xNoWorkTime</f>
        <v>4.027777777777778E-2</v>
      </c>
      <c r="Y237" s="110">
        <f>IF(AND((AM237&lt;Feiertag),(G237&lt;&gt;85)),IF(OR(F237="B",F237="G",F237="S",H237&gt;0),H237-H237+Z237,0),0)</f>
        <v>0</v>
      </c>
      <c r="Z237" s="111">
        <f>IF(AND(AM237&gt;0,AM237&lt;Feiertag),INDEX(Arbeitszeit,AM237),"")</f>
        <v>0</v>
      </c>
      <c r="AA237" s="112">
        <f>V237-Y237</f>
        <v>0</v>
      </c>
      <c r="AB237" s="67" t="str">
        <f>IF((V237-Y237)&lt;0,"*","")</f>
        <v/>
      </c>
      <c r="AC237" s="193">
        <f>xOverTime</f>
        <v>0</v>
      </c>
      <c r="AD237" s="144" t="str">
        <f>IF((R237-U237)&gt;XWorkTimeMax,(R237-U237-XWorkTimeMax),"")</f>
        <v/>
      </c>
      <c r="AE237" s="225">
        <f>IF(AW237,(AE236+SUM(AA237)+(IF(AG237="+",AF237,-AF237))),)</f>
        <v>0</v>
      </c>
      <c r="AF237" s="110"/>
      <c r="AG237" s="627"/>
      <c r="AH237" s="110"/>
      <c r="AI237" s="110" t="str">
        <f>IF(AND(AF237&lt;&gt;"",AF237&lt;=V237),V237-AF237,"")</f>
        <v/>
      </c>
      <c r="AJ237" s="68">
        <f>IF(ISNUMBER(V237 ), IF( V237 &gt;= Y237, Y237, V237 ),"")</f>
        <v>0</v>
      </c>
      <c r="AK237" s="68">
        <f>IF( ISNUMBER( V237 ), IF( V237 &gt;= Y237, V237 - Y237, "" ), "" )</f>
        <v>0</v>
      </c>
      <c r="AL237" s="68" t="str">
        <f>IF( AND(ISNUMBER( V237 ),ISNUMBER( Y237 )), IF( V237 &gt;= Y237, "", Y237 - V237 ), "" )</f>
        <v/>
      </c>
      <c r="AM237">
        <f>IF(A237="",0,IF(ISERROR(VLOOKUP(A237,db_Feiertag,2,FALSE)),WEEKDAY(A237,2),Feiertag))</f>
        <v>7</v>
      </c>
      <c r="AN237" s="122">
        <f>SUM($AD$6:AD237)</f>
        <v>0</v>
      </c>
      <c r="AO237" s="122">
        <f ca="1">IF(D237=D236,AO236,OFFSET(AO237,-1,COLUMN(db_jSaldoGes)-COLUMN()))</f>
        <v>0</v>
      </c>
      <c r="AP237" s="126">
        <f>IF(OR($G237=-1,$G237=82),-1,IF(OR($G237=0,$G237=83),1,0))</f>
        <v>0</v>
      </c>
      <c r="AQ237" s="126">
        <f>IF($F237=Krank,1,IF($F237="J",-1,0))</f>
        <v>0</v>
      </c>
      <c r="AR237" s="126">
        <f>IF($F237=Urlaub,1,IF($F237="T",-1,0))</f>
        <v>0</v>
      </c>
      <c r="AS237" s="125">
        <f>IF(A237="","",AS236-IF(F237=Urlaub,1,0)+IF(AND(MONTH(A237)=1,DAY(A237)=1),B_UrlaubNeu,0))</f>
        <v>30</v>
      </c>
      <c r="AT237" s="125">
        <f ca="1">IF(A237="","",IF(D237=D236,AT236,OFFSET(AT237,-1,COLUMN(db_jUrlRest)-COLUMN()))+IF(AND(MONTH(A237)=1,DAY(A237)=1),B_UrlaubNeu,0))</f>
        <v>30</v>
      </c>
      <c r="AU237" s="135">
        <f>(IF(ISNUMBER(V237),V237,0)+IF(ISNUMBER(AD237),AD237,0))*24</f>
        <v>0</v>
      </c>
      <c r="AV237" s="125">
        <f>IF(ISNUMBER(AD237),K_ArbeitOverMax,IF(AND(ISNUMBER(AA237),AA237&gt;0),K_ArbeitOverTime,IF(AND(ISNUMBER(V237),V237&gt;0),K_ArbeitNormal,IF(F237=Krank,K_Krank,IF(F237=Urlaub,K_Urlaub,IF(AM237=Feiertag,K_Feiertag,IF(OR(AM237=6,AM237=7),K_Wochenende,0)))))))+IF(F237=Gleittag,K_Gleittag,0)</f>
        <v>7</v>
      </c>
      <c r="AW237" t="b">
        <f>OR((F237&gt;0),(NOT(ISBLANK(H237))),SUM(H237:H$373),SUM(G237:G$373))</f>
        <v>0</v>
      </c>
      <c r="AX237" t="b">
        <f ca="1">INDIRECT(ADDRESS(ROW(),COLUMN(xDay)))&gt;5</f>
        <v>1</v>
      </c>
      <c r="AY237" s="600">
        <f>IF(OR(R237&lt;&gt;0,F237&lt;&gt;0),AA237,IF(Z237="",0,-Z237))+(IF(AG237="+",AF237,-AF237))</f>
        <v>0</v>
      </c>
      <c r="AZ237" s="225">
        <f>SUM(AY$5:AY237)</f>
        <v>-46.083333333333272</v>
      </c>
      <c r="BA237" s="643"/>
      <c r="BB237" s="658">
        <f>IF(ISNA(MATCH(BA237,B_Arbeitsort,0)),0,MATCH(BA237,B_Arbeitsort,0))</f>
        <v>0</v>
      </c>
      <c r="BC237" s="643"/>
    </row>
    <row r="238" spans="1:55" ht="15.75">
      <c r="A238" s="305">
        <f>IF(A237="","",IF((A237+1)&gt;=DATE(YEAR(xJahr)+1,MONTH(xJahr),DAY(xJahr)),"",A237+1))</f>
        <v>43697</v>
      </c>
      <c r="B238" s="306">
        <f>IF(A238="","",A238)</f>
        <v>43697</v>
      </c>
      <c r="C238" s="307">
        <f>IF(A238="","",NumberOfWeek(A238))</f>
        <v>34</v>
      </c>
      <c r="D238" s="308">
        <f>IF(A238="","",DATE(YEAR(A238),MONTH(A238),1))</f>
        <v>43677</v>
      </c>
      <c r="E238" s="318" t="str">
        <f>IF((R238-U238)&gt;XWorkTimeMax,$Z$4,IF(AV238=Feiertag,VLOOKUP(B238,db_Feiertag,2,FALSE),""))</f>
        <v/>
      </c>
      <c r="F238" s="5"/>
      <c r="G238" s="6" t="str">
        <f>IF(ISBLANK(F238),IF(ISBLANK(H238),"",0),CODE(UPPER(F238)))</f>
        <v/>
      </c>
      <c r="H238" s="7"/>
      <c r="I238" s="7">
        <f>IF(H238&gt;0,H238+Y238+X238+AC238,0)</f>
        <v>0</v>
      </c>
      <c r="J238" s="113">
        <f>IF(K238&gt;I238,IF(I238&lt;H238,I238+1,I238)-B_WalkTime,IF(I238&lt;H238,I238+1,I238))</f>
        <v>0</v>
      </c>
      <c r="K238" s="7"/>
      <c r="L238" s="7">
        <f>IF(K238&gt;0,K238+IF((J238-H238)&lt;Y238,Y238-(J238-H238),TIME(0,10,0))+IF((K238-J238)&gt;xNoWorkTime,0,xNoWorkTime-(K238-J238)),0)</f>
        <v>0</v>
      </c>
      <c r="M238" s="113">
        <f>IF(L238&lt;K238,L238+1,L238)</f>
        <v>0</v>
      </c>
      <c r="N238" s="113"/>
      <c r="O238" s="113">
        <f>IF(N238&gt;0,N238+IF((J238-H238+M238-K238)&lt;Y238,Y238-(J238-H238+M238-K238),TIME(0,10,0))+IF((K238-J238+N238-M238)&gt;xNoWorkTime,0,xNoWorkTime-(K238-J238+N238-M238)),0)</f>
        <v>0</v>
      </c>
      <c r="P238" s="113"/>
      <c r="Q238" s="113">
        <f>IF(O238&lt;N238,O238+1,O238)</f>
        <v>0</v>
      </c>
      <c r="R238" s="113">
        <f>J238-H238+M238-K238+Q238-N238</f>
        <v>0</v>
      </c>
      <c r="S238" s="113">
        <f>IF(K238&gt;0,K238-I238,0)+IF(N238&gt;0,N238-L238)</f>
        <v>0</v>
      </c>
      <c r="T238" s="113">
        <f>IF(H238&gt;0,(IF(R238&gt;B_Pause1Nach,B_Pause1Dauer+IF(BA238="Büro",B_WalkTime,0),IF(BA238="Büro",B_WalkTime,0))+IF(R238&gt;B_Pause2Nach,B_Pause2Dauer,0)),0)</f>
        <v>0</v>
      </c>
      <c r="U238" s="113">
        <f>IF(T238&gt;S238,T238-S238,0)</f>
        <v>0</v>
      </c>
      <c r="V238" s="146">
        <f>IF(F238="S",Z238,(IF((R238-U238)&gt;XWorkTimeMax,XWorkTimeMax,IF((R238-U238)&gt;0,R238-U238,0))))</f>
        <v>0</v>
      </c>
      <c r="W238" s="66"/>
      <c r="X238" s="115">
        <f>xNoWorkTime</f>
        <v>4.027777777777778E-2</v>
      </c>
      <c r="Y238" s="110">
        <f>IF(AND((AM238&lt;Feiertag),(G238&lt;&gt;85)),IF(OR(F238="B",F238="G",F238="S",H238&gt;0),H238-H238+Z238,0),0)</f>
        <v>0</v>
      </c>
      <c r="Z238" s="111">
        <f>IF(AND(AM238&gt;0,AM238&lt;Feiertag),INDEX(Arbeitszeit,AM238),"")</f>
        <v>0.29166666666666669</v>
      </c>
      <c r="AA238" s="112">
        <f>V238-Y238</f>
        <v>0</v>
      </c>
      <c r="AB238" s="67" t="str">
        <f>IF((V238-Y238)&lt;0,"*","")</f>
        <v/>
      </c>
      <c r="AC238" s="193">
        <f>xOverTime</f>
        <v>0</v>
      </c>
      <c r="AD238" s="144" t="str">
        <f>IF((R238-U238)&gt;XWorkTimeMax,(R238-U238-XWorkTimeMax),"")</f>
        <v/>
      </c>
      <c r="AE238" s="225">
        <f>IF(AW238,(AE237+SUM(AA238)+(IF(AG238="+",AF238,-AF238))),)</f>
        <v>0</v>
      </c>
      <c r="AF238" s="110"/>
      <c r="AG238" s="627"/>
      <c r="AH238" s="110"/>
      <c r="AI238" s="110" t="str">
        <f>IF(AND(AF238&lt;&gt;"",AF238&lt;=V238),V238-AF238,"")</f>
        <v/>
      </c>
      <c r="AJ238" s="68">
        <f>IF(ISNUMBER(V238 ), IF( V238 &gt;= Y238, Y238, V238 ),"")</f>
        <v>0</v>
      </c>
      <c r="AK238" s="68">
        <f>IF( ISNUMBER( V238 ), IF( V238 &gt;= Y238, V238 - Y238, "" ), "" )</f>
        <v>0</v>
      </c>
      <c r="AL238" s="68" t="str">
        <f>IF( AND(ISNUMBER( V238 ),ISNUMBER( Y238 )), IF( V238 &gt;= Y238, "", Y238 - V238 ), "" )</f>
        <v/>
      </c>
      <c r="AM238">
        <f>IF(A238="",0,IF(ISERROR(VLOOKUP(A238,db_Feiertag,2,FALSE)),WEEKDAY(A238,2),Feiertag))</f>
        <v>1</v>
      </c>
      <c r="AN238" s="122">
        <f>SUM($AD$6:AD238)</f>
        <v>0</v>
      </c>
      <c r="AO238" s="122">
        <f ca="1">IF(D238=D237,AO237,OFFSET(AO238,-1,COLUMN(db_jSaldoGes)-COLUMN()))</f>
        <v>0</v>
      </c>
      <c r="AP238" s="126">
        <f>IF(OR($G238=-1,$G238=82),-1,IF(OR($G238=0,$G238=83),1,0))</f>
        <v>0</v>
      </c>
      <c r="AQ238" s="126">
        <f>IF($F238=Krank,1,IF($F238="J",-1,0))</f>
        <v>0</v>
      </c>
      <c r="AR238" s="126">
        <f>IF($F238=Urlaub,1,IF($F238="T",-1,0))</f>
        <v>0</v>
      </c>
      <c r="AS238" s="125">
        <f>IF(A238="","",AS237-IF(F238=Urlaub,1,0)+IF(AND(MONTH(A238)=1,DAY(A238)=1),B_UrlaubNeu,0))</f>
        <v>30</v>
      </c>
      <c r="AT238" s="125">
        <f ca="1">IF(A238="","",IF(D238=D237,AT237,OFFSET(AT238,-1,COLUMN(db_jUrlRest)-COLUMN()))+IF(AND(MONTH(A238)=1,DAY(A238)=1),B_UrlaubNeu,0))</f>
        <v>30</v>
      </c>
      <c r="AU238" s="135">
        <f>(IF(ISNUMBER(V238),V238,0)+IF(ISNUMBER(AD238),AD238,0))*24</f>
        <v>0</v>
      </c>
      <c r="AV238" s="125">
        <f>IF(ISNUMBER(AD238),K_ArbeitOverMax,IF(AND(ISNUMBER(AA238),AA238&gt;0),K_ArbeitOverTime,IF(AND(ISNUMBER(V238),V238&gt;0),K_ArbeitNormal,IF(F238=Krank,K_Krank,IF(F238=Urlaub,K_Urlaub,IF(AM238=Feiertag,K_Feiertag,IF(OR(AM238=6,AM238=7),K_Wochenende,0)))))))+IF(F238=Gleittag,K_Gleittag,0)</f>
        <v>0</v>
      </c>
      <c r="AW238" t="b">
        <f>OR((F238&gt;0),(NOT(ISBLANK(H238))),SUM(H238:H$373),SUM(G238:G$373))</f>
        <v>0</v>
      </c>
      <c r="AX238" t="b">
        <f ca="1">INDIRECT(ADDRESS(ROW(),COLUMN(xDay)))&gt;5</f>
        <v>0</v>
      </c>
      <c r="AY238" s="600">
        <f>IF(OR(R238&lt;&gt;0,F238&lt;&gt;0),AA238,IF(Z238="",0,-Z238))+(IF(AG238="+",AF238,-AF238))</f>
        <v>-0.29166666666666669</v>
      </c>
      <c r="AZ238" s="225">
        <f>SUM(AY$5:AY238)</f>
        <v>-46.374999999999936</v>
      </c>
      <c r="BA238" s="658"/>
      <c r="BB238" s="658">
        <f>IF(ISNA(MATCH(BA238,B_Arbeitsort,0)),0,MATCH(BA238,B_Arbeitsort,0))</f>
        <v>0</v>
      </c>
      <c r="BC238" s="658"/>
    </row>
    <row r="239" spans="1:55" ht="15.75">
      <c r="A239" s="305">
        <f>IF(A238="","",IF((A238+1)&gt;=DATE(YEAR(xJahr)+1,MONTH(xJahr),DAY(xJahr)),"",A238+1))</f>
        <v>43698</v>
      </c>
      <c r="B239" s="306">
        <f>IF(A239="","",A239)</f>
        <v>43698</v>
      </c>
      <c r="C239" s="307">
        <f>IF(A239="","",NumberOfWeek(A239))</f>
        <v>34</v>
      </c>
      <c r="D239" s="308">
        <f>IF(A239="","",DATE(YEAR(A239),MONTH(A239),1))</f>
        <v>43677</v>
      </c>
      <c r="E239" s="318" t="str">
        <f>IF((R239-U239)&gt;XWorkTimeMax,$Z$4,IF(AV239=Feiertag,VLOOKUP(B239,db_Feiertag,2,FALSE),""))</f>
        <v/>
      </c>
      <c r="F239" s="5"/>
      <c r="G239" s="6" t="str">
        <f>IF(ISBLANK(F239),IF(ISBLANK(H239),"",0),CODE(UPPER(F239)))</f>
        <v/>
      </c>
      <c r="H239" s="7"/>
      <c r="I239" s="7">
        <f>IF(H239&gt;0,H239+Y239+X239+AC239,0)</f>
        <v>0</v>
      </c>
      <c r="J239" s="113">
        <f>IF(K239&gt;I239,IF(I239&lt;H239,I239+1,I239)-B_WalkTime,IF(I239&lt;H239,I239+1,I239))</f>
        <v>0</v>
      </c>
      <c r="K239" s="7"/>
      <c r="L239" s="7">
        <f>IF(K239&gt;0,K239+IF((J239-H239)&lt;Y239,Y239-(J239-H239),TIME(0,10,0))+IF((K239-J239)&gt;xNoWorkTime,0,xNoWorkTime-(K239-J239)),0)</f>
        <v>0</v>
      </c>
      <c r="M239" s="113">
        <f>IF(L239&lt;K239,L239+1,L239)</f>
        <v>0</v>
      </c>
      <c r="N239" s="113"/>
      <c r="O239" s="113">
        <f>IF(N239&gt;0,N239+IF((J239-H239+M239-K239)&lt;Y239,Y239-(J239-H239+M239-K239),TIME(0,10,0))+IF((K239-J239+N239-M239)&gt;xNoWorkTime,0,xNoWorkTime-(K239-J239+N239-M239)),0)</f>
        <v>0</v>
      </c>
      <c r="P239" s="113"/>
      <c r="Q239" s="113">
        <f>IF(O239&lt;N239,O239+1,O239)</f>
        <v>0</v>
      </c>
      <c r="R239" s="113">
        <f>J239-H239+M239-K239+Q239-N239</f>
        <v>0</v>
      </c>
      <c r="S239" s="113">
        <f>IF(K239&gt;0,K239-I239,0)+IF(N239&gt;0,N239-L239)</f>
        <v>0</v>
      </c>
      <c r="T239" s="113">
        <f>IF(H239&gt;0,(IF(R239&gt;B_Pause1Nach,B_Pause1Dauer+IF(BA239="Büro",B_WalkTime,0),IF(BA239="Büro",B_WalkTime,0))+IF(R239&gt;B_Pause2Nach,B_Pause2Dauer,0)),0)</f>
        <v>0</v>
      </c>
      <c r="U239" s="113">
        <f>IF(T239&gt;S239,T239-S239,0)</f>
        <v>0</v>
      </c>
      <c r="V239" s="146">
        <f>IF(F239="S",Z239,(IF((R239-U239)&gt;XWorkTimeMax,XWorkTimeMax,IF((R239-U239)&gt;0,R239-U239,0))))</f>
        <v>0</v>
      </c>
      <c r="W239" s="66"/>
      <c r="X239" s="115">
        <f>xNoWorkTime</f>
        <v>4.027777777777778E-2</v>
      </c>
      <c r="Y239" s="110">
        <f>IF(AND((AM239&lt;Feiertag),(G239&lt;&gt;85)),IF(OR(F239="B",F239="G",F239="S",H239&gt;0),H239-H239+Z239,0),0)</f>
        <v>0</v>
      </c>
      <c r="Z239" s="111">
        <f>IF(AND(AM239&gt;0,AM239&lt;Feiertag),INDEX(Arbeitszeit,AM239),"")</f>
        <v>0.29166666666666669</v>
      </c>
      <c r="AA239" s="112">
        <f>V239-Y239</f>
        <v>0</v>
      </c>
      <c r="AB239" s="67" t="str">
        <f>IF((V239-Y239)&lt;0,"*","")</f>
        <v/>
      </c>
      <c r="AC239" s="193">
        <f>xOverTime</f>
        <v>0</v>
      </c>
      <c r="AD239" s="144" t="str">
        <f>IF((R239-U239)&gt;XWorkTimeMax,(R239-U239-XWorkTimeMax),"")</f>
        <v/>
      </c>
      <c r="AE239" s="225">
        <f>IF(AW239,(AE238+SUM(AA239)+(IF(AG239="+",AF239,-AF239))),)</f>
        <v>0</v>
      </c>
      <c r="AF239" s="110"/>
      <c r="AG239" s="627"/>
      <c r="AH239" s="110"/>
      <c r="AI239" s="110" t="str">
        <f>IF(AND(AF239&lt;&gt;"",AF239&lt;=V239),V239-AF239,"")</f>
        <v/>
      </c>
      <c r="AJ239" s="68">
        <f>IF(ISNUMBER(V239 ), IF( V239 &gt;= Y239, Y239, V239 ),"")</f>
        <v>0</v>
      </c>
      <c r="AK239" s="68">
        <f>IF( ISNUMBER( V239 ), IF( V239 &gt;= Y239, V239 - Y239, "" ), "" )</f>
        <v>0</v>
      </c>
      <c r="AL239" s="68" t="str">
        <f>IF( AND(ISNUMBER( V239 ),ISNUMBER( Y239 )), IF( V239 &gt;= Y239, "", Y239 - V239 ), "" )</f>
        <v/>
      </c>
      <c r="AM239">
        <f>IF(A239="",0,IF(ISERROR(VLOOKUP(A239,db_Feiertag,2,FALSE)),WEEKDAY(A239,2),Feiertag))</f>
        <v>2</v>
      </c>
      <c r="AN239" s="122">
        <f>SUM($AD$6:AD239)</f>
        <v>0</v>
      </c>
      <c r="AO239" s="122">
        <f ca="1">IF(D239=D238,AO238,OFFSET(AO239,-1,COLUMN(db_jSaldoGes)-COLUMN()))</f>
        <v>0</v>
      </c>
      <c r="AP239" s="126">
        <f>IF(OR($G239=-1,$G239=82),-1,IF(OR($G239=0,$G239=83),1,0))</f>
        <v>0</v>
      </c>
      <c r="AQ239" s="126">
        <f>IF($F239=Krank,1,IF($F239="J",-1,0))</f>
        <v>0</v>
      </c>
      <c r="AR239" s="126">
        <f>IF($F239=Urlaub,1,IF($F239="T",-1,0))</f>
        <v>0</v>
      </c>
      <c r="AS239" s="125">
        <f>IF(A239="","",AS238-IF(F239=Urlaub,1,0)+IF(AND(MONTH(A239)=1,DAY(A239)=1),B_UrlaubNeu,0))</f>
        <v>30</v>
      </c>
      <c r="AT239" s="125">
        <f ca="1">IF(A239="","",IF(D239=D238,AT238,OFFSET(AT239,-1,COLUMN(db_jUrlRest)-COLUMN()))+IF(AND(MONTH(A239)=1,DAY(A239)=1),B_UrlaubNeu,0))</f>
        <v>30</v>
      </c>
      <c r="AU239" s="135">
        <f>(IF(ISNUMBER(V239),V239,0)+IF(ISNUMBER(AD239),AD239,0))*24</f>
        <v>0</v>
      </c>
      <c r="AV239" s="125">
        <f>IF(ISNUMBER(AD239),K_ArbeitOverMax,IF(AND(ISNUMBER(AA239),AA239&gt;0),K_ArbeitOverTime,IF(AND(ISNUMBER(V239),V239&gt;0),K_ArbeitNormal,IF(F239=Krank,K_Krank,IF(F239=Urlaub,K_Urlaub,IF(AM239=Feiertag,K_Feiertag,IF(OR(AM239=6,AM239=7),K_Wochenende,0)))))))+IF(F239=Gleittag,K_Gleittag,0)</f>
        <v>0</v>
      </c>
      <c r="AW239" t="b">
        <f>OR((F239&gt;0),(NOT(ISBLANK(H239))),SUM(H239:H$373),SUM(G239:G$373))</f>
        <v>0</v>
      </c>
      <c r="AX239" t="b">
        <f ca="1">INDIRECT(ADDRESS(ROW(),COLUMN(xDay)))&gt;5</f>
        <v>0</v>
      </c>
      <c r="AY239" s="600">
        <f>IF(OR(R239&lt;&gt;0,F239&lt;&gt;0),AA239,IF(Z239="",0,-Z239))+(IF(AG239="+",AF239,-AF239))</f>
        <v>-0.29166666666666669</v>
      </c>
      <c r="AZ239" s="225">
        <f>SUM(AY$5:AY239)</f>
        <v>-46.6666666666666</v>
      </c>
      <c r="BA239" s="658"/>
      <c r="BB239" s="658">
        <f>IF(ISNA(MATCH(BA239,B_Arbeitsort,0)),0,MATCH(BA239,B_Arbeitsort,0))</f>
        <v>0</v>
      </c>
      <c r="BC239" s="658"/>
    </row>
    <row r="240" spans="1:55" ht="15.75">
      <c r="A240" s="305">
        <f>IF(A239="","",IF((A239+1)&gt;=DATE(YEAR(xJahr)+1,MONTH(xJahr),DAY(xJahr)),"",A239+1))</f>
        <v>43699</v>
      </c>
      <c r="B240" s="306">
        <f>IF(A240="","",A240)</f>
        <v>43699</v>
      </c>
      <c r="C240" s="307">
        <f>IF(A240="","",NumberOfWeek(A240))</f>
        <v>34</v>
      </c>
      <c r="D240" s="308">
        <f>IF(A240="","",DATE(YEAR(A240),MONTH(A240),1))</f>
        <v>43677</v>
      </c>
      <c r="E240" s="318" t="str">
        <f>IF((R240-U240)&gt;XWorkTimeMax,$Z$4,IF(AV240=Feiertag,VLOOKUP(B240,db_Feiertag,2,FALSE),""))</f>
        <v/>
      </c>
      <c r="F240" s="5"/>
      <c r="G240" s="6" t="str">
        <f>IF(ISBLANK(F240),IF(ISBLANK(H240),"",0),CODE(UPPER(F240)))</f>
        <v/>
      </c>
      <c r="H240" s="7"/>
      <c r="I240" s="7">
        <f>IF(H240&gt;0,H240+Y240+X240+AC240,0)</f>
        <v>0</v>
      </c>
      <c r="J240" s="113">
        <f>IF(K240&gt;I240,IF(I240&lt;H240,I240+1,I240)-B_WalkTime,IF(I240&lt;H240,I240+1,I240))</f>
        <v>0</v>
      </c>
      <c r="K240" s="7"/>
      <c r="L240" s="7">
        <f>IF(K240&gt;0,K240+IF((J240-H240)&lt;Y240,Y240-(J240-H240),TIME(0,10,0))+IF((K240-J240)&gt;xNoWorkTime,0,xNoWorkTime-(K240-J240)),0)</f>
        <v>0</v>
      </c>
      <c r="M240" s="113">
        <f>IF(L240&lt;K240,L240+1,L240)</f>
        <v>0</v>
      </c>
      <c r="N240" s="113"/>
      <c r="O240" s="113">
        <f>IF(N240&gt;0,N240+IF((J240-H240+M240-K240)&lt;Y240,Y240-(J240-H240+M240-K240),TIME(0,10,0))+IF((K240-J240+N240-M240)&gt;xNoWorkTime,0,xNoWorkTime-(K240-J240+N240-M240)),0)</f>
        <v>0</v>
      </c>
      <c r="P240" s="113"/>
      <c r="Q240" s="113">
        <f>IF(O240&lt;N240,O240+1,O240)</f>
        <v>0</v>
      </c>
      <c r="R240" s="113">
        <f>J240-H240+M240-K240+Q240-N240</f>
        <v>0</v>
      </c>
      <c r="S240" s="113">
        <f>IF(K240&gt;0,K240-I240,0)+IF(N240&gt;0,N240-L240)</f>
        <v>0</v>
      </c>
      <c r="T240" s="113">
        <f>IF(H240&gt;0,(IF(R240&gt;B_Pause1Nach,B_Pause1Dauer+IF(BA240="Büro",B_WalkTime,0),IF(BA240="Büro",B_WalkTime,0))+IF(R240&gt;B_Pause2Nach,B_Pause2Dauer,0)),0)</f>
        <v>0</v>
      </c>
      <c r="U240" s="113">
        <f>IF(T240&gt;S240,T240-S240,0)</f>
        <v>0</v>
      </c>
      <c r="V240" s="146">
        <f>IF(F240="S",Z240,(IF((R240-U240)&gt;XWorkTimeMax,XWorkTimeMax,IF((R240-U240)&gt;0,R240-U240,0))))</f>
        <v>0</v>
      </c>
      <c r="W240" s="66"/>
      <c r="X240" s="115">
        <f>xNoWorkTime</f>
        <v>4.027777777777778E-2</v>
      </c>
      <c r="Y240" s="110">
        <f>IF(AND((AM240&lt;Feiertag),(G240&lt;&gt;85)),IF(OR(F240="B",F240="G",F240="S",H240&gt;0),H240-H240+Z240,0),0)</f>
        <v>0</v>
      </c>
      <c r="Z240" s="111">
        <f>IF(AND(AM240&gt;0,AM240&lt;Feiertag),INDEX(Arbeitszeit,AM240),"")</f>
        <v>0.29166666666666669</v>
      </c>
      <c r="AA240" s="112">
        <f>V240-Y240</f>
        <v>0</v>
      </c>
      <c r="AB240" s="67" t="str">
        <f>IF((V240-Y240)&lt;0,"*","")</f>
        <v/>
      </c>
      <c r="AC240" s="193">
        <f>xOverTime</f>
        <v>0</v>
      </c>
      <c r="AD240" s="144" t="str">
        <f>IF((R240-U240)&gt;XWorkTimeMax,(R240-U240-XWorkTimeMax),"")</f>
        <v/>
      </c>
      <c r="AE240" s="225">
        <f>IF(AW240,(AE239+SUM(AA240)+(IF(AG240="+",AF240,-AF240))),)</f>
        <v>0</v>
      </c>
      <c r="AF240" s="110"/>
      <c r="AG240" s="627"/>
      <c r="AH240" s="110"/>
      <c r="AI240" s="110" t="str">
        <f>IF(AND(AF240&lt;&gt;"",AF240&lt;=V240),V240-AF240,"")</f>
        <v/>
      </c>
      <c r="AJ240" s="68">
        <f>IF(ISNUMBER(V240 ), IF( V240 &gt;= Y240, Y240, V240 ),"")</f>
        <v>0</v>
      </c>
      <c r="AK240" s="68">
        <f>IF( ISNUMBER( V240 ), IF( V240 &gt;= Y240, V240 - Y240, "" ), "" )</f>
        <v>0</v>
      </c>
      <c r="AL240" s="68" t="str">
        <f>IF( AND(ISNUMBER( V240 ),ISNUMBER( Y240 )), IF( V240 &gt;= Y240, "", Y240 - V240 ), "" )</f>
        <v/>
      </c>
      <c r="AM240">
        <f>IF(A240="",0,IF(ISERROR(VLOOKUP(A240,db_Feiertag,2,FALSE)),WEEKDAY(A240,2),Feiertag))</f>
        <v>3</v>
      </c>
      <c r="AN240" s="122">
        <f>SUM($AD$6:AD240)</f>
        <v>0</v>
      </c>
      <c r="AO240" s="122">
        <f ca="1">IF(D240=D239,AO239,OFFSET(AO240,-1,COLUMN(db_jSaldoGes)-COLUMN()))</f>
        <v>0</v>
      </c>
      <c r="AP240" s="126">
        <f>IF(OR($G240=-1,$G240=82),-1,IF(OR($G240=0,$G240=83),1,0))</f>
        <v>0</v>
      </c>
      <c r="AQ240" s="126">
        <f>IF($F240=Krank,1,IF($F240="J",-1,0))</f>
        <v>0</v>
      </c>
      <c r="AR240" s="126">
        <f>IF($F240=Urlaub,1,IF($F240="T",-1,0))</f>
        <v>0</v>
      </c>
      <c r="AS240" s="125">
        <f>IF(A240="","",AS239-IF(F240=Urlaub,1,0)+IF(AND(MONTH(A240)=1,DAY(A240)=1),B_UrlaubNeu,0))</f>
        <v>30</v>
      </c>
      <c r="AT240" s="125">
        <f ca="1">IF(A240="","",IF(D240=D239,AT239,OFFSET(AT240,-1,COLUMN(db_jUrlRest)-COLUMN()))+IF(AND(MONTH(A240)=1,DAY(A240)=1),B_UrlaubNeu,0))</f>
        <v>30</v>
      </c>
      <c r="AU240" s="135">
        <f>(IF(ISNUMBER(V240),V240,0)+IF(ISNUMBER(AD240),AD240,0))*24</f>
        <v>0</v>
      </c>
      <c r="AV240" s="125">
        <f>IF(ISNUMBER(AD240),K_ArbeitOverMax,IF(AND(ISNUMBER(AA240),AA240&gt;0),K_ArbeitOverTime,IF(AND(ISNUMBER(V240),V240&gt;0),K_ArbeitNormal,IF(F240=Krank,K_Krank,IF(F240=Urlaub,K_Urlaub,IF(AM240=Feiertag,K_Feiertag,IF(OR(AM240=6,AM240=7),K_Wochenende,0)))))))+IF(F240=Gleittag,K_Gleittag,0)</f>
        <v>0</v>
      </c>
      <c r="AW240" t="b">
        <f>OR((F240&gt;0),(NOT(ISBLANK(H240))),SUM(H240:H$373),SUM(G240:G$373))</f>
        <v>0</v>
      </c>
      <c r="AX240" t="b">
        <f ca="1">INDIRECT(ADDRESS(ROW(),COLUMN(xDay)))&gt;5</f>
        <v>0</v>
      </c>
      <c r="AY240" s="600">
        <f>IF(OR(R240&lt;&gt;0,F240&lt;&gt;0),AA240,IF(Z240="",0,-Z240))+(IF(AG240="+",AF240,-AF240))</f>
        <v>-0.29166666666666669</v>
      </c>
      <c r="AZ240" s="225">
        <f>SUM(AY$5:AY240)</f>
        <v>-46.958333333333265</v>
      </c>
      <c r="BA240" s="658"/>
      <c r="BB240" s="658">
        <f>IF(ISNA(MATCH(BA240,B_Arbeitsort,0)),0,MATCH(BA240,B_Arbeitsort,0))</f>
        <v>0</v>
      </c>
      <c r="BC240" s="658"/>
    </row>
    <row r="241" spans="1:55" ht="15.75">
      <c r="A241" s="305">
        <f>IF(A240="","",IF((A240+1)&gt;=DATE(YEAR(xJahr)+1,MONTH(xJahr),DAY(xJahr)),"",A240+1))</f>
        <v>43700</v>
      </c>
      <c r="B241" s="306">
        <f>IF(A241="","",A241)</f>
        <v>43700</v>
      </c>
      <c r="C241" s="307">
        <f>IF(A241="","",NumberOfWeek(A241))</f>
        <v>34</v>
      </c>
      <c r="D241" s="308">
        <f>IF(A241="","",DATE(YEAR(A241),MONTH(A241),1))</f>
        <v>43677</v>
      </c>
      <c r="E241" s="318" t="str">
        <f>IF((R241-U241)&gt;XWorkTimeMax,$Z$4,IF(AV241=Feiertag,VLOOKUP(B241,db_Feiertag,2,FALSE),""))</f>
        <v/>
      </c>
      <c r="F241" s="5"/>
      <c r="G241" s="6" t="str">
        <f>IF(ISBLANK(F241),IF(ISBLANK(H241),"",0),CODE(UPPER(F241)))</f>
        <v/>
      </c>
      <c r="H241" s="7"/>
      <c r="I241" s="7">
        <f>IF(H241&gt;0,H241+Y241+X241+AC241,0)</f>
        <v>0</v>
      </c>
      <c r="J241" s="113">
        <f>IF(K241&gt;I241,IF(I241&lt;H241,I241+1,I241)-B_WalkTime,IF(I241&lt;H241,I241+1,I241))</f>
        <v>0</v>
      </c>
      <c r="K241" s="7"/>
      <c r="L241" s="7">
        <f>IF(K241&gt;0,K241+IF((J241-H241)&lt;Y241,Y241-(J241-H241),TIME(0,10,0))+IF((K241-J241)&gt;xNoWorkTime,0,xNoWorkTime-(K241-J241)),0)</f>
        <v>0</v>
      </c>
      <c r="M241" s="113">
        <f>IF(L241&lt;K241,L241+1,L241)</f>
        <v>0</v>
      </c>
      <c r="N241" s="113"/>
      <c r="O241" s="113">
        <f>IF(N241&gt;0,N241+IF((J241-H241+M241-K241)&lt;Y241,Y241-(J241-H241+M241-K241),TIME(0,10,0))+IF((K241-J241+N241-M241)&gt;xNoWorkTime,0,xNoWorkTime-(K241-J241+N241-M241)),0)</f>
        <v>0</v>
      </c>
      <c r="P241" s="113"/>
      <c r="Q241" s="113">
        <f>IF(O241&lt;N241,O241+1,O241)</f>
        <v>0</v>
      </c>
      <c r="R241" s="113">
        <f>J241-H241+M241-K241+Q241-N241</f>
        <v>0</v>
      </c>
      <c r="S241" s="113">
        <f>IF(K241&gt;0,K241-I241,0)+IF(N241&gt;0,N241-L241)</f>
        <v>0</v>
      </c>
      <c r="T241" s="113">
        <f>IF(H241&gt;0,(IF(R241&gt;B_Pause1Nach,B_Pause1Dauer+IF(BA241="Büro",B_WalkTime,0),IF(BA241="Büro",B_WalkTime,0))+IF(R241&gt;B_Pause2Nach,B_Pause2Dauer,0)),0)</f>
        <v>0</v>
      </c>
      <c r="U241" s="113">
        <f>IF(T241&gt;S241,T241-S241,0)</f>
        <v>0</v>
      </c>
      <c r="V241" s="146">
        <f>IF(F241="S",Z241,(IF((R241-U241)&gt;XWorkTimeMax,XWorkTimeMax,IF((R241-U241)&gt;0,R241-U241,0))))</f>
        <v>0</v>
      </c>
      <c r="W241" s="66"/>
      <c r="X241" s="115">
        <f>xNoWorkTime</f>
        <v>4.027777777777778E-2</v>
      </c>
      <c r="Y241" s="110">
        <f>IF(AND((AM241&lt;Feiertag),(G241&lt;&gt;85)),IF(OR(F241="B",F241="G",F241="S",H241&gt;0),H241-H241+Z241,0),0)</f>
        <v>0</v>
      </c>
      <c r="Z241" s="111">
        <f>IF(AND(AM241&gt;0,AM241&lt;Feiertag),INDEX(Arbeitszeit,AM241),"")</f>
        <v>0.29166666666666669</v>
      </c>
      <c r="AA241" s="112">
        <f>V241-Y241</f>
        <v>0</v>
      </c>
      <c r="AB241" s="67" t="str">
        <f>IF((V241-Y241)&lt;0,"*","")</f>
        <v/>
      </c>
      <c r="AC241" s="193">
        <f>xOverTime</f>
        <v>0</v>
      </c>
      <c r="AD241" s="144" t="str">
        <f>IF((R241-U241)&gt;XWorkTimeMax,(R241-U241-XWorkTimeMax),"")</f>
        <v/>
      </c>
      <c r="AE241" s="225">
        <f>IF(AW241,(AE240+SUM(AA241)+(IF(AG241="+",AF241,-AF241))),)</f>
        <v>0</v>
      </c>
      <c r="AF241" s="110"/>
      <c r="AG241" s="627"/>
      <c r="AH241" s="110"/>
      <c r="AI241" s="110" t="str">
        <f>IF(AND(AF241&lt;&gt;"",AF241&lt;=V241),V241-AF241,"")</f>
        <v/>
      </c>
      <c r="AJ241" s="68">
        <f>IF(ISNUMBER(V241 ), IF( V241 &gt;= Y241, Y241, V241 ),"")</f>
        <v>0</v>
      </c>
      <c r="AK241" s="68">
        <f>IF( ISNUMBER( V241 ), IF( V241 &gt;= Y241, V241 - Y241, "" ), "" )</f>
        <v>0</v>
      </c>
      <c r="AL241" s="68" t="str">
        <f>IF( AND(ISNUMBER( V241 ),ISNUMBER( Y241 )), IF( V241 &gt;= Y241, "", Y241 - V241 ), "" )</f>
        <v/>
      </c>
      <c r="AM241">
        <f>IF(A241="",0,IF(ISERROR(VLOOKUP(A241,db_Feiertag,2,FALSE)),WEEKDAY(A241,2),Feiertag))</f>
        <v>4</v>
      </c>
      <c r="AN241" s="122">
        <f>SUM($AD$6:AD241)</f>
        <v>0</v>
      </c>
      <c r="AO241" s="122">
        <f ca="1">IF(D241=D240,AO240,OFFSET(AO241,-1,COLUMN(db_jSaldoGes)-COLUMN()))</f>
        <v>0</v>
      </c>
      <c r="AP241" s="126">
        <f>IF(OR($G241=-1,$G241=82),-1,IF(OR($G241=0,$G241=83),1,0))</f>
        <v>0</v>
      </c>
      <c r="AQ241" s="126">
        <f>IF($F241=Krank,1,IF($F241="J",-1,0))</f>
        <v>0</v>
      </c>
      <c r="AR241" s="126">
        <f>IF($F241=Urlaub,1,IF($F241="T",-1,0))</f>
        <v>0</v>
      </c>
      <c r="AS241" s="125">
        <f>IF(A241="","",AS240-IF(F241=Urlaub,1,0)+IF(AND(MONTH(A241)=1,DAY(A241)=1),B_UrlaubNeu,0))</f>
        <v>30</v>
      </c>
      <c r="AT241" s="125">
        <f ca="1">IF(A241="","",IF(D241=D240,AT240,OFFSET(AT241,-1,COLUMN(db_jUrlRest)-COLUMN()))+IF(AND(MONTH(A241)=1,DAY(A241)=1),B_UrlaubNeu,0))</f>
        <v>30</v>
      </c>
      <c r="AU241" s="135">
        <f>(IF(ISNUMBER(V241),V241,0)+IF(ISNUMBER(AD241),AD241,0))*24</f>
        <v>0</v>
      </c>
      <c r="AV241" s="125">
        <f>IF(ISNUMBER(AD241),K_ArbeitOverMax,IF(AND(ISNUMBER(AA241),AA241&gt;0),K_ArbeitOverTime,IF(AND(ISNUMBER(V241),V241&gt;0),K_ArbeitNormal,IF(F241=Krank,K_Krank,IF(F241=Urlaub,K_Urlaub,IF(AM241=Feiertag,K_Feiertag,IF(OR(AM241=6,AM241=7),K_Wochenende,0)))))))+IF(F241=Gleittag,K_Gleittag,0)</f>
        <v>0</v>
      </c>
      <c r="AW241" t="b">
        <f>OR((F241&gt;0),(NOT(ISBLANK(H241))),SUM(H241:H$373),SUM(G241:G$373))</f>
        <v>0</v>
      </c>
      <c r="AX241" t="b">
        <f ca="1">INDIRECT(ADDRESS(ROW(),COLUMN(xDay)))&gt;5</f>
        <v>0</v>
      </c>
      <c r="AY241" s="600">
        <f>IF(OR(R241&lt;&gt;0,F241&lt;&gt;0),AA241,IF(Z241="",0,-Z241))+(IF(AG241="+",AF241,-AF241))</f>
        <v>-0.29166666666666669</v>
      </c>
      <c r="AZ241" s="225">
        <f>SUM(AY$5:AY241)</f>
        <v>-47.249999999999929</v>
      </c>
      <c r="BA241" s="658"/>
      <c r="BB241" s="658">
        <f>IF(ISNA(MATCH(BA241,B_Arbeitsort,0)),0,MATCH(BA241,B_Arbeitsort,0))</f>
        <v>0</v>
      </c>
      <c r="BC241" s="658"/>
    </row>
    <row r="242" spans="1:55" ht="15.75">
      <c r="A242" s="305">
        <f>IF(A241="","",IF((A241+1)&gt;=DATE(YEAR(xJahr)+1,MONTH(xJahr),DAY(xJahr)),"",A241+1))</f>
        <v>43701</v>
      </c>
      <c r="B242" s="306">
        <f>IF(A242="","",A242)</f>
        <v>43701</v>
      </c>
      <c r="C242" s="307">
        <f>IF(A242="","",NumberOfWeek(A242))</f>
        <v>34</v>
      </c>
      <c r="D242" s="308">
        <f>IF(A242="","",DATE(YEAR(A242),MONTH(A242),1))</f>
        <v>43677</v>
      </c>
      <c r="E242" s="318" t="str">
        <f>IF((R242-U242)&gt;XWorkTimeMax,$Z$4,IF(AV242=Feiertag,VLOOKUP(B242,db_Feiertag,2,FALSE),""))</f>
        <v/>
      </c>
      <c r="F242" s="5"/>
      <c r="G242" s="6" t="str">
        <f>IF(ISBLANK(F242),IF(ISBLANK(H242),"",0),CODE(UPPER(F242)))</f>
        <v/>
      </c>
      <c r="H242" s="7"/>
      <c r="I242" s="7">
        <f>IF(H242&gt;0,H242+Y242+X242+AC242,0)</f>
        <v>0</v>
      </c>
      <c r="J242" s="113">
        <f>IF(K242&gt;I242,IF(I242&lt;H242,I242+1,I242)-B_WalkTime,IF(I242&lt;H242,I242+1,I242))</f>
        <v>0</v>
      </c>
      <c r="K242" s="7"/>
      <c r="L242" s="7">
        <f>IF(K242&gt;0,K242+IF((J242-H242)&lt;Y242,Y242-(J242-H242),TIME(0,10,0))+IF((K242-J242)&gt;xNoWorkTime,0,xNoWorkTime-(K242-J242)),0)</f>
        <v>0</v>
      </c>
      <c r="M242" s="113">
        <f>IF(L242&lt;K242,L242+1,L242)</f>
        <v>0</v>
      </c>
      <c r="N242" s="113"/>
      <c r="O242" s="113">
        <f>IF(N242&gt;0,N242+IF((J242-H242+M242-K242)&lt;Y242,Y242-(J242-H242+M242-K242),TIME(0,10,0))+IF((K242-J242+N242-M242)&gt;xNoWorkTime,0,xNoWorkTime-(K242-J242+N242-M242)),0)</f>
        <v>0</v>
      </c>
      <c r="P242" s="113"/>
      <c r="Q242" s="113">
        <f>IF(O242&lt;N242,O242+1,O242)</f>
        <v>0</v>
      </c>
      <c r="R242" s="113">
        <f>J242-H242+M242-K242+Q242-N242</f>
        <v>0</v>
      </c>
      <c r="S242" s="113">
        <f>IF(K242&gt;0,K242-I242,0)+IF(N242&gt;0,N242-L242)</f>
        <v>0</v>
      </c>
      <c r="T242" s="113">
        <f>IF(H242&gt;0,(IF(R242&gt;B_Pause1Nach,B_Pause1Dauer+IF(BA242="Büro",B_WalkTime,0),IF(BA242="Büro",B_WalkTime,0))+IF(R242&gt;B_Pause2Nach,B_Pause2Dauer,0)),0)</f>
        <v>0</v>
      </c>
      <c r="U242" s="113">
        <f>IF(T242&gt;S242,T242-S242,0)</f>
        <v>0</v>
      </c>
      <c r="V242" s="146">
        <f>IF(F242="S",Z242,(IF((R242-U242)&gt;XWorkTimeMax,XWorkTimeMax,IF((R242-U242)&gt;0,R242-U242,0))))</f>
        <v>0</v>
      </c>
      <c r="W242" s="66"/>
      <c r="X242" s="115">
        <f>xNoWorkTime</f>
        <v>4.027777777777778E-2</v>
      </c>
      <c r="Y242" s="110">
        <f>IF(AND((AM242&lt;Feiertag),(G242&lt;&gt;85)),IF(OR(F242="B",F242="G",F242="S",H242&gt;0),H242-H242+Z242,0),0)</f>
        <v>0</v>
      </c>
      <c r="Z242" s="111">
        <f>IF(AND(AM242&gt;0,AM242&lt;Feiertag),INDEX(Arbeitszeit,AM242),"")</f>
        <v>0.29166666666666669</v>
      </c>
      <c r="AA242" s="112">
        <f>V242-Y242</f>
        <v>0</v>
      </c>
      <c r="AB242" s="67" t="str">
        <f>IF((V242-Y242)&lt;0,"*","")</f>
        <v/>
      </c>
      <c r="AC242" s="193">
        <f>xOverTime</f>
        <v>0</v>
      </c>
      <c r="AD242" s="144" t="str">
        <f>IF((R242-U242)&gt;XWorkTimeMax,(R242-U242-XWorkTimeMax),"")</f>
        <v/>
      </c>
      <c r="AE242" s="225">
        <f>IF(AW242,(AE241+SUM(AA242)+(IF(AG242="+",AF242,-AF242))),)</f>
        <v>0</v>
      </c>
      <c r="AF242" s="110"/>
      <c r="AG242" s="627"/>
      <c r="AH242" s="110"/>
      <c r="AI242" s="110" t="str">
        <f>IF(AND(AF242&lt;&gt;"",AF242&lt;=V242),V242-AF242,"")</f>
        <v/>
      </c>
      <c r="AJ242" s="68">
        <f>IF(ISNUMBER(V242 ), IF( V242 &gt;= Y242, Y242, V242 ),"")</f>
        <v>0</v>
      </c>
      <c r="AK242" s="68">
        <f>IF( ISNUMBER( V242 ), IF( V242 &gt;= Y242, V242 - Y242, "" ), "" )</f>
        <v>0</v>
      </c>
      <c r="AL242" s="68" t="str">
        <f>IF( AND(ISNUMBER( V242 ),ISNUMBER( Y242 )), IF( V242 &gt;= Y242, "", Y242 - V242 ), "" )</f>
        <v/>
      </c>
      <c r="AM242">
        <f>IF(A242="",0,IF(ISERROR(VLOOKUP(A242,db_Feiertag,2,FALSE)),WEEKDAY(A242,2),Feiertag))</f>
        <v>5</v>
      </c>
      <c r="AN242" s="122">
        <f>SUM($AD$6:AD242)</f>
        <v>0</v>
      </c>
      <c r="AO242" s="122">
        <f ca="1">IF(D242=D241,AO241,OFFSET(AO242,-1,COLUMN(db_jSaldoGes)-COLUMN()))</f>
        <v>0</v>
      </c>
      <c r="AP242" s="126">
        <f>IF(OR($G242=-1,$G242=82),-1,IF(OR($G242=0,$G242=83),1,0))</f>
        <v>0</v>
      </c>
      <c r="AQ242" s="126">
        <f>IF($F242=Krank,1,IF($F242="J",-1,0))</f>
        <v>0</v>
      </c>
      <c r="AR242" s="126">
        <f>IF($F242=Urlaub,1,IF($F242="T",-1,0))</f>
        <v>0</v>
      </c>
      <c r="AS242" s="125">
        <f>IF(A242="","",AS241-IF(F242=Urlaub,1,0)+IF(AND(MONTH(A242)=1,DAY(A242)=1),B_UrlaubNeu,0))</f>
        <v>30</v>
      </c>
      <c r="AT242" s="125">
        <f ca="1">IF(A242="","",IF(D242=D241,AT241,OFFSET(AT242,-1,COLUMN(db_jUrlRest)-COLUMN()))+IF(AND(MONTH(A242)=1,DAY(A242)=1),B_UrlaubNeu,0))</f>
        <v>30</v>
      </c>
      <c r="AU242" s="135">
        <f>(IF(ISNUMBER(V242),V242,0)+IF(ISNUMBER(AD242),AD242,0))*24</f>
        <v>0</v>
      </c>
      <c r="AV242" s="125">
        <f>IF(ISNUMBER(AD242),K_ArbeitOverMax,IF(AND(ISNUMBER(AA242),AA242&gt;0),K_ArbeitOverTime,IF(AND(ISNUMBER(V242),V242&gt;0),K_ArbeitNormal,IF(F242=Krank,K_Krank,IF(F242=Urlaub,K_Urlaub,IF(AM242=Feiertag,K_Feiertag,IF(OR(AM242=6,AM242=7),K_Wochenende,0)))))))+IF(F242=Gleittag,K_Gleittag,0)</f>
        <v>0</v>
      </c>
      <c r="AW242" t="b">
        <f>OR((F242&gt;0),(NOT(ISBLANK(H242))),SUM(H242:H$373),SUM(G242:G$373))</f>
        <v>0</v>
      </c>
      <c r="AX242" t="b">
        <f ca="1">INDIRECT(ADDRESS(ROW(),COLUMN(xDay)))&gt;5</f>
        <v>0</v>
      </c>
      <c r="AY242" s="600">
        <f>IF(OR(R242&lt;&gt;0,F242&lt;&gt;0),AA242,IF(Z242="",0,-Z242))+(IF(AG242="+",AF242,-AF242))</f>
        <v>-0.29166666666666669</v>
      </c>
      <c r="AZ242" s="225">
        <f>SUM(AY$5:AY242)</f>
        <v>-47.541666666666593</v>
      </c>
      <c r="BA242" s="658"/>
      <c r="BB242" s="658">
        <f>IF(ISNA(MATCH(BA242,B_Arbeitsort,0)),0,MATCH(BA242,B_Arbeitsort,0))</f>
        <v>0</v>
      </c>
      <c r="BC242" s="658"/>
    </row>
    <row r="243" spans="1:55" ht="15.75">
      <c r="A243" s="305">
        <f>IF(A242="","",IF((A242+1)&gt;=DATE(YEAR(xJahr)+1,MONTH(xJahr),DAY(xJahr)),"",A242+1))</f>
        <v>43702</v>
      </c>
      <c r="B243" s="306">
        <f>IF(A243="","",A243)</f>
        <v>43702</v>
      </c>
      <c r="C243" s="307">
        <f>IF(A243="","",NumberOfWeek(A243))</f>
        <v>34</v>
      </c>
      <c r="D243" s="308">
        <f>IF(A243="","",DATE(YEAR(A243),MONTH(A243),1))</f>
        <v>43677</v>
      </c>
      <c r="E243" s="318" t="str">
        <f>IF((R243-U243)&gt;XWorkTimeMax,$Z$4,IF(AV243=Feiertag,VLOOKUP(B243,db_Feiertag,2,FALSE),""))</f>
        <v/>
      </c>
      <c r="F243" s="5"/>
      <c r="G243" s="6" t="str">
        <f>IF(ISBLANK(F243),IF(ISBLANK(H243),"",0),CODE(UPPER(F243)))</f>
        <v/>
      </c>
      <c r="H243" s="7"/>
      <c r="I243" s="7">
        <f>IF(H243&gt;0,H243+Y243+X243+AC243,0)</f>
        <v>0</v>
      </c>
      <c r="J243" s="113">
        <f>IF(K243&gt;I243,IF(I243&lt;H243,I243+1,I243)-B_WalkTime,IF(I243&lt;H243,I243+1,I243))</f>
        <v>0</v>
      </c>
      <c r="K243" s="7"/>
      <c r="L243" s="7">
        <f>IF(K243&gt;0,K243+IF((J243-H243)&lt;Y243,Y243-(J243-H243),TIME(0,10,0))+IF((K243-J243)&gt;xNoWorkTime,0,xNoWorkTime-(K243-J243)),0)</f>
        <v>0</v>
      </c>
      <c r="M243" s="113">
        <f>IF(L243&lt;K243,L243+1,L243)</f>
        <v>0</v>
      </c>
      <c r="N243" s="113"/>
      <c r="O243" s="113">
        <f>IF(N243&gt;0,N243+IF((J243-H243+M243-K243)&lt;Y243,Y243-(J243-H243+M243-K243),TIME(0,10,0))+IF((K243-J243+N243-M243)&gt;xNoWorkTime,0,xNoWorkTime-(K243-J243+N243-M243)),0)</f>
        <v>0</v>
      </c>
      <c r="P243" s="113"/>
      <c r="Q243" s="113">
        <f>IF(O243&lt;N243,O243+1,O243)</f>
        <v>0</v>
      </c>
      <c r="R243" s="113">
        <f>J243-H243+M243-K243+Q243-N243</f>
        <v>0</v>
      </c>
      <c r="S243" s="113">
        <f>IF(K243&gt;0,K243-I243,0)+IF(N243&gt;0,N243-L243)</f>
        <v>0</v>
      </c>
      <c r="T243" s="113">
        <f>IF(H243&gt;0,(IF(R243&gt;B_Pause1Nach,B_Pause1Dauer+IF(BA243="Büro",B_WalkTime,0),IF(BA243="Büro",B_WalkTime,0))+IF(R243&gt;B_Pause2Nach,B_Pause2Dauer,0)),0)</f>
        <v>0</v>
      </c>
      <c r="U243" s="113">
        <f>IF(T243&gt;S243,T243-S243,0)</f>
        <v>0</v>
      </c>
      <c r="V243" s="146">
        <f>IF(F243="S",Z243,(IF((R243-U243)&gt;XWorkTimeMax,XWorkTimeMax,IF((R243-U243)&gt;0,R243-U243,0))))</f>
        <v>0</v>
      </c>
      <c r="W243" s="66"/>
      <c r="X243" s="115">
        <f>xNoWorkTime</f>
        <v>4.027777777777778E-2</v>
      </c>
      <c r="Y243" s="110">
        <f>IF(AND((AM243&lt;Feiertag),(G243&lt;&gt;85)),IF(OR(F243="B",F243="G",F243="S",H243&gt;0),H243-H243+Z243,0),0)</f>
        <v>0</v>
      </c>
      <c r="Z243" s="111">
        <f>IF(AND(AM243&gt;0,AM243&lt;Feiertag),INDEX(Arbeitszeit,AM243),"")</f>
        <v>0</v>
      </c>
      <c r="AA243" s="112">
        <f>V243-Y243</f>
        <v>0</v>
      </c>
      <c r="AB243" s="67" t="str">
        <f>IF((V243-Y243)&lt;0,"*","")</f>
        <v/>
      </c>
      <c r="AC243" s="193">
        <f>xOverTime</f>
        <v>0</v>
      </c>
      <c r="AD243" s="144" t="str">
        <f>IF((R243-U243)&gt;XWorkTimeMax,(R243-U243-XWorkTimeMax),"")</f>
        <v/>
      </c>
      <c r="AE243" s="225">
        <f>IF(AW243,(AE242+SUM(AA243)+(IF(AG243="+",AF243,-AF243))),)</f>
        <v>0</v>
      </c>
      <c r="AF243" s="110"/>
      <c r="AG243" s="627"/>
      <c r="AH243" s="110"/>
      <c r="AI243" s="110" t="str">
        <f>IF(AND(AF243&lt;&gt;"",AF243&lt;=V243),V243-AF243,"")</f>
        <v/>
      </c>
      <c r="AJ243" s="68">
        <f>IF(ISNUMBER(V243 ), IF( V243 &gt;= Y243, Y243, V243 ),"")</f>
        <v>0</v>
      </c>
      <c r="AK243" s="68">
        <f>IF( ISNUMBER( V243 ), IF( V243 &gt;= Y243, V243 - Y243, "" ), "" )</f>
        <v>0</v>
      </c>
      <c r="AL243" s="68" t="str">
        <f>IF( AND(ISNUMBER( V243 ),ISNUMBER( Y243 )), IF( V243 &gt;= Y243, "", Y243 - V243 ), "" )</f>
        <v/>
      </c>
      <c r="AM243">
        <f>IF(A243="",0,IF(ISERROR(VLOOKUP(A243,db_Feiertag,2,FALSE)),WEEKDAY(A243,2),Feiertag))</f>
        <v>6</v>
      </c>
      <c r="AN243" s="122">
        <f>SUM($AD$6:AD243)</f>
        <v>0</v>
      </c>
      <c r="AO243" s="122">
        <f ca="1">IF(D243=D242,AO242,OFFSET(AO243,-1,COLUMN(db_jSaldoGes)-COLUMN()))</f>
        <v>0</v>
      </c>
      <c r="AP243" s="126">
        <f>IF(OR($G243=-1,$G243=82),-1,IF(OR($G243=0,$G243=83),1,0))</f>
        <v>0</v>
      </c>
      <c r="AQ243" s="126">
        <f>IF($F243=Krank,1,IF($F243="J",-1,0))</f>
        <v>0</v>
      </c>
      <c r="AR243" s="126">
        <f>IF($F243=Urlaub,1,IF($F243="T",-1,0))</f>
        <v>0</v>
      </c>
      <c r="AS243" s="125">
        <f>IF(A243="","",AS242-IF(F243=Urlaub,1,0)+IF(AND(MONTH(A243)=1,DAY(A243)=1),B_UrlaubNeu,0))</f>
        <v>30</v>
      </c>
      <c r="AT243" s="125">
        <f ca="1">IF(A243="","",IF(D243=D242,AT242,OFFSET(AT243,-1,COLUMN(db_jUrlRest)-COLUMN()))+IF(AND(MONTH(A243)=1,DAY(A243)=1),B_UrlaubNeu,0))</f>
        <v>30</v>
      </c>
      <c r="AU243" s="135">
        <f>(IF(ISNUMBER(V243),V243,0)+IF(ISNUMBER(AD243),AD243,0))*24</f>
        <v>0</v>
      </c>
      <c r="AV243" s="125">
        <f>IF(ISNUMBER(AD243),K_ArbeitOverMax,IF(AND(ISNUMBER(AA243),AA243&gt;0),K_ArbeitOverTime,IF(AND(ISNUMBER(V243),V243&gt;0),K_ArbeitNormal,IF(F243=Krank,K_Krank,IF(F243=Urlaub,K_Urlaub,IF(AM243=Feiertag,K_Feiertag,IF(OR(AM243=6,AM243=7),K_Wochenende,0)))))))+IF(F243=Gleittag,K_Gleittag,0)</f>
        <v>7</v>
      </c>
      <c r="AW243" t="b">
        <f>OR((F243&gt;0),(NOT(ISBLANK(H243))),SUM(H243:H$373),SUM(G243:G$373))</f>
        <v>0</v>
      </c>
      <c r="AX243" t="b">
        <f ca="1">INDIRECT(ADDRESS(ROW(),COLUMN(xDay)))&gt;5</f>
        <v>1</v>
      </c>
      <c r="AY243" s="600">
        <f>IF(OR(R243&lt;&gt;0,F243&lt;&gt;0),AA243,IF(Z243="",0,-Z243))+(IF(AG243="+",AF243,-AF243))</f>
        <v>0</v>
      </c>
      <c r="AZ243" s="225">
        <f>SUM(AY$5:AY243)</f>
        <v>-47.541666666666593</v>
      </c>
      <c r="BA243" s="643"/>
      <c r="BB243" s="658">
        <f>IF(ISNA(MATCH(BA243,B_Arbeitsort,0)),0,MATCH(BA243,B_Arbeitsort,0))</f>
        <v>0</v>
      </c>
      <c r="BC243" s="643"/>
    </row>
    <row r="244" spans="1:55" ht="15.75">
      <c r="A244" s="305">
        <f>IF(A243="","",IF((A243+1)&gt;=DATE(YEAR(xJahr)+1,MONTH(xJahr),DAY(xJahr)),"",A243+1))</f>
        <v>43703</v>
      </c>
      <c r="B244" s="306">
        <f>IF(A244="","",A244)</f>
        <v>43703</v>
      </c>
      <c r="C244" s="307">
        <f>IF(A244="","",NumberOfWeek(A244))</f>
        <v>34</v>
      </c>
      <c r="D244" s="308">
        <f>IF(A244="","",DATE(YEAR(A244),MONTH(A244),1))</f>
        <v>43677</v>
      </c>
      <c r="E244" s="318" t="str">
        <f>IF((R244-U244)&gt;XWorkTimeMax,$Z$4,IF(AV244=Feiertag,VLOOKUP(B244,db_Feiertag,2,FALSE),""))</f>
        <v/>
      </c>
      <c r="F244" s="5"/>
      <c r="G244" s="6" t="str">
        <f>IF(ISBLANK(F244),IF(ISBLANK(H244),"",0),CODE(UPPER(F244)))</f>
        <v/>
      </c>
      <c r="H244" s="7"/>
      <c r="I244" s="7">
        <f>IF(H244&gt;0,H244+Y244+X244+AC244,0)</f>
        <v>0</v>
      </c>
      <c r="J244" s="113">
        <f>IF(K244&gt;I244,IF(I244&lt;H244,I244+1,I244)-B_WalkTime,IF(I244&lt;H244,I244+1,I244))</f>
        <v>0</v>
      </c>
      <c r="K244" s="7"/>
      <c r="L244" s="7">
        <f>IF(K244&gt;0,K244+IF((J244-H244)&lt;Y244,Y244-(J244-H244),TIME(0,10,0))+IF((K244-J244)&gt;xNoWorkTime,0,xNoWorkTime-(K244-J244)),0)</f>
        <v>0</v>
      </c>
      <c r="M244" s="113">
        <f>IF(L244&lt;K244,L244+1,L244)</f>
        <v>0</v>
      </c>
      <c r="N244" s="113"/>
      <c r="O244" s="113">
        <f>IF(N244&gt;0,N244+IF((J244-H244+M244-K244)&lt;Y244,Y244-(J244-H244+M244-K244),TIME(0,10,0))+IF((K244-J244+N244-M244)&gt;xNoWorkTime,0,xNoWorkTime-(K244-J244+N244-M244)),0)</f>
        <v>0</v>
      </c>
      <c r="P244" s="113"/>
      <c r="Q244" s="113">
        <f>IF(O244&lt;N244,O244+1,O244)</f>
        <v>0</v>
      </c>
      <c r="R244" s="113">
        <f>J244-H244+M244-K244+Q244-N244</f>
        <v>0</v>
      </c>
      <c r="S244" s="113">
        <f>IF(K244&gt;0,K244-I244,0)+IF(N244&gt;0,N244-L244)</f>
        <v>0</v>
      </c>
      <c r="T244" s="113">
        <f>IF(H244&gt;0,(IF(R244&gt;B_Pause1Nach,B_Pause1Dauer+IF(BA244="Büro",B_WalkTime,0),IF(BA244="Büro",B_WalkTime,0))+IF(R244&gt;B_Pause2Nach,B_Pause2Dauer,0)),0)</f>
        <v>0</v>
      </c>
      <c r="U244" s="113">
        <f>IF(T244&gt;S244,T244-S244,0)</f>
        <v>0</v>
      </c>
      <c r="V244" s="146">
        <f>IF(F244="S",Z244,(IF((R244-U244)&gt;XWorkTimeMax,XWorkTimeMax,IF((R244-U244)&gt;0,R244-U244,0))))</f>
        <v>0</v>
      </c>
      <c r="W244" s="66"/>
      <c r="X244" s="115">
        <f>xNoWorkTime</f>
        <v>4.027777777777778E-2</v>
      </c>
      <c r="Y244" s="110">
        <f>IF(AND((AM244&lt;Feiertag),(G244&lt;&gt;85)),IF(OR(F244="B",F244="G",F244="S",H244&gt;0),H244-H244+Z244,0),0)</f>
        <v>0</v>
      </c>
      <c r="Z244" s="111">
        <f>IF(AND(AM244&gt;0,AM244&lt;Feiertag),INDEX(Arbeitszeit,AM244),"")</f>
        <v>0</v>
      </c>
      <c r="AA244" s="112">
        <f>V244-Y244</f>
        <v>0</v>
      </c>
      <c r="AB244" s="67" t="str">
        <f>IF((V244-Y244)&lt;0,"*","")</f>
        <v/>
      </c>
      <c r="AC244" s="193">
        <f>xOverTime</f>
        <v>0</v>
      </c>
      <c r="AD244" s="144" t="str">
        <f>IF((R244-U244)&gt;XWorkTimeMax,(R244-U244-XWorkTimeMax),"")</f>
        <v/>
      </c>
      <c r="AE244" s="225">
        <f>IF(AW244,(AE243+SUM(AA244)+(IF(AG244="+",AF244,-AF244))),)</f>
        <v>0</v>
      </c>
      <c r="AF244" s="110"/>
      <c r="AG244" s="627"/>
      <c r="AH244" s="110"/>
      <c r="AI244" s="110" t="str">
        <f>IF(AND(AF244&lt;&gt;"",AF244&lt;=V244),V244-AF244,"")</f>
        <v/>
      </c>
      <c r="AJ244" s="68">
        <f>IF(ISNUMBER(V244 ), IF( V244 &gt;= Y244, Y244, V244 ),"")</f>
        <v>0</v>
      </c>
      <c r="AK244" s="68">
        <f>IF( ISNUMBER( V244 ), IF( V244 &gt;= Y244, V244 - Y244, "" ), "" )</f>
        <v>0</v>
      </c>
      <c r="AL244" s="68" t="str">
        <f>IF( AND(ISNUMBER( V244 ),ISNUMBER( Y244 )), IF( V244 &gt;= Y244, "", Y244 - V244 ), "" )</f>
        <v/>
      </c>
      <c r="AM244">
        <f>IF(A244="",0,IF(ISERROR(VLOOKUP(A244,db_Feiertag,2,FALSE)),WEEKDAY(A244,2),Feiertag))</f>
        <v>7</v>
      </c>
      <c r="AN244" s="122">
        <f>SUM($AD$6:AD244)</f>
        <v>0</v>
      </c>
      <c r="AO244" s="122">
        <f ca="1">IF(D244=D243,AO243,OFFSET(AO244,-1,COLUMN(db_jSaldoGes)-COLUMN()))</f>
        <v>0</v>
      </c>
      <c r="AP244" s="126">
        <f>IF(OR($G244=-1,$G244=82),-1,IF(OR($G244=0,$G244=83),1,0))</f>
        <v>0</v>
      </c>
      <c r="AQ244" s="126">
        <f>IF($F244=Krank,1,IF($F244="J",-1,0))</f>
        <v>0</v>
      </c>
      <c r="AR244" s="126">
        <f>IF($F244=Urlaub,1,IF($F244="T",-1,0))</f>
        <v>0</v>
      </c>
      <c r="AS244" s="125">
        <f>IF(A244="","",AS243-IF(F244=Urlaub,1,0)+IF(AND(MONTH(A244)=1,DAY(A244)=1),B_UrlaubNeu,0))</f>
        <v>30</v>
      </c>
      <c r="AT244" s="125">
        <f ca="1">IF(A244="","",IF(D244=D243,AT243,OFFSET(AT244,-1,COLUMN(db_jUrlRest)-COLUMN()))+IF(AND(MONTH(A244)=1,DAY(A244)=1),B_UrlaubNeu,0))</f>
        <v>30</v>
      </c>
      <c r="AU244" s="135">
        <f>(IF(ISNUMBER(V244),V244,0)+IF(ISNUMBER(AD244),AD244,0))*24</f>
        <v>0</v>
      </c>
      <c r="AV244" s="125">
        <f>IF(ISNUMBER(AD244),K_ArbeitOverMax,IF(AND(ISNUMBER(AA244),AA244&gt;0),K_ArbeitOverTime,IF(AND(ISNUMBER(V244),V244&gt;0),K_ArbeitNormal,IF(F244=Krank,K_Krank,IF(F244=Urlaub,K_Urlaub,IF(AM244=Feiertag,K_Feiertag,IF(OR(AM244=6,AM244=7),K_Wochenende,0)))))))+IF(F244=Gleittag,K_Gleittag,0)</f>
        <v>7</v>
      </c>
      <c r="AW244" t="b">
        <f>OR((F244&gt;0),(NOT(ISBLANK(H244))),SUM(H244:H$373),SUM(G244:G$373))</f>
        <v>0</v>
      </c>
      <c r="AX244" t="b">
        <f ca="1">INDIRECT(ADDRESS(ROW(),COLUMN(xDay)))&gt;5</f>
        <v>1</v>
      </c>
      <c r="AY244" s="600">
        <f>IF(OR(R244&lt;&gt;0,F244&lt;&gt;0),AA244,IF(Z244="",0,-Z244))+(IF(AG244="+",AF244,-AF244))</f>
        <v>0</v>
      </c>
      <c r="AZ244" s="225">
        <f>SUM(AY$5:AY244)</f>
        <v>-47.541666666666593</v>
      </c>
      <c r="BA244" s="643"/>
      <c r="BB244" s="658">
        <f>IF(ISNA(MATCH(BA244,B_Arbeitsort,0)),0,MATCH(BA244,B_Arbeitsort,0))</f>
        <v>0</v>
      </c>
      <c r="BC244" s="643"/>
    </row>
    <row r="245" spans="1:55" ht="15.75">
      <c r="A245" s="305">
        <f>IF(A244="","",IF((A244+1)&gt;=DATE(YEAR(xJahr)+1,MONTH(xJahr),DAY(xJahr)),"",A244+1))</f>
        <v>43704</v>
      </c>
      <c r="B245" s="306">
        <f>IF(A245="","",A245)</f>
        <v>43704</v>
      </c>
      <c r="C245" s="307">
        <f>IF(A245="","",NumberOfWeek(A245))</f>
        <v>35</v>
      </c>
      <c r="D245" s="308">
        <f>IF(A245="","",DATE(YEAR(A245),MONTH(A245),1))</f>
        <v>43677</v>
      </c>
      <c r="E245" s="318" t="str">
        <f>IF((R245-U245)&gt;XWorkTimeMax,$Z$4,IF(AV245=Feiertag,VLOOKUP(B245,db_Feiertag,2,FALSE),""))</f>
        <v/>
      </c>
      <c r="F245" s="5"/>
      <c r="G245" s="6" t="str">
        <f>IF(ISBLANK(F245),IF(ISBLANK(H245),"",0),CODE(UPPER(F245)))</f>
        <v/>
      </c>
      <c r="H245" s="7"/>
      <c r="I245" s="7">
        <f>IF(H245&gt;0,H245+Y245+X245+AC245,0)</f>
        <v>0</v>
      </c>
      <c r="J245" s="113">
        <f>IF(K245&gt;I245,IF(I245&lt;H245,I245+1,I245)-B_WalkTime,IF(I245&lt;H245,I245+1,I245))</f>
        <v>0</v>
      </c>
      <c r="K245" s="7"/>
      <c r="L245" s="7">
        <f>IF(K245&gt;0,K245+IF((J245-H245)&lt;Y245,Y245-(J245-H245),TIME(0,10,0))+IF((K245-J245)&gt;xNoWorkTime,0,xNoWorkTime-(K245-J245)),0)</f>
        <v>0</v>
      </c>
      <c r="M245" s="113">
        <f>IF(L245&lt;K245,L245+1,L245)</f>
        <v>0</v>
      </c>
      <c r="N245" s="113"/>
      <c r="O245" s="113">
        <f>IF(N245&gt;0,N245+IF((J245-H245+M245-K245)&lt;Y245,Y245-(J245-H245+M245-K245),TIME(0,10,0))+IF((K245-J245+N245-M245)&gt;xNoWorkTime,0,xNoWorkTime-(K245-J245+N245-M245)),0)</f>
        <v>0</v>
      </c>
      <c r="P245" s="113"/>
      <c r="Q245" s="113">
        <f>IF(O245&lt;N245,O245+1,O245)</f>
        <v>0</v>
      </c>
      <c r="R245" s="113">
        <f>J245-H245+M245-K245+Q245-N245</f>
        <v>0</v>
      </c>
      <c r="S245" s="113">
        <f>IF(K245&gt;0,K245-I245,0)+IF(N245&gt;0,N245-L245)</f>
        <v>0</v>
      </c>
      <c r="T245" s="113">
        <f>IF(H245&gt;0,(IF(R245&gt;B_Pause1Nach,B_Pause1Dauer+IF(BA245="Büro",B_WalkTime,0),IF(BA245="Büro",B_WalkTime,0))+IF(R245&gt;B_Pause2Nach,B_Pause2Dauer,0)),0)</f>
        <v>0</v>
      </c>
      <c r="U245" s="113">
        <f>IF(T245&gt;S245,T245-S245,0)</f>
        <v>0</v>
      </c>
      <c r="V245" s="146">
        <f>IF(F245="S",Z245,(IF((R245-U245)&gt;XWorkTimeMax,XWorkTimeMax,IF((R245-U245)&gt;0,R245-U245,0))))</f>
        <v>0</v>
      </c>
      <c r="W245" s="66"/>
      <c r="X245" s="115">
        <f>xNoWorkTime</f>
        <v>4.027777777777778E-2</v>
      </c>
      <c r="Y245" s="110">
        <f>IF(AND((AM245&lt;Feiertag),(G245&lt;&gt;85)),IF(OR(F245="B",F245="G",F245="S",H245&gt;0),H245-H245+Z245,0),0)</f>
        <v>0</v>
      </c>
      <c r="Z245" s="111">
        <f>IF(AND(AM245&gt;0,AM245&lt;Feiertag),INDEX(Arbeitszeit,AM245),"")</f>
        <v>0.29166666666666669</v>
      </c>
      <c r="AA245" s="112">
        <f>V245-Y245</f>
        <v>0</v>
      </c>
      <c r="AB245" s="67" t="str">
        <f>IF((V245-Y245)&lt;0,"*","")</f>
        <v/>
      </c>
      <c r="AC245" s="193">
        <f>xOverTime</f>
        <v>0</v>
      </c>
      <c r="AD245" s="144" t="str">
        <f>IF((R245-U245)&gt;XWorkTimeMax,(R245-U245-XWorkTimeMax),"")</f>
        <v/>
      </c>
      <c r="AE245" s="225">
        <f>IF(AW245,(AE244+SUM(AA245)+(IF(AG245="+",AF245,-AF245))),)</f>
        <v>0</v>
      </c>
      <c r="AF245" s="110"/>
      <c r="AG245" s="627"/>
      <c r="AH245" s="110"/>
      <c r="AI245" s="110" t="str">
        <f>IF(AND(AF245&lt;&gt;"",AF245&lt;=V245),V245-AF245,"")</f>
        <v/>
      </c>
      <c r="AJ245" s="68">
        <f>IF(ISNUMBER(V245 ), IF( V245 &gt;= Y245, Y245, V245 ),"")</f>
        <v>0</v>
      </c>
      <c r="AK245" s="68">
        <f>IF( ISNUMBER( V245 ), IF( V245 &gt;= Y245, V245 - Y245, "" ), "" )</f>
        <v>0</v>
      </c>
      <c r="AL245" s="68" t="str">
        <f>IF( AND(ISNUMBER( V245 ),ISNUMBER( Y245 )), IF( V245 &gt;= Y245, "", Y245 - V245 ), "" )</f>
        <v/>
      </c>
      <c r="AM245">
        <f>IF(A245="",0,IF(ISERROR(VLOOKUP(A245,db_Feiertag,2,FALSE)),WEEKDAY(A245,2),Feiertag))</f>
        <v>1</v>
      </c>
      <c r="AN245" s="122">
        <f>SUM($AD$6:AD245)</f>
        <v>0</v>
      </c>
      <c r="AO245" s="122">
        <f ca="1">IF(D245=D244,AO244,OFFSET(AO245,-1,COLUMN(db_jSaldoGes)-COLUMN()))</f>
        <v>0</v>
      </c>
      <c r="AP245" s="126">
        <f>IF(OR($G245=-1,$G245=82),-1,IF(OR($G245=0,$G245=83),1,0))</f>
        <v>0</v>
      </c>
      <c r="AQ245" s="126">
        <f>IF($F245=Krank,1,IF($F245="J",-1,0))</f>
        <v>0</v>
      </c>
      <c r="AR245" s="126">
        <f>IF($F245=Urlaub,1,IF($F245="T",-1,0))</f>
        <v>0</v>
      </c>
      <c r="AS245" s="125">
        <f>IF(A245="","",AS244-IF(F245=Urlaub,1,0)+IF(AND(MONTH(A245)=1,DAY(A245)=1),B_UrlaubNeu,0))</f>
        <v>30</v>
      </c>
      <c r="AT245" s="125">
        <f ca="1">IF(A245="","",IF(D245=D244,AT244,OFFSET(AT245,-1,COLUMN(db_jUrlRest)-COLUMN()))+IF(AND(MONTH(A245)=1,DAY(A245)=1),B_UrlaubNeu,0))</f>
        <v>30</v>
      </c>
      <c r="AU245" s="135">
        <f>(IF(ISNUMBER(V245),V245,0)+IF(ISNUMBER(AD245),AD245,0))*24</f>
        <v>0</v>
      </c>
      <c r="AV245" s="125">
        <f>IF(ISNUMBER(AD245),K_ArbeitOverMax,IF(AND(ISNUMBER(AA245),AA245&gt;0),K_ArbeitOverTime,IF(AND(ISNUMBER(V245),V245&gt;0),K_ArbeitNormal,IF(F245=Krank,K_Krank,IF(F245=Urlaub,K_Urlaub,IF(AM245=Feiertag,K_Feiertag,IF(OR(AM245=6,AM245=7),K_Wochenende,0)))))))+IF(F245=Gleittag,K_Gleittag,0)</f>
        <v>0</v>
      </c>
      <c r="AW245" t="b">
        <f>OR((F245&gt;0),(NOT(ISBLANK(H245))),SUM(H245:H$373),SUM(G245:G$373))</f>
        <v>0</v>
      </c>
      <c r="AX245" t="b">
        <f ca="1">INDIRECT(ADDRESS(ROW(),COLUMN(xDay)))&gt;5</f>
        <v>0</v>
      </c>
      <c r="AY245" s="600">
        <f>IF(OR(R245&lt;&gt;0,F245&lt;&gt;0),AA245,IF(Z245="",0,-Z245))+(IF(AG245="+",AF245,-AF245))</f>
        <v>-0.29166666666666669</v>
      </c>
      <c r="AZ245" s="225">
        <f>SUM(AY$5:AY245)</f>
        <v>-47.833333333333258</v>
      </c>
      <c r="BA245" s="658"/>
      <c r="BB245" s="658">
        <f>IF(ISNA(MATCH(BA245,B_Arbeitsort,0)),0,MATCH(BA245,B_Arbeitsort,0))</f>
        <v>0</v>
      </c>
      <c r="BC245" s="658"/>
    </row>
    <row r="246" spans="1:55" ht="15.75">
      <c r="A246" s="305">
        <f>IF(A245="","",IF((A245+1)&gt;=DATE(YEAR(xJahr)+1,MONTH(xJahr),DAY(xJahr)),"",A245+1))</f>
        <v>43705</v>
      </c>
      <c r="B246" s="306">
        <f>IF(A246="","",A246)</f>
        <v>43705</v>
      </c>
      <c r="C246" s="307">
        <f>IF(A246="","",NumberOfWeek(A246))</f>
        <v>35</v>
      </c>
      <c r="D246" s="308">
        <f>IF(A246="","",DATE(YEAR(A246),MONTH(A246),1))</f>
        <v>43677</v>
      </c>
      <c r="E246" s="318" t="str">
        <f>IF((R246-U246)&gt;XWorkTimeMax,$Z$4,IF(AV246=Feiertag,VLOOKUP(B246,db_Feiertag,2,FALSE),""))</f>
        <v/>
      </c>
      <c r="F246" s="5"/>
      <c r="G246" s="6" t="str">
        <f>IF(ISBLANK(F246),IF(ISBLANK(H246),"",0),CODE(UPPER(F246)))</f>
        <v/>
      </c>
      <c r="H246" s="7"/>
      <c r="I246" s="7">
        <f>IF(H246&gt;0,H246+Y246+X246+AC246,0)</f>
        <v>0</v>
      </c>
      <c r="J246" s="113">
        <f>IF(K246&gt;I246,IF(I246&lt;H246,I246+1,I246)-B_WalkTime,IF(I246&lt;H246,I246+1,I246))</f>
        <v>0</v>
      </c>
      <c r="K246" s="7"/>
      <c r="L246" s="7">
        <f>IF(K246&gt;0,K246+IF((J246-H246)&lt;Y246,Y246-(J246-H246),TIME(0,10,0))+IF((K246-J246)&gt;xNoWorkTime,0,xNoWorkTime-(K246-J246)),0)</f>
        <v>0</v>
      </c>
      <c r="M246" s="113">
        <f>IF(L246&lt;K246,L246+1,L246)</f>
        <v>0</v>
      </c>
      <c r="N246" s="113"/>
      <c r="O246" s="113">
        <f>IF(N246&gt;0,N246+IF((J246-H246+M246-K246)&lt;Y246,Y246-(J246-H246+M246-K246),TIME(0,10,0))+IF((K246-J246+N246-M246)&gt;xNoWorkTime,0,xNoWorkTime-(K246-J246+N246-M246)),0)</f>
        <v>0</v>
      </c>
      <c r="P246" s="113"/>
      <c r="Q246" s="113">
        <f>IF(O246&lt;N246,O246+1,O246)</f>
        <v>0</v>
      </c>
      <c r="R246" s="113">
        <f>J246-H246+M246-K246+Q246-N246</f>
        <v>0</v>
      </c>
      <c r="S246" s="113">
        <f>IF(K246&gt;0,K246-I246,0)+IF(N246&gt;0,N246-L246)</f>
        <v>0</v>
      </c>
      <c r="T246" s="113">
        <f>IF(H246&gt;0,(IF(R246&gt;B_Pause1Nach,B_Pause1Dauer+IF(BA246="Büro",B_WalkTime,0),IF(BA246="Büro",B_WalkTime,0))+IF(R246&gt;B_Pause2Nach,B_Pause2Dauer,0)),0)</f>
        <v>0</v>
      </c>
      <c r="U246" s="113">
        <f>IF(T246&gt;S246,T246-S246,0)</f>
        <v>0</v>
      </c>
      <c r="V246" s="146">
        <f>IF(F246="S",Z246,(IF((R246-U246)&gt;XWorkTimeMax,XWorkTimeMax,IF((R246-U246)&gt;0,R246-U246,0))))</f>
        <v>0</v>
      </c>
      <c r="W246" s="66"/>
      <c r="X246" s="115">
        <f>xNoWorkTime</f>
        <v>4.027777777777778E-2</v>
      </c>
      <c r="Y246" s="110">
        <f>IF(AND((AM246&lt;Feiertag),(G246&lt;&gt;85)),IF(OR(F246="B",F246="G",F246="S",H246&gt;0),H246-H246+Z246,0),0)</f>
        <v>0</v>
      </c>
      <c r="Z246" s="111">
        <f>IF(AND(AM246&gt;0,AM246&lt;Feiertag),INDEX(Arbeitszeit,AM246),"")</f>
        <v>0.29166666666666669</v>
      </c>
      <c r="AA246" s="112">
        <f>V246-Y246</f>
        <v>0</v>
      </c>
      <c r="AB246" s="67" t="str">
        <f>IF((V246-Y246)&lt;0,"*","")</f>
        <v/>
      </c>
      <c r="AC246" s="193">
        <f>xOverTime</f>
        <v>0</v>
      </c>
      <c r="AD246" s="144" t="str">
        <f>IF((R246-U246)&gt;XWorkTimeMax,(R246-U246-XWorkTimeMax),"")</f>
        <v/>
      </c>
      <c r="AE246" s="225">
        <f>IF(AW246,(AE245+SUM(AA246)+(IF(AG246="+",AF246,-AF246))),)</f>
        <v>0</v>
      </c>
      <c r="AF246" s="110"/>
      <c r="AG246" s="627"/>
      <c r="AH246" s="110"/>
      <c r="AI246" s="110" t="str">
        <f>IF(AND(AF246&lt;&gt;"",AF246&lt;=V246),V246-AF246,"")</f>
        <v/>
      </c>
      <c r="AJ246" s="68">
        <f>IF(ISNUMBER(V246 ), IF( V246 &gt;= Y246, Y246, V246 ),"")</f>
        <v>0</v>
      </c>
      <c r="AK246" s="68">
        <f>IF( ISNUMBER( V246 ), IF( V246 &gt;= Y246, V246 - Y246, "" ), "" )</f>
        <v>0</v>
      </c>
      <c r="AL246" s="68" t="str">
        <f>IF( AND(ISNUMBER( V246 ),ISNUMBER( Y246 )), IF( V246 &gt;= Y246, "", Y246 - V246 ), "" )</f>
        <v/>
      </c>
      <c r="AM246">
        <f>IF(A246="",0,IF(ISERROR(VLOOKUP(A246,db_Feiertag,2,FALSE)),WEEKDAY(A246,2),Feiertag))</f>
        <v>2</v>
      </c>
      <c r="AN246" s="122">
        <f>SUM($AD$6:AD246)</f>
        <v>0</v>
      </c>
      <c r="AO246" s="122">
        <f ca="1">IF(D246=D245,AO245,OFFSET(AO246,-1,COLUMN(db_jSaldoGes)-COLUMN()))</f>
        <v>0</v>
      </c>
      <c r="AP246" s="126">
        <f>IF(OR($G246=-1,$G246=82),-1,IF(OR($G246=0,$G246=83),1,0))</f>
        <v>0</v>
      </c>
      <c r="AQ246" s="126">
        <f>IF($F246=Krank,1,IF($F246="J",-1,0))</f>
        <v>0</v>
      </c>
      <c r="AR246" s="126">
        <f>IF($F246=Urlaub,1,IF($F246="T",-1,0))</f>
        <v>0</v>
      </c>
      <c r="AS246" s="125">
        <f>IF(A246="","",AS245-IF(F246=Urlaub,1,0)+IF(AND(MONTH(A246)=1,DAY(A246)=1),B_UrlaubNeu,0))</f>
        <v>30</v>
      </c>
      <c r="AT246" s="125">
        <f ca="1">IF(A246="","",IF(D246=D245,AT245,OFFSET(AT246,-1,COLUMN(db_jUrlRest)-COLUMN()))+IF(AND(MONTH(A246)=1,DAY(A246)=1),B_UrlaubNeu,0))</f>
        <v>30</v>
      </c>
      <c r="AU246" s="135">
        <f>(IF(ISNUMBER(V246),V246,0)+IF(ISNUMBER(AD246),AD246,0))*24</f>
        <v>0</v>
      </c>
      <c r="AV246" s="125">
        <f>IF(ISNUMBER(AD246),K_ArbeitOverMax,IF(AND(ISNUMBER(AA246),AA246&gt;0),K_ArbeitOverTime,IF(AND(ISNUMBER(V246),V246&gt;0),K_ArbeitNormal,IF(F246=Krank,K_Krank,IF(F246=Urlaub,K_Urlaub,IF(AM246=Feiertag,K_Feiertag,IF(OR(AM246=6,AM246=7),K_Wochenende,0)))))))+IF(F246=Gleittag,K_Gleittag,0)</f>
        <v>0</v>
      </c>
      <c r="AW246" t="b">
        <f>OR((F246&gt;0),(NOT(ISBLANK(H246))),SUM(H246:H$373),SUM(G246:G$373))</f>
        <v>0</v>
      </c>
      <c r="AX246" t="b">
        <f ca="1">INDIRECT(ADDRESS(ROW(),COLUMN(xDay)))&gt;5</f>
        <v>0</v>
      </c>
      <c r="AY246" s="600">
        <f>IF(OR(R246&lt;&gt;0,F246&lt;&gt;0),AA246,IF(Z246="",0,-Z246))+(IF(AG246="+",AF246,-AF246))</f>
        <v>-0.29166666666666669</v>
      </c>
      <c r="AZ246" s="225">
        <f>SUM(AY$5:AY246)</f>
        <v>-48.124999999999922</v>
      </c>
      <c r="BA246" s="658"/>
      <c r="BB246" s="658">
        <f>IF(ISNA(MATCH(BA246,B_Arbeitsort,0)),0,MATCH(BA246,B_Arbeitsort,0))</f>
        <v>0</v>
      </c>
      <c r="BC246" s="658"/>
    </row>
    <row r="247" spans="1:55" ht="15.75">
      <c r="A247" s="305">
        <f>IF(A246="","",IF((A246+1)&gt;=DATE(YEAR(xJahr)+1,MONTH(xJahr),DAY(xJahr)),"",A246+1))</f>
        <v>43706</v>
      </c>
      <c r="B247" s="306">
        <f>IF(A247="","",A247)</f>
        <v>43706</v>
      </c>
      <c r="C247" s="307">
        <f>IF(A247="","",NumberOfWeek(A247))</f>
        <v>35</v>
      </c>
      <c r="D247" s="308">
        <f>IF(A247="","",DATE(YEAR(A247),MONTH(A247),1))</f>
        <v>43677</v>
      </c>
      <c r="E247" s="318" t="str">
        <f>IF((R247-U247)&gt;XWorkTimeMax,$Z$4,IF(AV247=Feiertag,VLOOKUP(B247,db_Feiertag,2,FALSE),""))</f>
        <v/>
      </c>
      <c r="F247" s="5"/>
      <c r="G247" s="6" t="str">
        <f>IF(ISBLANK(F247),IF(ISBLANK(H247),"",0),CODE(UPPER(F247)))</f>
        <v/>
      </c>
      <c r="H247" s="7"/>
      <c r="I247" s="7">
        <f>IF(H247&gt;0,H247+Y247+X247+AC247,0)</f>
        <v>0</v>
      </c>
      <c r="J247" s="113">
        <f>IF(K247&gt;I247,IF(I247&lt;H247,I247+1,I247)-B_WalkTime,IF(I247&lt;H247,I247+1,I247))</f>
        <v>0</v>
      </c>
      <c r="K247" s="7"/>
      <c r="L247" s="7">
        <f>IF(K247&gt;0,K247+IF((J247-H247)&lt;Y247,Y247-(J247-H247),TIME(0,10,0))+IF((K247-J247)&gt;xNoWorkTime,0,xNoWorkTime-(K247-J247)),0)</f>
        <v>0</v>
      </c>
      <c r="M247" s="113">
        <f>IF(L247&lt;K247,L247+1,L247)</f>
        <v>0</v>
      </c>
      <c r="N247" s="113"/>
      <c r="O247" s="113">
        <f>IF(N247&gt;0,N247+IF((J247-H247+M247-K247)&lt;Y247,Y247-(J247-H247+M247-K247),TIME(0,10,0))+IF((K247-J247+N247-M247)&gt;xNoWorkTime,0,xNoWorkTime-(K247-J247+N247-M247)),0)</f>
        <v>0</v>
      </c>
      <c r="P247" s="113"/>
      <c r="Q247" s="113">
        <f>IF(O247&lt;N247,O247+1,O247)</f>
        <v>0</v>
      </c>
      <c r="R247" s="113">
        <f>J247-H247+M247-K247+Q247-N247</f>
        <v>0</v>
      </c>
      <c r="S247" s="113">
        <f>IF(K247&gt;0,K247-I247,0)+IF(N247&gt;0,N247-L247)</f>
        <v>0</v>
      </c>
      <c r="T247" s="113">
        <f>IF(H247&gt;0,(IF(R247&gt;B_Pause1Nach,B_Pause1Dauer+IF(BA247="Büro",B_WalkTime,0),IF(BA247="Büro",B_WalkTime,0))+IF(R247&gt;B_Pause2Nach,B_Pause2Dauer,0)),0)</f>
        <v>0</v>
      </c>
      <c r="U247" s="113">
        <f>IF(T247&gt;S247,T247-S247,0)</f>
        <v>0</v>
      </c>
      <c r="V247" s="146">
        <f>IF(F247="S",Z247,(IF((R247-U247)&gt;XWorkTimeMax,XWorkTimeMax,IF((R247-U247)&gt;0,R247-U247,0))))</f>
        <v>0</v>
      </c>
      <c r="W247" s="66"/>
      <c r="X247" s="115">
        <f>xNoWorkTime</f>
        <v>4.027777777777778E-2</v>
      </c>
      <c r="Y247" s="110">
        <f>IF(AND((AM247&lt;Feiertag),(G247&lt;&gt;85)),IF(OR(F247="B",F247="G",F247="S",H247&gt;0),H247-H247+Z247,0),0)</f>
        <v>0</v>
      </c>
      <c r="Z247" s="111">
        <f>IF(AND(AM247&gt;0,AM247&lt;Feiertag),INDEX(Arbeitszeit,AM247),"")</f>
        <v>0.29166666666666669</v>
      </c>
      <c r="AA247" s="112">
        <f>V247-Y247</f>
        <v>0</v>
      </c>
      <c r="AB247" s="67" t="str">
        <f>IF((V247-Y247)&lt;0,"*","")</f>
        <v/>
      </c>
      <c r="AC247" s="193">
        <f>xOverTime</f>
        <v>0</v>
      </c>
      <c r="AD247" s="144" t="str">
        <f>IF((R247-U247)&gt;XWorkTimeMax,(R247-U247-XWorkTimeMax),"")</f>
        <v/>
      </c>
      <c r="AE247" s="225">
        <f>IF(AW247,(AE246+SUM(AA247)+(IF(AG247="+",AF247,-AF247))),)</f>
        <v>0</v>
      </c>
      <c r="AF247" s="110"/>
      <c r="AG247" s="627"/>
      <c r="AH247" s="110"/>
      <c r="AI247" s="110" t="str">
        <f>IF(AND(AF247&lt;&gt;"",AF247&lt;=V247),V247-AF247,"")</f>
        <v/>
      </c>
      <c r="AJ247" s="68">
        <f>IF(ISNUMBER(V247 ), IF( V247 &gt;= Y247, Y247, V247 ),"")</f>
        <v>0</v>
      </c>
      <c r="AK247" s="68">
        <f>IF( ISNUMBER( V247 ), IF( V247 &gt;= Y247, V247 - Y247, "" ), "" )</f>
        <v>0</v>
      </c>
      <c r="AL247" s="68" t="str">
        <f>IF( AND(ISNUMBER( V247 ),ISNUMBER( Y247 )), IF( V247 &gt;= Y247, "", Y247 - V247 ), "" )</f>
        <v/>
      </c>
      <c r="AM247">
        <f>IF(A247="",0,IF(ISERROR(VLOOKUP(A247,db_Feiertag,2,FALSE)),WEEKDAY(A247,2),Feiertag))</f>
        <v>3</v>
      </c>
      <c r="AN247" s="122">
        <f>SUM($AD$6:AD247)</f>
        <v>0</v>
      </c>
      <c r="AO247" s="122">
        <f ca="1">IF(D247=D246,AO246,OFFSET(AO247,-1,COLUMN(db_jSaldoGes)-COLUMN()))</f>
        <v>0</v>
      </c>
      <c r="AP247" s="126">
        <f>IF(OR($G247=-1,$G247=82),-1,IF(OR($G247=0,$G247=83),1,0))</f>
        <v>0</v>
      </c>
      <c r="AQ247" s="126">
        <f>IF($F247=Krank,1,IF($F247="J",-1,0))</f>
        <v>0</v>
      </c>
      <c r="AR247" s="126">
        <f>IF($F247=Urlaub,1,IF($F247="T",-1,0))</f>
        <v>0</v>
      </c>
      <c r="AS247" s="125">
        <f>IF(A247="","",AS246-IF(F247=Urlaub,1,0)+IF(AND(MONTH(A247)=1,DAY(A247)=1),B_UrlaubNeu,0))</f>
        <v>30</v>
      </c>
      <c r="AT247" s="125">
        <f ca="1">IF(A247="","",IF(D247=D246,AT246,OFFSET(AT247,-1,COLUMN(db_jUrlRest)-COLUMN()))+IF(AND(MONTH(A247)=1,DAY(A247)=1),B_UrlaubNeu,0))</f>
        <v>30</v>
      </c>
      <c r="AU247" s="135">
        <f>(IF(ISNUMBER(V247),V247,0)+IF(ISNUMBER(AD247),AD247,0))*24</f>
        <v>0</v>
      </c>
      <c r="AV247" s="125">
        <f>IF(ISNUMBER(AD247),K_ArbeitOverMax,IF(AND(ISNUMBER(AA247),AA247&gt;0),K_ArbeitOverTime,IF(AND(ISNUMBER(V247),V247&gt;0),K_ArbeitNormal,IF(F247=Krank,K_Krank,IF(F247=Urlaub,K_Urlaub,IF(AM247=Feiertag,K_Feiertag,IF(OR(AM247=6,AM247=7),K_Wochenende,0)))))))+IF(F247=Gleittag,K_Gleittag,0)</f>
        <v>0</v>
      </c>
      <c r="AW247" t="b">
        <f>OR((F247&gt;0),(NOT(ISBLANK(H247))),SUM(H247:H$373),SUM(G247:G$373))</f>
        <v>0</v>
      </c>
      <c r="AX247" t="b">
        <f ca="1">INDIRECT(ADDRESS(ROW(),COLUMN(xDay)))&gt;5</f>
        <v>0</v>
      </c>
      <c r="AY247" s="600">
        <f>IF(OR(R247&lt;&gt;0,F247&lt;&gt;0),AA247,IF(Z247="",0,-Z247))+(IF(AG247="+",AF247,-AF247))</f>
        <v>-0.29166666666666669</v>
      </c>
      <c r="AZ247" s="225">
        <f>SUM(AY$5:AY247)</f>
        <v>-48.416666666666586</v>
      </c>
      <c r="BA247" s="658"/>
      <c r="BB247" s="658">
        <f>IF(ISNA(MATCH(BA247,B_Arbeitsort,0)),0,MATCH(BA247,B_Arbeitsort,0))</f>
        <v>0</v>
      </c>
      <c r="BC247" s="658"/>
    </row>
    <row r="248" spans="1:55" ht="15.75">
      <c r="A248" s="305">
        <f>IF(A247="","",IF((A247+1)&gt;=DATE(YEAR(xJahr)+1,MONTH(xJahr),DAY(xJahr)),"",A247+1))</f>
        <v>43707</v>
      </c>
      <c r="B248" s="306">
        <f>IF(A248="","",A248)</f>
        <v>43707</v>
      </c>
      <c r="C248" s="307">
        <f>IF(A248="","",NumberOfWeek(A248))</f>
        <v>35</v>
      </c>
      <c r="D248" s="308">
        <f>IF(A248="","",DATE(YEAR(A248),MONTH(A248),1))</f>
        <v>43677</v>
      </c>
      <c r="E248" s="318" t="str">
        <f>IF((R248-U248)&gt;XWorkTimeMax,$Z$4,IF(AV248=Feiertag,VLOOKUP(B248,db_Feiertag,2,FALSE),""))</f>
        <v/>
      </c>
      <c r="F248" s="5"/>
      <c r="G248" s="6" t="str">
        <f>IF(ISBLANK(F248),IF(ISBLANK(H248),"",0),CODE(UPPER(F248)))</f>
        <v/>
      </c>
      <c r="H248" s="7"/>
      <c r="I248" s="7">
        <f>IF(H248&gt;0,H248+Y248+X248+AC248,0)</f>
        <v>0</v>
      </c>
      <c r="J248" s="113">
        <f>IF(K248&gt;I248,IF(I248&lt;H248,I248+1,I248)-B_WalkTime,IF(I248&lt;H248,I248+1,I248))</f>
        <v>0</v>
      </c>
      <c r="K248" s="7"/>
      <c r="L248" s="7">
        <f>IF(K248&gt;0,K248+IF((J248-H248)&lt;Y248,Y248-(J248-H248),TIME(0,10,0))+IF((K248-J248)&gt;xNoWorkTime,0,xNoWorkTime-(K248-J248)),0)</f>
        <v>0</v>
      </c>
      <c r="M248" s="113">
        <f>IF(L248&lt;K248,L248+1,L248)</f>
        <v>0</v>
      </c>
      <c r="N248" s="113"/>
      <c r="O248" s="113">
        <f>IF(N248&gt;0,N248+IF((J248-H248+M248-K248)&lt;Y248,Y248-(J248-H248+M248-K248),TIME(0,10,0))+IF((K248-J248+N248-M248)&gt;xNoWorkTime,0,xNoWorkTime-(K248-J248+N248-M248)),0)</f>
        <v>0</v>
      </c>
      <c r="P248" s="113"/>
      <c r="Q248" s="113">
        <f>IF(O248&lt;N248,O248+1,O248)</f>
        <v>0</v>
      </c>
      <c r="R248" s="113">
        <f>J248-H248+M248-K248+Q248-N248</f>
        <v>0</v>
      </c>
      <c r="S248" s="113">
        <f>IF(K248&gt;0,K248-I248,0)+IF(N248&gt;0,N248-L248)</f>
        <v>0</v>
      </c>
      <c r="T248" s="113">
        <f>IF(H248&gt;0,(IF(R248&gt;B_Pause1Nach,B_Pause1Dauer+IF(BA248="Büro",B_WalkTime,0),IF(BA248="Büro",B_WalkTime,0))+IF(R248&gt;B_Pause2Nach,B_Pause2Dauer,0)),0)</f>
        <v>0</v>
      </c>
      <c r="U248" s="113">
        <f>IF(T248&gt;S248,T248-S248,0)</f>
        <v>0</v>
      </c>
      <c r="V248" s="146">
        <f>IF(F248="S",Z248,(IF((R248-U248)&gt;XWorkTimeMax,XWorkTimeMax,IF((R248-U248)&gt;0,R248-U248,0))))</f>
        <v>0</v>
      </c>
      <c r="W248" s="66"/>
      <c r="X248" s="115">
        <f>xNoWorkTime</f>
        <v>4.027777777777778E-2</v>
      </c>
      <c r="Y248" s="110">
        <f>IF(AND((AM248&lt;Feiertag),(G248&lt;&gt;85)),IF(OR(F248="B",F248="G",F248="S",H248&gt;0),H248-H248+Z248,0),0)</f>
        <v>0</v>
      </c>
      <c r="Z248" s="111">
        <f>IF(AND(AM248&gt;0,AM248&lt;Feiertag),INDEX(Arbeitszeit,AM248),"")</f>
        <v>0.29166666666666669</v>
      </c>
      <c r="AA248" s="112">
        <f>V248-Y248</f>
        <v>0</v>
      </c>
      <c r="AB248" s="67" t="str">
        <f>IF((V248-Y248)&lt;0,"*","")</f>
        <v/>
      </c>
      <c r="AC248" s="193">
        <f>xOverTime</f>
        <v>0</v>
      </c>
      <c r="AD248" s="144" t="str">
        <f>IF((R248-U248)&gt;XWorkTimeMax,(R248-U248-XWorkTimeMax),"")</f>
        <v/>
      </c>
      <c r="AE248" s="225">
        <f>IF(AW248,(AE247+SUM(AA248)+(IF(AG248="+",AF248,-AF248))),)</f>
        <v>0</v>
      </c>
      <c r="AF248" s="110"/>
      <c r="AG248" s="627"/>
      <c r="AH248" s="110"/>
      <c r="AI248" s="110" t="str">
        <f>IF(AND(AF248&lt;&gt;"",AF248&lt;=V248),V248-AF248,"")</f>
        <v/>
      </c>
      <c r="AJ248" s="68">
        <f>IF(ISNUMBER(V248 ), IF( V248 &gt;= Y248, Y248, V248 ),"")</f>
        <v>0</v>
      </c>
      <c r="AK248" s="68">
        <f>IF( ISNUMBER( V248 ), IF( V248 &gt;= Y248, V248 - Y248, "" ), "" )</f>
        <v>0</v>
      </c>
      <c r="AL248" s="68" t="str">
        <f>IF( AND(ISNUMBER( V248 ),ISNUMBER( Y248 )), IF( V248 &gt;= Y248, "", Y248 - V248 ), "" )</f>
        <v/>
      </c>
      <c r="AM248">
        <f>IF(A248="",0,IF(ISERROR(VLOOKUP(A248,db_Feiertag,2,FALSE)),WEEKDAY(A248,2),Feiertag))</f>
        <v>4</v>
      </c>
      <c r="AN248" s="122">
        <f>SUM($AD$6:AD248)</f>
        <v>0</v>
      </c>
      <c r="AO248" s="122">
        <f ca="1">IF(D248=D247,AO247,OFFSET(AO248,-1,COLUMN(db_jSaldoGes)-COLUMN()))</f>
        <v>0</v>
      </c>
      <c r="AP248" s="126">
        <f>IF(OR($G248=-1,$G248=82),-1,IF(OR($G248=0,$G248=83),1,0))</f>
        <v>0</v>
      </c>
      <c r="AQ248" s="126">
        <f>IF($F248=Krank,1,IF($F248="J",-1,0))</f>
        <v>0</v>
      </c>
      <c r="AR248" s="126">
        <f>IF($F248=Urlaub,1,IF($F248="T",-1,0))</f>
        <v>0</v>
      </c>
      <c r="AS248" s="125">
        <f>IF(A248="","",AS247-IF(F248=Urlaub,1,0)+IF(AND(MONTH(A248)=1,DAY(A248)=1),B_UrlaubNeu,0))</f>
        <v>30</v>
      </c>
      <c r="AT248" s="125">
        <f ca="1">IF(A248="","",IF(D248=D247,AT247,OFFSET(AT248,-1,COLUMN(db_jUrlRest)-COLUMN()))+IF(AND(MONTH(A248)=1,DAY(A248)=1),B_UrlaubNeu,0))</f>
        <v>30</v>
      </c>
      <c r="AU248" s="135">
        <f>(IF(ISNUMBER(V248),V248,0)+IF(ISNUMBER(AD248),AD248,0))*24</f>
        <v>0</v>
      </c>
      <c r="AV248" s="125">
        <f>IF(ISNUMBER(AD248),K_ArbeitOverMax,IF(AND(ISNUMBER(AA248),AA248&gt;0),K_ArbeitOverTime,IF(AND(ISNUMBER(V248),V248&gt;0),K_ArbeitNormal,IF(F248=Krank,K_Krank,IF(F248=Urlaub,K_Urlaub,IF(AM248=Feiertag,K_Feiertag,IF(OR(AM248=6,AM248=7),K_Wochenende,0)))))))+IF(F248=Gleittag,K_Gleittag,0)</f>
        <v>0</v>
      </c>
      <c r="AW248" t="b">
        <f>OR((F248&gt;0),(NOT(ISBLANK(H248))),SUM(H248:H$373),SUM(G248:G$373))</f>
        <v>0</v>
      </c>
      <c r="AX248" t="b">
        <f ca="1">INDIRECT(ADDRESS(ROW(),COLUMN(xDay)))&gt;5</f>
        <v>0</v>
      </c>
      <c r="AY248" s="600">
        <f>IF(OR(R248&lt;&gt;0,F248&lt;&gt;0),AA248,IF(Z248="",0,-Z248))+(IF(AG248="+",AF248,-AF248))</f>
        <v>-0.29166666666666669</v>
      </c>
      <c r="AZ248" s="225">
        <f>SUM(AY$5:AY248)</f>
        <v>-48.70833333333325</v>
      </c>
      <c r="BA248" s="658"/>
      <c r="BB248" s="658">
        <f>IF(ISNA(MATCH(BA248,B_Arbeitsort,0)),0,MATCH(BA248,B_Arbeitsort,0))</f>
        <v>0</v>
      </c>
      <c r="BC248" s="658"/>
    </row>
    <row r="249" spans="1:55" ht="15.75">
      <c r="A249" s="305">
        <f>IF(A248="","",IF((A248+1)&gt;=DATE(YEAR(xJahr)+1,MONTH(xJahr),DAY(xJahr)),"",A248+1))</f>
        <v>43708</v>
      </c>
      <c r="B249" s="306">
        <f>IF(A249="","",A249)</f>
        <v>43708</v>
      </c>
      <c r="C249" s="307">
        <f>IF(A249="","",NumberOfWeek(A249))</f>
        <v>35</v>
      </c>
      <c r="D249" s="308">
        <f>IF(A249="","",DATE(YEAR(A249),MONTH(A249),1))</f>
        <v>43708</v>
      </c>
      <c r="E249" s="318" t="str">
        <f>IF((R249-U249)&gt;XWorkTimeMax,$Z$4,IF(AV249=Feiertag,VLOOKUP(B249,db_Feiertag,2,FALSE),""))</f>
        <v/>
      </c>
      <c r="F249" s="5"/>
      <c r="G249" s="6" t="str">
        <f>IF(ISBLANK(F249),IF(ISBLANK(H249),"",0),CODE(UPPER(F249)))</f>
        <v/>
      </c>
      <c r="H249" s="7"/>
      <c r="I249" s="7">
        <f>IF(H249&gt;0,H249+Y249+X249+AC249,0)</f>
        <v>0</v>
      </c>
      <c r="J249" s="113">
        <f>IF(K249&gt;I249,IF(I249&lt;H249,I249+1,I249)-B_WalkTime,IF(I249&lt;H249,I249+1,I249))</f>
        <v>0</v>
      </c>
      <c r="K249" s="7"/>
      <c r="L249" s="7">
        <f>IF(K249&gt;0,K249+IF((J249-H249)&lt;Y249,Y249-(J249-H249),TIME(0,10,0))+IF((K249-J249)&gt;xNoWorkTime,0,xNoWorkTime-(K249-J249)),0)</f>
        <v>0</v>
      </c>
      <c r="M249" s="113">
        <f>IF(L249&lt;K249,L249+1,L249)</f>
        <v>0</v>
      </c>
      <c r="N249" s="113"/>
      <c r="O249" s="113">
        <f>IF(N249&gt;0,N249+IF((J249-H249+M249-K249)&lt;Y249,Y249-(J249-H249+M249-K249),TIME(0,10,0))+IF((K249-J249+N249-M249)&gt;xNoWorkTime,0,xNoWorkTime-(K249-J249+N249-M249)),0)</f>
        <v>0</v>
      </c>
      <c r="P249" s="113"/>
      <c r="Q249" s="113">
        <f>IF(O249&lt;N249,O249+1,O249)</f>
        <v>0</v>
      </c>
      <c r="R249" s="113">
        <f>J249-H249+M249-K249+Q249-N249</f>
        <v>0</v>
      </c>
      <c r="S249" s="113">
        <f>IF(K249&gt;0,K249-I249,0)+IF(N249&gt;0,N249-L249)</f>
        <v>0</v>
      </c>
      <c r="T249" s="113">
        <f>IF(H249&gt;0,(IF(R249&gt;B_Pause1Nach,B_Pause1Dauer+IF(BA249="Büro",B_WalkTime,0),IF(BA249="Büro",B_WalkTime,0))+IF(R249&gt;B_Pause2Nach,B_Pause2Dauer,0)),0)</f>
        <v>0</v>
      </c>
      <c r="U249" s="113">
        <f>IF(T249&gt;S249,T249-S249,0)</f>
        <v>0</v>
      </c>
      <c r="V249" s="146">
        <f>IF(F249="S",Z249,(IF((R249-U249)&gt;XWorkTimeMax,XWorkTimeMax,IF((R249-U249)&gt;0,R249-U249,0))))</f>
        <v>0</v>
      </c>
      <c r="W249" s="66"/>
      <c r="X249" s="115">
        <f>xNoWorkTime</f>
        <v>4.027777777777778E-2</v>
      </c>
      <c r="Y249" s="110">
        <f>IF(AND((AM249&lt;Feiertag),(G249&lt;&gt;85)),IF(OR(F249="B",F249="G",F249="S",H249&gt;0),H249-H249+Z249,0),0)</f>
        <v>0</v>
      </c>
      <c r="Z249" s="111">
        <f>IF(AND(AM249&gt;0,AM249&lt;Feiertag),INDEX(Arbeitszeit,AM249),"")</f>
        <v>0.29166666666666669</v>
      </c>
      <c r="AA249" s="112">
        <f>V249-Y249</f>
        <v>0</v>
      </c>
      <c r="AB249" s="67" t="str">
        <f>IF((V249-Y249)&lt;0,"*","")</f>
        <v/>
      </c>
      <c r="AC249" s="193">
        <f>xOverTime</f>
        <v>0</v>
      </c>
      <c r="AD249" s="144" t="str">
        <f>IF((R249-U249)&gt;XWorkTimeMax,(R249-U249-XWorkTimeMax),"")</f>
        <v/>
      </c>
      <c r="AE249" s="225">
        <f>IF(AW249,(AE248+SUM(AA249)+(IF(AG249="+",AF249,-AF249))),)</f>
        <v>0</v>
      </c>
      <c r="AF249" s="110"/>
      <c r="AG249" s="627"/>
      <c r="AH249" s="110"/>
      <c r="AI249" s="110" t="str">
        <f>IF(AND(AF249&lt;&gt;"",AF249&lt;=V249),V249-AF249,"")</f>
        <v/>
      </c>
      <c r="AJ249" s="68">
        <f>IF(ISNUMBER(V249 ), IF( V249 &gt;= Y249, Y249, V249 ),"")</f>
        <v>0</v>
      </c>
      <c r="AK249" s="68">
        <f>IF( ISNUMBER( V249 ), IF( V249 &gt;= Y249, V249 - Y249, "" ), "" )</f>
        <v>0</v>
      </c>
      <c r="AL249" s="68" t="str">
        <f>IF( AND(ISNUMBER( V249 ),ISNUMBER( Y249 )), IF( V249 &gt;= Y249, "", Y249 - V249 ), "" )</f>
        <v/>
      </c>
      <c r="AM249">
        <f>IF(A249="",0,IF(ISERROR(VLOOKUP(A249,db_Feiertag,2,FALSE)),WEEKDAY(A249,2),Feiertag))</f>
        <v>5</v>
      </c>
      <c r="AN249" s="122">
        <f>SUM($AD$6:AD249)</f>
        <v>0</v>
      </c>
      <c r="AO249" s="122">
        <f ca="1">IF(D249=D248,AO248,OFFSET(AO249,-1,COLUMN(db_jSaldoGes)-COLUMN()))</f>
        <v>0</v>
      </c>
      <c r="AP249" s="126">
        <f>IF(OR($G249=-1,$G249=82),-1,IF(OR($G249=0,$G249=83),1,0))</f>
        <v>0</v>
      </c>
      <c r="AQ249" s="126">
        <f>IF($F249=Krank,1,IF($F249="J",-1,0))</f>
        <v>0</v>
      </c>
      <c r="AR249" s="126">
        <f>IF($F249=Urlaub,1,IF($F249="T",-1,0))</f>
        <v>0</v>
      </c>
      <c r="AS249" s="125">
        <f>IF(A249="","",AS248-IF(F249=Urlaub,1,0)+IF(AND(MONTH(A249)=1,DAY(A249)=1),B_UrlaubNeu,0))</f>
        <v>30</v>
      </c>
      <c r="AT249" s="125">
        <f ca="1">IF(A249="","",IF(D249=D248,AT248,OFFSET(AT249,-1,COLUMN(db_jUrlRest)-COLUMN()))+IF(AND(MONTH(A249)=1,DAY(A249)=1),B_UrlaubNeu,0))</f>
        <v>30</v>
      </c>
      <c r="AU249" s="135">
        <f>(IF(ISNUMBER(V249),V249,0)+IF(ISNUMBER(AD249),AD249,0))*24</f>
        <v>0</v>
      </c>
      <c r="AV249" s="125">
        <f>IF(ISNUMBER(AD249),K_ArbeitOverMax,IF(AND(ISNUMBER(AA249),AA249&gt;0),K_ArbeitOverTime,IF(AND(ISNUMBER(V249),V249&gt;0),K_ArbeitNormal,IF(F249=Krank,K_Krank,IF(F249=Urlaub,K_Urlaub,IF(AM249=Feiertag,K_Feiertag,IF(OR(AM249=6,AM249=7),K_Wochenende,0)))))))+IF(F249=Gleittag,K_Gleittag,0)</f>
        <v>0</v>
      </c>
      <c r="AW249" t="b">
        <f>OR((F249&gt;0),(NOT(ISBLANK(H249))),SUM(H249:H$373),SUM(G249:G$373))</f>
        <v>0</v>
      </c>
      <c r="AX249" t="b">
        <f ca="1">INDIRECT(ADDRESS(ROW(),COLUMN(xDay)))&gt;5</f>
        <v>0</v>
      </c>
      <c r="AY249" s="600">
        <f>IF(OR(R249&lt;&gt;0,F249&lt;&gt;0),AA249,IF(Z249="",0,-Z249))+(IF(AG249="+",AF249,-AF249))</f>
        <v>-0.29166666666666669</v>
      </c>
      <c r="AZ249" s="225">
        <f>SUM(AY$5:AY249)</f>
        <v>-48.999999999999915</v>
      </c>
      <c r="BA249" s="658"/>
      <c r="BB249" s="658">
        <f>IF(ISNA(MATCH(BA249,B_Arbeitsort,0)),0,MATCH(BA249,B_Arbeitsort,0))</f>
        <v>0</v>
      </c>
      <c r="BC249" s="658"/>
    </row>
    <row r="250" spans="1:55" ht="15.75">
      <c r="A250" s="305">
        <f>IF(A249="","",IF((A249+1)&gt;=DATE(YEAR(xJahr)+1,MONTH(xJahr),DAY(xJahr)),"",A249+1))</f>
        <v>43709</v>
      </c>
      <c r="B250" s="306">
        <f>IF(A250="","",A250)</f>
        <v>43709</v>
      </c>
      <c r="C250" s="307">
        <f>IF(A250="","",NumberOfWeek(A250))</f>
        <v>35</v>
      </c>
      <c r="D250" s="308">
        <f>IF(A250="","",DATE(YEAR(A250),MONTH(A250),1))</f>
        <v>43708</v>
      </c>
      <c r="E250" s="318" t="str">
        <f>IF((R250-U250)&gt;XWorkTimeMax,$Z$4,IF(AV250=Feiertag,VLOOKUP(B250,db_Feiertag,2,FALSE),""))</f>
        <v/>
      </c>
      <c r="F250" s="5"/>
      <c r="G250" s="6" t="str">
        <f>IF(ISBLANK(F250),IF(ISBLANK(H250),"",0),CODE(UPPER(F250)))</f>
        <v/>
      </c>
      <c r="H250" s="7"/>
      <c r="I250" s="7">
        <f>IF(H250&gt;0,H250+Y250+X250+AC250,0)</f>
        <v>0</v>
      </c>
      <c r="J250" s="113">
        <f>IF(K250&gt;I250,IF(I250&lt;H250,I250+1,I250)-B_WalkTime,IF(I250&lt;H250,I250+1,I250))</f>
        <v>0</v>
      </c>
      <c r="K250" s="7"/>
      <c r="L250" s="7">
        <f>IF(K250&gt;0,K250+IF((J250-H250)&lt;Y250,Y250-(J250-H250),TIME(0,10,0))+IF((K250-J250)&gt;xNoWorkTime,0,xNoWorkTime-(K250-J250)),0)</f>
        <v>0</v>
      </c>
      <c r="M250" s="113">
        <f>IF(L250&lt;K250,L250+1,L250)</f>
        <v>0</v>
      </c>
      <c r="N250" s="113"/>
      <c r="O250" s="113">
        <f>IF(N250&gt;0,N250+IF((J250-H250+M250-K250)&lt;Y250,Y250-(J250-H250+M250-K250),TIME(0,10,0))+IF((K250-J250+N250-M250)&gt;xNoWorkTime,0,xNoWorkTime-(K250-J250+N250-M250)),0)</f>
        <v>0</v>
      </c>
      <c r="P250" s="113"/>
      <c r="Q250" s="113">
        <f>IF(O250&lt;N250,O250+1,O250)</f>
        <v>0</v>
      </c>
      <c r="R250" s="113">
        <f>J250-H250+M250-K250+Q250-N250</f>
        <v>0</v>
      </c>
      <c r="S250" s="113">
        <f>IF(K250&gt;0,K250-I250,0)+IF(N250&gt;0,N250-L250)</f>
        <v>0</v>
      </c>
      <c r="T250" s="113">
        <f>IF(H250&gt;0,(IF(R250&gt;B_Pause1Nach,B_Pause1Dauer+IF(BA250="Büro",B_WalkTime,0),IF(BA250="Büro",B_WalkTime,0))+IF(R250&gt;B_Pause2Nach,B_Pause2Dauer,0)),0)</f>
        <v>0</v>
      </c>
      <c r="U250" s="113">
        <f>IF(T250&gt;S250,T250-S250,0)</f>
        <v>0</v>
      </c>
      <c r="V250" s="146">
        <f>IF(F250="S",Z250,(IF((R250-U250)&gt;XWorkTimeMax,XWorkTimeMax,IF((R250-U250)&gt;0,R250-U250,0))))</f>
        <v>0</v>
      </c>
      <c r="W250" s="66"/>
      <c r="X250" s="115">
        <f>xNoWorkTime</f>
        <v>4.027777777777778E-2</v>
      </c>
      <c r="Y250" s="110">
        <f>IF(AND((AM250&lt;Feiertag),(G250&lt;&gt;85)),IF(OR(F250="B",F250="G",F250="S",H250&gt;0),H250-H250+Z250,0),0)</f>
        <v>0</v>
      </c>
      <c r="Z250" s="111">
        <f>IF(AND(AM250&gt;0,AM250&lt;Feiertag),INDEX(Arbeitszeit,AM250),"")</f>
        <v>0</v>
      </c>
      <c r="AA250" s="112">
        <f>V250-Y250</f>
        <v>0</v>
      </c>
      <c r="AB250" s="67" t="str">
        <f>IF((V250-Y250)&lt;0,"*","")</f>
        <v/>
      </c>
      <c r="AC250" s="193">
        <f>xOverTime</f>
        <v>0</v>
      </c>
      <c r="AD250" s="144" t="str">
        <f>IF((R250-U250)&gt;XWorkTimeMax,(R250-U250-XWorkTimeMax),"")</f>
        <v/>
      </c>
      <c r="AE250" s="225">
        <f>IF(AW250,(AE249+SUM(AA250)+(IF(AG250="+",AF250,-AF250))),)</f>
        <v>0</v>
      </c>
      <c r="AF250" s="110"/>
      <c r="AG250" s="627"/>
      <c r="AH250" s="110"/>
      <c r="AI250" s="110" t="str">
        <f>IF(AND(AF250&lt;&gt;"",AF250&lt;=V250),V250-AF250,"")</f>
        <v/>
      </c>
      <c r="AJ250" s="68">
        <f>IF(ISNUMBER(V250 ), IF( V250 &gt;= Y250, Y250, V250 ),"")</f>
        <v>0</v>
      </c>
      <c r="AK250" s="68">
        <f>IF( ISNUMBER( V250 ), IF( V250 &gt;= Y250, V250 - Y250, "" ), "" )</f>
        <v>0</v>
      </c>
      <c r="AL250" s="68" t="str">
        <f>IF( AND(ISNUMBER( V250 ),ISNUMBER( Y250 )), IF( V250 &gt;= Y250, "", Y250 - V250 ), "" )</f>
        <v/>
      </c>
      <c r="AM250">
        <f>IF(A250="",0,IF(ISERROR(VLOOKUP(A250,db_Feiertag,2,FALSE)),WEEKDAY(A250,2),Feiertag))</f>
        <v>6</v>
      </c>
      <c r="AN250" s="122">
        <f>SUM($AD$6:AD250)</f>
        <v>0</v>
      </c>
      <c r="AO250" s="122">
        <f ca="1">IF(D250=D249,AO249,OFFSET(AO250,-1,COLUMN(db_jSaldoGes)-COLUMN()))</f>
        <v>0</v>
      </c>
      <c r="AP250" s="126">
        <f>IF(OR($G250=-1,$G250=82),-1,IF(OR($G250=0,$G250=83),1,0))</f>
        <v>0</v>
      </c>
      <c r="AQ250" s="126">
        <f>IF($F250=Krank,1,IF($F250="J",-1,0))</f>
        <v>0</v>
      </c>
      <c r="AR250" s="126">
        <f>IF($F250=Urlaub,1,IF($F250="T",-1,0))</f>
        <v>0</v>
      </c>
      <c r="AS250" s="125">
        <f>IF(A250="","",AS249-IF(F250=Urlaub,1,0)+IF(AND(MONTH(A250)=1,DAY(A250)=1),B_UrlaubNeu,0))</f>
        <v>30</v>
      </c>
      <c r="AT250" s="125">
        <f ca="1">IF(A250="","",IF(D250=D249,AT249,OFFSET(AT250,-1,COLUMN(db_jUrlRest)-COLUMN()))+IF(AND(MONTH(A250)=1,DAY(A250)=1),B_UrlaubNeu,0))</f>
        <v>30</v>
      </c>
      <c r="AU250" s="135">
        <f>(IF(ISNUMBER(V250),V250,0)+IF(ISNUMBER(AD250),AD250,0))*24</f>
        <v>0</v>
      </c>
      <c r="AV250" s="125">
        <f>IF(ISNUMBER(AD250),K_ArbeitOverMax,IF(AND(ISNUMBER(AA250),AA250&gt;0),K_ArbeitOverTime,IF(AND(ISNUMBER(V250),V250&gt;0),K_ArbeitNormal,IF(F250=Krank,K_Krank,IF(F250=Urlaub,K_Urlaub,IF(AM250=Feiertag,K_Feiertag,IF(OR(AM250=6,AM250=7),K_Wochenende,0)))))))+IF(F250=Gleittag,K_Gleittag,0)</f>
        <v>7</v>
      </c>
      <c r="AW250" t="b">
        <f>OR((F250&gt;0),(NOT(ISBLANK(H250))),SUM(H250:H$373),SUM(G250:G$373))</f>
        <v>0</v>
      </c>
      <c r="AX250" t="b">
        <f ca="1">INDIRECT(ADDRESS(ROW(),COLUMN(xDay)))&gt;5</f>
        <v>1</v>
      </c>
      <c r="AY250" s="600">
        <f>IF(OR(R250&lt;&gt;0,F250&lt;&gt;0),AA250,IF(Z250="",0,-Z250))+(IF(AG250="+",AF250,-AF250))</f>
        <v>0</v>
      </c>
      <c r="AZ250" s="225">
        <f>SUM(AY$5:AY250)</f>
        <v>-48.999999999999915</v>
      </c>
      <c r="BA250" s="643"/>
      <c r="BB250" s="658">
        <f>IF(ISNA(MATCH(BA250,B_Arbeitsort,0)),0,MATCH(BA250,B_Arbeitsort,0))</f>
        <v>0</v>
      </c>
      <c r="BC250" s="643"/>
    </row>
    <row r="251" spans="1:55" ht="15.75">
      <c r="A251" s="305">
        <f>IF(A250="","",IF((A250+1)&gt;=DATE(YEAR(xJahr)+1,MONTH(xJahr),DAY(xJahr)),"",A250+1))</f>
        <v>43710</v>
      </c>
      <c r="B251" s="306">
        <f>IF(A251="","",A251)</f>
        <v>43710</v>
      </c>
      <c r="C251" s="307">
        <f>IF(A251="","",NumberOfWeek(A251))</f>
        <v>35</v>
      </c>
      <c r="D251" s="308">
        <f>IF(A251="","",DATE(YEAR(A251),MONTH(A251),1))</f>
        <v>43708</v>
      </c>
      <c r="E251" s="318" t="str">
        <f>IF((R251-U251)&gt;XWorkTimeMax,$Z$4,IF(AV251=Feiertag,VLOOKUP(B251,db_Feiertag,2,FALSE),""))</f>
        <v/>
      </c>
      <c r="F251" s="5"/>
      <c r="G251" s="6" t="str">
        <f>IF(ISBLANK(F251),IF(ISBLANK(H251),"",0),CODE(UPPER(F251)))</f>
        <v/>
      </c>
      <c r="H251" s="7"/>
      <c r="I251" s="7">
        <f>IF(H251&gt;0,H251+Y251+X251+AC251,0)</f>
        <v>0</v>
      </c>
      <c r="J251" s="113">
        <f>IF(K251&gt;I251,IF(I251&lt;H251,I251+1,I251)-B_WalkTime,IF(I251&lt;H251,I251+1,I251))</f>
        <v>0</v>
      </c>
      <c r="K251" s="7"/>
      <c r="L251" s="7">
        <f>IF(K251&gt;0,K251+IF((J251-H251)&lt;Y251,Y251-(J251-H251),TIME(0,10,0))+IF((K251-J251)&gt;xNoWorkTime,0,xNoWorkTime-(K251-J251)),0)</f>
        <v>0</v>
      </c>
      <c r="M251" s="113">
        <f>IF(L251&lt;K251,L251+1,L251)</f>
        <v>0</v>
      </c>
      <c r="N251" s="113"/>
      <c r="O251" s="113">
        <f>IF(N251&gt;0,N251+IF((J251-H251+M251-K251)&lt;Y251,Y251-(J251-H251+M251-K251),TIME(0,10,0))+IF((K251-J251+N251-M251)&gt;xNoWorkTime,0,xNoWorkTime-(K251-J251+N251-M251)),0)</f>
        <v>0</v>
      </c>
      <c r="P251" s="113"/>
      <c r="Q251" s="113">
        <f>IF(O251&lt;N251,O251+1,O251)</f>
        <v>0</v>
      </c>
      <c r="R251" s="113">
        <f>J251-H251+M251-K251+Q251-N251</f>
        <v>0</v>
      </c>
      <c r="S251" s="113">
        <f>IF(K251&gt;0,K251-I251,0)+IF(N251&gt;0,N251-L251)</f>
        <v>0</v>
      </c>
      <c r="T251" s="113">
        <f>IF(H251&gt;0,(IF(R251&gt;B_Pause1Nach,B_Pause1Dauer+IF(BA251="Büro",B_WalkTime,0),IF(BA251="Büro",B_WalkTime,0))+IF(R251&gt;B_Pause2Nach,B_Pause2Dauer,0)),0)</f>
        <v>0</v>
      </c>
      <c r="U251" s="113">
        <f>IF(T251&gt;S251,T251-S251,0)</f>
        <v>0</v>
      </c>
      <c r="V251" s="146">
        <f>IF(F251="S",Z251,(IF((R251-U251)&gt;XWorkTimeMax,XWorkTimeMax,IF((R251-U251)&gt;0,R251-U251,0))))</f>
        <v>0</v>
      </c>
      <c r="W251" s="66"/>
      <c r="X251" s="115">
        <f>xNoWorkTime</f>
        <v>4.027777777777778E-2</v>
      </c>
      <c r="Y251" s="110">
        <f>IF(AND((AM251&lt;Feiertag),(G251&lt;&gt;85)),IF(OR(F251="B",F251="G",F251="S",H251&gt;0),H251-H251+Z251,0),0)</f>
        <v>0</v>
      </c>
      <c r="Z251" s="111">
        <f>IF(AND(AM251&gt;0,AM251&lt;Feiertag),INDEX(Arbeitszeit,AM251),"")</f>
        <v>0</v>
      </c>
      <c r="AA251" s="112">
        <f>V251-Y251</f>
        <v>0</v>
      </c>
      <c r="AB251" s="67" t="str">
        <f>IF((V251-Y251)&lt;0,"*","")</f>
        <v/>
      </c>
      <c r="AC251" s="193">
        <f>xOverTime</f>
        <v>0</v>
      </c>
      <c r="AD251" s="144" t="str">
        <f>IF((R251-U251)&gt;XWorkTimeMax,(R251-U251-XWorkTimeMax),"")</f>
        <v/>
      </c>
      <c r="AE251" s="225">
        <f>IF(AW251,(AE250+SUM(AA251)+(IF(AG251="+",AF251,-AF251))),)</f>
        <v>0</v>
      </c>
      <c r="AF251" s="110"/>
      <c r="AG251" s="627"/>
      <c r="AH251" s="110"/>
      <c r="AI251" s="110" t="str">
        <f>IF(AND(AF251&lt;&gt;"",AF251&lt;=V251),V251-AF251,"")</f>
        <v/>
      </c>
      <c r="AJ251" s="68">
        <f>IF(ISNUMBER(V251 ), IF( V251 &gt;= Y251, Y251, V251 ),"")</f>
        <v>0</v>
      </c>
      <c r="AK251" s="68">
        <f>IF( ISNUMBER( V251 ), IF( V251 &gt;= Y251, V251 - Y251, "" ), "" )</f>
        <v>0</v>
      </c>
      <c r="AL251" s="68" t="str">
        <f>IF( AND(ISNUMBER( V251 ),ISNUMBER( Y251 )), IF( V251 &gt;= Y251, "", Y251 - V251 ), "" )</f>
        <v/>
      </c>
      <c r="AM251">
        <f>IF(A251="",0,IF(ISERROR(VLOOKUP(A251,db_Feiertag,2,FALSE)),WEEKDAY(A251,2),Feiertag))</f>
        <v>7</v>
      </c>
      <c r="AN251" s="122">
        <f>SUM($AD$6:AD251)</f>
        <v>0</v>
      </c>
      <c r="AO251" s="122">
        <f ca="1">IF(D251=D250,AO250,OFFSET(AO251,-1,COLUMN(db_jSaldoGes)-COLUMN()))</f>
        <v>0</v>
      </c>
      <c r="AP251" s="126">
        <f>IF(OR($G251=-1,$G251=82),-1,IF(OR($G251=0,$G251=83),1,0))</f>
        <v>0</v>
      </c>
      <c r="AQ251" s="126">
        <f>IF($F251=Krank,1,IF($F251="J",-1,0))</f>
        <v>0</v>
      </c>
      <c r="AR251" s="126">
        <f>IF($F251=Urlaub,1,IF($F251="T",-1,0))</f>
        <v>0</v>
      </c>
      <c r="AS251" s="125">
        <f>IF(A251="","",AS250-IF(F251=Urlaub,1,0)+IF(AND(MONTH(A251)=1,DAY(A251)=1),B_UrlaubNeu,0))</f>
        <v>30</v>
      </c>
      <c r="AT251" s="125">
        <f ca="1">IF(A251="","",IF(D251=D250,AT250,OFFSET(AT251,-1,COLUMN(db_jUrlRest)-COLUMN()))+IF(AND(MONTH(A251)=1,DAY(A251)=1),B_UrlaubNeu,0))</f>
        <v>30</v>
      </c>
      <c r="AU251" s="135">
        <f>(IF(ISNUMBER(V251),V251,0)+IF(ISNUMBER(AD251),AD251,0))*24</f>
        <v>0</v>
      </c>
      <c r="AV251" s="125">
        <f>IF(ISNUMBER(AD251),K_ArbeitOverMax,IF(AND(ISNUMBER(AA251),AA251&gt;0),K_ArbeitOverTime,IF(AND(ISNUMBER(V251),V251&gt;0),K_ArbeitNormal,IF(F251=Krank,K_Krank,IF(F251=Urlaub,K_Urlaub,IF(AM251=Feiertag,K_Feiertag,IF(OR(AM251=6,AM251=7),K_Wochenende,0)))))))+IF(F251=Gleittag,K_Gleittag,0)</f>
        <v>7</v>
      </c>
      <c r="AW251" t="b">
        <f>OR((F251&gt;0),(NOT(ISBLANK(H251))),SUM(H251:H$373),SUM(G251:G$373))</f>
        <v>0</v>
      </c>
      <c r="AX251" t="b">
        <f ca="1">INDIRECT(ADDRESS(ROW(),COLUMN(xDay)))&gt;5</f>
        <v>1</v>
      </c>
      <c r="AY251" s="600">
        <f>IF(OR(R251&lt;&gt;0,F251&lt;&gt;0),AA251,IF(Z251="",0,-Z251))+(IF(AG251="+",AF251,-AF251))</f>
        <v>0</v>
      </c>
      <c r="AZ251" s="225">
        <f>SUM(AY$5:AY251)</f>
        <v>-48.999999999999915</v>
      </c>
      <c r="BA251" s="643"/>
      <c r="BB251" s="658">
        <f>IF(ISNA(MATCH(BA251,B_Arbeitsort,0)),0,MATCH(BA251,B_Arbeitsort,0))</f>
        <v>0</v>
      </c>
      <c r="BC251" s="643"/>
    </row>
    <row r="252" spans="1:55" ht="15.75">
      <c r="A252" s="305">
        <f>IF(A251="","",IF((A251+1)&gt;=DATE(YEAR(xJahr)+1,MONTH(xJahr),DAY(xJahr)),"",A251+1))</f>
        <v>43711</v>
      </c>
      <c r="B252" s="306">
        <f>IF(A252="","",A252)</f>
        <v>43711</v>
      </c>
      <c r="C252" s="307">
        <f>IF(A252="","",NumberOfWeek(A252))</f>
        <v>36</v>
      </c>
      <c r="D252" s="308">
        <f>IF(A252="","",DATE(YEAR(A252),MONTH(A252),1))</f>
        <v>43708</v>
      </c>
      <c r="E252" s="318" t="str">
        <f>IF((R252-U252)&gt;XWorkTimeMax,$Z$4,IF(AV252=Feiertag,VLOOKUP(B252,db_Feiertag,2,FALSE),""))</f>
        <v/>
      </c>
      <c r="F252" s="5"/>
      <c r="G252" s="6" t="str">
        <f>IF(ISBLANK(F252),IF(ISBLANK(H252),"",0),CODE(UPPER(F252)))</f>
        <v/>
      </c>
      <c r="H252" s="7"/>
      <c r="I252" s="7">
        <f>IF(H252&gt;0,H252+Y252+X252+AC252,0)</f>
        <v>0</v>
      </c>
      <c r="J252" s="113">
        <f>IF(K252&gt;I252,IF(I252&lt;H252,I252+1,I252)-B_WalkTime,IF(I252&lt;H252,I252+1,I252))</f>
        <v>0</v>
      </c>
      <c r="K252" s="7"/>
      <c r="L252" s="7">
        <f>IF(K252&gt;0,K252+IF((J252-H252)&lt;Y252,Y252-(J252-H252),TIME(0,10,0))+IF((K252-J252)&gt;xNoWorkTime,0,xNoWorkTime-(K252-J252)),0)</f>
        <v>0</v>
      </c>
      <c r="M252" s="113">
        <f>IF(L252&lt;K252,L252+1,L252)</f>
        <v>0</v>
      </c>
      <c r="N252" s="113"/>
      <c r="O252" s="113">
        <f>IF(N252&gt;0,N252+IF((J252-H252+M252-K252)&lt;Y252,Y252-(J252-H252+M252-K252),TIME(0,10,0))+IF((K252-J252+N252-M252)&gt;xNoWorkTime,0,xNoWorkTime-(K252-J252+N252-M252)),0)</f>
        <v>0</v>
      </c>
      <c r="P252" s="113"/>
      <c r="Q252" s="113">
        <f>IF(O252&lt;N252,O252+1,O252)</f>
        <v>0</v>
      </c>
      <c r="R252" s="113">
        <f>J252-H252+M252-K252+Q252-N252</f>
        <v>0</v>
      </c>
      <c r="S252" s="113">
        <f>IF(K252&gt;0,K252-I252,0)+IF(N252&gt;0,N252-L252)</f>
        <v>0</v>
      </c>
      <c r="T252" s="113">
        <f>IF(H252&gt;0,(IF(R252&gt;B_Pause1Nach,B_Pause1Dauer+IF(BA252="Büro",B_WalkTime,0),IF(BA252="Büro",B_WalkTime,0))+IF(R252&gt;B_Pause2Nach,B_Pause2Dauer,0)),0)</f>
        <v>0</v>
      </c>
      <c r="U252" s="113">
        <f>IF(T252&gt;S252,T252-S252,0)</f>
        <v>0</v>
      </c>
      <c r="V252" s="146">
        <f>IF(F252="S",Z252,(IF((R252-U252)&gt;XWorkTimeMax,XWorkTimeMax,IF((R252-U252)&gt;0,R252-U252,0))))</f>
        <v>0</v>
      </c>
      <c r="W252" s="66"/>
      <c r="X252" s="115">
        <f>xNoWorkTime</f>
        <v>4.027777777777778E-2</v>
      </c>
      <c r="Y252" s="110">
        <f>IF(AND((AM252&lt;Feiertag),(G252&lt;&gt;85)),IF(OR(F252="B",F252="G",F252="S",H252&gt;0),H252-H252+Z252,0),0)</f>
        <v>0</v>
      </c>
      <c r="Z252" s="111">
        <f>IF(AND(AM252&gt;0,AM252&lt;Feiertag),INDEX(Arbeitszeit,AM252),"")</f>
        <v>0.29166666666666669</v>
      </c>
      <c r="AA252" s="112">
        <f>V252-Y252</f>
        <v>0</v>
      </c>
      <c r="AB252" s="67" t="str">
        <f>IF((V252-Y252)&lt;0,"*","")</f>
        <v/>
      </c>
      <c r="AC252" s="193">
        <f>xOverTime</f>
        <v>0</v>
      </c>
      <c r="AD252" s="144" t="str">
        <f>IF((R252-U252)&gt;XWorkTimeMax,(R252-U252-XWorkTimeMax),"")</f>
        <v/>
      </c>
      <c r="AE252" s="225">
        <f>IF(AW252,(AE251+SUM(AA252)+(IF(AG252="+",AF252,-AF252))),)</f>
        <v>0</v>
      </c>
      <c r="AF252" s="110"/>
      <c r="AG252" s="627"/>
      <c r="AH252" s="110"/>
      <c r="AI252" s="110" t="str">
        <f>IF(AND(AF252&lt;&gt;"",AF252&lt;=V252),V252-AF252,"")</f>
        <v/>
      </c>
      <c r="AJ252" s="68">
        <f>IF(ISNUMBER(V252 ), IF( V252 &gt;= Y252, Y252, V252 ),"")</f>
        <v>0</v>
      </c>
      <c r="AK252" s="68">
        <f>IF( ISNUMBER( V252 ), IF( V252 &gt;= Y252, V252 - Y252, "" ), "" )</f>
        <v>0</v>
      </c>
      <c r="AL252" s="68" t="str">
        <f>IF( AND(ISNUMBER( V252 ),ISNUMBER( Y252 )), IF( V252 &gt;= Y252, "", Y252 - V252 ), "" )</f>
        <v/>
      </c>
      <c r="AM252">
        <f>IF(A252="",0,IF(ISERROR(VLOOKUP(A252,db_Feiertag,2,FALSE)),WEEKDAY(A252,2),Feiertag))</f>
        <v>1</v>
      </c>
      <c r="AN252" s="122">
        <f>SUM($AD$6:AD252)</f>
        <v>0</v>
      </c>
      <c r="AO252" s="122">
        <f ca="1">IF(D252=D251,AO251,OFFSET(AO252,-1,COLUMN(db_jSaldoGes)-COLUMN()))</f>
        <v>0</v>
      </c>
      <c r="AP252" s="126">
        <f>IF(OR($G252=-1,$G252=82),-1,IF(OR($G252=0,$G252=83),1,0))</f>
        <v>0</v>
      </c>
      <c r="AQ252" s="126">
        <f>IF($F252=Krank,1,IF($F252="J",-1,0))</f>
        <v>0</v>
      </c>
      <c r="AR252" s="126">
        <f>IF($F252=Urlaub,1,IF($F252="T",-1,0))</f>
        <v>0</v>
      </c>
      <c r="AS252" s="125">
        <f>IF(A252="","",AS251-IF(F252=Urlaub,1,0)+IF(AND(MONTH(A252)=1,DAY(A252)=1),B_UrlaubNeu,0))</f>
        <v>30</v>
      </c>
      <c r="AT252" s="125">
        <f ca="1">IF(A252="","",IF(D252=D251,AT251,OFFSET(AT252,-1,COLUMN(db_jUrlRest)-COLUMN()))+IF(AND(MONTH(A252)=1,DAY(A252)=1),B_UrlaubNeu,0))</f>
        <v>30</v>
      </c>
      <c r="AU252" s="135">
        <f>(IF(ISNUMBER(V252),V252,0)+IF(ISNUMBER(AD252),AD252,0))*24</f>
        <v>0</v>
      </c>
      <c r="AV252" s="125">
        <f>IF(ISNUMBER(AD252),K_ArbeitOverMax,IF(AND(ISNUMBER(AA252),AA252&gt;0),K_ArbeitOverTime,IF(AND(ISNUMBER(V252),V252&gt;0),K_ArbeitNormal,IF(F252=Krank,K_Krank,IF(F252=Urlaub,K_Urlaub,IF(AM252=Feiertag,K_Feiertag,IF(OR(AM252=6,AM252=7),K_Wochenende,0)))))))+IF(F252=Gleittag,K_Gleittag,0)</f>
        <v>0</v>
      </c>
      <c r="AW252" t="b">
        <f>OR((F252&gt;0),(NOT(ISBLANK(H252))),SUM(H252:H$373),SUM(G252:G$373))</f>
        <v>0</v>
      </c>
      <c r="AX252" t="b">
        <f ca="1">INDIRECT(ADDRESS(ROW(),COLUMN(xDay)))&gt;5</f>
        <v>0</v>
      </c>
      <c r="AY252" s="600">
        <f>IF(OR(R252&lt;&gt;0,F252&lt;&gt;0),AA252,IF(Z252="",0,-Z252))+(IF(AG252="+",AF252,-AF252))</f>
        <v>-0.29166666666666669</v>
      </c>
      <c r="AZ252" s="225">
        <f>SUM(AY$5:AY252)</f>
        <v>-49.291666666666579</v>
      </c>
      <c r="BA252" s="658"/>
      <c r="BB252" s="658">
        <f>IF(ISNA(MATCH(BA252,B_Arbeitsort,0)),0,MATCH(BA252,B_Arbeitsort,0))</f>
        <v>0</v>
      </c>
      <c r="BC252" s="658"/>
    </row>
    <row r="253" spans="1:55" ht="15.75">
      <c r="A253" s="305">
        <f>IF(A252="","",IF((A252+1)&gt;=DATE(YEAR(xJahr)+1,MONTH(xJahr),DAY(xJahr)),"",A252+1))</f>
        <v>43712</v>
      </c>
      <c r="B253" s="306">
        <f>IF(A253="","",A253)</f>
        <v>43712</v>
      </c>
      <c r="C253" s="307">
        <f>IF(A253="","",NumberOfWeek(A253))</f>
        <v>36</v>
      </c>
      <c r="D253" s="308">
        <f>IF(A253="","",DATE(YEAR(A253),MONTH(A253),1))</f>
        <v>43708</v>
      </c>
      <c r="E253" s="318" t="str">
        <f>IF((R253-U253)&gt;XWorkTimeMax,$Z$4,IF(AV253=Feiertag,VLOOKUP(B253,db_Feiertag,2,FALSE),""))</f>
        <v/>
      </c>
      <c r="F253" s="5"/>
      <c r="G253" s="6" t="str">
        <f>IF(ISBLANK(F253),IF(ISBLANK(H253),"",0),CODE(UPPER(F253)))</f>
        <v/>
      </c>
      <c r="H253" s="7"/>
      <c r="I253" s="7">
        <f>IF(H253&gt;0,H253+Y253+X253+AC253,0)</f>
        <v>0</v>
      </c>
      <c r="J253" s="113">
        <f>IF(K253&gt;I253,IF(I253&lt;H253,I253+1,I253)-B_WalkTime,IF(I253&lt;H253,I253+1,I253))</f>
        <v>0</v>
      </c>
      <c r="K253" s="7"/>
      <c r="L253" s="7">
        <f>IF(K253&gt;0,K253+IF((J253-H253)&lt;Y253,Y253-(J253-H253),TIME(0,10,0))+IF((K253-J253)&gt;xNoWorkTime,0,xNoWorkTime-(K253-J253)),0)</f>
        <v>0</v>
      </c>
      <c r="M253" s="113">
        <f>IF(L253&lt;K253,L253+1,L253)</f>
        <v>0</v>
      </c>
      <c r="N253" s="113"/>
      <c r="O253" s="113">
        <f>IF(N253&gt;0,N253+IF((J253-H253+M253-K253)&lt;Y253,Y253-(J253-H253+M253-K253),TIME(0,10,0))+IF((K253-J253+N253-M253)&gt;xNoWorkTime,0,xNoWorkTime-(K253-J253+N253-M253)),0)</f>
        <v>0</v>
      </c>
      <c r="P253" s="113"/>
      <c r="Q253" s="113">
        <f>IF(O253&lt;N253,O253+1,O253)</f>
        <v>0</v>
      </c>
      <c r="R253" s="113">
        <f>J253-H253+M253-K253+Q253-N253</f>
        <v>0</v>
      </c>
      <c r="S253" s="113">
        <f>IF(K253&gt;0,K253-I253,0)+IF(N253&gt;0,N253-L253)</f>
        <v>0</v>
      </c>
      <c r="T253" s="113">
        <f>IF(H253&gt;0,(IF(R253&gt;B_Pause1Nach,B_Pause1Dauer+IF(BA253="Büro",B_WalkTime,0),IF(BA253="Büro",B_WalkTime,0))+IF(R253&gt;B_Pause2Nach,B_Pause2Dauer,0)),0)</f>
        <v>0</v>
      </c>
      <c r="U253" s="113">
        <f>IF(T253&gt;S253,T253-S253,0)</f>
        <v>0</v>
      </c>
      <c r="V253" s="146">
        <f>IF(F253="S",Z253,(IF((R253-U253)&gt;XWorkTimeMax,XWorkTimeMax,IF((R253-U253)&gt;0,R253-U253,0))))</f>
        <v>0</v>
      </c>
      <c r="W253" s="66"/>
      <c r="X253" s="115">
        <f>xNoWorkTime</f>
        <v>4.027777777777778E-2</v>
      </c>
      <c r="Y253" s="110">
        <f>IF(AND((AM253&lt;Feiertag),(G253&lt;&gt;85)),IF(OR(F253="B",F253="G",F253="S",H253&gt;0),H253-H253+Z253,0),0)</f>
        <v>0</v>
      </c>
      <c r="Z253" s="111">
        <f>IF(AND(AM253&gt;0,AM253&lt;Feiertag),INDEX(Arbeitszeit,AM253),"")</f>
        <v>0.29166666666666669</v>
      </c>
      <c r="AA253" s="112">
        <f>V253-Y253</f>
        <v>0</v>
      </c>
      <c r="AB253" s="67" t="str">
        <f>IF((V253-Y253)&lt;0,"*","")</f>
        <v/>
      </c>
      <c r="AC253" s="193">
        <f>xOverTime</f>
        <v>0</v>
      </c>
      <c r="AD253" s="144" t="str">
        <f>IF((R253-U253)&gt;XWorkTimeMax,(R253-U253-XWorkTimeMax),"")</f>
        <v/>
      </c>
      <c r="AE253" s="225">
        <f>IF(AW253,(AE252+SUM(AA253)+(IF(AG253="+",AF253,-AF253))),)</f>
        <v>0</v>
      </c>
      <c r="AF253" s="110"/>
      <c r="AG253" s="627"/>
      <c r="AH253" s="110"/>
      <c r="AI253" s="110" t="str">
        <f>IF(AND(AF253&lt;&gt;"",AF253&lt;=V253),V253-AF253,"")</f>
        <v/>
      </c>
      <c r="AJ253" s="68">
        <f>IF(ISNUMBER(V253 ), IF( V253 &gt;= Y253, Y253, V253 ),"")</f>
        <v>0</v>
      </c>
      <c r="AK253" s="68">
        <f>IF( ISNUMBER( V253 ), IF( V253 &gt;= Y253, V253 - Y253, "" ), "" )</f>
        <v>0</v>
      </c>
      <c r="AL253" s="68" t="str">
        <f>IF( AND(ISNUMBER( V253 ),ISNUMBER( Y253 )), IF( V253 &gt;= Y253, "", Y253 - V253 ), "" )</f>
        <v/>
      </c>
      <c r="AM253">
        <f>IF(A253="",0,IF(ISERROR(VLOOKUP(A253,db_Feiertag,2,FALSE)),WEEKDAY(A253,2),Feiertag))</f>
        <v>2</v>
      </c>
      <c r="AN253" s="122">
        <f>SUM($AD$6:AD253)</f>
        <v>0</v>
      </c>
      <c r="AO253" s="122">
        <f ca="1">IF(D253=D252,AO252,OFFSET(AO253,-1,COLUMN(db_jSaldoGes)-COLUMN()))</f>
        <v>0</v>
      </c>
      <c r="AP253" s="126">
        <f>IF(OR($G253=-1,$G253=82),-1,IF(OR($G253=0,$G253=83),1,0))</f>
        <v>0</v>
      </c>
      <c r="AQ253" s="126">
        <f>IF($F253=Krank,1,IF($F253="J",-1,0))</f>
        <v>0</v>
      </c>
      <c r="AR253" s="126">
        <f>IF($F253=Urlaub,1,IF($F253="T",-1,0))</f>
        <v>0</v>
      </c>
      <c r="AS253" s="125">
        <f>IF(A253="","",AS252-IF(F253=Urlaub,1,0)+IF(AND(MONTH(A253)=1,DAY(A253)=1),B_UrlaubNeu,0))</f>
        <v>30</v>
      </c>
      <c r="AT253" s="125">
        <f ca="1">IF(A253="","",IF(D253=D252,AT252,OFFSET(AT253,-1,COLUMN(db_jUrlRest)-COLUMN()))+IF(AND(MONTH(A253)=1,DAY(A253)=1),B_UrlaubNeu,0))</f>
        <v>30</v>
      </c>
      <c r="AU253" s="135">
        <f>(IF(ISNUMBER(V253),V253,0)+IF(ISNUMBER(AD253),AD253,0))*24</f>
        <v>0</v>
      </c>
      <c r="AV253" s="125">
        <f>IF(ISNUMBER(AD253),K_ArbeitOverMax,IF(AND(ISNUMBER(AA253),AA253&gt;0),K_ArbeitOverTime,IF(AND(ISNUMBER(V253),V253&gt;0),K_ArbeitNormal,IF(F253=Krank,K_Krank,IF(F253=Urlaub,K_Urlaub,IF(AM253=Feiertag,K_Feiertag,IF(OR(AM253=6,AM253=7),K_Wochenende,0)))))))+IF(F253=Gleittag,K_Gleittag,0)</f>
        <v>0</v>
      </c>
      <c r="AW253" t="b">
        <f>OR((F253&gt;0),(NOT(ISBLANK(H253))),SUM(H253:H$373),SUM(G253:G$373))</f>
        <v>0</v>
      </c>
      <c r="AX253" t="b">
        <f ca="1">INDIRECT(ADDRESS(ROW(),COLUMN(xDay)))&gt;5</f>
        <v>0</v>
      </c>
      <c r="AY253" s="600">
        <f>IF(OR(R253&lt;&gt;0,F253&lt;&gt;0),AA253,IF(Z253="",0,-Z253))+(IF(AG253="+",AF253,-AF253))</f>
        <v>-0.29166666666666669</v>
      </c>
      <c r="AZ253" s="225">
        <f>SUM(AY$5:AY253)</f>
        <v>-49.583333333333243</v>
      </c>
      <c r="BA253" s="658"/>
      <c r="BB253" s="658">
        <f>IF(ISNA(MATCH(BA253,B_Arbeitsort,0)),0,MATCH(BA253,B_Arbeitsort,0))</f>
        <v>0</v>
      </c>
      <c r="BC253" s="658"/>
    </row>
    <row r="254" spans="1:55" ht="15.75">
      <c r="A254" s="305">
        <f>IF(A253="","",IF((A253+1)&gt;=DATE(YEAR(xJahr)+1,MONTH(xJahr),DAY(xJahr)),"",A253+1))</f>
        <v>43713</v>
      </c>
      <c r="B254" s="306">
        <f>IF(A254="","",A254)</f>
        <v>43713</v>
      </c>
      <c r="C254" s="307">
        <f>IF(A254="","",NumberOfWeek(A254))</f>
        <v>36</v>
      </c>
      <c r="D254" s="308">
        <f>IF(A254="","",DATE(YEAR(A254),MONTH(A254),1))</f>
        <v>43708</v>
      </c>
      <c r="E254" s="318" t="str">
        <f>IF((R254-U254)&gt;XWorkTimeMax,$Z$4,IF(AV254=Feiertag,VLOOKUP(B254,db_Feiertag,2,FALSE),""))</f>
        <v/>
      </c>
      <c r="F254" s="5"/>
      <c r="G254" s="6" t="str">
        <f>IF(ISBLANK(F254),IF(ISBLANK(H254),"",0),CODE(UPPER(F254)))</f>
        <v/>
      </c>
      <c r="H254" s="7"/>
      <c r="I254" s="7">
        <f>IF(H254&gt;0,H254+Y254+X254+AC254,0)</f>
        <v>0</v>
      </c>
      <c r="J254" s="113">
        <f>IF(K254&gt;I254,IF(I254&lt;H254,I254+1,I254)-B_WalkTime,IF(I254&lt;H254,I254+1,I254))</f>
        <v>0</v>
      </c>
      <c r="K254" s="7"/>
      <c r="L254" s="7">
        <f>IF(K254&gt;0,K254+IF((J254-H254)&lt;Y254,Y254-(J254-H254),TIME(0,10,0))+IF((K254-J254)&gt;xNoWorkTime,0,xNoWorkTime-(K254-J254)),0)</f>
        <v>0</v>
      </c>
      <c r="M254" s="113">
        <f>IF(L254&lt;K254,L254+1,L254)</f>
        <v>0</v>
      </c>
      <c r="N254" s="113"/>
      <c r="O254" s="113">
        <f>IF(N254&gt;0,N254+IF((J254-H254+M254-K254)&lt;Y254,Y254-(J254-H254+M254-K254),TIME(0,10,0))+IF((K254-J254+N254-M254)&gt;xNoWorkTime,0,xNoWorkTime-(K254-J254+N254-M254)),0)</f>
        <v>0</v>
      </c>
      <c r="P254" s="113"/>
      <c r="Q254" s="113">
        <f>IF(O254&lt;N254,O254+1,O254)</f>
        <v>0</v>
      </c>
      <c r="R254" s="113">
        <f>J254-H254+M254-K254+Q254-N254</f>
        <v>0</v>
      </c>
      <c r="S254" s="113">
        <f>IF(K254&gt;0,K254-I254,0)+IF(N254&gt;0,N254-L254)</f>
        <v>0</v>
      </c>
      <c r="T254" s="113">
        <f>IF(H254&gt;0,(IF(R254&gt;B_Pause1Nach,B_Pause1Dauer+IF(BA254="Büro",B_WalkTime,0),IF(BA254="Büro",B_WalkTime,0))+IF(R254&gt;B_Pause2Nach,B_Pause2Dauer,0)),0)</f>
        <v>0</v>
      </c>
      <c r="U254" s="113">
        <f>IF(T254&gt;S254,T254-S254,0)</f>
        <v>0</v>
      </c>
      <c r="V254" s="146">
        <f>IF(F254="S",Z254,(IF((R254-U254)&gt;XWorkTimeMax,XWorkTimeMax,IF((R254-U254)&gt;0,R254-U254,0))))</f>
        <v>0</v>
      </c>
      <c r="W254" s="66"/>
      <c r="X254" s="115">
        <f>xNoWorkTime</f>
        <v>4.027777777777778E-2</v>
      </c>
      <c r="Y254" s="110">
        <f>IF(AND((AM254&lt;Feiertag),(G254&lt;&gt;85)),IF(OR(F254="B",F254="G",F254="S",H254&gt;0),H254-H254+Z254,0),0)</f>
        <v>0</v>
      </c>
      <c r="Z254" s="111">
        <f>IF(AND(AM254&gt;0,AM254&lt;Feiertag),INDEX(Arbeitszeit,AM254),"")</f>
        <v>0.29166666666666669</v>
      </c>
      <c r="AA254" s="112">
        <f>V254-Y254</f>
        <v>0</v>
      </c>
      <c r="AB254" s="67" t="str">
        <f>IF((V254-Y254)&lt;0,"*","")</f>
        <v/>
      </c>
      <c r="AC254" s="193">
        <f>xOverTime</f>
        <v>0</v>
      </c>
      <c r="AD254" s="144" t="str">
        <f>IF((R254-U254)&gt;XWorkTimeMax,(R254-U254-XWorkTimeMax),"")</f>
        <v/>
      </c>
      <c r="AE254" s="225">
        <f>IF(AW254,(AE253+SUM(AA254)+(IF(AG254="+",AF254,-AF254))),)</f>
        <v>0</v>
      </c>
      <c r="AF254" s="110"/>
      <c r="AG254" s="627"/>
      <c r="AH254" s="110"/>
      <c r="AI254" s="110" t="str">
        <f>IF(AND(AF254&lt;&gt;"",AF254&lt;=V254),V254-AF254,"")</f>
        <v/>
      </c>
      <c r="AJ254" s="68">
        <f>IF(ISNUMBER(V254 ), IF( V254 &gt;= Y254, Y254, V254 ),"")</f>
        <v>0</v>
      </c>
      <c r="AK254" s="68">
        <f>IF( ISNUMBER( V254 ), IF( V254 &gt;= Y254, V254 - Y254, "" ), "" )</f>
        <v>0</v>
      </c>
      <c r="AL254" s="68" t="str">
        <f>IF( AND(ISNUMBER( V254 ),ISNUMBER( Y254 )), IF( V254 &gt;= Y254, "", Y254 - V254 ), "" )</f>
        <v/>
      </c>
      <c r="AM254">
        <f>IF(A254="",0,IF(ISERROR(VLOOKUP(A254,db_Feiertag,2,FALSE)),WEEKDAY(A254,2),Feiertag))</f>
        <v>3</v>
      </c>
      <c r="AN254" s="122">
        <f>SUM($AD$6:AD254)</f>
        <v>0</v>
      </c>
      <c r="AO254" s="122">
        <f ca="1">IF(D254=D253,AO253,OFFSET(AO254,-1,COLUMN(db_jSaldoGes)-COLUMN()))</f>
        <v>0</v>
      </c>
      <c r="AP254" s="126">
        <f>IF(OR($G254=-1,$G254=82),-1,IF(OR($G254=0,$G254=83),1,0))</f>
        <v>0</v>
      </c>
      <c r="AQ254" s="126">
        <f>IF($F254=Krank,1,IF($F254="J",-1,0))</f>
        <v>0</v>
      </c>
      <c r="AR254" s="126">
        <f>IF($F254=Urlaub,1,IF($F254="T",-1,0))</f>
        <v>0</v>
      </c>
      <c r="AS254" s="125">
        <f>IF(A254="","",AS253-IF(F254=Urlaub,1,0)+IF(AND(MONTH(A254)=1,DAY(A254)=1),B_UrlaubNeu,0))</f>
        <v>30</v>
      </c>
      <c r="AT254" s="125">
        <f ca="1">IF(A254="","",IF(D254=D253,AT253,OFFSET(AT254,-1,COLUMN(db_jUrlRest)-COLUMN()))+IF(AND(MONTH(A254)=1,DAY(A254)=1),B_UrlaubNeu,0))</f>
        <v>30</v>
      </c>
      <c r="AU254" s="135">
        <f>(IF(ISNUMBER(V254),V254,0)+IF(ISNUMBER(AD254),AD254,0))*24</f>
        <v>0</v>
      </c>
      <c r="AV254" s="125">
        <f>IF(ISNUMBER(AD254),K_ArbeitOverMax,IF(AND(ISNUMBER(AA254),AA254&gt;0),K_ArbeitOverTime,IF(AND(ISNUMBER(V254),V254&gt;0),K_ArbeitNormal,IF(F254=Krank,K_Krank,IF(F254=Urlaub,K_Urlaub,IF(AM254=Feiertag,K_Feiertag,IF(OR(AM254=6,AM254=7),K_Wochenende,0)))))))+IF(F254=Gleittag,K_Gleittag,0)</f>
        <v>0</v>
      </c>
      <c r="AW254" t="b">
        <f>OR((F254&gt;0),(NOT(ISBLANK(H254))),SUM(H254:H$373),SUM(G254:G$373))</f>
        <v>0</v>
      </c>
      <c r="AX254" t="b">
        <f ca="1">INDIRECT(ADDRESS(ROW(),COLUMN(xDay)))&gt;5</f>
        <v>0</v>
      </c>
      <c r="AY254" s="600">
        <f>IF(OR(R254&lt;&gt;0,F254&lt;&gt;0),AA254,IF(Z254="",0,-Z254))+(IF(AG254="+",AF254,-AF254))</f>
        <v>-0.29166666666666669</v>
      </c>
      <c r="AZ254" s="225">
        <f>SUM(AY$5:AY254)</f>
        <v>-49.874999999999908</v>
      </c>
      <c r="BA254" s="658"/>
      <c r="BB254" s="658">
        <f>IF(ISNA(MATCH(BA254,B_Arbeitsort,0)),0,MATCH(BA254,B_Arbeitsort,0))</f>
        <v>0</v>
      </c>
      <c r="BC254" s="658"/>
    </row>
    <row r="255" spans="1:55" ht="15.75">
      <c r="A255" s="305">
        <f>IF(A254="","",IF((A254+1)&gt;=DATE(YEAR(xJahr)+1,MONTH(xJahr),DAY(xJahr)),"",A254+1))</f>
        <v>43714</v>
      </c>
      <c r="B255" s="306">
        <f>IF(A255="","",A255)</f>
        <v>43714</v>
      </c>
      <c r="C255" s="307">
        <f>IF(A255="","",NumberOfWeek(A255))</f>
        <v>36</v>
      </c>
      <c r="D255" s="308">
        <f>IF(A255="","",DATE(YEAR(A255),MONTH(A255),1))</f>
        <v>43708</v>
      </c>
      <c r="E255" s="318" t="str">
        <f>IF((R255-U255)&gt;XWorkTimeMax,$Z$4,IF(AV255=Feiertag,VLOOKUP(B255,db_Feiertag,2,FALSE),""))</f>
        <v/>
      </c>
      <c r="F255" s="5"/>
      <c r="G255" s="6" t="str">
        <f>IF(ISBLANK(F255),IF(ISBLANK(H255),"",0),CODE(UPPER(F255)))</f>
        <v/>
      </c>
      <c r="H255" s="7"/>
      <c r="I255" s="7">
        <f>IF(H255&gt;0,H255+Y255+X255+AC255,0)</f>
        <v>0</v>
      </c>
      <c r="J255" s="113">
        <f>IF(K255&gt;I255,IF(I255&lt;H255,I255+1,I255)-B_WalkTime,IF(I255&lt;H255,I255+1,I255))</f>
        <v>0</v>
      </c>
      <c r="K255" s="7"/>
      <c r="L255" s="7">
        <f>IF(K255&gt;0,K255+IF((J255-H255)&lt;Y255,Y255-(J255-H255),TIME(0,10,0))+IF((K255-J255)&gt;xNoWorkTime,0,xNoWorkTime-(K255-J255)),0)</f>
        <v>0</v>
      </c>
      <c r="M255" s="113">
        <f>IF(L255&lt;K255,L255+1,L255)</f>
        <v>0</v>
      </c>
      <c r="N255" s="113"/>
      <c r="O255" s="113">
        <f>IF(N255&gt;0,N255+IF((J255-H255+M255-K255)&lt;Y255,Y255-(J255-H255+M255-K255),TIME(0,10,0))+IF((K255-J255+N255-M255)&gt;xNoWorkTime,0,xNoWorkTime-(K255-J255+N255-M255)),0)</f>
        <v>0</v>
      </c>
      <c r="P255" s="113"/>
      <c r="Q255" s="113">
        <f>IF(O255&lt;N255,O255+1,O255)</f>
        <v>0</v>
      </c>
      <c r="R255" s="113">
        <f>J255-H255+M255-K255+Q255-N255</f>
        <v>0</v>
      </c>
      <c r="S255" s="113">
        <f>IF(K255&gt;0,K255-I255,0)+IF(N255&gt;0,N255-L255)</f>
        <v>0</v>
      </c>
      <c r="T255" s="113">
        <f>IF(H255&gt;0,(IF(R255&gt;B_Pause1Nach,B_Pause1Dauer+IF(BA255="Büro",B_WalkTime,0),IF(BA255="Büro",B_WalkTime,0))+IF(R255&gt;B_Pause2Nach,B_Pause2Dauer,0)),0)</f>
        <v>0</v>
      </c>
      <c r="U255" s="113">
        <f>IF(T255&gt;S255,T255-S255,0)</f>
        <v>0</v>
      </c>
      <c r="V255" s="146">
        <f>IF(F255="S",Z255,(IF((R255-U255)&gt;XWorkTimeMax,XWorkTimeMax,IF((R255-U255)&gt;0,R255-U255,0))))</f>
        <v>0</v>
      </c>
      <c r="W255" s="66"/>
      <c r="X255" s="115">
        <f>xNoWorkTime</f>
        <v>4.027777777777778E-2</v>
      </c>
      <c r="Y255" s="110">
        <f>IF(AND((AM255&lt;Feiertag),(G255&lt;&gt;85)),IF(OR(F255="B",F255="G",F255="S",H255&gt;0),H255-H255+Z255,0),0)</f>
        <v>0</v>
      </c>
      <c r="Z255" s="111">
        <f>IF(AND(AM255&gt;0,AM255&lt;Feiertag),INDEX(Arbeitszeit,AM255),"")</f>
        <v>0.29166666666666669</v>
      </c>
      <c r="AA255" s="112">
        <f>V255-Y255</f>
        <v>0</v>
      </c>
      <c r="AB255" s="67" t="str">
        <f>IF((V255-Y255)&lt;0,"*","")</f>
        <v/>
      </c>
      <c r="AC255" s="193">
        <f>xOverTime</f>
        <v>0</v>
      </c>
      <c r="AD255" s="144" t="str">
        <f>IF((R255-U255)&gt;XWorkTimeMax,(R255-U255-XWorkTimeMax),"")</f>
        <v/>
      </c>
      <c r="AE255" s="225">
        <f>IF(AW255,(AE254+SUM(AA255)+(IF(AG255="+",AF255,-AF255))),)</f>
        <v>0</v>
      </c>
      <c r="AF255" s="110"/>
      <c r="AG255" s="627"/>
      <c r="AH255" s="110"/>
      <c r="AI255" s="110" t="str">
        <f>IF(AND(AF255&lt;&gt;"",AF255&lt;=V255),V255-AF255,"")</f>
        <v/>
      </c>
      <c r="AJ255" s="68">
        <f>IF(ISNUMBER(V255 ), IF( V255 &gt;= Y255, Y255, V255 ),"")</f>
        <v>0</v>
      </c>
      <c r="AK255" s="68">
        <f>IF( ISNUMBER( V255 ), IF( V255 &gt;= Y255, V255 - Y255, "" ), "" )</f>
        <v>0</v>
      </c>
      <c r="AL255" s="68" t="str">
        <f>IF( AND(ISNUMBER( V255 ),ISNUMBER( Y255 )), IF( V255 &gt;= Y255, "", Y255 - V255 ), "" )</f>
        <v/>
      </c>
      <c r="AM255">
        <f>IF(A255="",0,IF(ISERROR(VLOOKUP(A255,db_Feiertag,2,FALSE)),WEEKDAY(A255,2),Feiertag))</f>
        <v>4</v>
      </c>
      <c r="AN255" s="122">
        <f>SUM($AD$6:AD255)</f>
        <v>0</v>
      </c>
      <c r="AO255" s="122">
        <f ca="1">IF(D255=D254,AO254,OFFSET(AO255,-1,COLUMN(db_jSaldoGes)-COLUMN()))</f>
        <v>0</v>
      </c>
      <c r="AP255" s="126">
        <f>IF(OR($G255=-1,$G255=82),-1,IF(OR($G255=0,$G255=83),1,0))</f>
        <v>0</v>
      </c>
      <c r="AQ255" s="126">
        <f>IF($F255=Krank,1,IF($F255="J",-1,0))</f>
        <v>0</v>
      </c>
      <c r="AR255" s="126">
        <f>IF($F255=Urlaub,1,IF($F255="T",-1,0))</f>
        <v>0</v>
      </c>
      <c r="AS255" s="125">
        <f>IF(A255="","",AS254-IF(F255=Urlaub,1,0)+IF(AND(MONTH(A255)=1,DAY(A255)=1),B_UrlaubNeu,0))</f>
        <v>30</v>
      </c>
      <c r="AT255" s="125">
        <f ca="1">IF(A255="","",IF(D255=D254,AT254,OFFSET(AT255,-1,COLUMN(db_jUrlRest)-COLUMN()))+IF(AND(MONTH(A255)=1,DAY(A255)=1),B_UrlaubNeu,0))</f>
        <v>30</v>
      </c>
      <c r="AU255" s="135">
        <f>(IF(ISNUMBER(V255),V255,0)+IF(ISNUMBER(AD255),AD255,0))*24</f>
        <v>0</v>
      </c>
      <c r="AV255" s="125">
        <f>IF(ISNUMBER(AD255),K_ArbeitOverMax,IF(AND(ISNUMBER(AA255),AA255&gt;0),K_ArbeitOverTime,IF(AND(ISNUMBER(V255),V255&gt;0),K_ArbeitNormal,IF(F255=Krank,K_Krank,IF(F255=Urlaub,K_Urlaub,IF(AM255=Feiertag,K_Feiertag,IF(OR(AM255=6,AM255=7),K_Wochenende,0)))))))+IF(F255=Gleittag,K_Gleittag,0)</f>
        <v>0</v>
      </c>
      <c r="AW255" t="b">
        <f>OR((F255&gt;0),(NOT(ISBLANK(H255))),SUM(H255:H$373),SUM(G255:G$373))</f>
        <v>0</v>
      </c>
      <c r="AX255" t="b">
        <f ca="1">INDIRECT(ADDRESS(ROW(),COLUMN(xDay)))&gt;5</f>
        <v>0</v>
      </c>
      <c r="AY255" s="600">
        <f>IF(OR(R255&lt;&gt;0,F255&lt;&gt;0),AA255,IF(Z255="",0,-Z255))+(IF(AG255="+",AF255,-AF255))</f>
        <v>-0.29166666666666669</v>
      </c>
      <c r="AZ255" s="225">
        <f>SUM(AY$5:AY255)</f>
        <v>-50.166666666666572</v>
      </c>
      <c r="BA255" s="658"/>
      <c r="BB255" s="658">
        <f>IF(ISNA(MATCH(BA255,B_Arbeitsort,0)),0,MATCH(BA255,B_Arbeitsort,0))</f>
        <v>0</v>
      </c>
      <c r="BC255" s="658"/>
    </row>
    <row r="256" spans="1:55" ht="15.75">
      <c r="A256" s="305">
        <f>IF(A255="","",IF((A255+1)&gt;=DATE(YEAR(xJahr)+1,MONTH(xJahr),DAY(xJahr)),"",A255+1))</f>
        <v>43715</v>
      </c>
      <c r="B256" s="306">
        <f>IF(A256="","",A256)</f>
        <v>43715</v>
      </c>
      <c r="C256" s="307">
        <f>IF(A256="","",NumberOfWeek(A256))</f>
        <v>36</v>
      </c>
      <c r="D256" s="308">
        <f>IF(A256="","",DATE(YEAR(A256),MONTH(A256),1))</f>
        <v>43708</v>
      </c>
      <c r="E256" s="318" t="str">
        <f>IF((R256-U256)&gt;XWorkTimeMax,$Z$4,IF(AV256=Feiertag,VLOOKUP(B256,db_Feiertag,2,FALSE),""))</f>
        <v/>
      </c>
      <c r="F256" s="5"/>
      <c r="G256" s="6" t="str">
        <f>IF(ISBLANK(F256),IF(ISBLANK(H256),"",0),CODE(UPPER(F256)))</f>
        <v/>
      </c>
      <c r="H256" s="7"/>
      <c r="I256" s="7">
        <f>IF(H256&gt;0,H256+Y256+X256+AC256,0)</f>
        <v>0</v>
      </c>
      <c r="J256" s="113">
        <f>IF(K256&gt;I256,IF(I256&lt;H256,I256+1,I256)-B_WalkTime,IF(I256&lt;H256,I256+1,I256))</f>
        <v>0</v>
      </c>
      <c r="K256" s="7"/>
      <c r="L256" s="7">
        <f>IF(K256&gt;0,K256+IF((J256-H256)&lt;Y256,Y256-(J256-H256),TIME(0,10,0))+IF((K256-J256)&gt;xNoWorkTime,0,xNoWorkTime-(K256-J256)),0)</f>
        <v>0</v>
      </c>
      <c r="M256" s="113">
        <f>IF(L256&lt;K256,L256+1,L256)</f>
        <v>0</v>
      </c>
      <c r="N256" s="113"/>
      <c r="O256" s="113">
        <f>IF(N256&gt;0,N256+IF((J256-H256+M256-K256)&lt;Y256,Y256-(J256-H256+M256-K256),TIME(0,10,0))+IF((K256-J256+N256-M256)&gt;xNoWorkTime,0,xNoWorkTime-(K256-J256+N256-M256)),0)</f>
        <v>0</v>
      </c>
      <c r="P256" s="113"/>
      <c r="Q256" s="113">
        <f>IF(O256&lt;N256,O256+1,O256)</f>
        <v>0</v>
      </c>
      <c r="R256" s="113">
        <f>J256-H256+M256-K256+Q256-N256</f>
        <v>0</v>
      </c>
      <c r="S256" s="113">
        <f>IF(K256&gt;0,K256-I256,0)+IF(N256&gt;0,N256-L256)</f>
        <v>0</v>
      </c>
      <c r="T256" s="113">
        <f>IF(H256&gt;0,(IF(R256&gt;B_Pause1Nach,B_Pause1Dauer+IF(BA256="Büro",B_WalkTime,0),IF(BA256="Büro",B_WalkTime,0))+IF(R256&gt;B_Pause2Nach,B_Pause2Dauer,0)),0)</f>
        <v>0</v>
      </c>
      <c r="U256" s="113">
        <f>IF(T256&gt;S256,T256-S256,0)</f>
        <v>0</v>
      </c>
      <c r="V256" s="146">
        <f>IF(F256="S",Z256,(IF((R256-U256)&gt;XWorkTimeMax,XWorkTimeMax,IF((R256-U256)&gt;0,R256-U256,0))))</f>
        <v>0</v>
      </c>
      <c r="W256" s="66"/>
      <c r="X256" s="115">
        <f>xNoWorkTime</f>
        <v>4.027777777777778E-2</v>
      </c>
      <c r="Y256" s="110">
        <f>IF(AND((AM256&lt;Feiertag),(G256&lt;&gt;85)),IF(OR(F256="B",F256="G",F256="S",H256&gt;0),H256-H256+Z256,0),0)</f>
        <v>0</v>
      </c>
      <c r="Z256" s="111">
        <f>IF(AND(AM256&gt;0,AM256&lt;Feiertag),INDEX(Arbeitszeit,AM256),"")</f>
        <v>0.29166666666666669</v>
      </c>
      <c r="AA256" s="112">
        <f>V256-Y256</f>
        <v>0</v>
      </c>
      <c r="AB256" s="67" t="str">
        <f>IF((V256-Y256)&lt;0,"*","")</f>
        <v/>
      </c>
      <c r="AC256" s="193">
        <f>xOverTime</f>
        <v>0</v>
      </c>
      <c r="AD256" s="144" t="str">
        <f>IF((R256-U256)&gt;XWorkTimeMax,(R256-U256-XWorkTimeMax),"")</f>
        <v/>
      </c>
      <c r="AE256" s="225">
        <f>IF(AW256,(AE255+SUM(AA256)+(IF(AG256="+",AF256,-AF256))),)</f>
        <v>0</v>
      </c>
      <c r="AF256" s="110"/>
      <c r="AG256" s="627"/>
      <c r="AH256" s="110"/>
      <c r="AI256" s="110" t="str">
        <f>IF(AND(AF256&lt;&gt;"",AF256&lt;=V256),V256-AF256,"")</f>
        <v/>
      </c>
      <c r="AJ256" s="68">
        <f>IF(ISNUMBER(V256 ), IF( V256 &gt;= Y256, Y256, V256 ),"")</f>
        <v>0</v>
      </c>
      <c r="AK256" s="68">
        <f>IF( ISNUMBER( V256 ), IF( V256 &gt;= Y256, V256 - Y256, "" ), "" )</f>
        <v>0</v>
      </c>
      <c r="AL256" s="68" t="str">
        <f>IF( AND(ISNUMBER( V256 ),ISNUMBER( Y256 )), IF( V256 &gt;= Y256, "", Y256 - V256 ), "" )</f>
        <v/>
      </c>
      <c r="AM256">
        <f>IF(A256="",0,IF(ISERROR(VLOOKUP(A256,db_Feiertag,2,FALSE)),WEEKDAY(A256,2),Feiertag))</f>
        <v>5</v>
      </c>
      <c r="AN256" s="122">
        <f>SUM($AD$6:AD256)</f>
        <v>0</v>
      </c>
      <c r="AO256" s="122">
        <f ca="1">IF(D256=D255,AO255,OFFSET(AO256,-1,COLUMN(db_jSaldoGes)-COLUMN()))</f>
        <v>0</v>
      </c>
      <c r="AP256" s="126">
        <f>IF(OR($G256=-1,$G256=82),-1,IF(OR($G256=0,$G256=83),1,0))</f>
        <v>0</v>
      </c>
      <c r="AQ256" s="126">
        <f>IF($F256=Krank,1,IF($F256="J",-1,0))</f>
        <v>0</v>
      </c>
      <c r="AR256" s="126">
        <f>IF($F256=Urlaub,1,IF($F256="T",-1,0))</f>
        <v>0</v>
      </c>
      <c r="AS256" s="125">
        <f>IF(A256="","",AS255-IF(F256=Urlaub,1,0)+IF(AND(MONTH(A256)=1,DAY(A256)=1),B_UrlaubNeu,0))</f>
        <v>30</v>
      </c>
      <c r="AT256" s="125">
        <f ca="1">IF(A256="","",IF(D256=D255,AT255,OFFSET(AT256,-1,COLUMN(db_jUrlRest)-COLUMN()))+IF(AND(MONTH(A256)=1,DAY(A256)=1),B_UrlaubNeu,0))</f>
        <v>30</v>
      </c>
      <c r="AU256" s="135">
        <f>(IF(ISNUMBER(V256),V256,0)+IF(ISNUMBER(AD256),AD256,0))*24</f>
        <v>0</v>
      </c>
      <c r="AV256" s="125">
        <f>IF(ISNUMBER(AD256),K_ArbeitOverMax,IF(AND(ISNUMBER(AA256),AA256&gt;0),K_ArbeitOverTime,IF(AND(ISNUMBER(V256),V256&gt;0),K_ArbeitNormal,IF(F256=Krank,K_Krank,IF(F256=Urlaub,K_Urlaub,IF(AM256=Feiertag,K_Feiertag,IF(OR(AM256=6,AM256=7),K_Wochenende,0)))))))+IF(F256=Gleittag,K_Gleittag,0)</f>
        <v>0</v>
      </c>
      <c r="AW256" t="b">
        <f>OR((F256&gt;0),(NOT(ISBLANK(H256))),SUM(H256:H$373),SUM(G256:G$373))</f>
        <v>0</v>
      </c>
      <c r="AX256" t="b">
        <f ca="1">INDIRECT(ADDRESS(ROW(),COLUMN(xDay)))&gt;5</f>
        <v>0</v>
      </c>
      <c r="AY256" s="600">
        <f>IF(OR(R256&lt;&gt;0,F256&lt;&gt;0),AA256,IF(Z256="",0,-Z256))+(IF(AG256="+",AF256,-AF256))</f>
        <v>-0.29166666666666669</v>
      </c>
      <c r="AZ256" s="225">
        <f>SUM(AY$5:AY256)</f>
        <v>-50.458333333333236</v>
      </c>
      <c r="BA256" s="658"/>
      <c r="BB256" s="658">
        <f>IF(ISNA(MATCH(BA256,B_Arbeitsort,0)),0,MATCH(BA256,B_Arbeitsort,0))</f>
        <v>0</v>
      </c>
      <c r="BC256" s="658"/>
    </row>
    <row r="257" spans="1:55" ht="15.75">
      <c r="A257" s="305">
        <f>IF(A256="","",IF((A256+1)&gt;=DATE(YEAR(xJahr)+1,MONTH(xJahr),DAY(xJahr)),"",A256+1))</f>
        <v>43716</v>
      </c>
      <c r="B257" s="306">
        <f>IF(A257="","",A257)</f>
        <v>43716</v>
      </c>
      <c r="C257" s="307">
        <f>IF(A257="","",NumberOfWeek(A257))</f>
        <v>36</v>
      </c>
      <c r="D257" s="308">
        <f>IF(A257="","",DATE(YEAR(A257),MONTH(A257),1))</f>
        <v>43708</v>
      </c>
      <c r="E257" s="318" t="str">
        <f>IF((R257-U257)&gt;XWorkTimeMax,$Z$4,IF(AV257=Feiertag,VLOOKUP(B257,db_Feiertag,2,FALSE),""))</f>
        <v/>
      </c>
      <c r="F257" s="5"/>
      <c r="G257" s="6" t="str">
        <f>IF(ISBLANK(F257),IF(ISBLANK(H257),"",0),CODE(UPPER(F257)))</f>
        <v/>
      </c>
      <c r="H257" s="7"/>
      <c r="I257" s="7">
        <f>IF(H257&gt;0,H257+Y257+X257+AC257,0)</f>
        <v>0</v>
      </c>
      <c r="J257" s="113">
        <f>IF(K257&gt;I257,IF(I257&lt;H257,I257+1,I257)-B_WalkTime,IF(I257&lt;H257,I257+1,I257))</f>
        <v>0</v>
      </c>
      <c r="K257" s="7"/>
      <c r="L257" s="7">
        <f>IF(K257&gt;0,K257+IF((J257-H257)&lt;Y257,Y257-(J257-H257),TIME(0,10,0))+IF((K257-J257)&gt;xNoWorkTime,0,xNoWorkTime-(K257-J257)),0)</f>
        <v>0</v>
      </c>
      <c r="M257" s="113">
        <f>IF(L257&lt;K257,L257+1,L257)</f>
        <v>0</v>
      </c>
      <c r="N257" s="113"/>
      <c r="O257" s="113">
        <f>IF(N257&gt;0,N257+IF((J257-H257+M257-K257)&lt;Y257,Y257-(J257-H257+M257-K257),TIME(0,10,0))+IF((K257-J257+N257-M257)&gt;xNoWorkTime,0,xNoWorkTime-(K257-J257+N257-M257)),0)</f>
        <v>0</v>
      </c>
      <c r="P257" s="113"/>
      <c r="Q257" s="113">
        <f>IF(O257&lt;N257,O257+1,O257)</f>
        <v>0</v>
      </c>
      <c r="R257" s="113">
        <f>J257-H257+M257-K257+Q257-N257</f>
        <v>0</v>
      </c>
      <c r="S257" s="113">
        <f>IF(K257&gt;0,K257-I257,0)+IF(N257&gt;0,N257-L257)</f>
        <v>0</v>
      </c>
      <c r="T257" s="113">
        <f>IF(H257&gt;0,(IF(R257&gt;B_Pause1Nach,B_Pause1Dauer+IF(BA257="Büro",B_WalkTime,0),IF(BA257="Büro",B_WalkTime,0))+IF(R257&gt;B_Pause2Nach,B_Pause2Dauer,0)),0)</f>
        <v>0</v>
      </c>
      <c r="U257" s="113">
        <f>IF(T257&gt;S257,T257-S257,0)</f>
        <v>0</v>
      </c>
      <c r="V257" s="146">
        <f>IF(F257="S",Z257,(IF((R257-U257)&gt;XWorkTimeMax,XWorkTimeMax,IF((R257-U257)&gt;0,R257-U257,0))))</f>
        <v>0</v>
      </c>
      <c r="W257" s="66"/>
      <c r="X257" s="115">
        <f>xNoWorkTime</f>
        <v>4.027777777777778E-2</v>
      </c>
      <c r="Y257" s="110">
        <f>IF(AND((AM257&lt;Feiertag),(G257&lt;&gt;85)),IF(OR(F257="B",F257="G",F257="S",H257&gt;0),H257-H257+Z257,0),0)</f>
        <v>0</v>
      </c>
      <c r="Z257" s="111">
        <f>IF(AND(AM257&gt;0,AM257&lt;Feiertag),INDEX(Arbeitszeit,AM257),"")</f>
        <v>0</v>
      </c>
      <c r="AA257" s="112">
        <f>V257-Y257</f>
        <v>0</v>
      </c>
      <c r="AB257" s="67" t="str">
        <f>IF((V257-Y257)&lt;0,"*","")</f>
        <v/>
      </c>
      <c r="AC257" s="193">
        <f>xOverTime</f>
        <v>0</v>
      </c>
      <c r="AD257" s="144" t="str">
        <f>IF((R257-U257)&gt;XWorkTimeMax,(R257-U257-XWorkTimeMax),"")</f>
        <v/>
      </c>
      <c r="AE257" s="225">
        <f>IF(AW257,(AE256+SUM(AA257)+(IF(AG257="+",AF257,-AF257))),)</f>
        <v>0</v>
      </c>
      <c r="AF257" s="110"/>
      <c r="AG257" s="627"/>
      <c r="AH257" s="110"/>
      <c r="AI257" s="110" t="str">
        <f>IF(AND(AF257&lt;&gt;"",AF257&lt;=V257),V257-AF257,"")</f>
        <v/>
      </c>
      <c r="AJ257" s="68">
        <f>IF(ISNUMBER(V257 ), IF( V257 &gt;= Y257, Y257, V257 ),"")</f>
        <v>0</v>
      </c>
      <c r="AK257" s="68">
        <f>IF( ISNUMBER( V257 ), IF( V257 &gt;= Y257, V257 - Y257, "" ), "" )</f>
        <v>0</v>
      </c>
      <c r="AL257" s="68" t="str">
        <f>IF( AND(ISNUMBER( V257 ),ISNUMBER( Y257 )), IF( V257 &gt;= Y257, "", Y257 - V257 ), "" )</f>
        <v/>
      </c>
      <c r="AM257">
        <f>IF(A257="",0,IF(ISERROR(VLOOKUP(A257,db_Feiertag,2,FALSE)),WEEKDAY(A257,2),Feiertag))</f>
        <v>6</v>
      </c>
      <c r="AN257" s="122">
        <f>SUM($AD$6:AD257)</f>
        <v>0</v>
      </c>
      <c r="AO257" s="122">
        <f ca="1">IF(D257=D256,AO256,OFFSET(AO257,-1,COLUMN(db_jSaldoGes)-COLUMN()))</f>
        <v>0</v>
      </c>
      <c r="AP257" s="126">
        <f>IF(OR($G257=-1,$G257=82),-1,IF(OR($G257=0,$G257=83),1,0))</f>
        <v>0</v>
      </c>
      <c r="AQ257" s="126">
        <f>IF($F257=Krank,1,IF($F257="J",-1,0))</f>
        <v>0</v>
      </c>
      <c r="AR257" s="126">
        <f>IF($F257=Urlaub,1,IF($F257="T",-1,0))</f>
        <v>0</v>
      </c>
      <c r="AS257" s="125">
        <f>IF(A257="","",AS256-IF(F257=Urlaub,1,0)+IF(AND(MONTH(A257)=1,DAY(A257)=1),B_UrlaubNeu,0))</f>
        <v>30</v>
      </c>
      <c r="AT257" s="125">
        <f ca="1">IF(A257="","",IF(D257=D256,AT256,OFFSET(AT257,-1,COLUMN(db_jUrlRest)-COLUMN()))+IF(AND(MONTH(A257)=1,DAY(A257)=1),B_UrlaubNeu,0))</f>
        <v>30</v>
      </c>
      <c r="AU257" s="135">
        <f>(IF(ISNUMBER(V257),V257,0)+IF(ISNUMBER(AD257),AD257,0))*24</f>
        <v>0</v>
      </c>
      <c r="AV257" s="125">
        <f>IF(ISNUMBER(AD257),K_ArbeitOverMax,IF(AND(ISNUMBER(AA257),AA257&gt;0),K_ArbeitOverTime,IF(AND(ISNUMBER(V257),V257&gt;0),K_ArbeitNormal,IF(F257=Krank,K_Krank,IF(F257=Urlaub,K_Urlaub,IF(AM257=Feiertag,K_Feiertag,IF(OR(AM257=6,AM257=7),K_Wochenende,0)))))))+IF(F257=Gleittag,K_Gleittag,0)</f>
        <v>7</v>
      </c>
      <c r="AW257" t="b">
        <f>OR((F257&gt;0),(NOT(ISBLANK(H257))),SUM(H257:H$373),SUM(G257:G$373))</f>
        <v>0</v>
      </c>
      <c r="AX257" t="b">
        <f ca="1">INDIRECT(ADDRESS(ROW(),COLUMN(xDay)))&gt;5</f>
        <v>1</v>
      </c>
      <c r="AY257" s="600">
        <f>IF(OR(R257&lt;&gt;0,F257&lt;&gt;0),AA257,IF(Z257="",0,-Z257))+(IF(AG257="+",AF257,-AF257))</f>
        <v>0</v>
      </c>
      <c r="AZ257" s="225">
        <f>SUM(AY$5:AY257)</f>
        <v>-50.458333333333236</v>
      </c>
      <c r="BA257" s="643"/>
      <c r="BB257" s="658">
        <f>IF(ISNA(MATCH(BA257,B_Arbeitsort,0)),0,MATCH(BA257,B_Arbeitsort,0))</f>
        <v>0</v>
      </c>
      <c r="BC257" s="643"/>
    </row>
    <row r="258" spans="1:55" ht="15.75">
      <c r="A258" s="305">
        <f>IF(A257="","",IF((A257+1)&gt;=DATE(YEAR(xJahr)+1,MONTH(xJahr),DAY(xJahr)),"",A257+1))</f>
        <v>43717</v>
      </c>
      <c r="B258" s="306">
        <f>IF(A258="","",A258)</f>
        <v>43717</v>
      </c>
      <c r="C258" s="307">
        <f>IF(A258="","",NumberOfWeek(A258))</f>
        <v>36</v>
      </c>
      <c r="D258" s="308">
        <f>IF(A258="","",DATE(YEAR(A258),MONTH(A258),1))</f>
        <v>43708</v>
      </c>
      <c r="E258" s="318" t="str">
        <f>IF((R258-U258)&gt;XWorkTimeMax,$Z$4,IF(AV258=Feiertag,VLOOKUP(B258,db_Feiertag,2,FALSE),""))</f>
        <v/>
      </c>
      <c r="F258" s="5"/>
      <c r="G258" s="6" t="str">
        <f>IF(ISBLANK(F258),IF(ISBLANK(H258),"",0),CODE(UPPER(F258)))</f>
        <v/>
      </c>
      <c r="H258" s="7"/>
      <c r="I258" s="7">
        <f>IF(H258&gt;0,H258+Y258+X258+AC258,0)</f>
        <v>0</v>
      </c>
      <c r="J258" s="113">
        <f>IF(K258&gt;I258,IF(I258&lt;H258,I258+1,I258)-B_WalkTime,IF(I258&lt;H258,I258+1,I258))</f>
        <v>0</v>
      </c>
      <c r="K258" s="7"/>
      <c r="L258" s="7">
        <f>IF(K258&gt;0,K258+IF((J258-H258)&lt;Y258,Y258-(J258-H258),TIME(0,10,0))+IF((K258-J258)&gt;xNoWorkTime,0,xNoWorkTime-(K258-J258)),0)</f>
        <v>0</v>
      </c>
      <c r="M258" s="113">
        <f>IF(L258&lt;K258,L258+1,L258)</f>
        <v>0</v>
      </c>
      <c r="N258" s="113"/>
      <c r="O258" s="113">
        <f>IF(N258&gt;0,N258+IF((J258-H258+M258-K258)&lt;Y258,Y258-(J258-H258+M258-K258),TIME(0,10,0))+IF((K258-J258+N258-M258)&gt;xNoWorkTime,0,xNoWorkTime-(K258-J258+N258-M258)),0)</f>
        <v>0</v>
      </c>
      <c r="P258" s="113"/>
      <c r="Q258" s="113">
        <f>IF(O258&lt;N258,O258+1,O258)</f>
        <v>0</v>
      </c>
      <c r="R258" s="113">
        <f>J258-H258+M258-K258+Q258-N258</f>
        <v>0</v>
      </c>
      <c r="S258" s="113">
        <f>IF(K258&gt;0,K258-I258,0)+IF(N258&gt;0,N258-L258)</f>
        <v>0</v>
      </c>
      <c r="T258" s="113">
        <f>IF(H258&gt;0,(IF(R258&gt;B_Pause1Nach,B_Pause1Dauer+IF(BA258="Büro",B_WalkTime,0),IF(BA258="Büro",B_WalkTime,0))+IF(R258&gt;B_Pause2Nach,B_Pause2Dauer,0)),0)</f>
        <v>0</v>
      </c>
      <c r="U258" s="113">
        <f>IF(T258&gt;S258,T258-S258,0)</f>
        <v>0</v>
      </c>
      <c r="V258" s="146">
        <f>IF(F258="S",Z258,(IF((R258-U258)&gt;XWorkTimeMax,XWorkTimeMax,IF((R258-U258)&gt;0,R258-U258,0))))</f>
        <v>0</v>
      </c>
      <c r="W258" s="66"/>
      <c r="X258" s="115">
        <f>xNoWorkTime</f>
        <v>4.027777777777778E-2</v>
      </c>
      <c r="Y258" s="110">
        <f>IF(AND((AM258&lt;Feiertag),(G258&lt;&gt;85)),IF(OR(F258="B",F258="G",F258="S",H258&gt;0),H258-H258+Z258,0),0)</f>
        <v>0</v>
      </c>
      <c r="Z258" s="111">
        <f>IF(AND(AM258&gt;0,AM258&lt;Feiertag),INDEX(Arbeitszeit,AM258),"")</f>
        <v>0</v>
      </c>
      <c r="AA258" s="112">
        <f>V258-Y258</f>
        <v>0</v>
      </c>
      <c r="AB258" s="67" t="str">
        <f>IF((V258-Y258)&lt;0,"*","")</f>
        <v/>
      </c>
      <c r="AC258" s="193">
        <f>xOverTime</f>
        <v>0</v>
      </c>
      <c r="AD258" s="144" t="str">
        <f>IF((R258-U258)&gt;XWorkTimeMax,(R258-U258-XWorkTimeMax),"")</f>
        <v/>
      </c>
      <c r="AE258" s="225">
        <f>IF(AW258,(AE257+SUM(AA258)+(IF(AG258="+",AF258,-AF258))),)</f>
        <v>0</v>
      </c>
      <c r="AF258" s="110"/>
      <c r="AG258" s="627"/>
      <c r="AH258" s="110"/>
      <c r="AI258" s="110" t="str">
        <f>IF(AND(AF258&lt;&gt;"",AF258&lt;=V258),V258-AF258,"")</f>
        <v/>
      </c>
      <c r="AJ258" s="68">
        <f>IF(ISNUMBER(V258 ), IF( V258 &gt;= Y258, Y258, V258 ),"")</f>
        <v>0</v>
      </c>
      <c r="AK258" s="68">
        <f>IF( ISNUMBER( V258 ), IF( V258 &gt;= Y258, V258 - Y258, "" ), "" )</f>
        <v>0</v>
      </c>
      <c r="AL258" s="68" t="str">
        <f>IF( AND(ISNUMBER( V258 ),ISNUMBER( Y258 )), IF( V258 &gt;= Y258, "", Y258 - V258 ), "" )</f>
        <v/>
      </c>
      <c r="AM258">
        <f>IF(A258="",0,IF(ISERROR(VLOOKUP(A258,db_Feiertag,2,FALSE)),WEEKDAY(A258,2),Feiertag))</f>
        <v>7</v>
      </c>
      <c r="AN258" s="122">
        <f>SUM($AD$6:AD258)</f>
        <v>0</v>
      </c>
      <c r="AO258" s="122">
        <f ca="1">IF(D258=D257,AO257,OFFSET(AO258,-1,COLUMN(db_jSaldoGes)-COLUMN()))</f>
        <v>0</v>
      </c>
      <c r="AP258" s="126">
        <f>IF(OR($G258=-1,$G258=82),-1,IF(OR($G258=0,$G258=83),1,0))</f>
        <v>0</v>
      </c>
      <c r="AQ258" s="126">
        <f>IF($F258=Krank,1,IF($F258="J",-1,0))</f>
        <v>0</v>
      </c>
      <c r="AR258" s="126">
        <f>IF($F258=Urlaub,1,IF($F258="T",-1,0))</f>
        <v>0</v>
      </c>
      <c r="AS258" s="125">
        <f>IF(A258="","",AS257-IF(F258=Urlaub,1,0)+IF(AND(MONTH(A258)=1,DAY(A258)=1),B_UrlaubNeu,0))</f>
        <v>30</v>
      </c>
      <c r="AT258" s="125">
        <f ca="1">IF(A258="","",IF(D258=D257,AT257,OFFSET(AT258,-1,COLUMN(db_jUrlRest)-COLUMN()))+IF(AND(MONTH(A258)=1,DAY(A258)=1),B_UrlaubNeu,0))</f>
        <v>30</v>
      </c>
      <c r="AU258" s="135">
        <f>(IF(ISNUMBER(V258),V258,0)+IF(ISNUMBER(AD258),AD258,0))*24</f>
        <v>0</v>
      </c>
      <c r="AV258" s="125">
        <f>IF(ISNUMBER(AD258),K_ArbeitOverMax,IF(AND(ISNUMBER(AA258),AA258&gt;0),K_ArbeitOverTime,IF(AND(ISNUMBER(V258),V258&gt;0),K_ArbeitNormal,IF(F258=Krank,K_Krank,IF(F258=Urlaub,K_Urlaub,IF(AM258=Feiertag,K_Feiertag,IF(OR(AM258=6,AM258=7),K_Wochenende,0)))))))+IF(F258=Gleittag,K_Gleittag,0)</f>
        <v>7</v>
      </c>
      <c r="AW258" t="b">
        <f>OR((F258&gt;0),(NOT(ISBLANK(H258))),SUM(H258:H$373),SUM(G258:G$373))</f>
        <v>0</v>
      </c>
      <c r="AX258" t="b">
        <f ca="1">INDIRECT(ADDRESS(ROW(),COLUMN(xDay)))&gt;5</f>
        <v>1</v>
      </c>
      <c r="AY258" s="600">
        <f>IF(OR(R258&lt;&gt;0,F258&lt;&gt;0),AA258,IF(Z258="",0,-Z258))+(IF(AG258="+",AF258,-AF258))</f>
        <v>0</v>
      </c>
      <c r="AZ258" s="225">
        <f>SUM(AY$5:AY258)</f>
        <v>-50.458333333333236</v>
      </c>
      <c r="BA258" s="643"/>
      <c r="BB258" s="658">
        <f>IF(ISNA(MATCH(BA258,B_Arbeitsort,0)),0,MATCH(BA258,B_Arbeitsort,0))</f>
        <v>0</v>
      </c>
      <c r="BC258" s="643"/>
    </row>
    <row r="259" spans="1:55" ht="15.75">
      <c r="A259" s="305">
        <f>IF(A258="","",IF((A258+1)&gt;=DATE(YEAR(xJahr)+1,MONTH(xJahr),DAY(xJahr)),"",A258+1))</f>
        <v>43718</v>
      </c>
      <c r="B259" s="306">
        <f>IF(A259="","",A259)</f>
        <v>43718</v>
      </c>
      <c r="C259" s="307">
        <f>IF(A259="","",NumberOfWeek(A259))</f>
        <v>37</v>
      </c>
      <c r="D259" s="308">
        <f>IF(A259="","",DATE(YEAR(A259),MONTH(A259),1))</f>
        <v>43708</v>
      </c>
      <c r="E259" s="318" t="str">
        <f>IF((R259-U259)&gt;XWorkTimeMax,$Z$4,IF(AV259=Feiertag,VLOOKUP(B259,db_Feiertag,2,FALSE),""))</f>
        <v/>
      </c>
      <c r="F259" s="5"/>
      <c r="G259" s="6" t="str">
        <f>IF(ISBLANK(F259),IF(ISBLANK(H259),"",0),CODE(UPPER(F259)))</f>
        <v/>
      </c>
      <c r="H259" s="7"/>
      <c r="I259" s="7">
        <f>IF(H259&gt;0,H259+Y259+X259+AC259,0)</f>
        <v>0</v>
      </c>
      <c r="J259" s="113">
        <f>IF(K259&gt;I259,IF(I259&lt;H259,I259+1,I259)-B_WalkTime,IF(I259&lt;H259,I259+1,I259))</f>
        <v>0</v>
      </c>
      <c r="K259" s="7"/>
      <c r="L259" s="7">
        <f>IF(K259&gt;0,K259+IF((J259-H259)&lt;Y259,Y259-(J259-H259),TIME(0,10,0))+IF((K259-J259)&gt;xNoWorkTime,0,xNoWorkTime-(K259-J259)),0)</f>
        <v>0</v>
      </c>
      <c r="M259" s="113">
        <f>IF(L259&lt;K259,L259+1,L259)</f>
        <v>0</v>
      </c>
      <c r="N259" s="113"/>
      <c r="O259" s="113">
        <f>IF(N259&gt;0,N259+IF((J259-H259+M259-K259)&lt;Y259,Y259-(J259-H259+M259-K259),TIME(0,10,0))+IF((K259-J259+N259-M259)&gt;xNoWorkTime,0,xNoWorkTime-(K259-J259+N259-M259)),0)</f>
        <v>0</v>
      </c>
      <c r="P259" s="113"/>
      <c r="Q259" s="113">
        <f>IF(O259&lt;N259,O259+1,O259)</f>
        <v>0</v>
      </c>
      <c r="R259" s="113">
        <f>J259-H259+M259-K259+Q259-N259</f>
        <v>0</v>
      </c>
      <c r="S259" s="113">
        <f>IF(K259&gt;0,K259-I259,0)+IF(N259&gt;0,N259-L259)</f>
        <v>0</v>
      </c>
      <c r="T259" s="113">
        <f>IF(H259&gt;0,(IF(R259&gt;B_Pause1Nach,B_Pause1Dauer+IF(BA259="Büro",B_WalkTime,0),IF(BA259="Büro",B_WalkTime,0))+IF(R259&gt;B_Pause2Nach,B_Pause2Dauer,0)),0)</f>
        <v>0</v>
      </c>
      <c r="U259" s="113">
        <f>IF(T259&gt;S259,T259-S259,0)</f>
        <v>0</v>
      </c>
      <c r="V259" s="146">
        <f>IF(F259="S",Z259,(IF((R259-U259)&gt;XWorkTimeMax,XWorkTimeMax,IF((R259-U259)&gt;0,R259-U259,0))))</f>
        <v>0</v>
      </c>
      <c r="W259" s="66"/>
      <c r="X259" s="115">
        <f>xNoWorkTime</f>
        <v>4.027777777777778E-2</v>
      </c>
      <c r="Y259" s="110">
        <f>IF(AND((AM259&lt;Feiertag),(G259&lt;&gt;85)),IF(OR(F259="B",F259="G",F259="S",H259&gt;0),H259-H259+Z259,0),0)</f>
        <v>0</v>
      </c>
      <c r="Z259" s="111">
        <f>IF(AND(AM259&gt;0,AM259&lt;Feiertag),INDEX(Arbeitszeit,AM259),"")</f>
        <v>0.29166666666666669</v>
      </c>
      <c r="AA259" s="112">
        <f>V259-Y259</f>
        <v>0</v>
      </c>
      <c r="AB259" s="67" t="str">
        <f>IF((V259-Y259)&lt;0,"*","")</f>
        <v/>
      </c>
      <c r="AC259" s="193">
        <f>xOverTime</f>
        <v>0</v>
      </c>
      <c r="AD259" s="144" t="str">
        <f>IF((R259-U259)&gt;XWorkTimeMax,(R259-U259-XWorkTimeMax),"")</f>
        <v/>
      </c>
      <c r="AE259" s="225">
        <f>IF(AW259,(AE258+SUM(AA259)+(IF(AG259="+",AF259,-AF259))),)</f>
        <v>0</v>
      </c>
      <c r="AF259" s="110"/>
      <c r="AG259" s="627"/>
      <c r="AH259" s="110"/>
      <c r="AI259" s="110" t="str">
        <f>IF(AND(AF259&lt;&gt;"",AF259&lt;=V259),V259-AF259,"")</f>
        <v/>
      </c>
      <c r="AJ259" s="68">
        <f>IF(ISNUMBER(V259 ), IF( V259 &gt;= Y259, Y259, V259 ),"")</f>
        <v>0</v>
      </c>
      <c r="AK259" s="68">
        <f>IF( ISNUMBER( V259 ), IF( V259 &gt;= Y259, V259 - Y259, "" ), "" )</f>
        <v>0</v>
      </c>
      <c r="AL259" s="68" t="str">
        <f>IF( AND(ISNUMBER( V259 ),ISNUMBER( Y259 )), IF( V259 &gt;= Y259, "", Y259 - V259 ), "" )</f>
        <v/>
      </c>
      <c r="AM259">
        <f>IF(A259="",0,IF(ISERROR(VLOOKUP(A259,db_Feiertag,2,FALSE)),WEEKDAY(A259,2),Feiertag))</f>
        <v>1</v>
      </c>
      <c r="AN259" s="122">
        <f>SUM($AD$6:AD259)</f>
        <v>0</v>
      </c>
      <c r="AO259" s="122">
        <f ca="1">IF(D259=D258,AO258,OFFSET(AO259,-1,COLUMN(db_jSaldoGes)-COLUMN()))</f>
        <v>0</v>
      </c>
      <c r="AP259" s="126">
        <f>IF(OR($G259=-1,$G259=82),-1,IF(OR($G259=0,$G259=83),1,0))</f>
        <v>0</v>
      </c>
      <c r="AQ259" s="126">
        <f>IF($F259=Krank,1,IF($F259="J",-1,0))</f>
        <v>0</v>
      </c>
      <c r="AR259" s="126">
        <f>IF($F259=Urlaub,1,IF($F259="T",-1,0))</f>
        <v>0</v>
      </c>
      <c r="AS259" s="125">
        <f>IF(A259="","",AS258-IF(F259=Urlaub,1,0)+IF(AND(MONTH(A259)=1,DAY(A259)=1),B_UrlaubNeu,0))</f>
        <v>30</v>
      </c>
      <c r="AT259" s="125">
        <f ca="1">IF(A259="","",IF(D259=D258,AT258,OFFSET(AT259,-1,COLUMN(db_jUrlRest)-COLUMN()))+IF(AND(MONTH(A259)=1,DAY(A259)=1),B_UrlaubNeu,0))</f>
        <v>30</v>
      </c>
      <c r="AU259" s="135">
        <f>(IF(ISNUMBER(V259),V259,0)+IF(ISNUMBER(AD259),AD259,0))*24</f>
        <v>0</v>
      </c>
      <c r="AV259" s="125">
        <f>IF(ISNUMBER(AD259),K_ArbeitOverMax,IF(AND(ISNUMBER(AA259),AA259&gt;0),K_ArbeitOverTime,IF(AND(ISNUMBER(V259),V259&gt;0),K_ArbeitNormal,IF(F259=Krank,K_Krank,IF(F259=Urlaub,K_Urlaub,IF(AM259=Feiertag,K_Feiertag,IF(OR(AM259=6,AM259=7),K_Wochenende,0)))))))+IF(F259=Gleittag,K_Gleittag,0)</f>
        <v>0</v>
      </c>
      <c r="AW259" t="b">
        <f>OR((F259&gt;0),(NOT(ISBLANK(H259))),SUM(H259:H$373),SUM(G259:G$373))</f>
        <v>0</v>
      </c>
      <c r="AX259" t="b">
        <f ca="1">INDIRECT(ADDRESS(ROW(),COLUMN(xDay)))&gt;5</f>
        <v>0</v>
      </c>
      <c r="AY259" s="600">
        <f>IF(OR(R259&lt;&gt;0,F259&lt;&gt;0),AA259,IF(Z259="",0,-Z259))+(IF(AG259="+",AF259,-AF259))</f>
        <v>-0.29166666666666669</v>
      </c>
      <c r="AZ259" s="225">
        <f>SUM(AY$5:AY259)</f>
        <v>-50.749999999999901</v>
      </c>
      <c r="BA259" s="658"/>
      <c r="BB259" s="658">
        <f>IF(ISNA(MATCH(BA259,B_Arbeitsort,0)),0,MATCH(BA259,B_Arbeitsort,0))</f>
        <v>0</v>
      </c>
      <c r="BC259" s="658"/>
    </row>
    <row r="260" spans="1:55" ht="15.75">
      <c r="A260" s="305">
        <f>IF(A259="","",IF((A259+1)&gt;=DATE(YEAR(xJahr)+1,MONTH(xJahr),DAY(xJahr)),"",A259+1))</f>
        <v>43719</v>
      </c>
      <c r="B260" s="306">
        <f>IF(A260="","",A260)</f>
        <v>43719</v>
      </c>
      <c r="C260" s="307">
        <f>IF(A260="","",NumberOfWeek(A260))</f>
        <v>37</v>
      </c>
      <c r="D260" s="308">
        <f>IF(A260="","",DATE(YEAR(A260),MONTH(A260),1))</f>
        <v>43708</v>
      </c>
      <c r="E260" s="318" t="str">
        <f>IF((R260-U260)&gt;XWorkTimeMax,$Z$4,IF(AV260=Feiertag,VLOOKUP(B260,db_Feiertag,2,FALSE),""))</f>
        <v/>
      </c>
      <c r="F260" s="5"/>
      <c r="G260" s="6" t="str">
        <f>IF(ISBLANK(F260),IF(ISBLANK(H260),"",0),CODE(UPPER(F260)))</f>
        <v/>
      </c>
      <c r="H260" s="7"/>
      <c r="I260" s="7">
        <f>IF(H260&gt;0,H260+Y260+X260+AC260,0)</f>
        <v>0</v>
      </c>
      <c r="J260" s="113">
        <f>IF(K260&gt;I260,IF(I260&lt;H260,I260+1,I260)-B_WalkTime,IF(I260&lt;H260,I260+1,I260))</f>
        <v>0</v>
      </c>
      <c r="K260" s="7"/>
      <c r="L260" s="7">
        <f>IF(K260&gt;0,K260+IF((J260-H260)&lt;Y260,Y260-(J260-H260),TIME(0,10,0))+IF((K260-J260)&gt;xNoWorkTime,0,xNoWorkTime-(K260-J260)),0)</f>
        <v>0</v>
      </c>
      <c r="M260" s="113">
        <f>IF(L260&lt;K260,L260+1,L260)</f>
        <v>0</v>
      </c>
      <c r="N260" s="113"/>
      <c r="O260" s="113">
        <f>IF(N260&gt;0,N260+IF((J260-H260+M260-K260)&lt;Y260,Y260-(J260-H260+M260-K260),TIME(0,10,0))+IF((K260-J260+N260-M260)&gt;xNoWorkTime,0,xNoWorkTime-(K260-J260+N260-M260)),0)</f>
        <v>0</v>
      </c>
      <c r="P260" s="113"/>
      <c r="Q260" s="113">
        <f>IF(O260&lt;N260,O260+1,O260)</f>
        <v>0</v>
      </c>
      <c r="R260" s="113">
        <f>J260-H260+M260-K260+Q260-N260</f>
        <v>0</v>
      </c>
      <c r="S260" s="113">
        <f>IF(K260&gt;0,K260-I260,0)+IF(N260&gt;0,N260-L260)</f>
        <v>0</v>
      </c>
      <c r="T260" s="113">
        <f>IF(H260&gt;0,(IF(R260&gt;B_Pause1Nach,B_Pause1Dauer+IF(BA260="Büro",B_WalkTime,0),IF(BA260="Büro",B_WalkTime,0))+IF(R260&gt;B_Pause2Nach,B_Pause2Dauer,0)),0)</f>
        <v>0</v>
      </c>
      <c r="U260" s="113">
        <f>IF(T260&gt;S260,T260-S260,0)</f>
        <v>0</v>
      </c>
      <c r="V260" s="146">
        <f>IF(F260="S",Z260,(IF((R260-U260)&gt;XWorkTimeMax,XWorkTimeMax,IF((R260-U260)&gt;0,R260-U260,0))))</f>
        <v>0</v>
      </c>
      <c r="W260" s="66"/>
      <c r="X260" s="115">
        <f>xNoWorkTime</f>
        <v>4.027777777777778E-2</v>
      </c>
      <c r="Y260" s="110">
        <f>IF(AND((AM260&lt;Feiertag),(G260&lt;&gt;85)),IF(OR(F260="B",F260="G",F260="S",H260&gt;0),H260-H260+Z260,0),0)</f>
        <v>0</v>
      </c>
      <c r="Z260" s="111">
        <f>IF(AND(AM260&gt;0,AM260&lt;Feiertag),INDEX(Arbeitszeit,AM260),"")</f>
        <v>0.29166666666666669</v>
      </c>
      <c r="AA260" s="112">
        <f>V260-Y260</f>
        <v>0</v>
      </c>
      <c r="AB260" s="67" t="str">
        <f>IF((V260-Y260)&lt;0,"*","")</f>
        <v/>
      </c>
      <c r="AC260" s="193">
        <f>xOverTime</f>
        <v>0</v>
      </c>
      <c r="AD260" s="144" t="str">
        <f>IF((R260-U260)&gt;XWorkTimeMax,(R260-U260-XWorkTimeMax),"")</f>
        <v/>
      </c>
      <c r="AE260" s="225">
        <f>IF(AW260,(AE259+SUM(AA260)+(IF(AG260="+",AF260,-AF260))),)</f>
        <v>0</v>
      </c>
      <c r="AF260" s="110"/>
      <c r="AG260" s="627"/>
      <c r="AH260" s="110"/>
      <c r="AI260" s="110" t="str">
        <f>IF(AND(AF260&lt;&gt;"",AF260&lt;=V260),V260-AF260,"")</f>
        <v/>
      </c>
      <c r="AJ260" s="68">
        <f>IF(ISNUMBER(V260 ), IF( V260 &gt;= Y260, Y260, V260 ),"")</f>
        <v>0</v>
      </c>
      <c r="AK260" s="68">
        <f>IF( ISNUMBER( V260 ), IF( V260 &gt;= Y260, V260 - Y260, "" ), "" )</f>
        <v>0</v>
      </c>
      <c r="AL260" s="68" t="str">
        <f>IF( AND(ISNUMBER( V260 ),ISNUMBER( Y260 )), IF( V260 &gt;= Y260, "", Y260 - V260 ), "" )</f>
        <v/>
      </c>
      <c r="AM260">
        <f>IF(A260="",0,IF(ISERROR(VLOOKUP(A260,db_Feiertag,2,FALSE)),WEEKDAY(A260,2),Feiertag))</f>
        <v>2</v>
      </c>
      <c r="AN260" s="122">
        <f>SUM($AD$6:AD260)</f>
        <v>0</v>
      </c>
      <c r="AO260" s="122">
        <f ca="1">IF(D260=D259,AO259,OFFSET(AO260,-1,COLUMN(db_jSaldoGes)-COLUMN()))</f>
        <v>0</v>
      </c>
      <c r="AP260" s="126">
        <f>IF(OR($G260=-1,$G260=82),-1,IF(OR($G260=0,$G260=83),1,0))</f>
        <v>0</v>
      </c>
      <c r="AQ260" s="126">
        <f>IF($F260=Krank,1,IF($F260="J",-1,0))</f>
        <v>0</v>
      </c>
      <c r="AR260" s="126">
        <f>IF($F260=Urlaub,1,IF($F260="T",-1,0))</f>
        <v>0</v>
      </c>
      <c r="AS260" s="125">
        <f>IF(A260="","",AS259-IF(F260=Urlaub,1,0)+IF(AND(MONTH(A260)=1,DAY(A260)=1),B_UrlaubNeu,0))</f>
        <v>30</v>
      </c>
      <c r="AT260" s="125">
        <f ca="1">IF(A260="","",IF(D260=D259,AT259,OFFSET(AT260,-1,COLUMN(db_jUrlRest)-COLUMN()))+IF(AND(MONTH(A260)=1,DAY(A260)=1),B_UrlaubNeu,0))</f>
        <v>30</v>
      </c>
      <c r="AU260" s="135">
        <f>(IF(ISNUMBER(V260),V260,0)+IF(ISNUMBER(AD260),AD260,0))*24</f>
        <v>0</v>
      </c>
      <c r="AV260" s="125">
        <f>IF(ISNUMBER(AD260),K_ArbeitOverMax,IF(AND(ISNUMBER(AA260),AA260&gt;0),K_ArbeitOverTime,IF(AND(ISNUMBER(V260),V260&gt;0),K_ArbeitNormal,IF(F260=Krank,K_Krank,IF(F260=Urlaub,K_Urlaub,IF(AM260=Feiertag,K_Feiertag,IF(OR(AM260=6,AM260=7),K_Wochenende,0)))))))+IF(F260=Gleittag,K_Gleittag,0)</f>
        <v>0</v>
      </c>
      <c r="AW260" t="b">
        <f>OR((F260&gt;0),(NOT(ISBLANK(H260))),SUM(H260:H$373),SUM(G260:G$373))</f>
        <v>0</v>
      </c>
      <c r="AX260" t="b">
        <f ca="1">INDIRECT(ADDRESS(ROW(),COLUMN(xDay)))&gt;5</f>
        <v>0</v>
      </c>
      <c r="AY260" s="600">
        <f>IF(OR(R260&lt;&gt;0,F260&lt;&gt;0),AA260,IF(Z260="",0,-Z260))+(IF(AG260="+",AF260,-AF260))</f>
        <v>-0.29166666666666669</v>
      </c>
      <c r="AZ260" s="225">
        <f>SUM(AY$5:AY260)</f>
        <v>-51.041666666666565</v>
      </c>
      <c r="BA260" s="658"/>
      <c r="BB260" s="658">
        <f>IF(ISNA(MATCH(BA260,B_Arbeitsort,0)),0,MATCH(BA260,B_Arbeitsort,0))</f>
        <v>0</v>
      </c>
      <c r="BC260" s="658"/>
    </row>
    <row r="261" spans="1:55" ht="15.75">
      <c r="A261" s="305">
        <f>IF(A260="","",IF((A260+1)&gt;=DATE(YEAR(xJahr)+1,MONTH(xJahr),DAY(xJahr)),"",A260+1))</f>
        <v>43720</v>
      </c>
      <c r="B261" s="306">
        <f>IF(A261="","",A261)</f>
        <v>43720</v>
      </c>
      <c r="C261" s="307">
        <f>IF(A261="","",NumberOfWeek(A261))</f>
        <v>37</v>
      </c>
      <c r="D261" s="308">
        <f>IF(A261="","",DATE(YEAR(A261),MONTH(A261),1))</f>
        <v>43708</v>
      </c>
      <c r="E261" s="318" t="str">
        <f>IF((R261-U261)&gt;XWorkTimeMax,$Z$4,IF(AV261=Feiertag,VLOOKUP(B261,db_Feiertag,2,FALSE),""))</f>
        <v/>
      </c>
      <c r="F261" s="5"/>
      <c r="G261" s="6" t="str">
        <f>IF(ISBLANK(F261),IF(ISBLANK(H261),"",0),CODE(UPPER(F261)))</f>
        <v/>
      </c>
      <c r="H261" s="7"/>
      <c r="I261" s="7">
        <f>IF(H261&gt;0,H261+Y261+X261+AC261,0)</f>
        <v>0</v>
      </c>
      <c r="J261" s="113">
        <f>IF(K261&gt;I261,IF(I261&lt;H261,I261+1,I261)-B_WalkTime,IF(I261&lt;H261,I261+1,I261))</f>
        <v>0</v>
      </c>
      <c r="K261" s="7"/>
      <c r="L261" s="7">
        <f>IF(K261&gt;0,K261+IF((J261-H261)&lt;Y261,Y261-(J261-H261),TIME(0,10,0))+IF((K261-J261)&gt;xNoWorkTime,0,xNoWorkTime-(K261-J261)),0)</f>
        <v>0</v>
      </c>
      <c r="M261" s="113">
        <f>IF(L261&lt;K261,L261+1,L261)</f>
        <v>0</v>
      </c>
      <c r="N261" s="113"/>
      <c r="O261" s="113">
        <f>IF(N261&gt;0,N261+IF((J261-H261+M261-K261)&lt;Y261,Y261-(J261-H261+M261-K261),TIME(0,10,0))+IF((K261-J261+N261-M261)&gt;xNoWorkTime,0,xNoWorkTime-(K261-J261+N261-M261)),0)</f>
        <v>0</v>
      </c>
      <c r="P261" s="113"/>
      <c r="Q261" s="113">
        <f>IF(O261&lt;N261,O261+1,O261)</f>
        <v>0</v>
      </c>
      <c r="R261" s="113">
        <f>J261-H261+M261-K261+Q261-N261</f>
        <v>0</v>
      </c>
      <c r="S261" s="113">
        <f>IF(K261&gt;0,K261-I261,0)+IF(N261&gt;0,N261-L261)</f>
        <v>0</v>
      </c>
      <c r="T261" s="113">
        <f>IF(H261&gt;0,(IF(R261&gt;B_Pause1Nach,B_Pause1Dauer+IF(BA261="Büro",B_WalkTime,0),IF(BA261="Büro",B_WalkTime,0))+IF(R261&gt;B_Pause2Nach,B_Pause2Dauer,0)),0)</f>
        <v>0</v>
      </c>
      <c r="U261" s="113">
        <f>IF(T261&gt;S261,T261-S261,0)</f>
        <v>0</v>
      </c>
      <c r="V261" s="146">
        <f>IF(F261="S",Z261,(IF((R261-U261)&gt;XWorkTimeMax,XWorkTimeMax,IF((R261-U261)&gt;0,R261-U261,0))))</f>
        <v>0</v>
      </c>
      <c r="W261" s="66"/>
      <c r="X261" s="115">
        <f>xNoWorkTime</f>
        <v>4.027777777777778E-2</v>
      </c>
      <c r="Y261" s="110">
        <f>IF(AND((AM261&lt;Feiertag),(G261&lt;&gt;85)),IF(OR(F261="B",F261="G",F261="S",H261&gt;0),H261-H261+Z261,0),0)</f>
        <v>0</v>
      </c>
      <c r="Z261" s="111">
        <f>IF(AND(AM261&gt;0,AM261&lt;Feiertag),INDEX(Arbeitszeit,AM261),"")</f>
        <v>0.29166666666666669</v>
      </c>
      <c r="AA261" s="112">
        <f>V261-Y261</f>
        <v>0</v>
      </c>
      <c r="AB261" s="67" t="str">
        <f>IF((V261-Y261)&lt;0,"*","")</f>
        <v/>
      </c>
      <c r="AC261" s="193">
        <f>xOverTime</f>
        <v>0</v>
      </c>
      <c r="AD261" s="144" t="str">
        <f>IF((R261-U261)&gt;XWorkTimeMax,(R261-U261-XWorkTimeMax),"")</f>
        <v/>
      </c>
      <c r="AE261" s="225">
        <f>IF(AW261,(AE260+SUM(AA261)+(IF(AG261="+",AF261,-AF261))),)</f>
        <v>0</v>
      </c>
      <c r="AF261" s="110"/>
      <c r="AG261" s="627"/>
      <c r="AH261" s="110"/>
      <c r="AI261" s="110" t="str">
        <f>IF(AND(AF261&lt;&gt;"",AF261&lt;=V261),V261-AF261,"")</f>
        <v/>
      </c>
      <c r="AJ261" s="68">
        <f>IF(ISNUMBER(V261 ), IF( V261 &gt;= Y261, Y261, V261 ),"")</f>
        <v>0</v>
      </c>
      <c r="AK261" s="68">
        <f>IF( ISNUMBER( V261 ), IF( V261 &gt;= Y261, V261 - Y261, "" ), "" )</f>
        <v>0</v>
      </c>
      <c r="AL261" s="68" t="str">
        <f>IF( AND(ISNUMBER( V261 ),ISNUMBER( Y261 )), IF( V261 &gt;= Y261, "", Y261 - V261 ), "" )</f>
        <v/>
      </c>
      <c r="AM261">
        <f>IF(A261="",0,IF(ISERROR(VLOOKUP(A261,db_Feiertag,2,FALSE)),WEEKDAY(A261,2),Feiertag))</f>
        <v>3</v>
      </c>
      <c r="AN261" s="122">
        <f>SUM($AD$6:AD261)</f>
        <v>0</v>
      </c>
      <c r="AO261" s="122">
        <f ca="1">IF(D261=D260,AO260,OFFSET(AO261,-1,COLUMN(db_jSaldoGes)-COLUMN()))</f>
        <v>0</v>
      </c>
      <c r="AP261" s="126">
        <f>IF(OR($G261=-1,$G261=82),-1,IF(OR($G261=0,$G261=83),1,0))</f>
        <v>0</v>
      </c>
      <c r="AQ261" s="126">
        <f>IF($F261=Krank,1,IF($F261="J",-1,0))</f>
        <v>0</v>
      </c>
      <c r="AR261" s="126">
        <f>IF($F261=Urlaub,1,IF($F261="T",-1,0))</f>
        <v>0</v>
      </c>
      <c r="AS261" s="125">
        <f>IF(A261="","",AS260-IF(F261=Urlaub,1,0)+IF(AND(MONTH(A261)=1,DAY(A261)=1),B_UrlaubNeu,0))</f>
        <v>30</v>
      </c>
      <c r="AT261" s="125">
        <f ca="1">IF(A261="","",IF(D261=D260,AT260,OFFSET(AT261,-1,COLUMN(db_jUrlRest)-COLUMN()))+IF(AND(MONTH(A261)=1,DAY(A261)=1),B_UrlaubNeu,0))</f>
        <v>30</v>
      </c>
      <c r="AU261" s="135">
        <f>(IF(ISNUMBER(V261),V261,0)+IF(ISNUMBER(AD261),AD261,0))*24</f>
        <v>0</v>
      </c>
      <c r="AV261" s="125">
        <f>IF(ISNUMBER(AD261),K_ArbeitOverMax,IF(AND(ISNUMBER(AA261),AA261&gt;0),K_ArbeitOverTime,IF(AND(ISNUMBER(V261),V261&gt;0),K_ArbeitNormal,IF(F261=Krank,K_Krank,IF(F261=Urlaub,K_Urlaub,IF(AM261=Feiertag,K_Feiertag,IF(OR(AM261=6,AM261=7),K_Wochenende,0)))))))+IF(F261=Gleittag,K_Gleittag,0)</f>
        <v>0</v>
      </c>
      <c r="AW261" t="b">
        <f>OR((F261&gt;0),(NOT(ISBLANK(H261))),SUM(H261:H$373),SUM(G261:G$373))</f>
        <v>0</v>
      </c>
      <c r="AX261" t="b">
        <f ca="1">INDIRECT(ADDRESS(ROW(),COLUMN(xDay)))&gt;5</f>
        <v>0</v>
      </c>
      <c r="AY261" s="600">
        <f>IF(OR(R261&lt;&gt;0,F261&lt;&gt;0),AA261,IF(Z261="",0,-Z261))+(IF(AG261="+",AF261,-AF261))</f>
        <v>-0.29166666666666669</v>
      </c>
      <c r="AZ261" s="225">
        <f>SUM(AY$5:AY261)</f>
        <v>-51.333333333333229</v>
      </c>
      <c r="BA261" s="658"/>
      <c r="BB261" s="658">
        <f>IF(ISNA(MATCH(BA261,B_Arbeitsort,0)),0,MATCH(BA261,B_Arbeitsort,0))</f>
        <v>0</v>
      </c>
      <c r="BC261" s="658"/>
    </row>
    <row r="262" spans="1:55" ht="15.75">
      <c r="A262" s="305">
        <f>IF(A261="","",IF((A261+1)&gt;=DATE(YEAR(xJahr)+1,MONTH(xJahr),DAY(xJahr)),"",A261+1))</f>
        <v>43721</v>
      </c>
      <c r="B262" s="306">
        <f>IF(A262="","",A262)</f>
        <v>43721</v>
      </c>
      <c r="C262" s="307">
        <f>IF(A262="","",NumberOfWeek(A262))</f>
        <v>37</v>
      </c>
      <c r="D262" s="308">
        <f>IF(A262="","",DATE(YEAR(A262),MONTH(A262),1))</f>
        <v>43708</v>
      </c>
      <c r="E262" s="318" t="str">
        <f>IF((R262-U262)&gt;XWorkTimeMax,$Z$4,IF(AV262=Feiertag,VLOOKUP(B262,db_Feiertag,2,FALSE),""))</f>
        <v/>
      </c>
      <c r="F262" s="5"/>
      <c r="G262" s="6" t="str">
        <f>IF(ISBLANK(F262),IF(ISBLANK(H262),"",0),CODE(UPPER(F262)))</f>
        <v/>
      </c>
      <c r="H262" s="7"/>
      <c r="I262" s="7">
        <f>IF(H262&gt;0,H262+Y262+X262+AC262,0)</f>
        <v>0</v>
      </c>
      <c r="J262" s="113">
        <f>IF(K262&gt;I262,IF(I262&lt;H262,I262+1,I262)-B_WalkTime,IF(I262&lt;H262,I262+1,I262))</f>
        <v>0</v>
      </c>
      <c r="K262" s="7"/>
      <c r="L262" s="7">
        <f>IF(K262&gt;0,K262+IF((J262-H262)&lt;Y262,Y262-(J262-H262),TIME(0,10,0))+IF((K262-J262)&gt;xNoWorkTime,0,xNoWorkTime-(K262-J262)),0)</f>
        <v>0</v>
      </c>
      <c r="M262" s="113">
        <f>IF(L262&lt;K262,L262+1,L262)</f>
        <v>0</v>
      </c>
      <c r="N262" s="113"/>
      <c r="O262" s="113">
        <f>IF(N262&gt;0,N262+IF((J262-H262+M262-K262)&lt;Y262,Y262-(J262-H262+M262-K262),TIME(0,10,0))+IF((K262-J262+N262-M262)&gt;xNoWorkTime,0,xNoWorkTime-(K262-J262+N262-M262)),0)</f>
        <v>0</v>
      </c>
      <c r="P262" s="113"/>
      <c r="Q262" s="113">
        <f>IF(O262&lt;N262,O262+1,O262)</f>
        <v>0</v>
      </c>
      <c r="R262" s="113">
        <f>J262-H262+M262-K262+Q262-N262</f>
        <v>0</v>
      </c>
      <c r="S262" s="113">
        <f>IF(K262&gt;0,K262-I262,0)+IF(N262&gt;0,N262-L262)</f>
        <v>0</v>
      </c>
      <c r="T262" s="113">
        <f>IF(H262&gt;0,(IF(R262&gt;B_Pause1Nach,B_Pause1Dauer+IF(BA262="Büro",B_WalkTime,0),IF(BA262="Büro",B_WalkTime,0))+IF(R262&gt;B_Pause2Nach,B_Pause2Dauer,0)),0)</f>
        <v>0</v>
      </c>
      <c r="U262" s="113">
        <f>IF(T262&gt;S262,T262-S262,0)</f>
        <v>0</v>
      </c>
      <c r="V262" s="146">
        <f>IF(F262="S",Z262,(IF((R262-U262)&gt;XWorkTimeMax,XWorkTimeMax,IF((R262-U262)&gt;0,R262-U262,0))))</f>
        <v>0</v>
      </c>
      <c r="W262" s="66"/>
      <c r="X262" s="115">
        <f>xNoWorkTime</f>
        <v>4.027777777777778E-2</v>
      </c>
      <c r="Y262" s="110">
        <f>IF(AND((AM262&lt;Feiertag),(G262&lt;&gt;85)),IF(OR(F262="B",F262="G",F262="S",H262&gt;0),H262-H262+Z262,0),0)</f>
        <v>0</v>
      </c>
      <c r="Z262" s="111">
        <f>IF(AND(AM262&gt;0,AM262&lt;Feiertag),INDEX(Arbeitszeit,AM262),"")</f>
        <v>0.29166666666666669</v>
      </c>
      <c r="AA262" s="112">
        <f>V262-Y262</f>
        <v>0</v>
      </c>
      <c r="AB262" s="67" t="str">
        <f>IF((V262-Y262)&lt;0,"*","")</f>
        <v/>
      </c>
      <c r="AC262" s="193">
        <f>xOverTime</f>
        <v>0</v>
      </c>
      <c r="AD262" s="144" t="str">
        <f>IF((R262-U262)&gt;XWorkTimeMax,(R262-U262-XWorkTimeMax),"")</f>
        <v/>
      </c>
      <c r="AE262" s="225">
        <f>IF(AW262,(AE261+SUM(AA262)+(IF(AG262="+",AF262,-AF262))),)</f>
        <v>0</v>
      </c>
      <c r="AF262" s="110"/>
      <c r="AG262" s="627"/>
      <c r="AH262" s="110"/>
      <c r="AI262" s="110" t="str">
        <f>IF(AND(AF262&lt;&gt;"",AF262&lt;=V262),V262-AF262,"")</f>
        <v/>
      </c>
      <c r="AJ262" s="68">
        <f>IF(ISNUMBER(V262 ), IF( V262 &gt;= Y262, Y262, V262 ),"")</f>
        <v>0</v>
      </c>
      <c r="AK262" s="68">
        <f>IF( ISNUMBER( V262 ), IF( V262 &gt;= Y262, V262 - Y262, "" ), "" )</f>
        <v>0</v>
      </c>
      <c r="AL262" s="68" t="str">
        <f>IF( AND(ISNUMBER( V262 ),ISNUMBER( Y262 )), IF( V262 &gt;= Y262, "", Y262 - V262 ), "" )</f>
        <v/>
      </c>
      <c r="AM262">
        <f>IF(A262="",0,IF(ISERROR(VLOOKUP(A262,db_Feiertag,2,FALSE)),WEEKDAY(A262,2),Feiertag))</f>
        <v>4</v>
      </c>
      <c r="AN262" s="122">
        <f>SUM($AD$6:AD262)</f>
        <v>0</v>
      </c>
      <c r="AO262" s="122">
        <f ca="1">IF(D262=D261,AO261,OFFSET(AO262,-1,COLUMN(db_jSaldoGes)-COLUMN()))</f>
        <v>0</v>
      </c>
      <c r="AP262" s="126">
        <f>IF(OR($G262=-1,$G262=82),-1,IF(OR($G262=0,$G262=83),1,0))</f>
        <v>0</v>
      </c>
      <c r="AQ262" s="126">
        <f>IF($F262=Krank,1,IF($F262="J",-1,0))</f>
        <v>0</v>
      </c>
      <c r="AR262" s="126">
        <f>IF($F262=Urlaub,1,IF($F262="T",-1,0))</f>
        <v>0</v>
      </c>
      <c r="AS262" s="125">
        <f>IF(A262="","",AS261-IF(F262=Urlaub,1,0)+IF(AND(MONTH(A262)=1,DAY(A262)=1),B_UrlaubNeu,0))</f>
        <v>30</v>
      </c>
      <c r="AT262" s="125">
        <f ca="1">IF(A262="","",IF(D262=D261,AT261,OFFSET(AT262,-1,COLUMN(db_jUrlRest)-COLUMN()))+IF(AND(MONTH(A262)=1,DAY(A262)=1),B_UrlaubNeu,0))</f>
        <v>30</v>
      </c>
      <c r="AU262" s="135">
        <f>(IF(ISNUMBER(V262),V262,0)+IF(ISNUMBER(AD262),AD262,0))*24</f>
        <v>0</v>
      </c>
      <c r="AV262" s="125">
        <f>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ca="1">INDIRECT(ADDRESS(ROW(),COLUMN(xDay)))&gt;5</f>
        <v>0</v>
      </c>
      <c r="AY262" s="600">
        <f>IF(OR(R262&lt;&gt;0,F262&lt;&gt;0),AA262,IF(Z262="",0,-Z262))+(IF(AG262="+",AF262,-AF262))</f>
        <v>-0.29166666666666669</v>
      </c>
      <c r="AZ262" s="225">
        <f>SUM(AY$5:AY262)</f>
        <v>-51.624999999999893</v>
      </c>
      <c r="BA262" s="658"/>
      <c r="BB262" s="658">
        <f>IF(ISNA(MATCH(BA262,B_Arbeitsort,0)),0,MATCH(BA262,B_Arbeitsort,0))</f>
        <v>0</v>
      </c>
      <c r="BC262" s="658"/>
    </row>
    <row r="263" spans="1:55" ht="15.75">
      <c r="A263" s="305">
        <f>IF(A262="","",IF((A262+1)&gt;=DATE(YEAR(xJahr)+1,MONTH(xJahr),DAY(xJahr)),"",A262+1))</f>
        <v>43722</v>
      </c>
      <c r="B263" s="306">
        <f>IF(A263="","",A263)</f>
        <v>43722</v>
      </c>
      <c r="C263" s="307">
        <f>IF(A263="","",NumberOfWeek(A263))</f>
        <v>37</v>
      </c>
      <c r="D263" s="308">
        <f>IF(A263="","",DATE(YEAR(A263),MONTH(A263),1))</f>
        <v>43708</v>
      </c>
      <c r="E263" s="318" t="str">
        <f>IF((R263-U263)&gt;XWorkTimeMax,$Z$4,IF(AV263=Feiertag,VLOOKUP(B263,db_Feiertag,2,FALSE),""))</f>
        <v/>
      </c>
      <c r="F263" s="5"/>
      <c r="G263" s="6" t="str">
        <f>IF(ISBLANK(F263),IF(ISBLANK(H263),"",0),CODE(UPPER(F263)))</f>
        <v/>
      </c>
      <c r="H263" s="7"/>
      <c r="I263" s="7">
        <f>IF(H263&gt;0,H263+Y263+X263+AC263,0)</f>
        <v>0</v>
      </c>
      <c r="J263" s="113">
        <f>IF(K263&gt;I263,IF(I263&lt;H263,I263+1,I263)-B_WalkTime,IF(I263&lt;H263,I263+1,I263))</f>
        <v>0</v>
      </c>
      <c r="K263" s="7"/>
      <c r="L263" s="7">
        <f>IF(K263&gt;0,K263+IF((J263-H263)&lt;Y263,Y263-(J263-H263),TIME(0,10,0))+IF((K263-J263)&gt;xNoWorkTime,0,xNoWorkTime-(K263-J263)),0)</f>
        <v>0</v>
      </c>
      <c r="M263" s="113">
        <f>IF(L263&lt;K263,L263+1,L263)</f>
        <v>0</v>
      </c>
      <c r="N263" s="113"/>
      <c r="O263" s="113">
        <f>IF(N263&gt;0,N263+IF((J263-H263+M263-K263)&lt;Y263,Y263-(J263-H263+M263-K263),TIME(0,10,0))+IF((K263-J263+N263-M263)&gt;xNoWorkTime,0,xNoWorkTime-(K263-J263+N263-M263)),0)</f>
        <v>0</v>
      </c>
      <c r="P263" s="113"/>
      <c r="Q263" s="113">
        <f>IF(O263&lt;N263,O263+1,O263)</f>
        <v>0</v>
      </c>
      <c r="R263" s="113">
        <f>J263-H263+M263-K263+Q263-N263</f>
        <v>0</v>
      </c>
      <c r="S263" s="113">
        <f>IF(K263&gt;0,K263-I263,0)+IF(N263&gt;0,N263-L263)</f>
        <v>0</v>
      </c>
      <c r="T263" s="113">
        <f>IF(H263&gt;0,(IF(R263&gt;B_Pause1Nach,B_Pause1Dauer+IF(BA263="Büro",B_WalkTime,0),IF(BA263="Büro",B_WalkTime,0))+IF(R263&gt;B_Pause2Nach,B_Pause2Dauer,0)),0)</f>
        <v>0</v>
      </c>
      <c r="U263" s="113">
        <f>IF(T263&gt;S263,T263-S263,0)</f>
        <v>0</v>
      </c>
      <c r="V263" s="146">
        <f>IF(F263="S",Z263,(IF((R263-U263)&gt;XWorkTimeMax,XWorkTimeMax,IF((R263-U263)&gt;0,R263-U263,0))))</f>
        <v>0</v>
      </c>
      <c r="W263" s="66"/>
      <c r="X263" s="115">
        <f>xNoWorkTime</f>
        <v>4.027777777777778E-2</v>
      </c>
      <c r="Y263" s="110">
        <f>IF(AND((AM263&lt;Feiertag),(G263&lt;&gt;85)),IF(OR(F263="B",F263="G",F263="S",H263&gt;0),H263-H263+Z263,0),0)</f>
        <v>0</v>
      </c>
      <c r="Z263" s="111">
        <f>IF(AND(AM263&gt;0,AM263&lt;Feiertag),INDEX(Arbeitszeit,AM263),"")</f>
        <v>0.29166666666666669</v>
      </c>
      <c r="AA263" s="112">
        <f>V263-Y263</f>
        <v>0</v>
      </c>
      <c r="AB263" s="67" t="str">
        <f>IF((V263-Y263)&lt;0,"*","")</f>
        <v/>
      </c>
      <c r="AC263" s="193">
        <f>xOverTime</f>
        <v>0</v>
      </c>
      <c r="AD263" s="144" t="str">
        <f>IF((R263-U263)&gt;XWorkTimeMax,(R263-U263-XWorkTimeMax),"")</f>
        <v/>
      </c>
      <c r="AE263" s="225">
        <f>IF(AW263,(AE262+SUM(AA263)+(IF(AG263="+",AF263,-AF263))),)</f>
        <v>0</v>
      </c>
      <c r="AF263" s="110"/>
      <c r="AG263" s="627"/>
      <c r="AH263" s="110"/>
      <c r="AI263" s="110" t="str">
        <f>IF(AND(AF263&lt;&gt;"",AF263&lt;=V263),V263-AF263,"")</f>
        <v/>
      </c>
      <c r="AJ263" s="68">
        <f>IF(ISNUMBER(V263 ), IF( V263 &gt;= Y263, Y263, V263 ),"")</f>
        <v>0</v>
      </c>
      <c r="AK263" s="68">
        <f>IF( ISNUMBER( V263 ), IF( V263 &gt;= Y263, V263 - Y263, "" ), "" )</f>
        <v>0</v>
      </c>
      <c r="AL263" s="68" t="str">
        <f>IF( AND(ISNUMBER( V263 ),ISNUMBER( Y263 )), IF( V263 &gt;= Y263, "", Y263 - V263 ), "" )</f>
        <v/>
      </c>
      <c r="AM263">
        <f>IF(A263="",0,IF(ISERROR(VLOOKUP(A263,db_Feiertag,2,FALSE)),WEEKDAY(A263,2),Feiertag))</f>
        <v>5</v>
      </c>
      <c r="AN263" s="122">
        <f>SUM($AD$6:AD263)</f>
        <v>0</v>
      </c>
      <c r="AO263" s="122">
        <f ca="1">IF(D263=D262,AO262,OFFSET(AO263,-1,COLUMN(db_jSaldoGes)-COLUMN()))</f>
        <v>0</v>
      </c>
      <c r="AP263" s="126">
        <f>IF(OR($G263=-1,$G263=82),-1,IF(OR($G263=0,$G263=83),1,0))</f>
        <v>0</v>
      </c>
      <c r="AQ263" s="126">
        <f>IF($F263=Krank,1,IF($F263="J",-1,0))</f>
        <v>0</v>
      </c>
      <c r="AR263" s="126">
        <f>IF($F263=Urlaub,1,IF($F263="T",-1,0))</f>
        <v>0</v>
      </c>
      <c r="AS263" s="125">
        <f>IF(A263="","",AS262-IF(F263=Urlaub,1,0)+IF(AND(MONTH(A263)=1,DAY(A263)=1),B_UrlaubNeu,0))</f>
        <v>30</v>
      </c>
      <c r="AT263" s="125">
        <f ca="1">IF(A263="","",IF(D263=D262,AT262,OFFSET(AT263,-1,COLUMN(db_jUrlRest)-COLUMN()))+IF(AND(MONTH(A263)=1,DAY(A263)=1),B_UrlaubNeu,0))</f>
        <v>30</v>
      </c>
      <c r="AU263" s="135">
        <f>(IF(ISNUMBER(V263),V263,0)+IF(ISNUMBER(AD263),AD263,0))*24</f>
        <v>0</v>
      </c>
      <c r="AV263" s="125">
        <f>IF(ISNUMBER(AD263),K_ArbeitOverMax,IF(AND(ISNUMBER(AA263),AA263&gt;0),K_ArbeitOverTime,IF(AND(ISNUMBER(V263),V263&gt;0),K_ArbeitNormal,IF(F263=Krank,K_Krank,IF(F263=Urlaub,K_Urlaub,IF(AM263=Feiertag,K_Feiertag,IF(OR(AM263=6,AM263=7),K_Wochenende,0)))))))+IF(F263=Gleittag,K_Gleittag,0)</f>
        <v>0</v>
      </c>
      <c r="AW263" t="b">
        <f>OR((F263&gt;0),(NOT(ISBLANK(H263))),SUM(H263:H$373),SUM(G263:G$373))</f>
        <v>0</v>
      </c>
      <c r="AX263" t="b">
        <f ca="1">INDIRECT(ADDRESS(ROW(),COLUMN(xDay)))&gt;5</f>
        <v>0</v>
      </c>
      <c r="AY263" s="600">
        <f>IF(OR(R263&lt;&gt;0,F263&lt;&gt;0),AA263,IF(Z263="",0,-Z263))+(IF(AG263="+",AF263,-AF263))</f>
        <v>-0.29166666666666669</v>
      </c>
      <c r="AZ263" s="225">
        <f>SUM(AY$5:AY263)</f>
        <v>-51.916666666666558</v>
      </c>
      <c r="BA263" s="658"/>
      <c r="BB263" s="658">
        <f>IF(ISNA(MATCH(BA263,B_Arbeitsort,0)),0,MATCH(BA263,B_Arbeitsort,0))</f>
        <v>0</v>
      </c>
      <c r="BC263" s="658"/>
    </row>
    <row r="264" spans="1:55" ht="15.75">
      <c r="A264" s="305">
        <f>IF(A263="","",IF((A263+1)&gt;=DATE(YEAR(xJahr)+1,MONTH(xJahr),DAY(xJahr)),"",A263+1))</f>
        <v>43723</v>
      </c>
      <c r="B264" s="306">
        <f>IF(A264="","",A264)</f>
        <v>43723</v>
      </c>
      <c r="C264" s="307">
        <f>IF(A264="","",NumberOfWeek(A264))</f>
        <v>37</v>
      </c>
      <c r="D264" s="308">
        <f>IF(A264="","",DATE(YEAR(A264),MONTH(A264),1))</f>
        <v>43708</v>
      </c>
      <c r="E264" s="318" t="str">
        <f>IF((R264-U264)&gt;XWorkTimeMax,$Z$4,IF(AV264=Feiertag,VLOOKUP(B264,db_Feiertag,2,FALSE),""))</f>
        <v/>
      </c>
      <c r="F264" s="5"/>
      <c r="G264" s="6" t="str">
        <f>IF(ISBLANK(F264),IF(ISBLANK(H264),"",0),CODE(UPPER(F264)))</f>
        <v/>
      </c>
      <c r="H264" s="7"/>
      <c r="I264" s="7">
        <f>IF(H264&gt;0,H264+Y264+X264+AC264,0)</f>
        <v>0</v>
      </c>
      <c r="J264" s="113">
        <f>IF(K264&gt;I264,IF(I264&lt;H264,I264+1,I264)-B_WalkTime,IF(I264&lt;H264,I264+1,I264))</f>
        <v>0</v>
      </c>
      <c r="K264" s="7"/>
      <c r="L264" s="7">
        <f>IF(K264&gt;0,K264+IF((J264-H264)&lt;Y264,Y264-(J264-H264),TIME(0,10,0))+IF((K264-J264)&gt;xNoWorkTime,0,xNoWorkTime-(K264-J264)),0)</f>
        <v>0</v>
      </c>
      <c r="M264" s="113">
        <f>IF(L264&lt;K264,L264+1,L264)</f>
        <v>0</v>
      </c>
      <c r="N264" s="113"/>
      <c r="O264" s="113">
        <f>IF(N264&gt;0,N264+IF((J264-H264+M264-K264)&lt;Y264,Y264-(J264-H264+M264-K264),TIME(0,10,0))+IF((K264-J264+N264-M264)&gt;xNoWorkTime,0,xNoWorkTime-(K264-J264+N264-M264)),0)</f>
        <v>0</v>
      </c>
      <c r="P264" s="113"/>
      <c r="Q264" s="113">
        <f>IF(O264&lt;N264,O264+1,O264)</f>
        <v>0</v>
      </c>
      <c r="R264" s="113">
        <f>J264-H264+M264-K264+Q264-N264</f>
        <v>0</v>
      </c>
      <c r="S264" s="113">
        <f>IF(K264&gt;0,K264-I264,0)+IF(N264&gt;0,N264-L264)</f>
        <v>0</v>
      </c>
      <c r="T264" s="113">
        <f>IF(H264&gt;0,(IF(R264&gt;B_Pause1Nach,B_Pause1Dauer+IF(BA264="Büro",B_WalkTime,0),IF(BA264="Büro",B_WalkTime,0))+IF(R264&gt;B_Pause2Nach,B_Pause2Dauer,0)),0)</f>
        <v>0</v>
      </c>
      <c r="U264" s="113">
        <f>IF(T264&gt;S264,T264-S264,0)</f>
        <v>0</v>
      </c>
      <c r="V264" s="146">
        <f>IF(F264="S",Z264,(IF((R264-U264)&gt;XWorkTimeMax,XWorkTimeMax,IF((R264-U264)&gt;0,R264-U264,0))))</f>
        <v>0</v>
      </c>
      <c r="W264" s="66"/>
      <c r="X264" s="115">
        <f>xNoWorkTime</f>
        <v>4.027777777777778E-2</v>
      </c>
      <c r="Y264" s="110">
        <f>IF(AND((AM264&lt;Feiertag),(G264&lt;&gt;85)),IF(OR(F264="B",F264="G",F264="S",H264&gt;0),H264-H264+Z264,0),0)</f>
        <v>0</v>
      </c>
      <c r="Z264" s="111">
        <f>IF(AND(AM264&gt;0,AM264&lt;Feiertag),INDEX(Arbeitszeit,AM264),"")</f>
        <v>0</v>
      </c>
      <c r="AA264" s="112">
        <f>V264-Y264</f>
        <v>0</v>
      </c>
      <c r="AB264" s="67" t="str">
        <f>IF((V264-Y264)&lt;0,"*","")</f>
        <v/>
      </c>
      <c r="AC264" s="193">
        <f>xOverTime</f>
        <v>0</v>
      </c>
      <c r="AD264" s="144" t="str">
        <f>IF((R264-U264)&gt;XWorkTimeMax,(R264-U264-XWorkTimeMax),"")</f>
        <v/>
      </c>
      <c r="AE264" s="225">
        <f>IF(AW264,(AE263+SUM(AA264)+(IF(AG264="+",AF264,-AF264))),)</f>
        <v>0</v>
      </c>
      <c r="AF264" s="110"/>
      <c r="AG264" s="627"/>
      <c r="AH264" s="110"/>
      <c r="AI264" s="110" t="str">
        <f>IF(AND(AF264&lt;&gt;"",AF264&lt;=V264),V264-AF264,"")</f>
        <v/>
      </c>
      <c r="AJ264" s="68">
        <f>IF(ISNUMBER(V264 ), IF( V264 &gt;= Y264, Y264, V264 ),"")</f>
        <v>0</v>
      </c>
      <c r="AK264" s="68">
        <f>IF( ISNUMBER( V264 ), IF( V264 &gt;= Y264, V264 - Y264, "" ), "" )</f>
        <v>0</v>
      </c>
      <c r="AL264" s="68" t="str">
        <f>IF( AND(ISNUMBER( V264 ),ISNUMBER( Y264 )), IF( V264 &gt;= Y264, "", Y264 - V264 ), "" )</f>
        <v/>
      </c>
      <c r="AM264">
        <f>IF(A264="",0,IF(ISERROR(VLOOKUP(A264,db_Feiertag,2,FALSE)),WEEKDAY(A264,2),Feiertag))</f>
        <v>6</v>
      </c>
      <c r="AN264" s="122">
        <f>SUM($AD$6:AD264)</f>
        <v>0</v>
      </c>
      <c r="AO264" s="122">
        <f ca="1">IF(D264=D263,AO263,OFFSET(AO264,-1,COLUMN(db_jSaldoGes)-COLUMN()))</f>
        <v>0</v>
      </c>
      <c r="AP264" s="126">
        <f>IF(OR($G264=-1,$G264=82),-1,IF(OR($G264=0,$G264=83),1,0))</f>
        <v>0</v>
      </c>
      <c r="AQ264" s="126">
        <f>IF($F264=Krank,1,IF($F264="J",-1,0))</f>
        <v>0</v>
      </c>
      <c r="AR264" s="126">
        <f>IF($F264=Urlaub,1,IF($F264="T",-1,0))</f>
        <v>0</v>
      </c>
      <c r="AS264" s="125">
        <f>IF(A264="","",AS263-IF(F264=Urlaub,1,0)+IF(AND(MONTH(A264)=1,DAY(A264)=1),B_UrlaubNeu,0))</f>
        <v>30</v>
      </c>
      <c r="AT264" s="125">
        <f ca="1">IF(A264="","",IF(D264=D263,AT263,OFFSET(AT264,-1,COLUMN(db_jUrlRest)-COLUMN()))+IF(AND(MONTH(A264)=1,DAY(A264)=1),B_UrlaubNeu,0))</f>
        <v>30</v>
      </c>
      <c r="AU264" s="135">
        <f>(IF(ISNUMBER(V264),V264,0)+IF(ISNUMBER(AD264),AD264,0))*24</f>
        <v>0</v>
      </c>
      <c r="AV264" s="125">
        <f>IF(ISNUMBER(AD264),K_ArbeitOverMax,IF(AND(ISNUMBER(AA264),AA264&gt;0),K_ArbeitOverTime,IF(AND(ISNUMBER(V264),V264&gt;0),K_ArbeitNormal,IF(F264=Krank,K_Krank,IF(F264=Urlaub,K_Urlaub,IF(AM264=Feiertag,K_Feiertag,IF(OR(AM264=6,AM264=7),K_Wochenende,0)))))))+IF(F264=Gleittag,K_Gleittag,0)</f>
        <v>7</v>
      </c>
      <c r="AW264" t="b">
        <f>OR((F264&gt;0),(NOT(ISBLANK(H264))),SUM(H264:H$373),SUM(G264:G$373))</f>
        <v>0</v>
      </c>
      <c r="AX264" t="b">
        <f ca="1">INDIRECT(ADDRESS(ROW(),COLUMN(xDay)))&gt;5</f>
        <v>1</v>
      </c>
      <c r="AY264" s="600">
        <f>IF(OR(R264&lt;&gt;0,F264&lt;&gt;0),AA264,IF(Z264="",0,-Z264))+(IF(AG264="+",AF264,-AF264))</f>
        <v>0</v>
      </c>
      <c r="AZ264" s="225">
        <f>SUM(AY$5:AY264)</f>
        <v>-51.916666666666558</v>
      </c>
      <c r="BA264" s="643"/>
      <c r="BB264" s="658">
        <f>IF(ISNA(MATCH(BA264,B_Arbeitsort,0)),0,MATCH(BA264,B_Arbeitsort,0))</f>
        <v>0</v>
      </c>
      <c r="BC264" s="643"/>
    </row>
    <row r="265" spans="1:55" ht="15.75">
      <c r="A265" s="305">
        <f>IF(A264="","",IF((A264+1)&gt;=DATE(YEAR(xJahr)+1,MONTH(xJahr),DAY(xJahr)),"",A264+1))</f>
        <v>43724</v>
      </c>
      <c r="B265" s="306">
        <f>IF(A265="","",A265)</f>
        <v>43724</v>
      </c>
      <c r="C265" s="307">
        <f>IF(A265="","",NumberOfWeek(A265))</f>
        <v>37</v>
      </c>
      <c r="D265" s="308">
        <f>IF(A265="","",DATE(YEAR(A265),MONTH(A265),1))</f>
        <v>43708</v>
      </c>
      <c r="E265" s="318" t="str">
        <f>IF((R265-U265)&gt;XWorkTimeMax,$Z$4,IF(AV265=Feiertag,VLOOKUP(B265,db_Feiertag,2,FALSE),""))</f>
        <v/>
      </c>
      <c r="F265" s="5"/>
      <c r="G265" s="6" t="str">
        <f>IF(ISBLANK(F265),IF(ISBLANK(H265),"",0),CODE(UPPER(F265)))</f>
        <v/>
      </c>
      <c r="H265" s="7"/>
      <c r="I265" s="7">
        <f>IF(H265&gt;0,H265+Y265+X265+AC265,0)</f>
        <v>0</v>
      </c>
      <c r="J265" s="113">
        <f>IF(K265&gt;I265,IF(I265&lt;H265,I265+1,I265)-B_WalkTime,IF(I265&lt;H265,I265+1,I265))</f>
        <v>0</v>
      </c>
      <c r="K265" s="7"/>
      <c r="L265" s="7">
        <f>IF(K265&gt;0,K265+IF((J265-H265)&lt;Y265,Y265-(J265-H265),TIME(0,10,0))+IF((K265-J265)&gt;xNoWorkTime,0,xNoWorkTime-(K265-J265)),0)</f>
        <v>0</v>
      </c>
      <c r="M265" s="113">
        <f>IF(L265&lt;K265,L265+1,L265)</f>
        <v>0</v>
      </c>
      <c r="N265" s="113"/>
      <c r="O265" s="113">
        <f>IF(N265&gt;0,N265+IF((J265-H265+M265-K265)&lt;Y265,Y265-(J265-H265+M265-K265),TIME(0,10,0))+IF((K265-J265+N265-M265)&gt;xNoWorkTime,0,xNoWorkTime-(K265-J265+N265-M265)),0)</f>
        <v>0</v>
      </c>
      <c r="P265" s="113"/>
      <c r="Q265" s="113">
        <f>IF(O265&lt;N265,O265+1,O265)</f>
        <v>0</v>
      </c>
      <c r="R265" s="113">
        <f>J265-H265+M265-K265+Q265-N265</f>
        <v>0</v>
      </c>
      <c r="S265" s="113">
        <f>IF(K265&gt;0,K265-I265,0)+IF(N265&gt;0,N265-L265)</f>
        <v>0</v>
      </c>
      <c r="T265" s="113">
        <f>IF(H265&gt;0,(IF(R265&gt;B_Pause1Nach,B_Pause1Dauer+IF(BA265="Büro",B_WalkTime,0),IF(BA265="Büro",B_WalkTime,0))+IF(R265&gt;B_Pause2Nach,B_Pause2Dauer,0)),0)</f>
        <v>0</v>
      </c>
      <c r="U265" s="113">
        <f>IF(T265&gt;S265,T265-S265,0)</f>
        <v>0</v>
      </c>
      <c r="V265" s="146">
        <f>IF(F265="S",Z265,(IF((R265-U265)&gt;XWorkTimeMax,XWorkTimeMax,IF((R265-U265)&gt;0,R265-U265,0))))</f>
        <v>0</v>
      </c>
      <c r="W265" s="66"/>
      <c r="X265" s="115">
        <f>xNoWorkTime</f>
        <v>4.027777777777778E-2</v>
      </c>
      <c r="Y265" s="110">
        <f>IF(AND((AM265&lt;Feiertag),(G265&lt;&gt;85)),IF(OR(F265="B",F265="G",F265="S",H265&gt;0),H265-H265+Z265,0),0)</f>
        <v>0</v>
      </c>
      <c r="Z265" s="111">
        <f>IF(AND(AM265&gt;0,AM265&lt;Feiertag),INDEX(Arbeitszeit,AM265),"")</f>
        <v>0</v>
      </c>
      <c r="AA265" s="112">
        <f>V265-Y265</f>
        <v>0</v>
      </c>
      <c r="AB265" s="67" t="str">
        <f>IF((V265-Y265)&lt;0,"*","")</f>
        <v/>
      </c>
      <c r="AC265" s="193">
        <f>xOverTime</f>
        <v>0</v>
      </c>
      <c r="AD265" s="144" t="str">
        <f>IF((R265-U265)&gt;XWorkTimeMax,(R265-U265-XWorkTimeMax),"")</f>
        <v/>
      </c>
      <c r="AE265" s="225">
        <f>IF(AW265,(AE264+SUM(AA265)+(IF(AG265="+",AF265,-AF265))),)</f>
        <v>0</v>
      </c>
      <c r="AF265" s="110"/>
      <c r="AG265" s="627"/>
      <c r="AH265" s="110"/>
      <c r="AI265" s="110" t="str">
        <f>IF(AND(AF265&lt;&gt;"",AF265&lt;=V265),V265-AF265,"")</f>
        <v/>
      </c>
      <c r="AJ265" s="68">
        <f>IF(ISNUMBER(V265 ), IF( V265 &gt;= Y265, Y265, V265 ),"")</f>
        <v>0</v>
      </c>
      <c r="AK265" s="68">
        <f>IF( ISNUMBER( V265 ), IF( V265 &gt;= Y265, V265 - Y265, "" ), "" )</f>
        <v>0</v>
      </c>
      <c r="AL265" s="68" t="str">
        <f>IF( AND(ISNUMBER( V265 ),ISNUMBER( Y265 )), IF( V265 &gt;= Y265, "", Y265 - V265 ), "" )</f>
        <v/>
      </c>
      <c r="AM265">
        <f>IF(A265="",0,IF(ISERROR(VLOOKUP(A265,db_Feiertag,2,FALSE)),WEEKDAY(A265,2),Feiertag))</f>
        <v>7</v>
      </c>
      <c r="AN265" s="122">
        <f>SUM($AD$6:AD265)</f>
        <v>0</v>
      </c>
      <c r="AO265" s="122">
        <f ca="1">IF(D265=D264,AO264,OFFSET(AO265,-1,COLUMN(db_jSaldoGes)-COLUMN()))</f>
        <v>0</v>
      </c>
      <c r="AP265" s="126">
        <f>IF(OR($G265=-1,$G265=82),-1,IF(OR($G265=0,$G265=83),1,0))</f>
        <v>0</v>
      </c>
      <c r="AQ265" s="126">
        <f>IF($F265=Krank,1,IF($F265="J",-1,0))</f>
        <v>0</v>
      </c>
      <c r="AR265" s="126">
        <f>IF($F265=Urlaub,1,IF($F265="T",-1,0))</f>
        <v>0</v>
      </c>
      <c r="AS265" s="125">
        <f>IF(A265="","",AS264-IF(F265=Urlaub,1,0)+IF(AND(MONTH(A265)=1,DAY(A265)=1),B_UrlaubNeu,0))</f>
        <v>30</v>
      </c>
      <c r="AT265" s="125">
        <f ca="1">IF(A265="","",IF(D265=D264,AT264,OFFSET(AT265,-1,COLUMN(db_jUrlRest)-COLUMN()))+IF(AND(MONTH(A265)=1,DAY(A265)=1),B_UrlaubNeu,0))</f>
        <v>30</v>
      </c>
      <c r="AU265" s="135">
        <f>(IF(ISNUMBER(V265),V265,0)+IF(ISNUMBER(AD265),AD265,0))*24</f>
        <v>0</v>
      </c>
      <c r="AV265" s="125">
        <f>IF(ISNUMBER(AD265),K_ArbeitOverMax,IF(AND(ISNUMBER(AA265),AA265&gt;0),K_ArbeitOverTime,IF(AND(ISNUMBER(V265),V265&gt;0),K_ArbeitNormal,IF(F265=Krank,K_Krank,IF(F265=Urlaub,K_Urlaub,IF(AM265=Feiertag,K_Feiertag,IF(OR(AM265=6,AM265=7),K_Wochenende,0)))))))+IF(F265=Gleittag,K_Gleittag,0)</f>
        <v>7</v>
      </c>
      <c r="AW265" t="b">
        <f>OR((F265&gt;0),(NOT(ISBLANK(H265))),SUM(H265:H$373),SUM(G265:G$373))</f>
        <v>0</v>
      </c>
      <c r="AX265" t="b">
        <f ca="1">INDIRECT(ADDRESS(ROW(),COLUMN(xDay)))&gt;5</f>
        <v>1</v>
      </c>
      <c r="AY265" s="600">
        <f>IF(OR(R265&lt;&gt;0,F265&lt;&gt;0),AA265,IF(Z265="",0,-Z265))+(IF(AG265="+",AF265,-AF265))</f>
        <v>0</v>
      </c>
      <c r="AZ265" s="225">
        <f>SUM(AY$5:AY265)</f>
        <v>-51.916666666666558</v>
      </c>
      <c r="BA265" s="643"/>
      <c r="BB265" s="658">
        <f>IF(ISNA(MATCH(BA265,B_Arbeitsort,0)),0,MATCH(BA265,B_Arbeitsort,0))</f>
        <v>0</v>
      </c>
      <c r="BC265" s="643"/>
    </row>
    <row r="266" spans="1:55" ht="15.75">
      <c r="A266" s="305">
        <f>IF(A265="","",IF((A265+1)&gt;=DATE(YEAR(xJahr)+1,MONTH(xJahr),DAY(xJahr)),"",A265+1))</f>
        <v>43725</v>
      </c>
      <c r="B266" s="306">
        <f>IF(A266="","",A266)</f>
        <v>43725</v>
      </c>
      <c r="C266" s="307">
        <f>IF(A266="","",NumberOfWeek(A266))</f>
        <v>38</v>
      </c>
      <c r="D266" s="308">
        <f>IF(A266="","",DATE(YEAR(A266),MONTH(A266),1))</f>
        <v>43708</v>
      </c>
      <c r="E266" s="318" t="str">
        <f>IF((R266-U266)&gt;XWorkTimeMax,$Z$4,IF(AV266=Feiertag,VLOOKUP(B266,db_Feiertag,2,FALSE),""))</f>
        <v/>
      </c>
      <c r="F266" s="5"/>
      <c r="G266" s="6" t="str">
        <f>IF(ISBLANK(F266),IF(ISBLANK(H266),"",0),CODE(UPPER(F266)))</f>
        <v/>
      </c>
      <c r="H266" s="7"/>
      <c r="I266" s="7">
        <f>IF(H266&gt;0,H266+Y266+X266+AC266,0)</f>
        <v>0</v>
      </c>
      <c r="J266" s="113">
        <f>IF(K266&gt;I266,IF(I266&lt;H266,I266+1,I266)-B_WalkTime,IF(I266&lt;H266,I266+1,I266))</f>
        <v>0</v>
      </c>
      <c r="K266" s="7"/>
      <c r="L266" s="7">
        <f>IF(K266&gt;0,K266+IF((J266-H266)&lt;Y266,Y266-(J266-H266),TIME(0,10,0))+IF((K266-J266)&gt;xNoWorkTime,0,xNoWorkTime-(K266-J266)),0)</f>
        <v>0</v>
      </c>
      <c r="M266" s="113">
        <f>IF(L266&lt;K266,L266+1,L266)</f>
        <v>0</v>
      </c>
      <c r="N266" s="113"/>
      <c r="O266" s="113">
        <f>IF(N266&gt;0,N266+IF((J266-H266+M266-K266)&lt;Y266,Y266-(J266-H266+M266-K266),TIME(0,10,0))+IF((K266-J266+N266-M266)&gt;xNoWorkTime,0,xNoWorkTime-(K266-J266+N266-M266)),0)</f>
        <v>0</v>
      </c>
      <c r="P266" s="113"/>
      <c r="Q266" s="113">
        <f>IF(O266&lt;N266,O266+1,O266)</f>
        <v>0</v>
      </c>
      <c r="R266" s="113">
        <f>J266-H266+M266-K266+Q266-N266</f>
        <v>0</v>
      </c>
      <c r="S266" s="113">
        <f>IF(K266&gt;0,K266-I266,0)+IF(N266&gt;0,N266-L266)</f>
        <v>0</v>
      </c>
      <c r="T266" s="113">
        <f>IF(H266&gt;0,(IF(R266&gt;B_Pause1Nach,B_Pause1Dauer+IF(BA266="Büro",B_WalkTime,0),IF(BA266="Büro",B_WalkTime,0))+IF(R266&gt;B_Pause2Nach,B_Pause2Dauer,0)),0)</f>
        <v>0</v>
      </c>
      <c r="U266" s="113">
        <f>IF(T266&gt;S266,T266-S266,0)</f>
        <v>0</v>
      </c>
      <c r="V266" s="146">
        <f>IF(F266="S",Z266,(IF((R266-U266)&gt;XWorkTimeMax,XWorkTimeMax,IF((R266-U266)&gt;0,R266-U266,0))))</f>
        <v>0</v>
      </c>
      <c r="W266" s="66"/>
      <c r="X266" s="115">
        <f>xNoWorkTime</f>
        <v>4.027777777777778E-2</v>
      </c>
      <c r="Y266" s="110">
        <f>IF(AND((AM266&lt;Feiertag),(G266&lt;&gt;85)),IF(OR(F266="B",F266="G",F266="S",H266&gt;0),H266-H266+Z266,0),0)</f>
        <v>0</v>
      </c>
      <c r="Z266" s="111">
        <f>IF(AND(AM266&gt;0,AM266&lt;Feiertag),INDEX(Arbeitszeit,AM266),"")</f>
        <v>0.29166666666666669</v>
      </c>
      <c r="AA266" s="112">
        <f>V266-Y266</f>
        <v>0</v>
      </c>
      <c r="AB266" s="67" t="str">
        <f>IF((V266-Y266)&lt;0,"*","")</f>
        <v/>
      </c>
      <c r="AC266" s="193">
        <f>xOverTime</f>
        <v>0</v>
      </c>
      <c r="AD266" s="144" t="str">
        <f>IF((R266-U266)&gt;XWorkTimeMax,(R266-U266-XWorkTimeMax),"")</f>
        <v/>
      </c>
      <c r="AE266" s="225">
        <f>IF(AW266,(AE265+SUM(AA266)+(IF(AG266="+",AF266,-AF266))),)</f>
        <v>0</v>
      </c>
      <c r="AF266" s="110"/>
      <c r="AG266" s="627"/>
      <c r="AH266" s="110"/>
      <c r="AI266" s="110" t="str">
        <f>IF(AND(AF266&lt;&gt;"",AF266&lt;=V266),V266-AF266,"")</f>
        <v/>
      </c>
      <c r="AJ266" s="68">
        <f>IF(ISNUMBER(V266 ), IF( V266 &gt;= Y266, Y266, V266 ),"")</f>
        <v>0</v>
      </c>
      <c r="AK266" s="68">
        <f>IF( ISNUMBER( V266 ), IF( V266 &gt;= Y266, V266 - Y266, "" ), "" )</f>
        <v>0</v>
      </c>
      <c r="AL266" s="68" t="str">
        <f>IF( AND(ISNUMBER( V266 ),ISNUMBER( Y266 )), IF( V266 &gt;= Y266, "", Y266 - V266 ), "" )</f>
        <v/>
      </c>
      <c r="AM266">
        <f>IF(A266="",0,IF(ISERROR(VLOOKUP(A266,db_Feiertag,2,FALSE)),WEEKDAY(A266,2),Feiertag))</f>
        <v>1</v>
      </c>
      <c r="AN266" s="122">
        <f>SUM($AD$6:AD266)</f>
        <v>0</v>
      </c>
      <c r="AO266" s="122">
        <f ca="1">IF(D266=D265,AO265,OFFSET(AO266,-1,COLUMN(db_jSaldoGes)-COLUMN()))</f>
        <v>0</v>
      </c>
      <c r="AP266" s="126">
        <f>IF(OR($G266=-1,$G266=82),-1,IF(OR($G266=0,$G266=83),1,0))</f>
        <v>0</v>
      </c>
      <c r="AQ266" s="126">
        <f>IF($F266=Krank,1,IF($F266="J",-1,0))</f>
        <v>0</v>
      </c>
      <c r="AR266" s="126">
        <f>IF($F266=Urlaub,1,IF($F266="T",-1,0))</f>
        <v>0</v>
      </c>
      <c r="AS266" s="125">
        <f>IF(A266="","",AS265-IF(F266=Urlaub,1,0)+IF(AND(MONTH(A266)=1,DAY(A266)=1),B_UrlaubNeu,0))</f>
        <v>30</v>
      </c>
      <c r="AT266" s="125">
        <f ca="1">IF(A266="","",IF(D266=D265,AT265,OFFSET(AT266,-1,COLUMN(db_jUrlRest)-COLUMN()))+IF(AND(MONTH(A266)=1,DAY(A266)=1),B_UrlaubNeu,0))</f>
        <v>30</v>
      </c>
      <c r="AU266" s="135">
        <f>(IF(ISNUMBER(V266),V266,0)+IF(ISNUMBER(AD266),AD266,0))*24</f>
        <v>0</v>
      </c>
      <c r="AV266" s="125">
        <f>IF(ISNUMBER(AD266),K_ArbeitOverMax,IF(AND(ISNUMBER(AA266),AA266&gt;0),K_ArbeitOverTime,IF(AND(ISNUMBER(V266),V266&gt;0),K_ArbeitNormal,IF(F266=Krank,K_Krank,IF(F266=Urlaub,K_Urlaub,IF(AM266=Feiertag,K_Feiertag,IF(OR(AM266=6,AM266=7),K_Wochenende,0)))))))+IF(F266=Gleittag,K_Gleittag,0)</f>
        <v>0</v>
      </c>
      <c r="AW266" t="b">
        <f>OR((F266&gt;0),(NOT(ISBLANK(H266))),SUM(H266:H$373),SUM(G266:G$373))</f>
        <v>0</v>
      </c>
      <c r="AX266" t="b">
        <f ca="1">INDIRECT(ADDRESS(ROW(),COLUMN(xDay)))&gt;5</f>
        <v>0</v>
      </c>
      <c r="AY266" s="600">
        <f>IF(OR(R266&lt;&gt;0,F266&lt;&gt;0),AA266,IF(Z266="",0,-Z266))+(IF(AG266="+",AF266,-AF266))</f>
        <v>-0.29166666666666669</v>
      </c>
      <c r="AZ266" s="225">
        <f>SUM(AY$5:AY266)</f>
        <v>-52.208333333333222</v>
      </c>
      <c r="BA266" s="658"/>
      <c r="BB266" s="658">
        <f>IF(ISNA(MATCH(BA266,B_Arbeitsort,0)),0,MATCH(BA266,B_Arbeitsort,0))</f>
        <v>0</v>
      </c>
      <c r="BC266" s="658"/>
    </row>
    <row r="267" spans="1:55" ht="15.75">
      <c r="A267" s="305">
        <f>IF(A266="","",IF((A266+1)&gt;=DATE(YEAR(xJahr)+1,MONTH(xJahr),DAY(xJahr)),"",A266+1))</f>
        <v>43726</v>
      </c>
      <c r="B267" s="306">
        <f>IF(A267="","",A267)</f>
        <v>43726</v>
      </c>
      <c r="C267" s="307">
        <f>IF(A267="","",NumberOfWeek(A267))</f>
        <v>38</v>
      </c>
      <c r="D267" s="308">
        <f>IF(A267="","",DATE(YEAR(A267),MONTH(A267),1))</f>
        <v>43708</v>
      </c>
      <c r="E267" s="318" t="str">
        <f>IF((R267-U267)&gt;XWorkTimeMax,$Z$4,IF(AV267=Feiertag,VLOOKUP(B267,db_Feiertag,2,FALSE),""))</f>
        <v/>
      </c>
      <c r="F267" s="5"/>
      <c r="G267" s="6" t="str">
        <f>IF(ISBLANK(F267),IF(ISBLANK(H267),"",0),CODE(UPPER(F267)))</f>
        <v/>
      </c>
      <c r="H267" s="7"/>
      <c r="I267" s="7">
        <f>IF(H267&gt;0,H267+Y267+X267+AC267,0)</f>
        <v>0</v>
      </c>
      <c r="J267" s="113">
        <f>IF(K267&gt;I267,IF(I267&lt;H267,I267+1,I267)-B_WalkTime,IF(I267&lt;H267,I267+1,I267))</f>
        <v>0</v>
      </c>
      <c r="K267" s="7"/>
      <c r="L267" s="7">
        <f>IF(K267&gt;0,K267+IF((J267-H267)&lt;Y267,Y267-(J267-H267),TIME(0,10,0))+IF((K267-J267)&gt;xNoWorkTime,0,xNoWorkTime-(K267-J267)),0)</f>
        <v>0</v>
      </c>
      <c r="M267" s="113">
        <f>IF(L267&lt;K267,L267+1,L267)</f>
        <v>0</v>
      </c>
      <c r="N267" s="113"/>
      <c r="O267" s="113">
        <f>IF(N267&gt;0,N267+IF((J267-H267+M267-K267)&lt;Y267,Y267-(J267-H267+M267-K267),TIME(0,10,0))+IF((K267-J267+N267-M267)&gt;xNoWorkTime,0,xNoWorkTime-(K267-J267+N267-M267)),0)</f>
        <v>0</v>
      </c>
      <c r="P267" s="113"/>
      <c r="Q267" s="113">
        <f>IF(O267&lt;N267,O267+1,O267)</f>
        <v>0</v>
      </c>
      <c r="R267" s="113">
        <f>J267-H267+M267-K267+Q267-N267</f>
        <v>0</v>
      </c>
      <c r="S267" s="113">
        <f>IF(K267&gt;0,K267-I267,0)+IF(N267&gt;0,N267-L267)</f>
        <v>0</v>
      </c>
      <c r="T267" s="113">
        <f>IF(H267&gt;0,(IF(R267&gt;B_Pause1Nach,B_Pause1Dauer+IF(BA267="Büro",B_WalkTime,0),IF(BA267="Büro",B_WalkTime,0))+IF(R267&gt;B_Pause2Nach,B_Pause2Dauer,0)),0)</f>
        <v>0</v>
      </c>
      <c r="U267" s="113">
        <f>IF(T267&gt;S267,T267-S267,0)</f>
        <v>0</v>
      </c>
      <c r="V267" s="146">
        <f>IF(F267="S",Z267,(IF((R267-U267)&gt;XWorkTimeMax,XWorkTimeMax,IF((R267-U267)&gt;0,R267-U267,0))))</f>
        <v>0</v>
      </c>
      <c r="W267" s="66"/>
      <c r="X267" s="115">
        <f>xNoWorkTime</f>
        <v>4.027777777777778E-2</v>
      </c>
      <c r="Y267" s="110">
        <f>IF(AND((AM267&lt;Feiertag),(G267&lt;&gt;85)),IF(OR(F267="B",F267="G",F267="S",H267&gt;0),H267-H267+Z267,0),0)</f>
        <v>0</v>
      </c>
      <c r="Z267" s="111">
        <f>IF(AND(AM267&gt;0,AM267&lt;Feiertag),INDEX(Arbeitszeit,AM267),"")</f>
        <v>0.29166666666666669</v>
      </c>
      <c r="AA267" s="112">
        <f>V267-Y267</f>
        <v>0</v>
      </c>
      <c r="AB267" s="67" t="str">
        <f>IF((V267-Y267)&lt;0,"*","")</f>
        <v/>
      </c>
      <c r="AC267" s="193">
        <f>xOverTime</f>
        <v>0</v>
      </c>
      <c r="AD267" s="144" t="str">
        <f>IF((R267-U267)&gt;XWorkTimeMax,(R267-U267-XWorkTimeMax),"")</f>
        <v/>
      </c>
      <c r="AE267" s="225">
        <f>IF(AW267,(AE266+SUM(AA267)+(IF(AG267="+",AF267,-AF267))),)</f>
        <v>0</v>
      </c>
      <c r="AF267" s="110"/>
      <c r="AG267" s="627"/>
      <c r="AH267" s="110"/>
      <c r="AI267" s="110" t="str">
        <f>IF(AND(AF267&lt;&gt;"",AF267&lt;=V267),V267-AF267,"")</f>
        <v/>
      </c>
      <c r="AJ267" s="68">
        <f>IF(ISNUMBER(V267 ), IF( V267 &gt;= Y267, Y267, V267 ),"")</f>
        <v>0</v>
      </c>
      <c r="AK267" s="68">
        <f>IF( ISNUMBER( V267 ), IF( V267 &gt;= Y267, V267 - Y267, "" ), "" )</f>
        <v>0</v>
      </c>
      <c r="AL267" s="68" t="str">
        <f>IF( AND(ISNUMBER( V267 ),ISNUMBER( Y267 )), IF( V267 &gt;= Y267, "", Y267 - V267 ), "" )</f>
        <v/>
      </c>
      <c r="AM267">
        <f>IF(A267="",0,IF(ISERROR(VLOOKUP(A267,db_Feiertag,2,FALSE)),WEEKDAY(A267,2),Feiertag))</f>
        <v>2</v>
      </c>
      <c r="AN267" s="122">
        <f>SUM($AD$6:AD267)</f>
        <v>0</v>
      </c>
      <c r="AO267" s="122">
        <f ca="1">IF(D267=D266,AO266,OFFSET(AO267,-1,COLUMN(db_jSaldoGes)-COLUMN()))</f>
        <v>0</v>
      </c>
      <c r="AP267" s="126">
        <f>IF(OR($G267=-1,$G267=82),-1,IF(OR($G267=0,$G267=83),1,0))</f>
        <v>0</v>
      </c>
      <c r="AQ267" s="126">
        <f>IF($F267=Krank,1,IF($F267="J",-1,0))</f>
        <v>0</v>
      </c>
      <c r="AR267" s="126">
        <f>IF($F267=Urlaub,1,IF($F267="T",-1,0))</f>
        <v>0</v>
      </c>
      <c r="AS267" s="125">
        <f>IF(A267="","",AS266-IF(F267=Urlaub,1,0)+IF(AND(MONTH(A267)=1,DAY(A267)=1),B_UrlaubNeu,0))</f>
        <v>30</v>
      </c>
      <c r="AT267" s="125">
        <f ca="1">IF(A267="","",IF(D267=D266,AT266,OFFSET(AT267,-1,COLUMN(db_jUrlRest)-COLUMN()))+IF(AND(MONTH(A267)=1,DAY(A267)=1),B_UrlaubNeu,0))</f>
        <v>30</v>
      </c>
      <c r="AU267" s="135">
        <f>(IF(ISNUMBER(V267),V267,0)+IF(ISNUMBER(AD267),AD267,0))*24</f>
        <v>0</v>
      </c>
      <c r="AV267" s="125">
        <f>IF(ISNUMBER(AD267),K_ArbeitOverMax,IF(AND(ISNUMBER(AA267),AA267&gt;0),K_ArbeitOverTime,IF(AND(ISNUMBER(V267),V267&gt;0),K_ArbeitNormal,IF(F267=Krank,K_Krank,IF(F267=Urlaub,K_Urlaub,IF(AM267=Feiertag,K_Feiertag,IF(OR(AM267=6,AM267=7),K_Wochenende,0)))))))+IF(F267=Gleittag,K_Gleittag,0)</f>
        <v>0</v>
      </c>
      <c r="AW267" t="b">
        <f>OR((F267&gt;0),(NOT(ISBLANK(H267))),SUM(H267:H$373),SUM(G267:G$373))</f>
        <v>0</v>
      </c>
      <c r="AX267" t="b">
        <f ca="1">INDIRECT(ADDRESS(ROW(),COLUMN(xDay)))&gt;5</f>
        <v>0</v>
      </c>
      <c r="AY267" s="600">
        <f>IF(OR(R267&lt;&gt;0,F267&lt;&gt;0),AA267,IF(Z267="",0,-Z267))+(IF(AG267="+",AF267,-AF267))</f>
        <v>-0.29166666666666669</v>
      </c>
      <c r="AZ267" s="225">
        <f>SUM(AY$5:AY267)</f>
        <v>-52.499999999999886</v>
      </c>
      <c r="BA267" s="658"/>
      <c r="BB267" s="658">
        <f>IF(ISNA(MATCH(BA267,B_Arbeitsort,0)),0,MATCH(BA267,B_Arbeitsort,0))</f>
        <v>0</v>
      </c>
      <c r="BC267" s="658"/>
    </row>
    <row r="268" spans="1:55" ht="15.75">
      <c r="A268" s="305">
        <f>IF(A267="","",IF((A267+1)&gt;=DATE(YEAR(xJahr)+1,MONTH(xJahr),DAY(xJahr)),"",A267+1))</f>
        <v>43727</v>
      </c>
      <c r="B268" s="306">
        <f>IF(A268="","",A268)</f>
        <v>43727</v>
      </c>
      <c r="C268" s="307">
        <f>IF(A268="","",NumberOfWeek(A268))</f>
        <v>38</v>
      </c>
      <c r="D268" s="308">
        <f>IF(A268="","",DATE(YEAR(A268),MONTH(A268),1))</f>
        <v>43708</v>
      </c>
      <c r="E268" s="318" t="str">
        <f>IF((R268-U268)&gt;XWorkTimeMax,$Z$4,IF(AV268=Feiertag,VLOOKUP(B268,db_Feiertag,2,FALSE),""))</f>
        <v/>
      </c>
      <c r="F268" s="5"/>
      <c r="G268" s="6" t="str">
        <f>IF(ISBLANK(F268),IF(ISBLANK(H268),"",0),CODE(UPPER(F268)))</f>
        <v/>
      </c>
      <c r="H268" s="7"/>
      <c r="I268" s="7">
        <f>IF(H268&gt;0,H268+Y268+X268+AC268,0)</f>
        <v>0</v>
      </c>
      <c r="J268" s="113">
        <f>IF(K268&gt;I268,IF(I268&lt;H268,I268+1,I268)-B_WalkTime,IF(I268&lt;H268,I268+1,I268))</f>
        <v>0</v>
      </c>
      <c r="K268" s="7"/>
      <c r="L268" s="7">
        <f>IF(K268&gt;0,K268+IF((J268-H268)&lt;Y268,Y268-(J268-H268),TIME(0,10,0))+IF((K268-J268)&gt;xNoWorkTime,0,xNoWorkTime-(K268-J268)),0)</f>
        <v>0</v>
      </c>
      <c r="M268" s="113">
        <f>IF(L268&lt;K268,L268+1,L268)</f>
        <v>0</v>
      </c>
      <c r="N268" s="113"/>
      <c r="O268" s="113">
        <f>IF(N268&gt;0,N268+IF((J268-H268+M268-K268)&lt;Y268,Y268-(J268-H268+M268-K268),TIME(0,10,0))+IF((K268-J268+N268-M268)&gt;xNoWorkTime,0,xNoWorkTime-(K268-J268+N268-M268)),0)</f>
        <v>0</v>
      </c>
      <c r="P268" s="113"/>
      <c r="Q268" s="113">
        <f>IF(O268&lt;N268,O268+1,O268)</f>
        <v>0</v>
      </c>
      <c r="R268" s="113">
        <f>J268-H268+M268-K268+Q268-N268</f>
        <v>0</v>
      </c>
      <c r="S268" s="113">
        <f>IF(K268&gt;0,K268-I268,0)+IF(N268&gt;0,N268-L268)</f>
        <v>0</v>
      </c>
      <c r="T268" s="113">
        <f>IF(H268&gt;0,(IF(R268&gt;B_Pause1Nach,B_Pause1Dauer+IF(BA268="Büro",B_WalkTime,0),IF(BA268="Büro",B_WalkTime,0))+IF(R268&gt;B_Pause2Nach,B_Pause2Dauer,0)),0)</f>
        <v>0</v>
      </c>
      <c r="U268" s="113">
        <f>IF(T268&gt;S268,T268-S268,0)</f>
        <v>0</v>
      </c>
      <c r="V268" s="146">
        <f>IF(F268="S",Z268,(IF((R268-U268)&gt;XWorkTimeMax,XWorkTimeMax,IF((R268-U268)&gt;0,R268-U268,0))))</f>
        <v>0</v>
      </c>
      <c r="W268" s="66"/>
      <c r="X268" s="115">
        <f>xNoWorkTime</f>
        <v>4.027777777777778E-2</v>
      </c>
      <c r="Y268" s="110">
        <f>IF(AND((AM268&lt;Feiertag),(G268&lt;&gt;85)),IF(OR(F268="B",F268="G",F268="S",H268&gt;0),H268-H268+Z268,0),0)</f>
        <v>0</v>
      </c>
      <c r="Z268" s="111">
        <f>IF(AND(AM268&gt;0,AM268&lt;Feiertag),INDEX(Arbeitszeit,AM268),"")</f>
        <v>0.29166666666666669</v>
      </c>
      <c r="AA268" s="112">
        <f>V268-Y268</f>
        <v>0</v>
      </c>
      <c r="AB268" s="67" t="str">
        <f>IF((V268-Y268)&lt;0,"*","")</f>
        <v/>
      </c>
      <c r="AC268" s="193">
        <f>xOverTime</f>
        <v>0</v>
      </c>
      <c r="AD268" s="144" t="str">
        <f>IF((R268-U268)&gt;XWorkTimeMax,(R268-U268-XWorkTimeMax),"")</f>
        <v/>
      </c>
      <c r="AE268" s="225">
        <f>IF(AW268,(AE267+SUM(AA268)+(IF(AG268="+",AF268,-AF268))),)</f>
        <v>0</v>
      </c>
      <c r="AF268" s="110"/>
      <c r="AG268" s="627"/>
      <c r="AH268" s="110"/>
      <c r="AI268" s="110" t="str">
        <f>IF(AND(AF268&lt;&gt;"",AF268&lt;=V268),V268-AF268,"")</f>
        <v/>
      </c>
      <c r="AJ268" s="68">
        <f>IF(ISNUMBER(V268 ), IF( V268 &gt;= Y268, Y268, V268 ),"")</f>
        <v>0</v>
      </c>
      <c r="AK268" s="68">
        <f>IF( ISNUMBER( V268 ), IF( V268 &gt;= Y268, V268 - Y268, "" ), "" )</f>
        <v>0</v>
      </c>
      <c r="AL268" s="68" t="str">
        <f>IF( AND(ISNUMBER( V268 ),ISNUMBER( Y268 )), IF( V268 &gt;= Y268, "", Y268 - V268 ), "" )</f>
        <v/>
      </c>
      <c r="AM268">
        <f>IF(A268="",0,IF(ISERROR(VLOOKUP(A268,db_Feiertag,2,FALSE)),WEEKDAY(A268,2),Feiertag))</f>
        <v>3</v>
      </c>
      <c r="AN268" s="122">
        <f>SUM($AD$6:AD268)</f>
        <v>0</v>
      </c>
      <c r="AO268" s="122">
        <f ca="1">IF(D268=D267,AO267,OFFSET(AO268,-1,COLUMN(db_jSaldoGes)-COLUMN()))</f>
        <v>0</v>
      </c>
      <c r="AP268" s="126">
        <f>IF(OR($G268=-1,$G268=82),-1,IF(OR($G268=0,$G268=83),1,0))</f>
        <v>0</v>
      </c>
      <c r="AQ268" s="126">
        <f>IF($F268=Krank,1,IF($F268="J",-1,0))</f>
        <v>0</v>
      </c>
      <c r="AR268" s="126">
        <f>IF($F268=Urlaub,1,IF($F268="T",-1,0))</f>
        <v>0</v>
      </c>
      <c r="AS268" s="125">
        <f>IF(A268="","",AS267-IF(F268=Urlaub,1,0)+IF(AND(MONTH(A268)=1,DAY(A268)=1),B_UrlaubNeu,0))</f>
        <v>30</v>
      </c>
      <c r="AT268" s="125">
        <f ca="1">IF(A268="","",IF(D268=D267,AT267,OFFSET(AT268,-1,COLUMN(db_jUrlRest)-COLUMN()))+IF(AND(MONTH(A268)=1,DAY(A268)=1),B_UrlaubNeu,0))</f>
        <v>30</v>
      </c>
      <c r="AU268" s="135">
        <f>(IF(ISNUMBER(V268),V268,0)+IF(ISNUMBER(AD268),AD268,0))*24</f>
        <v>0</v>
      </c>
      <c r="AV268" s="125">
        <f>IF(ISNUMBER(AD268),K_ArbeitOverMax,IF(AND(ISNUMBER(AA268),AA268&gt;0),K_ArbeitOverTime,IF(AND(ISNUMBER(V268),V268&gt;0),K_ArbeitNormal,IF(F268=Krank,K_Krank,IF(F268=Urlaub,K_Urlaub,IF(AM268=Feiertag,K_Feiertag,IF(OR(AM268=6,AM268=7),K_Wochenende,0)))))))+IF(F268=Gleittag,K_Gleittag,0)</f>
        <v>0</v>
      </c>
      <c r="AW268" t="b">
        <f>OR((F268&gt;0),(NOT(ISBLANK(H268))),SUM(H268:H$373),SUM(G268:G$373))</f>
        <v>0</v>
      </c>
      <c r="AX268" t="b">
        <f ca="1">INDIRECT(ADDRESS(ROW(),COLUMN(xDay)))&gt;5</f>
        <v>0</v>
      </c>
      <c r="AY268" s="600">
        <f>IF(OR(R268&lt;&gt;0,F268&lt;&gt;0),AA268,IF(Z268="",0,-Z268))+(IF(AG268="+",AF268,-AF268))</f>
        <v>-0.29166666666666669</v>
      </c>
      <c r="AZ268" s="225">
        <f>SUM(AY$5:AY268)</f>
        <v>-52.791666666666551</v>
      </c>
      <c r="BA268" s="658"/>
      <c r="BB268" s="658">
        <f>IF(ISNA(MATCH(BA268,B_Arbeitsort,0)),0,MATCH(BA268,B_Arbeitsort,0))</f>
        <v>0</v>
      </c>
      <c r="BC268" s="658"/>
    </row>
    <row r="269" spans="1:55" ht="15.75">
      <c r="A269" s="305">
        <f>IF(A268="","",IF((A268+1)&gt;=DATE(YEAR(xJahr)+1,MONTH(xJahr),DAY(xJahr)),"",A268+1))</f>
        <v>43728</v>
      </c>
      <c r="B269" s="306">
        <f>IF(A269="","",A269)</f>
        <v>43728</v>
      </c>
      <c r="C269" s="307">
        <f>IF(A269="","",NumberOfWeek(A269))</f>
        <v>38</v>
      </c>
      <c r="D269" s="308">
        <f>IF(A269="","",DATE(YEAR(A269),MONTH(A269),1))</f>
        <v>43708</v>
      </c>
      <c r="E269" s="318" t="str">
        <f>IF((R269-U269)&gt;XWorkTimeMax,$Z$4,IF(AV269=Feiertag,VLOOKUP(B269,db_Feiertag,2,FALSE),""))</f>
        <v/>
      </c>
      <c r="F269" s="5"/>
      <c r="G269" s="6" t="str">
        <f>IF(ISBLANK(F269),IF(ISBLANK(H269),"",0),CODE(UPPER(F269)))</f>
        <v/>
      </c>
      <c r="H269" s="7"/>
      <c r="I269" s="7">
        <f>IF(H269&gt;0,H269+Y269+X269+AC269,0)</f>
        <v>0</v>
      </c>
      <c r="J269" s="113">
        <f>IF(K269&gt;I269,IF(I269&lt;H269,I269+1,I269)-B_WalkTime,IF(I269&lt;H269,I269+1,I269))</f>
        <v>0</v>
      </c>
      <c r="K269" s="7"/>
      <c r="L269" s="7">
        <f>IF(K269&gt;0,K269+IF((J269-H269)&lt;Y269,Y269-(J269-H269),TIME(0,10,0))+IF((K269-J269)&gt;xNoWorkTime,0,xNoWorkTime-(K269-J269)),0)</f>
        <v>0</v>
      </c>
      <c r="M269" s="113">
        <f>IF(L269&lt;K269,L269+1,L269)</f>
        <v>0</v>
      </c>
      <c r="N269" s="113"/>
      <c r="O269" s="113">
        <f>IF(N269&gt;0,N269+IF((J269-H269+M269-K269)&lt;Y269,Y269-(J269-H269+M269-K269),TIME(0,10,0))+IF((K269-J269+N269-M269)&gt;xNoWorkTime,0,xNoWorkTime-(K269-J269+N269-M269)),0)</f>
        <v>0</v>
      </c>
      <c r="P269" s="113"/>
      <c r="Q269" s="113">
        <f>IF(O269&lt;N269,O269+1,O269)</f>
        <v>0</v>
      </c>
      <c r="R269" s="113">
        <f>J269-H269+M269-K269+Q269-N269</f>
        <v>0</v>
      </c>
      <c r="S269" s="113">
        <f>IF(K269&gt;0,K269-I269,0)+IF(N269&gt;0,N269-L269)</f>
        <v>0</v>
      </c>
      <c r="T269" s="113">
        <f>IF(H269&gt;0,(IF(R269&gt;B_Pause1Nach,B_Pause1Dauer+IF(BA269="Büro",B_WalkTime,0),IF(BA269="Büro",B_WalkTime,0))+IF(R269&gt;B_Pause2Nach,B_Pause2Dauer,0)),0)</f>
        <v>0</v>
      </c>
      <c r="U269" s="113">
        <f>IF(T269&gt;S269,T269-S269,0)</f>
        <v>0</v>
      </c>
      <c r="V269" s="146">
        <f>IF(F269="S",Z269,(IF((R269-U269)&gt;XWorkTimeMax,XWorkTimeMax,IF((R269-U269)&gt;0,R269-U269,0))))</f>
        <v>0</v>
      </c>
      <c r="W269" s="66"/>
      <c r="X269" s="115">
        <f>xNoWorkTime</f>
        <v>4.027777777777778E-2</v>
      </c>
      <c r="Y269" s="110">
        <f>IF(AND((AM269&lt;Feiertag),(G269&lt;&gt;85)),IF(OR(F269="B",F269="G",F269="S",H269&gt;0),H269-H269+Z269,0),0)</f>
        <v>0</v>
      </c>
      <c r="Z269" s="111">
        <f>IF(AND(AM269&gt;0,AM269&lt;Feiertag),INDEX(Arbeitszeit,AM269),"")</f>
        <v>0.29166666666666669</v>
      </c>
      <c r="AA269" s="112">
        <f>V269-Y269</f>
        <v>0</v>
      </c>
      <c r="AB269" s="67" t="str">
        <f>IF((V269-Y269)&lt;0,"*","")</f>
        <v/>
      </c>
      <c r="AC269" s="193">
        <f>xOverTime</f>
        <v>0</v>
      </c>
      <c r="AD269" s="144" t="str">
        <f>IF((R269-U269)&gt;XWorkTimeMax,(R269-U269-XWorkTimeMax),"")</f>
        <v/>
      </c>
      <c r="AE269" s="225">
        <f>IF(AW269,(AE268+SUM(AA269)+(IF(AG269="+",AF269,-AF269))),)</f>
        <v>0</v>
      </c>
      <c r="AF269" s="110"/>
      <c r="AG269" s="627"/>
      <c r="AH269" s="110"/>
      <c r="AI269" s="110" t="str">
        <f>IF(AND(AF269&lt;&gt;"",AF269&lt;=V269),V269-AF269,"")</f>
        <v/>
      </c>
      <c r="AJ269" s="68">
        <f>IF(ISNUMBER(V269 ), IF( V269 &gt;= Y269, Y269, V269 ),"")</f>
        <v>0</v>
      </c>
      <c r="AK269" s="68">
        <f>IF( ISNUMBER( V269 ), IF( V269 &gt;= Y269, V269 - Y269, "" ), "" )</f>
        <v>0</v>
      </c>
      <c r="AL269" s="68" t="str">
        <f>IF( AND(ISNUMBER( V269 ),ISNUMBER( Y269 )), IF( V269 &gt;= Y269, "", Y269 - V269 ), "" )</f>
        <v/>
      </c>
      <c r="AM269">
        <f>IF(A269="",0,IF(ISERROR(VLOOKUP(A269,db_Feiertag,2,FALSE)),WEEKDAY(A269,2),Feiertag))</f>
        <v>4</v>
      </c>
      <c r="AN269" s="122">
        <f>SUM($AD$6:AD269)</f>
        <v>0</v>
      </c>
      <c r="AO269" s="122">
        <f ca="1">IF(D269=D268,AO268,OFFSET(AO269,-1,COLUMN(db_jSaldoGes)-COLUMN()))</f>
        <v>0</v>
      </c>
      <c r="AP269" s="126">
        <f>IF(OR($G269=-1,$G269=82),-1,IF(OR($G269=0,$G269=83),1,0))</f>
        <v>0</v>
      </c>
      <c r="AQ269" s="126">
        <f>IF($F269=Krank,1,IF($F269="J",-1,0))</f>
        <v>0</v>
      </c>
      <c r="AR269" s="126">
        <f>IF($F269=Urlaub,1,IF($F269="T",-1,0))</f>
        <v>0</v>
      </c>
      <c r="AS269" s="125">
        <f>IF(A269="","",AS268-IF(F269=Urlaub,1,0)+IF(AND(MONTH(A269)=1,DAY(A269)=1),B_UrlaubNeu,0))</f>
        <v>30</v>
      </c>
      <c r="AT269" s="125">
        <f ca="1">IF(A269="","",IF(D269=D268,AT268,OFFSET(AT269,-1,COLUMN(db_jUrlRest)-COLUMN()))+IF(AND(MONTH(A269)=1,DAY(A269)=1),B_UrlaubNeu,0))</f>
        <v>30</v>
      </c>
      <c r="AU269" s="135">
        <f>(IF(ISNUMBER(V269),V269,0)+IF(ISNUMBER(AD269),AD269,0))*24</f>
        <v>0</v>
      </c>
      <c r="AV269" s="125">
        <f>IF(ISNUMBER(AD269),K_ArbeitOverMax,IF(AND(ISNUMBER(AA269),AA269&gt;0),K_ArbeitOverTime,IF(AND(ISNUMBER(V269),V269&gt;0),K_ArbeitNormal,IF(F269=Krank,K_Krank,IF(F269=Urlaub,K_Urlaub,IF(AM269=Feiertag,K_Feiertag,IF(OR(AM269=6,AM269=7),K_Wochenende,0)))))))+IF(F269=Gleittag,K_Gleittag,0)</f>
        <v>0</v>
      </c>
      <c r="AW269" t="b">
        <f>OR((F269&gt;0),(NOT(ISBLANK(H269))),SUM(H269:H$373),SUM(G269:G$373))</f>
        <v>0</v>
      </c>
      <c r="AX269" t="b">
        <f ca="1">INDIRECT(ADDRESS(ROW(),COLUMN(xDay)))&gt;5</f>
        <v>0</v>
      </c>
      <c r="AY269" s="600">
        <f>IF(OR(R269&lt;&gt;0,F269&lt;&gt;0),AA269,IF(Z269="",0,-Z269))+(IF(AG269="+",AF269,-AF269))</f>
        <v>-0.29166666666666669</v>
      </c>
      <c r="AZ269" s="225">
        <f>SUM(AY$5:AY269)</f>
        <v>-53.083333333333215</v>
      </c>
      <c r="BA269" s="658"/>
      <c r="BB269" s="658">
        <f>IF(ISNA(MATCH(BA269,B_Arbeitsort,0)),0,MATCH(BA269,B_Arbeitsort,0))</f>
        <v>0</v>
      </c>
      <c r="BC269" s="658"/>
    </row>
    <row r="270" spans="1:55" ht="15.75">
      <c r="A270" s="305">
        <f>IF(A269="","",IF((A269+1)&gt;=DATE(YEAR(xJahr)+1,MONTH(xJahr),DAY(xJahr)),"",A269+1))</f>
        <v>43729</v>
      </c>
      <c r="B270" s="306">
        <f>IF(A270="","",A270)</f>
        <v>43729</v>
      </c>
      <c r="C270" s="307">
        <f>IF(A270="","",NumberOfWeek(A270))</f>
        <v>38</v>
      </c>
      <c r="D270" s="308">
        <f>IF(A270="","",DATE(YEAR(A270),MONTH(A270),1))</f>
        <v>43708</v>
      </c>
      <c r="E270" s="318" t="str">
        <f>IF((R270-U270)&gt;XWorkTimeMax,$Z$4,IF(AV270=Feiertag,VLOOKUP(B270,db_Feiertag,2,FALSE),""))</f>
        <v/>
      </c>
      <c r="F270" s="5"/>
      <c r="G270" s="6" t="str">
        <f>IF(ISBLANK(F270),IF(ISBLANK(H270),"",0),CODE(UPPER(F270)))</f>
        <v/>
      </c>
      <c r="H270" s="7"/>
      <c r="I270" s="7">
        <f>IF(H270&gt;0,H270+Y270+X270+AC270,0)</f>
        <v>0</v>
      </c>
      <c r="J270" s="113">
        <f>IF(K270&gt;I270,IF(I270&lt;H270,I270+1,I270)-B_WalkTime,IF(I270&lt;H270,I270+1,I270))</f>
        <v>0</v>
      </c>
      <c r="K270" s="7"/>
      <c r="L270" s="7">
        <f>IF(K270&gt;0,K270+IF((J270-H270)&lt;Y270,Y270-(J270-H270),TIME(0,10,0))+IF((K270-J270)&gt;xNoWorkTime,0,xNoWorkTime-(K270-J270)),0)</f>
        <v>0</v>
      </c>
      <c r="M270" s="113">
        <f>IF(L270&lt;K270,L270+1,L270)</f>
        <v>0</v>
      </c>
      <c r="N270" s="113"/>
      <c r="O270" s="113">
        <f>IF(N270&gt;0,N270+IF((J270-H270+M270-K270)&lt;Y270,Y270-(J270-H270+M270-K270),TIME(0,10,0))+IF((K270-J270+N270-M270)&gt;xNoWorkTime,0,xNoWorkTime-(K270-J270+N270-M270)),0)</f>
        <v>0</v>
      </c>
      <c r="P270" s="113"/>
      <c r="Q270" s="113">
        <f>IF(O270&lt;N270,O270+1,O270)</f>
        <v>0</v>
      </c>
      <c r="R270" s="113">
        <f>J270-H270+M270-K270+Q270-N270</f>
        <v>0</v>
      </c>
      <c r="S270" s="113">
        <f>IF(K270&gt;0,K270-I270,0)+IF(N270&gt;0,N270-L270)</f>
        <v>0</v>
      </c>
      <c r="T270" s="113">
        <f>IF(H270&gt;0,(IF(R270&gt;B_Pause1Nach,B_Pause1Dauer+IF(BA270="Büro",B_WalkTime,0),IF(BA270="Büro",B_WalkTime,0))+IF(R270&gt;B_Pause2Nach,B_Pause2Dauer,0)),0)</f>
        <v>0</v>
      </c>
      <c r="U270" s="113">
        <f>IF(T270&gt;S270,T270-S270,0)</f>
        <v>0</v>
      </c>
      <c r="V270" s="146">
        <f>IF(F270="S",Z270,(IF((R270-U270)&gt;XWorkTimeMax,XWorkTimeMax,IF((R270-U270)&gt;0,R270-U270,0))))</f>
        <v>0</v>
      </c>
      <c r="W270" s="66"/>
      <c r="X270" s="115">
        <f>xNoWorkTime</f>
        <v>4.027777777777778E-2</v>
      </c>
      <c r="Y270" s="110">
        <f>IF(AND((AM270&lt;Feiertag),(G270&lt;&gt;85)),IF(OR(F270="B",F270="G",F270="S",H270&gt;0),H270-H270+Z270,0),0)</f>
        <v>0</v>
      </c>
      <c r="Z270" s="111">
        <f>IF(AND(AM270&gt;0,AM270&lt;Feiertag),INDEX(Arbeitszeit,AM270),"")</f>
        <v>0.29166666666666669</v>
      </c>
      <c r="AA270" s="112">
        <f>V270-Y270</f>
        <v>0</v>
      </c>
      <c r="AB270" s="67" t="str">
        <f>IF((V270-Y270)&lt;0,"*","")</f>
        <v/>
      </c>
      <c r="AC270" s="193">
        <f>xOverTime</f>
        <v>0</v>
      </c>
      <c r="AD270" s="144" t="str">
        <f>IF((R270-U270)&gt;XWorkTimeMax,(R270-U270-XWorkTimeMax),"")</f>
        <v/>
      </c>
      <c r="AE270" s="225">
        <f>IF(AW270,(AE269+SUM(AA270)+(IF(AG270="+",AF270,-AF270))),)</f>
        <v>0</v>
      </c>
      <c r="AF270" s="110"/>
      <c r="AG270" s="627"/>
      <c r="AH270" s="110"/>
      <c r="AI270" s="110" t="str">
        <f>IF(AND(AF270&lt;&gt;"",AF270&lt;=V270),V270-AF270,"")</f>
        <v/>
      </c>
      <c r="AJ270" s="68">
        <f>IF(ISNUMBER(V270 ), IF( V270 &gt;= Y270, Y270, V270 ),"")</f>
        <v>0</v>
      </c>
      <c r="AK270" s="68">
        <f>IF( ISNUMBER( V270 ), IF( V270 &gt;= Y270, V270 - Y270, "" ), "" )</f>
        <v>0</v>
      </c>
      <c r="AL270" s="68" t="str">
        <f>IF( AND(ISNUMBER( V270 ),ISNUMBER( Y270 )), IF( V270 &gt;= Y270, "", Y270 - V270 ), "" )</f>
        <v/>
      </c>
      <c r="AM270">
        <f>IF(A270="",0,IF(ISERROR(VLOOKUP(A270,db_Feiertag,2,FALSE)),WEEKDAY(A270,2),Feiertag))</f>
        <v>5</v>
      </c>
      <c r="AN270" s="122">
        <f>SUM($AD$6:AD270)</f>
        <v>0</v>
      </c>
      <c r="AO270" s="122">
        <f ca="1">IF(D270=D269,AO269,OFFSET(AO270,-1,COLUMN(db_jSaldoGes)-COLUMN()))</f>
        <v>0</v>
      </c>
      <c r="AP270" s="126">
        <f>IF(OR($G270=-1,$G270=82),-1,IF(OR($G270=0,$G270=83),1,0))</f>
        <v>0</v>
      </c>
      <c r="AQ270" s="126">
        <f>IF($F270=Krank,1,IF($F270="J",-1,0))</f>
        <v>0</v>
      </c>
      <c r="AR270" s="126">
        <f>IF($F270=Urlaub,1,IF($F270="T",-1,0))</f>
        <v>0</v>
      </c>
      <c r="AS270" s="125">
        <f>IF(A270="","",AS269-IF(F270=Urlaub,1,0)+IF(AND(MONTH(A270)=1,DAY(A270)=1),B_UrlaubNeu,0))</f>
        <v>30</v>
      </c>
      <c r="AT270" s="125">
        <f ca="1">IF(A270="","",IF(D270=D269,AT269,OFFSET(AT270,-1,COLUMN(db_jUrlRest)-COLUMN()))+IF(AND(MONTH(A270)=1,DAY(A270)=1),B_UrlaubNeu,0))</f>
        <v>30</v>
      </c>
      <c r="AU270" s="135">
        <f>(IF(ISNUMBER(V270),V270,0)+IF(ISNUMBER(AD270),AD270,0))*24</f>
        <v>0</v>
      </c>
      <c r="AV270" s="125">
        <f>IF(ISNUMBER(AD270),K_ArbeitOverMax,IF(AND(ISNUMBER(AA270),AA270&gt;0),K_ArbeitOverTime,IF(AND(ISNUMBER(V270),V270&gt;0),K_ArbeitNormal,IF(F270=Krank,K_Krank,IF(F270=Urlaub,K_Urlaub,IF(AM270=Feiertag,K_Feiertag,IF(OR(AM270=6,AM270=7),K_Wochenende,0)))))))+IF(F270=Gleittag,K_Gleittag,0)</f>
        <v>0</v>
      </c>
      <c r="AW270" t="b">
        <f>OR((F270&gt;0),(NOT(ISBLANK(H270))),SUM(H270:H$373),SUM(G270:G$373))</f>
        <v>0</v>
      </c>
      <c r="AX270" t="b">
        <f ca="1">INDIRECT(ADDRESS(ROW(),COLUMN(xDay)))&gt;5</f>
        <v>0</v>
      </c>
      <c r="AY270" s="600">
        <f>IF(OR(R270&lt;&gt;0,F270&lt;&gt;0),AA270,IF(Z270="",0,-Z270))+(IF(AG270="+",AF270,-AF270))</f>
        <v>-0.29166666666666669</v>
      </c>
      <c r="AZ270" s="225">
        <f>SUM(AY$5:AY270)</f>
        <v>-53.374999999999879</v>
      </c>
      <c r="BA270" s="658"/>
      <c r="BB270" s="658">
        <f>IF(ISNA(MATCH(BA270,B_Arbeitsort,0)),0,MATCH(BA270,B_Arbeitsort,0))</f>
        <v>0</v>
      </c>
      <c r="BC270" s="658"/>
    </row>
    <row r="271" spans="1:55" ht="15.75">
      <c r="A271" s="305">
        <f>IF(A270="","",IF((A270+1)&gt;=DATE(YEAR(xJahr)+1,MONTH(xJahr),DAY(xJahr)),"",A270+1))</f>
        <v>43730</v>
      </c>
      <c r="B271" s="306">
        <f>IF(A271="","",A271)</f>
        <v>43730</v>
      </c>
      <c r="C271" s="307">
        <f>IF(A271="","",NumberOfWeek(A271))</f>
        <v>38</v>
      </c>
      <c r="D271" s="308">
        <f>IF(A271="","",DATE(YEAR(A271),MONTH(A271),1))</f>
        <v>43708</v>
      </c>
      <c r="E271" s="318" t="str">
        <f>IF((R271-U271)&gt;XWorkTimeMax,$Z$4,IF(AV271=Feiertag,VLOOKUP(B271,db_Feiertag,2,FALSE),""))</f>
        <v/>
      </c>
      <c r="F271" s="5"/>
      <c r="G271" s="6" t="str">
        <f>IF(ISBLANK(F271),IF(ISBLANK(H271),"",0),CODE(UPPER(F271)))</f>
        <v/>
      </c>
      <c r="H271" s="7"/>
      <c r="I271" s="7">
        <f>IF(H271&gt;0,H271+Y271+X271+AC271,0)</f>
        <v>0</v>
      </c>
      <c r="J271" s="113">
        <f>IF(K271&gt;I271,IF(I271&lt;H271,I271+1,I271)-B_WalkTime,IF(I271&lt;H271,I271+1,I271))</f>
        <v>0</v>
      </c>
      <c r="K271" s="7"/>
      <c r="L271" s="7">
        <f>IF(K271&gt;0,K271+IF((J271-H271)&lt;Y271,Y271-(J271-H271),TIME(0,10,0))+IF((K271-J271)&gt;xNoWorkTime,0,xNoWorkTime-(K271-J271)),0)</f>
        <v>0</v>
      </c>
      <c r="M271" s="113">
        <f>IF(L271&lt;K271,L271+1,L271)</f>
        <v>0</v>
      </c>
      <c r="N271" s="113"/>
      <c r="O271" s="113">
        <f>IF(N271&gt;0,N271+IF((J271-H271+M271-K271)&lt;Y271,Y271-(J271-H271+M271-K271),TIME(0,10,0))+IF((K271-J271+N271-M271)&gt;xNoWorkTime,0,xNoWorkTime-(K271-J271+N271-M271)),0)</f>
        <v>0</v>
      </c>
      <c r="P271" s="113"/>
      <c r="Q271" s="113">
        <f>IF(O271&lt;N271,O271+1,O271)</f>
        <v>0</v>
      </c>
      <c r="R271" s="113">
        <f>J271-H271+M271-K271+Q271-N271</f>
        <v>0</v>
      </c>
      <c r="S271" s="113">
        <f>IF(K271&gt;0,K271-I271,0)+IF(N271&gt;0,N271-L271)</f>
        <v>0</v>
      </c>
      <c r="T271" s="113">
        <f>IF(H271&gt;0,(IF(R271&gt;B_Pause1Nach,B_Pause1Dauer+IF(BA271="Büro",B_WalkTime,0),IF(BA271="Büro",B_WalkTime,0))+IF(R271&gt;B_Pause2Nach,B_Pause2Dauer,0)),0)</f>
        <v>0</v>
      </c>
      <c r="U271" s="113">
        <f>IF(T271&gt;S271,T271-S271,0)</f>
        <v>0</v>
      </c>
      <c r="V271" s="146">
        <f>IF(F271="S",Z271,(IF((R271-U271)&gt;XWorkTimeMax,XWorkTimeMax,IF((R271-U271)&gt;0,R271-U271,0))))</f>
        <v>0</v>
      </c>
      <c r="W271" s="66"/>
      <c r="X271" s="115">
        <f>xNoWorkTime</f>
        <v>4.027777777777778E-2</v>
      </c>
      <c r="Y271" s="110">
        <f>IF(AND((AM271&lt;Feiertag),(G271&lt;&gt;85)),IF(OR(F271="B",F271="G",F271="S",H271&gt;0),H271-H271+Z271,0),0)</f>
        <v>0</v>
      </c>
      <c r="Z271" s="111">
        <f>IF(AND(AM271&gt;0,AM271&lt;Feiertag),INDEX(Arbeitszeit,AM271),"")</f>
        <v>0</v>
      </c>
      <c r="AA271" s="112">
        <f>V271-Y271</f>
        <v>0</v>
      </c>
      <c r="AB271" s="67" t="str">
        <f>IF((V271-Y271)&lt;0,"*","")</f>
        <v/>
      </c>
      <c r="AC271" s="193">
        <f>xOverTime</f>
        <v>0</v>
      </c>
      <c r="AD271" s="144" t="str">
        <f>IF((R271-U271)&gt;XWorkTimeMax,(R271-U271-XWorkTimeMax),"")</f>
        <v/>
      </c>
      <c r="AE271" s="225">
        <f>IF(AW271,(AE270+SUM(AA271)+(IF(AG271="+",AF271,-AF271))),)</f>
        <v>0</v>
      </c>
      <c r="AF271" s="110"/>
      <c r="AG271" s="627"/>
      <c r="AH271" s="110"/>
      <c r="AI271" s="110" t="str">
        <f>IF(AND(AF271&lt;&gt;"",AF271&lt;=V271),V271-AF271,"")</f>
        <v/>
      </c>
      <c r="AJ271" s="68">
        <f>IF(ISNUMBER(V271 ), IF( V271 &gt;= Y271, Y271, V271 ),"")</f>
        <v>0</v>
      </c>
      <c r="AK271" s="68">
        <f>IF( ISNUMBER( V271 ), IF( V271 &gt;= Y271, V271 - Y271, "" ), "" )</f>
        <v>0</v>
      </c>
      <c r="AL271" s="68" t="str">
        <f>IF( AND(ISNUMBER( V271 ),ISNUMBER( Y271 )), IF( V271 &gt;= Y271, "", Y271 - V271 ), "" )</f>
        <v/>
      </c>
      <c r="AM271">
        <f>IF(A271="",0,IF(ISERROR(VLOOKUP(A271,db_Feiertag,2,FALSE)),WEEKDAY(A271,2),Feiertag))</f>
        <v>6</v>
      </c>
      <c r="AN271" s="122">
        <f>SUM($AD$6:AD271)</f>
        <v>0</v>
      </c>
      <c r="AO271" s="122">
        <f ca="1">IF(D271=D270,AO270,OFFSET(AO271,-1,COLUMN(db_jSaldoGes)-COLUMN()))</f>
        <v>0</v>
      </c>
      <c r="AP271" s="126">
        <f>IF(OR($G271=-1,$G271=82),-1,IF(OR($G271=0,$G271=83),1,0))</f>
        <v>0</v>
      </c>
      <c r="AQ271" s="126">
        <f>IF($F271=Krank,1,IF($F271="J",-1,0))</f>
        <v>0</v>
      </c>
      <c r="AR271" s="126">
        <f>IF($F271=Urlaub,1,IF($F271="T",-1,0))</f>
        <v>0</v>
      </c>
      <c r="AS271" s="125">
        <f>IF(A271="","",AS270-IF(F271=Urlaub,1,0)+IF(AND(MONTH(A271)=1,DAY(A271)=1),B_UrlaubNeu,0))</f>
        <v>30</v>
      </c>
      <c r="AT271" s="125">
        <f ca="1">IF(A271="","",IF(D271=D270,AT270,OFFSET(AT271,-1,COLUMN(db_jUrlRest)-COLUMN()))+IF(AND(MONTH(A271)=1,DAY(A271)=1),B_UrlaubNeu,0))</f>
        <v>30</v>
      </c>
      <c r="AU271" s="135">
        <f>(IF(ISNUMBER(V271),V271,0)+IF(ISNUMBER(AD271),AD271,0))*24</f>
        <v>0</v>
      </c>
      <c r="AV271" s="125">
        <f>IF(ISNUMBER(AD271),K_ArbeitOverMax,IF(AND(ISNUMBER(AA271),AA271&gt;0),K_ArbeitOverTime,IF(AND(ISNUMBER(V271),V271&gt;0),K_ArbeitNormal,IF(F271=Krank,K_Krank,IF(F271=Urlaub,K_Urlaub,IF(AM271=Feiertag,K_Feiertag,IF(OR(AM271=6,AM271=7),K_Wochenende,0)))))))+IF(F271=Gleittag,K_Gleittag,0)</f>
        <v>7</v>
      </c>
      <c r="AW271" t="b">
        <f>OR((F271&gt;0),(NOT(ISBLANK(H271))),SUM(H271:H$373),SUM(G271:G$373))</f>
        <v>0</v>
      </c>
      <c r="AX271" t="b">
        <f ca="1">INDIRECT(ADDRESS(ROW(),COLUMN(xDay)))&gt;5</f>
        <v>1</v>
      </c>
      <c r="AY271" s="600">
        <f>IF(OR(R271&lt;&gt;0,F271&lt;&gt;0),AA271,IF(Z271="",0,-Z271))+(IF(AG271="+",AF271,-AF271))</f>
        <v>0</v>
      </c>
      <c r="AZ271" s="225">
        <f>SUM(AY$5:AY271)</f>
        <v>-53.374999999999879</v>
      </c>
      <c r="BA271" s="643"/>
      <c r="BB271" s="658">
        <f>IF(ISNA(MATCH(BA271,B_Arbeitsort,0)),0,MATCH(BA271,B_Arbeitsort,0))</f>
        <v>0</v>
      </c>
      <c r="BC271" s="643"/>
    </row>
    <row r="272" spans="1:55" ht="15.75">
      <c r="A272" s="305">
        <f>IF(A271="","",IF((A271+1)&gt;=DATE(YEAR(xJahr)+1,MONTH(xJahr),DAY(xJahr)),"",A271+1))</f>
        <v>43731</v>
      </c>
      <c r="B272" s="306">
        <f>IF(A272="","",A272)</f>
        <v>43731</v>
      </c>
      <c r="C272" s="307">
        <f>IF(A272="","",NumberOfWeek(A272))</f>
        <v>38</v>
      </c>
      <c r="D272" s="308">
        <f>IF(A272="","",DATE(YEAR(A272),MONTH(A272),1))</f>
        <v>43708</v>
      </c>
      <c r="E272" s="318" t="str">
        <f>IF((R272-U272)&gt;XWorkTimeMax,$Z$4,IF(AV272=Feiertag,VLOOKUP(B272,db_Feiertag,2,FALSE),""))</f>
        <v/>
      </c>
      <c r="F272" s="5"/>
      <c r="G272" s="6" t="str">
        <f>IF(ISBLANK(F272),IF(ISBLANK(H272),"",0),CODE(UPPER(F272)))</f>
        <v/>
      </c>
      <c r="H272" s="7"/>
      <c r="I272" s="7">
        <f>IF(H272&gt;0,H272+Y272+X272+AC272,0)</f>
        <v>0</v>
      </c>
      <c r="J272" s="113">
        <f>IF(K272&gt;I272,IF(I272&lt;H272,I272+1,I272)-B_WalkTime,IF(I272&lt;H272,I272+1,I272))</f>
        <v>0</v>
      </c>
      <c r="K272" s="7"/>
      <c r="L272" s="7">
        <f>IF(K272&gt;0,K272+IF((J272-H272)&lt;Y272,Y272-(J272-H272),TIME(0,10,0))+IF((K272-J272)&gt;xNoWorkTime,0,xNoWorkTime-(K272-J272)),0)</f>
        <v>0</v>
      </c>
      <c r="M272" s="113">
        <f>IF(L272&lt;K272,L272+1,L272)</f>
        <v>0</v>
      </c>
      <c r="N272" s="113"/>
      <c r="O272" s="113">
        <f>IF(N272&gt;0,N272+IF((J272-H272+M272-K272)&lt;Y272,Y272-(J272-H272+M272-K272),TIME(0,10,0))+IF((K272-J272+N272-M272)&gt;xNoWorkTime,0,xNoWorkTime-(K272-J272+N272-M272)),0)</f>
        <v>0</v>
      </c>
      <c r="P272" s="113"/>
      <c r="Q272" s="113">
        <f>IF(O272&lt;N272,O272+1,O272)</f>
        <v>0</v>
      </c>
      <c r="R272" s="113">
        <f>J272-H272+M272-K272+Q272-N272</f>
        <v>0</v>
      </c>
      <c r="S272" s="113">
        <f>IF(K272&gt;0,K272-I272,0)+IF(N272&gt;0,N272-L272)</f>
        <v>0</v>
      </c>
      <c r="T272" s="113">
        <f>IF(H272&gt;0,(IF(R272&gt;B_Pause1Nach,B_Pause1Dauer+IF(BA272="Büro",B_WalkTime,0),IF(BA272="Büro",B_WalkTime,0))+IF(R272&gt;B_Pause2Nach,B_Pause2Dauer,0)),0)</f>
        <v>0</v>
      </c>
      <c r="U272" s="113">
        <f>IF(T272&gt;S272,T272-S272,0)</f>
        <v>0</v>
      </c>
      <c r="V272" s="146">
        <f>IF(F272="S",Z272,(IF((R272-U272)&gt;XWorkTimeMax,XWorkTimeMax,IF((R272-U272)&gt;0,R272-U272,0))))</f>
        <v>0</v>
      </c>
      <c r="W272" s="66"/>
      <c r="X272" s="115">
        <f>xNoWorkTime</f>
        <v>4.027777777777778E-2</v>
      </c>
      <c r="Y272" s="110">
        <f>IF(AND((AM272&lt;Feiertag),(G272&lt;&gt;85)),IF(OR(F272="B",F272="G",F272="S",H272&gt;0),H272-H272+Z272,0),0)</f>
        <v>0</v>
      </c>
      <c r="Z272" s="111">
        <f>IF(AND(AM272&gt;0,AM272&lt;Feiertag),INDEX(Arbeitszeit,AM272),"")</f>
        <v>0</v>
      </c>
      <c r="AA272" s="112">
        <f>V272-Y272</f>
        <v>0</v>
      </c>
      <c r="AB272" s="67" t="str">
        <f>IF((V272-Y272)&lt;0,"*","")</f>
        <v/>
      </c>
      <c r="AC272" s="193">
        <f>xOverTime</f>
        <v>0</v>
      </c>
      <c r="AD272" s="144" t="str">
        <f>IF((R272-U272)&gt;XWorkTimeMax,(R272-U272-XWorkTimeMax),"")</f>
        <v/>
      </c>
      <c r="AE272" s="225">
        <f>IF(AW272,(AE271+SUM(AA272)+(IF(AG272="+",AF272,-AF272))),)</f>
        <v>0</v>
      </c>
      <c r="AF272" s="110"/>
      <c r="AG272" s="627"/>
      <c r="AH272" s="110"/>
      <c r="AI272" s="110" t="str">
        <f>IF(AND(AF272&lt;&gt;"",AF272&lt;=V272),V272-AF272,"")</f>
        <v/>
      </c>
      <c r="AJ272" s="68">
        <f>IF(ISNUMBER(V272 ), IF( V272 &gt;= Y272, Y272, V272 ),"")</f>
        <v>0</v>
      </c>
      <c r="AK272" s="68">
        <f>IF( ISNUMBER( V272 ), IF( V272 &gt;= Y272, V272 - Y272, "" ), "" )</f>
        <v>0</v>
      </c>
      <c r="AL272" s="68" t="str">
        <f>IF( AND(ISNUMBER( V272 ),ISNUMBER( Y272 )), IF( V272 &gt;= Y272, "", Y272 - V272 ), "" )</f>
        <v/>
      </c>
      <c r="AM272">
        <f>IF(A272="",0,IF(ISERROR(VLOOKUP(A272,db_Feiertag,2,FALSE)),WEEKDAY(A272,2),Feiertag))</f>
        <v>7</v>
      </c>
      <c r="AN272" s="122">
        <f>SUM($AD$6:AD272)</f>
        <v>0</v>
      </c>
      <c r="AO272" s="122">
        <f ca="1">IF(D272=D271,AO271,OFFSET(AO272,-1,COLUMN(db_jSaldoGes)-COLUMN()))</f>
        <v>0</v>
      </c>
      <c r="AP272" s="126">
        <f>IF(OR($G272=-1,$G272=82),-1,IF(OR($G272=0,$G272=83),1,0))</f>
        <v>0</v>
      </c>
      <c r="AQ272" s="126">
        <f>IF($F272=Krank,1,IF($F272="J",-1,0))</f>
        <v>0</v>
      </c>
      <c r="AR272" s="126">
        <f>IF($F272=Urlaub,1,IF($F272="T",-1,0))</f>
        <v>0</v>
      </c>
      <c r="AS272" s="125">
        <f>IF(A272="","",AS271-IF(F272=Urlaub,1,0)+IF(AND(MONTH(A272)=1,DAY(A272)=1),B_UrlaubNeu,0))</f>
        <v>30</v>
      </c>
      <c r="AT272" s="125">
        <f ca="1">IF(A272="","",IF(D272=D271,AT271,OFFSET(AT272,-1,COLUMN(db_jUrlRest)-COLUMN()))+IF(AND(MONTH(A272)=1,DAY(A272)=1),B_UrlaubNeu,0))</f>
        <v>30</v>
      </c>
      <c r="AU272" s="135">
        <f>(IF(ISNUMBER(V272),V272,0)+IF(ISNUMBER(AD272),AD272,0))*24</f>
        <v>0</v>
      </c>
      <c r="AV272" s="125">
        <f>IF(ISNUMBER(AD272),K_ArbeitOverMax,IF(AND(ISNUMBER(AA272),AA272&gt;0),K_ArbeitOverTime,IF(AND(ISNUMBER(V272),V272&gt;0),K_ArbeitNormal,IF(F272=Krank,K_Krank,IF(F272=Urlaub,K_Urlaub,IF(AM272=Feiertag,K_Feiertag,IF(OR(AM272=6,AM272=7),K_Wochenende,0)))))))+IF(F272=Gleittag,K_Gleittag,0)</f>
        <v>7</v>
      </c>
      <c r="AW272" t="b">
        <f>OR((F272&gt;0),(NOT(ISBLANK(H272))),SUM(H272:H$373),SUM(G272:G$373))</f>
        <v>0</v>
      </c>
      <c r="AX272" t="b">
        <f ca="1">INDIRECT(ADDRESS(ROW(),COLUMN(xDay)))&gt;5</f>
        <v>1</v>
      </c>
      <c r="AY272" s="600">
        <f>IF(OR(R272&lt;&gt;0,F272&lt;&gt;0),AA272,IF(Z272="",0,-Z272))+(IF(AG272="+",AF272,-AF272))</f>
        <v>0</v>
      </c>
      <c r="AZ272" s="225">
        <f>SUM(AY$5:AY272)</f>
        <v>-53.374999999999879</v>
      </c>
      <c r="BA272" s="643"/>
      <c r="BB272" s="658">
        <f>IF(ISNA(MATCH(BA272,B_Arbeitsort,0)),0,MATCH(BA272,B_Arbeitsort,0))</f>
        <v>0</v>
      </c>
      <c r="BC272" s="643"/>
    </row>
    <row r="273" spans="1:55" ht="15.75">
      <c r="A273" s="305">
        <f>IF(A272="","",IF((A272+1)&gt;=DATE(YEAR(xJahr)+1,MONTH(xJahr),DAY(xJahr)),"",A272+1))</f>
        <v>43732</v>
      </c>
      <c r="B273" s="306">
        <f>IF(A273="","",A273)</f>
        <v>43732</v>
      </c>
      <c r="C273" s="307">
        <f>IF(A273="","",NumberOfWeek(A273))</f>
        <v>39</v>
      </c>
      <c r="D273" s="308">
        <f>IF(A273="","",DATE(YEAR(A273),MONTH(A273),1))</f>
        <v>43708</v>
      </c>
      <c r="E273" s="318" t="str">
        <f>IF((R273-U273)&gt;XWorkTimeMax,$Z$4,IF(AV273=Feiertag,VLOOKUP(B273,db_Feiertag,2,FALSE),""))</f>
        <v/>
      </c>
      <c r="F273" s="5"/>
      <c r="G273" s="6" t="str">
        <f>IF(ISBLANK(F273),IF(ISBLANK(H273),"",0),CODE(UPPER(F273)))</f>
        <v/>
      </c>
      <c r="H273" s="7"/>
      <c r="I273" s="7">
        <f>IF(H273&gt;0,H273+Y273+X273+AC273,0)</f>
        <v>0</v>
      </c>
      <c r="J273" s="113">
        <f>IF(K273&gt;I273,IF(I273&lt;H273,I273+1,I273)-B_WalkTime,IF(I273&lt;H273,I273+1,I273))</f>
        <v>0</v>
      </c>
      <c r="K273" s="7"/>
      <c r="L273" s="7">
        <f>IF(K273&gt;0,K273+IF((J273-H273)&lt;Y273,Y273-(J273-H273),TIME(0,10,0))+IF((K273-J273)&gt;xNoWorkTime,0,xNoWorkTime-(K273-J273)),0)</f>
        <v>0</v>
      </c>
      <c r="M273" s="113">
        <f>IF(L273&lt;K273,L273+1,L273)</f>
        <v>0</v>
      </c>
      <c r="N273" s="113"/>
      <c r="O273" s="113">
        <f>IF(N273&gt;0,N273+IF((J273-H273+M273-K273)&lt;Y273,Y273-(J273-H273+M273-K273),TIME(0,10,0))+IF((K273-J273+N273-M273)&gt;xNoWorkTime,0,xNoWorkTime-(K273-J273+N273-M273)),0)</f>
        <v>0</v>
      </c>
      <c r="P273" s="113"/>
      <c r="Q273" s="113">
        <f>IF(O273&lt;N273,O273+1,O273)</f>
        <v>0</v>
      </c>
      <c r="R273" s="113">
        <f>J273-H273+M273-K273+Q273-N273</f>
        <v>0</v>
      </c>
      <c r="S273" s="113">
        <f>IF(K273&gt;0,K273-I273,0)+IF(N273&gt;0,N273-L273)</f>
        <v>0</v>
      </c>
      <c r="T273" s="113">
        <f>IF(H273&gt;0,(IF(R273&gt;B_Pause1Nach,B_Pause1Dauer+IF(BA273="Büro",B_WalkTime,0),IF(BA273="Büro",B_WalkTime,0))+IF(R273&gt;B_Pause2Nach,B_Pause2Dauer,0)),0)</f>
        <v>0</v>
      </c>
      <c r="U273" s="113">
        <f>IF(T273&gt;S273,T273-S273,0)</f>
        <v>0</v>
      </c>
      <c r="V273" s="146">
        <f>IF(F273="S",Z273,(IF((R273-U273)&gt;XWorkTimeMax,XWorkTimeMax,IF((R273-U273)&gt;0,R273-U273,0))))</f>
        <v>0</v>
      </c>
      <c r="W273" s="66"/>
      <c r="X273" s="115">
        <f>xNoWorkTime</f>
        <v>4.027777777777778E-2</v>
      </c>
      <c r="Y273" s="110">
        <f>IF(AND((AM273&lt;Feiertag),(G273&lt;&gt;85)),IF(OR(F273="B",F273="G",F273="S",H273&gt;0),H273-H273+Z273,0),0)</f>
        <v>0</v>
      </c>
      <c r="Z273" s="111">
        <f>IF(AND(AM273&gt;0,AM273&lt;Feiertag),INDEX(Arbeitszeit,AM273),"")</f>
        <v>0.29166666666666669</v>
      </c>
      <c r="AA273" s="112">
        <f>V273-Y273</f>
        <v>0</v>
      </c>
      <c r="AB273" s="67" t="str">
        <f>IF((V273-Y273)&lt;0,"*","")</f>
        <v/>
      </c>
      <c r="AC273" s="193">
        <f>xOverTime</f>
        <v>0</v>
      </c>
      <c r="AD273" s="144" t="str">
        <f>IF((R273-U273)&gt;XWorkTimeMax,(R273-U273-XWorkTimeMax),"")</f>
        <v/>
      </c>
      <c r="AE273" s="225">
        <f>IF(AW273,(AE272+SUM(AA273)+(IF(AG273="+",AF273,-AF273))),)</f>
        <v>0</v>
      </c>
      <c r="AF273" s="110"/>
      <c r="AG273" s="627"/>
      <c r="AH273" s="110"/>
      <c r="AI273" s="110" t="str">
        <f>IF(AND(AF273&lt;&gt;"",AF273&lt;=V273),V273-AF273,"")</f>
        <v/>
      </c>
      <c r="AJ273" s="68">
        <f>IF(ISNUMBER(V273 ), IF( V273 &gt;= Y273, Y273, V273 ),"")</f>
        <v>0</v>
      </c>
      <c r="AK273" s="68">
        <f>IF( ISNUMBER( V273 ), IF( V273 &gt;= Y273, V273 - Y273, "" ), "" )</f>
        <v>0</v>
      </c>
      <c r="AL273" s="68" t="str">
        <f>IF( AND(ISNUMBER( V273 ),ISNUMBER( Y273 )), IF( V273 &gt;= Y273, "", Y273 - V273 ), "" )</f>
        <v/>
      </c>
      <c r="AM273">
        <f>IF(A273="",0,IF(ISERROR(VLOOKUP(A273,db_Feiertag,2,FALSE)),WEEKDAY(A273,2),Feiertag))</f>
        <v>1</v>
      </c>
      <c r="AN273" s="122">
        <f>SUM($AD$6:AD273)</f>
        <v>0</v>
      </c>
      <c r="AO273" s="122">
        <f ca="1">IF(D273=D272,AO272,OFFSET(AO273,-1,COLUMN(db_jSaldoGes)-COLUMN()))</f>
        <v>0</v>
      </c>
      <c r="AP273" s="126">
        <f>IF(OR($G273=-1,$G273=82),-1,IF(OR($G273=0,$G273=83),1,0))</f>
        <v>0</v>
      </c>
      <c r="AQ273" s="126">
        <f>IF($F273=Krank,1,IF($F273="J",-1,0))</f>
        <v>0</v>
      </c>
      <c r="AR273" s="126">
        <f>IF($F273=Urlaub,1,IF($F273="T",-1,0))</f>
        <v>0</v>
      </c>
      <c r="AS273" s="125">
        <f>IF(A273="","",AS272-IF(F273=Urlaub,1,0)+IF(AND(MONTH(A273)=1,DAY(A273)=1),B_UrlaubNeu,0))</f>
        <v>30</v>
      </c>
      <c r="AT273" s="125">
        <f ca="1">IF(A273="","",IF(D273=D272,AT272,OFFSET(AT273,-1,COLUMN(db_jUrlRest)-COLUMN()))+IF(AND(MONTH(A273)=1,DAY(A273)=1),B_UrlaubNeu,0))</f>
        <v>30</v>
      </c>
      <c r="AU273" s="135">
        <f>(IF(ISNUMBER(V273),V273,0)+IF(ISNUMBER(AD273),AD273,0))*24</f>
        <v>0</v>
      </c>
      <c r="AV273" s="125">
        <f>IF(ISNUMBER(AD273),K_ArbeitOverMax,IF(AND(ISNUMBER(AA273),AA273&gt;0),K_ArbeitOverTime,IF(AND(ISNUMBER(V273),V273&gt;0),K_ArbeitNormal,IF(F273=Krank,K_Krank,IF(F273=Urlaub,K_Urlaub,IF(AM273=Feiertag,K_Feiertag,IF(OR(AM273=6,AM273=7),K_Wochenende,0)))))))+IF(F273=Gleittag,K_Gleittag,0)</f>
        <v>0</v>
      </c>
      <c r="AW273" t="b">
        <f>OR((F273&gt;0),(NOT(ISBLANK(H273))),SUM(H273:H$373),SUM(G273:G$373))</f>
        <v>0</v>
      </c>
      <c r="AX273" t="b">
        <f ca="1">INDIRECT(ADDRESS(ROW(),COLUMN(xDay)))&gt;5</f>
        <v>0</v>
      </c>
      <c r="AY273" s="600">
        <f>IF(OR(R273&lt;&gt;0,F273&lt;&gt;0),AA273,IF(Z273="",0,-Z273))+(IF(AG273="+",AF273,-AF273))</f>
        <v>-0.29166666666666669</v>
      </c>
      <c r="AZ273" s="225">
        <f>SUM(AY$5:AY273)</f>
        <v>-53.666666666666544</v>
      </c>
      <c r="BA273" s="658"/>
      <c r="BB273" s="658">
        <f>IF(ISNA(MATCH(BA273,B_Arbeitsort,0)),0,MATCH(BA273,B_Arbeitsort,0))</f>
        <v>0</v>
      </c>
      <c r="BC273" s="658"/>
    </row>
    <row r="274" spans="1:55" ht="15.75">
      <c r="A274" s="305">
        <f>IF(A273="","",IF((A273+1)&gt;=DATE(YEAR(xJahr)+1,MONTH(xJahr),DAY(xJahr)),"",A273+1))</f>
        <v>43733</v>
      </c>
      <c r="B274" s="306">
        <f>IF(A274="","",A274)</f>
        <v>43733</v>
      </c>
      <c r="C274" s="307">
        <f>IF(A274="","",NumberOfWeek(A274))</f>
        <v>39</v>
      </c>
      <c r="D274" s="308">
        <f>IF(A274="","",DATE(YEAR(A274),MONTH(A274),1))</f>
        <v>43708</v>
      </c>
      <c r="E274" s="318" t="str">
        <f>IF((R274-U274)&gt;XWorkTimeMax,$Z$4,IF(AV274=Feiertag,VLOOKUP(B274,db_Feiertag,2,FALSE),""))</f>
        <v/>
      </c>
      <c r="F274" s="5"/>
      <c r="G274" s="6" t="str">
        <f>IF(ISBLANK(F274),IF(ISBLANK(H274),"",0),CODE(UPPER(F274)))</f>
        <v/>
      </c>
      <c r="H274" s="7"/>
      <c r="I274" s="7">
        <f>IF(H274&gt;0,H274+Y274+X274+AC274,0)</f>
        <v>0</v>
      </c>
      <c r="J274" s="113">
        <f>IF(K274&gt;I274,IF(I274&lt;H274,I274+1,I274)-B_WalkTime,IF(I274&lt;H274,I274+1,I274))</f>
        <v>0</v>
      </c>
      <c r="K274" s="7"/>
      <c r="L274" s="7">
        <f>IF(K274&gt;0,K274+IF((J274-H274)&lt;Y274,Y274-(J274-H274),TIME(0,10,0))+IF((K274-J274)&gt;xNoWorkTime,0,xNoWorkTime-(K274-J274)),0)</f>
        <v>0</v>
      </c>
      <c r="M274" s="113">
        <f>IF(L274&lt;K274,L274+1,L274)</f>
        <v>0</v>
      </c>
      <c r="N274" s="113"/>
      <c r="O274" s="113">
        <f>IF(N274&gt;0,N274+IF((J274-H274+M274-K274)&lt;Y274,Y274-(J274-H274+M274-K274),TIME(0,10,0))+IF((K274-J274+N274-M274)&gt;xNoWorkTime,0,xNoWorkTime-(K274-J274+N274-M274)),0)</f>
        <v>0</v>
      </c>
      <c r="P274" s="113"/>
      <c r="Q274" s="113">
        <f>IF(O274&lt;N274,O274+1,O274)</f>
        <v>0</v>
      </c>
      <c r="R274" s="113">
        <f>J274-H274+M274-K274+Q274-N274</f>
        <v>0</v>
      </c>
      <c r="S274" s="113">
        <f>IF(K274&gt;0,K274-I274,0)+IF(N274&gt;0,N274-L274)</f>
        <v>0</v>
      </c>
      <c r="T274" s="113">
        <f>IF(H274&gt;0,(IF(R274&gt;B_Pause1Nach,B_Pause1Dauer+IF(BA274="Büro",B_WalkTime,0),IF(BA274="Büro",B_WalkTime,0))+IF(R274&gt;B_Pause2Nach,B_Pause2Dauer,0)),0)</f>
        <v>0</v>
      </c>
      <c r="U274" s="113">
        <f>IF(T274&gt;S274,T274-S274,0)</f>
        <v>0</v>
      </c>
      <c r="V274" s="146">
        <f>IF(F274="S",Z274,(IF((R274-U274)&gt;XWorkTimeMax,XWorkTimeMax,IF((R274-U274)&gt;0,R274-U274,0))))</f>
        <v>0</v>
      </c>
      <c r="W274" s="66"/>
      <c r="X274" s="115">
        <f>xNoWorkTime</f>
        <v>4.027777777777778E-2</v>
      </c>
      <c r="Y274" s="110">
        <f>IF(AND((AM274&lt;Feiertag),(G274&lt;&gt;85)),IF(OR(F274="B",F274="G",F274="S",H274&gt;0),H274-H274+Z274,0),0)</f>
        <v>0</v>
      </c>
      <c r="Z274" s="111">
        <f>IF(AND(AM274&gt;0,AM274&lt;Feiertag),INDEX(Arbeitszeit,AM274),"")</f>
        <v>0.29166666666666669</v>
      </c>
      <c r="AA274" s="112">
        <f>V274-Y274</f>
        <v>0</v>
      </c>
      <c r="AB274" s="67" t="str">
        <f>IF((V274-Y274)&lt;0,"*","")</f>
        <v/>
      </c>
      <c r="AC274" s="193">
        <f>xOverTime</f>
        <v>0</v>
      </c>
      <c r="AD274" s="144" t="str">
        <f>IF((R274-U274)&gt;XWorkTimeMax,(R274-U274-XWorkTimeMax),"")</f>
        <v/>
      </c>
      <c r="AE274" s="225">
        <f>IF(AW274,(AE273+SUM(AA274)+(IF(AG274="+",AF274,-AF274))),)</f>
        <v>0</v>
      </c>
      <c r="AF274" s="110"/>
      <c r="AG274" s="627"/>
      <c r="AH274" s="110"/>
      <c r="AI274" s="110" t="str">
        <f>IF(AND(AF274&lt;&gt;"",AF274&lt;=V274),V274-AF274,"")</f>
        <v/>
      </c>
      <c r="AJ274" s="68">
        <f>IF(ISNUMBER(V274 ), IF( V274 &gt;= Y274, Y274, V274 ),"")</f>
        <v>0</v>
      </c>
      <c r="AK274" s="68">
        <f>IF( ISNUMBER( V274 ), IF( V274 &gt;= Y274, V274 - Y274, "" ), "" )</f>
        <v>0</v>
      </c>
      <c r="AL274" s="68" t="str">
        <f>IF( AND(ISNUMBER( V274 ),ISNUMBER( Y274 )), IF( V274 &gt;= Y274, "", Y274 - V274 ), "" )</f>
        <v/>
      </c>
      <c r="AM274">
        <f>IF(A274="",0,IF(ISERROR(VLOOKUP(A274,db_Feiertag,2,FALSE)),WEEKDAY(A274,2),Feiertag))</f>
        <v>2</v>
      </c>
      <c r="AN274" s="122">
        <f>SUM($AD$6:AD274)</f>
        <v>0</v>
      </c>
      <c r="AO274" s="122">
        <f ca="1">IF(D274=D273,AO273,OFFSET(AO274,-1,COLUMN(db_jSaldoGes)-COLUMN()))</f>
        <v>0</v>
      </c>
      <c r="AP274" s="126">
        <f>IF(OR($G274=-1,$G274=82),-1,IF(OR($G274=0,$G274=83),1,0))</f>
        <v>0</v>
      </c>
      <c r="AQ274" s="126">
        <f>IF($F274=Krank,1,IF($F274="J",-1,0))</f>
        <v>0</v>
      </c>
      <c r="AR274" s="126">
        <f>IF($F274=Urlaub,1,IF($F274="T",-1,0))</f>
        <v>0</v>
      </c>
      <c r="AS274" s="125">
        <f>IF(A274="","",AS273-IF(F274=Urlaub,1,0)+IF(AND(MONTH(A274)=1,DAY(A274)=1),B_UrlaubNeu,0))</f>
        <v>30</v>
      </c>
      <c r="AT274" s="125">
        <f ca="1">IF(A274="","",IF(D274=D273,AT273,OFFSET(AT274,-1,COLUMN(db_jUrlRest)-COLUMN()))+IF(AND(MONTH(A274)=1,DAY(A274)=1),B_UrlaubNeu,0))</f>
        <v>30</v>
      </c>
      <c r="AU274" s="135">
        <f>(IF(ISNUMBER(V274),V274,0)+IF(ISNUMBER(AD274),AD274,0))*24</f>
        <v>0</v>
      </c>
      <c r="AV274" s="125">
        <f>IF(ISNUMBER(AD274),K_ArbeitOverMax,IF(AND(ISNUMBER(AA274),AA274&gt;0),K_ArbeitOverTime,IF(AND(ISNUMBER(V274),V274&gt;0),K_ArbeitNormal,IF(F274=Krank,K_Krank,IF(F274=Urlaub,K_Urlaub,IF(AM274=Feiertag,K_Feiertag,IF(OR(AM274=6,AM274=7),K_Wochenende,0)))))))+IF(F274=Gleittag,K_Gleittag,0)</f>
        <v>0</v>
      </c>
      <c r="AW274" t="b">
        <f>OR((F274&gt;0),(NOT(ISBLANK(H274))),SUM(H274:H$373),SUM(G274:G$373))</f>
        <v>0</v>
      </c>
      <c r="AX274" t="b">
        <f ca="1">INDIRECT(ADDRESS(ROW(),COLUMN(xDay)))&gt;5</f>
        <v>0</v>
      </c>
      <c r="AY274" s="600">
        <f>IF(OR(R274&lt;&gt;0,F274&lt;&gt;0),AA274,IF(Z274="",0,-Z274))+(IF(AG274="+",AF274,-AF274))</f>
        <v>-0.29166666666666669</v>
      </c>
      <c r="AZ274" s="225">
        <f>SUM(AY$5:AY274)</f>
        <v>-53.958333333333208</v>
      </c>
      <c r="BA274" s="658"/>
      <c r="BB274" s="658">
        <f>IF(ISNA(MATCH(BA274,B_Arbeitsort,0)),0,MATCH(BA274,B_Arbeitsort,0))</f>
        <v>0</v>
      </c>
      <c r="BC274" s="658"/>
    </row>
    <row r="275" spans="1:55" ht="15.75">
      <c r="A275" s="305">
        <f>IF(A274="","",IF((A274+1)&gt;=DATE(YEAR(xJahr)+1,MONTH(xJahr),DAY(xJahr)),"",A274+1))</f>
        <v>43734</v>
      </c>
      <c r="B275" s="306">
        <f>IF(A275="","",A275)</f>
        <v>43734</v>
      </c>
      <c r="C275" s="307">
        <f>IF(A275="","",NumberOfWeek(A275))</f>
        <v>39</v>
      </c>
      <c r="D275" s="308">
        <f>IF(A275="","",DATE(YEAR(A275),MONTH(A275),1))</f>
        <v>43708</v>
      </c>
      <c r="E275" s="318" t="str">
        <f>IF((R275-U275)&gt;XWorkTimeMax,$Z$4,IF(AV275=Feiertag,VLOOKUP(B275,db_Feiertag,2,FALSE),""))</f>
        <v/>
      </c>
      <c r="F275" s="5"/>
      <c r="G275" s="6" t="str">
        <f>IF(ISBLANK(F275),IF(ISBLANK(H275),"",0),CODE(UPPER(F275)))</f>
        <v/>
      </c>
      <c r="H275" s="7"/>
      <c r="I275" s="7">
        <f>IF(H275&gt;0,H275+Y275+X275+AC275,0)</f>
        <v>0</v>
      </c>
      <c r="J275" s="113">
        <f>IF(K275&gt;I275,IF(I275&lt;H275,I275+1,I275)-B_WalkTime,IF(I275&lt;H275,I275+1,I275))</f>
        <v>0</v>
      </c>
      <c r="K275" s="7"/>
      <c r="L275" s="7">
        <f>IF(K275&gt;0,K275+IF((J275-H275)&lt;Y275,Y275-(J275-H275),TIME(0,10,0))+IF((K275-J275)&gt;xNoWorkTime,0,xNoWorkTime-(K275-J275)),0)</f>
        <v>0</v>
      </c>
      <c r="M275" s="113">
        <f>IF(L275&lt;K275,L275+1,L275)</f>
        <v>0</v>
      </c>
      <c r="N275" s="113"/>
      <c r="O275" s="113">
        <f>IF(N275&gt;0,N275+IF((J275-H275+M275-K275)&lt;Y275,Y275-(J275-H275+M275-K275),TIME(0,10,0))+IF((K275-J275+N275-M275)&gt;xNoWorkTime,0,xNoWorkTime-(K275-J275+N275-M275)),0)</f>
        <v>0</v>
      </c>
      <c r="P275" s="113"/>
      <c r="Q275" s="113">
        <f>IF(O275&lt;N275,O275+1,O275)</f>
        <v>0</v>
      </c>
      <c r="R275" s="113">
        <f>J275-H275+M275-K275+Q275-N275</f>
        <v>0</v>
      </c>
      <c r="S275" s="113">
        <f>IF(K275&gt;0,K275-I275,0)+IF(N275&gt;0,N275-L275)</f>
        <v>0</v>
      </c>
      <c r="T275" s="113">
        <f>IF(H275&gt;0,(IF(R275&gt;B_Pause1Nach,B_Pause1Dauer+IF(BA275="Büro",B_WalkTime,0),IF(BA275="Büro",B_WalkTime,0))+IF(R275&gt;B_Pause2Nach,B_Pause2Dauer,0)),0)</f>
        <v>0</v>
      </c>
      <c r="U275" s="113">
        <f>IF(T275&gt;S275,T275-S275,0)</f>
        <v>0</v>
      </c>
      <c r="V275" s="146">
        <f>IF(F275="S",Z275,(IF((R275-U275)&gt;XWorkTimeMax,XWorkTimeMax,IF((R275-U275)&gt;0,R275-U275,0))))</f>
        <v>0</v>
      </c>
      <c r="W275" s="66"/>
      <c r="X275" s="115">
        <f>xNoWorkTime</f>
        <v>4.027777777777778E-2</v>
      </c>
      <c r="Y275" s="110">
        <f>IF(AND((AM275&lt;Feiertag),(G275&lt;&gt;85)),IF(OR(F275="B",F275="G",F275="S",H275&gt;0),H275-H275+Z275,0),0)</f>
        <v>0</v>
      </c>
      <c r="Z275" s="111">
        <f>IF(AND(AM275&gt;0,AM275&lt;Feiertag),INDEX(Arbeitszeit,AM275),"")</f>
        <v>0.29166666666666669</v>
      </c>
      <c r="AA275" s="112">
        <f>V275-Y275</f>
        <v>0</v>
      </c>
      <c r="AB275" s="67" t="str">
        <f>IF((V275-Y275)&lt;0,"*","")</f>
        <v/>
      </c>
      <c r="AC275" s="193">
        <f>xOverTime</f>
        <v>0</v>
      </c>
      <c r="AD275" s="144" t="str">
        <f>IF((R275-U275)&gt;XWorkTimeMax,(R275-U275-XWorkTimeMax),"")</f>
        <v/>
      </c>
      <c r="AE275" s="225">
        <f>IF(AW275,(AE274+SUM(AA275)+(IF(AG275="+",AF275,-AF275))),)</f>
        <v>0</v>
      </c>
      <c r="AF275" s="110"/>
      <c r="AG275" s="627"/>
      <c r="AH275" s="110"/>
      <c r="AI275" s="110" t="str">
        <f>IF(AND(AF275&lt;&gt;"",AF275&lt;=V275),V275-AF275,"")</f>
        <v/>
      </c>
      <c r="AJ275" s="68">
        <f>IF(ISNUMBER(V275 ), IF( V275 &gt;= Y275, Y275, V275 ),"")</f>
        <v>0</v>
      </c>
      <c r="AK275" s="68">
        <f>IF( ISNUMBER( V275 ), IF( V275 &gt;= Y275, V275 - Y275, "" ), "" )</f>
        <v>0</v>
      </c>
      <c r="AL275" s="68" t="str">
        <f>IF( AND(ISNUMBER( V275 ),ISNUMBER( Y275 )), IF( V275 &gt;= Y275, "", Y275 - V275 ), "" )</f>
        <v/>
      </c>
      <c r="AM275">
        <f>IF(A275="",0,IF(ISERROR(VLOOKUP(A275,db_Feiertag,2,FALSE)),WEEKDAY(A275,2),Feiertag))</f>
        <v>3</v>
      </c>
      <c r="AN275" s="122">
        <f>SUM($AD$6:AD275)</f>
        <v>0</v>
      </c>
      <c r="AO275" s="122">
        <f ca="1">IF(D275=D274,AO274,OFFSET(AO275,-1,COLUMN(db_jSaldoGes)-COLUMN()))</f>
        <v>0</v>
      </c>
      <c r="AP275" s="126">
        <f>IF(OR($G275=-1,$G275=82),-1,IF(OR($G275=0,$G275=83),1,0))</f>
        <v>0</v>
      </c>
      <c r="AQ275" s="126">
        <f>IF($F275=Krank,1,IF($F275="J",-1,0))</f>
        <v>0</v>
      </c>
      <c r="AR275" s="126">
        <f>IF($F275=Urlaub,1,IF($F275="T",-1,0))</f>
        <v>0</v>
      </c>
      <c r="AS275" s="125">
        <f>IF(A275="","",AS274-IF(F275=Urlaub,1,0)+IF(AND(MONTH(A275)=1,DAY(A275)=1),B_UrlaubNeu,0))</f>
        <v>30</v>
      </c>
      <c r="AT275" s="125">
        <f ca="1">IF(A275="","",IF(D275=D274,AT274,OFFSET(AT275,-1,COLUMN(db_jUrlRest)-COLUMN()))+IF(AND(MONTH(A275)=1,DAY(A275)=1),B_UrlaubNeu,0))</f>
        <v>30</v>
      </c>
      <c r="AU275" s="135">
        <f>(IF(ISNUMBER(V275),V275,0)+IF(ISNUMBER(AD275),AD275,0))*24</f>
        <v>0</v>
      </c>
      <c r="AV275" s="125">
        <f>IF(ISNUMBER(AD275),K_ArbeitOverMax,IF(AND(ISNUMBER(AA275),AA275&gt;0),K_ArbeitOverTime,IF(AND(ISNUMBER(V275),V275&gt;0),K_ArbeitNormal,IF(F275=Krank,K_Krank,IF(F275=Urlaub,K_Urlaub,IF(AM275=Feiertag,K_Feiertag,IF(OR(AM275=6,AM275=7),K_Wochenende,0)))))))+IF(F275=Gleittag,K_Gleittag,0)</f>
        <v>0</v>
      </c>
      <c r="AW275" t="b">
        <f>OR((F275&gt;0),(NOT(ISBLANK(H275))),SUM(H275:H$373),SUM(G275:G$373))</f>
        <v>0</v>
      </c>
      <c r="AX275" t="b">
        <f ca="1">INDIRECT(ADDRESS(ROW(),COLUMN(xDay)))&gt;5</f>
        <v>0</v>
      </c>
      <c r="AY275" s="600">
        <f>IF(OR(R275&lt;&gt;0,F275&lt;&gt;0),AA275,IF(Z275="",0,-Z275))+(IF(AG275="+",AF275,-AF275))</f>
        <v>-0.29166666666666669</v>
      </c>
      <c r="AZ275" s="225">
        <f>SUM(AY$5:AY275)</f>
        <v>-54.249999999999872</v>
      </c>
      <c r="BA275" s="658"/>
      <c r="BB275" s="658">
        <f>IF(ISNA(MATCH(BA275,B_Arbeitsort,0)),0,MATCH(BA275,B_Arbeitsort,0))</f>
        <v>0</v>
      </c>
      <c r="BC275" s="658"/>
    </row>
    <row r="276" spans="1:55" ht="15.75">
      <c r="A276" s="305">
        <f>IF(A275="","",IF((A275+1)&gt;=DATE(YEAR(xJahr)+1,MONTH(xJahr),DAY(xJahr)),"",A275+1))</f>
        <v>43735</v>
      </c>
      <c r="B276" s="306">
        <f>IF(A276="","",A276)</f>
        <v>43735</v>
      </c>
      <c r="C276" s="307">
        <f>IF(A276="","",NumberOfWeek(A276))</f>
        <v>39</v>
      </c>
      <c r="D276" s="308">
        <f>IF(A276="","",DATE(YEAR(A276),MONTH(A276),1))</f>
        <v>43708</v>
      </c>
      <c r="E276" s="318" t="str">
        <f>IF((R276-U276)&gt;XWorkTimeMax,$Z$4,IF(AV276=Feiertag,VLOOKUP(B276,db_Feiertag,2,FALSE),""))</f>
        <v/>
      </c>
      <c r="F276" s="5"/>
      <c r="G276" s="6" t="str">
        <f>IF(ISBLANK(F276),IF(ISBLANK(H276),"",0),CODE(UPPER(F276)))</f>
        <v/>
      </c>
      <c r="H276" s="7"/>
      <c r="I276" s="7">
        <f>IF(H276&gt;0,H276+Y276+X276+AC276,0)</f>
        <v>0</v>
      </c>
      <c r="J276" s="113">
        <f>IF(K276&gt;I276,IF(I276&lt;H276,I276+1,I276)-B_WalkTime,IF(I276&lt;H276,I276+1,I276))</f>
        <v>0</v>
      </c>
      <c r="K276" s="7"/>
      <c r="L276" s="7">
        <f>IF(K276&gt;0,K276+IF((J276-H276)&lt;Y276,Y276-(J276-H276),TIME(0,10,0))+IF((K276-J276)&gt;xNoWorkTime,0,xNoWorkTime-(K276-J276)),0)</f>
        <v>0</v>
      </c>
      <c r="M276" s="113">
        <f>IF(L276&lt;K276,L276+1,L276)</f>
        <v>0</v>
      </c>
      <c r="N276" s="113"/>
      <c r="O276" s="113">
        <f>IF(N276&gt;0,N276+IF((J276-H276+M276-K276)&lt;Y276,Y276-(J276-H276+M276-K276),TIME(0,10,0))+IF((K276-J276+N276-M276)&gt;xNoWorkTime,0,xNoWorkTime-(K276-J276+N276-M276)),0)</f>
        <v>0</v>
      </c>
      <c r="P276" s="113"/>
      <c r="Q276" s="113">
        <f>IF(O276&lt;N276,O276+1,O276)</f>
        <v>0</v>
      </c>
      <c r="R276" s="113">
        <f>J276-H276+M276-K276+Q276-N276</f>
        <v>0</v>
      </c>
      <c r="S276" s="113">
        <f>IF(K276&gt;0,K276-I276,0)+IF(N276&gt;0,N276-L276)</f>
        <v>0</v>
      </c>
      <c r="T276" s="113">
        <f>IF(H276&gt;0,(IF(R276&gt;B_Pause1Nach,B_Pause1Dauer+IF(BA276="Büro",B_WalkTime,0),IF(BA276="Büro",B_WalkTime,0))+IF(R276&gt;B_Pause2Nach,B_Pause2Dauer,0)),0)</f>
        <v>0</v>
      </c>
      <c r="U276" s="113">
        <f>IF(T276&gt;S276,T276-S276,0)</f>
        <v>0</v>
      </c>
      <c r="V276" s="146">
        <f>IF(F276="S",Z276,(IF((R276-U276)&gt;XWorkTimeMax,XWorkTimeMax,IF((R276-U276)&gt;0,R276-U276,0))))</f>
        <v>0</v>
      </c>
      <c r="W276" s="66"/>
      <c r="X276" s="115">
        <f>xNoWorkTime</f>
        <v>4.027777777777778E-2</v>
      </c>
      <c r="Y276" s="110">
        <f>IF(AND((AM276&lt;Feiertag),(G276&lt;&gt;85)),IF(OR(F276="B",F276="G",F276="S",H276&gt;0),H276-H276+Z276,0),0)</f>
        <v>0</v>
      </c>
      <c r="Z276" s="111">
        <f>IF(AND(AM276&gt;0,AM276&lt;Feiertag),INDEX(Arbeitszeit,AM276),"")</f>
        <v>0.29166666666666669</v>
      </c>
      <c r="AA276" s="112">
        <f>V276-Y276</f>
        <v>0</v>
      </c>
      <c r="AB276" s="67" t="str">
        <f>IF((V276-Y276)&lt;0,"*","")</f>
        <v/>
      </c>
      <c r="AC276" s="193">
        <f>xOverTime</f>
        <v>0</v>
      </c>
      <c r="AD276" s="144" t="str">
        <f>IF((R276-U276)&gt;XWorkTimeMax,(R276-U276-XWorkTimeMax),"")</f>
        <v/>
      </c>
      <c r="AE276" s="225">
        <f>IF(AW276,(AE275+SUM(AA276)+(IF(AG276="+",AF276,-AF276))),)</f>
        <v>0</v>
      </c>
      <c r="AF276" s="110"/>
      <c r="AG276" s="627"/>
      <c r="AH276" s="110"/>
      <c r="AI276" s="110" t="str">
        <f>IF(AND(AF276&lt;&gt;"",AF276&lt;=V276),V276-AF276,"")</f>
        <v/>
      </c>
      <c r="AJ276" s="68">
        <f>IF(ISNUMBER(V276 ), IF( V276 &gt;= Y276, Y276, V276 ),"")</f>
        <v>0</v>
      </c>
      <c r="AK276" s="68">
        <f>IF( ISNUMBER( V276 ), IF( V276 &gt;= Y276, V276 - Y276, "" ), "" )</f>
        <v>0</v>
      </c>
      <c r="AL276" s="68" t="str">
        <f>IF( AND(ISNUMBER( V276 ),ISNUMBER( Y276 )), IF( V276 &gt;= Y276, "", Y276 - V276 ), "" )</f>
        <v/>
      </c>
      <c r="AM276">
        <f>IF(A276="",0,IF(ISERROR(VLOOKUP(A276,db_Feiertag,2,FALSE)),WEEKDAY(A276,2),Feiertag))</f>
        <v>4</v>
      </c>
      <c r="AN276" s="122">
        <f>SUM($AD$6:AD276)</f>
        <v>0</v>
      </c>
      <c r="AO276" s="122">
        <f ca="1">IF(D276=D275,AO275,OFFSET(AO276,-1,COLUMN(db_jSaldoGes)-COLUMN()))</f>
        <v>0</v>
      </c>
      <c r="AP276" s="126">
        <f>IF(OR($G276=-1,$G276=82),-1,IF(OR($G276=0,$G276=83),1,0))</f>
        <v>0</v>
      </c>
      <c r="AQ276" s="126">
        <f>IF($F276=Krank,1,IF($F276="J",-1,0))</f>
        <v>0</v>
      </c>
      <c r="AR276" s="126">
        <f>IF($F276=Urlaub,1,IF($F276="T",-1,0))</f>
        <v>0</v>
      </c>
      <c r="AS276" s="125">
        <f>IF(A276="","",AS275-IF(F276=Urlaub,1,0)+IF(AND(MONTH(A276)=1,DAY(A276)=1),B_UrlaubNeu,0))</f>
        <v>30</v>
      </c>
      <c r="AT276" s="125">
        <f ca="1">IF(A276="","",IF(D276=D275,AT275,OFFSET(AT276,-1,COLUMN(db_jUrlRest)-COLUMN()))+IF(AND(MONTH(A276)=1,DAY(A276)=1),B_UrlaubNeu,0))</f>
        <v>30</v>
      </c>
      <c r="AU276" s="135">
        <f>(IF(ISNUMBER(V276),V276,0)+IF(ISNUMBER(AD276),AD276,0))*24</f>
        <v>0</v>
      </c>
      <c r="AV276" s="125">
        <f>IF(ISNUMBER(AD276),K_ArbeitOverMax,IF(AND(ISNUMBER(AA276),AA276&gt;0),K_ArbeitOverTime,IF(AND(ISNUMBER(V276),V276&gt;0),K_ArbeitNormal,IF(F276=Krank,K_Krank,IF(F276=Urlaub,K_Urlaub,IF(AM276=Feiertag,K_Feiertag,IF(OR(AM276=6,AM276=7),K_Wochenende,0)))))))+IF(F276=Gleittag,K_Gleittag,0)</f>
        <v>0</v>
      </c>
      <c r="AW276" t="b">
        <f>OR((F276&gt;0),(NOT(ISBLANK(H276))),SUM(H276:H$373),SUM(G276:G$373))</f>
        <v>0</v>
      </c>
      <c r="AX276" t="b">
        <f ca="1">INDIRECT(ADDRESS(ROW(),COLUMN(xDay)))&gt;5</f>
        <v>0</v>
      </c>
      <c r="AY276" s="600">
        <f>IF(OR(R276&lt;&gt;0,F276&lt;&gt;0),AA276,IF(Z276="",0,-Z276))+(IF(AG276="+",AF276,-AF276))</f>
        <v>-0.29166666666666669</v>
      </c>
      <c r="AZ276" s="225">
        <f>SUM(AY$5:AY276)</f>
        <v>-54.541666666666536</v>
      </c>
      <c r="BA276" s="658"/>
      <c r="BB276" s="658">
        <f>IF(ISNA(MATCH(BA276,B_Arbeitsort,0)),0,MATCH(BA276,B_Arbeitsort,0))</f>
        <v>0</v>
      </c>
      <c r="BC276" s="658"/>
    </row>
    <row r="277" spans="1:55" ht="15.75">
      <c r="A277" s="305">
        <f>IF(A276="","",IF((A276+1)&gt;=DATE(YEAR(xJahr)+1,MONTH(xJahr),DAY(xJahr)),"",A276+1))</f>
        <v>43736</v>
      </c>
      <c r="B277" s="306">
        <f>IF(A277="","",A277)</f>
        <v>43736</v>
      </c>
      <c r="C277" s="307">
        <f>IF(A277="","",NumberOfWeek(A277))</f>
        <v>39</v>
      </c>
      <c r="D277" s="308">
        <f>IF(A277="","",DATE(YEAR(A277),MONTH(A277),1))</f>
        <v>43708</v>
      </c>
      <c r="E277" s="318" t="str">
        <f>IF((R277-U277)&gt;XWorkTimeMax,$Z$4,IF(AV277=Feiertag,VLOOKUP(B277,db_Feiertag,2,FALSE),""))</f>
        <v/>
      </c>
      <c r="F277" s="5"/>
      <c r="G277" s="6" t="str">
        <f>IF(ISBLANK(F277),IF(ISBLANK(H277),"",0),CODE(UPPER(F277)))</f>
        <v/>
      </c>
      <c r="H277" s="7"/>
      <c r="I277" s="7">
        <f>IF(H277&gt;0,H277+Y277+X277+AC277,0)</f>
        <v>0</v>
      </c>
      <c r="J277" s="113">
        <f>IF(K277&gt;I277,IF(I277&lt;H277,I277+1,I277)-B_WalkTime,IF(I277&lt;H277,I277+1,I277))</f>
        <v>0</v>
      </c>
      <c r="K277" s="7"/>
      <c r="L277" s="7">
        <f>IF(K277&gt;0,K277+IF((J277-H277)&lt;Y277,Y277-(J277-H277),TIME(0,10,0))+IF((K277-J277)&gt;xNoWorkTime,0,xNoWorkTime-(K277-J277)),0)</f>
        <v>0</v>
      </c>
      <c r="M277" s="113">
        <f>IF(L277&lt;K277,L277+1,L277)</f>
        <v>0</v>
      </c>
      <c r="N277" s="113"/>
      <c r="O277" s="113">
        <f>IF(N277&gt;0,N277+IF((J277-H277+M277-K277)&lt;Y277,Y277-(J277-H277+M277-K277),TIME(0,10,0))+IF((K277-J277+N277-M277)&gt;xNoWorkTime,0,xNoWorkTime-(K277-J277+N277-M277)),0)</f>
        <v>0</v>
      </c>
      <c r="P277" s="113"/>
      <c r="Q277" s="113">
        <f>IF(O277&lt;N277,O277+1,O277)</f>
        <v>0</v>
      </c>
      <c r="R277" s="113">
        <f>J277-H277+M277-K277+Q277-N277</f>
        <v>0</v>
      </c>
      <c r="S277" s="113">
        <f>IF(K277&gt;0,K277-I277,0)+IF(N277&gt;0,N277-L277)</f>
        <v>0</v>
      </c>
      <c r="T277" s="113">
        <f>IF(H277&gt;0,(IF(R277&gt;B_Pause1Nach,B_Pause1Dauer+IF(BA277="Büro",B_WalkTime,0),IF(BA277="Büro",B_WalkTime,0))+IF(R277&gt;B_Pause2Nach,B_Pause2Dauer,0)),0)</f>
        <v>0</v>
      </c>
      <c r="U277" s="113">
        <f>IF(T277&gt;S277,T277-S277,0)</f>
        <v>0</v>
      </c>
      <c r="V277" s="146">
        <f>IF(F277="S",Z277,(IF((R277-U277)&gt;XWorkTimeMax,XWorkTimeMax,IF((R277-U277)&gt;0,R277-U277,0))))</f>
        <v>0</v>
      </c>
      <c r="W277" s="66"/>
      <c r="X277" s="115">
        <f>xNoWorkTime</f>
        <v>4.027777777777778E-2</v>
      </c>
      <c r="Y277" s="110">
        <f>IF(AND((AM277&lt;Feiertag),(G277&lt;&gt;85)),IF(OR(F277="B",F277="G",F277="S",H277&gt;0),H277-H277+Z277,0),0)</f>
        <v>0</v>
      </c>
      <c r="Z277" s="111">
        <f>IF(AND(AM277&gt;0,AM277&lt;Feiertag),INDEX(Arbeitszeit,AM277),"")</f>
        <v>0.29166666666666669</v>
      </c>
      <c r="AA277" s="112">
        <f>V277-Y277</f>
        <v>0</v>
      </c>
      <c r="AB277" s="67" t="str">
        <f>IF((V277-Y277)&lt;0,"*","")</f>
        <v/>
      </c>
      <c r="AC277" s="193">
        <f>xOverTime</f>
        <v>0</v>
      </c>
      <c r="AD277" s="144" t="str">
        <f>IF((R277-U277)&gt;XWorkTimeMax,(R277-U277-XWorkTimeMax),"")</f>
        <v/>
      </c>
      <c r="AE277" s="225">
        <f>IF(AW277,(AE276+SUM(AA277)+(IF(AG277="+",AF277,-AF277))),)</f>
        <v>0</v>
      </c>
      <c r="AF277" s="110"/>
      <c r="AG277" s="627"/>
      <c r="AH277" s="110"/>
      <c r="AI277" s="110" t="str">
        <f>IF(AND(AF277&lt;&gt;"",AF277&lt;=V277),V277-AF277,"")</f>
        <v/>
      </c>
      <c r="AJ277" s="68">
        <f>IF(ISNUMBER(V277 ), IF( V277 &gt;= Y277, Y277, V277 ),"")</f>
        <v>0</v>
      </c>
      <c r="AK277" s="68">
        <f>IF( ISNUMBER( V277 ), IF( V277 &gt;= Y277, V277 - Y277, "" ), "" )</f>
        <v>0</v>
      </c>
      <c r="AL277" s="68" t="str">
        <f>IF( AND(ISNUMBER( V277 ),ISNUMBER( Y277 )), IF( V277 &gt;= Y277, "", Y277 - V277 ), "" )</f>
        <v/>
      </c>
      <c r="AM277">
        <f>IF(A277="",0,IF(ISERROR(VLOOKUP(A277,db_Feiertag,2,FALSE)),WEEKDAY(A277,2),Feiertag))</f>
        <v>5</v>
      </c>
      <c r="AN277" s="122">
        <f>SUM($AD$6:AD277)</f>
        <v>0</v>
      </c>
      <c r="AO277" s="122">
        <f ca="1">IF(D277=D276,AO276,OFFSET(AO277,-1,COLUMN(db_jSaldoGes)-COLUMN()))</f>
        <v>0</v>
      </c>
      <c r="AP277" s="126">
        <f>IF(OR($G277=-1,$G277=82),-1,IF(OR($G277=0,$G277=83),1,0))</f>
        <v>0</v>
      </c>
      <c r="AQ277" s="126">
        <f>IF($F277=Krank,1,IF($F277="J",-1,0))</f>
        <v>0</v>
      </c>
      <c r="AR277" s="126">
        <f>IF($F277=Urlaub,1,IF($F277="T",-1,0))</f>
        <v>0</v>
      </c>
      <c r="AS277" s="125">
        <f>IF(A277="","",AS276-IF(F277=Urlaub,1,0)+IF(AND(MONTH(A277)=1,DAY(A277)=1),B_UrlaubNeu,0))</f>
        <v>30</v>
      </c>
      <c r="AT277" s="125">
        <f ca="1">IF(A277="","",IF(D277=D276,AT276,OFFSET(AT277,-1,COLUMN(db_jUrlRest)-COLUMN()))+IF(AND(MONTH(A277)=1,DAY(A277)=1),B_UrlaubNeu,0))</f>
        <v>30</v>
      </c>
      <c r="AU277" s="135">
        <f>(IF(ISNUMBER(V277),V277,0)+IF(ISNUMBER(AD277),AD277,0))*24</f>
        <v>0</v>
      </c>
      <c r="AV277" s="125">
        <f>IF(ISNUMBER(AD277),K_ArbeitOverMax,IF(AND(ISNUMBER(AA277),AA277&gt;0),K_ArbeitOverTime,IF(AND(ISNUMBER(V277),V277&gt;0),K_ArbeitNormal,IF(F277=Krank,K_Krank,IF(F277=Urlaub,K_Urlaub,IF(AM277=Feiertag,K_Feiertag,IF(OR(AM277=6,AM277=7),K_Wochenende,0)))))))+IF(F277=Gleittag,K_Gleittag,0)</f>
        <v>0</v>
      </c>
      <c r="AW277" t="b">
        <f>OR((F277&gt;0),(NOT(ISBLANK(H277))),SUM(H277:H$373),SUM(G277:G$373))</f>
        <v>0</v>
      </c>
      <c r="AX277" t="b">
        <f ca="1">INDIRECT(ADDRESS(ROW(),COLUMN(xDay)))&gt;5</f>
        <v>0</v>
      </c>
      <c r="AY277" s="600">
        <f>IF(OR(R277&lt;&gt;0,F277&lt;&gt;0),AA277,IF(Z277="",0,-Z277))+(IF(AG277="+",AF277,-AF277))</f>
        <v>-0.29166666666666669</v>
      </c>
      <c r="AZ277" s="225">
        <f>SUM(AY$5:AY277)</f>
        <v>-54.833333333333201</v>
      </c>
      <c r="BA277" s="658"/>
      <c r="BB277" s="658">
        <f>IF(ISNA(MATCH(BA277,B_Arbeitsort,0)),0,MATCH(BA277,B_Arbeitsort,0))</f>
        <v>0</v>
      </c>
      <c r="BC277" s="658"/>
    </row>
    <row r="278" spans="1:55" ht="15.75">
      <c r="A278" s="305">
        <f>IF(A277="","",IF((A277+1)&gt;=DATE(YEAR(xJahr)+1,MONTH(xJahr),DAY(xJahr)),"",A277+1))</f>
        <v>43737</v>
      </c>
      <c r="B278" s="306">
        <f>IF(A278="","",A278)</f>
        <v>43737</v>
      </c>
      <c r="C278" s="307">
        <f>IF(A278="","",NumberOfWeek(A278))</f>
        <v>39</v>
      </c>
      <c r="D278" s="308">
        <f>IF(A278="","",DATE(YEAR(A278),MONTH(A278),1))</f>
        <v>43708</v>
      </c>
      <c r="E278" s="318" t="str">
        <f>IF((R278-U278)&gt;XWorkTimeMax,$Z$4,IF(AV278=Feiertag,VLOOKUP(B278,db_Feiertag,2,FALSE),""))</f>
        <v/>
      </c>
      <c r="F278" s="5"/>
      <c r="G278" s="6" t="str">
        <f>IF(ISBLANK(F278),IF(ISBLANK(H278),"",0),CODE(UPPER(F278)))</f>
        <v/>
      </c>
      <c r="H278" s="7"/>
      <c r="I278" s="7">
        <f>IF(H278&gt;0,H278+Y278+X278+AC278,0)</f>
        <v>0</v>
      </c>
      <c r="J278" s="113">
        <f>IF(K278&gt;I278,IF(I278&lt;H278,I278+1,I278)-B_WalkTime,IF(I278&lt;H278,I278+1,I278))</f>
        <v>0</v>
      </c>
      <c r="K278" s="7"/>
      <c r="L278" s="7">
        <f>IF(K278&gt;0,K278+IF((J278-H278)&lt;Y278,Y278-(J278-H278),TIME(0,10,0))+IF((K278-J278)&gt;xNoWorkTime,0,xNoWorkTime-(K278-J278)),0)</f>
        <v>0</v>
      </c>
      <c r="M278" s="113">
        <f>IF(L278&lt;K278,L278+1,L278)</f>
        <v>0</v>
      </c>
      <c r="N278" s="113"/>
      <c r="O278" s="113">
        <f>IF(N278&gt;0,N278+IF((J278-H278+M278-K278)&lt;Y278,Y278-(J278-H278+M278-K278),TIME(0,10,0))+IF((K278-J278+N278-M278)&gt;xNoWorkTime,0,xNoWorkTime-(K278-J278+N278-M278)),0)</f>
        <v>0</v>
      </c>
      <c r="P278" s="113"/>
      <c r="Q278" s="113">
        <f>IF(O278&lt;N278,O278+1,O278)</f>
        <v>0</v>
      </c>
      <c r="R278" s="113">
        <f>J278-H278+M278-K278+Q278-N278</f>
        <v>0</v>
      </c>
      <c r="S278" s="113">
        <f>IF(K278&gt;0,K278-I278,0)+IF(N278&gt;0,N278-L278)</f>
        <v>0</v>
      </c>
      <c r="T278" s="113">
        <f>IF(H278&gt;0,(IF(R278&gt;B_Pause1Nach,B_Pause1Dauer+IF(BA278="Büro",B_WalkTime,0),IF(BA278="Büro",B_WalkTime,0))+IF(R278&gt;B_Pause2Nach,B_Pause2Dauer,0)),0)</f>
        <v>0</v>
      </c>
      <c r="U278" s="113">
        <f>IF(T278&gt;S278,T278-S278,0)</f>
        <v>0</v>
      </c>
      <c r="V278" s="146">
        <f>IF(F278="S",Z278,(IF((R278-U278)&gt;XWorkTimeMax,XWorkTimeMax,IF((R278-U278)&gt;0,R278-U278,0))))</f>
        <v>0</v>
      </c>
      <c r="W278" s="66"/>
      <c r="X278" s="115">
        <f>xNoWorkTime</f>
        <v>4.027777777777778E-2</v>
      </c>
      <c r="Y278" s="110">
        <f>IF(AND((AM278&lt;Feiertag),(G278&lt;&gt;85)),IF(OR(F278="B",F278="G",F278="S",H278&gt;0),H278-H278+Z278,0),0)</f>
        <v>0</v>
      </c>
      <c r="Z278" s="111">
        <f>IF(AND(AM278&gt;0,AM278&lt;Feiertag),INDEX(Arbeitszeit,AM278),"")</f>
        <v>0</v>
      </c>
      <c r="AA278" s="112">
        <f>V278-Y278</f>
        <v>0</v>
      </c>
      <c r="AB278" s="67" t="str">
        <f>IF((V278-Y278)&lt;0,"*","")</f>
        <v/>
      </c>
      <c r="AC278" s="193">
        <f>xOverTime</f>
        <v>0</v>
      </c>
      <c r="AD278" s="144" t="str">
        <f>IF((R278-U278)&gt;XWorkTimeMax,(R278-U278-XWorkTimeMax),"")</f>
        <v/>
      </c>
      <c r="AE278" s="225">
        <f>IF(AW278,(AE277+SUM(AA278)+(IF(AG278="+",AF278,-AF278))),)</f>
        <v>0</v>
      </c>
      <c r="AF278" s="110"/>
      <c r="AG278" s="627"/>
      <c r="AH278" s="110"/>
      <c r="AI278" s="110" t="str">
        <f>IF(AND(AF278&lt;&gt;"",AF278&lt;=V278),V278-AF278,"")</f>
        <v/>
      </c>
      <c r="AJ278" s="68">
        <f>IF(ISNUMBER(V278 ), IF( V278 &gt;= Y278, Y278, V278 ),"")</f>
        <v>0</v>
      </c>
      <c r="AK278" s="68">
        <f>IF( ISNUMBER( V278 ), IF( V278 &gt;= Y278, V278 - Y278, "" ), "" )</f>
        <v>0</v>
      </c>
      <c r="AL278" s="68" t="str">
        <f>IF( AND(ISNUMBER( V278 ),ISNUMBER( Y278 )), IF( V278 &gt;= Y278, "", Y278 - V278 ), "" )</f>
        <v/>
      </c>
      <c r="AM278">
        <f>IF(A278="",0,IF(ISERROR(VLOOKUP(A278,db_Feiertag,2,FALSE)),WEEKDAY(A278,2),Feiertag))</f>
        <v>6</v>
      </c>
      <c r="AN278" s="122">
        <f>SUM($AD$6:AD278)</f>
        <v>0</v>
      </c>
      <c r="AO278" s="122">
        <f ca="1">IF(D278=D277,AO277,OFFSET(AO278,-1,COLUMN(db_jSaldoGes)-COLUMN()))</f>
        <v>0</v>
      </c>
      <c r="AP278" s="126">
        <f>IF(OR($G278=-1,$G278=82),-1,IF(OR($G278=0,$G278=83),1,0))</f>
        <v>0</v>
      </c>
      <c r="AQ278" s="126">
        <f>IF($F278=Krank,1,IF($F278="J",-1,0))</f>
        <v>0</v>
      </c>
      <c r="AR278" s="126">
        <f>IF($F278=Urlaub,1,IF($F278="T",-1,0))</f>
        <v>0</v>
      </c>
      <c r="AS278" s="125">
        <f>IF(A278="","",AS277-IF(F278=Urlaub,1,0)+IF(AND(MONTH(A278)=1,DAY(A278)=1),B_UrlaubNeu,0))</f>
        <v>30</v>
      </c>
      <c r="AT278" s="125">
        <f ca="1">IF(A278="","",IF(D278=D277,AT277,OFFSET(AT278,-1,COLUMN(db_jUrlRest)-COLUMN()))+IF(AND(MONTH(A278)=1,DAY(A278)=1),B_UrlaubNeu,0))</f>
        <v>30</v>
      </c>
      <c r="AU278" s="135">
        <f>(IF(ISNUMBER(V278),V278,0)+IF(ISNUMBER(AD278),AD278,0))*24</f>
        <v>0</v>
      </c>
      <c r="AV278" s="125">
        <f>IF(ISNUMBER(AD278),K_ArbeitOverMax,IF(AND(ISNUMBER(AA278),AA278&gt;0),K_ArbeitOverTime,IF(AND(ISNUMBER(V278),V278&gt;0),K_ArbeitNormal,IF(F278=Krank,K_Krank,IF(F278=Urlaub,K_Urlaub,IF(AM278=Feiertag,K_Feiertag,IF(OR(AM278=6,AM278=7),K_Wochenende,0)))))))+IF(F278=Gleittag,K_Gleittag,0)</f>
        <v>7</v>
      </c>
      <c r="AW278" t="b">
        <f>OR((F278&gt;0),(NOT(ISBLANK(H278))),SUM(H278:H$373),SUM(G278:G$373))</f>
        <v>0</v>
      </c>
      <c r="AX278" t="b">
        <f ca="1">INDIRECT(ADDRESS(ROW(),COLUMN(xDay)))&gt;5</f>
        <v>1</v>
      </c>
      <c r="AY278" s="600">
        <f>IF(OR(R278&lt;&gt;0,F278&lt;&gt;0),AA278,IF(Z278="",0,-Z278))+(IF(AG278="+",AF278,-AF278))</f>
        <v>0</v>
      </c>
      <c r="AZ278" s="225">
        <f>SUM(AY$5:AY278)</f>
        <v>-54.833333333333201</v>
      </c>
      <c r="BA278" s="643"/>
      <c r="BB278" s="658">
        <f>IF(ISNA(MATCH(BA278,B_Arbeitsort,0)),0,MATCH(BA278,B_Arbeitsort,0))</f>
        <v>0</v>
      </c>
      <c r="BC278" s="643"/>
    </row>
    <row r="279" spans="1:55" ht="15.75">
      <c r="A279" s="305">
        <f>IF(A278="","",IF((A278+1)&gt;=DATE(YEAR(xJahr)+1,MONTH(xJahr),DAY(xJahr)),"",A278+1))</f>
        <v>43738</v>
      </c>
      <c r="B279" s="306">
        <f>IF(A279="","",A279)</f>
        <v>43738</v>
      </c>
      <c r="C279" s="307">
        <f>IF(A279="","",NumberOfWeek(A279))</f>
        <v>39</v>
      </c>
      <c r="D279" s="308">
        <f>IF(A279="","",DATE(YEAR(A279),MONTH(A279),1))</f>
        <v>43738</v>
      </c>
      <c r="E279" s="318" t="str">
        <f>IF((R279-U279)&gt;XWorkTimeMax,$Z$4,IF(AV279=Feiertag,VLOOKUP(B279,db_Feiertag,2,FALSE),""))</f>
        <v/>
      </c>
      <c r="F279" s="5"/>
      <c r="G279" s="6" t="str">
        <f>IF(ISBLANK(F279),IF(ISBLANK(H279),"",0),CODE(UPPER(F279)))</f>
        <v/>
      </c>
      <c r="H279" s="7"/>
      <c r="I279" s="7">
        <f>IF(H279&gt;0,H279+Y279+X279+AC279,0)</f>
        <v>0</v>
      </c>
      <c r="J279" s="113">
        <f>IF(K279&gt;I279,IF(I279&lt;H279,I279+1,I279)-B_WalkTime,IF(I279&lt;H279,I279+1,I279))</f>
        <v>0</v>
      </c>
      <c r="K279" s="7"/>
      <c r="L279" s="7">
        <f>IF(K279&gt;0,K279+IF((J279-H279)&lt;Y279,Y279-(J279-H279),TIME(0,10,0))+IF((K279-J279)&gt;xNoWorkTime,0,xNoWorkTime-(K279-J279)),0)</f>
        <v>0</v>
      </c>
      <c r="M279" s="113">
        <f>IF(L279&lt;K279,L279+1,L279)</f>
        <v>0</v>
      </c>
      <c r="N279" s="113"/>
      <c r="O279" s="113">
        <f>IF(N279&gt;0,N279+IF((J279-H279+M279-K279)&lt;Y279,Y279-(J279-H279+M279-K279),TIME(0,10,0))+IF((K279-J279+N279-M279)&gt;xNoWorkTime,0,xNoWorkTime-(K279-J279+N279-M279)),0)</f>
        <v>0</v>
      </c>
      <c r="P279" s="113"/>
      <c r="Q279" s="113">
        <f>IF(O279&lt;N279,O279+1,O279)</f>
        <v>0</v>
      </c>
      <c r="R279" s="113">
        <f>J279-H279+M279-K279+Q279-N279</f>
        <v>0</v>
      </c>
      <c r="S279" s="113">
        <f>IF(K279&gt;0,K279-I279,0)+IF(N279&gt;0,N279-L279)</f>
        <v>0</v>
      </c>
      <c r="T279" s="113">
        <f>IF(H279&gt;0,(IF(R279&gt;B_Pause1Nach,B_Pause1Dauer+IF(BA279="Büro",B_WalkTime,0),IF(BA279="Büro",B_WalkTime,0))+IF(R279&gt;B_Pause2Nach,B_Pause2Dauer,0)),0)</f>
        <v>0</v>
      </c>
      <c r="U279" s="113">
        <f>IF(T279&gt;S279,T279-S279,0)</f>
        <v>0</v>
      </c>
      <c r="V279" s="146">
        <f>IF(F279="S",Z279,(IF((R279-U279)&gt;XWorkTimeMax,XWorkTimeMax,IF((R279-U279)&gt;0,R279-U279,0))))</f>
        <v>0</v>
      </c>
      <c r="W279" s="66"/>
      <c r="X279" s="115">
        <f>xNoWorkTime</f>
        <v>4.027777777777778E-2</v>
      </c>
      <c r="Y279" s="110">
        <f>IF(AND((AM279&lt;Feiertag),(G279&lt;&gt;85)),IF(OR(F279="B",F279="G",F279="S",H279&gt;0),H279-H279+Z279,0),0)</f>
        <v>0</v>
      </c>
      <c r="Z279" s="111">
        <f>IF(AND(AM279&gt;0,AM279&lt;Feiertag),INDEX(Arbeitszeit,AM279),"")</f>
        <v>0</v>
      </c>
      <c r="AA279" s="112">
        <f>V279-Y279</f>
        <v>0</v>
      </c>
      <c r="AB279" s="67" t="str">
        <f>IF((V279-Y279)&lt;0,"*","")</f>
        <v/>
      </c>
      <c r="AC279" s="193">
        <f>xOverTime</f>
        <v>0</v>
      </c>
      <c r="AD279" s="144" t="str">
        <f>IF((R279-U279)&gt;XWorkTimeMax,(R279-U279-XWorkTimeMax),"")</f>
        <v/>
      </c>
      <c r="AE279" s="225">
        <f>IF(AW279,(AE278+SUM(AA279)+(IF(AG279="+",AF279,-AF279))),)</f>
        <v>0</v>
      </c>
      <c r="AF279" s="110"/>
      <c r="AG279" s="627"/>
      <c r="AH279" s="110"/>
      <c r="AI279" s="110" t="str">
        <f>IF(AND(AF279&lt;&gt;"",AF279&lt;=V279),V279-AF279,"")</f>
        <v/>
      </c>
      <c r="AJ279" s="68">
        <f>IF(ISNUMBER(V279 ), IF( V279 &gt;= Y279, Y279, V279 ),"")</f>
        <v>0</v>
      </c>
      <c r="AK279" s="68">
        <f>IF( ISNUMBER( V279 ), IF( V279 &gt;= Y279, V279 - Y279, "" ), "" )</f>
        <v>0</v>
      </c>
      <c r="AL279" s="68" t="str">
        <f>IF( AND(ISNUMBER( V279 ),ISNUMBER( Y279 )), IF( V279 &gt;= Y279, "", Y279 - V279 ), "" )</f>
        <v/>
      </c>
      <c r="AM279">
        <f>IF(A279="",0,IF(ISERROR(VLOOKUP(A279,db_Feiertag,2,FALSE)),WEEKDAY(A279,2),Feiertag))</f>
        <v>7</v>
      </c>
      <c r="AN279" s="122">
        <f>SUM($AD$6:AD279)</f>
        <v>0</v>
      </c>
      <c r="AO279" s="122">
        <f ca="1">IF(D279=D278,AO278,OFFSET(AO279,-1,COLUMN(db_jSaldoGes)-COLUMN()))</f>
        <v>0</v>
      </c>
      <c r="AP279" s="126">
        <f>IF(OR($G279=-1,$G279=82),-1,IF(OR($G279=0,$G279=83),1,0))</f>
        <v>0</v>
      </c>
      <c r="AQ279" s="126">
        <f>IF($F279=Krank,1,IF($F279="J",-1,0))</f>
        <v>0</v>
      </c>
      <c r="AR279" s="126">
        <f>IF($F279=Urlaub,1,IF($F279="T",-1,0))</f>
        <v>0</v>
      </c>
      <c r="AS279" s="125">
        <f>IF(A279="","",AS278-IF(F279=Urlaub,1,0)+IF(AND(MONTH(A279)=1,DAY(A279)=1),B_UrlaubNeu,0))</f>
        <v>30</v>
      </c>
      <c r="AT279" s="125">
        <f ca="1">IF(A279="","",IF(D279=D278,AT278,OFFSET(AT279,-1,COLUMN(db_jUrlRest)-COLUMN()))+IF(AND(MONTH(A279)=1,DAY(A279)=1),B_UrlaubNeu,0))</f>
        <v>30</v>
      </c>
      <c r="AU279" s="135">
        <f>(IF(ISNUMBER(V279),V279,0)+IF(ISNUMBER(AD279),AD279,0))*24</f>
        <v>0</v>
      </c>
      <c r="AV279" s="125">
        <f>IF(ISNUMBER(AD279),K_ArbeitOverMax,IF(AND(ISNUMBER(AA279),AA279&gt;0),K_ArbeitOverTime,IF(AND(ISNUMBER(V279),V279&gt;0),K_ArbeitNormal,IF(F279=Krank,K_Krank,IF(F279=Urlaub,K_Urlaub,IF(AM279=Feiertag,K_Feiertag,IF(OR(AM279=6,AM279=7),K_Wochenende,0)))))))+IF(F279=Gleittag,K_Gleittag,0)</f>
        <v>7</v>
      </c>
      <c r="AW279" t="b">
        <f>OR((F279&gt;0),(NOT(ISBLANK(H279))),SUM(H279:H$373),SUM(G279:G$373))</f>
        <v>0</v>
      </c>
      <c r="AX279" t="b">
        <f ca="1">INDIRECT(ADDRESS(ROW(),COLUMN(xDay)))&gt;5</f>
        <v>1</v>
      </c>
      <c r="AY279" s="600">
        <f>IF(OR(R279&lt;&gt;0,F279&lt;&gt;0),AA279,IF(Z279="",0,-Z279))+(IF(AG279="+",AF279,-AF279))</f>
        <v>0</v>
      </c>
      <c r="AZ279" s="225">
        <f>SUM(AY$5:AY279)</f>
        <v>-54.833333333333201</v>
      </c>
      <c r="BA279" s="643"/>
      <c r="BB279" s="658">
        <f>IF(ISNA(MATCH(BA279,B_Arbeitsort,0)),0,MATCH(BA279,B_Arbeitsort,0))</f>
        <v>0</v>
      </c>
      <c r="BC279" s="643"/>
    </row>
    <row r="280" spans="1:55" ht="15.75">
      <c r="A280" s="305">
        <f>IF(A279="","",IF((A279+1)&gt;=DATE(YEAR(xJahr)+1,MONTH(xJahr),DAY(xJahr)),"",A279+1))</f>
        <v>43739</v>
      </c>
      <c r="B280" s="306">
        <f>IF(A280="","",A280)</f>
        <v>43739</v>
      </c>
      <c r="C280" s="307">
        <f>IF(A280="","",NumberOfWeek(A280))</f>
        <v>40</v>
      </c>
      <c r="D280" s="308">
        <f>IF(A280="","",DATE(YEAR(A280),MONTH(A280),1))</f>
        <v>43738</v>
      </c>
      <c r="E280" s="318" t="str">
        <f>IF((R280-U280)&gt;XWorkTimeMax,$Z$4,IF(AV280=Feiertag,VLOOKUP(B280,db_Feiertag,2,FALSE),""))</f>
        <v/>
      </c>
      <c r="F280" s="5"/>
      <c r="G280" s="6" t="str">
        <f>IF(ISBLANK(F280),IF(ISBLANK(H280),"",0),CODE(UPPER(F280)))</f>
        <v/>
      </c>
      <c r="H280" s="7"/>
      <c r="I280" s="7">
        <f>IF(H280&gt;0,H280+Y280+X280+AC280,0)</f>
        <v>0</v>
      </c>
      <c r="J280" s="113">
        <f>IF(K280&gt;I280,IF(I280&lt;H280,I280+1,I280)-B_WalkTime,IF(I280&lt;H280,I280+1,I280))</f>
        <v>0</v>
      </c>
      <c r="K280" s="7"/>
      <c r="L280" s="7">
        <f>IF(K280&gt;0,K280+IF((J280-H280)&lt;Y280,Y280-(J280-H280),TIME(0,10,0))+IF((K280-J280)&gt;xNoWorkTime,0,xNoWorkTime-(K280-J280)),0)</f>
        <v>0</v>
      </c>
      <c r="M280" s="113">
        <f>IF(L280&lt;K280,L280+1,L280)</f>
        <v>0</v>
      </c>
      <c r="N280" s="113"/>
      <c r="O280" s="113">
        <f>IF(N280&gt;0,N280+IF((J280-H280+M280-K280)&lt;Y280,Y280-(J280-H280+M280-K280),TIME(0,10,0))+IF((K280-J280+N280-M280)&gt;xNoWorkTime,0,xNoWorkTime-(K280-J280+N280-M280)),0)</f>
        <v>0</v>
      </c>
      <c r="P280" s="113"/>
      <c r="Q280" s="113">
        <f>IF(O280&lt;N280,O280+1,O280)</f>
        <v>0</v>
      </c>
      <c r="R280" s="113">
        <f>J280-H280+M280-K280+Q280-N280</f>
        <v>0</v>
      </c>
      <c r="S280" s="113">
        <f>IF(K280&gt;0,K280-I280,0)+IF(N280&gt;0,N280-L280)</f>
        <v>0</v>
      </c>
      <c r="T280" s="113">
        <f>IF(H280&gt;0,(IF(R280&gt;B_Pause1Nach,B_Pause1Dauer+IF(BA280="Büro",B_WalkTime,0),IF(BA280="Büro",B_WalkTime,0))+IF(R280&gt;B_Pause2Nach,B_Pause2Dauer,0)),0)</f>
        <v>0</v>
      </c>
      <c r="U280" s="113">
        <f>IF(T280&gt;S280,T280-S280,0)</f>
        <v>0</v>
      </c>
      <c r="V280" s="146">
        <f>IF(F280="S",Z280,(IF((R280-U280)&gt;XWorkTimeMax,XWorkTimeMax,IF((R280-U280)&gt;0,R280-U280,0))))</f>
        <v>0</v>
      </c>
      <c r="W280" s="66"/>
      <c r="X280" s="115">
        <f>xNoWorkTime</f>
        <v>4.027777777777778E-2</v>
      </c>
      <c r="Y280" s="110">
        <f>IF(AND((AM280&lt;Feiertag),(G280&lt;&gt;85)),IF(OR(F280="B",F280="G",F280="S",H280&gt;0),H280-H280+Z280,0),0)</f>
        <v>0</v>
      </c>
      <c r="Z280" s="111">
        <f>IF(AND(AM280&gt;0,AM280&lt;Feiertag),INDEX(Arbeitszeit,AM280),"")</f>
        <v>0.29166666666666669</v>
      </c>
      <c r="AA280" s="112">
        <f>V280-Y280</f>
        <v>0</v>
      </c>
      <c r="AB280" s="67" t="str">
        <f>IF((V280-Y280)&lt;0,"*","")</f>
        <v/>
      </c>
      <c r="AC280" s="193">
        <f>xOverTime</f>
        <v>0</v>
      </c>
      <c r="AD280" s="144" t="str">
        <f>IF((R280-U280)&gt;XWorkTimeMax,(R280-U280-XWorkTimeMax),"")</f>
        <v/>
      </c>
      <c r="AE280" s="225">
        <f>IF(AW280,(AE279+SUM(AA280)+(IF(AG280="+",AF280,-AF280))),)</f>
        <v>0</v>
      </c>
      <c r="AF280" s="110"/>
      <c r="AG280" s="627"/>
      <c r="AH280" s="110"/>
      <c r="AI280" s="110" t="str">
        <f>IF(AND(AF280&lt;&gt;"",AF280&lt;=V280),V280-AF280,"")</f>
        <v/>
      </c>
      <c r="AJ280" s="68">
        <f>IF(ISNUMBER(V280 ), IF( V280 &gt;= Y280, Y280, V280 ),"")</f>
        <v>0</v>
      </c>
      <c r="AK280" s="68">
        <f>IF( ISNUMBER( V280 ), IF( V280 &gt;= Y280, V280 - Y280, "" ), "" )</f>
        <v>0</v>
      </c>
      <c r="AL280" s="68" t="str">
        <f>IF( AND(ISNUMBER( V280 ),ISNUMBER( Y280 )), IF( V280 &gt;= Y280, "", Y280 - V280 ), "" )</f>
        <v/>
      </c>
      <c r="AM280">
        <f>IF(A280="",0,IF(ISERROR(VLOOKUP(A280,db_Feiertag,2,FALSE)),WEEKDAY(A280,2),Feiertag))</f>
        <v>1</v>
      </c>
      <c r="AN280" s="122">
        <f>SUM($AD$6:AD280)</f>
        <v>0</v>
      </c>
      <c r="AO280" s="122">
        <f ca="1">IF(D280=D279,AO279,OFFSET(AO280,-1,COLUMN(db_jSaldoGes)-COLUMN()))</f>
        <v>0</v>
      </c>
      <c r="AP280" s="126">
        <f>IF(OR($G280=-1,$G280=82),-1,IF(OR($G280=0,$G280=83),1,0))</f>
        <v>0</v>
      </c>
      <c r="AQ280" s="126">
        <f>IF($F280=Krank,1,IF($F280="J",-1,0))</f>
        <v>0</v>
      </c>
      <c r="AR280" s="126">
        <f>IF($F280=Urlaub,1,IF($F280="T",-1,0))</f>
        <v>0</v>
      </c>
      <c r="AS280" s="125">
        <f>IF(A280="","",AS279-IF(F280=Urlaub,1,0)+IF(AND(MONTH(A280)=1,DAY(A280)=1),B_UrlaubNeu,0))</f>
        <v>30</v>
      </c>
      <c r="AT280" s="125">
        <f ca="1">IF(A280="","",IF(D280=D279,AT279,OFFSET(AT280,-1,COLUMN(db_jUrlRest)-COLUMN()))+IF(AND(MONTH(A280)=1,DAY(A280)=1),B_UrlaubNeu,0))</f>
        <v>30</v>
      </c>
      <c r="AU280" s="135">
        <f>(IF(ISNUMBER(V280),V280,0)+IF(ISNUMBER(AD280),AD280,0))*24</f>
        <v>0</v>
      </c>
      <c r="AV280" s="125">
        <f>IF(ISNUMBER(AD280),K_ArbeitOverMax,IF(AND(ISNUMBER(AA280),AA280&gt;0),K_ArbeitOverTime,IF(AND(ISNUMBER(V280),V280&gt;0),K_ArbeitNormal,IF(F280=Krank,K_Krank,IF(F280=Urlaub,K_Urlaub,IF(AM280=Feiertag,K_Feiertag,IF(OR(AM280=6,AM280=7),K_Wochenende,0)))))))+IF(F280=Gleittag,K_Gleittag,0)</f>
        <v>0</v>
      </c>
      <c r="AW280" t="b">
        <f>OR((F280&gt;0),(NOT(ISBLANK(H280))),SUM(H280:H$373),SUM(G280:G$373))</f>
        <v>0</v>
      </c>
      <c r="AX280" t="b">
        <f ca="1">INDIRECT(ADDRESS(ROW(),COLUMN(xDay)))&gt;5</f>
        <v>0</v>
      </c>
      <c r="AY280" s="600">
        <f>IF(OR(R280&lt;&gt;0,F280&lt;&gt;0),AA280,IF(Z280="",0,-Z280))+(IF(AG280="+",AF280,-AF280))</f>
        <v>-0.29166666666666669</v>
      </c>
      <c r="AZ280" s="225">
        <f>SUM(AY$5:AY280)</f>
        <v>-55.124999999999865</v>
      </c>
      <c r="BA280" s="658"/>
      <c r="BB280" s="658">
        <f>IF(ISNA(MATCH(BA280,B_Arbeitsort,0)),0,MATCH(BA280,B_Arbeitsort,0))</f>
        <v>0</v>
      </c>
      <c r="BC280" s="658"/>
    </row>
    <row r="281" spans="1:55" ht="15.75">
      <c r="A281" s="305">
        <f>IF(A280="","",IF((A280+1)&gt;=DATE(YEAR(xJahr)+1,MONTH(xJahr),DAY(xJahr)),"",A280+1))</f>
        <v>43740</v>
      </c>
      <c r="B281" s="306">
        <f>IF(A281="","",A281)</f>
        <v>43740</v>
      </c>
      <c r="C281" s="307">
        <f>IF(A281="","",NumberOfWeek(A281))</f>
        <v>40</v>
      </c>
      <c r="D281" s="308">
        <f>IF(A281="","",DATE(YEAR(A281),MONTH(A281),1))</f>
        <v>43738</v>
      </c>
      <c r="E281" s="318" t="str">
        <f>IF((R281-U281)&gt;XWorkTimeMax,$Z$4,IF(AV281=Feiertag,VLOOKUP(B281,db_Feiertag,2,FALSE),""))</f>
        <v>Tag der Deutschen Einheit</v>
      </c>
      <c r="F281" s="5"/>
      <c r="G281" s="6" t="str">
        <f>IF(ISBLANK(F281),IF(ISBLANK(H281),"",0),CODE(UPPER(F281)))</f>
        <v/>
      </c>
      <c r="H281" s="7"/>
      <c r="I281" s="7">
        <f>IF(H281&gt;0,H281+Y281+X281+AC281,0)</f>
        <v>0</v>
      </c>
      <c r="J281" s="113">
        <f>IF(K281&gt;I281,IF(I281&lt;H281,I281+1,I281)-B_WalkTime,IF(I281&lt;H281,I281+1,I281))</f>
        <v>0</v>
      </c>
      <c r="K281" s="7"/>
      <c r="L281" s="7">
        <f>IF(K281&gt;0,K281+IF((J281-H281)&lt;Y281,Y281-(J281-H281),TIME(0,10,0))+IF((K281-J281)&gt;xNoWorkTime,0,xNoWorkTime-(K281-J281)),0)</f>
        <v>0</v>
      </c>
      <c r="M281" s="113">
        <f>IF(L281&lt;K281,L281+1,L281)</f>
        <v>0</v>
      </c>
      <c r="N281" s="113"/>
      <c r="O281" s="113">
        <f>IF(N281&gt;0,N281+IF((J281-H281+M281-K281)&lt;Y281,Y281-(J281-H281+M281-K281),TIME(0,10,0))+IF((K281-J281+N281-M281)&gt;xNoWorkTime,0,xNoWorkTime-(K281-J281+N281-M281)),0)</f>
        <v>0</v>
      </c>
      <c r="P281" s="113"/>
      <c r="Q281" s="113">
        <f>IF(O281&lt;N281,O281+1,O281)</f>
        <v>0</v>
      </c>
      <c r="R281" s="113">
        <f>J281-H281+M281-K281+Q281-N281</f>
        <v>0</v>
      </c>
      <c r="S281" s="113">
        <f>IF(K281&gt;0,K281-I281,0)+IF(N281&gt;0,N281-L281)</f>
        <v>0</v>
      </c>
      <c r="T281" s="113">
        <f>IF(H281&gt;0,(IF(R281&gt;B_Pause1Nach,B_Pause1Dauer+IF(BA281="Büro",B_WalkTime,0),IF(BA281="Büro",B_WalkTime,0))+IF(R281&gt;B_Pause2Nach,B_Pause2Dauer,0)),0)</f>
        <v>0</v>
      </c>
      <c r="U281" s="113">
        <f>IF(T281&gt;S281,T281-S281,0)</f>
        <v>0</v>
      </c>
      <c r="V281" s="146">
        <f>IF(F281="S",Z281,(IF((R281-U281)&gt;XWorkTimeMax,XWorkTimeMax,IF((R281-U281)&gt;0,R281-U281,0))))</f>
        <v>0</v>
      </c>
      <c r="W281" s="66"/>
      <c r="X281" s="115">
        <f>xNoWorkTime</f>
        <v>4.027777777777778E-2</v>
      </c>
      <c r="Y281" s="110">
        <f>IF(AND((AM281&lt;Feiertag),(G281&lt;&gt;85)),IF(OR(F281="B",F281="G",F281="S",H281&gt;0),H281-H281+Z281,0),0)</f>
        <v>0</v>
      </c>
      <c r="Z281" s="111" t="str">
        <f>IF(AND(AM281&gt;0,AM281&lt;Feiertag),INDEX(Arbeitszeit,AM281),"")</f>
        <v/>
      </c>
      <c r="AA281" s="112">
        <f>V281-Y281</f>
        <v>0</v>
      </c>
      <c r="AB281" s="67" t="str">
        <f>IF((V281-Y281)&lt;0,"*","")</f>
        <v/>
      </c>
      <c r="AC281" s="193">
        <f>xOverTime</f>
        <v>0</v>
      </c>
      <c r="AD281" s="144" t="str">
        <f>IF((R281-U281)&gt;XWorkTimeMax,(R281-U281-XWorkTimeMax),"")</f>
        <v/>
      </c>
      <c r="AE281" s="225">
        <f>IF(AW281,(AE280+SUM(AA281)+(IF(AG281="+",AF281,-AF281))),)</f>
        <v>0</v>
      </c>
      <c r="AF281" s="110"/>
      <c r="AG281" s="627"/>
      <c r="AH281" s="110"/>
      <c r="AI281" s="110" t="str">
        <f>IF(AND(AF281&lt;&gt;"",AF281&lt;=V281),V281-AF281,"")</f>
        <v/>
      </c>
      <c r="AJ281" s="68">
        <f>IF(ISNUMBER(V281 ), IF( V281 &gt;= Y281, Y281, V281 ),"")</f>
        <v>0</v>
      </c>
      <c r="AK281" s="68">
        <f>IF( ISNUMBER( V281 ), IF( V281 &gt;= Y281, V281 - Y281, "" ), "" )</f>
        <v>0</v>
      </c>
      <c r="AL281" s="68" t="str">
        <f>IF( AND(ISNUMBER( V281 ),ISNUMBER( Y281 )), IF( V281 &gt;= Y281, "", Y281 - V281 ), "" )</f>
        <v/>
      </c>
      <c r="AM281">
        <f>IF(A281="",0,IF(ISERROR(VLOOKUP(A281,db_Feiertag,2,FALSE)),WEEKDAY(A281,2),Feiertag))</f>
        <v>8</v>
      </c>
      <c r="AN281" s="122">
        <f>SUM($AD$6:AD281)</f>
        <v>0</v>
      </c>
      <c r="AO281" s="122">
        <f ca="1">IF(D281=D280,AO280,OFFSET(AO281,-1,COLUMN(db_jSaldoGes)-COLUMN()))</f>
        <v>0</v>
      </c>
      <c r="AP281" s="126">
        <f>IF(OR($G281=-1,$G281=82),-1,IF(OR($G281=0,$G281=83),1,0))</f>
        <v>0</v>
      </c>
      <c r="AQ281" s="126">
        <f>IF($F281=Krank,1,IF($F281="J",-1,0))</f>
        <v>0</v>
      </c>
      <c r="AR281" s="126">
        <f>IF($F281=Urlaub,1,IF($F281="T",-1,0))</f>
        <v>0</v>
      </c>
      <c r="AS281" s="125">
        <f>IF(A281="","",AS280-IF(F281=Urlaub,1,0)+IF(AND(MONTH(A281)=1,DAY(A281)=1),B_UrlaubNeu,0))</f>
        <v>30</v>
      </c>
      <c r="AT281" s="125">
        <f ca="1">IF(A281="","",IF(D281=D280,AT280,OFFSET(AT281,-1,COLUMN(db_jUrlRest)-COLUMN()))+IF(AND(MONTH(A281)=1,DAY(A281)=1),B_UrlaubNeu,0))</f>
        <v>30</v>
      </c>
      <c r="AU281" s="135">
        <f>(IF(ISNUMBER(V281),V281,0)+IF(ISNUMBER(AD281),AD281,0))*24</f>
        <v>0</v>
      </c>
      <c r="AV281" s="125">
        <f>IF(ISNUMBER(AD281),K_ArbeitOverMax,IF(AND(ISNUMBER(AA281),AA281&gt;0),K_ArbeitOverTime,IF(AND(ISNUMBER(V281),V281&gt;0),K_ArbeitNormal,IF(F281=Krank,K_Krank,IF(F281=Urlaub,K_Urlaub,IF(AM281=Feiertag,K_Feiertag,IF(OR(AM281=6,AM281=7),K_Wochenende,0)))))))+IF(F281=Gleittag,K_Gleittag,0)</f>
        <v>8</v>
      </c>
      <c r="AW281" t="b">
        <f>OR((F281&gt;0),(NOT(ISBLANK(H281))),SUM(H281:H$373),SUM(G281:G$373))</f>
        <v>0</v>
      </c>
      <c r="AX281" t="b">
        <f ca="1">INDIRECT(ADDRESS(ROW(),COLUMN(xDay)))&gt;5</f>
        <v>1</v>
      </c>
      <c r="AY281" s="600">
        <f>IF(OR(R281&lt;&gt;0,F281&lt;&gt;0),AA281,IF(Z281="",0,-Z281))+(IF(AG281="+",AF281,-AF281))</f>
        <v>0</v>
      </c>
      <c r="AZ281" s="225">
        <f>SUM(AY$5:AY281)</f>
        <v>-55.124999999999865</v>
      </c>
      <c r="BA281" s="643"/>
      <c r="BB281" s="658">
        <f>IF(ISNA(MATCH(BA281,B_Arbeitsort,0)),0,MATCH(BA281,B_Arbeitsort,0))</f>
        <v>0</v>
      </c>
      <c r="BC281" s="643"/>
    </row>
    <row r="282" spans="1:55" ht="15.75">
      <c r="A282" s="305">
        <f>IF(A281="","",IF((A281+1)&gt;=DATE(YEAR(xJahr)+1,MONTH(xJahr),DAY(xJahr)),"",A281+1))</f>
        <v>43741</v>
      </c>
      <c r="B282" s="306">
        <f>IF(A282="","",A282)</f>
        <v>43741</v>
      </c>
      <c r="C282" s="307">
        <f>IF(A282="","",NumberOfWeek(A282))</f>
        <v>40</v>
      </c>
      <c r="D282" s="308">
        <f>IF(A282="","",DATE(YEAR(A282),MONTH(A282),1))</f>
        <v>43738</v>
      </c>
      <c r="E282" s="318" t="str">
        <f>IF((R282-U282)&gt;XWorkTimeMax,$Z$4,IF(AV282=Feiertag,VLOOKUP(B282,db_Feiertag,2,FALSE),""))</f>
        <v/>
      </c>
      <c r="F282" s="5"/>
      <c r="G282" s="6" t="str">
        <f>IF(ISBLANK(F282),IF(ISBLANK(H282),"",0),CODE(UPPER(F282)))</f>
        <v/>
      </c>
      <c r="H282" s="7"/>
      <c r="I282" s="7">
        <f>IF(H282&gt;0,H282+Y282+X282+AC282,0)</f>
        <v>0</v>
      </c>
      <c r="J282" s="113">
        <f>IF(K282&gt;I282,IF(I282&lt;H282,I282+1,I282)-B_WalkTime,IF(I282&lt;H282,I282+1,I282))</f>
        <v>0</v>
      </c>
      <c r="K282" s="7"/>
      <c r="L282" s="7">
        <f>IF(K282&gt;0,K282+IF((J282-H282)&lt;Y282,Y282-(J282-H282),TIME(0,10,0))+IF((K282-J282)&gt;xNoWorkTime,0,xNoWorkTime-(K282-J282)),0)</f>
        <v>0</v>
      </c>
      <c r="M282" s="113">
        <f>IF(L282&lt;K282,L282+1,L282)</f>
        <v>0</v>
      </c>
      <c r="N282" s="113"/>
      <c r="O282" s="113">
        <f>IF(N282&gt;0,N282+IF((J282-H282+M282-K282)&lt;Y282,Y282-(J282-H282+M282-K282),TIME(0,10,0))+IF((K282-J282+N282-M282)&gt;xNoWorkTime,0,xNoWorkTime-(K282-J282+N282-M282)),0)</f>
        <v>0</v>
      </c>
      <c r="P282" s="113"/>
      <c r="Q282" s="113">
        <f>IF(O282&lt;N282,O282+1,O282)</f>
        <v>0</v>
      </c>
      <c r="R282" s="113">
        <f>J282-H282+M282-K282+Q282-N282</f>
        <v>0</v>
      </c>
      <c r="S282" s="113">
        <f>IF(K282&gt;0,K282-I282,0)+IF(N282&gt;0,N282-L282)</f>
        <v>0</v>
      </c>
      <c r="T282" s="113">
        <f>IF(H282&gt;0,(IF(R282&gt;B_Pause1Nach,B_Pause1Dauer+IF(BA282="Büro",B_WalkTime,0),IF(BA282="Büro",B_WalkTime,0))+IF(R282&gt;B_Pause2Nach,B_Pause2Dauer,0)),0)</f>
        <v>0</v>
      </c>
      <c r="U282" s="113">
        <f>IF(T282&gt;S282,T282-S282,0)</f>
        <v>0</v>
      </c>
      <c r="V282" s="146">
        <f>IF(F282="S",Z282,(IF((R282-U282)&gt;XWorkTimeMax,XWorkTimeMax,IF((R282-U282)&gt;0,R282-U282,0))))</f>
        <v>0</v>
      </c>
      <c r="W282" s="66"/>
      <c r="X282" s="115">
        <f>xNoWorkTime</f>
        <v>4.027777777777778E-2</v>
      </c>
      <c r="Y282" s="110">
        <f>IF(AND((AM282&lt;Feiertag),(G282&lt;&gt;85)),IF(OR(F282="B",F282="G",F282="S",H282&gt;0),H282-H282+Z282,0),0)</f>
        <v>0</v>
      </c>
      <c r="Z282" s="111">
        <f>IF(AND(AM282&gt;0,AM282&lt;Feiertag),INDEX(Arbeitszeit,AM282),"")</f>
        <v>0.29166666666666669</v>
      </c>
      <c r="AA282" s="112">
        <f>V282-Y282</f>
        <v>0</v>
      </c>
      <c r="AB282" s="67" t="str">
        <f>IF((V282-Y282)&lt;0,"*","")</f>
        <v/>
      </c>
      <c r="AC282" s="193">
        <f>xOverTime</f>
        <v>0</v>
      </c>
      <c r="AD282" s="144" t="str">
        <f>IF((R282-U282)&gt;XWorkTimeMax,(R282-U282-XWorkTimeMax),"")</f>
        <v/>
      </c>
      <c r="AE282" s="225">
        <f>IF(AW282,(AE281+SUM(AA282)+(IF(AG282="+",AF282,-AF282))),)</f>
        <v>0</v>
      </c>
      <c r="AF282" s="110"/>
      <c r="AG282" s="627"/>
      <c r="AH282" s="110"/>
      <c r="AI282" s="110" t="str">
        <f>IF(AND(AF282&lt;&gt;"",AF282&lt;=V282),V282-AF282,"")</f>
        <v/>
      </c>
      <c r="AJ282" s="68">
        <f>IF(ISNUMBER(V282 ), IF( V282 &gt;= Y282, Y282, V282 ),"")</f>
        <v>0</v>
      </c>
      <c r="AK282" s="68">
        <f>IF( ISNUMBER( V282 ), IF( V282 &gt;= Y282, V282 - Y282, "" ), "" )</f>
        <v>0</v>
      </c>
      <c r="AL282" s="68" t="str">
        <f>IF( AND(ISNUMBER( V282 ),ISNUMBER( Y282 )), IF( V282 &gt;= Y282, "", Y282 - V282 ), "" )</f>
        <v/>
      </c>
      <c r="AM282">
        <f>IF(A282="",0,IF(ISERROR(VLOOKUP(A282,db_Feiertag,2,FALSE)),WEEKDAY(A282,2),Feiertag))</f>
        <v>3</v>
      </c>
      <c r="AN282" s="122">
        <f>SUM($AD$6:AD282)</f>
        <v>0</v>
      </c>
      <c r="AO282" s="122">
        <f ca="1">IF(D282=D281,AO281,OFFSET(AO282,-1,COLUMN(db_jSaldoGes)-COLUMN()))</f>
        <v>0</v>
      </c>
      <c r="AP282" s="126">
        <f>IF(OR($G282=-1,$G282=82),-1,IF(OR($G282=0,$G282=83),1,0))</f>
        <v>0</v>
      </c>
      <c r="AQ282" s="126">
        <f>IF($F282=Krank,1,IF($F282="J",-1,0))</f>
        <v>0</v>
      </c>
      <c r="AR282" s="126">
        <f>IF($F282=Urlaub,1,IF($F282="T",-1,0))</f>
        <v>0</v>
      </c>
      <c r="AS282" s="125">
        <f>IF(A282="","",AS281-IF(F282=Urlaub,1,0)+IF(AND(MONTH(A282)=1,DAY(A282)=1),B_UrlaubNeu,0))</f>
        <v>30</v>
      </c>
      <c r="AT282" s="125">
        <f ca="1">IF(A282="","",IF(D282=D281,AT281,OFFSET(AT282,-1,COLUMN(db_jUrlRest)-COLUMN()))+IF(AND(MONTH(A282)=1,DAY(A282)=1),B_UrlaubNeu,0))</f>
        <v>30</v>
      </c>
      <c r="AU282" s="135">
        <f>(IF(ISNUMBER(V282),V282,0)+IF(ISNUMBER(AD282),AD282,0))*24</f>
        <v>0</v>
      </c>
      <c r="AV282" s="125">
        <f>IF(ISNUMBER(AD282),K_ArbeitOverMax,IF(AND(ISNUMBER(AA282),AA282&gt;0),K_ArbeitOverTime,IF(AND(ISNUMBER(V282),V282&gt;0),K_ArbeitNormal,IF(F282=Krank,K_Krank,IF(F282=Urlaub,K_Urlaub,IF(AM282=Feiertag,K_Feiertag,IF(OR(AM282=6,AM282=7),K_Wochenende,0)))))))+IF(F282=Gleittag,K_Gleittag,0)</f>
        <v>0</v>
      </c>
      <c r="AW282" t="b">
        <f>OR((F282&gt;0),(NOT(ISBLANK(H282))),SUM(H282:H$373),SUM(G282:G$373))</f>
        <v>0</v>
      </c>
      <c r="AX282" t="b">
        <f ca="1">INDIRECT(ADDRESS(ROW(),COLUMN(xDay)))&gt;5</f>
        <v>0</v>
      </c>
      <c r="AY282" s="600">
        <f>IF(OR(R282&lt;&gt;0,F282&lt;&gt;0),AA282,IF(Z282="",0,-Z282))+(IF(AG282="+",AF282,-AF282))</f>
        <v>-0.29166666666666669</v>
      </c>
      <c r="AZ282" s="225">
        <f>SUM(AY$5:AY282)</f>
        <v>-55.416666666666529</v>
      </c>
      <c r="BA282" s="658"/>
      <c r="BB282" s="658">
        <f>IF(ISNA(MATCH(BA282,B_Arbeitsort,0)),0,MATCH(BA282,B_Arbeitsort,0))</f>
        <v>0</v>
      </c>
      <c r="BC282" s="658"/>
    </row>
    <row r="283" spans="1:55" ht="15.75">
      <c r="A283" s="305">
        <f>IF(A282="","",IF((A282+1)&gt;=DATE(YEAR(xJahr)+1,MONTH(xJahr),DAY(xJahr)),"",A282+1))</f>
        <v>43742</v>
      </c>
      <c r="B283" s="306">
        <f>IF(A283="","",A283)</f>
        <v>43742</v>
      </c>
      <c r="C283" s="307">
        <f>IF(A283="","",NumberOfWeek(A283))</f>
        <v>40</v>
      </c>
      <c r="D283" s="308">
        <f>IF(A283="","",DATE(YEAR(A283),MONTH(A283),1))</f>
        <v>43738</v>
      </c>
      <c r="E283" s="318" t="str">
        <f>IF((R283-U283)&gt;XWorkTimeMax,$Z$4,IF(AV283=Feiertag,VLOOKUP(B283,db_Feiertag,2,FALSE),""))</f>
        <v/>
      </c>
      <c r="F283" s="5"/>
      <c r="G283" s="6" t="str">
        <f>IF(ISBLANK(F283),IF(ISBLANK(H283),"",0),CODE(UPPER(F283)))</f>
        <v/>
      </c>
      <c r="H283" s="7"/>
      <c r="I283" s="7">
        <f>IF(H283&gt;0,H283+Y283+X283+AC283,0)</f>
        <v>0</v>
      </c>
      <c r="J283" s="113">
        <f>IF(K283&gt;I283,IF(I283&lt;H283,I283+1,I283)-B_WalkTime,IF(I283&lt;H283,I283+1,I283))</f>
        <v>0</v>
      </c>
      <c r="K283" s="7"/>
      <c r="L283" s="7">
        <f>IF(K283&gt;0,K283+IF((J283-H283)&lt;Y283,Y283-(J283-H283),TIME(0,10,0))+IF((K283-J283)&gt;xNoWorkTime,0,xNoWorkTime-(K283-J283)),0)</f>
        <v>0</v>
      </c>
      <c r="M283" s="113">
        <f>IF(L283&lt;K283,L283+1,L283)</f>
        <v>0</v>
      </c>
      <c r="N283" s="113"/>
      <c r="O283" s="113">
        <f>IF(N283&gt;0,N283+IF((J283-H283+M283-K283)&lt;Y283,Y283-(J283-H283+M283-K283),TIME(0,10,0))+IF((K283-J283+N283-M283)&gt;xNoWorkTime,0,xNoWorkTime-(K283-J283+N283-M283)),0)</f>
        <v>0</v>
      </c>
      <c r="P283" s="113"/>
      <c r="Q283" s="113">
        <f>IF(O283&lt;N283,O283+1,O283)</f>
        <v>0</v>
      </c>
      <c r="R283" s="113">
        <f>J283-H283+M283-K283+Q283-N283</f>
        <v>0</v>
      </c>
      <c r="S283" s="113">
        <f>IF(K283&gt;0,K283-I283,0)+IF(N283&gt;0,N283-L283)</f>
        <v>0</v>
      </c>
      <c r="T283" s="113">
        <f>IF(H283&gt;0,(IF(R283&gt;B_Pause1Nach,B_Pause1Dauer+IF(BA283="Büro",B_WalkTime,0),IF(BA283="Büro",B_WalkTime,0))+IF(R283&gt;B_Pause2Nach,B_Pause2Dauer,0)),0)</f>
        <v>0</v>
      </c>
      <c r="U283" s="113">
        <f>IF(T283&gt;S283,T283-S283,0)</f>
        <v>0</v>
      </c>
      <c r="V283" s="146">
        <f>IF(F283="S",Z283,(IF((R283-U283)&gt;XWorkTimeMax,XWorkTimeMax,IF((R283-U283)&gt;0,R283-U283,0))))</f>
        <v>0</v>
      </c>
      <c r="W283" s="66"/>
      <c r="X283" s="115">
        <f>xNoWorkTime</f>
        <v>4.027777777777778E-2</v>
      </c>
      <c r="Y283" s="110">
        <f>IF(AND((AM283&lt;Feiertag),(G283&lt;&gt;85)),IF(OR(F283="B",F283="G",F283="S",H283&gt;0),H283-H283+Z283,0),0)</f>
        <v>0</v>
      </c>
      <c r="Z283" s="111">
        <f>IF(AND(AM283&gt;0,AM283&lt;Feiertag),INDEX(Arbeitszeit,AM283),"")</f>
        <v>0.29166666666666669</v>
      </c>
      <c r="AA283" s="112">
        <f>V283-Y283</f>
        <v>0</v>
      </c>
      <c r="AB283" s="67" t="str">
        <f>IF((V283-Y283)&lt;0,"*","")</f>
        <v/>
      </c>
      <c r="AC283" s="193">
        <f>xOverTime</f>
        <v>0</v>
      </c>
      <c r="AD283" s="144" t="str">
        <f>IF((R283-U283)&gt;XWorkTimeMax,(R283-U283-XWorkTimeMax),"")</f>
        <v/>
      </c>
      <c r="AE283" s="225">
        <f>IF(AW283,(AE282+SUM(AA283)+(IF(AG283="+",AF283,-AF283))),)</f>
        <v>0</v>
      </c>
      <c r="AF283" s="110"/>
      <c r="AG283" s="627"/>
      <c r="AH283" s="110"/>
      <c r="AI283" s="110" t="str">
        <f>IF(AND(AF283&lt;&gt;"",AF283&lt;=V283),V283-AF283,"")</f>
        <v/>
      </c>
      <c r="AJ283" s="68">
        <f>IF(ISNUMBER(V283 ), IF( V283 &gt;= Y283, Y283, V283 ),"")</f>
        <v>0</v>
      </c>
      <c r="AK283" s="68">
        <f>IF( ISNUMBER( V283 ), IF( V283 &gt;= Y283, V283 - Y283, "" ), "" )</f>
        <v>0</v>
      </c>
      <c r="AL283" s="68" t="str">
        <f>IF( AND(ISNUMBER( V283 ),ISNUMBER( Y283 )), IF( V283 &gt;= Y283, "", Y283 - V283 ), "" )</f>
        <v/>
      </c>
      <c r="AM283">
        <f>IF(A283="",0,IF(ISERROR(VLOOKUP(A283,db_Feiertag,2,FALSE)),WEEKDAY(A283,2),Feiertag))</f>
        <v>4</v>
      </c>
      <c r="AN283" s="122">
        <f>SUM($AD$6:AD283)</f>
        <v>0</v>
      </c>
      <c r="AO283" s="122">
        <f ca="1">IF(D283=D282,AO282,OFFSET(AO283,-1,COLUMN(db_jSaldoGes)-COLUMN()))</f>
        <v>0</v>
      </c>
      <c r="AP283" s="126">
        <f>IF(OR($G283=-1,$G283=82),-1,IF(OR($G283=0,$G283=83),1,0))</f>
        <v>0</v>
      </c>
      <c r="AQ283" s="126">
        <f>IF($F283=Krank,1,IF($F283="J",-1,0))</f>
        <v>0</v>
      </c>
      <c r="AR283" s="126">
        <f>IF($F283=Urlaub,1,IF($F283="T",-1,0))</f>
        <v>0</v>
      </c>
      <c r="AS283" s="125">
        <f>IF(A283="","",AS282-IF(F283=Urlaub,1,0)+IF(AND(MONTH(A283)=1,DAY(A283)=1),B_UrlaubNeu,0))</f>
        <v>30</v>
      </c>
      <c r="AT283" s="125">
        <f ca="1">IF(A283="","",IF(D283=D282,AT282,OFFSET(AT283,-1,COLUMN(db_jUrlRest)-COLUMN()))+IF(AND(MONTH(A283)=1,DAY(A283)=1),B_UrlaubNeu,0))</f>
        <v>30</v>
      </c>
      <c r="AU283" s="135">
        <f>(IF(ISNUMBER(V283),V283,0)+IF(ISNUMBER(AD283),AD283,0))*24</f>
        <v>0</v>
      </c>
      <c r="AV283" s="125">
        <f>IF(ISNUMBER(AD283),K_ArbeitOverMax,IF(AND(ISNUMBER(AA283),AA283&gt;0),K_ArbeitOverTime,IF(AND(ISNUMBER(V283),V283&gt;0),K_ArbeitNormal,IF(F283=Krank,K_Krank,IF(F283=Urlaub,K_Urlaub,IF(AM283=Feiertag,K_Feiertag,IF(OR(AM283=6,AM283=7),K_Wochenende,0)))))))+IF(F283=Gleittag,K_Gleittag,0)</f>
        <v>0</v>
      </c>
      <c r="AW283" t="b">
        <f>OR((F283&gt;0),(NOT(ISBLANK(H283))),SUM(H283:H$373),SUM(G283:G$373))</f>
        <v>0</v>
      </c>
      <c r="AX283" t="b">
        <f ca="1">INDIRECT(ADDRESS(ROW(),COLUMN(xDay)))&gt;5</f>
        <v>0</v>
      </c>
      <c r="AY283" s="600">
        <f>IF(OR(R283&lt;&gt;0,F283&lt;&gt;0),AA283,IF(Z283="",0,-Z283))+(IF(AG283="+",AF283,-AF283))</f>
        <v>-0.29166666666666669</v>
      </c>
      <c r="AZ283" s="225">
        <f>SUM(AY$5:AY283)</f>
        <v>-55.708333333333194</v>
      </c>
      <c r="BA283" s="658"/>
      <c r="BB283" s="658">
        <f>IF(ISNA(MATCH(BA283,B_Arbeitsort,0)),0,MATCH(BA283,B_Arbeitsort,0))</f>
        <v>0</v>
      </c>
      <c r="BC283" s="658"/>
    </row>
    <row r="284" spans="1:55" ht="15.75">
      <c r="A284" s="305">
        <f>IF(A283="","",IF((A283+1)&gt;=DATE(YEAR(xJahr)+1,MONTH(xJahr),DAY(xJahr)),"",A283+1))</f>
        <v>43743</v>
      </c>
      <c r="B284" s="306">
        <f>IF(A284="","",A284)</f>
        <v>43743</v>
      </c>
      <c r="C284" s="307">
        <f>IF(A284="","",NumberOfWeek(A284))</f>
        <v>40</v>
      </c>
      <c r="D284" s="308">
        <f>IF(A284="","",DATE(YEAR(A284),MONTH(A284),1))</f>
        <v>43738</v>
      </c>
      <c r="E284" s="318" t="str">
        <f>IF((R284-U284)&gt;XWorkTimeMax,$Z$4,IF(AV284=Feiertag,VLOOKUP(B284,db_Feiertag,2,FALSE),""))</f>
        <v/>
      </c>
      <c r="F284" s="5"/>
      <c r="G284" s="6" t="str">
        <f>IF(ISBLANK(F284),IF(ISBLANK(H284),"",0),CODE(UPPER(F284)))</f>
        <v/>
      </c>
      <c r="H284" s="7"/>
      <c r="I284" s="7">
        <f>IF(H284&gt;0,H284+Y284+X284+AC284,0)</f>
        <v>0</v>
      </c>
      <c r="J284" s="113">
        <f>IF(K284&gt;I284,IF(I284&lt;H284,I284+1,I284)-B_WalkTime,IF(I284&lt;H284,I284+1,I284))</f>
        <v>0</v>
      </c>
      <c r="K284" s="7"/>
      <c r="L284" s="7">
        <f>IF(K284&gt;0,K284+IF((J284-H284)&lt;Y284,Y284-(J284-H284),TIME(0,10,0))+IF((K284-J284)&gt;xNoWorkTime,0,xNoWorkTime-(K284-J284)),0)</f>
        <v>0</v>
      </c>
      <c r="M284" s="113">
        <f>IF(L284&lt;K284,L284+1,L284)</f>
        <v>0</v>
      </c>
      <c r="N284" s="113"/>
      <c r="O284" s="113">
        <f>IF(N284&gt;0,N284+IF((J284-H284+M284-K284)&lt;Y284,Y284-(J284-H284+M284-K284),TIME(0,10,0))+IF((K284-J284+N284-M284)&gt;xNoWorkTime,0,xNoWorkTime-(K284-J284+N284-M284)),0)</f>
        <v>0</v>
      </c>
      <c r="P284" s="113"/>
      <c r="Q284" s="113">
        <f>IF(O284&lt;N284,O284+1,O284)</f>
        <v>0</v>
      </c>
      <c r="R284" s="113">
        <f>J284-H284+M284-K284+Q284-N284</f>
        <v>0</v>
      </c>
      <c r="S284" s="113">
        <f>IF(K284&gt;0,K284-I284,0)+IF(N284&gt;0,N284-L284)</f>
        <v>0</v>
      </c>
      <c r="T284" s="113">
        <f>IF(H284&gt;0,(IF(R284&gt;B_Pause1Nach,B_Pause1Dauer+IF(BA284="Büro",B_WalkTime,0),IF(BA284="Büro",B_WalkTime,0))+IF(R284&gt;B_Pause2Nach,B_Pause2Dauer,0)),0)</f>
        <v>0</v>
      </c>
      <c r="U284" s="113">
        <f>IF(T284&gt;S284,T284-S284,0)</f>
        <v>0</v>
      </c>
      <c r="V284" s="146">
        <f>IF(F284="S",Z284,(IF((R284-U284)&gt;XWorkTimeMax,XWorkTimeMax,IF((R284-U284)&gt;0,R284-U284,0))))</f>
        <v>0</v>
      </c>
      <c r="W284" s="66"/>
      <c r="X284" s="115">
        <f>xNoWorkTime</f>
        <v>4.027777777777778E-2</v>
      </c>
      <c r="Y284" s="110">
        <f>IF(AND((AM284&lt;Feiertag),(G284&lt;&gt;85)),IF(OR(F284="B",F284="G",F284="S",H284&gt;0),H284-H284+Z284,0),0)</f>
        <v>0</v>
      </c>
      <c r="Z284" s="111">
        <f>IF(AND(AM284&gt;0,AM284&lt;Feiertag),INDEX(Arbeitszeit,AM284),"")</f>
        <v>0.29166666666666669</v>
      </c>
      <c r="AA284" s="112">
        <f>V284-Y284</f>
        <v>0</v>
      </c>
      <c r="AB284" s="67" t="str">
        <f>IF((V284-Y284)&lt;0,"*","")</f>
        <v/>
      </c>
      <c r="AC284" s="193">
        <f>xOverTime</f>
        <v>0</v>
      </c>
      <c r="AD284" s="144" t="str">
        <f>IF((R284-U284)&gt;XWorkTimeMax,(R284-U284-XWorkTimeMax),"")</f>
        <v/>
      </c>
      <c r="AE284" s="225">
        <f>IF(AW284,(AE283+SUM(AA284)+(IF(AG284="+",AF284,-AF284))),)</f>
        <v>0</v>
      </c>
      <c r="AF284" s="110"/>
      <c r="AG284" s="627"/>
      <c r="AH284" s="110"/>
      <c r="AI284" s="110" t="str">
        <f>IF(AND(AF284&lt;&gt;"",AF284&lt;=V284),V284-AF284,"")</f>
        <v/>
      </c>
      <c r="AJ284" s="68">
        <f>IF(ISNUMBER(V284 ), IF( V284 &gt;= Y284, Y284, V284 ),"")</f>
        <v>0</v>
      </c>
      <c r="AK284" s="68">
        <f>IF( ISNUMBER( V284 ), IF( V284 &gt;= Y284, V284 - Y284, "" ), "" )</f>
        <v>0</v>
      </c>
      <c r="AL284" s="68" t="str">
        <f>IF( AND(ISNUMBER( V284 ),ISNUMBER( Y284 )), IF( V284 &gt;= Y284, "", Y284 - V284 ), "" )</f>
        <v/>
      </c>
      <c r="AM284">
        <f>IF(A284="",0,IF(ISERROR(VLOOKUP(A284,db_Feiertag,2,FALSE)),WEEKDAY(A284,2),Feiertag))</f>
        <v>5</v>
      </c>
      <c r="AN284" s="122">
        <f>SUM($AD$6:AD284)</f>
        <v>0</v>
      </c>
      <c r="AO284" s="122">
        <f ca="1">IF(D284=D283,AO283,OFFSET(AO284,-1,COLUMN(db_jSaldoGes)-COLUMN()))</f>
        <v>0</v>
      </c>
      <c r="AP284" s="126">
        <f>IF(OR($G284=-1,$G284=82),-1,IF(OR($G284=0,$G284=83),1,0))</f>
        <v>0</v>
      </c>
      <c r="AQ284" s="126">
        <f>IF($F284=Krank,1,IF($F284="J",-1,0))</f>
        <v>0</v>
      </c>
      <c r="AR284" s="126">
        <f>IF($F284=Urlaub,1,IF($F284="T",-1,0))</f>
        <v>0</v>
      </c>
      <c r="AS284" s="125">
        <f>IF(A284="","",AS283-IF(F284=Urlaub,1,0)+IF(AND(MONTH(A284)=1,DAY(A284)=1),B_UrlaubNeu,0))</f>
        <v>30</v>
      </c>
      <c r="AT284" s="125">
        <f ca="1">IF(A284="","",IF(D284=D283,AT283,OFFSET(AT284,-1,COLUMN(db_jUrlRest)-COLUMN()))+IF(AND(MONTH(A284)=1,DAY(A284)=1),B_UrlaubNeu,0))</f>
        <v>30</v>
      </c>
      <c r="AU284" s="135">
        <f>(IF(ISNUMBER(V284),V284,0)+IF(ISNUMBER(AD284),AD284,0))*24</f>
        <v>0</v>
      </c>
      <c r="AV284" s="125">
        <f>IF(ISNUMBER(AD284),K_ArbeitOverMax,IF(AND(ISNUMBER(AA284),AA284&gt;0),K_ArbeitOverTime,IF(AND(ISNUMBER(V284),V284&gt;0),K_ArbeitNormal,IF(F284=Krank,K_Krank,IF(F284=Urlaub,K_Urlaub,IF(AM284=Feiertag,K_Feiertag,IF(OR(AM284=6,AM284=7),K_Wochenende,0)))))))+IF(F284=Gleittag,K_Gleittag,0)</f>
        <v>0</v>
      </c>
      <c r="AW284" t="b">
        <f>OR((F284&gt;0),(NOT(ISBLANK(H284))),SUM(H284:H$373),SUM(G284:G$373))</f>
        <v>0</v>
      </c>
      <c r="AX284" t="b">
        <f ca="1">INDIRECT(ADDRESS(ROW(),COLUMN(xDay)))&gt;5</f>
        <v>0</v>
      </c>
      <c r="AY284" s="600">
        <f>IF(OR(R284&lt;&gt;0,F284&lt;&gt;0),AA284,IF(Z284="",0,-Z284))+(IF(AG284="+",AF284,-AF284))</f>
        <v>-0.29166666666666669</v>
      </c>
      <c r="AZ284" s="225">
        <f>SUM(AY$5:AY284)</f>
        <v>-55.999999999999858</v>
      </c>
      <c r="BA284" s="658"/>
      <c r="BB284" s="658">
        <f>IF(ISNA(MATCH(BA284,B_Arbeitsort,0)),0,MATCH(BA284,B_Arbeitsort,0))</f>
        <v>0</v>
      </c>
      <c r="BC284" s="658"/>
    </row>
    <row r="285" spans="1:55" ht="15.75">
      <c r="A285" s="305">
        <f>IF(A284="","",IF((A284+1)&gt;=DATE(YEAR(xJahr)+1,MONTH(xJahr),DAY(xJahr)),"",A284+1))</f>
        <v>43744</v>
      </c>
      <c r="B285" s="306">
        <f>IF(A285="","",A285)</f>
        <v>43744</v>
      </c>
      <c r="C285" s="307">
        <f>IF(A285="","",NumberOfWeek(A285))</f>
        <v>40</v>
      </c>
      <c r="D285" s="308">
        <f>IF(A285="","",DATE(YEAR(A285),MONTH(A285),1))</f>
        <v>43738</v>
      </c>
      <c r="E285" s="318" t="str">
        <f>IF((R285-U285)&gt;XWorkTimeMax,$Z$4,IF(AV285=Feiertag,VLOOKUP(B285,db_Feiertag,2,FALSE),""))</f>
        <v/>
      </c>
      <c r="F285" s="5"/>
      <c r="G285" s="6" t="str">
        <f>IF(ISBLANK(F285),IF(ISBLANK(H285),"",0),CODE(UPPER(F285)))</f>
        <v/>
      </c>
      <c r="H285" s="7"/>
      <c r="I285" s="7">
        <f>IF(H285&gt;0,H285+Y285+X285+AC285,0)</f>
        <v>0</v>
      </c>
      <c r="J285" s="113">
        <f>IF(K285&gt;I285,IF(I285&lt;H285,I285+1,I285)-B_WalkTime,IF(I285&lt;H285,I285+1,I285))</f>
        <v>0</v>
      </c>
      <c r="K285" s="7"/>
      <c r="L285" s="7">
        <f>IF(K285&gt;0,K285+IF((J285-H285)&lt;Y285,Y285-(J285-H285),TIME(0,10,0))+IF((K285-J285)&gt;xNoWorkTime,0,xNoWorkTime-(K285-J285)),0)</f>
        <v>0</v>
      </c>
      <c r="M285" s="113">
        <f>IF(L285&lt;K285,L285+1,L285)</f>
        <v>0</v>
      </c>
      <c r="N285" s="113"/>
      <c r="O285" s="113">
        <f>IF(N285&gt;0,N285+IF((J285-H285+M285-K285)&lt;Y285,Y285-(J285-H285+M285-K285),TIME(0,10,0))+IF((K285-J285+N285-M285)&gt;xNoWorkTime,0,xNoWorkTime-(K285-J285+N285-M285)),0)</f>
        <v>0</v>
      </c>
      <c r="P285" s="113"/>
      <c r="Q285" s="113">
        <f>IF(O285&lt;N285,O285+1,O285)</f>
        <v>0</v>
      </c>
      <c r="R285" s="113">
        <f>J285-H285+M285-K285+Q285-N285</f>
        <v>0</v>
      </c>
      <c r="S285" s="113">
        <f>IF(K285&gt;0,K285-I285,0)+IF(N285&gt;0,N285-L285)</f>
        <v>0</v>
      </c>
      <c r="T285" s="113">
        <f>IF(H285&gt;0,(IF(R285&gt;B_Pause1Nach,B_Pause1Dauer+IF(BA285="Büro",B_WalkTime,0),IF(BA285="Büro",B_WalkTime,0))+IF(R285&gt;B_Pause2Nach,B_Pause2Dauer,0)),0)</f>
        <v>0</v>
      </c>
      <c r="U285" s="113">
        <f>IF(T285&gt;S285,T285-S285,0)</f>
        <v>0</v>
      </c>
      <c r="V285" s="146">
        <f>IF(F285="S",Z285,(IF((R285-U285)&gt;XWorkTimeMax,XWorkTimeMax,IF((R285-U285)&gt;0,R285-U285,0))))</f>
        <v>0</v>
      </c>
      <c r="W285" s="66"/>
      <c r="X285" s="115">
        <f>xNoWorkTime</f>
        <v>4.027777777777778E-2</v>
      </c>
      <c r="Y285" s="110">
        <f>IF(AND((AM285&lt;Feiertag),(G285&lt;&gt;85)),IF(OR(F285="B",F285="G",F285="S",H285&gt;0),H285-H285+Z285,0),0)</f>
        <v>0</v>
      </c>
      <c r="Z285" s="111">
        <f>IF(AND(AM285&gt;0,AM285&lt;Feiertag),INDEX(Arbeitszeit,AM285),"")</f>
        <v>0</v>
      </c>
      <c r="AA285" s="112">
        <f>V285-Y285</f>
        <v>0</v>
      </c>
      <c r="AB285" s="67" t="str">
        <f>IF((V285-Y285)&lt;0,"*","")</f>
        <v/>
      </c>
      <c r="AC285" s="193">
        <f>xOverTime</f>
        <v>0</v>
      </c>
      <c r="AD285" s="144" t="str">
        <f>IF((R285-U285)&gt;XWorkTimeMax,(R285-U285-XWorkTimeMax),"")</f>
        <v/>
      </c>
      <c r="AE285" s="225">
        <f>IF(AW285,(AE284+SUM(AA285)+(IF(AG285="+",AF285,-AF285))),)</f>
        <v>0</v>
      </c>
      <c r="AF285" s="110"/>
      <c r="AG285" s="627"/>
      <c r="AH285" s="110"/>
      <c r="AI285" s="110" t="str">
        <f>IF(AND(AF285&lt;&gt;"",AF285&lt;=V285),V285-AF285,"")</f>
        <v/>
      </c>
      <c r="AJ285" s="68">
        <f>IF(ISNUMBER(V285 ), IF( V285 &gt;= Y285, Y285, V285 ),"")</f>
        <v>0</v>
      </c>
      <c r="AK285" s="68">
        <f>IF( ISNUMBER( V285 ), IF( V285 &gt;= Y285, V285 - Y285, "" ), "" )</f>
        <v>0</v>
      </c>
      <c r="AL285" s="68" t="str">
        <f>IF( AND(ISNUMBER( V285 ),ISNUMBER( Y285 )), IF( V285 &gt;= Y285, "", Y285 - V285 ), "" )</f>
        <v/>
      </c>
      <c r="AM285">
        <f>IF(A285="",0,IF(ISERROR(VLOOKUP(A285,db_Feiertag,2,FALSE)),WEEKDAY(A285,2),Feiertag))</f>
        <v>6</v>
      </c>
      <c r="AN285" s="122">
        <f>SUM($AD$6:AD285)</f>
        <v>0</v>
      </c>
      <c r="AO285" s="122">
        <f ca="1">IF(D285=D284,AO284,OFFSET(AO285,-1,COLUMN(db_jSaldoGes)-COLUMN()))</f>
        <v>0</v>
      </c>
      <c r="AP285" s="126">
        <f>IF(OR($G285=-1,$G285=82),-1,IF(OR($G285=0,$G285=83),1,0))</f>
        <v>0</v>
      </c>
      <c r="AQ285" s="126">
        <f>IF($F285=Krank,1,IF($F285="J",-1,0))</f>
        <v>0</v>
      </c>
      <c r="AR285" s="126">
        <f>IF($F285=Urlaub,1,IF($F285="T",-1,0))</f>
        <v>0</v>
      </c>
      <c r="AS285" s="125">
        <f>IF(A285="","",AS284-IF(F285=Urlaub,1,0)+IF(AND(MONTH(A285)=1,DAY(A285)=1),B_UrlaubNeu,0))</f>
        <v>30</v>
      </c>
      <c r="AT285" s="125">
        <f ca="1">IF(A285="","",IF(D285=D284,AT284,OFFSET(AT285,-1,COLUMN(db_jUrlRest)-COLUMN()))+IF(AND(MONTH(A285)=1,DAY(A285)=1),B_UrlaubNeu,0))</f>
        <v>30</v>
      </c>
      <c r="AU285" s="135">
        <f>(IF(ISNUMBER(V285),V285,0)+IF(ISNUMBER(AD285),AD285,0))*24</f>
        <v>0</v>
      </c>
      <c r="AV285" s="125">
        <f>IF(ISNUMBER(AD285),K_ArbeitOverMax,IF(AND(ISNUMBER(AA285),AA285&gt;0),K_ArbeitOverTime,IF(AND(ISNUMBER(V285),V285&gt;0),K_ArbeitNormal,IF(F285=Krank,K_Krank,IF(F285=Urlaub,K_Urlaub,IF(AM285=Feiertag,K_Feiertag,IF(OR(AM285=6,AM285=7),K_Wochenende,0)))))))+IF(F285=Gleittag,K_Gleittag,0)</f>
        <v>7</v>
      </c>
      <c r="AW285" t="b">
        <f>OR((F285&gt;0),(NOT(ISBLANK(H285))),SUM(H285:H$373),SUM(G285:G$373))</f>
        <v>0</v>
      </c>
      <c r="AX285" t="b">
        <f ca="1">INDIRECT(ADDRESS(ROW(),COLUMN(xDay)))&gt;5</f>
        <v>1</v>
      </c>
      <c r="AY285" s="600">
        <f>IF(OR(R285&lt;&gt;0,F285&lt;&gt;0),AA285,IF(Z285="",0,-Z285))+(IF(AG285="+",AF285,-AF285))</f>
        <v>0</v>
      </c>
      <c r="AZ285" s="225">
        <f>SUM(AY$5:AY285)</f>
        <v>-55.999999999999858</v>
      </c>
      <c r="BA285" s="643"/>
      <c r="BB285" s="658">
        <f>IF(ISNA(MATCH(BA285,B_Arbeitsort,0)),0,MATCH(BA285,B_Arbeitsort,0))</f>
        <v>0</v>
      </c>
      <c r="BC285" s="643"/>
    </row>
    <row r="286" spans="1:55" ht="15.75">
      <c r="A286" s="305">
        <f>IF(A285="","",IF((A285+1)&gt;=DATE(YEAR(xJahr)+1,MONTH(xJahr),DAY(xJahr)),"",A285+1))</f>
        <v>43745</v>
      </c>
      <c r="B286" s="306">
        <f>IF(A286="","",A286)</f>
        <v>43745</v>
      </c>
      <c r="C286" s="307">
        <f>IF(A286="","",NumberOfWeek(A286))</f>
        <v>40</v>
      </c>
      <c r="D286" s="308">
        <f>IF(A286="","",DATE(YEAR(A286),MONTH(A286),1))</f>
        <v>43738</v>
      </c>
      <c r="E286" s="318" t="str">
        <f>IF((R286-U286)&gt;XWorkTimeMax,$Z$4,IF(AV286=Feiertag,VLOOKUP(B286,db_Feiertag,2,FALSE),""))</f>
        <v/>
      </c>
      <c r="F286" s="5"/>
      <c r="G286" s="6" t="str">
        <f>IF(ISBLANK(F286),IF(ISBLANK(H286),"",0),CODE(UPPER(F286)))</f>
        <v/>
      </c>
      <c r="H286" s="7"/>
      <c r="I286" s="7">
        <f>IF(H286&gt;0,H286+Y286+X286+AC286,0)</f>
        <v>0</v>
      </c>
      <c r="J286" s="113">
        <f>IF(K286&gt;I286,IF(I286&lt;H286,I286+1,I286)-B_WalkTime,IF(I286&lt;H286,I286+1,I286))</f>
        <v>0</v>
      </c>
      <c r="K286" s="7"/>
      <c r="L286" s="7">
        <f>IF(K286&gt;0,K286+IF((J286-H286)&lt;Y286,Y286-(J286-H286),TIME(0,10,0))+IF((K286-J286)&gt;xNoWorkTime,0,xNoWorkTime-(K286-J286)),0)</f>
        <v>0</v>
      </c>
      <c r="M286" s="113">
        <f>IF(L286&lt;K286,L286+1,L286)</f>
        <v>0</v>
      </c>
      <c r="N286" s="113"/>
      <c r="O286" s="113">
        <f>IF(N286&gt;0,N286+IF((J286-H286+M286-K286)&lt;Y286,Y286-(J286-H286+M286-K286),TIME(0,10,0))+IF((K286-J286+N286-M286)&gt;xNoWorkTime,0,xNoWorkTime-(K286-J286+N286-M286)),0)</f>
        <v>0</v>
      </c>
      <c r="P286" s="113"/>
      <c r="Q286" s="113">
        <f>IF(O286&lt;N286,O286+1,O286)</f>
        <v>0</v>
      </c>
      <c r="R286" s="113">
        <f>J286-H286+M286-K286+Q286-N286</f>
        <v>0</v>
      </c>
      <c r="S286" s="113">
        <f>IF(K286&gt;0,K286-I286,0)+IF(N286&gt;0,N286-L286)</f>
        <v>0</v>
      </c>
      <c r="T286" s="113">
        <f>IF(H286&gt;0,(IF(R286&gt;B_Pause1Nach,B_Pause1Dauer+IF(BA286="Büro",B_WalkTime,0),IF(BA286="Büro",B_WalkTime,0))+IF(R286&gt;B_Pause2Nach,B_Pause2Dauer,0)),0)</f>
        <v>0</v>
      </c>
      <c r="U286" s="113">
        <f>IF(T286&gt;S286,T286-S286,0)</f>
        <v>0</v>
      </c>
      <c r="V286" s="146">
        <f>IF(F286="S",Z286,(IF((R286-U286)&gt;XWorkTimeMax,XWorkTimeMax,IF((R286-U286)&gt;0,R286-U286,0))))</f>
        <v>0</v>
      </c>
      <c r="W286" s="66"/>
      <c r="X286" s="115">
        <f>xNoWorkTime</f>
        <v>4.027777777777778E-2</v>
      </c>
      <c r="Y286" s="110">
        <f>IF(AND((AM286&lt;Feiertag),(G286&lt;&gt;85)),IF(OR(F286="B",F286="G",F286="S",H286&gt;0),H286-H286+Z286,0),0)</f>
        <v>0</v>
      </c>
      <c r="Z286" s="111">
        <f>IF(AND(AM286&gt;0,AM286&lt;Feiertag),INDEX(Arbeitszeit,AM286),"")</f>
        <v>0</v>
      </c>
      <c r="AA286" s="112">
        <f>V286-Y286</f>
        <v>0</v>
      </c>
      <c r="AB286" s="67" t="str">
        <f>IF((V286-Y286)&lt;0,"*","")</f>
        <v/>
      </c>
      <c r="AC286" s="193">
        <f>xOverTime</f>
        <v>0</v>
      </c>
      <c r="AD286" s="144" t="str">
        <f>IF((R286-U286)&gt;XWorkTimeMax,(R286-U286-XWorkTimeMax),"")</f>
        <v/>
      </c>
      <c r="AE286" s="225">
        <f>IF(AW286,(AE285+SUM(AA286)+(IF(AG286="+",AF286,-AF286))),)</f>
        <v>0</v>
      </c>
      <c r="AF286" s="110"/>
      <c r="AG286" s="627"/>
      <c r="AH286" s="110"/>
      <c r="AI286" s="110" t="str">
        <f>IF(AND(AF286&lt;&gt;"",AF286&lt;=V286),V286-AF286,"")</f>
        <v/>
      </c>
      <c r="AJ286" s="68">
        <f>IF(ISNUMBER(V286 ), IF( V286 &gt;= Y286, Y286, V286 ),"")</f>
        <v>0</v>
      </c>
      <c r="AK286" s="68">
        <f>IF( ISNUMBER( V286 ), IF( V286 &gt;= Y286, V286 - Y286, "" ), "" )</f>
        <v>0</v>
      </c>
      <c r="AL286" s="68" t="str">
        <f>IF( AND(ISNUMBER( V286 ),ISNUMBER( Y286 )), IF( V286 &gt;= Y286, "", Y286 - V286 ), "" )</f>
        <v/>
      </c>
      <c r="AM286">
        <f>IF(A286="",0,IF(ISERROR(VLOOKUP(A286,db_Feiertag,2,FALSE)),WEEKDAY(A286,2),Feiertag))</f>
        <v>7</v>
      </c>
      <c r="AN286" s="122">
        <f>SUM($AD$6:AD286)</f>
        <v>0</v>
      </c>
      <c r="AO286" s="122">
        <f ca="1">IF(D286=D285,AO285,OFFSET(AO286,-1,COLUMN(db_jSaldoGes)-COLUMN()))</f>
        <v>0</v>
      </c>
      <c r="AP286" s="126">
        <f>IF(OR($G286=-1,$G286=82),-1,IF(OR($G286=0,$G286=83),1,0))</f>
        <v>0</v>
      </c>
      <c r="AQ286" s="126">
        <f>IF($F286=Krank,1,IF($F286="J",-1,0))</f>
        <v>0</v>
      </c>
      <c r="AR286" s="126">
        <f>IF($F286=Urlaub,1,IF($F286="T",-1,0))</f>
        <v>0</v>
      </c>
      <c r="AS286" s="125">
        <f>IF(A286="","",AS285-IF(F286=Urlaub,1,0)+IF(AND(MONTH(A286)=1,DAY(A286)=1),B_UrlaubNeu,0))</f>
        <v>30</v>
      </c>
      <c r="AT286" s="125">
        <f ca="1">IF(A286="","",IF(D286=D285,AT285,OFFSET(AT286,-1,COLUMN(db_jUrlRest)-COLUMN()))+IF(AND(MONTH(A286)=1,DAY(A286)=1),B_UrlaubNeu,0))</f>
        <v>30</v>
      </c>
      <c r="AU286" s="135">
        <f>(IF(ISNUMBER(V286),V286,0)+IF(ISNUMBER(AD286),AD286,0))*24</f>
        <v>0</v>
      </c>
      <c r="AV286" s="125">
        <f>IF(ISNUMBER(AD286),K_ArbeitOverMax,IF(AND(ISNUMBER(AA286),AA286&gt;0),K_ArbeitOverTime,IF(AND(ISNUMBER(V286),V286&gt;0),K_ArbeitNormal,IF(F286=Krank,K_Krank,IF(F286=Urlaub,K_Urlaub,IF(AM286=Feiertag,K_Feiertag,IF(OR(AM286=6,AM286=7),K_Wochenende,0)))))))+IF(F286=Gleittag,K_Gleittag,0)</f>
        <v>7</v>
      </c>
      <c r="AW286" t="b">
        <f>OR((F286&gt;0),(NOT(ISBLANK(H286))),SUM(H286:H$373),SUM(G286:G$373))</f>
        <v>0</v>
      </c>
      <c r="AX286" t="b">
        <f ca="1">INDIRECT(ADDRESS(ROW(),COLUMN(xDay)))&gt;5</f>
        <v>1</v>
      </c>
      <c r="AY286" s="600">
        <f>IF(OR(R286&lt;&gt;0,F286&lt;&gt;0),AA286,IF(Z286="",0,-Z286))+(IF(AG286="+",AF286,-AF286))</f>
        <v>0</v>
      </c>
      <c r="AZ286" s="225">
        <f>SUM(AY$5:AY286)</f>
        <v>-55.999999999999858</v>
      </c>
      <c r="BA286" s="643"/>
      <c r="BB286" s="658">
        <f>IF(ISNA(MATCH(BA286,B_Arbeitsort,0)),0,MATCH(BA286,B_Arbeitsort,0))</f>
        <v>0</v>
      </c>
      <c r="BC286" s="643"/>
    </row>
    <row r="287" spans="1:55" ht="15.75">
      <c r="A287" s="305">
        <f>IF(A286="","",IF((A286+1)&gt;=DATE(YEAR(xJahr)+1,MONTH(xJahr),DAY(xJahr)),"",A286+1))</f>
        <v>43746</v>
      </c>
      <c r="B287" s="306">
        <f>IF(A287="","",A287)</f>
        <v>43746</v>
      </c>
      <c r="C287" s="307">
        <f>IF(A287="","",NumberOfWeek(A287))</f>
        <v>41</v>
      </c>
      <c r="D287" s="308">
        <f>IF(A287="","",DATE(YEAR(A287),MONTH(A287),1))</f>
        <v>43738</v>
      </c>
      <c r="E287" s="318" t="str">
        <f>IF((R287-U287)&gt;XWorkTimeMax,$Z$4,IF(AV287=Feiertag,VLOOKUP(B287,db_Feiertag,2,FALSE),""))</f>
        <v/>
      </c>
      <c r="F287" s="5"/>
      <c r="G287" s="6" t="str">
        <f>IF(ISBLANK(F287),IF(ISBLANK(H287),"",0),CODE(UPPER(F287)))</f>
        <v/>
      </c>
      <c r="H287" s="7"/>
      <c r="I287" s="7">
        <f>IF(H287&gt;0,H287+Y287+X287+AC287,0)</f>
        <v>0</v>
      </c>
      <c r="J287" s="113">
        <f>IF(K287&gt;I287,IF(I287&lt;H287,I287+1,I287)-B_WalkTime,IF(I287&lt;H287,I287+1,I287))</f>
        <v>0</v>
      </c>
      <c r="K287" s="7"/>
      <c r="L287" s="7">
        <f>IF(K287&gt;0,K287+IF((J287-H287)&lt;Y287,Y287-(J287-H287),TIME(0,10,0))+IF((K287-J287)&gt;xNoWorkTime,0,xNoWorkTime-(K287-J287)),0)</f>
        <v>0</v>
      </c>
      <c r="M287" s="113">
        <f>IF(L287&lt;K287,L287+1,L287)</f>
        <v>0</v>
      </c>
      <c r="N287" s="113"/>
      <c r="O287" s="113">
        <f>IF(N287&gt;0,N287+IF((J287-H287+M287-K287)&lt;Y287,Y287-(J287-H287+M287-K287),TIME(0,10,0))+IF((K287-J287+N287-M287)&gt;xNoWorkTime,0,xNoWorkTime-(K287-J287+N287-M287)),0)</f>
        <v>0</v>
      </c>
      <c r="P287" s="113"/>
      <c r="Q287" s="113">
        <f>IF(O287&lt;N287,O287+1,O287)</f>
        <v>0</v>
      </c>
      <c r="R287" s="113">
        <f>J287-H287+M287-K287+Q287-N287</f>
        <v>0</v>
      </c>
      <c r="S287" s="113">
        <f>IF(K287&gt;0,K287-I287,0)+IF(N287&gt;0,N287-L287)</f>
        <v>0</v>
      </c>
      <c r="T287" s="113">
        <f>IF(H287&gt;0,(IF(R287&gt;B_Pause1Nach,B_Pause1Dauer+IF(BA287="Büro",B_WalkTime,0),IF(BA287="Büro",B_WalkTime,0))+IF(R287&gt;B_Pause2Nach,B_Pause2Dauer,0)),0)</f>
        <v>0</v>
      </c>
      <c r="U287" s="113">
        <f>IF(T287&gt;S287,T287-S287,0)</f>
        <v>0</v>
      </c>
      <c r="V287" s="146">
        <f>IF(F287="S",Z287,(IF((R287-U287)&gt;XWorkTimeMax,XWorkTimeMax,IF((R287-U287)&gt;0,R287-U287,0))))</f>
        <v>0</v>
      </c>
      <c r="W287" s="66"/>
      <c r="X287" s="115">
        <f>xNoWorkTime</f>
        <v>4.027777777777778E-2</v>
      </c>
      <c r="Y287" s="110">
        <f>IF(AND((AM287&lt;Feiertag),(G287&lt;&gt;85)),IF(OR(F287="B",F287="G",F287="S",H287&gt;0),H287-H287+Z287,0),0)</f>
        <v>0</v>
      </c>
      <c r="Z287" s="111">
        <f>IF(AND(AM287&gt;0,AM287&lt;Feiertag),INDEX(Arbeitszeit,AM287),"")</f>
        <v>0.29166666666666669</v>
      </c>
      <c r="AA287" s="112">
        <f>V287-Y287</f>
        <v>0</v>
      </c>
      <c r="AB287" s="67" t="str">
        <f>IF((V287-Y287)&lt;0,"*","")</f>
        <v/>
      </c>
      <c r="AC287" s="193">
        <f>xOverTime</f>
        <v>0</v>
      </c>
      <c r="AD287" s="144" t="str">
        <f>IF((R287-U287)&gt;XWorkTimeMax,(R287-U287-XWorkTimeMax),"")</f>
        <v/>
      </c>
      <c r="AE287" s="225">
        <f>IF(AW287,(AE286+SUM(AA287)+(IF(AG287="+",AF287,-AF287))),)</f>
        <v>0</v>
      </c>
      <c r="AF287" s="110"/>
      <c r="AG287" s="627"/>
      <c r="AH287" s="110"/>
      <c r="AI287" s="110" t="str">
        <f>IF(AND(AF287&lt;&gt;"",AF287&lt;=V287),V287-AF287,"")</f>
        <v/>
      </c>
      <c r="AJ287" s="68">
        <f>IF(ISNUMBER(V287 ), IF( V287 &gt;= Y287, Y287, V287 ),"")</f>
        <v>0</v>
      </c>
      <c r="AK287" s="68">
        <f>IF( ISNUMBER( V287 ), IF( V287 &gt;= Y287, V287 - Y287, "" ), "" )</f>
        <v>0</v>
      </c>
      <c r="AL287" s="68" t="str">
        <f>IF( AND(ISNUMBER( V287 ),ISNUMBER( Y287 )), IF( V287 &gt;= Y287, "", Y287 - V287 ), "" )</f>
        <v/>
      </c>
      <c r="AM287">
        <f>IF(A287="",0,IF(ISERROR(VLOOKUP(A287,db_Feiertag,2,FALSE)),WEEKDAY(A287,2),Feiertag))</f>
        <v>1</v>
      </c>
      <c r="AN287" s="122">
        <f>SUM($AD$6:AD287)</f>
        <v>0</v>
      </c>
      <c r="AO287" s="122">
        <f ca="1">IF(D287=D286,AO286,OFFSET(AO287,-1,COLUMN(db_jSaldoGes)-COLUMN()))</f>
        <v>0</v>
      </c>
      <c r="AP287" s="126">
        <f>IF(OR($G287=-1,$G287=82),-1,IF(OR($G287=0,$G287=83),1,0))</f>
        <v>0</v>
      </c>
      <c r="AQ287" s="126">
        <f>IF($F287=Krank,1,IF($F287="J",-1,0))</f>
        <v>0</v>
      </c>
      <c r="AR287" s="126">
        <f>IF($F287=Urlaub,1,IF($F287="T",-1,0))</f>
        <v>0</v>
      </c>
      <c r="AS287" s="125">
        <f>IF(A287="","",AS286-IF(F287=Urlaub,1,0)+IF(AND(MONTH(A287)=1,DAY(A287)=1),B_UrlaubNeu,0))</f>
        <v>30</v>
      </c>
      <c r="AT287" s="125">
        <f ca="1">IF(A287="","",IF(D287=D286,AT286,OFFSET(AT287,-1,COLUMN(db_jUrlRest)-COLUMN()))+IF(AND(MONTH(A287)=1,DAY(A287)=1),B_UrlaubNeu,0))</f>
        <v>30</v>
      </c>
      <c r="AU287" s="135">
        <f>(IF(ISNUMBER(V287),V287,0)+IF(ISNUMBER(AD287),AD287,0))*24</f>
        <v>0</v>
      </c>
      <c r="AV287" s="125">
        <f>IF(ISNUMBER(AD287),K_ArbeitOverMax,IF(AND(ISNUMBER(AA287),AA287&gt;0),K_ArbeitOverTime,IF(AND(ISNUMBER(V287),V287&gt;0),K_ArbeitNormal,IF(F287=Krank,K_Krank,IF(F287=Urlaub,K_Urlaub,IF(AM287=Feiertag,K_Feiertag,IF(OR(AM287=6,AM287=7),K_Wochenende,0)))))))+IF(F287=Gleittag,K_Gleittag,0)</f>
        <v>0</v>
      </c>
      <c r="AW287" t="b">
        <f>OR((F287&gt;0),(NOT(ISBLANK(H287))),SUM(H287:H$373),SUM(G287:G$373))</f>
        <v>0</v>
      </c>
      <c r="AX287" t="b">
        <f ca="1">INDIRECT(ADDRESS(ROW(),COLUMN(xDay)))&gt;5</f>
        <v>0</v>
      </c>
      <c r="AY287" s="600">
        <f>IF(OR(R287&lt;&gt;0,F287&lt;&gt;0),AA287,IF(Z287="",0,-Z287))+(IF(AG287="+",AF287,-AF287))</f>
        <v>-0.29166666666666669</v>
      </c>
      <c r="AZ287" s="225">
        <f>SUM(AY$5:AY287)</f>
        <v>-56.291666666666522</v>
      </c>
      <c r="BA287" s="658"/>
      <c r="BB287" s="658">
        <f>IF(ISNA(MATCH(BA287,B_Arbeitsort,0)),0,MATCH(BA287,B_Arbeitsort,0))</f>
        <v>0</v>
      </c>
      <c r="BC287" s="658"/>
    </row>
    <row r="288" spans="1:55" ht="15.75">
      <c r="A288" s="305">
        <f>IF(A287="","",IF((A287+1)&gt;=DATE(YEAR(xJahr)+1,MONTH(xJahr),DAY(xJahr)),"",A287+1))</f>
        <v>43747</v>
      </c>
      <c r="B288" s="306">
        <f>IF(A288="","",A288)</f>
        <v>43747</v>
      </c>
      <c r="C288" s="307">
        <f>IF(A288="","",NumberOfWeek(A288))</f>
        <v>41</v>
      </c>
      <c r="D288" s="308">
        <f>IF(A288="","",DATE(YEAR(A288),MONTH(A288),1))</f>
        <v>43738</v>
      </c>
      <c r="E288" s="318" t="str">
        <f>IF((R288-U288)&gt;XWorkTimeMax,$Z$4,IF(AV288=Feiertag,VLOOKUP(B288,db_Feiertag,2,FALSE),""))</f>
        <v/>
      </c>
      <c r="F288" s="5"/>
      <c r="G288" s="6" t="str">
        <f>IF(ISBLANK(F288),IF(ISBLANK(H288),"",0),CODE(UPPER(F288)))</f>
        <v/>
      </c>
      <c r="H288" s="7"/>
      <c r="I288" s="7">
        <f>IF(H288&gt;0,H288+Y288+X288+AC288,0)</f>
        <v>0</v>
      </c>
      <c r="J288" s="113">
        <f>IF(K288&gt;I288,IF(I288&lt;H288,I288+1,I288)-B_WalkTime,IF(I288&lt;H288,I288+1,I288))</f>
        <v>0</v>
      </c>
      <c r="K288" s="7"/>
      <c r="L288" s="7">
        <f>IF(K288&gt;0,K288+IF((J288-H288)&lt;Y288,Y288-(J288-H288),TIME(0,10,0))+IF((K288-J288)&gt;xNoWorkTime,0,xNoWorkTime-(K288-J288)),0)</f>
        <v>0</v>
      </c>
      <c r="M288" s="113">
        <f>IF(L288&lt;K288,L288+1,L288)</f>
        <v>0</v>
      </c>
      <c r="N288" s="113"/>
      <c r="O288" s="113">
        <f>IF(N288&gt;0,N288+IF((J288-H288+M288-K288)&lt;Y288,Y288-(J288-H288+M288-K288),TIME(0,10,0))+IF((K288-J288+N288-M288)&gt;xNoWorkTime,0,xNoWorkTime-(K288-J288+N288-M288)),0)</f>
        <v>0</v>
      </c>
      <c r="P288" s="113"/>
      <c r="Q288" s="113">
        <f>IF(O288&lt;N288,O288+1,O288)</f>
        <v>0</v>
      </c>
      <c r="R288" s="113">
        <f>J288-H288+M288-K288+Q288-N288</f>
        <v>0</v>
      </c>
      <c r="S288" s="113">
        <f>IF(K288&gt;0,K288-I288,0)+IF(N288&gt;0,N288-L288)</f>
        <v>0</v>
      </c>
      <c r="T288" s="113">
        <f>IF(H288&gt;0,(IF(R288&gt;B_Pause1Nach,B_Pause1Dauer+IF(BA288="Büro",B_WalkTime,0),IF(BA288="Büro",B_WalkTime,0))+IF(R288&gt;B_Pause2Nach,B_Pause2Dauer,0)),0)</f>
        <v>0</v>
      </c>
      <c r="U288" s="113">
        <f>IF(T288&gt;S288,T288-S288,0)</f>
        <v>0</v>
      </c>
      <c r="V288" s="146">
        <f>IF(F288="S",Z288,(IF((R288-U288)&gt;XWorkTimeMax,XWorkTimeMax,IF((R288-U288)&gt;0,R288-U288,0))))</f>
        <v>0</v>
      </c>
      <c r="W288" s="66"/>
      <c r="X288" s="115">
        <f>xNoWorkTime</f>
        <v>4.027777777777778E-2</v>
      </c>
      <c r="Y288" s="110">
        <f>IF(AND((AM288&lt;Feiertag),(G288&lt;&gt;85)),IF(OR(F288="B",F288="G",F288="S",H288&gt;0),H288-H288+Z288,0),0)</f>
        <v>0</v>
      </c>
      <c r="Z288" s="111">
        <f>IF(AND(AM288&gt;0,AM288&lt;Feiertag),INDEX(Arbeitszeit,AM288),"")</f>
        <v>0.29166666666666669</v>
      </c>
      <c r="AA288" s="112">
        <f>V288-Y288</f>
        <v>0</v>
      </c>
      <c r="AB288" s="67" t="str">
        <f>IF((V288-Y288)&lt;0,"*","")</f>
        <v/>
      </c>
      <c r="AC288" s="193">
        <f>xOverTime</f>
        <v>0</v>
      </c>
      <c r="AD288" s="144" t="str">
        <f>IF((R288-U288)&gt;XWorkTimeMax,(R288-U288-XWorkTimeMax),"")</f>
        <v/>
      </c>
      <c r="AE288" s="225">
        <f>IF(AW288,(AE287+SUM(AA288)+(IF(AG288="+",AF288,-AF288))),)</f>
        <v>0</v>
      </c>
      <c r="AF288" s="110"/>
      <c r="AG288" s="627"/>
      <c r="AH288" s="110"/>
      <c r="AI288" s="110" t="str">
        <f>IF(AND(AF288&lt;&gt;"",AF288&lt;=V288),V288-AF288,"")</f>
        <v/>
      </c>
      <c r="AJ288" s="68">
        <f>IF(ISNUMBER(V288 ), IF( V288 &gt;= Y288, Y288, V288 ),"")</f>
        <v>0</v>
      </c>
      <c r="AK288" s="68">
        <f>IF( ISNUMBER( V288 ), IF( V288 &gt;= Y288, V288 - Y288, "" ), "" )</f>
        <v>0</v>
      </c>
      <c r="AL288" s="68" t="str">
        <f>IF( AND(ISNUMBER( V288 ),ISNUMBER( Y288 )), IF( V288 &gt;= Y288, "", Y288 - V288 ), "" )</f>
        <v/>
      </c>
      <c r="AM288">
        <f>IF(A288="",0,IF(ISERROR(VLOOKUP(A288,db_Feiertag,2,FALSE)),WEEKDAY(A288,2),Feiertag))</f>
        <v>2</v>
      </c>
      <c r="AN288" s="122">
        <f>SUM($AD$6:AD288)</f>
        <v>0</v>
      </c>
      <c r="AO288" s="122">
        <f ca="1">IF(D288=D287,AO287,OFFSET(AO288,-1,COLUMN(db_jSaldoGes)-COLUMN()))</f>
        <v>0</v>
      </c>
      <c r="AP288" s="126">
        <f>IF(OR($G288=-1,$G288=82),-1,IF(OR($G288=0,$G288=83),1,0))</f>
        <v>0</v>
      </c>
      <c r="AQ288" s="126">
        <f>IF($F288=Krank,1,IF($F288="J",-1,0))</f>
        <v>0</v>
      </c>
      <c r="AR288" s="126">
        <f>IF($F288=Urlaub,1,IF($F288="T",-1,0))</f>
        <v>0</v>
      </c>
      <c r="AS288" s="125">
        <f>IF(A288="","",AS287-IF(F288=Urlaub,1,0)+IF(AND(MONTH(A288)=1,DAY(A288)=1),B_UrlaubNeu,0))</f>
        <v>30</v>
      </c>
      <c r="AT288" s="125">
        <f ca="1">IF(A288="","",IF(D288=D287,AT287,OFFSET(AT288,-1,COLUMN(db_jUrlRest)-COLUMN()))+IF(AND(MONTH(A288)=1,DAY(A288)=1),B_UrlaubNeu,0))</f>
        <v>30</v>
      </c>
      <c r="AU288" s="135">
        <f>(IF(ISNUMBER(V288),V288,0)+IF(ISNUMBER(AD288),AD288,0))*24</f>
        <v>0</v>
      </c>
      <c r="AV288" s="125">
        <f>IF(ISNUMBER(AD288),K_ArbeitOverMax,IF(AND(ISNUMBER(AA288),AA288&gt;0),K_ArbeitOverTime,IF(AND(ISNUMBER(V288),V288&gt;0),K_ArbeitNormal,IF(F288=Krank,K_Krank,IF(F288=Urlaub,K_Urlaub,IF(AM288=Feiertag,K_Feiertag,IF(OR(AM288=6,AM288=7),K_Wochenende,0)))))))+IF(F288=Gleittag,K_Gleittag,0)</f>
        <v>0</v>
      </c>
      <c r="AW288" t="b">
        <f>OR((F288&gt;0),(NOT(ISBLANK(H288))),SUM(H288:H$373),SUM(G288:G$373))</f>
        <v>0</v>
      </c>
      <c r="AX288" t="b">
        <f ca="1">INDIRECT(ADDRESS(ROW(),COLUMN(xDay)))&gt;5</f>
        <v>0</v>
      </c>
      <c r="AY288" s="600">
        <f>IF(OR(R288&lt;&gt;0,F288&lt;&gt;0),AA288,IF(Z288="",0,-Z288))+(IF(AG288="+",AF288,-AF288))</f>
        <v>-0.29166666666666669</v>
      </c>
      <c r="AZ288" s="225">
        <f>SUM(AY$5:AY288)</f>
        <v>-56.583333333333186</v>
      </c>
      <c r="BA288" s="658"/>
      <c r="BB288" s="658">
        <f>IF(ISNA(MATCH(BA288,B_Arbeitsort,0)),0,MATCH(BA288,B_Arbeitsort,0))</f>
        <v>0</v>
      </c>
      <c r="BC288" s="658"/>
    </row>
    <row r="289" spans="1:55" ht="15.75">
      <c r="A289" s="305">
        <f>IF(A288="","",IF((A288+1)&gt;=DATE(YEAR(xJahr)+1,MONTH(xJahr),DAY(xJahr)),"",A288+1))</f>
        <v>43748</v>
      </c>
      <c r="B289" s="306">
        <f>IF(A289="","",A289)</f>
        <v>43748</v>
      </c>
      <c r="C289" s="307">
        <f>IF(A289="","",NumberOfWeek(A289))</f>
        <v>41</v>
      </c>
      <c r="D289" s="308">
        <f>IF(A289="","",DATE(YEAR(A289),MONTH(A289),1))</f>
        <v>43738</v>
      </c>
      <c r="E289" s="318" t="str">
        <f>IF((R289-U289)&gt;XWorkTimeMax,$Z$4,IF(AV289=Feiertag,VLOOKUP(B289,db_Feiertag,2,FALSE),""))</f>
        <v/>
      </c>
      <c r="F289" s="5"/>
      <c r="G289" s="6" t="str">
        <f>IF(ISBLANK(F289),IF(ISBLANK(H289),"",0),CODE(UPPER(F289)))</f>
        <v/>
      </c>
      <c r="H289" s="7"/>
      <c r="I289" s="7">
        <f>IF(H289&gt;0,H289+Y289+X289+AC289,0)</f>
        <v>0</v>
      </c>
      <c r="J289" s="113">
        <f>IF(K289&gt;I289,IF(I289&lt;H289,I289+1,I289)-B_WalkTime,IF(I289&lt;H289,I289+1,I289))</f>
        <v>0</v>
      </c>
      <c r="K289" s="7"/>
      <c r="L289" s="7">
        <f>IF(K289&gt;0,K289+IF((J289-H289)&lt;Y289,Y289-(J289-H289),TIME(0,10,0))+IF((K289-J289)&gt;xNoWorkTime,0,xNoWorkTime-(K289-J289)),0)</f>
        <v>0</v>
      </c>
      <c r="M289" s="113">
        <f>IF(L289&lt;K289,L289+1,L289)</f>
        <v>0</v>
      </c>
      <c r="N289" s="113"/>
      <c r="O289" s="113">
        <f>IF(N289&gt;0,N289+IF((J289-H289+M289-K289)&lt;Y289,Y289-(J289-H289+M289-K289),TIME(0,10,0))+IF((K289-J289+N289-M289)&gt;xNoWorkTime,0,xNoWorkTime-(K289-J289+N289-M289)),0)</f>
        <v>0</v>
      </c>
      <c r="P289" s="113"/>
      <c r="Q289" s="113">
        <f>IF(O289&lt;N289,O289+1,O289)</f>
        <v>0</v>
      </c>
      <c r="R289" s="113">
        <f>J289-H289+M289-K289+Q289-N289</f>
        <v>0</v>
      </c>
      <c r="S289" s="113">
        <f>IF(K289&gt;0,K289-I289,0)+IF(N289&gt;0,N289-L289)</f>
        <v>0</v>
      </c>
      <c r="T289" s="113">
        <f>IF(H289&gt;0,(IF(R289&gt;B_Pause1Nach,B_Pause1Dauer+IF(BA289="Büro",B_WalkTime,0),IF(BA289="Büro",B_WalkTime,0))+IF(R289&gt;B_Pause2Nach,B_Pause2Dauer,0)),0)</f>
        <v>0</v>
      </c>
      <c r="U289" s="113">
        <f>IF(T289&gt;S289,T289-S289,0)</f>
        <v>0</v>
      </c>
      <c r="V289" s="146">
        <f>IF(F289="S",Z289,(IF((R289-U289)&gt;XWorkTimeMax,XWorkTimeMax,IF((R289-U289)&gt;0,R289-U289,0))))</f>
        <v>0</v>
      </c>
      <c r="W289" s="66"/>
      <c r="X289" s="115">
        <f>xNoWorkTime</f>
        <v>4.027777777777778E-2</v>
      </c>
      <c r="Y289" s="110">
        <f>IF(AND((AM289&lt;Feiertag),(G289&lt;&gt;85)),IF(OR(F289="B",F289="G",F289="S",H289&gt;0),H289-H289+Z289,0),0)</f>
        <v>0</v>
      </c>
      <c r="Z289" s="111">
        <f>IF(AND(AM289&gt;0,AM289&lt;Feiertag),INDEX(Arbeitszeit,AM289),"")</f>
        <v>0.29166666666666669</v>
      </c>
      <c r="AA289" s="112">
        <f>V289-Y289</f>
        <v>0</v>
      </c>
      <c r="AB289" s="67" t="str">
        <f>IF((V289-Y289)&lt;0,"*","")</f>
        <v/>
      </c>
      <c r="AC289" s="193">
        <f>xOverTime</f>
        <v>0</v>
      </c>
      <c r="AD289" s="144" t="str">
        <f>IF((R289-U289)&gt;XWorkTimeMax,(R289-U289-XWorkTimeMax),"")</f>
        <v/>
      </c>
      <c r="AE289" s="225">
        <f>IF(AW289,(AE288+SUM(AA289)+(IF(AG289="+",AF289,-AF289))),)</f>
        <v>0</v>
      </c>
      <c r="AF289" s="110"/>
      <c r="AG289" s="627"/>
      <c r="AH289" s="110"/>
      <c r="AI289" s="110" t="str">
        <f>IF(AND(AF289&lt;&gt;"",AF289&lt;=V289),V289-AF289,"")</f>
        <v/>
      </c>
      <c r="AJ289" s="68">
        <f>IF(ISNUMBER(V289 ), IF( V289 &gt;= Y289, Y289, V289 ),"")</f>
        <v>0</v>
      </c>
      <c r="AK289" s="68">
        <f>IF( ISNUMBER( V289 ), IF( V289 &gt;= Y289, V289 - Y289, "" ), "" )</f>
        <v>0</v>
      </c>
      <c r="AL289" s="68" t="str">
        <f>IF( AND(ISNUMBER( V289 ),ISNUMBER( Y289 )), IF( V289 &gt;= Y289, "", Y289 - V289 ), "" )</f>
        <v/>
      </c>
      <c r="AM289">
        <f>IF(A289="",0,IF(ISERROR(VLOOKUP(A289,db_Feiertag,2,FALSE)),WEEKDAY(A289,2),Feiertag))</f>
        <v>3</v>
      </c>
      <c r="AN289" s="122">
        <f>SUM($AD$6:AD289)</f>
        <v>0</v>
      </c>
      <c r="AO289" s="122">
        <f ca="1">IF(D289=D288,AO288,OFFSET(AO289,-1,COLUMN(db_jSaldoGes)-COLUMN()))</f>
        <v>0</v>
      </c>
      <c r="AP289" s="126">
        <f>IF(OR($G289=-1,$G289=82),-1,IF(OR($G289=0,$G289=83),1,0))</f>
        <v>0</v>
      </c>
      <c r="AQ289" s="126">
        <f>IF($F289=Krank,1,IF($F289="J",-1,0))</f>
        <v>0</v>
      </c>
      <c r="AR289" s="126">
        <f>IF($F289=Urlaub,1,IF($F289="T",-1,0))</f>
        <v>0</v>
      </c>
      <c r="AS289" s="125">
        <f>IF(A289="","",AS288-IF(F289=Urlaub,1,0)+IF(AND(MONTH(A289)=1,DAY(A289)=1),B_UrlaubNeu,0))</f>
        <v>30</v>
      </c>
      <c r="AT289" s="125">
        <f ca="1">IF(A289="","",IF(D289=D288,AT288,OFFSET(AT289,-1,COLUMN(db_jUrlRest)-COLUMN()))+IF(AND(MONTH(A289)=1,DAY(A289)=1),B_UrlaubNeu,0))</f>
        <v>30</v>
      </c>
      <c r="AU289" s="135">
        <f>(IF(ISNUMBER(V289),V289,0)+IF(ISNUMBER(AD289),AD289,0))*24</f>
        <v>0</v>
      </c>
      <c r="AV289" s="125">
        <f>IF(ISNUMBER(AD289),K_ArbeitOverMax,IF(AND(ISNUMBER(AA289),AA289&gt;0),K_ArbeitOverTime,IF(AND(ISNUMBER(V289),V289&gt;0),K_ArbeitNormal,IF(F289=Krank,K_Krank,IF(F289=Urlaub,K_Urlaub,IF(AM289=Feiertag,K_Feiertag,IF(OR(AM289=6,AM289=7),K_Wochenende,0)))))))+IF(F289=Gleittag,K_Gleittag,0)</f>
        <v>0</v>
      </c>
      <c r="AW289" t="b">
        <f>OR((F289&gt;0),(NOT(ISBLANK(H289))),SUM(H289:H$373),SUM(G289:G$373))</f>
        <v>0</v>
      </c>
      <c r="AX289" t="b">
        <f ca="1">INDIRECT(ADDRESS(ROW(),COLUMN(xDay)))&gt;5</f>
        <v>0</v>
      </c>
      <c r="AY289" s="600">
        <f>IF(OR(R289&lt;&gt;0,F289&lt;&gt;0),AA289,IF(Z289="",0,-Z289))+(IF(AG289="+",AF289,-AF289))</f>
        <v>-0.29166666666666669</v>
      </c>
      <c r="AZ289" s="225">
        <f>SUM(AY$5:AY289)</f>
        <v>-56.874999999999851</v>
      </c>
      <c r="BA289" s="658"/>
      <c r="BB289" s="658">
        <f>IF(ISNA(MATCH(BA289,B_Arbeitsort,0)),0,MATCH(BA289,B_Arbeitsort,0))</f>
        <v>0</v>
      </c>
      <c r="BC289" s="658"/>
    </row>
    <row r="290" spans="1:55" ht="15.75">
      <c r="A290" s="305">
        <f>IF(A289="","",IF((A289+1)&gt;=DATE(YEAR(xJahr)+1,MONTH(xJahr),DAY(xJahr)),"",A289+1))</f>
        <v>43749</v>
      </c>
      <c r="B290" s="306">
        <f>IF(A290="","",A290)</f>
        <v>43749</v>
      </c>
      <c r="C290" s="307">
        <f>IF(A290="","",NumberOfWeek(A290))</f>
        <v>41</v>
      </c>
      <c r="D290" s="308">
        <f>IF(A290="","",DATE(YEAR(A290),MONTH(A290),1))</f>
        <v>43738</v>
      </c>
      <c r="E290" s="318" t="str">
        <f>IF((R290-U290)&gt;XWorkTimeMax,$Z$4,IF(AV290=Feiertag,VLOOKUP(B290,db_Feiertag,2,FALSE),""))</f>
        <v/>
      </c>
      <c r="F290" s="5"/>
      <c r="G290" s="6" t="str">
        <f>IF(ISBLANK(F290),IF(ISBLANK(H290),"",0),CODE(UPPER(F290)))</f>
        <v/>
      </c>
      <c r="H290" s="7"/>
      <c r="I290" s="7">
        <f>IF(H290&gt;0,H290+Y290+X290+AC290,0)</f>
        <v>0</v>
      </c>
      <c r="J290" s="113">
        <f>IF(K290&gt;I290,IF(I290&lt;H290,I290+1,I290)-B_WalkTime,IF(I290&lt;H290,I290+1,I290))</f>
        <v>0</v>
      </c>
      <c r="K290" s="7"/>
      <c r="L290" s="7">
        <f>IF(K290&gt;0,K290+IF((J290-H290)&lt;Y290,Y290-(J290-H290),TIME(0,10,0))+IF((K290-J290)&gt;xNoWorkTime,0,xNoWorkTime-(K290-J290)),0)</f>
        <v>0</v>
      </c>
      <c r="M290" s="113">
        <f>IF(L290&lt;K290,L290+1,L290)</f>
        <v>0</v>
      </c>
      <c r="N290" s="113"/>
      <c r="O290" s="113">
        <f>IF(N290&gt;0,N290+IF((J290-H290+M290-K290)&lt;Y290,Y290-(J290-H290+M290-K290),TIME(0,10,0))+IF((K290-J290+N290-M290)&gt;xNoWorkTime,0,xNoWorkTime-(K290-J290+N290-M290)),0)</f>
        <v>0</v>
      </c>
      <c r="P290" s="113"/>
      <c r="Q290" s="113">
        <f>IF(O290&lt;N290,O290+1,O290)</f>
        <v>0</v>
      </c>
      <c r="R290" s="113">
        <f>J290-H290+M290-K290+Q290-N290</f>
        <v>0</v>
      </c>
      <c r="S290" s="113">
        <f>IF(K290&gt;0,K290-I290,0)+IF(N290&gt;0,N290-L290)</f>
        <v>0</v>
      </c>
      <c r="T290" s="113">
        <f>IF(H290&gt;0,(IF(R290&gt;B_Pause1Nach,B_Pause1Dauer+IF(BA290="Büro",B_WalkTime,0),IF(BA290="Büro",B_WalkTime,0))+IF(R290&gt;B_Pause2Nach,B_Pause2Dauer,0)),0)</f>
        <v>0</v>
      </c>
      <c r="U290" s="113">
        <f>IF(T290&gt;S290,T290-S290,0)</f>
        <v>0</v>
      </c>
      <c r="V290" s="146">
        <f>IF(F290="S",Z290,(IF((R290-U290)&gt;XWorkTimeMax,XWorkTimeMax,IF((R290-U290)&gt;0,R290-U290,0))))</f>
        <v>0</v>
      </c>
      <c r="W290" s="66"/>
      <c r="X290" s="115">
        <f>xNoWorkTime</f>
        <v>4.027777777777778E-2</v>
      </c>
      <c r="Y290" s="110">
        <f>IF(AND((AM290&lt;Feiertag),(G290&lt;&gt;85)),IF(OR(F290="B",F290="G",F290="S",H290&gt;0),H290-H290+Z290,0),0)</f>
        <v>0</v>
      </c>
      <c r="Z290" s="111">
        <f>IF(AND(AM290&gt;0,AM290&lt;Feiertag),INDEX(Arbeitszeit,AM290),"")</f>
        <v>0.29166666666666669</v>
      </c>
      <c r="AA290" s="112">
        <f>V290-Y290</f>
        <v>0</v>
      </c>
      <c r="AB290" s="67" t="str">
        <f>IF((V290-Y290)&lt;0,"*","")</f>
        <v/>
      </c>
      <c r="AC290" s="193">
        <f>xOverTime</f>
        <v>0</v>
      </c>
      <c r="AD290" s="144" t="str">
        <f>IF((R290-U290)&gt;XWorkTimeMax,(R290-U290-XWorkTimeMax),"")</f>
        <v/>
      </c>
      <c r="AE290" s="225">
        <f>IF(AW290,(AE289+SUM(AA290)+(IF(AG290="+",AF290,-AF290))),)</f>
        <v>0</v>
      </c>
      <c r="AF290" s="110"/>
      <c r="AG290" s="627"/>
      <c r="AH290" s="110"/>
      <c r="AI290" s="110" t="str">
        <f>IF(AND(AF290&lt;&gt;"",AF290&lt;=V290),V290-AF290,"")</f>
        <v/>
      </c>
      <c r="AJ290" s="68">
        <f>IF(ISNUMBER(V290 ), IF( V290 &gt;= Y290, Y290, V290 ),"")</f>
        <v>0</v>
      </c>
      <c r="AK290" s="68">
        <f>IF( ISNUMBER( V290 ), IF( V290 &gt;= Y290, V290 - Y290, "" ), "" )</f>
        <v>0</v>
      </c>
      <c r="AL290" s="68" t="str">
        <f>IF( AND(ISNUMBER( V290 ),ISNUMBER( Y290 )), IF( V290 &gt;= Y290, "", Y290 - V290 ), "" )</f>
        <v/>
      </c>
      <c r="AM290">
        <f>IF(A290="",0,IF(ISERROR(VLOOKUP(A290,db_Feiertag,2,FALSE)),WEEKDAY(A290,2),Feiertag))</f>
        <v>4</v>
      </c>
      <c r="AN290" s="122">
        <f>SUM($AD$6:AD290)</f>
        <v>0</v>
      </c>
      <c r="AO290" s="122">
        <f ca="1">IF(D290=D289,AO289,OFFSET(AO290,-1,COLUMN(db_jSaldoGes)-COLUMN()))</f>
        <v>0</v>
      </c>
      <c r="AP290" s="126">
        <f>IF(OR($G290=-1,$G290=82),-1,IF(OR($G290=0,$G290=83),1,0))</f>
        <v>0</v>
      </c>
      <c r="AQ290" s="126">
        <f>IF($F290=Krank,1,IF($F290="J",-1,0))</f>
        <v>0</v>
      </c>
      <c r="AR290" s="126">
        <f>IF($F290=Urlaub,1,IF($F290="T",-1,0))</f>
        <v>0</v>
      </c>
      <c r="AS290" s="125">
        <f>IF(A290="","",AS289-IF(F290=Urlaub,1,0)+IF(AND(MONTH(A290)=1,DAY(A290)=1),B_UrlaubNeu,0))</f>
        <v>30</v>
      </c>
      <c r="AT290" s="125">
        <f ca="1">IF(A290="","",IF(D290=D289,AT289,OFFSET(AT290,-1,COLUMN(db_jUrlRest)-COLUMN()))+IF(AND(MONTH(A290)=1,DAY(A290)=1),B_UrlaubNeu,0))</f>
        <v>30</v>
      </c>
      <c r="AU290" s="135">
        <f>(IF(ISNUMBER(V290),V290,0)+IF(ISNUMBER(AD290),AD290,0))*24</f>
        <v>0</v>
      </c>
      <c r="AV290" s="125">
        <f>IF(ISNUMBER(AD290),K_ArbeitOverMax,IF(AND(ISNUMBER(AA290),AA290&gt;0),K_ArbeitOverTime,IF(AND(ISNUMBER(V290),V290&gt;0),K_ArbeitNormal,IF(F290=Krank,K_Krank,IF(F290=Urlaub,K_Urlaub,IF(AM290=Feiertag,K_Feiertag,IF(OR(AM290=6,AM290=7),K_Wochenende,0)))))))+IF(F290=Gleittag,K_Gleittag,0)</f>
        <v>0</v>
      </c>
      <c r="AW290" t="b">
        <f>OR((F290&gt;0),(NOT(ISBLANK(H290))),SUM(H290:H$373),SUM(G290:G$373))</f>
        <v>0</v>
      </c>
      <c r="AX290" t="b">
        <f ca="1">INDIRECT(ADDRESS(ROW(),COLUMN(xDay)))&gt;5</f>
        <v>0</v>
      </c>
      <c r="AY290" s="600">
        <f>IF(OR(R290&lt;&gt;0,F290&lt;&gt;0),AA290,IF(Z290="",0,-Z290))+(IF(AG290="+",AF290,-AF290))</f>
        <v>-0.29166666666666669</v>
      </c>
      <c r="AZ290" s="225">
        <f>SUM(AY$5:AY290)</f>
        <v>-57.166666666666515</v>
      </c>
      <c r="BA290" s="658"/>
      <c r="BB290" s="658">
        <f>IF(ISNA(MATCH(BA290,B_Arbeitsort,0)),0,MATCH(BA290,B_Arbeitsort,0))</f>
        <v>0</v>
      </c>
      <c r="BC290" s="658"/>
    </row>
    <row r="291" spans="1:55" ht="15.75">
      <c r="A291" s="305">
        <f>IF(A290="","",IF((A290+1)&gt;=DATE(YEAR(xJahr)+1,MONTH(xJahr),DAY(xJahr)),"",A290+1))</f>
        <v>43750</v>
      </c>
      <c r="B291" s="306">
        <f>IF(A291="","",A291)</f>
        <v>43750</v>
      </c>
      <c r="C291" s="307">
        <f>IF(A291="","",NumberOfWeek(A291))</f>
        <v>41</v>
      </c>
      <c r="D291" s="308">
        <f>IF(A291="","",DATE(YEAR(A291),MONTH(A291),1))</f>
        <v>43738</v>
      </c>
      <c r="E291" s="318" t="str">
        <f>IF((R291-U291)&gt;XWorkTimeMax,$Z$4,IF(AV291=Feiertag,VLOOKUP(B291,db_Feiertag,2,FALSE),""))</f>
        <v/>
      </c>
      <c r="F291" s="5"/>
      <c r="G291" s="6" t="str">
        <f>IF(ISBLANK(F291),IF(ISBLANK(H291),"",0),CODE(UPPER(F291)))</f>
        <v/>
      </c>
      <c r="H291" s="7"/>
      <c r="I291" s="7">
        <f>IF(H291&gt;0,H291+Y291+X291+AC291,0)</f>
        <v>0</v>
      </c>
      <c r="J291" s="113">
        <f>IF(K291&gt;I291,IF(I291&lt;H291,I291+1,I291)-B_WalkTime,IF(I291&lt;H291,I291+1,I291))</f>
        <v>0</v>
      </c>
      <c r="K291" s="7"/>
      <c r="L291" s="7">
        <f>IF(K291&gt;0,K291+IF((J291-H291)&lt;Y291,Y291-(J291-H291),TIME(0,10,0))+IF((K291-J291)&gt;xNoWorkTime,0,xNoWorkTime-(K291-J291)),0)</f>
        <v>0</v>
      </c>
      <c r="M291" s="113">
        <f>IF(L291&lt;K291,L291+1,L291)</f>
        <v>0</v>
      </c>
      <c r="N291" s="113"/>
      <c r="O291" s="113">
        <f>IF(N291&gt;0,N291+IF((J291-H291+M291-K291)&lt;Y291,Y291-(J291-H291+M291-K291),TIME(0,10,0))+IF((K291-J291+N291-M291)&gt;xNoWorkTime,0,xNoWorkTime-(K291-J291+N291-M291)),0)</f>
        <v>0</v>
      </c>
      <c r="P291" s="113"/>
      <c r="Q291" s="113">
        <f>IF(O291&lt;N291,O291+1,O291)</f>
        <v>0</v>
      </c>
      <c r="R291" s="113">
        <f>J291-H291+M291-K291+Q291-N291</f>
        <v>0</v>
      </c>
      <c r="S291" s="113">
        <f>IF(K291&gt;0,K291-I291,0)+IF(N291&gt;0,N291-L291)</f>
        <v>0</v>
      </c>
      <c r="T291" s="113">
        <f>IF(H291&gt;0,(IF(R291&gt;B_Pause1Nach,B_Pause1Dauer+IF(BA291="Büro",B_WalkTime,0),IF(BA291="Büro",B_WalkTime,0))+IF(R291&gt;B_Pause2Nach,B_Pause2Dauer,0)),0)</f>
        <v>0</v>
      </c>
      <c r="U291" s="113">
        <f>IF(T291&gt;S291,T291-S291,0)</f>
        <v>0</v>
      </c>
      <c r="V291" s="146">
        <f>IF(F291="S",Z291,(IF((R291-U291)&gt;XWorkTimeMax,XWorkTimeMax,IF((R291-U291)&gt;0,R291-U291,0))))</f>
        <v>0</v>
      </c>
      <c r="W291" s="66"/>
      <c r="X291" s="115">
        <f>xNoWorkTime</f>
        <v>4.027777777777778E-2</v>
      </c>
      <c r="Y291" s="110">
        <f>IF(AND((AM291&lt;Feiertag),(G291&lt;&gt;85)),IF(OR(F291="B",F291="G",F291="S",H291&gt;0),H291-H291+Z291,0),0)</f>
        <v>0</v>
      </c>
      <c r="Z291" s="111">
        <f>IF(AND(AM291&gt;0,AM291&lt;Feiertag),INDEX(Arbeitszeit,AM291),"")</f>
        <v>0.29166666666666669</v>
      </c>
      <c r="AA291" s="112">
        <f>V291-Y291</f>
        <v>0</v>
      </c>
      <c r="AB291" s="67" t="str">
        <f>IF((V291-Y291)&lt;0,"*","")</f>
        <v/>
      </c>
      <c r="AC291" s="193">
        <f>xOverTime</f>
        <v>0</v>
      </c>
      <c r="AD291" s="144" t="str">
        <f>IF((R291-U291)&gt;XWorkTimeMax,(R291-U291-XWorkTimeMax),"")</f>
        <v/>
      </c>
      <c r="AE291" s="225">
        <f>IF(AW291,(AE290+SUM(AA291)+(IF(AG291="+",AF291,-AF291))),)</f>
        <v>0</v>
      </c>
      <c r="AF291" s="110"/>
      <c r="AG291" s="627"/>
      <c r="AH291" s="110"/>
      <c r="AI291" s="110" t="str">
        <f>IF(AND(AF291&lt;&gt;"",AF291&lt;=V291),V291-AF291,"")</f>
        <v/>
      </c>
      <c r="AJ291" s="68">
        <f>IF(ISNUMBER(V291 ), IF( V291 &gt;= Y291, Y291, V291 ),"")</f>
        <v>0</v>
      </c>
      <c r="AK291" s="68">
        <f>IF( ISNUMBER( V291 ), IF( V291 &gt;= Y291, V291 - Y291, "" ), "" )</f>
        <v>0</v>
      </c>
      <c r="AL291" s="68" t="str">
        <f>IF( AND(ISNUMBER( V291 ),ISNUMBER( Y291 )), IF( V291 &gt;= Y291, "", Y291 - V291 ), "" )</f>
        <v/>
      </c>
      <c r="AM291">
        <f>IF(A291="",0,IF(ISERROR(VLOOKUP(A291,db_Feiertag,2,FALSE)),WEEKDAY(A291,2),Feiertag))</f>
        <v>5</v>
      </c>
      <c r="AN291" s="122">
        <f>SUM($AD$6:AD291)</f>
        <v>0</v>
      </c>
      <c r="AO291" s="122">
        <f ca="1">IF(D291=D290,AO290,OFFSET(AO291,-1,COLUMN(db_jSaldoGes)-COLUMN()))</f>
        <v>0</v>
      </c>
      <c r="AP291" s="126">
        <f>IF(OR($G291=-1,$G291=82),-1,IF(OR($G291=0,$G291=83),1,0))</f>
        <v>0</v>
      </c>
      <c r="AQ291" s="126">
        <f>IF($F291=Krank,1,IF($F291="J",-1,0))</f>
        <v>0</v>
      </c>
      <c r="AR291" s="126">
        <f>IF($F291=Urlaub,1,IF($F291="T",-1,0))</f>
        <v>0</v>
      </c>
      <c r="AS291" s="125">
        <f>IF(A291="","",AS290-IF(F291=Urlaub,1,0)+IF(AND(MONTH(A291)=1,DAY(A291)=1),B_UrlaubNeu,0))</f>
        <v>30</v>
      </c>
      <c r="AT291" s="125">
        <f ca="1">IF(A291="","",IF(D291=D290,AT290,OFFSET(AT291,-1,COLUMN(db_jUrlRest)-COLUMN()))+IF(AND(MONTH(A291)=1,DAY(A291)=1),B_UrlaubNeu,0))</f>
        <v>30</v>
      </c>
      <c r="AU291" s="135">
        <f>(IF(ISNUMBER(V291),V291,0)+IF(ISNUMBER(AD291),AD291,0))*24</f>
        <v>0</v>
      </c>
      <c r="AV291" s="125">
        <f>IF(ISNUMBER(AD291),K_ArbeitOverMax,IF(AND(ISNUMBER(AA291),AA291&gt;0),K_ArbeitOverTime,IF(AND(ISNUMBER(V291),V291&gt;0),K_ArbeitNormal,IF(F291=Krank,K_Krank,IF(F291=Urlaub,K_Urlaub,IF(AM291=Feiertag,K_Feiertag,IF(OR(AM291=6,AM291=7),K_Wochenende,0)))))))+IF(F291=Gleittag,K_Gleittag,0)</f>
        <v>0</v>
      </c>
      <c r="AW291" t="b">
        <f>OR((F291&gt;0),(NOT(ISBLANK(H291))),SUM(H291:H$373),SUM(G291:G$373))</f>
        <v>0</v>
      </c>
      <c r="AX291" t="b">
        <f ca="1">INDIRECT(ADDRESS(ROW(),COLUMN(xDay)))&gt;5</f>
        <v>0</v>
      </c>
      <c r="AY291" s="600">
        <f>IF(OR(R291&lt;&gt;0,F291&lt;&gt;0),AA291,IF(Z291="",0,-Z291))+(IF(AG291="+",AF291,-AF291))</f>
        <v>-0.29166666666666669</v>
      </c>
      <c r="AZ291" s="225">
        <f>SUM(AY$5:AY291)</f>
        <v>-57.458333333333179</v>
      </c>
      <c r="BA291" s="658"/>
      <c r="BB291" s="658">
        <f>IF(ISNA(MATCH(BA291,B_Arbeitsort,0)),0,MATCH(BA291,B_Arbeitsort,0))</f>
        <v>0</v>
      </c>
      <c r="BC291" s="658"/>
    </row>
    <row r="292" spans="1:55" ht="15.75">
      <c r="A292" s="305">
        <f>IF(A291="","",IF((A291+1)&gt;=DATE(YEAR(xJahr)+1,MONTH(xJahr),DAY(xJahr)),"",A291+1))</f>
        <v>43751</v>
      </c>
      <c r="B292" s="306">
        <f>IF(A292="","",A292)</f>
        <v>43751</v>
      </c>
      <c r="C292" s="307">
        <f>IF(A292="","",NumberOfWeek(A292))</f>
        <v>41</v>
      </c>
      <c r="D292" s="308">
        <f>IF(A292="","",DATE(YEAR(A292),MONTH(A292),1))</f>
        <v>43738</v>
      </c>
      <c r="E292" s="318" t="str">
        <f>IF((R292-U292)&gt;XWorkTimeMax,$Z$4,IF(AV292=Feiertag,VLOOKUP(B292,db_Feiertag,2,FALSE),""))</f>
        <v/>
      </c>
      <c r="F292" s="5"/>
      <c r="G292" s="6" t="str">
        <f>IF(ISBLANK(F292),IF(ISBLANK(H292),"",0),CODE(UPPER(F292)))</f>
        <v/>
      </c>
      <c r="H292" s="7"/>
      <c r="I292" s="7">
        <f>IF(H292&gt;0,H292+Y292+X292+AC292,0)</f>
        <v>0</v>
      </c>
      <c r="J292" s="113">
        <f>IF(K292&gt;I292,IF(I292&lt;H292,I292+1,I292)-B_WalkTime,IF(I292&lt;H292,I292+1,I292))</f>
        <v>0</v>
      </c>
      <c r="K292" s="7"/>
      <c r="L292" s="7">
        <f>IF(K292&gt;0,K292+IF((J292-H292)&lt;Y292,Y292-(J292-H292),TIME(0,10,0))+IF((K292-J292)&gt;xNoWorkTime,0,xNoWorkTime-(K292-J292)),0)</f>
        <v>0</v>
      </c>
      <c r="M292" s="113">
        <f>IF(L292&lt;K292,L292+1,L292)</f>
        <v>0</v>
      </c>
      <c r="N292" s="113"/>
      <c r="O292" s="113">
        <f>IF(N292&gt;0,N292+IF((J292-H292+M292-K292)&lt;Y292,Y292-(J292-H292+M292-K292),TIME(0,10,0))+IF((K292-J292+N292-M292)&gt;xNoWorkTime,0,xNoWorkTime-(K292-J292+N292-M292)),0)</f>
        <v>0</v>
      </c>
      <c r="P292" s="113"/>
      <c r="Q292" s="113">
        <f>IF(O292&lt;N292,O292+1,O292)</f>
        <v>0</v>
      </c>
      <c r="R292" s="113">
        <f>J292-H292+M292-K292+Q292-N292</f>
        <v>0</v>
      </c>
      <c r="S292" s="113">
        <f>IF(K292&gt;0,K292-I292,0)+IF(N292&gt;0,N292-L292)</f>
        <v>0</v>
      </c>
      <c r="T292" s="113">
        <f>IF(H292&gt;0,(IF(R292&gt;B_Pause1Nach,B_Pause1Dauer+IF(BA292="Büro",B_WalkTime,0),IF(BA292="Büro",B_WalkTime,0))+IF(R292&gt;B_Pause2Nach,B_Pause2Dauer,0)),0)</f>
        <v>0</v>
      </c>
      <c r="U292" s="113">
        <f>IF(T292&gt;S292,T292-S292,0)</f>
        <v>0</v>
      </c>
      <c r="V292" s="146">
        <f>IF(F292="S",Z292,(IF((R292-U292)&gt;XWorkTimeMax,XWorkTimeMax,IF((R292-U292)&gt;0,R292-U292,0))))</f>
        <v>0</v>
      </c>
      <c r="W292" s="66"/>
      <c r="X292" s="115">
        <f>xNoWorkTime</f>
        <v>4.027777777777778E-2</v>
      </c>
      <c r="Y292" s="110">
        <f>IF(AND((AM292&lt;Feiertag),(G292&lt;&gt;85)),IF(OR(F292="B",F292="G",F292="S",H292&gt;0),H292-H292+Z292,0),0)</f>
        <v>0</v>
      </c>
      <c r="Z292" s="111">
        <f>IF(AND(AM292&gt;0,AM292&lt;Feiertag),INDEX(Arbeitszeit,AM292),"")</f>
        <v>0</v>
      </c>
      <c r="AA292" s="112">
        <f>V292-Y292</f>
        <v>0</v>
      </c>
      <c r="AB292" s="67" t="str">
        <f>IF((V292-Y292)&lt;0,"*","")</f>
        <v/>
      </c>
      <c r="AC292" s="193">
        <f>xOverTime</f>
        <v>0</v>
      </c>
      <c r="AD292" s="144" t="str">
        <f>IF((R292-U292)&gt;XWorkTimeMax,(R292-U292-XWorkTimeMax),"")</f>
        <v/>
      </c>
      <c r="AE292" s="225">
        <f>IF(AW292,(AE291+SUM(AA292)+(IF(AG292="+",AF292,-AF292))),)</f>
        <v>0</v>
      </c>
      <c r="AF292" s="110"/>
      <c r="AG292" s="627"/>
      <c r="AH292" s="110"/>
      <c r="AI292" s="110" t="str">
        <f>IF(AND(AF292&lt;&gt;"",AF292&lt;=V292),V292-AF292,"")</f>
        <v/>
      </c>
      <c r="AJ292" s="68">
        <f>IF(ISNUMBER(V292 ), IF( V292 &gt;= Y292, Y292, V292 ),"")</f>
        <v>0</v>
      </c>
      <c r="AK292" s="68">
        <f>IF( ISNUMBER( V292 ), IF( V292 &gt;= Y292, V292 - Y292, "" ), "" )</f>
        <v>0</v>
      </c>
      <c r="AL292" s="68" t="str">
        <f>IF( AND(ISNUMBER( V292 ),ISNUMBER( Y292 )), IF( V292 &gt;= Y292, "", Y292 - V292 ), "" )</f>
        <v/>
      </c>
      <c r="AM292">
        <f>IF(A292="",0,IF(ISERROR(VLOOKUP(A292,db_Feiertag,2,FALSE)),WEEKDAY(A292,2),Feiertag))</f>
        <v>6</v>
      </c>
      <c r="AN292" s="122">
        <f>SUM($AD$6:AD292)</f>
        <v>0</v>
      </c>
      <c r="AO292" s="122">
        <f ca="1">IF(D292=D291,AO291,OFFSET(AO292,-1,COLUMN(db_jSaldoGes)-COLUMN()))</f>
        <v>0</v>
      </c>
      <c r="AP292" s="126">
        <f>IF(OR($G292=-1,$G292=82),-1,IF(OR($G292=0,$G292=83),1,0))</f>
        <v>0</v>
      </c>
      <c r="AQ292" s="126">
        <f>IF($F292=Krank,1,IF($F292="J",-1,0))</f>
        <v>0</v>
      </c>
      <c r="AR292" s="126">
        <f>IF($F292=Urlaub,1,IF($F292="T",-1,0))</f>
        <v>0</v>
      </c>
      <c r="AS292" s="125">
        <f>IF(A292="","",AS291-IF(F292=Urlaub,1,0)+IF(AND(MONTH(A292)=1,DAY(A292)=1),B_UrlaubNeu,0))</f>
        <v>30</v>
      </c>
      <c r="AT292" s="125">
        <f ca="1">IF(A292="","",IF(D292=D291,AT291,OFFSET(AT292,-1,COLUMN(db_jUrlRest)-COLUMN()))+IF(AND(MONTH(A292)=1,DAY(A292)=1),B_UrlaubNeu,0))</f>
        <v>30</v>
      </c>
      <c r="AU292" s="135">
        <f>(IF(ISNUMBER(V292),V292,0)+IF(ISNUMBER(AD292),AD292,0))*24</f>
        <v>0</v>
      </c>
      <c r="AV292" s="125">
        <f>IF(ISNUMBER(AD292),K_ArbeitOverMax,IF(AND(ISNUMBER(AA292),AA292&gt;0),K_ArbeitOverTime,IF(AND(ISNUMBER(V292),V292&gt;0),K_ArbeitNormal,IF(F292=Krank,K_Krank,IF(F292=Urlaub,K_Urlaub,IF(AM292=Feiertag,K_Feiertag,IF(OR(AM292=6,AM292=7),K_Wochenende,0)))))))+IF(F292=Gleittag,K_Gleittag,0)</f>
        <v>7</v>
      </c>
      <c r="AW292" t="b">
        <f>OR((F292&gt;0),(NOT(ISBLANK(H292))),SUM(H292:H$373),SUM(G292:G$373))</f>
        <v>0</v>
      </c>
      <c r="AX292" t="b">
        <f ca="1">INDIRECT(ADDRESS(ROW(),COLUMN(xDay)))&gt;5</f>
        <v>1</v>
      </c>
      <c r="AY292" s="600">
        <f>IF(OR(R292&lt;&gt;0,F292&lt;&gt;0),AA292,IF(Z292="",0,-Z292))+(IF(AG292="+",AF292,-AF292))</f>
        <v>0</v>
      </c>
      <c r="AZ292" s="225">
        <f>SUM(AY$5:AY292)</f>
        <v>-57.458333333333179</v>
      </c>
      <c r="BA292" s="643"/>
      <c r="BB292" s="658">
        <f>IF(ISNA(MATCH(BA292,B_Arbeitsort,0)),0,MATCH(BA292,B_Arbeitsort,0))</f>
        <v>0</v>
      </c>
      <c r="BC292" s="643"/>
    </row>
    <row r="293" spans="1:55" ht="15.75">
      <c r="A293" s="305">
        <f>IF(A292="","",IF((A292+1)&gt;=DATE(YEAR(xJahr)+1,MONTH(xJahr),DAY(xJahr)),"",A292+1))</f>
        <v>43752</v>
      </c>
      <c r="B293" s="306">
        <f>IF(A293="","",A293)</f>
        <v>43752</v>
      </c>
      <c r="C293" s="307">
        <f>IF(A293="","",NumberOfWeek(A293))</f>
        <v>41</v>
      </c>
      <c r="D293" s="308">
        <f>IF(A293="","",DATE(YEAR(A293),MONTH(A293),1))</f>
        <v>43738</v>
      </c>
      <c r="E293" s="318" t="str">
        <f>IF((R293-U293)&gt;XWorkTimeMax,$Z$4,IF(AV293=Feiertag,VLOOKUP(B293,db_Feiertag,2,FALSE),""))</f>
        <v/>
      </c>
      <c r="F293" s="5"/>
      <c r="G293" s="6" t="str">
        <f>IF(ISBLANK(F293),IF(ISBLANK(H293),"",0),CODE(UPPER(F293)))</f>
        <v/>
      </c>
      <c r="H293" s="7"/>
      <c r="I293" s="7">
        <f>IF(H293&gt;0,H293+Y293+X293+AC293,0)</f>
        <v>0</v>
      </c>
      <c r="J293" s="113">
        <f>IF(K293&gt;I293,IF(I293&lt;H293,I293+1,I293)-B_WalkTime,IF(I293&lt;H293,I293+1,I293))</f>
        <v>0</v>
      </c>
      <c r="K293" s="7"/>
      <c r="L293" s="7">
        <f>IF(K293&gt;0,K293+IF((J293-H293)&lt;Y293,Y293-(J293-H293),TIME(0,10,0))+IF((K293-J293)&gt;xNoWorkTime,0,xNoWorkTime-(K293-J293)),0)</f>
        <v>0</v>
      </c>
      <c r="M293" s="113">
        <f>IF(L293&lt;K293,L293+1,L293)</f>
        <v>0</v>
      </c>
      <c r="N293" s="113"/>
      <c r="O293" s="113">
        <f>IF(N293&gt;0,N293+IF((J293-H293+M293-K293)&lt;Y293,Y293-(J293-H293+M293-K293),TIME(0,10,0))+IF((K293-J293+N293-M293)&gt;xNoWorkTime,0,xNoWorkTime-(K293-J293+N293-M293)),0)</f>
        <v>0</v>
      </c>
      <c r="P293" s="113"/>
      <c r="Q293" s="113">
        <f>IF(O293&lt;N293,O293+1,O293)</f>
        <v>0</v>
      </c>
      <c r="R293" s="113">
        <f>J293-H293+M293-K293+Q293-N293</f>
        <v>0</v>
      </c>
      <c r="S293" s="113">
        <f>IF(K293&gt;0,K293-I293,0)+IF(N293&gt;0,N293-L293)</f>
        <v>0</v>
      </c>
      <c r="T293" s="113">
        <f>IF(H293&gt;0,(IF(R293&gt;B_Pause1Nach,B_Pause1Dauer+IF(BA293="Büro",B_WalkTime,0),IF(BA293="Büro",B_WalkTime,0))+IF(R293&gt;B_Pause2Nach,B_Pause2Dauer,0)),0)</f>
        <v>0</v>
      </c>
      <c r="U293" s="113">
        <f>IF(T293&gt;S293,T293-S293,0)</f>
        <v>0</v>
      </c>
      <c r="V293" s="146">
        <f>IF(F293="S",Z293,(IF((R293-U293)&gt;XWorkTimeMax,XWorkTimeMax,IF((R293-U293)&gt;0,R293-U293,0))))</f>
        <v>0</v>
      </c>
      <c r="W293" s="66"/>
      <c r="X293" s="115">
        <f>xNoWorkTime</f>
        <v>4.027777777777778E-2</v>
      </c>
      <c r="Y293" s="110">
        <f>IF(AND((AM293&lt;Feiertag),(G293&lt;&gt;85)),IF(OR(F293="B",F293="G",F293="S",H293&gt;0),H293-H293+Z293,0),0)</f>
        <v>0</v>
      </c>
      <c r="Z293" s="111">
        <f>IF(AND(AM293&gt;0,AM293&lt;Feiertag),INDEX(Arbeitszeit,AM293),"")</f>
        <v>0</v>
      </c>
      <c r="AA293" s="112">
        <f>V293-Y293</f>
        <v>0</v>
      </c>
      <c r="AB293" s="67" t="str">
        <f>IF((V293-Y293)&lt;0,"*","")</f>
        <v/>
      </c>
      <c r="AC293" s="193">
        <f>xOverTime</f>
        <v>0</v>
      </c>
      <c r="AD293" s="144" t="str">
        <f>IF((R293-U293)&gt;XWorkTimeMax,(R293-U293-XWorkTimeMax),"")</f>
        <v/>
      </c>
      <c r="AE293" s="225">
        <f>IF(AW293,(AE292+SUM(AA293)+(IF(AG293="+",AF293,-AF293))),)</f>
        <v>0</v>
      </c>
      <c r="AF293" s="110"/>
      <c r="AG293" s="627"/>
      <c r="AH293" s="110"/>
      <c r="AI293" s="110" t="str">
        <f>IF(AND(AF293&lt;&gt;"",AF293&lt;=V293),V293-AF293,"")</f>
        <v/>
      </c>
      <c r="AJ293" s="68">
        <f>IF(ISNUMBER(V293 ), IF( V293 &gt;= Y293, Y293, V293 ),"")</f>
        <v>0</v>
      </c>
      <c r="AK293" s="68">
        <f>IF( ISNUMBER( V293 ), IF( V293 &gt;= Y293, V293 - Y293, "" ), "" )</f>
        <v>0</v>
      </c>
      <c r="AL293" s="68" t="str">
        <f>IF( AND(ISNUMBER( V293 ),ISNUMBER( Y293 )), IF( V293 &gt;= Y293, "", Y293 - V293 ), "" )</f>
        <v/>
      </c>
      <c r="AM293">
        <f>IF(A293="",0,IF(ISERROR(VLOOKUP(A293,db_Feiertag,2,FALSE)),WEEKDAY(A293,2),Feiertag))</f>
        <v>7</v>
      </c>
      <c r="AN293" s="122">
        <f>SUM($AD$6:AD293)</f>
        <v>0</v>
      </c>
      <c r="AO293" s="122">
        <f ca="1">IF(D293=D292,AO292,OFFSET(AO293,-1,COLUMN(db_jSaldoGes)-COLUMN()))</f>
        <v>0</v>
      </c>
      <c r="AP293" s="126">
        <f>IF(OR($G293=-1,$G293=82),-1,IF(OR($G293=0,$G293=83),1,0))</f>
        <v>0</v>
      </c>
      <c r="AQ293" s="126">
        <f>IF($F293=Krank,1,IF($F293="J",-1,0))</f>
        <v>0</v>
      </c>
      <c r="AR293" s="126">
        <f>IF($F293=Urlaub,1,IF($F293="T",-1,0))</f>
        <v>0</v>
      </c>
      <c r="AS293" s="125">
        <f>IF(A293="","",AS292-IF(F293=Urlaub,1,0)+IF(AND(MONTH(A293)=1,DAY(A293)=1),B_UrlaubNeu,0))</f>
        <v>30</v>
      </c>
      <c r="AT293" s="125">
        <f ca="1">IF(A293="","",IF(D293=D292,AT292,OFFSET(AT293,-1,COLUMN(db_jUrlRest)-COLUMN()))+IF(AND(MONTH(A293)=1,DAY(A293)=1),B_UrlaubNeu,0))</f>
        <v>30</v>
      </c>
      <c r="AU293" s="135">
        <f>(IF(ISNUMBER(V293),V293,0)+IF(ISNUMBER(AD293),AD293,0))*24</f>
        <v>0</v>
      </c>
      <c r="AV293" s="125">
        <f>IF(ISNUMBER(AD293),K_ArbeitOverMax,IF(AND(ISNUMBER(AA293),AA293&gt;0),K_ArbeitOverTime,IF(AND(ISNUMBER(V293),V293&gt;0),K_ArbeitNormal,IF(F293=Krank,K_Krank,IF(F293=Urlaub,K_Urlaub,IF(AM293=Feiertag,K_Feiertag,IF(OR(AM293=6,AM293=7),K_Wochenende,0)))))))+IF(F293=Gleittag,K_Gleittag,0)</f>
        <v>7</v>
      </c>
      <c r="AW293" t="b">
        <f>OR((F293&gt;0),(NOT(ISBLANK(H293))),SUM(H293:H$373),SUM(G293:G$373))</f>
        <v>0</v>
      </c>
      <c r="AX293" t="b">
        <f ca="1">INDIRECT(ADDRESS(ROW(),COLUMN(xDay)))&gt;5</f>
        <v>1</v>
      </c>
      <c r="AY293" s="600">
        <f>IF(OR(R293&lt;&gt;0,F293&lt;&gt;0),AA293,IF(Z293="",0,-Z293))+(IF(AG293="+",AF293,-AF293))</f>
        <v>0</v>
      </c>
      <c r="AZ293" s="225">
        <f>SUM(AY$5:AY293)</f>
        <v>-57.458333333333179</v>
      </c>
      <c r="BA293" s="643"/>
      <c r="BB293" s="658">
        <f>IF(ISNA(MATCH(BA293,B_Arbeitsort,0)),0,MATCH(BA293,B_Arbeitsort,0))</f>
        <v>0</v>
      </c>
      <c r="BC293" s="643"/>
    </row>
    <row r="294" spans="1:55" ht="15.75">
      <c r="A294" s="305">
        <f>IF(A293="","",IF((A293+1)&gt;=DATE(YEAR(xJahr)+1,MONTH(xJahr),DAY(xJahr)),"",A293+1))</f>
        <v>43753</v>
      </c>
      <c r="B294" s="306">
        <f>IF(A294="","",A294)</f>
        <v>43753</v>
      </c>
      <c r="C294" s="307">
        <f>IF(A294="","",NumberOfWeek(A294))</f>
        <v>42</v>
      </c>
      <c r="D294" s="308">
        <f>IF(A294="","",DATE(YEAR(A294),MONTH(A294),1))</f>
        <v>43738</v>
      </c>
      <c r="E294" s="318" t="str">
        <f>IF((R294-U294)&gt;XWorkTimeMax,$Z$4,IF(AV294=Feiertag,VLOOKUP(B294,db_Feiertag,2,FALSE),""))</f>
        <v/>
      </c>
      <c r="F294" s="5"/>
      <c r="G294" s="6" t="str">
        <f>IF(ISBLANK(F294),IF(ISBLANK(H294),"",0),CODE(UPPER(F294)))</f>
        <v/>
      </c>
      <c r="H294" s="7"/>
      <c r="I294" s="7">
        <f>IF(H294&gt;0,H294+Y294+X294+AC294,0)</f>
        <v>0</v>
      </c>
      <c r="J294" s="113">
        <f>IF(K294&gt;I294,IF(I294&lt;H294,I294+1,I294)-B_WalkTime,IF(I294&lt;H294,I294+1,I294))</f>
        <v>0</v>
      </c>
      <c r="K294" s="7"/>
      <c r="L294" s="7">
        <f>IF(K294&gt;0,K294+IF((J294-H294)&lt;Y294,Y294-(J294-H294),TIME(0,10,0))+IF((K294-J294)&gt;xNoWorkTime,0,xNoWorkTime-(K294-J294)),0)</f>
        <v>0</v>
      </c>
      <c r="M294" s="113">
        <f>IF(L294&lt;K294,L294+1,L294)</f>
        <v>0</v>
      </c>
      <c r="N294" s="113"/>
      <c r="O294" s="113">
        <f>IF(N294&gt;0,N294+IF((J294-H294+M294-K294)&lt;Y294,Y294-(J294-H294+M294-K294),TIME(0,10,0))+IF((K294-J294+N294-M294)&gt;xNoWorkTime,0,xNoWorkTime-(K294-J294+N294-M294)),0)</f>
        <v>0</v>
      </c>
      <c r="P294" s="113"/>
      <c r="Q294" s="113">
        <f>IF(O294&lt;N294,O294+1,O294)</f>
        <v>0</v>
      </c>
      <c r="R294" s="113">
        <f>J294-H294+M294-K294+Q294-N294</f>
        <v>0</v>
      </c>
      <c r="S294" s="113">
        <f>IF(K294&gt;0,K294-I294,0)+IF(N294&gt;0,N294-L294)</f>
        <v>0</v>
      </c>
      <c r="T294" s="113">
        <f>IF(H294&gt;0,(IF(R294&gt;B_Pause1Nach,B_Pause1Dauer+IF(BA294="Büro",B_WalkTime,0),IF(BA294="Büro",B_WalkTime,0))+IF(R294&gt;B_Pause2Nach,B_Pause2Dauer,0)),0)</f>
        <v>0</v>
      </c>
      <c r="U294" s="113">
        <f>IF(T294&gt;S294,T294-S294,0)</f>
        <v>0</v>
      </c>
      <c r="V294" s="146">
        <f>IF(F294="S",Z294,(IF((R294-U294)&gt;XWorkTimeMax,XWorkTimeMax,IF((R294-U294)&gt;0,R294-U294,0))))</f>
        <v>0</v>
      </c>
      <c r="W294" s="66"/>
      <c r="X294" s="115">
        <f>xNoWorkTime</f>
        <v>4.027777777777778E-2</v>
      </c>
      <c r="Y294" s="110">
        <f>IF(AND((AM294&lt;Feiertag),(G294&lt;&gt;85)),IF(OR(F294="B",F294="G",F294="S",H294&gt;0),H294-H294+Z294,0),0)</f>
        <v>0</v>
      </c>
      <c r="Z294" s="111">
        <f>IF(AND(AM294&gt;0,AM294&lt;Feiertag),INDEX(Arbeitszeit,AM294),"")</f>
        <v>0.29166666666666669</v>
      </c>
      <c r="AA294" s="112">
        <f>V294-Y294</f>
        <v>0</v>
      </c>
      <c r="AB294" s="67" t="str">
        <f>IF((V294-Y294)&lt;0,"*","")</f>
        <v/>
      </c>
      <c r="AC294" s="193">
        <f>xOverTime</f>
        <v>0</v>
      </c>
      <c r="AD294" s="144" t="str">
        <f>IF((R294-U294)&gt;XWorkTimeMax,(R294-U294-XWorkTimeMax),"")</f>
        <v/>
      </c>
      <c r="AE294" s="225">
        <f>IF(AW294,(AE293+SUM(AA294)+(IF(AG294="+",AF294,-AF294))),)</f>
        <v>0</v>
      </c>
      <c r="AF294" s="110"/>
      <c r="AG294" s="627"/>
      <c r="AH294" s="110"/>
      <c r="AI294" s="110" t="str">
        <f>IF(AND(AF294&lt;&gt;"",AF294&lt;=V294),V294-AF294,"")</f>
        <v/>
      </c>
      <c r="AJ294" s="68">
        <f>IF(ISNUMBER(V294 ), IF( V294 &gt;= Y294, Y294, V294 ),"")</f>
        <v>0</v>
      </c>
      <c r="AK294" s="68">
        <f>IF( ISNUMBER( V294 ), IF( V294 &gt;= Y294, V294 - Y294, "" ), "" )</f>
        <v>0</v>
      </c>
      <c r="AL294" s="68" t="str">
        <f>IF( AND(ISNUMBER( V294 ),ISNUMBER( Y294 )), IF( V294 &gt;= Y294, "", Y294 - V294 ), "" )</f>
        <v/>
      </c>
      <c r="AM294">
        <f>IF(A294="",0,IF(ISERROR(VLOOKUP(A294,db_Feiertag,2,FALSE)),WEEKDAY(A294,2),Feiertag))</f>
        <v>1</v>
      </c>
      <c r="AN294" s="122">
        <f>SUM($AD$6:AD294)</f>
        <v>0</v>
      </c>
      <c r="AO294" s="122">
        <f ca="1">IF(D294=D293,AO293,OFFSET(AO294,-1,COLUMN(db_jSaldoGes)-COLUMN()))</f>
        <v>0</v>
      </c>
      <c r="AP294" s="126">
        <f>IF(OR($G294=-1,$G294=82),-1,IF(OR($G294=0,$G294=83),1,0))</f>
        <v>0</v>
      </c>
      <c r="AQ294" s="126">
        <f>IF($F294=Krank,1,IF($F294="J",-1,0))</f>
        <v>0</v>
      </c>
      <c r="AR294" s="126">
        <f>IF($F294=Urlaub,1,IF($F294="T",-1,0))</f>
        <v>0</v>
      </c>
      <c r="AS294" s="125">
        <f>IF(A294="","",AS293-IF(F294=Urlaub,1,0)+IF(AND(MONTH(A294)=1,DAY(A294)=1),B_UrlaubNeu,0))</f>
        <v>30</v>
      </c>
      <c r="AT294" s="125">
        <f ca="1">IF(A294="","",IF(D294=D293,AT293,OFFSET(AT294,-1,COLUMN(db_jUrlRest)-COLUMN()))+IF(AND(MONTH(A294)=1,DAY(A294)=1),B_UrlaubNeu,0))</f>
        <v>30</v>
      </c>
      <c r="AU294" s="135">
        <f>(IF(ISNUMBER(V294),V294,0)+IF(ISNUMBER(AD294),AD294,0))*24</f>
        <v>0</v>
      </c>
      <c r="AV294" s="125">
        <f>IF(ISNUMBER(AD294),K_ArbeitOverMax,IF(AND(ISNUMBER(AA294),AA294&gt;0),K_ArbeitOverTime,IF(AND(ISNUMBER(V294),V294&gt;0),K_ArbeitNormal,IF(F294=Krank,K_Krank,IF(F294=Urlaub,K_Urlaub,IF(AM294=Feiertag,K_Feiertag,IF(OR(AM294=6,AM294=7),K_Wochenende,0)))))))+IF(F294=Gleittag,K_Gleittag,0)</f>
        <v>0</v>
      </c>
      <c r="AW294" t="b">
        <f>OR((F294&gt;0),(NOT(ISBLANK(H294))),SUM(H294:H$373),SUM(G294:G$373))</f>
        <v>0</v>
      </c>
      <c r="AX294" t="b">
        <f ca="1">INDIRECT(ADDRESS(ROW(),COLUMN(xDay)))&gt;5</f>
        <v>0</v>
      </c>
      <c r="AY294" s="600">
        <f>IF(OR(R294&lt;&gt;0,F294&lt;&gt;0),AA294,IF(Z294="",0,-Z294))+(IF(AG294="+",AF294,-AF294))</f>
        <v>-0.29166666666666669</v>
      </c>
      <c r="AZ294" s="225">
        <f>SUM(AY$5:AY294)</f>
        <v>-57.749999999999844</v>
      </c>
      <c r="BA294" s="658"/>
      <c r="BB294" s="658">
        <f>IF(ISNA(MATCH(BA294,B_Arbeitsort,0)),0,MATCH(BA294,B_Arbeitsort,0))</f>
        <v>0</v>
      </c>
      <c r="BC294" s="658"/>
    </row>
    <row r="295" spans="1:55" ht="15.75">
      <c r="A295" s="305">
        <f>IF(A294="","",IF((A294+1)&gt;=DATE(YEAR(xJahr)+1,MONTH(xJahr),DAY(xJahr)),"",A294+1))</f>
        <v>43754</v>
      </c>
      <c r="B295" s="306">
        <f>IF(A295="","",A295)</f>
        <v>43754</v>
      </c>
      <c r="C295" s="307">
        <f>IF(A295="","",NumberOfWeek(A295))</f>
        <v>42</v>
      </c>
      <c r="D295" s="308">
        <f>IF(A295="","",DATE(YEAR(A295),MONTH(A295),1))</f>
        <v>43738</v>
      </c>
      <c r="E295" s="318" t="str">
        <f>IF((R295-U295)&gt;XWorkTimeMax,$Z$4,IF(AV295=Feiertag,VLOOKUP(B295,db_Feiertag,2,FALSE),""))</f>
        <v/>
      </c>
      <c r="F295" s="5"/>
      <c r="G295" s="6" t="str">
        <f>IF(ISBLANK(F295),IF(ISBLANK(H295),"",0),CODE(UPPER(F295)))</f>
        <v/>
      </c>
      <c r="H295" s="7"/>
      <c r="I295" s="7">
        <f>IF(H295&gt;0,H295+Y295+X295+AC295,0)</f>
        <v>0</v>
      </c>
      <c r="J295" s="113">
        <f>IF(K295&gt;I295,IF(I295&lt;H295,I295+1,I295)-B_WalkTime,IF(I295&lt;H295,I295+1,I295))</f>
        <v>0</v>
      </c>
      <c r="K295" s="7"/>
      <c r="L295" s="7">
        <f>IF(K295&gt;0,K295+IF((J295-H295)&lt;Y295,Y295-(J295-H295),TIME(0,10,0))+IF((K295-J295)&gt;xNoWorkTime,0,xNoWorkTime-(K295-J295)),0)</f>
        <v>0</v>
      </c>
      <c r="M295" s="113">
        <f>IF(L295&lt;K295,L295+1,L295)</f>
        <v>0</v>
      </c>
      <c r="N295" s="113"/>
      <c r="O295" s="113">
        <f>IF(N295&gt;0,N295+IF((J295-H295+M295-K295)&lt;Y295,Y295-(J295-H295+M295-K295),TIME(0,10,0))+IF((K295-J295+N295-M295)&gt;xNoWorkTime,0,xNoWorkTime-(K295-J295+N295-M295)),0)</f>
        <v>0</v>
      </c>
      <c r="P295" s="113"/>
      <c r="Q295" s="113">
        <f>IF(O295&lt;N295,O295+1,O295)</f>
        <v>0</v>
      </c>
      <c r="R295" s="113">
        <f>J295-H295+M295-K295+Q295-N295</f>
        <v>0</v>
      </c>
      <c r="S295" s="113">
        <f>IF(K295&gt;0,K295-I295,0)+IF(N295&gt;0,N295-L295)</f>
        <v>0</v>
      </c>
      <c r="T295" s="113">
        <f>IF(H295&gt;0,(IF(R295&gt;B_Pause1Nach,B_Pause1Dauer+IF(BA295="Büro",B_WalkTime,0),IF(BA295="Büro",B_WalkTime,0))+IF(R295&gt;B_Pause2Nach,B_Pause2Dauer,0)),0)</f>
        <v>0</v>
      </c>
      <c r="U295" s="113">
        <f>IF(T295&gt;S295,T295-S295,0)</f>
        <v>0</v>
      </c>
      <c r="V295" s="146">
        <f>IF(F295="S",Z295,(IF((R295-U295)&gt;XWorkTimeMax,XWorkTimeMax,IF((R295-U295)&gt;0,R295-U295,0))))</f>
        <v>0</v>
      </c>
      <c r="W295" s="66"/>
      <c r="X295" s="115">
        <f>xNoWorkTime</f>
        <v>4.027777777777778E-2</v>
      </c>
      <c r="Y295" s="110">
        <f>IF(AND((AM295&lt;Feiertag),(G295&lt;&gt;85)),IF(OR(F295="B",F295="G",F295="S",H295&gt;0),H295-H295+Z295,0),0)</f>
        <v>0</v>
      </c>
      <c r="Z295" s="111">
        <f>IF(AND(AM295&gt;0,AM295&lt;Feiertag),INDEX(Arbeitszeit,AM295),"")</f>
        <v>0.29166666666666669</v>
      </c>
      <c r="AA295" s="112">
        <f>V295-Y295</f>
        <v>0</v>
      </c>
      <c r="AB295" s="67" t="str">
        <f>IF((V295-Y295)&lt;0,"*","")</f>
        <v/>
      </c>
      <c r="AC295" s="193">
        <f>xOverTime</f>
        <v>0</v>
      </c>
      <c r="AD295" s="144" t="str">
        <f>IF((R295-U295)&gt;XWorkTimeMax,(R295-U295-XWorkTimeMax),"")</f>
        <v/>
      </c>
      <c r="AE295" s="225">
        <f>IF(AW295,(AE294+SUM(AA295)+(IF(AG295="+",AF295,-AF295))),)</f>
        <v>0</v>
      </c>
      <c r="AF295" s="110"/>
      <c r="AG295" s="627"/>
      <c r="AH295" s="110"/>
      <c r="AI295" s="110" t="str">
        <f>IF(AND(AF295&lt;&gt;"",AF295&lt;=V295),V295-AF295,"")</f>
        <v/>
      </c>
      <c r="AJ295" s="68">
        <f>IF(ISNUMBER(V295 ), IF( V295 &gt;= Y295, Y295, V295 ),"")</f>
        <v>0</v>
      </c>
      <c r="AK295" s="68">
        <f>IF( ISNUMBER( V295 ), IF( V295 &gt;= Y295, V295 - Y295, "" ), "" )</f>
        <v>0</v>
      </c>
      <c r="AL295" s="68" t="str">
        <f>IF( AND(ISNUMBER( V295 ),ISNUMBER( Y295 )), IF( V295 &gt;= Y295, "", Y295 - V295 ), "" )</f>
        <v/>
      </c>
      <c r="AM295">
        <f>IF(A295="",0,IF(ISERROR(VLOOKUP(A295,db_Feiertag,2,FALSE)),WEEKDAY(A295,2),Feiertag))</f>
        <v>2</v>
      </c>
      <c r="AN295" s="122">
        <f>SUM($AD$6:AD295)</f>
        <v>0</v>
      </c>
      <c r="AO295" s="122">
        <f ca="1">IF(D295=D294,AO294,OFFSET(AO295,-1,COLUMN(db_jSaldoGes)-COLUMN()))</f>
        <v>0</v>
      </c>
      <c r="AP295" s="126">
        <f>IF(OR($G295=-1,$G295=82),-1,IF(OR($G295=0,$G295=83),1,0))</f>
        <v>0</v>
      </c>
      <c r="AQ295" s="126">
        <f>IF($F295=Krank,1,IF($F295="J",-1,0))</f>
        <v>0</v>
      </c>
      <c r="AR295" s="126">
        <f>IF($F295=Urlaub,1,IF($F295="T",-1,0))</f>
        <v>0</v>
      </c>
      <c r="AS295" s="125">
        <f>IF(A295="","",AS294-IF(F295=Urlaub,1,0)+IF(AND(MONTH(A295)=1,DAY(A295)=1),B_UrlaubNeu,0))</f>
        <v>30</v>
      </c>
      <c r="AT295" s="125">
        <f ca="1">IF(A295="","",IF(D295=D294,AT294,OFFSET(AT295,-1,COLUMN(db_jUrlRest)-COLUMN()))+IF(AND(MONTH(A295)=1,DAY(A295)=1),B_UrlaubNeu,0))</f>
        <v>30</v>
      </c>
      <c r="AU295" s="135">
        <f>(IF(ISNUMBER(V295),V295,0)+IF(ISNUMBER(AD295),AD295,0))*24</f>
        <v>0</v>
      </c>
      <c r="AV295" s="125">
        <f>IF(ISNUMBER(AD295),K_ArbeitOverMax,IF(AND(ISNUMBER(AA295),AA295&gt;0),K_ArbeitOverTime,IF(AND(ISNUMBER(V295),V295&gt;0),K_ArbeitNormal,IF(F295=Krank,K_Krank,IF(F295=Urlaub,K_Urlaub,IF(AM295=Feiertag,K_Feiertag,IF(OR(AM295=6,AM295=7),K_Wochenende,0)))))))+IF(F295=Gleittag,K_Gleittag,0)</f>
        <v>0</v>
      </c>
      <c r="AW295" t="b">
        <f>OR((F295&gt;0),(NOT(ISBLANK(H295))),SUM(H295:H$373),SUM(G295:G$373))</f>
        <v>0</v>
      </c>
      <c r="AX295" t="b">
        <f ca="1">INDIRECT(ADDRESS(ROW(),COLUMN(xDay)))&gt;5</f>
        <v>0</v>
      </c>
      <c r="AY295" s="600">
        <f>IF(OR(R295&lt;&gt;0,F295&lt;&gt;0),AA295,IF(Z295="",0,-Z295))+(IF(AG295="+",AF295,-AF295))</f>
        <v>-0.29166666666666669</v>
      </c>
      <c r="AZ295" s="225">
        <f>SUM(AY$5:AY295)</f>
        <v>-58.041666666666508</v>
      </c>
      <c r="BA295" s="658"/>
      <c r="BB295" s="658">
        <f>IF(ISNA(MATCH(BA295,B_Arbeitsort,0)),0,MATCH(BA295,B_Arbeitsort,0))</f>
        <v>0</v>
      </c>
      <c r="BC295" s="658"/>
    </row>
    <row r="296" spans="1:55" ht="15.75">
      <c r="A296" s="305">
        <f>IF(A295="","",IF((A295+1)&gt;=DATE(YEAR(xJahr)+1,MONTH(xJahr),DAY(xJahr)),"",A295+1))</f>
        <v>43755</v>
      </c>
      <c r="B296" s="306">
        <f>IF(A296="","",A296)</f>
        <v>43755</v>
      </c>
      <c r="C296" s="307">
        <f>IF(A296="","",NumberOfWeek(A296))</f>
        <v>42</v>
      </c>
      <c r="D296" s="308">
        <f>IF(A296="","",DATE(YEAR(A296),MONTH(A296),1))</f>
        <v>43738</v>
      </c>
      <c r="E296" s="318" t="str">
        <f>IF((R296-U296)&gt;XWorkTimeMax,$Z$4,IF(AV296=Feiertag,VLOOKUP(B296,db_Feiertag,2,FALSE),""))</f>
        <v/>
      </c>
      <c r="F296" s="5"/>
      <c r="G296" s="6" t="str">
        <f>IF(ISBLANK(F296),IF(ISBLANK(H296),"",0),CODE(UPPER(F296)))</f>
        <v/>
      </c>
      <c r="H296" s="7"/>
      <c r="I296" s="7">
        <f>IF(H296&gt;0,H296+Y296+X296+AC296,0)</f>
        <v>0</v>
      </c>
      <c r="J296" s="113">
        <f>IF(K296&gt;I296,IF(I296&lt;H296,I296+1,I296)-B_WalkTime,IF(I296&lt;H296,I296+1,I296))</f>
        <v>0</v>
      </c>
      <c r="K296" s="7"/>
      <c r="L296" s="7">
        <f>IF(K296&gt;0,K296+IF((J296-H296)&lt;Y296,Y296-(J296-H296),TIME(0,10,0))+IF((K296-J296)&gt;xNoWorkTime,0,xNoWorkTime-(K296-J296)),0)</f>
        <v>0</v>
      </c>
      <c r="M296" s="113">
        <f>IF(L296&lt;K296,L296+1,L296)</f>
        <v>0</v>
      </c>
      <c r="N296" s="113"/>
      <c r="O296" s="113">
        <f>IF(N296&gt;0,N296+IF((J296-H296+M296-K296)&lt;Y296,Y296-(J296-H296+M296-K296),TIME(0,10,0))+IF((K296-J296+N296-M296)&gt;xNoWorkTime,0,xNoWorkTime-(K296-J296+N296-M296)),0)</f>
        <v>0</v>
      </c>
      <c r="P296" s="113"/>
      <c r="Q296" s="113">
        <f>IF(O296&lt;N296,O296+1,O296)</f>
        <v>0</v>
      </c>
      <c r="R296" s="113">
        <f>J296-H296+M296-K296+Q296-N296</f>
        <v>0</v>
      </c>
      <c r="S296" s="113">
        <f>IF(K296&gt;0,K296-I296,0)+IF(N296&gt;0,N296-L296)</f>
        <v>0</v>
      </c>
      <c r="T296" s="113">
        <f>IF(H296&gt;0,(IF(R296&gt;B_Pause1Nach,B_Pause1Dauer+IF(BA296="Büro",B_WalkTime,0),IF(BA296="Büro",B_WalkTime,0))+IF(R296&gt;B_Pause2Nach,B_Pause2Dauer,0)),0)</f>
        <v>0</v>
      </c>
      <c r="U296" s="113">
        <f>IF(T296&gt;S296,T296-S296,0)</f>
        <v>0</v>
      </c>
      <c r="V296" s="146">
        <f>IF(F296="S",Z296,(IF((R296-U296)&gt;XWorkTimeMax,XWorkTimeMax,IF((R296-U296)&gt;0,R296-U296,0))))</f>
        <v>0</v>
      </c>
      <c r="W296" s="66"/>
      <c r="X296" s="115">
        <f>xNoWorkTime</f>
        <v>4.027777777777778E-2</v>
      </c>
      <c r="Y296" s="110">
        <f>IF(AND((AM296&lt;Feiertag),(G296&lt;&gt;85)),IF(OR(F296="B",F296="G",F296="S",H296&gt;0),H296-H296+Z296,0),0)</f>
        <v>0</v>
      </c>
      <c r="Z296" s="111">
        <f>IF(AND(AM296&gt;0,AM296&lt;Feiertag),INDEX(Arbeitszeit,AM296),"")</f>
        <v>0.29166666666666669</v>
      </c>
      <c r="AA296" s="112">
        <f>V296-Y296</f>
        <v>0</v>
      </c>
      <c r="AB296" s="67" t="str">
        <f>IF((V296-Y296)&lt;0,"*","")</f>
        <v/>
      </c>
      <c r="AC296" s="193">
        <f>xOverTime</f>
        <v>0</v>
      </c>
      <c r="AD296" s="144" t="str">
        <f>IF((R296-U296)&gt;XWorkTimeMax,(R296-U296-XWorkTimeMax),"")</f>
        <v/>
      </c>
      <c r="AE296" s="225">
        <f>IF(AW296,(AE295+SUM(AA296)+(IF(AG296="+",AF296,-AF296))),)</f>
        <v>0</v>
      </c>
      <c r="AF296" s="110"/>
      <c r="AG296" s="627"/>
      <c r="AH296" s="110"/>
      <c r="AI296" s="110" t="str">
        <f>IF(AND(AF296&lt;&gt;"",AF296&lt;=V296),V296-AF296,"")</f>
        <v/>
      </c>
      <c r="AJ296" s="68">
        <f>IF(ISNUMBER(V296 ), IF( V296 &gt;= Y296, Y296, V296 ),"")</f>
        <v>0</v>
      </c>
      <c r="AK296" s="68">
        <f>IF( ISNUMBER( V296 ), IF( V296 &gt;= Y296, V296 - Y296, "" ), "" )</f>
        <v>0</v>
      </c>
      <c r="AL296" s="68" t="str">
        <f>IF( AND(ISNUMBER( V296 ),ISNUMBER( Y296 )), IF( V296 &gt;= Y296, "", Y296 - V296 ), "" )</f>
        <v/>
      </c>
      <c r="AM296">
        <f>IF(A296="",0,IF(ISERROR(VLOOKUP(A296,db_Feiertag,2,FALSE)),WEEKDAY(A296,2),Feiertag))</f>
        <v>3</v>
      </c>
      <c r="AN296" s="122">
        <f>SUM($AD$6:AD296)</f>
        <v>0</v>
      </c>
      <c r="AO296" s="122">
        <f ca="1">IF(D296=D295,AO295,OFFSET(AO296,-1,COLUMN(db_jSaldoGes)-COLUMN()))</f>
        <v>0</v>
      </c>
      <c r="AP296" s="126">
        <f>IF(OR($G296=-1,$G296=82),-1,IF(OR($G296=0,$G296=83),1,0))</f>
        <v>0</v>
      </c>
      <c r="AQ296" s="126">
        <f>IF($F296=Krank,1,IF($F296="J",-1,0))</f>
        <v>0</v>
      </c>
      <c r="AR296" s="126">
        <f>IF($F296=Urlaub,1,IF($F296="T",-1,0))</f>
        <v>0</v>
      </c>
      <c r="AS296" s="125">
        <f>IF(A296="","",AS295-IF(F296=Urlaub,1,0)+IF(AND(MONTH(A296)=1,DAY(A296)=1),B_UrlaubNeu,0))</f>
        <v>30</v>
      </c>
      <c r="AT296" s="125">
        <f ca="1">IF(A296="","",IF(D296=D295,AT295,OFFSET(AT296,-1,COLUMN(db_jUrlRest)-COLUMN()))+IF(AND(MONTH(A296)=1,DAY(A296)=1),B_UrlaubNeu,0))</f>
        <v>30</v>
      </c>
      <c r="AU296" s="135">
        <f>(IF(ISNUMBER(V296),V296,0)+IF(ISNUMBER(AD296),AD296,0))*24</f>
        <v>0</v>
      </c>
      <c r="AV296" s="125">
        <f>IF(ISNUMBER(AD296),K_ArbeitOverMax,IF(AND(ISNUMBER(AA296),AA296&gt;0),K_ArbeitOverTime,IF(AND(ISNUMBER(V296),V296&gt;0),K_ArbeitNormal,IF(F296=Krank,K_Krank,IF(F296=Urlaub,K_Urlaub,IF(AM296=Feiertag,K_Feiertag,IF(OR(AM296=6,AM296=7),K_Wochenende,0)))))))+IF(F296=Gleittag,K_Gleittag,0)</f>
        <v>0</v>
      </c>
      <c r="AW296" t="b">
        <f>OR((F296&gt;0),(NOT(ISBLANK(H296))),SUM(H296:H$373),SUM(G296:G$373))</f>
        <v>0</v>
      </c>
      <c r="AX296" t="b">
        <f ca="1">INDIRECT(ADDRESS(ROW(),COLUMN(xDay)))&gt;5</f>
        <v>0</v>
      </c>
      <c r="AY296" s="600">
        <f>IF(OR(R296&lt;&gt;0,F296&lt;&gt;0),AA296,IF(Z296="",0,-Z296))+(IF(AG296="+",AF296,-AF296))</f>
        <v>-0.29166666666666669</v>
      </c>
      <c r="AZ296" s="225">
        <f>SUM(AY$5:AY296)</f>
        <v>-58.333333333333172</v>
      </c>
      <c r="BA296" s="658"/>
      <c r="BB296" s="658">
        <f>IF(ISNA(MATCH(BA296,B_Arbeitsort,0)),0,MATCH(BA296,B_Arbeitsort,0))</f>
        <v>0</v>
      </c>
      <c r="BC296" s="658"/>
    </row>
    <row r="297" spans="1:55" ht="15.75">
      <c r="A297" s="305">
        <f>IF(A296="","",IF((A296+1)&gt;=DATE(YEAR(xJahr)+1,MONTH(xJahr),DAY(xJahr)),"",A296+1))</f>
        <v>43756</v>
      </c>
      <c r="B297" s="306">
        <f>IF(A297="","",A297)</f>
        <v>43756</v>
      </c>
      <c r="C297" s="307">
        <f>IF(A297="","",NumberOfWeek(A297))</f>
        <v>42</v>
      </c>
      <c r="D297" s="308">
        <f>IF(A297="","",DATE(YEAR(A297),MONTH(A297),1))</f>
        <v>43738</v>
      </c>
      <c r="E297" s="318" t="str">
        <f>IF((R297-U297)&gt;XWorkTimeMax,$Z$4,IF(AV297=Feiertag,VLOOKUP(B297,db_Feiertag,2,FALSE),""))</f>
        <v/>
      </c>
      <c r="F297" s="5"/>
      <c r="G297" s="6" t="str">
        <f>IF(ISBLANK(F297),IF(ISBLANK(H297),"",0),CODE(UPPER(F297)))</f>
        <v/>
      </c>
      <c r="H297" s="7"/>
      <c r="I297" s="7">
        <f>IF(H297&gt;0,H297+Y297+X297+AC297,0)</f>
        <v>0</v>
      </c>
      <c r="J297" s="113">
        <f>IF(K297&gt;I297,IF(I297&lt;H297,I297+1,I297)-B_WalkTime,IF(I297&lt;H297,I297+1,I297))</f>
        <v>0</v>
      </c>
      <c r="K297" s="7"/>
      <c r="L297" s="7">
        <f>IF(K297&gt;0,K297+IF((J297-H297)&lt;Y297,Y297-(J297-H297),TIME(0,10,0))+IF((K297-J297)&gt;xNoWorkTime,0,xNoWorkTime-(K297-J297)),0)</f>
        <v>0</v>
      </c>
      <c r="M297" s="113">
        <f>IF(L297&lt;K297,L297+1,L297)</f>
        <v>0</v>
      </c>
      <c r="N297" s="113"/>
      <c r="O297" s="113">
        <f>IF(N297&gt;0,N297+IF((J297-H297+M297-K297)&lt;Y297,Y297-(J297-H297+M297-K297),TIME(0,10,0))+IF((K297-J297+N297-M297)&gt;xNoWorkTime,0,xNoWorkTime-(K297-J297+N297-M297)),0)</f>
        <v>0</v>
      </c>
      <c r="P297" s="113"/>
      <c r="Q297" s="113">
        <f>IF(O297&lt;N297,O297+1,O297)</f>
        <v>0</v>
      </c>
      <c r="R297" s="113">
        <f>J297-H297+M297-K297+Q297-N297</f>
        <v>0</v>
      </c>
      <c r="S297" s="113">
        <f>IF(K297&gt;0,K297-I297,0)+IF(N297&gt;0,N297-L297)</f>
        <v>0</v>
      </c>
      <c r="T297" s="113">
        <f>IF(H297&gt;0,(IF(R297&gt;B_Pause1Nach,B_Pause1Dauer+IF(BA297="Büro",B_WalkTime,0),IF(BA297="Büro",B_WalkTime,0))+IF(R297&gt;B_Pause2Nach,B_Pause2Dauer,0)),0)</f>
        <v>0</v>
      </c>
      <c r="U297" s="113">
        <f>IF(T297&gt;S297,T297-S297,0)</f>
        <v>0</v>
      </c>
      <c r="V297" s="146">
        <f>IF(F297="S",Z297,(IF((R297-U297)&gt;XWorkTimeMax,XWorkTimeMax,IF((R297-U297)&gt;0,R297-U297,0))))</f>
        <v>0</v>
      </c>
      <c r="W297" s="66"/>
      <c r="X297" s="115">
        <f>xNoWorkTime</f>
        <v>4.027777777777778E-2</v>
      </c>
      <c r="Y297" s="110">
        <f>IF(AND((AM297&lt;Feiertag),(G297&lt;&gt;85)),IF(OR(F297="B",F297="G",F297="S",H297&gt;0),H297-H297+Z297,0),0)</f>
        <v>0</v>
      </c>
      <c r="Z297" s="111">
        <f>IF(AND(AM297&gt;0,AM297&lt;Feiertag),INDEX(Arbeitszeit,AM297),"")</f>
        <v>0.29166666666666669</v>
      </c>
      <c r="AA297" s="112">
        <f>V297-Y297</f>
        <v>0</v>
      </c>
      <c r="AB297" s="67" t="str">
        <f>IF((V297-Y297)&lt;0,"*","")</f>
        <v/>
      </c>
      <c r="AC297" s="193">
        <f>xOverTime</f>
        <v>0</v>
      </c>
      <c r="AD297" s="144" t="str">
        <f>IF((R297-U297)&gt;XWorkTimeMax,(R297-U297-XWorkTimeMax),"")</f>
        <v/>
      </c>
      <c r="AE297" s="225">
        <f>IF(AW297,(AE296+SUM(AA297)+(IF(AG297="+",AF297,-AF297))),)</f>
        <v>0</v>
      </c>
      <c r="AF297" s="110"/>
      <c r="AG297" s="627"/>
      <c r="AH297" s="110"/>
      <c r="AI297" s="110" t="str">
        <f>IF(AND(AF297&lt;&gt;"",AF297&lt;=V297),V297-AF297,"")</f>
        <v/>
      </c>
      <c r="AJ297" s="68">
        <f>IF(ISNUMBER(V297 ), IF( V297 &gt;= Y297, Y297, V297 ),"")</f>
        <v>0</v>
      </c>
      <c r="AK297" s="68">
        <f>IF( ISNUMBER( V297 ), IF( V297 &gt;= Y297, V297 - Y297, "" ), "" )</f>
        <v>0</v>
      </c>
      <c r="AL297" s="68" t="str">
        <f>IF( AND(ISNUMBER( V297 ),ISNUMBER( Y297 )), IF( V297 &gt;= Y297, "", Y297 - V297 ), "" )</f>
        <v/>
      </c>
      <c r="AM297">
        <f>IF(A297="",0,IF(ISERROR(VLOOKUP(A297,db_Feiertag,2,FALSE)),WEEKDAY(A297,2),Feiertag))</f>
        <v>4</v>
      </c>
      <c r="AN297" s="122">
        <f>SUM($AD$6:AD297)</f>
        <v>0</v>
      </c>
      <c r="AO297" s="122">
        <f ca="1">IF(D297=D296,AO296,OFFSET(AO297,-1,COLUMN(db_jSaldoGes)-COLUMN()))</f>
        <v>0</v>
      </c>
      <c r="AP297" s="126">
        <f>IF(OR($G297=-1,$G297=82),-1,IF(OR($G297=0,$G297=83),1,0))</f>
        <v>0</v>
      </c>
      <c r="AQ297" s="126">
        <f>IF($F297=Krank,1,IF($F297="J",-1,0))</f>
        <v>0</v>
      </c>
      <c r="AR297" s="126">
        <f>IF($F297=Urlaub,1,IF($F297="T",-1,0))</f>
        <v>0</v>
      </c>
      <c r="AS297" s="125">
        <f>IF(A297="","",AS296-IF(F297=Urlaub,1,0)+IF(AND(MONTH(A297)=1,DAY(A297)=1),B_UrlaubNeu,0))</f>
        <v>30</v>
      </c>
      <c r="AT297" s="125">
        <f ca="1">IF(A297="","",IF(D297=D296,AT296,OFFSET(AT297,-1,COLUMN(db_jUrlRest)-COLUMN()))+IF(AND(MONTH(A297)=1,DAY(A297)=1),B_UrlaubNeu,0))</f>
        <v>30</v>
      </c>
      <c r="AU297" s="135">
        <f>(IF(ISNUMBER(V297),V297,0)+IF(ISNUMBER(AD297),AD297,0))*24</f>
        <v>0</v>
      </c>
      <c r="AV297" s="125">
        <f>IF(ISNUMBER(AD297),K_ArbeitOverMax,IF(AND(ISNUMBER(AA297),AA297&gt;0),K_ArbeitOverTime,IF(AND(ISNUMBER(V297),V297&gt;0),K_ArbeitNormal,IF(F297=Krank,K_Krank,IF(F297=Urlaub,K_Urlaub,IF(AM297=Feiertag,K_Feiertag,IF(OR(AM297=6,AM297=7),K_Wochenende,0)))))))+IF(F297=Gleittag,K_Gleittag,0)</f>
        <v>0</v>
      </c>
      <c r="AW297" t="b">
        <f>OR((F297&gt;0),(NOT(ISBLANK(H297))),SUM(H297:H$373),SUM(G297:G$373))</f>
        <v>0</v>
      </c>
      <c r="AX297" t="b">
        <f ca="1">INDIRECT(ADDRESS(ROW(),COLUMN(xDay)))&gt;5</f>
        <v>0</v>
      </c>
      <c r="AY297" s="600">
        <f>IF(OR(R297&lt;&gt;0,F297&lt;&gt;0),AA297,IF(Z297="",0,-Z297))+(IF(AG297="+",AF297,-AF297))</f>
        <v>-0.29166666666666669</v>
      </c>
      <c r="AZ297" s="225">
        <f>SUM(AY$5:AY297)</f>
        <v>-58.624999999999837</v>
      </c>
      <c r="BA297" s="658"/>
      <c r="BB297" s="658">
        <f>IF(ISNA(MATCH(BA297,B_Arbeitsort,0)),0,MATCH(BA297,B_Arbeitsort,0))</f>
        <v>0</v>
      </c>
      <c r="BC297" s="658"/>
    </row>
    <row r="298" spans="1:55" ht="15.75">
      <c r="A298" s="305">
        <f>IF(A297="","",IF((A297+1)&gt;=DATE(YEAR(xJahr)+1,MONTH(xJahr),DAY(xJahr)),"",A297+1))</f>
        <v>43757</v>
      </c>
      <c r="B298" s="306">
        <f>IF(A298="","",A298)</f>
        <v>43757</v>
      </c>
      <c r="C298" s="307">
        <f>IF(A298="","",NumberOfWeek(A298))</f>
        <v>42</v>
      </c>
      <c r="D298" s="308">
        <f>IF(A298="","",DATE(YEAR(A298),MONTH(A298),1))</f>
        <v>43738</v>
      </c>
      <c r="E298" s="318" t="str">
        <f>IF((R298-U298)&gt;XWorkTimeMax,$Z$4,IF(AV298=Feiertag,VLOOKUP(B298,db_Feiertag,2,FALSE),""))</f>
        <v/>
      </c>
      <c r="F298" s="5"/>
      <c r="G298" s="6" t="str">
        <f>IF(ISBLANK(F298),IF(ISBLANK(H298),"",0),CODE(UPPER(F298)))</f>
        <v/>
      </c>
      <c r="H298" s="7"/>
      <c r="I298" s="7">
        <f>IF(H298&gt;0,H298+Y298+X298+AC298,0)</f>
        <v>0</v>
      </c>
      <c r="J298" s="113">
        <f>IF(K298&gt;I298,IF(I298&lt;H298,I298+1,I298)-B_WalkTime,IF(I298&lt;H298,I298+1,I298))</f>
        <v>0</v>
      </c>
      <c r="K298" s="7"/>
      <c r="L298" s="7">
        <f>IF(K298&gt;0,K298+IF((J298-H298)&lt;Y298,Y298-(J298-H298),TIME(0,10,0))+IF((K298-J298)&gt;xNoWorkTime,0,xNoWorkTime-(K298-J298)),0)</f>
        <v>0</v>
      </c>
      <c r="M298" s="113">
        <f>IF(L298&lt;K298,L298+1,L298)</f>
        <v>0</v>
      </c>
      <c r="N298" s="113"/>
      <c r="O298" s="113">
        <f>IF(N298&gt;0,N298+IF((J298-H298+M298-K298)&lt;Y298,Y298-(J298-H298+M298-K298),TIME(0,10,0))+IF((K298-J298+N298-M298)&gt;xNoWorkTime,0,xNoWorkTime-(K298-J298+N298-M298)),0)</f>
        <v>0</v>
      </c>
      <c r="P298" s="113"/>
      <c r="Q298" s="113">
        <f>IF(O298&lt;N298,O298+1,O298)</f>
        <v>0</v>
      </c>
      <c r="R298" s="113">
        <f>J298-H298+M298-K298+Q298-N298</f>
        <v>0</v>
      </c>
      <c r="S298" s="113">
        <f>IF(K298&gt;0,K298-I298,0)+IF(N298&gt;0,N298-L298)</f>
        <v>0</v>
      </c>
      <c r="T298" s="113">
        <f>IF(H298&gt;0,(IF(R298&gt;B_Pause1Nach,B_Pause1Dauer+IF(BA298="Büro",B_WalkTime,0),IF(BA298="Büro",B_WalkTime,0))+IF(R298&gt;B_Pause2Nach,B_Pause2Dauer,0)),0)</f>
        <v>0</v>
      </c>
      <c r="U298" s="113">
        <f>IF(T298&gt;S298,T298-S298,0)</f>
        <v>0</v>
      </c>
      <c r="V298" s="146">
        <f>IF(F298="S",Z298,(IF((R298-U298)&gt;XWorkTimeMax,XWorkTimeMax,IF((R298-U298)&gt;0,R298-U298,0))))</f>
        <v>0</v>
      </c>
      <c r="W298" s="66"/>
      <c r="X298" s="115">
        <f>xNoWorkTime</f>
        <v>4.027777777777778E-2</v>
      </c>
      <c r="Y298" s="110">
        <f>IF(AND((AM298&lt;Feiertag),(G298&lt;&gt;85)),IF(OR(F298="B",F298="G",F298="S",H298&gt;0),H298-H298+Z298,0),0)</f>
        <v>0</v>
      </c>
      <c r="Z298" s="111">
        <f>IF(AND(AM298&gt;0,AM298&lt;Feiertag),INDEX(Arbeitszeit,AM298),"")</f>
        <v>0.29166666666666669</v>
      </c>
      <c r="AA298" s="112">
        <f>V298-Y298</f>
        <v>0</v>
      </c>
      <c r="AB298" s="67" t="str">
        <f>IF((V298-Y298)&lt;0,"*","")</f>
        <v/>
      </c>
      <c r="AC298" s="193">
        <f>xOverTime</f>
        <v>0</v>
      </c>
      <c r="AD298" s="144" t="str">
        <f>IF((R298-U298)&gt;XWorkTimeMax,(R298-U298-XWorkTimeMax),"")</f>
        <v/>
      </c>
      <c r="AE298" s="225">
        <f>IF(AW298,(AE297+SUM(AA298)+(IF(AG298="+",AF298,-AF298))),)</f>
        <v>0</v>
      </c>
      <c r="AF298" s="110"/>
      <c r="AG298" s="627"/>
      <c r="AH298" s="110"/>
      <c r="AI298" s="110" t="str">
        <f>IF(AND(AF298&lt;&gt;"",AF298&lt;=V298),V298-AF298,"")</f>
        <v/>
      </c>
      <c r="AJ298" s="68">
        <f>IF(ISNUMBER(V298 ), IF( V298 &gt;= Y298, Y298, V298 ),"")</f>
        <v>0</v>
      </c>
      <c r="AK298" s="68">
        <f>IF( ISNUMBER( V298 ), IF( V298 &gt;= Y298, V298 - Y298, "" ), "" )</f>
        <v>0</v>
      </c>
      <c r="AL298" s="68" t="str">
        <f>IF( AND(ISNUMBER( V298 ),ISNUMBER( Y298 )), IF( V298 &gt;= Y298, "", Y298 - V298 ), "" )</f>
        <v/>
      </c>
      <c r="AM298">
        <f>IF(A298="",0,IF(ISERROR(VLOOKUP(A298,db_Feiertag,2,FALSE)),WEEKDAY(A298,2),Feiertag))</f>
        <v>5</v>
      </c>
      <c r="AN298" s="122">
        <f>SUM($AD$6:AD298)</f>
        <v>0</v>
      </c>
      <c r="AO298" s="122">
        <f ca="1">IF(D298=D297,AO297,OFFSET(AO298,-1,COLUMN(db_jSaldoGes)-COLUMN()))</f>
        <v>0</v>
      </c>
      <c r="AP298" s="126">
        <f>IF(OR($G298=-1,$G298=82),-1,IF(OR($G298=0,$G298=83),1,0))</f>
        <v>0</v>
      </c>
      <c r="AQ298" s="126">
        <f>IF($F298=Krank,1,IF($F298="J",-1,0))</f>
        <v>0</v>
      </c>
      <c r="AR298" s="126">
        <f>IF($F298=Urlaub,1,IF($F298="T",-1,0))</f>
        <v>0</v>
      </c>
      <c r="AS298" s="125">
        <f>IF(A298="","",AS297-IF(F298=Urlaub,1,0)+IF(AND(MONTH(A298)=1,DAY(A298)=1),B_UrlaubNeu,0))</f>
        <v>30</v>
      </c>
      <c r="AT298" s="125">
        <f ca="1">IF(A298="","",IF(D298=D297,AT297,OFFSET(AT298,-1,COLUMN(db_jUrlRest)-COLUMN()))+IF(AND(MONTH(A298)=1,DAY(A298)=1),B_UrlaubNeu,0))</f>
        <v>30</v>
      </c>
      <c r="AU298" s="135">
        <f>(IF(ISNUMBER(V298),V298,0)+IF(ISNUMBER(AD298),AD298,0))*24</f>
        <v>0</v>
      </c>
      <c r="AV298" s="125">
        <f>IF(ISNUMBER(AD298),K_ArbeitOverMax,IF(AND(ISNUMBER(AA298),AA298&gt;0),K_ArbeitOverTime,IF(AND(ISNUMBER(V298),V298&gt;0),K_ArbeitNormal,IF(F298=Krank,K_Krank,IF(F298=Urlaub,K_Urlaub,IF(AM298=Feiertag,K_Feiertag,IF(OR(AM298=6,AM298=7),K_Wochenende,0)))))))+IF(F298=Gleittag,K_Gleittag,0)</f>
        <v>0</v>
      </c>
      <c r="AW298" t="b">
        <f>OR((F298&gt;0),(NOT(ISBLANK(H298))),SUM(H298:H$373),SUM(G298:G$373))</f>
        <v>0</v>
      </c>
      <c r="AX298" t="b">
        <f ca="1">INDIRECT(ADDRESS(ROW(),COLUMN(xDay)))&gt;5</f>
        <v>0</v>
      </c>
      <c r="AY298" s="600">
        <f>IF(OR(R298&lt;&gt;0,F298&lt;&gt;0),AA298,IF(Z298="",0,-Z298))+(IF(AG298="+",AF298,-AF298))</f>
        <v>-0.29166666666666669</v>
      </c>
      <c r="AZ298" s="225">
        <f>SUM(AY$5:AY298)</f>
        <v>-58.916666666666501</v>
      </c>
      <c r="BA298" s="658"/>
      <c r="BB298" s="658">
        <f>IF(ISNA(MATCH(BA298,B_Arbeitsort,0)),0,MATCH(BA298,B_Arbeitsort,0))</f>
        <v>0</v>
      </c>
      <c r="BC298" s="658"/>
    </row>
    <row r="299" spans="1:55" ht="15.75">
      <c r="A299" s="305">
        <f>IF(A298="","",IF((A298+1)&gt;=DATE(YEAR(xJahr)+1,MONTH(xJahr),DAY(xJahr)),"",A298+1))</f>
        <v>43758</v>
      </c>
      <c r="B299" s="306">
        <f>IF(A299="","",A299)</f>
        <v>43758</v>
      </c>
      <c r="C299" s="307">
        <f>IF(A299="","",NumberOfWeek(A299))</f>
        <v>42</v>
      </c>
      <c r="D299" s="308">
        <f>IF(A299="","",DATE(YEAR(A299),MONTH(A299),1))</f>
        <v>43738</v>
      </c>
      <c r="E299" s="318" t="str">
        <f>IF((R299-U299)&gt;XWorkTimeMax,$Z$4,IF(AV299=Feiertag,VLOOKUP(B299,db_Feiertag,2,FALSE),""))</f>
        <v/>
      </c>
      <c r="F299" s="5"/>
      <c r="G299" s="6" t="str">
        <f>IF(ISBLANK(F299),IF(ISBLANK(H299),"",0),CODE(UPPER(F299)))</f>
        <v/>
      </c>
      <c r="H299" s="7"/>
      <c r="I299" s="7">
        <f>IF(H299&gt;0,H299+Y299+X299+AC299,0)</f>
        <v>0</v>
      </c>
      <c r="J299" s="113">
        <f>IF(K299&gt;I299,IF(I299&lt;H299,I299+1,I299)-B_WalkTime,IF(I299&lt;H299,I299+1,I299))</f>
        <v>0</v>
      </c>
      <c r="K299" s="7"/>
      <c r="L299" s="7">
        <f>IF(K299&gt;0,K299+IF((J299-H299)&lt;Y299,Y299-(J299-H299),TIME(0,10,0))+IF((K299-J299)&gt;xNoWorkTime,0,xNoWorkTime-(K299-J299)),0)</f>
        <v>0</v>
      </c>
      <c r="M299" s="113">
        <f>IF(L299&lt;K299,L299+1,L299)</f>
        <v>0</v>
      </c>
      <c r="N299" s="113"/>
      <c r="O299" s="113">
        <f>IF(N299&gt;0,N299+IF((J299-H299+M299-K299)&lt;Y299,Y299-(J299-H299+M299-K299),TIME(0,10,0))+IF((K299-J299+N299-M299)&gt;xNoWorkTime,0,xNoWorkTime-(K299-J299+N299-M299)),0)</f>
        <v>0</v>
      </c>
      <c r="P299" s="113"/>
      <c r="Q299" s="113">
        <f>IF(O299&lt;N299,O299+1,O299)</f>
        <v>0</v>
      </c>
      <c r="R299" s="113">
        <f>J299-H299+M299-K299+Q299-N299</f>
        <v>0</v>
      </c>
      <c r="S299" s="113">
        <f>IF(K299&gt;0,K299-I299,0)+IF(N299&gt;0,N299-L299)</f>
        <v>0</v>
      </c>
      <c r="T299" s="113">
        <f>IF(H299&gt;0,(IF(R299&gt;B_Pause1Nach,B_Pause1Dauer+IF(BA299="Büro",B_WalkTime,0),IF(BA299="Büro",B_WalkTime,0))+IF(R299&gt;B_Pause2Nach,B_Pause2Dauer,0)),0)</f>
        <v>0</v>
      </c>
      <c r="U299" s="113">
        <f>IF(T299&gt;S299,T299-S299,0)</f>
        <v>0</v>
      </c>
      <c r="V299" s="146">
        <f>IF(F299="S",Z299,(IF((R299-U299)&gt;XWorkTimeMax,XWorkTimeMax,IF((R299-U299)&gt;0,R299-U299,0))))</f>
        <v>0</v>
      </c>
      <c r="W299" s="66"/>
      <c r="X299" s="115">
        <f>xNoWorkTime</f>
        <v>4.027777777777778E-2</v>
      </c>
      <c r="Y299" s="110">
        <f>IF(AND((AM299&lt;Feiertag),(G299&lt;&gt;85)),IF(OR(F299="B",F299="G",F299="S",H299&gt;0),H299-H299+Z299,0),0)</f>
        <v>0</v>
      </c>
      <c r="Z299" s="111">
        <f>IF(AND(AM299&gt;0,AM299&lt;Feiertag),INDEX(Arbeitszeit,AM299),"")</f>
        <v>0</v>
      </c>
      <c r="AA299" s="112">
        <f>V299-Y299</f>
        <v>0</v>
      </c>
      <c r="AB299" s="67" t="str">
        <f>IF((V299-Y299)&lt;0,"*","")</f>
        <v/>
      </c>
      <c r="AC299" s="193">
        <f>xOverTime</f>
        <v>0</v>
      </c>
      <c r="AD299" s="144" t="str">
        <f>IF((R299-U299)&gt;XWorkTimeMax,(R299-U299-XWorkTimeMax),"")</f>
        <v/>
      </c>
      <c r="AE299" s="225">
        <f>IF(AW299,(AE298+SUM(AA299)+(IF(AG299="+",AF299,-AF299))),)</f>
        <v>0</v>
      </c>
      <c r="AF299" s="110"/>
      <c r="AG299" s="627"/>
      <c r="AH299" s="110"/>
      <c r="AI299" s="110" t="str">
        <f>IF(AND(AF299&lt;&gt;"",AF299&lt;=V299),V299-AF299,"")</f>
        <v/>
      </c>
      <c r="AJ299" s="68">
        <f>IF(ISNUMBER(V299 ), IF( V299 &gt;= Y299, Y299, V299 ),"")</f>
        <v>0</v>
      </c>
      <c r="AK299" s="68">
        <f>IF( ISNUMBER( V299 ), IF( V299 &gt;= Y299, V299 - Y299, "" ), "" )</f>
        <v>0</v>
      </c>
      <c r="AL299" s="68" t="str">
        <f>IF( AND(ISNUMBER( V299 ),ISNUMBER( Y299 )), IF( V299 &gt;= Y299, "", Y299 - V299 ), "" )</f>
        <v/>
      </c>
      <c r="AM299">
        <f>IF(A299="",0,IF(ISERROR(VLOOKUP(A299,db_Feiertag,2,FALSE)),WEEKDAY(A299,2),Feiertag))</f>
        <v>6</v>
      </c>
      <c r="AN299" s="122">
        <f>SUM($AD$6:AD299)</f>
        <v>0</v>
      </c>
      <c r="AO299" s="122">
        <f ca="1">IF(D299=D298,AO298,OFFSET(AO299,-1,COLUMN(db_jSaldoGes)-COLUMN()))</f>
        <v>0</v>
      </c>
      <c r="AP299" s="126">
        <f>IF(OR($G299=-1,$G299=82),-1,IF(OR($G299=0,$G299=83),1,0))</f>
        <v>0</v>
      </c>
      <c r="AQ299" s="126">
        <f>IF($F299=Krank,1,IF($F299="J",-1,0))</f>
        <v>0</v>
      </c>
      <c r="AR299" s="126">
        <f>IF($F299=Urlaub,1,IF($F299="T",-1,0))</f>
        <v>0</v>
      </c>
      <c r="AS299" s="125">
        <f>IF(A299="","",AS298-IF(F299=Urlaub,1,0)+IF(AND(MONTH(A299)=1,DAY(A299)=1),B_UrlaubNeu,0))</f>
        <v>30</v>
      </c>
      <c r="AT299" s="125">
        <f ca="1">IF(A299="","",IF(D299=D298,AT298,OFFSET(AT299,-1,COLUMN(db_jUrlRest)-COLUMN()))+IF(AND(MONTH(A299)=1,DAY(A299)=1),B_UrlaubNeu,0))</f>
        <v>30</v>
      </c>
      <c r="AU299" s="135">
        <f>(IF(ISNUMBER(V299),V299,0)+IF(ISNUMBER(AD299),AD299,0))*24</f>
        <v>0</v>
      </c>
      <c r="AV299" s="125">
        <f>IF(ISNUMBER(AD299),K_ArbeitOverMax,IF(AND(ISNUMBER(AA299),AA299&gt;0),K_ArbeitOverTime,IF(AND(ISNUMBER(V299),V299&gt;0),K_ArbeitNormal,IF(F299=Krank,K_Krank,IF(F299=Urlaub,K_Urlaub,IF(AM299=Feiertag,K_Feiertag,IF(OR(AM299=6,AM299=7),K_Wochenende,0)))))))+IF(F299=Gleittag,K_Gleittag,0)</f>
        <v>7</v>
      </c>
      <c r="AW299" t="b">
        <f>OR((F299&gt;0),(NOT(ISBLANK(H299))),SUM(H299:H$373),SUM(G299:G$373))</f>
        <v>0</v>
      </c>
      <c r="AX299" t="b">
        <f ca="1">INDIRECT(ADDRESS(ROW(),COLUMN(xDay)))&gt;5</f>
        <v>1</v>
      </c>
      <c r="AY299" s="600">
        <f>IF(OR(R299&lt;&gt;0,F299&lt;&gt;0),AA299,IF(Z299="",0,-Z299))+(IF(AG299="+",AF299,-AF299))</f>
        <v>0</v>
      </c>
      <c r="AZ299" s="225">
        <f>SUM(AY$5:AY299)</f>
        <v>-58.916666666666501</v>
      </c>
      <c r="BA299" s="643"/>
      <c r="BB299" s="658">
        <f>IF(ISNA(MATCH(BA299,B_Arbeitsort,0)),0,MATCH(BA299,B_Arbeitsort,0))</f>
        <v>0</v>
      </c>
      <c r="BC299" s="643"/>
    </row>
    <row r="300" spans="1:55" ht="15.75">
      <c r="A300" s="305">
        <f>IF(A299="","",IF((A299+1)&gt;=DATE(YEAR(xJahr)+1,MONTH(xJahr),DAY(xJahr)),"",A299+1))</f>
        <v>43759</v>
      </c>
      <c r="B300" s="306">
        <f>IF(A300="","",A300)</f>
        <v>43759</v>
      </c>
      <c r="C300" s="307">
        <f>IF(A300="","",NumberOfWeek(A300))</f>
        <v>42</v>
      </c>
      <c r="D300" s="308">
        <f>IF(A300="","",DATE(YEAR(A300),MONTH(A300),1))</f>
        <v>43738</v>
      </c>
      <c r="E300" s="318" t="str">
        <f>IF((R300-U300)&gt;XWorkTimeMax,$Z$4,IF(AV300=Feiertag,VLOOKUP(B300,db_Feiertag,2,FALSE),""))</f>
        <v/>
      </c>
      <c r="F300" s="5"/>
      <c r="G300" s="6" t="str">
        <f>IF(ISBLANK(F300),IF(ISBLANK(H300),"",0),CODE(UPPER(F300)))</f>
        <v/>
      </c>
      <c r="H300" s="7"/>
      <c r="I300" s="7">
        <f>IF(H300&gt;0,H300+Y300+X300+AC300,0)</f>
        <v>0</v>
      </c>
      <c r="J300" s="113">
        <f>IF(K300&gt;I300,IF(I300&lt;H300,I300+1,I300)-B_WalkTime,IF(I300&lt;H300,I300+1,I300))</f>
        <v>0</v>
      </c>
      <c r="K300" s="7"/>
      <c r="L300" s="7">
        <f>IF(K300&gt;0,K300+IF((J300-H300)&lt;Y300,Y300-(J300-H300),TIME(0,10,0))+IF((K300-J300)&gt;xNoWorkTime,0,xNoWorkTime-(K300-J300)),0)</f>
        <v>0</v>
      </c>
      <c r="M300" s="113">
        <f>IF(L300&lt;K300,L300+1,L300)</f>
        <v>0</v>
      </c>
      <c r="N300" s="113"/>
      <c r="O300" s="113">
        <f>IF(N300&gt;0,N300+IF((J300-H300+M300-K300)&lt;Y300,Y300-(J300-H300+M300-K300),TIME(0,10,0))+IF((K300-J300+N300-M300)&gt;xNoWorkTime,0,xNoWorkTime-(K300-J300+N300-M300)),0)</f>
        <v>0</v>
      </c>
      <c r="P300" s="113"/>
      <c r="Q300" s="113">
        <f>IF(O300&lt;N300,O300+1,O300)</f>
        <v>0</v>
      </c>
      <c r="R300" s="113">
        <f>J300-H300+M300-K300+Q300-N300</f>
        <v>0</v>
      </c>
      <c r="S300" s="113">
        <f>IF(K300&gt;0,K300-I300,0)+IF(N300&gt;0,N300-L300)</f>
        <v>0</v>
      </c>
      <c r="T300" s="113">
        <f>IF(H300&gt;0,(IF(R300&gt;B_Pause1Nach,B_Pause1Dauer+IF(BA300="Büro",B_WalkTime,0),IF(BA300="Büro",B_WalkTime,0))+IF(R300&gt;B_Pause2Nach,B_Pause2Dauer,0)),0)</f>
        <v>0</v>
      </c>
      <c r="U300" s="113">
        <f>IF(T300&gt;S300,T300-S300,0)</f>
        <v>0</v>
      </c>
      <c r="V300" s="146">
        <f>IF(F300="S",Z300,(IF((R300-U300)&gt;XWorkTimeMax,XWorkTimeMax,IF((R300-U300)&gt;0,R300-U300,0))))</f>
        <v>0</v>
      </c>
      <c r="W300" s="66"/>
      <c r="X300" s="115">
        <f>xNoWorkTime</f>
        <v>4.027777777777778E-2</v>
      </c>
      <c r="Y300" s="110">
        <f>IF(AND((AM300&lt;Feiertag),(G300&lt;&gt;85)),IF(OR(F300="B",F300="G",F300="S",H300&gt;0),H300-H300+Z300,0),0)</f>
        <v>0</v>
      </c>
      <c r="Z300" s="111">
        <f>IF(AND(AM300&gt;0,AM300&lt;Feiertag),INDEX(Arbeitszeit,AM300),"")</f>
        <v>0</v>
      </c>
      <c r="AA300" s="112">
        <f>V300-Y300</f>
        <v>0</v>
      </c>
      <c r="AB300" s="67" t="str">
        <f>IF((V300-Y300)&lt;0,"*","")</f>
        <v/>
      </c>
      <c r="AC300" s="193">
        <f>xOverTime</f>
        <v>0</v>
      </c>
      <c r="AD300" s="144" t="str">
        <f>IF((R300-U300)&gt;XWorkTimeMax,(R300-U300-XWorkTimeMax),"")</f>
        <v/>
      </c>
      <c r="AE300" s="225">
        <f>IF(AW300,(AE299+SUM(AA300)+(IF(AG300="+",AF300,-AF300))),)</f>
        <v>0</v>
      </c>
      <c r="AF300" s="110"/>
      <c r="AG300" s="627"/>
      <c r="AH300" s="110"/>
      <c r="AI300" s="110" t="str">
        <f>IF(AND(AF300&lt;&gt;"",AF300&lt;=V300),V300-AF300,"")</f>
        <v/>
      </c>
      <c r="AJ300" s="68">
        <f>IF(ISNUMBER(V300 ), IF( V300 &gt;= Y300, Y300, V300 ),"")</f>
        <v>0</v>
      </c>
      <c r="AK300" s="68">
        <f>IF( ISNUMBER( V300 ), IF( V300 &gt;= Y300, V300 - Y300, "" ), "" )</f>
        <v>0</v>
      </c>
      <c r="AL300" s="68" t="str">
        <f>IF( AND(ISNUMBER( V300 ),ISNUMBER( Y300 )), IF( V300 &gt;= Y300, "", Y300 - V300 ), "" )</f>
        <v/>
      </c>
      <c r="AM300">
        <f>IF(A300="",0,IF(ISERROR(VLOOKUP(A300,db_Feiertag,2,FALSE)),WEEKDAY(A300,2),Feiertag))</f>
        <v>7</v>
      </c>
      <c r="AN300" s="122">
        <f>SUM($AD$6:AD300)</f>
        <v>0</v>
      </c>
      <c r="AO300" s="122">
        <f ca="1">IF(D300=D299,AO299,OFFSET(AO300,-1,COLUMN(db_jSaldoGes)-COLUMN()))</f>
        <v>0</v>
      </c>
      <c r="AP300" s="126">
        <f>IF(OR($G300=-1,$G300=82),-1,IF(OR($G300=0,$G300=83),1,0))</f>
        <v>0</v>
      </c>
      <c r="AQ300" s="126">
        <f>IF($F300=Krank,1,IF($F300="J",-1,0))</f>
        <v>0</v>
      </c>
      <c r="AR300" s="126">
        <f>IF($F300=Urlaub,1,IF($F300="T",-1,0))</f>
        <v>0</v>
      </c>
      <c r="AS300" s="125">
        <f>IF(A300="","",AS299-IF(F300=Urlaub,1,0)+IF(AND(MONTH(A300)=1,DAY(A300)=1),B_UrlaubNeu,0))</f>
        <v>30</v>
      </c>
      <c r="AT300" s="125">
        <f ca="1">IF(A300="","",IF(D300=D299,AT299,OFFSET(AT300,-1,COLUMN(db_jUrlRest)-COLUMN()))+IF(AND(MONTH(A300)=1,DAY(A300)=1),B_UrlaubNeu,0))</f>
        <v>30</v>
      </c>
      <c r="AU300" s="135">
        <f>(IF(ISNUMBER(V300),V300,0)+IF(ISNUMBER(AD300),AD300,0))*24</f>
        <v>0</v>
      </c>
      <c r="AV300" s="125">
        <f>IF(ISNUMBER(AD300),K_ArbeitOverMax,IF(AND(ISNUMBER(AA300),AA300&gt;0),K_ArbeitOverTime,IF(AND(ISNUMBER(V300),V300&gt;0),K_ArbeitNormal,IF(F300=Krank,K_Krank,IF(F300=Urlaub,K_Urlaub,IF(AM300=Feiertag,K_Feiertag,IF(OR(AM300=6,AM300=7),K_Wochenende,0)))))))+IF(F300=Gleittag,K_Gleittag,0)</f>
        <v>7</v>
      </c>
      <c r="AW300" t="b">
        <f>OR((F300&gt;0),(NOT(ISBLANK(H300))),SUM(H300:H$373),SUM(G300:G$373))</f>
        <v>0</v>
      </c>
      <c r="AX300" t="b">
        <f ca="1">INDIRECT(ADDRESS(ROW(),COLUMN(xDay)))&gt;5</f>
        <v>1</v>
      </c>
      <c r="AY300" s="600">
        <f>IF(OR(R300&lt;&gt;0,F300&lt;&gt;0),AA300,IF(Z300="",0,-Z300))+(IF(AG300="+",AF300,-AF300))</f>
        <v>0</v>
      </c>
      <c r="AZ300" s="225">
        <f>SUM(AY$5:AY300)</f>
        <v>-58.916666666666501</v>
      </c>
      <c r="BA300" s="643"/>
      <c r="BB300" s="658">
        <f>IF(ISNA(MATCH(BA300,B_Arbeitsort,0)),0,MATCH(BA300,B_Arbeitsort,0))</f>
        <v>0</v>
      </c>
      <c r="BC300" s="643"/>
    </row>
    <row r="301" spans="1:55" ht="15.75">
      <c r="A301" s="305">
        <f>IF(A300="","",IF((A300+1)&gt;=DATE(YEAR(xJahr)+1,MONTH(xJahr),DAY(xJahr)),"",A300+1))</f>
        <v>43760</v>
      </c>
      <c r="B301" s="306">
        <f>IF(A301="","",A301)</f>
        <v>43760</v>
      </c>
      <c r="C301" s="307">
        <f>IF(A301="","",NumberOfWeek(A301))</f>
        <v>43</v>
      </c>
      <c r="D301" s="308">
        <f>IF(A301="","",DATE(YEAR(A301),MONTH(A301),1))</f>
        <v>43738</v>
      </c>
      <c r="E301" s="318" t="str">
        <f>IF((R301-U301)&gt;XWorkTimeMax,$Z$4,IF(AV301=Feiertag,VLOOKUP(B301,db_Feiertag,2,FALSE),""))</f>
        <v/>
      </c>
      <c r="F301" s="5"/>
      <c r="G301" s="6" t="str">
        <f>IF(ISBLANK(F301),IF(ISBLANK(H301),"",0),CODE(UPPER(F301)))</f>
        <v/>
      </c>
      <c r="H301" s="7"/>
      <c r="I301" s="7">
        <f>IF(H301&gt;0,H301+Y301+X301+AC301,0)</f>
        <v>0</v>
      </c>
      <c r="J301" s="113">
        <f>IF(K301&gt;I301,IF(I301&lt;H301,I301+1,I301)-B_WalkTime,IF(I301&lt;H301,I301+1,I301))</f>
        <v>0</v>
      </c>
      <c r="K301" s="7"/>
      <c r="L301" s="7">
        <f>IF(K301&gt;0,K301+IF((J301-H301)&lt;Y301,Y301-(J301-H301),TIME(0,10,0))+IF((K301-J301)&gt;xNoWorkTime,0,xNoWorkTime-(K301-J301)),0)</f>
        <v>0</v>
      </c>
      <c r="M301" s="113">
        <f>IF(L301&lt;K301,L301+1,L301)</f>
        <v>0</v>
      </c>
      <c r="N301" s="113"/>
      <c r="O301" s="113">
        <f>IF(N301&gt;0,N301+IF((J301-H301+M301-K301)&lt;Y301,Y301-(J301-H301+M301-K301),TIME(0,10,0))+IF((K301-J301+N301-M301)&gt;xNoWorkTime,0,xNoWorkTime-(K301-J301+N301-M301)),0)</f>
        <v>0</v>
      </c>
      <c r="P301" s="113"/>
      <c r="Q301" s="113">
        <f>IF(O301&lt;N301,O301+1,O301)</f>
        <v>0</v>
      </c>
      <c r="R301" s="113">
        <f>J301-H301+M301-K301+Q301-N301</f>
        <v>0</v>
      </c>
      <c r="S301" s="113">
        <f>IF(K301&gt;0,K301-I301,0)+IF(N301&gt;0,N301-L301)</f>
        <v>0</v>
      </c>
      <c r="T301" s="113">
        <f>IF(H301&gt;0,(IF(R301&gt;B_Pause1Nach,B_Pause1Dauer+IF(BA301="Büro",B_WalkTime,0),IF(BA301="Büro",B_WalkTime,0))+IF(R301&gt;B_Pause2Nach,B_Pause2Dauer,0)),0)</f>
        <v>0</v>
      </c>
      <c r="U301" s="113">
        <f>IF(T301&gt;S301,T301-S301,0)</f>
        <v>0</v>
      </c>
      <c r="V301" s="146">
        <f>IF(F301="S",Z301,(IF((R301-U301)&gt;XWorkTimeMax,XWorkTimeMax,IF((R301-U301)&gt;0,R301-U301,0))))</f>
        <v>0</v>
      </c>
      <c r="W301" s="66"/>
      <c r="X301" s="115">
        <f>xNoWorkTime</f>
        <v>4.027777777777778E-2</v>
      </c>
      <c r="Y301" s="110">
        <f>IF(AND((AM301&lt;Feiertag),(G301&lt;&gt;85)),IF(OR(F301="B",F301="G",F301="S",H301&gt;0),H301-H301+Z301,0),0)</f>
        <v>0</v>
      </c>
      <c r="Z301" s="111">
        <f>IF(AND(AM301&gt;0,AM301&lt;Feiertag),INDEX(Arbeitszeit,AM301),"")</f>
        <v>0.29166666666666669</v>
      </c>
      <c r="AA301" s="112">
        <f>V301-Y301</f>
        <v>0</v>
      </c>
      <c r="AB301" s="67" t="str">
        <f>IF((V301-Y301)&lt;0,"*","")</f>
        <v/>
      </c>
      <c r="AC301" s="193">
        <f>xOverTime</f>
        <v>0</v>
      </c>
      <c r="AD301" s="144" t="str">
        <f>IF((R301-U301)&gt;XWorkTimeMax,(R301-U301-XWorkTimeMax),"")</f>
        <v/>
      </c>
      <c r="AE301" s="225">
        <f>IF(AW301,(AE300+SUM(AA301)+(IF(AG301="+",AF301,-AF301))),)</f>
        <v>0</v>
      </c>
      <c r="AF301" s="110"/>
      <c r="AG301" s="627"/>
      <c r="AH301" s="110"/>
      <c r="AI301" s="110" t="str">
        <f>IF(AND(AF301&lt;&gt;"",AF301&lt;=V301),V301-AF301,"")</f>
        <v/>
      </c>
      <c r="AJ301" s="68">
        <f>IF(ISNUMBER(V301 ), IF( V301 &gt;= Y301, Y301, V301 ),"")</f>
        <v>0</v>
      </c>
      <c r="AK301" s="68">
        <f>IF( ISNUMBER( V301 ), IF( V301 &gt;= Y301, V301 - Y301, "" ), "" )</f>
        <v>0</v>
      </c>
      <c r="AL301" s="68" t="str">
        <f>IF( AND(ISNUMBER( V301 ),ISNUMBER( Y301 )), IF( V301 &gt;= Y301, "", Y301 - V301 ), "" )</f>
        <v/>
      </c>
      <c r="AM301">
        <f>IF(A301="",0,IF(ISERROR(VLOOKUP(A301,db_Feiertag,2,FALSE)),WEEKDAY(A301,2),Feiertag))</f>
        <v>1</v>
      </c>
      <c r="AN301" s="122">
        <f>SUM($AD$6:AD301)</f>
        <v>0</v>
      </c>
      <c r="AO301" s="122">
        <f ca="1">IF(D301=D300,AO300,OFFSET(AO301,-1,COLUMN(db_jSaldoGes)-COLUMN()))</f>
        <v>0</v>
      </c>
      <c r="AP301" s="126">
        <f>IF(OR($G301=-1,$G301=82),-1,IF(OR($G301=0,$G301=83),1,0))</f>
        <v>0</v>
      </c>
      <c r="AQ301" s="126">
        <f>IF($F301=Krank,1,IF($F301="J",-1,0))</f>
        <v>0</v>
      </c>
      <c r="AR301" s="126">
        <f>IF($F301=Urlaub,1,IF($F301="T",-1,0))</f>
        <v>0</v>
      </c>
      <c r="AS301" s="125">
        <f>IF(A301="","",AS300-IF(F301=Urlaub,1,0)+IF(AND(MONTH(A301)=1,DAY(A301)=1),B_UrlaubNeu,0))</f>
        <v>30</v>
      </c>
      <c r="AT301" s="125">
        <f ca="1">IF(A301="","",IF(D301=D300,AT300,OFFSET(AT301,-1,COLUMN(db_jUrlRest)-COLUMN()))+IF(AND(MONTH(A301)=1,DAY(A301)=1),B_UrlaubNeu,0))</f>
        <v>30</v>
      </c>
      <c r="AU301" s="135">
        <f>(IF(ISNUMBER(V301),V301,0)+IF(ISNUMBER(AD301),AD301,0))*24</f>
        <v>0</v>
      </c>
      <c r="AV301" s="125">
        <f>IF(ISNUMBER(AD301),K_ArbeitOverMax,IF(AND(ISNUMBER(AA301),AA301&gt;0),K_ArbeitOverTime,IF(AND(ISNUMBER(V301),V301&gt;0),K_ArbeitNormal,IF(F301=Krank,K_Krank,IF(F301=Urlaub,K_Urlaub,IF(AM301=Feiertag,K_Feiertag,IF(OR(AM301=6,AM301=7),K_Wochenende,0)))))))+IF(F301=Gleittag,K_Gleittag,0)</f>
        <v>0</v>
      </c>
      <c r="AW301" t="b">
        <f>OR((F301&gt;0),(NOT(ISBLANK(H301))),SUM(H301:H$373),SUM(G301:G$373))</f>
        <v>0</v>
      </c>
      <c r="AX301" t="b">
        <f ca="1">INDIRECT(ADDRESS(ROW(),COLUMN(xDay)))&gt;5</f>
        <v>0</v>
      </c>
      <c r="AY301" s="600">
        <f>IF(OR(R301&lt;&gt;0,F301&lt;&gt;0),AA301,IF(Z301="",0,-Z301))+(IF(AG301="+",AF301,-AF301))</f>
        <v>-0.29166666666666669</v>
      </c>
      <c r="AZ301" s="225">
        <f>SUM(AY$5:AY301)</f>
        <v>-59.208333333333165</v>
      </c>
      <c r="BA301" s="658"/>
      <c r="BB301" s="658">
        <f>IF(ISNA(MATCH(BA301,B_Arbeitsort,0)),0,MATCH(BA301,B_Arbeitsort,0))</f>
        <v>0</v>
      </c>
      <c r="BC301" s="658"/>
    </row>
    <row r="302" spans="1:55" ht="15.75">
      <c r="A302" s="305">
        <f>IF(A301="","",IF((A301+1)&gt;=DATE(YEAR(xJahr)+1,MONTH(xJahr),DAY(xJahr)),"",A301+1))</f>
        <v>43761</v>
      </c>
      <c r="B302" s="306">
        <f>IF(A302="","",A302)</f>
        <v>43761</v>
      </c>
      <c r="C302" s="307">
        <f>IF(A302="","",NumberOfWeek(A302))</f>
        <v>43</v>
      </c>
      <c r="D302" s="308">
        <f>IF(A302="","",DATE(YEAR(A302),MONTH(A302),1))</f>
        <v>43738</v>
      </c>
      <c r="E302" s="318" t="str">
        <f>IF((R302-U302)&gt;XWorkTimeMax,$Z$4,IF(AV302=Feiertag,VLOOKUP(B302,db_Feiertag,2,FALSE),""))</f>
        <v/>
      </c>
      <c r="F302" s="5"/>
      <c r="G302" s="6" t="str">
        <f>IF(ISBLANK(F302),IF(ISBLANK(H302),"",0),CODE(UPPER(F302)))</f>
        <v/>
      </c>
      <c r="H302" s="7"/>
      <c r="I302" s="7">
        <f>IF(H302&gt;0,H302+Y302+X302+AC302,0)</f>
        <v>0</v>
      </c>
      <c r="J302" s="113">
        <f>IF(K302&gt;I302,IF(I302&lt;H302,I302+1,I302)-B_WalkTime,IF(I302&lt;H302,I302+1,I302))</f>
        <v>0</v>
      </c>
      <c r="K302" s="7"/>
      <c r="L302" s="7">
        <f>IF(K302&gt;0,K302+IF((J302-H302)&lt;Y302,Y302-(J302-H302),TIME(0,10,0))+IF((K302-J302)&gt;xNoWorkTime,0,xNoWorkTime-(K302-J302)),0)</f>
        <v>0</v>
      </c>
      <c r="M302" s="113">
        <f>IF(L302&lt;K302,L302+1,L302)</f>
        <v>0</v>
      </c>
      <c r="N302" s="113"/>
      <c r="O302" s="113">
        <f>IF(N302&gt;0,N302+IF((J302-H302+M302-K302)&lt;Y302,Y302-(J302-H302+M302-K302),TIME(0,10,0))+IF((K302-J302+N302-M302)&gt;xNoWorkTime,0,xNoWorkTime-(K302-J302+N302-M302)),0)</f>
        <v>0</v>
      </c>
      <c r="P302" s="113"/>
      <c r="Q302" s="113">
        <f>IF(O302&lt;N302,O302+1,O302)</f>
        <v>0</v>
      </c>
      <c r="R302" s="113">
        <f>J302-H302+M302-K302+Q302-N302</f>
        <v>0</v>
      </c>
      <c r="S302" s="113">
        <f>IF(K302&gt;0,K302-I302,0)+IF(N302&gt;0,N302-L302)</f>
        <v>0</v>
      </c>
      <c r="T302" s="113">
        <f>IF(H302&gt;0,(IF(R302&gt;B_Pause1Nach,B_Pause1Dauer+IF(BA302="Büro",B_WalkTime,0),IF(BA302="Büro",B_WalkTime,0))+IF(R302&gt;B_Pause2Nach,B_Pause2Dauer,0)),0)</f>
        <v>0</v>
      </c>
      <c r="U302" s="113">
        <f>IF(T302&gt;S302,T302-S302,0)</f>
        <v>0</v>
      </c>
      <c r="V302" s="146">
        <f>IF(F302="S",Z302,(IF((R302-U302)&gt;XWorkTimeMax,XWorkTimeMax,IF((R302-U302)&gt;0,R302-U302,0))))</f>
        <v>0</v>
      </c>
      <c r="W302" s="66"/>
      <c r="X302" s="115">
        <f>xNoWorkTime</f>
        <v>4.027777777777778E-2</v>
      </c>
      <c r="Y302" s="110">
        <f>IF(AND((AM302&lt;Feiertag),(G302&lt;&gt;85)),IF(OR(F302="B",F302="G",F302="S",H302&gt;0),H302-H302+Z302,0),0)</f>
        <v>0</v>
      </c>
      <c r="Z302" s="111">
        <f>IF(AND(AM302&gt;0,AM302&lt;Feiertag),INDEX(Arbeitszeit,AM302),"")</f>
        <v>0.29166666666666669</v>
      </c>
      <c r="AA302" s="112">
        <f>V302-Y302</f>
        <v>0</v>
      </c>
      <c r="AB302" s="67" t="str">
        <f>IF((V302-Y302)&lt;0,"*","")</f>
        <v/>
      </c>
      <c r="AC302" s="193">
        <f>xOverTime</f>
        <v>0</v>
      </c>
      <c r="AD302" s="144" t="str">
        <f>IF((R302-U302)&gt;XWorkTimeMax,(R302-U302-XWorkTimeMax),"")</f>
        <v/>
      </c>
      <c r="AE302" s="225">
        <f>IF(AW302,(AE301+SUM(AA302)+(IF(AG302="+",AF302,-AF302))),)</f>
        <v>0</v>
      </c>
      <c r="AF302" s="110"/>
      <c r="AG302" s="627"/>
      <c r="AH302" s="110"/>
      <c r="AI302" s="110" t="str">
        <f>IF(AND(AF302&lt;&gt;"",AF302&lt;=V302),V302-AF302,"")</f>
        <v/>
      </c>
      <c r="AJ302" s="68">
        <f>IF(ISNUMBER(V302 ), IF( V302 &gt;= Y302, Y302, V302 ),"")</f>
        <v>0</v>
      </c>
      <c r="AK302" s="68">
        <f>IF( ISNUMBER( V302 ), IF( V302 &gt;= Y302, V302 - Y302, "" ), "" )</f>
        <v>0</v>
      </c>
      <c r="AL302" s="68" t="str">
        <f>IF( AND(ISNUMBER( V302 ),ISNUMBER( Y302 )), IF( V302 &gt;= Y302, "", Y302 - V302 ), "" )</f>
        <v/>
      </c>
      <c r="AM302">
        <f>IF(A302="",0,IF(ISERROR(VLOOKUP(A302,db_Feiertag,2,FALSE)),WEEKDAY(A302,2),Feiertag))</f>
        <v>2</v>
      </c>
      <c r="AN302" s="122">
        <f>SUM($AD$6:AD302)</f>
        <v>0</v>
      </c>
      <c r="AO302" s="122">
        <f ca="1">IF(D302=D301,AO301,OFFSET(AO302,-1,COLUMN(db_jSaldoGes)-COLUMN()))</f>
        <v>0</v>
      </c>
      <c r="AP302" s="126">
        <f>IF(OR($G302=-1,$G302=82),-1,IF(OR($G302=0,$G302=83),1,0))</f>
        <v>0</v>
      </c>
      <c r="AQ302" s="126">
        <f>IF($F302=Krank,1,IF($F302="J",-1,0))</f>
        <v>0</v>
      </c>
      <c r="AR302" s="126">
        <f>IF($F302=Urlaub,1,IF($F302="T",-1,0))</f>
        <v>0</v>
      </c>
      <c r="AS302" s="125">
        <f>IF(A302="","",AS301-IF(F302=Urlaub,1,0)+IF(AND(MONTH(A302)=1,DAY(A302)=1),B_UrlaubNeu,0))</f>
        <v>30</v>
      </c>
      <c r="AT302" s="125">
        <f ca="1">IF(A302="","",IF(D302=D301,AT301,OFFSET(AT302,-1,COLUMN(db_jUrlRest)-COLUMN()))+IF(AND(MONTH(A302)=1,DAY(A302)=1),B_UrlaubNeu,0))</f>
        <v>30</v>
      </c>
      <c r="AU302" s="135">
        <f>(IF(ISNUMBER(V302),V302,0)+IF(ISNUMBER(AD302),AD302,0))*24</f>
        <v>0</v>
      </c>
      <c r="AV302" s="125">
        <f>IF(ISNUMBER(AD302),K_ArbeitOverMax,IF(AND(ISNUMBER(AA302),AA302&gt;0),K_ArbeitOverTime,IF(AND(ISNUMBER(V302),V302&gt;0),K_ArbeitNormal,IF(F302=Krank,K_Krank,IF(F302=Urlaub,K_Urlaub,IF(AM302=Feiertag,K_Feiertag,IF(OR(AM302=6,AM302=7),K_Wochenende,0)))))))+IF(F302=Gleittag,K_Gleittag,0)</f>
        <v>0</v>
      </c>
      <c r="AW302" t="b">
        <f>OR((F302&gt;0),(NOT(ISBLANK(H302))),SUM(H302:H$373),SUM(G302:G$373))</f>
        <v>0</v>
      </c>
      <c r="AX302" t="b">
        <f ca="1">INDIRECT(ADDRESS(ROW(),COLUMN(xDay)))&gt;5</f>
        <v>0</v>
      </c>
      <c r="AY302" s="600">
        <f>IF(OR(R302&lt;&gt;0,F302&lt;&gt;0),AA302,IF(Z302="",0,-Z302))+(IF(AG302="+",AF302,-AF302))</f>
        <v>-0.29166666666666669</v>
      </c>
      <c r="AZ302" s="225">
        <f>SUM(AY$5:AY302)</f>
        <v>-59.499999999999829</v>
      </c>
      <c r="BA302" s="658"/>
      <c r="BB302" s="658">
        <f>IF(ISNA(MATCH(BA302,B_Arbeitsort,0)),0,MATCH(BA302,B_Arbeitsort,0))</f>
        <v>0</v>
      </c>
      <c r="BC302" s="658"/>
    </row>
    <row r="303" spans="1:55" ht="15.75">
      <c r="A303" s="305">
        <f>IF(A302="","",IF((A302+1)&gt;=DATE(YEAR(xJahr)+1,MONTH(xJahr),DAY(xJahr)),"",A302+1))</f>
        <v>43762</v>
      </c>
      <c r="B303" s="306">
        <f>IF(A303="","",A303)</f>
        <v>43762</v>
      </c>
      <c r="C303" s="307">
        <f>IF(A303="","",NumberOfWeek(A303))</f>
        <v>43</v>
      </c>
      <c r="D303" s="308">
        <f>IF(A303="","",DATE(YEAR(A303),MONTH(A303),1))</f>
        <v>43738</v>
      </c>
      <c r="E303" s="318" t="str">
        <f>IF((R303-U303)&gt;XWorkTimeMax,$Z$4,IF(AV303=Feiertag,VLOOKUP(B303,db_Feiertag,2,FALSE),""))</f>
        <v/>
      </c>
      <c r="F303" s="5"/>
      <c r="G303" s="6" t="str">
        <f>IF(ISBLANK(F303),IF(ISBLANK(H303),"",0),CODE(UPPER(F303)))</f>
        <v/>
      </c>
      <c r="H303" s="7"/>
      <c r="I303" s="7">
        <f>IF(H303&gt;0,H303+Y303+X303+AC303,0)</f>
        <v>0</v>
      </c>
      <c r="J303" s="113">
        <f>IF(K303&gt;I303,IF(I303&lt;H303,I303+1,I303)-B_WalkTime,IF(I303&lt;H303,I303+1,I303))</f>
        <v>0</v>
      </c>
      <c r="K303" s="7"/>
      <c r="L303" s="7">
        <f>IF(K303&gt;0,K303+IF((J303-H303)&lt;Y303,Y303-(J303-H303),TIME(0,10,0))+IF((K303-J303)&gt;xNoWorkTime,0,xNoWorkTime-(K303-J303)),0)</f>
        <v>0</v>
      </c>
      <c r="M303" s="113">
        <f>IF(L303&lt;K303,L303+1,L303)</f>
        <v>0</v>
      </c>
      <c r="N303" s="113"/>
      <c r="O303" s="113">
        <f>IF(N303&gt;0,N303+IF((J303-H303+M303-K303)&lt;Y303,Y303-(J303-H303+M303-K303),TIME(0,10,0))+IF((K303-J303+N303-M303)&gt;xNoWorkTime,0,xNoWorkTime-(K303-J303+N303-M303)),0)</f>
        <v>0</v>
      </c>
      <c r="P303" s="113"/>
      <c r="Q303" s="113">
        <f>IF(O303&lt;N303,O303+1,O303)</f>
        <v>0</v>
      </c>
      <c r="R303" s="113">
        <f>J303-H303+M303-K303+Q303-N303</f>
        <v>0</v>
      </c>
      <c r="S303" s="113">
        <f>IF(K303&gt;0,K303-I303,0)+IF(N303&gt;0,N303-L303)</f>
        <v>0</v>
      </c>
      <c r="T303" s="113">
        <f>IF(H303&gt;0,(IF(R303&gt;B_Pause1Nach,B_Pause1Dauer+IF(BA303="Büro",B_WalkTime,0),IF(BA303="Büro",B_WalkTime,0))+IF(R303&gt;B_Pause2Nach,B_Pause2Dauer,0)),0)</f>
        <v>0</v>
      </c>
      <c r="U303" s="113">
        <f>IF(T303&gt;S303,T303-S303,0)</f>
        <v>0</v>
      </c>
      <c r="V303" s="146">
        <f>IF(F303="S",Z303,(IF((R303-U303)&gt;XWorkTimeMax,XWorkTimeMax,IF((R303-U303)&gt;0,R303-U303,0))))</f>
        <v>0</v>
      </c>
      <c r="W303" s="66"/>
      <c r="X303" s="115">
        <f>xNoWorkTime</f>
        <v>4.027777777777778E-2</v>
      </c>
      <c r="Y303" s="110">
        <f>IF(AND((AM303&lt;Feiertag),(G303&lt;&gt;85)),IF(OR(F303="B",F303="G",F303="S",H303&gt;0),H303-H303+Z303,0),0)</f>
        <v>0</v>
      </c>
      <c r="Z303" s="111">
        <f>IF(AND(AM303&gt;0,AM303&lt;Feiertag),INDEX(Arbeitszeit,AM303),"")</f>
        <v>0.29166666666666669</v>
      </c>
      <c r="AA303" s="112">
        <f>V303-Y303</f>
        <v>0</v>
      </c>
      <c r="AB303" s="67" t="str">
        <f>IF((V303-Y303)&lt;0,"*","")</f>
        <v/>
      </c>
      <c r="AC303" s="193">
        <f>xOverTime</f>
        <v>0</v>
      </c>
      <c r="AD303" s="144" t="str">
        <f>IF((R303-U303)&gt;XWorkTimeMax,(R303-U303-XWorkTimeMax),"")</f>
        <v/>
      </c>
      <c r="AE303" s="225">
        <f>IF(AW303,(AE302+SUM(AA303)+(IF(AG303="+",AF303,-AF303))),)</f>
        <v>0</v>
      </c>
      <c r="AF303" s="110"/>
      <c r="AG303" s="627"/>
      <c r="AH303" s="110"/>
      <c r="AI303" s="110" t="str">
        <f>IF(AND(AF303&lt;&gt;"",AF303&lt;=V303),V303-AF303,"")</f>
        <v/>
      </c>
      <c r="AJ303" s="68">
        <f>IF(ISNUMBER(V303 ), IF( V303 &gt;= Y303, Y303, V303 ),"")</f>
        <v>0</v>
      </c>
      <c r="AK303" s="68">
        <f>IF( ISNUMBER( V303 ), IF( V303 &gt;= Y303, V303 - Y303, "" ), "" )</f>
        <v>0</v>
      </c>
      <c r="AL303" s="68" t="str">
        <f>IF( AND(ISNUMBER( V303 ),ISNUMBER( Y303 )), IF( V303 &gt;= Y303, "", Y303 - V303 ), "" )</f>
        <v/>
      </c>
      <c r="AM303">
        <f>IF(A303="",0,IF(ISERROR(VLOOKUP(A303,db_Feiertag,2,FALSE)),WEEKDAY(A303,2),Feiertag))</f>
        <v>3</v>
      </c>
      <c r="AN303" s="122">
        <f>SUM($AD$6:AD303)</f>
        <v>0</v>
      </c>
      <c r="AO303" s="122">
        <f ca="1">IF(D303=D302,AO302,OFFSET(AO303,-1,COLUMN(db_jSaldoGes)-COLUMN()))</f>
        <v>0</v>
      </c>
      <c r="AP303" s="126">
        <f>IF(OR($G303=-1,$G303=82),-1,IF(OR($G303=0,$G303=83),1,0))</f>
        <v>0</v>
      </c>
      <c r="AQ303" s="126">
        <f>IF($F303=Krank,1,IF($F303="J",-1,0))</f>
        <v>0</v>
      </c>
      <c r="AR303" s="126">
        <f>IF($F303=Urlaub,1,IF($F303="T",-1,0))</f>
        <v>0</v>
      </c>
      <c r="AS303" s="125">
        <f>IF(A303="","",AS302-IF(F303=Urlaub,1,0)+IF(AND(MONTH(A303)=1,DAY(A303)=1),B_UrlaubNeu,0))</f>
        <v>30</v>
      </c>
      <c r="AT303" s="125">
        <f ca="1">IF(A303="","",IF(D303=D302,AT302,OFFSET(AT303,-1,COLUMN(db_jUrlRest)-COLUMN()))+IF(AND(MONTH(A303)=1,DAY(A303)=1),B_UrlaubNeu,0))</f>
        <v>30</v>
      </c>
      <c r="AU303" s="135">
        <f>(IF(ISNUMBER(V303),V303,0)+IF(ISNUMBER(AD303),AD303,0))*24</f>
        <v>0</v>
      </c>
      <c r="AV303" s="125">
        <f>IF(ISNUMBER(AD303),K_ArbeitOverMax,IF(AND(ISNUMBER(AA303),AA303&gt;0),K_ArbeitOverTime,IF(AND(ISNUMBER(V303),V303&gt;0),K_ArbeitNormal,IF(F303=Krank,K_Krank,IF(F303=Urlaub,K_Urlaub,IF(AM303=Feiertag,K_Feiertag,IF(OR(AM303=6,AM303=7),K_Wochenende,0)))))))+IF(F303=Gleittag,K_Gleittag,0)</f>
        <v>0</v>
      </c>
      <c r="AW303" t="b">
        <f>OR((F303&gt;0),(NOT(ISBLANK(H303))),SUM(H303:H$373),SUM(G303:G$373))</f>
        <v>0</v>
      </c>
      <c r="AX303" t="b">
        <f ca="1">INDIRECT(ADDRESS(ROW(),COLUMN(xDay)))&gt;5</f>
        <v>0</v>
      </c>
      <c r="AY303" s="600">
        <f>IF(OR(R303&lt;&gt;0,F303&lt;&gt;0),AA303,IF(Z303="",0,-Z303))+(IF(AG303="+",AF303,-AF303))</f>
        <v>-0.29166666666666669</v>
      </c>
      <c r="AZ303" s="225">
        <f>SUM(AY$5:AY303)</f>
        <v>-59.791666666666494</v>
      </c>
      <c r="BA303" s="658"/>
      <c r="BB303" s="658">
        <f>IF(ISNA(MATCH(BA303,B_Arbeitsort,0)),0,MATCH(BA303,B_Arbeitsort,0))</f>
        <v>0</v>
      </c>
      <c r="BC303" s="658"/>
    </row>
    <row r="304" spans="1:55" ht="15.75">
      <c r="A304" s="305">
        <f>IF(A303="","",IF((A303+1)&gt;=DATE(YEAR(xJahr)+1,MONTH(xJahr),DAY(xJahr)),"",A303+1))</f>
        <v>43763</v>
      </c>
      <c r="B304" s="306">
        <f>IF(A304="","",A304)</f>
        <v>43763</v>
      </c>
      <c r="C304" s="307">
        <f>IF(A304="","",NumberOfWeek(A304))</f>
        <v>43</v>
      </c>
      <c r="D304" s="308">
        <f>IF(A304="","",DATE(YEAR(A304),MONTH(A304),1))</f>
        <v>43738</v>
      </c>
      <c r="E304" s="318" t="str">
        <f>IF((R304-U304)&gt;XWorkTimeMax,$Z$4,IF(AV304=Feiertag,VLOOKUP(B304,db_Feiertag,2,FALSE),""))</f>
        <v/>
      </c>
      <c r="F304" s="5"/>
      <c r="G304" s="6" t="str">
        <f>IF(ISBLANK(F304),IF(ISBLANK(H304),"",0),CODE(UPPER(F304)))</f>
        <v/>
      </c>
      <c r="H304" s="7"/>
      <c r="I304" s="7">
        <f>IF(H304&gt;0,H304+Y304+X304+AC304,0)</f>
        <v>0</v>
      </c>
      <c r="J304" s="113">
        <f>IF(K304&gt;I304,IF(I304&lt;H304,I304+1,I304)-B_WalkTime,IF(I304&lt;H304,I304+1,I304))</f>
        <v>0</v>
      </c>
      <c r="K304" s="7"/>
      <c r="L304" s="7">
        <f>IF(K304&gt;0,K304+IF((J304-H304)&lt;Y304,Y304-(J304-H304),TIME(0,10,0))+IF((K304-J304)&gt;xNoWorkTime,0,xNoWorkTime-(K304-J304)),0)</f>
        <v>0</v>
      </c>
      <c r="M304" s="113">
        <f>IF(L304&lt;K304,L304+1,L304)</f>
        <v>0</v>
      </c>
      <c r="N304" s="113"/>
      <c r="O304" s="113">
        <f>IF(N304&gt;0,N304+IF((J304-H304+M304-K304)&lt;Y304,Y304-(J304-H304+M304-K304),TIME(0,10,0))+IF((K304-J304+N304-M304)&gt;xNoWorkTime,0,xNoWorkTime-(K304-J304+N304-M304)),0)</f>
        <v>0</v>
      </c>
      <c r="P304" s="113"/>
      <c r="Q304" s="113">
        <f>IF(O304&lt;N304,O304+1,O304)</f>
        <v>0</v>
      </c>
      <c r="R304" s="113">
        <f>J304-H304+M304-K304+Q304-N304</f>
        <v>0</v>
      </c>
      <c r="S304" s="113">
        <f>IF(K304&gt;0,K304-I304,0)+IF(N304&gt;0,N304-L304)</f>
        <v>0</v>
      </c>
      <c r="T304" s="113">
        <f>IF(H304&gt;0,(IF(R304&gt;B_Pause1Nach,B_Pause1Dauer+IF(BA304="Büro",B_WalkTime,0),IF(BA304="Büro",B_WalkTime,0))+IF(R304&gt;B_Pause2Nach,B_Pause2Dauer,0)),0)</f>
        <v>0</v>
      </c>
      <c r="U304" s="113">
        <f>IF(T304&gt;S304,T304-S304,0)</f>
        <v>0</v>
      </c>
      <c r="V304" s="146">
        <f>IF(F304="S",Z304,(IF((R304-U304)&gt;XWorkTimeMax,XWorkTimeMax,IF((R304-U304)&gt;0,R304-U304,0))))</f>
        <v>0</v>
      </c>
      <c r="W304" s="66"/>
      <c r="X304" s="115">
        <f>xNoWorkTime</f>
        <v>4.027777777777778E-2</v>
      </c>
      <c r="Y304" s="110">
        <f>IF(AND((AM304&lt;Feiertag),(G304&lt;&gt;85)),IF(OR(F304="B",F304="G",F304="S",H304&gt;0),H304-H304+Z304,0),0)</f>
        <v>0</v>
      </c>
      <c r="Z304" s="111">
        <f>IF(AND(AM304&gt;0,AM304&lt;Feiertag),INDEX(Arbeitszeit,AM304),"")</f>
        <v>0.29166666666666669</v>
      </c>
      <c r="AA304" s="112">
        <f>V304-Y304</f>
        <v>0</v>
      </c>
      <c r="AB304" s="67" t="str">
        <f>IF((V304-Y304)&lt;0,"*","")</f>
        <v/>
      </c>
      <c r="AC304" s="193">
        <f>xOverTime</f>
        <v>0</v>
      </c>
      <c r="AD304" s="144" t="str">
        <f>IF((R304-U304)&gt;XWorkTimeMax,(R304-U304-XWorkTimeMax),"")</f>
        <v/>
      </c>
      <c r="AE304" s="225">
        <f>IF(AW304,(AE303+SUM(AA304)+(IF(AG304="+",AF304,-AF304))),)</f>
        <v>0</v>
      </c>
      <c r="AF304" s="110"/>
      <c r="AG304" s="627"/>
      <c r="AH304" s="110"/>
      <c r="AI304" s="110" t="str">
        <f>IF(AND(AF304&lt;&gt;"",AF304&lt;=V304),V304-AF304,"")</f>
        <v/>
      </c>
      <c r="AJ304" s="68">
        <f>IF(ISNUMBER(V304 ), IF( V304 &gt;= Y304, Y304, V304 ),"")</f>
        <v>0</v>
      </c>
      <c r="AK304" s="68">
        <f>IF( ISNUMBER( V304 ), IF( V304 &gt;= Y304, V304 - Y304, "" ), "" )</f>
        <v>0</v>
      </c>
      <c r="AL304" s="68" t="str">
        <f>IF( AND(ISNUMBER( V304 ),ISNUMBER( Y304 )), IF( V304 &gt;= Y304, "", Y304 - V304 ), "" )</f>
        <v/>
      </c>
      <c r="AM304">
        <f>IF(A304="",0,IF(ISERROR(VLOOKUP(A304,db_Feiertag,2,FALSE)),WEEKDAY(A304,2),Feiertag))</f>
        <v>4</v>
      </c>
      <c r="AN304" s="122">
        <f>SUM($AD$6:AD304)</f>
        <v>0</v>
      </c>
      <c r="AO304" s="122">
        <f ca="1">IF(D304=D303,AO303,OFFSET(AO304,-1,COLUMN(db_jSaldoGes)-COLUMN()))</f>
        <v>0</v>
      </c>
      <c r="AP304" s="126">
        <f>IF(OR($G304=-1,$G304=82),-1,IF(OR($G304=0,$G304=83),1,0))</f>
        <v>0</v>
      </c>
      <c r="AQ304" s="126">
        <f>IF($F304=Krank,1,IF($F304="J",-1,0))</f>
        <v>0</v>
      </c>
      <c r="AR304" s="126">
        <f>IF($F304=Urlaub,1,IF($F304="T",-1,0))</f>
        <v>0</v>
      </c>
      <c r="AS304" s="125">
        <f>IF(A304="","",AS303-IF(F304=Urlaub,1,0)+IF(AND(MONTH(A304)=1,DAY(A304)=1),B_UrlaubNeu,0))</f>
        <v>30</v>
      </c>
      <c r="AT304" s="125">
        <f ca="1">IF(A304="","",IF(D304=D303,AT303,OFFSET(AT304,-1,COLUMN(db_jUrlRest)-COLUMN()))+IF(AND(MONTH(A304)=1,DAY(A304)=1),B_UrlaubNeu,0))</f>
        <v>30</v>
      </c>
      <c r="AU304" s="135">
        <f>(IF(ISNUMBER(V304),V304,0)+IF(ISNUMBER(AD304),AD304,0))*24</f>
        <v>0</v>
      </c>
      <c r="AV304" s="125">
        <f>IF(ISNUMBER(AD304),K_ArbeitOverMax,IF(AND(ISNUMBER(AA304),AA304&gt;0),K_ArbeitOverTime,IF(AND(ISNUMBER(V304),V304&gt;0),K_ArbeitNormal,IF(F304=Krank,K_Krank,IF(F304=Urlaub,K_Urlaub,IF(AM304=Feiertag,K_Feiertag,IF(OR(AM304=6,AM304=7),K_Wochenende,0)))))))+IF(F304=Gleittag,K_Gleittag,0)</f>
        <v>0</v>
      </c>
      <c r="AW304" t="b">
        <f>OR((F304&gt;0),(NOT(ISBLANK(H304))),SUM(H304:H$373),SUM(G304:G$373))</f>
        <v>0</v>
      </c>
      <c r="AX304" t="b">
        <f ca="1">INDIRECT(ADDRESS(ROW(),COLUMN(xDay)))&gt;5</f>
        <v>0</v>
      </c>
      <c r="AY304" s="600">
        <f>IF(OR(R304&lt;&gt;0,F304&lt;&gt;0),AA304,IF(Z304="",0,-Z304))+(IF(AG304="+",AF304,-AF304))</f>
        <v>-0.29166666666666669</v>
      </c>
      <c r="AZ304" s="225">
        <f>SUM(AY$5:AY304)</f>
        <v>-60.083333333333158</v>
      </c>
      <c r="BA304" s="658"/>
      <c r="BB304" s="658">
        <f>IF(ISNA(MATCH(BA304,B_Arbeitsort,0)),0,MATCH(BA304,B_Arbeitsort,0))</f>
        <v>0</v>
      </c>
      <c r="BC304" s="658"/>
    </row>
    <row r="305" spans="1:55" ht="15.75">
      <c r="A305" s="305">
        <f>IF(A304="","",IF((A304+1)&gt;=DATE(YEAR(xJahr)+1,MONTH(xJahr),DAY(xJahr)),"",A304+1))</f>
        <v>43764</v>
      </c>
      <c r="B305" s="306">
        <f>IF(A305="","",A305)</f>
        <v>43764</v>
      </c>
      <c r="C305" s="307">
        <f>IF(A305="","",NumberOfWeek(A305))</f>
        <v>43</v>
      </c>
      <c r="D305" s="308">
        <f>IF(A305="","",DATE(YEAR(A305),MONTH(A305),1))</f>
        <v>43738</v>
      </c>
      <c r="E305" s="318" t="str">
        <f>IF((R305-U305)&gt;XWorkTimeMax,$Z$4,IF(AV305=Feiertag,VLOOKUP(B305,db_Feiertag,2,FALSE),""))</f>
        <v/>
      </c>
      <c r="F305" s="5"/>
      <c r="G305" s="6" t="str">
        <f>IF(ISBLANK(F305),IF(ISBLANK(H305),"",0),CODE(UPPER(F305)))</f>
        <v/>
      </c>
      <c r="H305" s="7"/>
      <c r="I305" s="7">
        <f>IF(H305&gt;0,H305+Y305+X305+AC305,0)</f>
        <v>0</v>
      </c>
      <c r="J305" s="113">
        <f>IF(K305&gt;I305,IF(I305&lt;H305,I305+1,I305)-B_WalkTime,IF(I305&lt;H305,I305+1,I305))</f>
        <v>0</v>
      </c>
      <c r="K305" s="7"/>
      <c r="L305" s="7">
        <f>IF(K305&gt;0,K305+IF((J305-H305)&lt;Y305,Y305-(J305-H305),TIME(0,10,0))+IF((K305-J305)&gt;xNoWorkTime,0,xNoWorkTime-(K305-J305)),0)</f>
        <v>0</v>
      </c>
      <c r="M305" s="113">
        <f>IF(L305&lt;K305,L305+1,L305)</f>
        <v>0</v>
      </c>
      <c r="N305" s="113"/>
      <c r="O305" s="113">
        <f>IF(N305&gt;0,N305+IF((J305-H305+M305-K305)&lt;Y305,Y305-(J305-H305+M305-K305),TIME(0,10,0))+IF((K305-J305+N305-M305)&gt;xNoWorkTime,0,xNoWorkTime-(K305-J305+N305-M305)),0)</f>
        <v>0</v>
      </c>
      <c r="P305" s="113"/>
      <c r="Q305" s="113">
        <f>IF(O305&lt;N305,O305+1,O305)</f>
        <v>0</v>
      </c>
      <c r="R305" s="113">
        <f>J305-H305+M305-K305+Q305-N305</f>
        <v>0</v>
      </c>
      <c r="S305" s="113">
        <f>IF(K305&gt;0,K305-I305,0)+IF(N305&gt;0,N305-L305)</f>
        <v>0</v>
      </c>
      <c r="T305" s="113">
        <f>IF(H305&gt;0,(IF(R305&gt;B_Pause1Nach,B_Pause1Dauer+IF(BA305="Büro",B_WalkTime,0),IF(BA305="Büro",B_WalkTime,0))+IF(R305&gt;B_Pause2Nach,B_Pause2Dauer,0)),0)</f>
        <v>0</v>
      </c>
      <c r="U305" s="113">
        <f>IF(T305&gt;S305,T305-S305,0)</f>
        <v>0</v>
      </c>
      <c r="V305" s="146">
        <f>IF(F305="S",Z305,(IF((R305-U305)&gt;XWorkTimeMax,XWorkTimeMax,IF((R305-U305)&gt;0,R305-U305,0))))</f>
        <v>0</v>
      </c>
      <c r="W305" s="66"/>
      <c r="X305" s="115">
        <f>xNoWorkTime</f>
        <v>4.027777777777778E-2</v>
      </c>
      <c r="Y305" s="110">
        <f>IF(AND((AM305&lt;Feiertag),(G305&lt;&gt;85)),IF(OR(F305="B",F305="G",F305="S",H305&gt;0),H305-H305+Z305,0),0)</f>
        <v>0</v>
      </c>
      <c r="Z305" s="111">
        <f>IF(AND(AM305&gt;0,AM305&lt;Feiertag),INDEX(Arbeitszeit,AM305),"")</f>
        <v>0.29166666666666669</v>
      </c>
      <c r="AA305" s="112">
        <f>V305-Y305</f>
        <v>0</v>
      </c>
      <c r="AB305" s="67" t="str">
        <f>IF((V305-Y305)&lt;0,"*","")</f>
        <v/>
      </c>
      <c r="AC305" s="193">
        <f>xOverTime</f>
        <v>0</v>
      </c>
      <c r="AD305" s="144" t="str">
        <f>IF((R305-U305)&gt;XWorkTimeMax,(R305-U305-XWorkTimeMax),"")</f>
        <v/>
      </c>
      <c r="AE305" s="225">
        <f>IF(AW305,(AE304+SUM(AA305)+(IF(AG305="+",AF305,-AF305))),)</f>
        <v>0</v>
      </c>
      <c r="AF305" s="110"/>
      <c r="AG305" s="627"/>
      <c r="AH305" s="110"/>
      <c r="AI305" s="110" t="str">
        <f>IF(AND(AF305&lt;&gt;"",AF305&lt;=V305),V305-AF305,"")</f>
        <v/>
      </c>
      <c r="AJ305" s="68">
        <f>IF(ISNUMBER(V305 ), IF( V305 &gt;= Y305, Y305, V305 ),"")</f>
        <v>0</v>
      </c>
      <c r="AK305" s="68">
        <f>IF( ISNUMBER( V305 ), IF( V305 &gt;= Y305, V305 - Y305, "" ), "" )</f>
        <v>0</v>
      </c>
      <c r="AL305" s="68" t="str">
        <f>IF( AND(ISNUMBER( V305 ),ISNUMBER( Y305 )), IF( V305 &gt;= Y305, "", Y305 - V305 ), "" )</f>
        <v/>
      </c>
      <c r="AM305">
        <f>IF(A305="",0,IF(ISERROR(VLOOKUP(A305,db_Feiertag,2,FALSE)),WEEKDAY(A305,2),Feiertag))</f>
        <v>5</v>
      </c>
      <c r="AN305" s="122">
        <f>SUM($AD$6:AD305)</f>
        <v>0</v>
      </c>
      <c r="AO305" s="122">
        <f ca="1">IF(D305=D304,AO304,OFFSET(AO305,-1,COLUMN(db_jSaldoGes)-COLUMN()))</f>
        <v>0</v>
      </c>
      <c r="AP305" s="126">
        <f>IF(OR($G305=-1,$G305=82),-1,IF(OR($G305=0,$G305=83),1,0))</f>
        <v>0</v>
      </c>
      <c r="AQ305" s="126">
        <f>IF($F305=Krank,1,IF($F305="J",-1,0))</f>
        <v>0</v>
      </c>
      <c r="AR305" s="126">
        <f>IF($F305=Urlaub,1,IF($F305="T",-1,0))</f>
        <v>0</v>
      </c>
      <c r="AS305" s="125">
        <f>IF(A305="","",AS304-IF(F305=Urlaub,1,0)+IF(AND(MONTH(A305)=1,DAY(A305)=1),B_UrlaubNeu,0))</f>
        <v>30</v>
      </c>
      <c r="AT305" s="125">
        <f ca="1">IF(A305="","",IF(D305=D304,AT304,OFFSET(AT305,-1,COLUMN(db_jUrlRest)-COLUMN()))+IF(AND(MONTH(A305)=1,DAY(A305)=1),B_UrlaubNeu,0))</f>
        <v>30</v>
      </c>
      <c r="AU305" s="135">
        <f>(IF(ISNUMBER(V305),V305,0)+IF(ISNUMBER(AD305),AD305,0))*24</f>
        <v>0</v>
      </c>
      <c r="AV305" s="125">
        <f>IF(ISNUMBER(AD305),K_ArbeitOverMax,IF(AND(ISNUMBER(AA305),AA305&gt;0),K_ArbeitOverTime,IF(AND(ISNUMBER(V305),V305&gt;0),K_ArbeitNormal,IF(F305=Krank,K_Krank,IF(F305=Urlaub,K_Urlaub,IF(AM305=Feiertag,K_Feiertag,IF(OR(AM305=6,AM305=7),K_Wochenende,0)))))))+IF(F305=Gleittag,K_Gleittag,0)</f>
        <v>0</v>
      </c>
      <c r="AW305" t="b">
        <f>OR((F305&gt;0),(NOT(ISBLANK(H305))),SUM(H305:H$373),SUM(G305:G$373))</f>
        <v>0</v>
      </c>
      <c r="AX305" t="b">
        <f ca="1">INDIRECT(ADDRESS(ROW(),COLUMN(xDay)))&gt;5</f>
        <v>0</v>
      </c>
      <c r="AY305" s="600">
        <f>IF(OR(R305&lt;&gt;0,F305&lt;&gt;0),AA305,IF(Z305="",0,-Z305))+(IF(AG305="+",AF305,-AF305))</f>
        <v>-0.29166666666666669</v>
      </c>
      <c r="AZ305" s="225">
        <f>SUM(AY$5:AY305)</f>
        <v>-60.374999999999822</v>
      </c>
      <c r="BA305" s="658"/>
      <c r="BB305" s="658">
        <f>IF(ISNA(MATCH(BA305,B_Arbeitsort,0)),0,MATCH(BA305,B_Arbeitsort,0))</f>
        <v>0</v>
      </c>
      <c r="BC305" s="658"/>
    </row>
    <row r="306" spans="1:55" ht="15.75">
      <c r="A306" s="305">
        <f>IF(A305="","",IF((A305+1)&gt;=DATE(YEAR(xJahr)+1,MONTH(xJahr),DAY(xJahr)),"",A305+1))</f>
        <v>43765</v>
      </c>
      <c r="B306" s="306">
        <f>IF(A306="","",A306)</f>
        <v>43765</v>
      </c>
      <c r="C306" s="307">
        <f>IF(A306="","",NumberOfWeek(A306))</f>
        <v>43</v>
      </c>
      <c r="D306" s="308">
        <f>IF(A306="","",DATE(YEAR(A306),MONTH(A306),1))</f>
        <v>43738</v>
      </c>
      <c r="E306" s="318" t="str">
        <f>IF((R306-U306)&gt;XWorkTimeMax,$Z$4,IF(AV306=Feiertag,VLOOKUP(B306,db_Feiertag,2,FALSE),""))</f>
        <v/>
      </c>
      <c r="F306" s="5"/>
      <c r="G306" s="6" t="str">
        <f>IF(ISBLANK(F306),IF(ISBLANK(H306),"",0),CODE(UPPER(F306)))</f>
        <v/>
      </c>
      <c r="H306" s="7"/>
      <c r="I306" s="7">
        <f>IF(H306&gt;0,H306+Y306+X306+AC306,0)</f>
        <v>0</v>
      </c>
      <c r="J306" s="113">
        <f>IF(K306&gt;I306,IF(I306&lt;H306,I306+1,I306)-B_WalkTime,IF(I306&lt;H306,I306+1,I306))</f>
        <v>0</v>
      </c>
      <c r="K306" s="7"/>
      <c r="L306" s="7">
        <f>IF(K306&gt;0,K306+IF((J306-H306)&lt;Y306,Y306-(J306-H306),TIME(0,10,0))+IF((K306-J306)&gt;xNoWorkTime,0,xNoWorkTime-(K306-J306)),0)</f>
        <v>0</v>
      </c>
      <c r="M306" s="113">
        <f>IF(L306&lt;K306,L306+1,L306)</f>
        <v>0</v>
      </c>
      <c r="N306" s="113"/>
      <c r="O306" s="113">
        <f>IF(N306&gt;0,N306+IF((J306-H306+M306-K306)&lt;Y306,Y306-(J306-H306+M306-K306),TIME(0,10,0))+IF((K306-J306+N306-M306)&gt;xNoWorkTime,0,xNoWorkTime-(K306-J306+N306-M306)),0)</f>
        <v>0</v>
      </c>
      <c r="P306" s="113"/>
      <c r="Q306" s="113">
        <f>IF(O306&lt;N306,O306+1,O306)</f>
        <v>0</v>
      </c>
      <c r="R306" s="113">
        <f>J306-H306+M306-K306+Q306-N306</f>
        <v>0</v>
      </c>
      <c r="S306" s="113">
        <f>IF(K306&gt;0,K306-I306,0)+IF(N306&gt;0,N306-L306)</f>
        <v>0</v>
      </c>
      <c r="T306" s="113">
        <f>IF(H306&gt;0,(IF(R306&gt;B_Pause1Nach,B_Pause1Dauer+IF(BA306="Büro",B_WalkTime,0),IF(BA306="Büro",B_WalkTime,0))+IF(R306&gt;B_Pause2Nach,B_Pause2Dauer,0)),0)</f>
        <v>0</v>
      </c>
      <c r="U306" s="113">
        <f>IF(T306&gt;S306,T306-S306,0)</f>
        <v>0</v>
      </c>
      <c r="V306" s="146">
        <f>IF(F306="S",Z306,(IF((R306-U306)&gt;XWorkTimeMax,XWorkTimeMax,IF((R306-U306)&gt;0,R306-U306,0))))</f>
        <v>0</v>
      </c>
      <c r="W306" s="66"/>
      <c r="X306" s="115">
        <f>xNoWorkTime</f>
        <v>4.027777777777778E-2</v>
      </c>
      <c r="Y306" s="110">
        <f>IF(AND((AM306&lt;Feiertag),(G306&lt;&gt;85)),IF(OR(F306="B",F306="G",F306="S",H306&gt;0),H306-H306+Z306,0),0)</f>
        <v>0</v>
      </c>
      <c r="Z306" s="111">
        <f>IF(AND(AM306&gt;0,AM306&lt;Feiertag),INDEX(Arbeitszeit,AM306),"")</f>
        <v>0</v>
      </c>
      <c r="AA306" s="112">
        <f>V306-Y306</f>
        <v>0</v>
      </c>
      <c r="AB306" s="67" t="str">
        <f>IF((V306-Y306)&lt;0,"*","")</f>
        <v/>
      </c>
      <c r="AC306" s="193">
        <f>xOverTime</f>
        <v>0</v>
      </c>
      <c r="AD306" s="144" t="str">
        <f>IF((R306-U306)&gt;XWorkTimeMax,(R306-U306-XWorkTimeMax),"")</f>
        <v/>
      </c>
      <c r="AE306" s="225">
        <f>IF(AW306,(AE305+SUM(AA306)+(IF(AG306="+",AF306,-AF306))),)</f>
        <v>0</v>
      </c>
      <c r="AF306" s="110"/>
      <c r="AG306" s="627"/>
      <c r="AH306" s="110"/>
      <c r="AI306" s="110" t="str">
        <f>IF(AND(AF306&lt;&gt;"",AF306&lt;=V306),V306-AF306,"")</f>
        <v/>
      </c>
      <c r="AJ306" s="68">
        <f>IF(ISNUMBER(V306 ), IF( V306 &gt;= Y306, Y306, V306 ),"")</f>
        <v>0</v>
      </c>
      <c r="AK306" s="68">
        <f>IF( ISNUMBER( V306 ), IF( V306 &gt;= Y306, V306 - Y306, "" ), "" )</f>
        <v>0</v>
      </c>
      <c r="AL306" s="68" t="str">
        <f>IF( AND(ISNUMBER( V306 ),ISNUMBER( Y306 )), IF( V306 &gt;= Y306, "", Y306 - V306 ), "" )</f>
        <v/>
      </c>
      <c r="AM306">
        <f>IF(A306="",0,IF(ISERROR(VLOOKUP(A306,db_Feiertag,2,FALSE)),WEEKDAY(A306,2),Feiertag))</f>
        <v>6</v>
      </c>
      <c r="AN306" s="122">
        <f>SUM($AD$6:AD306)</f>
        <v>0</v>
      </c>
      <c r="AO306" s="122">
        <f ca="1">IF(D306=D305,AO305,OFFSET(AO306,-1,COLUMN(db_jSaldoGes)-COLUMN()))</f>
        <v>0</v>
      </c>
      <c r="AP306" s="126">
        <f>IF(OR($G306=-1,$G306=82),-1,IF(OR($G306=0,$G306=83),1,0))</f>
        <v>0</v>
      </c>
      <c r="AQ306" s="126">
        <f>IF($F306=Krank,1,IF($F306="J",-1,0))</f>
        <v>0</v>
      </c>
      <c r="AR306" s="126">
        <f>IF($F306=Urlaub,1,IF($F306="T",-1,0))</f>
        <v>0</v>
      </c>
      <c r="AS306" s="125">
        <f>IF(A306="","",AS305-IF(F306=Urlaub,1,0)+IF(AND(MONTH(A306)=1,DAY(A306)=1),B_UrlaubNeu,0))</f>
        <v>30</v>
      </c>
      <c r="AT306" s="125">
        <f ca="1">IF(A306="","",IF(D306=D305,AT305,OFFSET(AT306,-1,COLUMN(db_jUrlRest)-COLUMN()))+IF(AND(MONTH(A306)=1,DAY(A306)=1),B_UrlaubNeu,0))</f>
        <v>30</v>
      </c>
      <c r="AU306" s="135">
        <f>(IF(ISNUMBER(V306),V306,0)+IF(ISNUMBER(AD306),AD306,0))*24</f>
        <v>0</v>
      </c>
      <c r="AV306" s="125">
        <f>IF(ISNUMBER(AD306),K_ArbeitOverMax,IF(AND(ISNUMBER(AA306),AA306&gt;0),K_ArbeitOverTime,IF(AND(ISNUMBER(V306),V306&gt;0),K_ArbeitNormal,IF(F306=Krank,K_Krank,IF(F306=Urlaub,K_Urlaub,IF(AM306=Feiertag,K_Feiertag,IF(OR(AM306=6,AM306=7),K_Wochenende,0)))))))+IF(F306=Gleittag,K_Gleittag,0)</f>
        <v>7</v>
      </c>
      <c r="AW306" t="b">
        <f>OR((F306&gt;0),(NOT(ISBLANK(H306))),SUM(H306:H$373),SUM(G306:G$373))</f>
        <v>0</v>
      </c>
      <c r="AX306" t="b">
        <f ca="1">INDIRECT(ADDRESS(ROW(),COLUMN(xDay)))&gt;5</f>
        <v>1</v>
      </c>
      <c r="AY306" s="600">
        <f>IF(OR(R306&lt;&gt;0,F306&lt;&gt;0),AA306,IF(Z306="",0,-Z306))+(IF(AG306="+",AF306,-AF306))</f>
        <v>0</v>
      </c>
      <c r="AZ306" s="225">
        <f>SUM(AY$5:AY306)</f>
        <v>-60.374999999999822</v>
      </c>
      <c r="BA306" s="643"/>
      <c r="BB306" s="658">
        <f>IF(ISNA(MATCH(BA306,B_Arbeitsort,0)),0,MATCH(BA306,B_Arbeitsort,0))</f>
        <v>0</v>
      </c>
      <c r="BC306" s="643"/>
    </row>
    <row r="307" spans="1:55" ht="15.75">
      <c r="A307" s="305">
        <f>IF(A306="","",IF((A306+1)&gt;=DATE(YEAR(xJahr)+1,MONTH(xJahr),DAY(xJahr)),"",A306+1))</f>
        <v>43766</v>
      </c>
      <c r="B307" s="306">
        <f>IF(A307="","",A307)</f>
        <v>43766</v>
      </c>
      <c r="C307" s="307">
        <f>IF(A307="","",NumberOfWeek(A307))</f>
        <v>43</v>
      </c>
      <c r="D307" s="308">
        <f>IF(A307="","",DATE(YEAR(A307),MONTH(A307),1))</f>
        <v>43738</v>
      </c>
      <c r="E307" s="318" t="str">
        <f>IF((R307-U307)&gt;XWorkTimeMax,$Z$4,IF(AV307=Feiertag,VLOOKUP(B307,db_Feiertag,2,FALSE),""))</f>
        <v/>
      </c>
      <c r="F307" s="5"/>
      <c r="G307" s="6" t="str">
        <f>IF(ISBLANK(F307),IF(ISBLANK(H307),"",0),CODE(UPPER(F307)))</f>
        <v/>
      </c>
      <c r="H307" s="7"/>
      <c r="I307" s="7">
        <f>IF(H307&gt;0,H307+Y307+X307+AC307,0)</f>
        <v>0</v>
      </c>
      <c r="J307" s="113">
        <f>IF(K307&gt;I307,IF(I307&lt;H307,I307+1,I307)-B_WalkTime,IF(I307&lt;H307,I307+1,I307))</f>
        <v>0</v>
      </c>
      <c r="K307" s="7"/>
      <c r="L307" s="7">
        <f>IF(K307&gt;0,K307+IF((J307-H307)&lt;Y307,Y307-(J307-H307),TIME(0,10,0))+IF((K307-J307)&gt;xNoWorkTime,0,xNoWorkTime-(K307-J307)),0)</f>
        <v>0</v>
      </c>
      <c r="M307" s="113">
        <f>IF(L307&lt;K307,L307+1,L307)</f>
        <v>0</v>
      </c>
      <c r="N307" s="113"/>
      <c r="O307" s="113">
        <f>IF(N307&gt;0,N307+IF((J307-H307+M307-K307)&lt;Y307,Y307-(J307-H307+M307-K307),TIME(0,10,0))+IF((K307-J307+N307-M307)&gt;xNoWorkTime,0,xNoWorkTime-(K307-J307+N307-M307)),0)</f>
        <v>0</v>
      </c>
      <c r="P307" s="113"/>
      <c r="Q307" s="113">
        <f>IF(O307&lt;N307,O307+1,O307)</f>
        <v>0</v>
      </c>
      <c r="R307" s="113">
        <f>J307-H307+M307-K307+Q307-N307</f>
        <v>0</v>
      </c>
      <c r="S307" s="113">
        <f>IF(K307&gt;0,K307-I307,0)+IF(N307&gt;0,N307-L307)</f>
        <v>0</v>
      </c>
      <c r="T307" s="113">
        <f>IF(H307&gt;0,(IF(R307&gt;B_Pause1Nach,B_Pause1Dauer+IF(BA307="Büro",B_WalkTime,0),IF(BA307="Büro",B_WalkTime,0))+IF(R307&gt;B_Pause2Nach,B_Pause2Dauer,0)),0)</f>
        <v>0</v>
      </c>
      <c r="U307" s="113">
        <f>IF(T307&gt;S307,T307-S307,0)</f>
        <v>0</v>
      </c>
      <c r="V307" s="146">
        <f>IF(F307="S",Z307,(IF((R307-U307)&gt;XWorkTimeMax,XWorkTimeMax,IF((R307-U307)&gt;0,R307-U307,0))))</f>
        <v>0</v>
      </c>
      <c r="W307" s="66"/>
      <c r="X307" s="115">
        <f>xNoWorkTime</f>
        <v>4.027777777777778E-2</v>
      </c>
      <c r="Y307" s="110">
        <f>IF(AND((AM307&lt;Feiertag),(G307&lt;&gt;85)),IF(OR(F307="B",F307="G",F307="S",H307&gt;0),H307-H307+Z307,0),0)</f>
        <v>0</v>
      </c>
      <c r="Z307" s="111">
        <f>IF(AND(AM307&gt;0,AM307&lt;Feiertag),INDEX(Arbeitszeit,AM307),"")</f>
        <v>0</v>
      </c>
      <c r="AA307" s="112">
        <f>V307-Y307</f>
        <v>0</v>
      </c>
      <c r="AB307" s="67" t="str">
        <f>IF((V307-Y307)&lt;0,"*","")</f>
        <v/>
      </c>
      <c r="AC307" s="193">
        <f>xOverTime</f>
        <v>0</v>
      </c>
      <c r="AD307" s="144" t="str">
        <f>IF((R307-U307)&gt;XWorkTimeMax,(R307-U307-XWorkTimeMax),"")</f>
        <v/>
      </c>
      <c r="AE307" s="225">
        <f>IF(AW307,(AE306+SUM(AA307)+(IF(AG307="+",AF307,-AF307))),)</f>
        <v>0</v>
      </c>
      <c r="AF307" s="110"/>
      <c r="AG307" s="627"/>
      <c r="AH307" s="110"/>
      <c r="AI307" s="110" t="str">
        <f>IF(AND(AF307&lt;&gt;"",AF307&lt;=V307),V307-AF307,"")</f>
        <v/>
      </c>
      <c r="AJ307" s="68">
        <f>IF(ISNUMBER(V307 ), IF( V307 &gt;= Y307, Y307, V307 ),"")</f>
        <v>0</v>
      </c>
      <c r="AK307" s="68">
        <f>IF( ISNUMBER( V307 ), IF( V307 &gt;= Y307, V307 - Y307, "" ), "" )</f>
        <v>0</v>
      </c>
      <c r="AL307" s="68" t="str">
        <f>IF( AND(ISNUMBER( V307 ),ISNUMBER( Y307 )), IF( V307 &gt;= Y307, "", Y307 - V307 ), "" )</f>
        <v/>
      </c>
      <c r="AM307">
        <f>IF(A307="",0,IF(ISERROR(VLOOKUP(A307,db_Feiertag,2,FALSE)),WEEKDAY(A307,2),Feiertag))</f>
        <v>7</v>
      </c>
      <c r="AN307" s="122">
        <f>SUM($AD$6:AD307)</f>
        <v>0</v>
      </c>
      <c r="AO307" s="122">
        <f ca="1">IF(D307=D306,AO306,OFFSET(AO307,-1,COLUMN(db_jSaldoGes)-COLUMN()))</f>
        <v>0</v>
      </c>
      <c r="AP307" s="126">
        <f>IF(OR($G307=-1,$G307=82),-1,IF(OR($G307=0,$G307=83),1,0))</f>
        <v>0</v>
      </c>
      <c r="AQ307" s="126">
        <f>IF($F307=Krank,1,IF($F307="J",-1,0))</f>
        <v>0</v>
      </c>
      <c r="AR307" s="126">
        <f>IF($F307=Urlaub,1,IF($F307="T",-1,0))</f>
        <v>0</v>
      </c>
      <c r="AS307" s="125">
        <f>IF(A307="","",AS306-IF(F307=Urlaub,1,0)+IF(AND(MONTH(A307)=1,DAY(A307)=1),B_UrlaubNeu,0))</f>
        <v>30</v>
      </c>
      <c r="AT307" s="125">
        <f ca="1">IF(A307="","",IF(D307=D306,AT306,OFFSET(AT307,-1,COLUMN(db_jUrlRest)-COLUMN()))+IF(AND(MONTH(A307)=1,DAY(A307)=1),B_UrlaubNeu,0))</f>
        <v>30</v>
      </c>
      <c r="AU307" s="135">
        <f>(IF(ISNUMBER(V307),V307,0)+IF(ISNUMBER(AD307),AD307,0))*24</f>
        <v>0</v>
      </c>
      <c r="AV307" s="125">
        <f>IF(ISNUMBER(AD307),K_ArbeitOverMax,IF(AND(ISNUMBER(AA307),AA307&gt;0),K_ArbeitOverTime,IF(AND(ISNUMBER(V307),V307&gt;0),K_ArbeitNormal,IF(F307=Krank,K_Krank,IF(F307=Urlaub,K_Urlaub,IF(AM307=Feiertag,K_Feiertag,IF(OR(AM307=6,AM307=7),K_Wochenende,0)))))))+IF(F307=Gleittag,K_Gleittag,0)</f>
        <v>7</v>
      </c>
      <c r="AW307" t="b">
        <f>OR((F307&gt;0),(NOT(ISBLANK(H307))),SUM(H307:H$373),SUM(G307:G$373))</f>
        <v>0</v>
      </c>
      <c r="AX307" t="b">
        <f ca="1">INDIRECT(ADDRESS(ROW(),COLUMN(xDay)))&gt;5</f>
        <v>1</v>
      </c>
      <c r="AY307" s="600">
        <f>IF(OR(R307&lt;&gt;0,F307&lt;&gt;0),AA307,IF(Z307="",0,-Z307))+(IF(AG307="+",AF307,-AF307))</f>
        <v>0</v>
      </c>
      <c r="AZ307" s="225">
        <f>SUM(AY$5:AY307)</f>
        <v>-60.374999999999822</v>
      </c>
      <c r="BA307" s="643"/>
      <c r="BB307" s="658">
        <f>IF(ISNA(MATCH(BA307,B_Arbeitsort,0)),0,MATCH(BA307,B_Arbeitsort,0))</f>
        <v>0</v>
      </c>
      <c r="BC307" s="643"/>
    </row>
    <row r="308" spans="1:55" ht="15.75">
      <c r="A308" s="305">
        <f>IF(A307="","",IF((A307+1)&gt;=DATE(YEAR(xJahr)+1,MONTH(xJahr),DAY(xJahr)),"",A307+1))</f>
        <v>43767</v>
      </c>
      <c r="B308" s="306">
        <f>IF(A308="","",A308)</f>
        <v>43767</v>
      </c>
      <c r="C308" s="307">
        <f>IF(A308="","",NumberOfWeek(A308))</f>
        <v>44</v>
      </c>
      <c r="D308" s="308">
        <f>IF(A308="","",DATE(YEAR(A308),MONTH(A308),1))</f>
        <v>43738</v>
      </c>
      <c r="E308" s="318" t="str">
        <f>IF((R308-U308)&gt;XWorkTimeMax,$Z$4,IF(AV308=Feiertag,VLOOKUP(B308,db_Feiertag,2,FALSE),""))</f>
        <v/>
      </c>
      <c r="F308" s="5"/>
      <c r="G308" s="6" t="str">
        <f>IF(ISBLANK(F308),IF(ISBLANK(H308),"",0),CODE(UPPER(F308)))</f>
        <v/>
      </c>
      <c r="H308" s="7"/>
      <c r="I308" s="7">
        <f>IF(H308&gt;0,H308+Y308+X308+AC308,0)</f>
        <v>0</v>
      </c>
      <c r="J308" s="113">
        <f>IF(K308&gt;I308,IF(I308&lt;H308,I308+1,I308)-B_WalkTime,IF(I308&lt;H308,I308+1,I308))</f>
        <v>0</v>
      </c>
      <c r="K308" s="7"/>
      <c r="L308" s="7">
        <f>IF(K308&gt;0,K308+IF((J308-H308)&lt;Y308,Y308-(J308-H308),TIME(0,10,0))+IF((K308-J308)&gt;xNoWorkTime,0,xNoWorkTime-(K308-J308)),0)</f>
        <v>0</v>
      </c>
      <c r="M308" s="113">
        <f>IF(L308&lt;K308,L308+1,L308)</f>
        <v>0</v>
      </c>
      <c r="N308" s="113"/>
      <c r="O308" s="113">
        <f>IF(N308&gt;0,N308+IF((J308-H308+M308-K308)&lt;Y308,Y308-(J308-H308+M308-K308),TIME(0,10,0))+IF((K308-J308+N308-M308)&gt;xNoWorkTime,0,xNoWorkTime-(K308-J308+N308-M308)),0)</f>
        <v>0</v>
      </c>
      <c r="P308" s="113"/>
      <c r="Q308" s="113">
        <f>IF(O308&lt;N308,O308+1,O308)</f>
        <v>0</v>
      </c>
      <c r="R308" s="113">
        <f>J308-H308+M308-K308+Q308-N308</f>
        <v>0</v>
      </c>
      <c r="S308" s="113">
        <f>IF(K308&gt;0,K308-I308,0)+IF(N308&gt;0,N308-L308)</f>
        <v>0</v>
      </c>
      <c r="T308" s="113">
        <f>IF(H308&gt;0,(IF(R308&gt;B_Pause1Nach,B_Pause1Dauer+IF(BA308="Büro",B_WalkTime,0),IF(BA308="Büro",B_WalkTime,0))+IF(R308&gt;B_Pause2Nach,B_Pause2Dauer,0)),0)</f>
        <v>0</v>
      </c>
      <c r="U308" s="113">
        <f>IF(T308&gt;S308,T308-S308,0)</f>
        <v>0</v>
      </c>
      <c r="V308" s="146">
        <f>IF(F308="S",Z308,(IF((R308-U308)&gt;XWorkTimeMax,XWorkTimeMax,IF((R308-U308)&gt;0,R308-U308,0))))</f>
        <v>0</v>
      </c>
      <c r="W308" s="66"/>
      <c r="X308" s="115">
        <f>xNoWorkTime</f>
        <v>4.027777777777778E-2</v>
      </c>
      <c r="Y308" s="110">
        <f>IF(AND((AM308&lt;Feiertag),(G308&lt;&gt;85)),IF(OR(F308="B",F308="G",F308="S",H308&gt;0),H308-H308+Z308,0),0)</f>
        <v>0</v>
      </c>
      <c r="Z308" s="111">
        <f>IF(AND(AM308&gt;0,AM308&lt;Feiertag),INDEX(Arbeitszeit,AM308),"")</f>
        <v>0.29166666666666669</v>
      </c>
      <c r="AA308" s="112">
        <f>V308-Y308</f>
        <v>0</v>
      </c>
      <c r="AB308" s="67" t="str">
        <f>IF((V308-Y308)&lt;0,"*","")</f>
        <v/>
      </c>
      <c r="AC308" s="193">
        <f>xOverTime</f>
        <v>0</v>
      </c>
      <c r="AD308" s="144" t="str">
        <f>IF((R308-U308)&gt;XWorkTimeMax,(R308-U308-XWorkTimeMax),"")</f>
        <v/>
      </c>
      <c r="AE308" s="225">
        <f>IF(AW308,(AE307+SUM(AA308)+(IF(AG308="+",AF308,-AF308))),)</f>
        <v>0</v>
      </c>
      <c r="AF308" s="110"/>
      <c r="AG308" s="627"/>
      <c r="AH308" s="110"/>
      <c r="AI308" s="110" t="str">
        <f>IF(AND(AF308&lt;&gt;"",AF308&lt;=V308),V308-AF308,"")</f>
        <v/>
      </c>
      <c r="AJ308" s="68">
        <f>IF(ISNUMBER(V308 ), IF( V308 &gt;= Y308, Y308, V308 ),"")</f>
        <v>0</v>
      </c>
      <c r="AK308" s="68">
        <f>IF( ISNUMBER( V308 ), IF( V308 &gt;= Y308, V308 - Y308, "" ), "" )</f>
        <v>0</v>
      </c>
      <c r="AL308" s="68" t="str">
        <f>IF( AND(ISNUMBER( V308 ),ISNUMBER( Y308 )), IF( V308 &gt;= Y308, "", Y308 - V308 ), "" )</f>
        <v/>
      </c>
      <c r="AM308">
        <f>IF(A308="",0,IF(ISERROR(VLOOKUP(A308,db_Feiertag,2,FALSE)),WEEKDAY(A308,2),Feiertag))</f>
        <v>1</v>
      </c>
      <c r="AN308" s="122">
        <f>SUM($AD$6:AD308)</f>
        <v>0</v>
      </c>
      <c r="AO308" s="122">
        <f ca="1">IF(D308=D307,AO307,OFFSET(AO308,-1,COLUMN(db_jSaldoGes)-COLUMN()))</f>
        <v>0</v>
      </c>
      <c r="AP308" s="126">
        <f>IF(OR($G308=-1,$G308=82),-1,IF(OR($G308=0,$G308=83),1,0))</f>
        <v>0</v>
      </c>
      <c r="AQ308" s="126">
        <f>IF($F308=Krank,1,IF($F308="J",-1,0))</f>
        <v>0</v>
      </c>
      <c r="AR308" s="126">
        <f>IF($F308=Urlaub,1,IF($F308="T",-1,0))</f>
        <v>0</v>
      </c>
      <c r="AS308" s="125">
        <f>IF(A308="","",AS307-IF(F308=Urlaub,1,0)+IF(AND(MONTH(A308)=1,DAY(A308)=1),B_UrlaubNeu,0))</f>
        <v>30</v>
      </c>
      <c r="AT308" s="125">
        <f ca="1">IF(A308="","",IF(D308=D307,AT307,OFFSET(AT308,-1,COLUMN(db_jUrlRest)-COLUMN()))+IF(AND(MONTH(A308)=1,DAY(A308)=1),B_UrlaubNeu,0))</f>
        <v>30</v>
      </c>
      <c r="AU308" s="135">
        <f>(IF(ISNUMBER(V308),V308,0)+IF(ISNUMBER(AD308),AD308,0))*24</f>
        <v>0</v>
      </c>
      <c r="AV308" s="125">
        <f>IF(ISNUMBER(AD308),K_ArbeitOverMax,IF(AND(ISNUMBER(AA308),AA308&gt;0),K_ArbeitOverTime,IF(AND(ISNUMBER(V308),V308&gt;0),K_ArbeitNormal,IF(F308=Krank,K_Krank,IF(F308=Urlaub,K_Urlaub,IF(AM308=Feiertag,K_Feiertag,IF(OR(AM308=6,AM308=7),K_Wochenende,0)))))))+IF(F308=Gleittag,K_Gleittag,0)</f>
        <v>0</v>
      </c>
      <c r="AW308" t="b">
        <f>OR((F308&gt;0),(NOT(ISBLANK(H308))),SUM(H308:H$373),SUM(G308:G$373))</f>
        <v>0</v>
      </c>
      <c r="AX308" t="b">
        <f ca="1">INDIRECT(ADDRESS(ROW(),COLUMN(xDay)))&gt;5</f>
        <v>0</v>
      </c>
      <c r="AY308" s="600">
        <f>IF(OR(R308&lt;&gt;0,F308&lt;&gt;0),AA308,IF(Z308="",0,-Z308))+(IF(AG308="+",AF308,-AF308))</f>
        <v>-0.29166666666666669</v>
      </c>
      <c r="AZ308" s="225">
        <f>SUM(AY$5:AY308)</f>
        <v>-60.666666666666487</v>
      </c>
      <c r="BA308" s="658"/>
      <c r="BB308" s="658">
        <f>IF(ISNA(MATCH(BA308,B_Arbeitsort,0)),0,MATCH(BA308,B_Arbeitsort,0))</f>
        <v>0</v>
      </c>
      <c r="BC308" s="658"/>
    </row>
    <row r="309" spans="1:55" ht="15.75">
      <c r="A309" s="305">
        <f>IF(A308="","",IF((A308+1)&gt;=DATE(YEAR(xJahr)+1,MONTH(xJahr),DAY(xJahr)),"",A308+1))</f>
        <v>43768</v>
      </c>
      <c r="B309" s="306">
        <f>IF(A309="","",A309)</f>
        <v>43768</v>
      </c>
      <c r="C309" s="307">
        <f>IF(A309="","",NumberOfWeek(A309))</f>
        <v>44</v>
      </c>
      <c r="D309" s="308">
        <f>IF(A309="","",DATE(YEAR(A309),MONTH(A309),1))</f>
        <v>43738</v>
      </c>
      <c r="E309" s="318" t="str">
        <f>IF((R309-U309)&gt;XWorkTimeMax,$Z$4,IF(AV309=Feiertag,VLOOKUP(B309,db_Feiertag,2,FALSE),""))</f>
        <v/>
      </c>
      <c r="F309" s="5"/>
      <c r="G309" s="6" t="str">
        <f>IF(ISBLANK(F309),IF(ISBLANK(H309),"",0),CODE(UPPER(F309)))</f>
        <v/>
      </c>
      <c r="H309" s="7"/>
      <c r="I309" s="7">
        <f>IF(H309&gt;0,H309+Y309+X309+AC309,0)</f>
        <v>0</v>
      </c>
      <c r="J309" s="113">
        <f>IF(K309&gt;I309,IF(I309&lt;H309,I309+1,I309)-B_WalkTime,IF(I309&lt;H309,I309+1,I309))</f>
        <v>0</v>
      </c>
      <c r="K309" s="7"/>
      <c r="L309" s="7">
        <f>IF(K309&gt;0,K309+IF((J309-H309)&lt;Y309,Y309-(J309-H309),TIME(0,10,0))+IF((K309-J309)&gt;xNoWorkTime,0,xNoWorkTime-(K309-J309)),0)</f>
        <v>0</v>
      </c>
      <c r="M309" s="113">
        <f>IF(L309&lt;K309,L309+1,L309)</f>
        <v>0</v>
      </c>
      <c r="N309" s="113"/>
      <c r="O309" s="113">
        <f>IF(N309&gt;0,N309+IF((J309-H309+M309-K309)&lt;Y309,Y309-(J309-H309+M309-K309),TIME(0,10,0))+IF((K309-J309+N309-M309)&gt;xNoWorkTime,0,xNoWorkTime-(K309-J309+N309-M309)),0)</f>
        <v>0</v>
      </c>
      <c r="P309" s="113"/>
      <c r="Q309" s="113">
        <f>IF(O309&lt;N309,O309+1,O309)</f>
        <v>0</v>
      </c>
      <c r="R309" s="113">
        <f>J309-H309+M309-K309+Q309-N309</f>
        <v>0</v>
      </c>
      <c r="S309" s="113">
        <f>IF(K309&gt;0,K309-I309,0)+IF(N309&gt;0,N309-L309)</f>
        <v>0</v>
      </c>
      <c r="T309" s="113">
        <f>IF(H309&gt;0,(IF(R309&gt;B_Pause1Nach,B_Pause1Dauer+IF(BA309="Büro",B_WalkTime,0),IF(BA309="Büro",B_WalkTime,0))+IF(R309&gt;B_Pause2Nach,B_Pause2Dauer,0)),0)</f>
        <v>0</v>
      </c>
      <c r="U309" s="113">
        <f>IF(T309&gt;S309,T309-S309,0)</f>
        <v>0</v>
      </c>
      <c r="V309" s="146">
        <f>IF(F309="S",Z309,(IF((R309-U309)&gt;XWorkTimeMax,XWorkTimeMax,IF((R309-U309)&gt;0,R309-U309,0))))</f>
        <v>0</v>
      </c>
      <c r="W309" s="66"/>
      <c r="X309" s="115">
        <f>xNoWorkTime</f>
        <v>4.027777777777778E-2</v>
      </c>
      <c r="Y309" s="110">
        <f>IF(AND((AM309&lt;Feiertag),(G309&lt;&gt;85)),IF(OR(F309="B",F309="G",F309="S",H309&gt;0),H309-H309+Z309,0),0)</f>
        <v>0</v>
      </c>
      <c r="Z309" s="111">
        <f>IF(AND(AM309&gt;0,AM309&lt;Feiertag),INDEX(Arbeitszeit,AM309),"")</f>
        <v>0.29166666666666669</v>
      </c>
      <c r="AA309" s="112">
        <f>V309-Y309</f>
        <v>0</v>
      </c>
      <c r="AB309" s="67" t="str">
        <f>IF((V309-Y309)&lt;0,"*","")</f>
        <v/>
      </c>
      <c r="AC309" s="193">
        <f>xOverTime</f>
        <v>0</v>
      </c>
      <c r="AD309" s="144" t="str">
        <f>IF((R309-U309)&gt;XWorkTimeMax,(R309-U309-XWorkTimeMax),"")</f>
        <v/>
      </c>
      <c r="AE309" s="225">
        <f>IF(AW309,(AE308+SUM(AA309)+(IF(AG309="+",AF309,-AF309))),)</f>
        <v>0</v>
      </c>
      <c r="AF309" s="110"/>
      <c r="AG309" s="627"/>
      <c r="AH309" s="110"/>
      <c r="AI309" s="110" t="str">
        <f>IF(AND(AF309&lt;&gt;"",AF309&lt;=V309),V309-AF309,"")</f>
        <v/>
      </c>
      <c r="AJ309" s="68">
        <f>IF(ISNUMBER(V309 ), IF( V309 &gt;= Y309, Y309, V309 ),"")</f>
        <v>0</v>
      </c>
      <c r="AK309" s="68">
        <f>IF( ISNUMBER( V309 ), IF( V309 &gt;= Y309, V309 - Y309, "" ), "" )</f>
        <v>0</v>
      </c>
      <c r="AL309" s="68" t="str">
        <f>IF( AND(ISNUMBER( V309 ),ISNUMBER( Y309 )), IF( V309 &gt;= Y309, "", Y309 - V309 ), "" )</f>
        <v/>
      </c>
      <c r="AM309">
        <f>IF(A309="",0,IF(ISERROR(VLOOKUP(A309,db_Feiertag,2,FALSE)),WEEKDAY(A309,2),Feiertag))</f>
        <v>2</v>
      </c>
      <c r="AN309" s="122">
        <f>SUM($AD$6:AD309)</f>
        <v>0</v>
      </c>
      <c r="AO309" s="122">
        <f ca="1">IF(D309=D308,AO308,OFFSET(AO309,-1,COLUMN(db_jSaldoGes)-COLUMN()))</f>
        <v>0</v>
      </c>
      <c r="AP309" s="126">
        <f>IF(OR($G309=-1,$G309=82),-1,IF(OR($G309=0,$G309=83),1,0))</f>
        <v>0</v>
      </c>
      <c r="AQ309" s="126">
        <f>IF($F309=Krank,1,IF($F309="J",-1,0))</f>
        <v>0</v>
      </c>
      <c r="AR309" s="126">
        <f>IF($F309=Urlaub,1,IF($F309="T",-1,0))</f>
        <v>0</v>
      </c>
      <c r="AS309" s="125">
        <f>IF(A309="","",AS308-IF(F309=Urlaub,1,0)+IF(AND(MONTH(A309)=1,DAY(A309)=1),B_UrlaubNeu,0))</f>
        <v>30</v>
      </c>
      <c r="AT309" s="125">
        <f ca="1">IF(A309="","",IF(D309=D308,AT308,OFFSET(AT309,-1,COLUMN(db_jUrlRest)-COLUMN()))+IF(AND(MONTH(A309)=1,DAY(A309)=1),B_UrlaubNeu,0))</f>
        <v>30</v>
      </c>
      <c r="AU309" s="135">
        <f>(IF(ISNUMBER(V309),V309,0)+IF(ISNUMBER(AD309),AD309,0))*24</f>
        <v>0</v>
      </c>
      <c r="AV309" s="125">
        <f>IF(ISNUMBER(AD309),K_ArbeitOverMax,IF(AND(ISNUMBER(AA309),AA309&gt;0),K_ArbeitOverTime,IF(AND(ISNUMBER(V309),V309&gt;0),K_ArbeitNormal,IF(F309=Krank,K_Krank,IF(F309=Urlaub,K_Urlaub,IF(AM309=Feiertag,K_Feiertag,IF(OR(AM309=6,AM309=7),K_Wochenende,0)))))))+IF(F309=Gleittag,K_Gleittag,0)</f>
        <v>0</v>
      </c>
      <c r="AW309" t="b">
        <f>OR((F309&gt;0),(NOT(ISBLANK(H309))),SUM(H309:H$373),SUM(G309:G$373))</f>
        <v>0</v>
      </c>
      <c r="AX309" t="b">
        <f ca="1">INDIRECT(ADDRESS(ROW(),COLUMN(xDay)))&gt;5</f>
        <v>0</v>
      </c>
      <c r="AY309" s="600">
        <f>IF(OR(R309&lt;&gt;0,F309&lt;&gt;0),AA309,IF(Z309="",0,-Z309))+(IF(AG309="+",AF309,-AF309))</f>
        <v>-0.29166666666666669</v>
      </c>
      <c r="AZ309" s="225">
        <f>SUM(AY$5:AY309)</f>
        <v>-60.958333333333151</v>
      </c>
      <c r="BA309" s="658"/>
      <c r="BB309" s="658">
        <f>IF(ISNA(MATCH(BA309,B_Arbeitsort,0)),0,MATCH(BA309,B_Arbeitsort,0))</f>
        <v>0</v>
      </c>
      <c r="BC309" s="658"/>
    </row>
    <row r="310" spans="1:55" ht="15.75">
      <c r="A310" s="305">
        <f>IF(A309="","",IF((A309+1)&gt;=DATE(YEAR(xJahr)+1,MONTH(xJahr),DAY(xJahr)),"",A309+1))</f>
        <v>43769</v>
      </c>
      <c r="B310" s="306">
        <f>IF(A310="","",A310)</f>
        <v>43769</v>
      </c>
      <c r="C310" s="307">
        <f>IF(A310="","",NumberOfWeek(A310))</f>
        <v>44</v>
      </c>
      <c r="D310" s="308">
        <f>IF(A310="","",DATE(YEAR(A310),MONTH(A310),1))</f>
        <v>43769</v>
      </c>
      <c r="E310" s="318" t="str">
        <f>IF((R310-U310)&gt;XWorkTimeMax,$Z$4,IF(AV310=Feiertag,VLOOKUP(B310,db_Feiertag,2,FALSE),""))</f>
        <v>Allerheiligen</v>
      </c>
      <c r="F310" s="5"/>
      <c r="G310" s="6" t="str">
        <f>IF(ISBLANK(F310),IF(ISBLANK(H310),"",0),CODE(UPPER(F310)))</f>
        <v/>
      </c>
      <c r="H310" s="7"/>
      <c r="I310" s="7">
        <f>IF(H310&gt;0,H310+Y310+X310+AC310,0)</f>
        <v>0</v>
      </c>
      <c r="J310" s="113">
        <f>IF(K310&gt;I310,IF(I310&lt;H310,I310+1,I310)-B_WalkTime,IF(I310&lt;H310,I310+1,I310))</f>
        <v>0</v>
      </c>
      <c r="K310" s="7"/>
      <c r="L310" s="7">
        <f>IF(K310&gt;0,K310+IF((J310-H310)&lt;Y310,Y310-(J310-H310),TIME(0,10,0))+IF((K310-J310)&gt;xNoWorkTime,0,xNoWorkTime-(K310-J310)),0)</f>
        <v>0</v>
      </c>
      <c r="M310" s="113">
        <f>IF(L310&lt;K310,L310+1,L310)</f>
        <v>0</v>
      </c>
      <c r="N310" s="113"/>
      <c r="O310" s="113">
        <f>IF(N310&gt;0,N310+IF((J310-H310+M310-K310)&lt;Y310,Y310-(J310-H310+M310-K310),TIME(0,10,0))+IF((K310-J310+N310-M310)&gt;xNoWorkTime,0,xNoWorkTime-(K310-J310+N310-M310)),0)</f>
        <v>0</v>
      </c>
      <c r="P310" s="113"/>
      <c r="Q310" s="113">
        <f>IF(O310&lt;N310,O310+1,O310)</f>
        <v>0</v>
      </c>
      <c r="R310" s="113">
        <f>J310-H310+M310-K310+Q310-N310</f>
        <v>0</v>
      </c>
      <c r="S310" s="113">
        <f>IF(K310&gt;0,K310-I310,0)+IF(N310&gt;0,N310-L310)</f>
        <v>0</v>
      </c>
      <c r="T310" s="113">
        <f>IF(H310&gt;0,(IF(R310&gt;B_Pause1Nach,B_Pause1Dauer+IF(BA310="Büro",B_WalkTime,0),IF(BA310="Büro",B_WalkTime,0))+IF(R310&gt;B_Pause2Nach,B_Pause2Dauer,0)),0)</f>
        <v>0</v>
      </c>
      <c r="U310" s="113">
        <f>IF(T310&gt;S310,T310-S310,0)</f>
        <v>0</v>
      </c>
      <c r="V310" s="146">
        <f>IF(F310="S",Z310,(IF((R310-U310)&gt;XWorkTimeMax,XWorkTimeMax,IF((R310-U310)&gt;0,R310-U310,0))))</f>
        <v>0</v>
      </c>
      <c r="W310" s="66"/>
      <c r="X310" s="115">
        <f>xNoWorkTime</f>
        <v>4.027777777777778E-2</v>
      </c>
      <c r="Y310" s="110">
        <f>IF(AND((AM310&lt;Feiertag),(G310&lt;&gt;85)),IF(OR(F310="B",F310="G",F310="S",H310&gt;0),H310-H310+Z310,0),0)</f>
        <v>0</v>
      </c>
      <c r="Z310" s="111" t="str">
        <f>IF(AND(AM310&gt;0,AM310&lt;Feiertag),INDEX(Arbeitszeit,AM310),"")</f>
        <v/>
      </c>
      <c r="AA310" s="112">
        <f>V310-Y310</f>
        <v>0</v>
      </c>
      <c r="AB310" s="67" t="str">
        <f>IF((V310-Y310)&lt;0,"*","")</f>
        <v/>
      </c>
      <c r="AC310" s="193">
        <f>xOverTime</f>
        <v>0</v>
      </c>
      <c r="AD310" s="144" t="str">
        <f>IF((R310-U310)&gt;XWorkTimeMax,(R310-U310-XWorkTimeMax),"")</f>
        <v/>
      </c>
      <c r="AE310" s="225">
        <f>IF(AW310,(AE309+SUM(AA310)+(IF(AG310="+",AF310,-AF310))),)</f>
        <v>0</v>
      </c>
      <c r="AF310" s="110"/>
      <c r="AG310" s="627"/>
      <c r="AH310" s="110"/>
      <c r="AI310" s="110" t="str">
        <f>IF(AND(AF310&lt;&gt;"",AF310&lt;=V310),V310-AF310,"")</f>
        <v/>
      </c>
      <c r="AJ310" s="68">
        <f>IF(ISNUMBER(V310 ), IF( V310 &gt;= Y310, Y310, V310 ),"")</f>
        <v>0</v>
      </c>
      <c r="AK310" s="68">
        <f>IF( ISNUMBER( V310 ), IF( V310 &gt;= Y310, V310 - Y310, "" ), "" )</f>
        <v>0</v>
      </c>
      <c r="AL310" s="68" t="str">
        <f>IF( AND(ISNUMBER( V310 ),ISNUMBER( Y310 )), IF( V310 &gt;= Y310, "", Y310 - V310 ), "" )</f>
        <v/>
      </c>
      <c r="AM310">
        <f>IF(A310="",0,IF(ISERROR(VLOOKUP(A310,db_Feiertag,2,FALSE)),WEEKDAY(A310,2),Feiertag))</f>
        <v>8</v>
      </c>
      <c r="AN310" s="122">
        <f>SUM($AD$6:AD310)</f>
        <v>0</v>
      </c>
      <c r="AO310" s="122">
        <f ca="1">IF(D310=D309,AO309,OFFSET(AO310,-1,COLUMN(db_jSaldoGes)-COLUMN()))</f>
        <v>0</v>
      </c>
      <c r="AP310" s="126">
        <f>IF(OR($G310=-1,$G310=82),-1,IF(OR($G310=0,$G310=83),1,0))</f>
        <v>0</v>
      </c>
      <c r="AQ310" s="126">
        <f>IF($F310=Krank,1,IF($F310="J",-1,0))</f>
        <v>0</v>
      </c>
      <c r="AR310" s="126">
        <f>IF($F310=Urlaub,1,IF($F310="T",-1,0))</f>
        <v>0</v>
      </c>
      <c r="AS310" s="125">
        <f>IF(A310="","",AS309-IF(F310=Urlaub,1,0)+IF(AND(MONTH(A310)=1,DAY(A310)=1),B_UrlaubNeu,0))</f>
        <v>30</v>
      </c>
      <c r="AT310" s="125">
        <f ca="1">IF(A310="","",IF(D310=D309,AT309,OFFSET(AT310,-1,COLUMN(db_jUrlRest)-COLUMN()))+IF(AND(MONTH(A310)=1,DAY(A310)=1),B_UrlaubNeu,0))</f>
        <v>30</v>
      </c>
      <c r="AU310" s="135">
        <f>(IF(ISNUMBER(V310),V310,0)+IF(ISNUMBER(AD310),AD310,0))*24</f>
        <v>0</v>
      </c>
      <c r="AV310" s="125">
        <f>IF(ISNUMBER(AD310),K_ArbeitOverMax,IF(AND(ISNUMBER(AA310),AA310&gt;0),K_ArbeitOverTime,IF(AND(ISNUMBER(V310),V310&gt;0),K_ArbeitNormal,IF(F310=Krank,K_Krank,IF(F310=Urlaub,K_Urlaub,IF(AM310=Feiertag,K_Feiertag,IF(OR(AM310=6,AM310=7),K_Wochenende,0)))))))+IF(F310=Gleittag,K_Gleittag,0)</f>
        <v>8</v>
      </c>
      <c r="AW310" t="b">
        <f>OR((F310&gt;0),(NOT(ISBLANK(H310))),SUM(H310:H$373),SUM(G310:G$373))</f>
        <v>0</v>
      </c>
      <c r="AX310" t="b">
        <f ca="1">INDIRECT(ADDRESS(ROW(),COLUMN(xDay)))&gt;5</f>
        <v>1</v>
      </c>
      <c r="AY310" s="600">
        <f>IF(OR(R310&lt;&gt;0,F310&lt;&gt;0),AA310,IF(Z310="",0,-Z310))+(IF(AG310="+",AF310,-AF310))</f>
        <v>0</v>
      </c>
      <c r="AZ310" s="225">
        <f>SUM(AY$5:AY310)</f>
        <v>-60.958333333333151</v>
      </c>
      <c r="BA310" s="643"/>
      <c r="BB310" s="658">
        <f>IF(ISNA(MATCH(BA310,B_Arbeitsort,0)),0,MATCH(BA310,B_Arbeitsort,0))</f>
        <v>0</v>
      </c>
      <c r="BC310" s="643"/>
    </row>
    <row r="311" spans="1:55" ht="15.75">
      <c r="A311" s="305">
        <f>IF(A310="","",IF((A310+1)&gt;=DATE(YEAR(xJahr)+1,MONTH(xJahr),DAY(xJahr)),"",A310+1))</f>
        <v>43770</v>
      </c>
      <c r="B311" s="306">
        <f>IF(A311="","",A311)</f>
        <v>43770</v>
      </c>
      <c r="C311" s="307">
        <f>IF(A311="","",NumberOfWeek(A311))</f>
        <v>44</v>
      </c>
      <c r="D311" s="308">
        <f>IF(A311="","",DATE(YEAR(A311),MONTH(A311),1))</f>
        <v>43769</v>
      </c>
      <c r="E311" s="318" t="str">
        <f>IF((R311-U311)&gt;XWorkTimeMax,$Z$4,IF(AV311=Feiertag,VLOOKUP(B311,db_Feiertag,2,FALSE),""))</f>
        <v/>
      </c>
      <c r="F311" s="5"/>
      <c r="G311" s="6" t="str">
        <f>IF(ISBLANK(F311),IF(ISBLANK(H311),"",0),CODE(UPPER(F311)))</f>
        <v/>
      </c>
      <c r="H311" s="7"/>
      <c r="I311" s="7">
        <f>IF(H311&gt;0,H311+Y311+X311+AC311,0)</f>
        <v>0</v>
      </c>
      <c r="J311" s="113">
        <f>IF(K311&gt;I311,IF(I311&lt;H311,I311+1,I311)-B_WalkTime,IF(I311&lt;H311,I311+1,I311))</f>
        <v>0</v>
      </c>
      <c r="K311" s="7"/>
      <c r="L311" s="7">
        <f>IF(K311&gt;0,K311+IF((J311-H311)&lt;Y311,Y311-(J311-H311),TIME(0,10,0))+IF((K311-J311)&gt;xNoWorkTime,0,xNoWorkTime-(K311-J311)),0)</f>
        <v>0</v>
      </c>
      <c r="M311" s="113">
        <f>IF(L311&lt;K311,L311+1,L311)</f>
        <v>0</v>
      </c>
      <c r="N311" s="113"/>
      <c r="O311" s="113">
        <f>IF(N311&gt;0,N311+IF((J311-H311+M311-K311)&lt;Y311,Y311-(J311-H311+M311-K311),TIME(0,10,0))+IF((K311-J311+N311-M311)&gt;xNoWorkTime,0,xNoWorkTime-(K311-J311+N311-M311)),0)</f>
        <v>0</v>
      </c>
      <c r="P311" s="113"/>
      <c r="Q311" s="113">
        <f>IF(O311&lt;N311,O311+1,O311)</f>
        <v>0</v>
      </c>
      <c r="R311" s="113">
        <f>J311-H311+M311-K311+Q311-N311</f>
        <v>0</v>
      </c>
      <c r="S311" s="113">
        <f>IF(K311&gt;0,K311-I311,0)+IF(N311&gt;0,N311-L311)</f>
        <v>0</v>
      </c>
      <c r="T311" s="113">
        <f>IF(H311&gt;0,(IF(R311&gt;B_Pause1Nach,B_Pause1Dauer+IF(BA311="Büro",B_WalkTime,0),IF(BA311="Büro",B_WalkTime,0))+IF(R311&gt;B_Pause2Nach,B_Pause2Dauer,0)),0)</f>
        <v>0</v>
      </c>
      <c r="U311" s="113">
        <f>IF(T311&gt;S311,T311-S311,0)</f>
        <v>0</v>
      </c>
      <c r="V311" s="146">
        <f>IF(F311="S",Z311,(IF((R311-U311)&gt;XWorkTimeMax,XWorkTimeMax,IF((R311-U311)&gt;0,R311-U311,0))))</f>
        <v>0</v>
      </c>
      <c r="W311" s="66"/>
      <c r="X311" s="115">
        <f>xNoWorkTime</f>
        <v>4.027777777777778E-2</v>
      </c>
      <c r="Y311" s="110">
        <f>IF(AND((AM311&lt;Feiertag),(G311&lt;&gt;85)),IF(OR(F311="B",F311="G",F311="S",H311&gt;0),H311-H311+Z311,0),0)</f>
        <v>0</v>
      </c>
      <c r="Z311" s="111">
        <f>IF(AND(AM311&gt;0,AM311&lt;Feiertag),INDEX(Arbeitszeit,AM311),"")</f>
        <v>0.29166666666666669</v>
      </c>
      <c r="AA311" s="112">
        <f>V311-Y311</f>
        <v>0</v>
      </c>
      <c r="AB311" s="67" t="str">
        <f>IF((V311-Y311)&lt;0,"*","")</f>
        <v/>
      </c>
      <c r="AC311" s="193">
        <f>xOverTime</f>
        <v>0</v>
      </c>
      <c r="AD311" s="144" t="str">
        <f>IF((R311-U311)&gt;XWorkTimeMax,(R311-U311-XWorkTimeMax),"")</f>
        <v/>
      </c>
      <c r="AE311" s="225">
        <f>IF(AW311,(AE310+SUM(AA311)+(IF(AG311="+",AF311,-AF311))),)</f>
        <v>0</v>
      </c>
      <c r="AF311" s="110"/>
      <c r="AG311" s="627"/>
      <c r="AH311" s="110"/>
      <c r="AI311" s="110" t="str">
        <f>IF(AND(AF311&lt;&gt;"",AF311&lt;=V311),V311-AF311,"")</f>
        <v/>
      </c>
      <c r="AJ311" s="68">
        <f>IF(ISNUMBER(V311 ), IF( V311 &gt;= Y311, Y311, V311 ),"")</f>
        <v>0</v>
      </c>
      <c r="AK311" s="68">
        <f>IF( ISNUMBER( V311 ), IF( V311 &gt;= Y311, V311 - Y311, "" ), "" )</f>
        <v>0</v>
      </c>
      <c r="AL311" s="68" t="str">
        <f>IF( AND(ISNUMBER( V311 ),ISNUMBER( Y311 )), IF( V311 &gt;= Y311, "", Y311 - V311 ), "" )</f>
        <v/>
      </c>
      <c r="AM311">
        <f>IF(A311="",0,IF(ISERROR(VLOOKUP(A311,db_Feiertag,2,FALSE)),WEEKDAY(A311,2),Feiertag))</f>
        <v>4</v>
      </c>
      <c r="AN311" s="122">
        <f>SUM($AD$6:AD311)</f>
        <v>0</v>
      </c>
      <c r="AO311" s="122">
        <f ca="1">IF(D311=D310,AO310,OFFSET(AO311,-1,COLUMN(db_jSaldoGes)-COLUMN()))</f>
        <v>0</v>
      </c>
      <c r="AP311" s="126">
        <f>IF(OR($G311=-1,$G311=82),-1,IF(OR($G311=0,$G311=83),1,0))</f>
        <v>0</v>
      </c>
      <c r="AQ311" s="126">
        <f>IF($F311=Krank,1,IF($F311="J",-1,0))</f>
        <v>0</v>
      </c>
      <c r="AR311" s="126">
        <f>IF($F311=Urlaub,1,IF($F311="T",-1,0))</f>
        <v>0</v>
      </c>
      <c r="AS311" s="125">
        <f>IF(A311="","",AS310-IF(F311=Urlaub,1,0)+IF(AND(MONTH(A311)=1,DAY(A311)=1),B_UrlaubNeu,0))</f>
        <v>30</v>
      </c>
      <c r="AT311" s="125">
        <f ca="1">IF(A311="","",IF(D311=D310,AT310,OFFSET(AT311,-1,COLUMN(db_jUrlRest)-COLUMN()))+IF(AND(MONTH(A311)=1,DAY(A311)=1),B_UrlaubNeu,0))</f>
        <v>30</v>
      </c>
      <c r="AU311" s="135">
        <f>(IF(ISNUMBER(V311),V311,0)+IF(ISNUMBER(AD311),AD311,0))*24</f>
        <v>0</v>
      </c>
      <c r="AV311" s="125">
        <f>IF(ISNUMBER(AD311),K_ArbeitOverMax,IF(AND(ISNUMBER(AA311),AA311&gt;0),K_ArbeitOverTime,IF(AND(ISNUMBER(V311),V311&gt;0),K_ArbeitNormal,IF(F311=Krank,K_Krank,IF(F311=Urlaub,K_Urlaub,IF(AM311=Feiertag,K_Feiertag,IF(OR(AM311=6,AM311=7),K_Wochenende,0)))))))+IF(F311=Gleittag,K_Gleittag,0)</f>
        <v>0</v>
      </c>
      <c r="AW311" t="b">
        <f>OR((F311&gt;0),(NOT(ISBLANK(H311))),SUM(H311:H$373),SUM(G311:G$373))</f>
        <v>0</v>
      </c>
      <c r="AX311" t="b">
        <f ca="1">INDIRECT(ADDRESS(ROW(),COLUMN(xDay)))&gt;5</f>
        <v>0</v>
      </c>
      <c r="AY311" s="600">
        <f>IF(OR(R311&lt;&gt;0,F311&lt;&gt;0),AA311,IF(Z311="",0,-Z311))+(IF(AG311="+",AF311,-AF311))</f>
        <v>-0.29166666666666669</v>
      </c>
      <c r="AZ311" s="225">
        <f>SUM(AY$5:AY311)</f>
        <v>-61.249999999999815</v>
      </c>
      <c r="BA311" s="658"/>
      <c r="BB311" s="658">
        <f>IF(ISNA(MATCH(BA311,B_Arbeitsort,0)),0,MATCH(BA311,B_Arbeitsort,0))</f>
        <v>0</v>
      </c>
      <c r="BC311" s="658"/>
    </row>
    <row r="312" spans="1:55" ht="15.75">
      <c r="A312" s="305">
        <f>IF(A311="","",IF((A311+1)&gt;=DATE(YEAR(xJahr)+1,MONTH(xJahr),DAY(xJahr)),"",A311+1))</f>
        <v>43771</v>
      </c>
      <c r="B312" s="306">
        <f>IF(A312="","",A312)</f>
        <v>43771</v>
      </c>
      <c r="C312" s="307">
        <f>IF(A312="","",NumberOfWeek(A312))</f>
        <v>44</v>
      </c>
      <c r="D312" s="308">
        <f>IF(A312="","",DATE(YEAR(A312),MONTH(A312),1))</f>
        <v>43769</v>
      </c>
      <c r="E312" s="318" t="str">
        <f>IF((R312-U312)&gt;XWorkTimeMax,$Z$4,IF(AV312=Feiertag,VLOOKUP(B312,db_Feiertag,2,FALSE),""))</f>
        <v/>
      </c>
      <c r="F312" s="5"/>
      <c r="G312" s="6" t="str">
        <f>IF(ISBLANK(F312),IF(ISBLANK(H312),"",0),CODE(UPPER(F312)))</f>
        <v/>
      </c>
      <c r="H312" s="7"/>
      <c r="I312" s="7">
        <f>IF(H312&gt;0,H312+Y312+X312+AC312,0)</f>
        <v>0</v>
      </c>
      <c r="J312" s="113">
        <f>IF(K312&gt;I312,IF(I312&lt;H312,I312+1,I312)-B_WalkTime,IF(I312&lt;H312,I312+1,I312))</f>
        <v>0</v>
      </c>
      <c r="K312" s="7"/>
      <c r="L312" s="7">
        <f>IF(K312&gt;0,K312+IF((J312-H312)&lt;Y312,Y312-(J312-H312),TIME(0,10,0))+IF((K312-J312)&gt;xNoWorkTime,0,xNoWorkTime-(K312-J312)),0)</f>
        <v>0</v>
      </c>
      <c r="M312" s="113">
        <f>IF(L312&lt;K312,L312+1,L312)</f>
        <v>0</v>
      </c>
      <c r="N312" s="113"/>
      <c r="O312" s="113">
        <f>IF(N312&gt;0,N312+IF((J312-H312+M312-K312)&lt;Y312,Y312-(J312-H312+M312-K312),TIME(0,10,0))+IF((K312-J312+N312-M312)&gt;xNoWorkTime,0,xNoWorkTime-(K312-J312+N312-M312)),0)</f>
        <v>0</v>
      </c>
      <c r="P312" s="113"/>
      <c r="Q312" s="113">
        <f>IF(O312&lt;N312,O312+1,O312)</f>
        <v>0</v>
      </c>
      <c r="R312" s="113">
        <f>J312-H312+M312-K312+Q312-N312</f>
        <v>0</v>
      </c>
      <c r="S312" s="113">
        <f>IF(K312&gt;0,K312-I312,0)+IF(N312&gt;0,N312-L312)</f>
        <v>0</v>
      </c>
      <c r="T312" s="113">
        <f>IF(H312&gt;0,(IF(R312&gt;B_Pause1Nach,B_Pause1Dauer+IF(BA312="Büro",B_WalkTime,0),IF(BA312="Büro",B_WalkTime,0))+IF(R312&gt;B_Pause2Nach,B_Pause2Dauer,0)),0)</f>
        <v>0</v>
      </c>
      <c r="U312" s="113">
        <f>IF(T312&gt;S312,T312-S312,0)</f>
        <v>0</v>
      </c>
      <c r="V312" s="146">
        <f>IF(F312="S",Z312,(IF((R312-U312)&gt;XWorkTimeMax,XWorkTimeMax,IF((R312-U312)&gt;0,R312-U312,0))))</f>
        <v>0</v>
      </c>
      <c r="W312" s="66"/>
      <c r="X312" s="115">
        <f>xNoWorkTime</f>
        <v>4.027777777777778E-2</v>
      </c>
      <c r="Y312" s="110">
        <f>IF(AND((AM312&lt;Feiertag),(G312&lt;&gt;85)),IF(OR(F312="B",F312="G",F312="S",H312&gt;0),H312-H312+Z312,0),0)</f>
        <v>0</v>
      </c>
      <c r="Z312" s="111">
        <f>IF(AND(AM312&gt;0,AM312&lt;Feiertag),INDEX(Arbeitszeit,AM312),"")</f>
        <v>0.29166666666666669</v>
      </c>
      <c r="AA312" s="112">
        <f>V312-Y312</f>
        <v>0</v>
      </c>
      <c r="AB312" s="67" t="str">
        <f>IF((V312-Y312)&lt;0,"*","")</f>
        <v/>
      </c>
      <c r="AC312" s="193">
        <f>xOverTime</f>
        <v>0</v>
      </c>
      <c r="AD312" s="144" t="str">
        <f>IF((R312-U312)&gt;XWorkTimeMax,(R312-U312-XWorkTimeMax),"")</f>
        <v/>
      </c>
      <c r="AE312" s="225">
        <f>IF(AW312,(AE311+SUM(AA312)+(IF(AG312="+",AF312,-AF312))),)</f>
        <v>0</v>
      </c>
      <c r="AF312" s="110"/>
      <c r="AG312" s="627"/>
      <c r="AH312" s="110"/>
      <c r="AI312" s="110" t="str">
        <f>IF(AND(AF312&lt;&gt;"",AF312&lt;=V312),V312-AF312,"")</f>
        <v/>
      </c>
      <c r="AJ312" s="68">
        <f>IF(ISNUMBER(V312 ), IF( V312 &gt;= Y312, Y312, V312 ),"")</f>
        <v>0</v>
      </c>
      <c r="AK312" s="68">
        <f>IF( ISNUMBER( V312 ), IF( V312 &gt;= Y312, V312 - Y312, "" ), "" )</f>
        <v>0</v>
      </c>
      <c r="AL312" s="68" t="str">
        <f>IF( AND(ISNUMBER( V312 ),ISNUMBER( Y312 )), IF( V312 &gt;= Y312, "", Y312 - V312 ), "" )</f>
        <v/>
      </c>
      <c r="AM312">
        <f>IF(A312="",0,IF(ISERROR(VLOOKUP(A312,db_Feiertag,2,FALSE)),WEEKDAY(A312,2),Feiertag))</f>
        <v>5</v>
      </c>
      <c r="AN312" s="122">
        <f>SUM($AD$6:AD312)</f>
        <v>0</v>
      </c>
      <c r="AO312" s="122">
        <f ca="1">IF(D312=D311,AO311,OFFSET(AO312,-1,COLUMN(db_jSaldoGes)-COLUMN()))</f>
        <v>0</v>
      </c>
      <c r="AP312" s="126">
        <f>IF(OR($G312=-1,$G312=82),-1,IF(OR($G312=0,$G312=83),1,0))</f>
        <v>0</v>
      </c>
      <c r="AQ312" s="126">
        <f>IF($F312=Krank,1,IF($F312="J",-1,0))</f>
        <v>0</v>
      </c>
      <c r="AR312" s="126">
        <f>IF($F312=Urlaub,1,IF($F312="T",-1,0))</f>
        <v>0</v>
      </c>
      <c r="AS312" s="125">
        <f>IF(A312="","",AS311-IF(F312=Urlaub,1,0)+IF(AND(MONTH(A312)=1,DAY(A312)=1),B_UrlaubNeu,0))</f>
        <v>30</v>
      </c>
      <c r="AT312" s="125">
        <f ca="1">IF(A312="","",IF(D312=D311,AT311,OFFSET(AT312,-1,COLUMN(db_jUrlRest)-COLUMN()))+IF(AND(MONTH(A312)=1,DAY(A312)=1),B_UrlaubNeu,0))</f>
        <v>30</v>
      </c>
      <c r="AU312" s="135">
        <f>(IF(ISNUMBER(V312),V312,0)+IF(ISNUMBER(AD312),AD312,0))*24</f>
        <v>0</v>
      </c>
      <c r="AV312" s="125">
        <f>IF(ISNUMBER(AD312),K_ArbeitOverMax,IF(AND(ISNUMBER(AA312),AA312&gt;0),K_ArbeitOverTime,IF(AND(ISNUMBER(V312),V312&gt;0),K_ArbeitNormal,IF(F312=Krank,K_Krank,IF(F312=Urlaub,K_Urlaub,IF(AM312=Feiertag,K_Feiertag,IF(OR(AM312=6,AM312=7),K_Wochenende,0)))))))+IF(F312=Gleittag,K_Gleittag,0)</f>
        <v>0</v>
      </c>
      <c r="AW312" t="b">
        <f>OR((F312&gt;0),(NOT(ISBLANK(H312))),SUM(H312:H$373),SUM(G312:G$373))</f>
        <v>0</v>
      </c>
      <c r="AX312" t="b">
        <f ca="1">INDIRECT(ADDRESS(ROW(),COLUMN(xDay)))&gt;5</f>
        <v>0</v>
      </c>
      <c r="AY312" s="600">
        <f>IF(OR(R312&lt;&gt;0,F312&lt;&gt;0),AA312,IF(Z312="",0,-Z312))+(IF(AG312="+",AF312,-AF312))</f>
        <v>-0.29166666666666669</v>
      </c>
      <c r="AZ312" s="225">
        <f>SUM(AY$5:AY312)</f>
        <v>-61.54166666666648</v>
      </c>
      <c r="BA312" s="658"/>
      <c r="BB312" s="658">
        <f>IF(ISNA(MATCH(BA312,B_Arbeitsort,0)),0,MATCH(BA312,B_Arbeitsort,0))</f>
        <v>0</v>
      </c>
      <c r="BC312" s="658"/>
    </row>
    <row r="313" spans="1:55" ht="15.75">
      <c r="A313" s="305">
        <f>IF(A312="","",IF((A312+1)&gt;=DATE(YEAR(xJahr)+1,MONTH(xJahr),DAY(xJahr)),"",A312+1))</f>
        <v>43772</v>
      </c>
      <c r="B313" s="306">
        <f>IF(A313="","",A313)</f>
        <v>43772</v>
      </c>
      <c r="C313" s="307">
        <f>IF(A313="","",NumberOfWeek(A313))</f>
        <v>44</v>
      </c>
      <c r="D313" s="308">
        <f>IF(A313="","",DATE(YEAR(A313),MONTH(A313),1))</f>
        <v>43769</v>
      </c>
      <c r="E313" s="318" t="str">
        <f>IF((R313-U313)&gt;XWorkTimeMax,$Z$4,IF(AV313=Feiertag,VLOOKUP(B313,db_Feiertag,2,FALSE),""))</f>
        <v/>
      </c>
      <c r="F313" s="5"/>
      <c r="G313" s="6" t="str">
        <f>IF(ISBLANK(F313),IF(ISBLANK(H313),"",0),CODE(UPPER(F313)))</f>
        <v/>
      </c>
      <c r="H313" s="7"/>
      <c r="I313" s="7">
        <f>IF(H313&gt;0,H313+Y313+X313+AC313,0)</f>
        <v>0</v>
      </c>
      <c r="J313" s="113">
        <f>IF(K313&gt;I313,IF(I313&lt;H313,I313+1,I313)-B_WalkTime,IF(I313&lt;H313,I313+1,I313))</f>
        <v>0</v>
      </c>
      <c r="K313" s="7"/>
      <c r="L313" s="7">
        <f>IF(K313&gt;0,K313+IF((J313-H313)&lt;Y313,Y313-(J313-H313),TIME(0,10,0))+IF((K313-J313)&gt;xNoWorkTime,0,xNoWorkTime-(K313-J313)),0)</f>
        <v>0</v>
      </c>
      <c r="M313" s="113">
        <f>IF(L313&lt;K313,L313+1,L313)</f>
        <v>0</v>
      </c>
      <c r="N313" s="113"/>
      <c r="O313" s="113">
        <f>IF(N313&gt;0,N313+IF((J313-H313+M313-K313)&lt;Y313,Y313-(J313-H313+M313-K313),TIME(0,10,0))+IF((K313-J313+N313-M313)&gt;xNoWorkTime,0,xNoWorkTime-(K313-J313+N313-M313)),0)</f>
        <v>0</v>
      </c>
      <c r="P313" s="113"/>
      <c r="Q313" s="113">
        <f>IF(O313&lt;N313,O313+1,O313)</f>
        <v>0</v>
      </c>
      <c r="R313" s="113">
        <f>J313-H313+M313-K313+Q313-N313</f>
        <v>0</v>
      </c>
      <c r="S313" s="113">
        <f>IF(K313&gt;0,K313-I313,0)+IF(N313&gt;0,N313-L313)</f>
        <v>0</v>
      </c>
      <c r="T313" s="113">
        <f>IF(H313&gt;0,(IF(R313&gt;B_Pause1Nach,B_Pause1Dauer+IF(BA313="Büro",B_WalkTime,0),IF(BA313="Büro",B_WalkTime,0))+IF(R313&gt;B_Pause2Nach,B_Pause2Dauer,0)),0)</f>
        <v>0</v>
      </c>
      <c r="U313" s="113">
        <f>IF(T313&gt;S313,T313-S313,0)</f>
        <v>0</v>
      </c>
      <c r="V313" s="146">
        <f>IF(F313="S",Z313,(IF((R313-U313)&gt;XWorkTimeMax,XWorkTimeMax,IF((R313-U313)&gt;0,R313-U313,0))))</f>
        <v>0</v>
      </c>
      <c r="W313" s="66"/>
      <c r="X313" s="115">
        <f>xNoWorkTime</f>
        <v>4.027777777777778E-2</v>
      </c>
      <c r="Y313" s="110">
        <f>IF(AND((AM313&lt;Feiertag),(G313&lt;&gt;85)),IF(OR(F313="B",F313="G",F313="S",H313&gt;0),H313-H313+Z313,0),0)</f>
        <v>0</v>
      </c>
      <c r="Z313" s="111">
        <f>IF(AND(AM313&gt;0,AM313&lt;Feiertag),INDEX(Arbeitszeit,AM313),"")</f>
        <v>0</v>
      </c>
      <c r="AA313" s="112">
        <f>V313-Y313</f>
        <v>0</v>
      </c>
      <c r="AB313" s="67" t="str">
        <f>IF((V313-Y313)&lt;0,"*","")</f>
        <v/>
      </c>
      <c r="AC313" s="193">
        <f>xOverTime</f>
        <v>0</v>
      </c>
      <c r="AD313" s="144" t="str">
        <f>IF((R313-U313)&gt;XWorkTimeMax,(R313-U313-XWorkTimeMax),"")</f>
        <v/>
      </c>
      <c r="AE313" s="225">
        <f>IF(AW313,(AE312+SUM(AA313)+(IF(AG313="+",AF313,-AF313))),)</f>
        <v>0</v>
      </c>
      <c r="AF313" s="110"/>
      <c r="AG313" s="627"/>
      <c r="AH313" s="110"/>
      <c r="AI313" s="110" t="str">
        <f>IF(AND(AF313&lt;&gt;"",AF313&lt;=V313),V313-AF313,"")</f>
        <v/>
      </c>
      <c r="AJ313" s="68">
        <f>IF(ISNUMBER(V313 ), IF( V313 &gt;= Y313, Y313, V313 ),"")</f>
        <v>0</v>
      </c>
      <c r="AK313" s="68">
        <f>IF( ISNUMBER( V313 ), IF( V313 &gt;= Y313, V313 - Y313, "" ), "" )</f>
        <v>0</v>
      </c>
      <c r="AL313" s="68" t="str">
        <f>IF( AND(ISNUMBER( V313 ),ISNUMBER( Y313 )), IF( V313 &gt;= Y313, "", Y313 - V313 ), "" )</f>
        <v/>
      </c>
      <c r="AM313">
        <f>IF(A313="",0,IF(ISERROR(VLOOKUP(A313,db_Feiertag,2,FALSE)),WEEKDAY(A313,2),Feiertag))</f>
        <v>6</v>
      </c>
      <c r="AN313" s="122">
        <f>SUM($AD$6:AD313)</f>
        <v>0</v>
      </c>
      <c r="AO313" s="122">
        <f ca="1">IF(D313=D312,AO312,OFFSET(AO313,-1,COLUMN(db_jSaldoGes)-COLUMN()))</f>
        <v>0</v>
      </c>
      <c r="AP313" s="126">
        <f>IF(OR($G313=-1,$G313=82),-1,IF(OR($G313=0,$G313=83),1,0))</f>
        <v>0</v>
      </c>
      <c r="AQ313" s="126">
        <f>IF($F313=Krank,1,IF($F313="J",-1,0))</f>
        <v>0</v>
      </c>
      <c r="AR313" s="126">
        <f>IF($F313=Urlaub,1,IF($F313="T",-1,0))</f>
        <v>0</v>
      </c>
      <c r="AS313" s="125">
        <f>IF(A313="","",AS312-IF(F313=Urlaub,1,0)+IF(AND(MONTH(A313)=1,DAY(A313)=1),B_UrlaubNeu,0))</f>
        <v>30</v>
      </c>
      <c r="AT313" s="125">
        <f ca="1">IF(A313="","",IF(D313=D312,AT312,OFFSET(AT313,-1,COLUMN(db_jUrlRest)-COLUMN()))+IF(AND(MONTH(A313)=1,DAY(A313)=1),B_UrlaubNeu,0))</f>
        <v>30</v>
      </c>
      <c r="AU313" s="135">
        <f>(IF(ISNUMBER(V313),V313,0)+IF(ISNUMBER(AD313),AD313,0))*24</f>
        <v>0</v>
      </c>
      <c r="AV313" s="125">
        <f>IF(ISNUMBER(AD313),K_ArbeitOverMax,IF(AND(ISNUMBER(AA313),AA313&gt;0),K_ArbeitOverTime,IF(AND(ISNUMBER(V313),V313&gt;0),K_ArbeitNormal,IF(F313=Krank,K_Krank,IF(F313=Urlaub,K_Urlaub,IF(AM313=Feiertag,K_Feiertag,IF(OR(AM313=6,AM313=7),K_Wochenende,0)))))))+IF(F313=Gleittag,K_Gleittag,0)</f>
        <v>7</v>
      </c>
      <c r="AW313" t="b">
        <f>OR((F313&gt;0),(NOT(ISBLANK(H313))),SUM(H313:H$373),SUM(G313:G$373))</f>
        <v>0</v>
      </c>
      <c r="AX313" t="b">
        <f ca="1">INDIRECT(ADDRESS(ROW(),COLUMN(xDay)))&gt;5</f>
        <v>1</v>
      </c>
      <c r="AY313" s="600">
        <f>IF(OR(R313&lt;&gt;0,F313&lt;&gt;0),AA313,IF(Z313="",0,-Z313))+(IF(AG313="+",AF313,-AF313))</f>
        <v>0</v>
      </c>
      <c r="AZ313" s="225">
        <f>SUM(AY$5:AY313)</f>
        <v>-61.54166666666648</v>
      </c>
      <c r="BA313" s="643"/>
      <c r="BB313" s="658">
        <f>IF(ISNA(MATCH(BA313,B_Arbeitsort,0)),0,MATCH(BA313,B_Arbeitsort,0))</f>
        <v>0</v>
      </c>
      <c r="BC313" s="643"/>
    </row>
    <row r="314" spans="1:55" ht="15.75">
      <c r="A314" s="305">
        <f>IF(A313="","",IF((A313+1)&gt;=DATE(YEAR(xJahr)+1,MONTH(xJahr),DAY(xJahr)),"",A313+1))</f>
        <v>43773</v>
      </c>
      <c r="B314" s="306">
        <f>IF(A314="","",A314)</f>
        <v>43773</v>
      </c>
      <c r="C314" s="307">
        <f>IF(A314="","",NumberOfWeek(A314))</f>
        <v>44</v>
      </c>
      <c r="D314" s="308">
        <f>IF(A314="","",DATE(YEAR(A314),MONTH(A314),1))</f>
        <v>43769</v>
      </c>
      <c r="E314" s="318" t="str">
        <f>IF((R314-U314)&gt;XWorkTimeMax,$Z$4,IF(AV314=Feiertag,VLOOKUP(B314,db_Feiertag,2,FALSE),""))</f>
        <v/>
      </c>
      <c r="F314" s="5"/>
      <c r="G314" s="6" t="str">
        <f>IF(ISBLANK(F314),IF(ISBLANK(H314),"",0),CODE(UPPER(F314)))</f>
        <v/>
      </c>
      <c r="H314" s="7"/>
      <c r="I314" s="7">
        <f>IF(H314&gt;0,H314+Y314+X314+AC314,0)</f>
        <v>0</v>
      </c>
      <c r="J314" s="113">
        <f>IF(K314&gt;I314,IF(I314&lt;H314,I314+1,I314)-B_WalkTime,IF(I314&lt;H314,I314+1,I314))</f>
        <v>0</v>
      </c>
      <c r="K314" s="7"/>
      <c r="L314" s="7">
        <f>IF(K314&gt;0,K314+IF((J314-H314)&lt;Y314,Y314-(J314-H314),TIME(0,10,0))+IF((K314-J314)&gt;xNoWorkTime,0,xNoWorkTime-(K314-J314)),0)</f>
        <v>0</v>
      </c>
      <c r="M314" s="113">
        <f>IF(L314&lt;K314,L314+1,L314)</f>
        <v>0</v>
      </c>
      <c r="N314" s="113"/>
      <c r="O314" s="113">
        <f>IF(N314&gt;0,N314+IF((J314-H314+M314-K314)&lt;Y314,Y314-(J314-H314+M314-K314),TIME(0,10,0))+IF((K314-J314+N314-M314)&gt;xNoWorkTime,0,xNoWorkTime-(K314-J314+N314-M314)),0)</f>
        <v>0</v>
      </c>
      <c r="P314" s="113"/>
      <c r="Q314" s="113">
        <f>IF(O314&lt;N314,O314+1,O314)</f>
        <v>0</v>
      </c>
      <c r="R314" s="113">
        <f>J314-H314+M314-K314+Q314-N314</f>
        <v>0</v>
      </c>
      <c r="S314" s="113">
        <f>IF(K314&gt;0,K314-I314,0)+IF(N314&gt;0,N314-L314)</f>
        <v>0</v>
      </c>
      <c r="T314" s="113">
        <f>IF(H314&gt;0,(IF(R314&gt;B_Pause1Nach,B_Pause1Dauer+IF(BA314="Büro",B_WalkTime,0),IF(BA314="Büro",B_WalkTime,0))+IF(R314&gt;B_Pause2Nach,B_Pause2Dauer,0)),0)</f>
        <v>0</v>
      </c>
      <c r="U314" s="113">
        <f>IF(T314&gt;S314,T314-S314,0)</f>
        <v>0</v>
      </c>
      <c r="V314" s="146">
        <f>IF(F314="S",Z314,(IF((R314-U314)&gt;XWorkTimeMax,XWorkTimeMax,IF((R314-U314)&gt;0,R314-U314,0))))</f>
        <v>0</v>
      </c>
      <c r="W314" s="66"/>
      <c r="X314" s="115">
        <f>xNoWorkTime</f>
        <v>4.027777777777778E-2</v>
      </c>
      <c r="Y314" s="110">
        <f>IF(AND((AM314&lt;Feiertag),(G314&lt;&gt;85)),IF(OR(F314="B",F314="G",F314="S",H314&gt;0),H314-H314+Z314,0),0)</f>
        <v>0</v>
      </c>
      <c r="Z314" s="111">
        <f>IF(AND(AM314&gt;0,AM314&lt;Feiertag),INDEX(Arbeitszeit,AM314),"")</f>
        <v>0</v>
      </c>
      <c r="AA314" s="112">
        <f>V314-Y314</f>
        <v>0</v>
      </c>
      <c r="AB314" s="67" t="str">
        <f>IF((V314-Y314)&lt;0,"*","")</f>
        <v/>
      </c>
      <c r="AC314" s="193">
        <f>xOverTime</f>
        <v>0</v>
      </c>
      <c r="AD314" s="144" t="str">
        <f>IF((R314-U314)&gt;XWorkTimeMax,(R314-U314-XWorkTimeMax),"")</f>
        <v/>
      </c>
      <c r="AE314" s="225">
        <f>IF(AW314,(AE313+SUM(AA314)+(IF(AG314="+",AF314,-AF314))),)</f>
        <v>0</v>
      </c>
      <c r="AF314" s="110"/>
      <c r="AG314" s="627"/>
      <c r="AH314" s="110"/>
      <c r="AI314" s="110" t="str">
        <f>IF(AND(AF314&lt;&gt;"",AF314&lt;=V314),V314-AF314,"")</f>
        <v/>
      </c>
      <c r="AJ314" s="68">
        <f>IF(ISNUMBER(V314 ), IF( V314 &gt;= Y314, Y314, V314 ),"")</f>
        <v>0</v>
      </c>
      <c r="AK314" s="68">
        <f>IF( ISNUMBER( V314 ), IF( V314 &gt;= Y314, V314 - Y314, "" ), "" )</f>
        <v>0</v>
      </c>
      <c r="AL314" s="68" t="str">
        <f>IF( AND(ISNUMBER( V314 ),ISNUMBER( Y314 )), IF( V314 &gt;= Y314, "", Y314 - V314 ), "" )</f>
        <v/>
      </c>
      <c r="AM314">
        <f>IF(A314="",0,IF(ISERROR(VLOOKUP(A314,db_Feiertag,2,FALSE)),WEEKDAY(A314,2),Feiertag))</f>
        <v>7</v>
      </c>
      <c r="AN314" s="122">
        <f>SUM($AD$6:AD314)</f>
        <v>0</v>
      </c>
      <c r="AO314" s="122">
        <f ca="1">IF(D314=D313,AO313,OFFSET(AO314,-1,COLUMN(db_jSaldoGes)-COLUMN()))</f>
        <v>0</v>
      </c>
      <c r="AP314" s="126">
        <f>IF(OR($G314=-1,$G314=82),-1,IF(OR($G314=0,$G314=83),1,0))</f>
        <v>0</v>
      </c>
      <c r="AQ314" s="126">
        <f>IF($F314=Krank,1,IF($F314="J",-1,0))</f>
        <v>0</v>
      </c>
      <c r="AR314" s="126">
        <f>IF($F314=Urlaub,1,IF($F314="T",-1,0))</f>
        <v>0</v>
      </c>
      <c r="AS314" s="125">
        <f>IF(A314="","",AS313-IF(F314=Urlaub,1,0)+IF(AND(MONTH(A314)=1,DAY(A314)=1),B_UrlaubNeu,0))</f>
        <v>30</v>
      </c>
      <c r="AT314" s="125">
        <f ca="1">IF(A314="","",IF(D314=D313,AT313,OFFSET(AT314,-1,COLUMN(db_jUrlRest)-COLUMN()))+IF(AND(MONTH(A314)=1,DAY(A314)=1),B_UrlaubNeu,0))</f>
        <v>30</v>
      </c>
      <c r="AU314" s="135">
        <f>(IF(ISNUMBER(V314),V314,0)+IF(ISNUMBER(AD314),AD314,0))*24</f>
        <v>0</v>
      </c>
      <c r="AV314" s="125">
        <f>IF(ISNUMBER(AD314),K_ArbeitOverMax,IF(AND(ISNUMBER(AA314),AA314&gt;0),K_ArbeitOverTime,IF(AND(ISNUMBER(V314),V314&gt;0),K_ArbeitNormal,IF(F314=Krank,K_Krank,IF(F314=Urlaub,K_Urlaub,IF(AM314=Feiertag,K_Feiertag,IF(OR(AM314=6,AM314=7),K_Wochenende,0)))))))+IF(F314=Gleittag,K_Gleittag,0)</f>
        <v>7</v>
      </c>
      <c r="AW314" t="b">
        <f>OR((F314&gt;0),(NOT(ISBLANK(H314))),SUM(H314:H$373),SUM(G314:G$373))</f>
        <v>0</v>
      </c>
      <c r="AX314" t="b">
        <f ca="1">INDIRECT(ADDRESS(ROW(),COLUMN(xDay)))&gt;5</f>
        <v>1</v>
      </c>
      <c r="AY314" s="600">
        <f>IF(OR(R314&lt;&gt;0,F314&lt;&gt;0),AA314,IF(Z314="",0,-Z314))+(IF(AG314="+",AF314,-AF314))</f>
        <v>0</v>
      </c>
      <c r="AZ314" s="225">
        <f>SUM(AY$5:AY314)</f>
        <v>-61.54166666666648</v>
      </c>
      <c r="BA314" s="643"/>
      <c r="BB314" s="658">
        <f>IF(ISNA(MATCH(BA314,B_Arbeitsort,0)),0,MATCH(BA314,B_Arbeitsort,0))</f>
        <v>0</v>
      </c>
      <c r="BC314" s="643"/>
    </row>
    <row r="315" spans="1:55" ht="15.75">
      <c r="A315" s="305">
        <f>IF(A314="","",IF((A314+1)&gt;=DATE(YEAR(xJahr)+1,MONTH(xJahr),DAY(xJahr)),"",A314+1))</f>
        <v>43774</v>
      </c>
      <c r="B315" s="306">
        <f>IF(A315="","",A315)</f>
        <v>43774</v>
      </c>
      <c r="C315" s="307">
        <f>IF(A315="","",NumberOfWeek(A315))</f>
        <v>45</v>
      </c>
      <c r="D315" s="308">
        <f>IF(A315="","",DATE(YEAR(A315),MONTH(A315),1))</f>
        <v>43769</v>
      </c>
      <c r="E315" s="318" t="str">
        <f>IF((R315-U315)&gt;XWorkTimeMax,$Z$4,IF(AV315=Feiertag,VLOOKUP(B315,db_Feiertag,2,FALSE),""))</f>
        <v/>
      </c>
      <c r="F315" s="5"/>
      <c r="G315" s="6" t="str">
        <f>IF(ISBLANK(F315),IF(ISBLANK(H315),"",0),CODE(UPPER(F315)))</f>
        <v/>
      </c>
      <c r="H315" s="7"/>
      <c r="I315" s="7">
        <f>IF(H315&gt;0,H315+Y315+X315+AC315,0)</f>
        <v>0</v>
      </c>
      <c r="J315" s="113">
        <f>IF(K315&gt;I315,IF(I315&lt;H315,I315+1,I315)-B_WalkTime,IF(I315&lt;H315,I315+1,I315))</f>
        <v>0</v>
      </c>
      <c r="K315" s="7"/>
      <c r="L315" s="7">
        <f>IF(K315&gt;0,K315+IF((J315-H315)&lt;Y315,Y315-(J315-H315),TIME(0,10,0))+IF((K315-J315)&gt;xNoWorkTime,0,xNoWorkTime-(K315-J315)),0)</f>
        <v>0</v>
      </c>
      <c r="M315" s="113">
        <f>IF(L315&lt;K315,L315+1,L315)</f>
        <v>0</v>
      </c>
      <c r="N315" s="113"/>
      <c r="O315" s="113">
        <f>IF(N315&gt;0,N315+IF((J315-H315+M315-K315)&lt;Y315,Y315-(J315-H315+M315-K315),TIME(0,10,0))+IF((K315-J315+N315-M315)&gt;xNoWorkTime,0,xNoWorkTime-(K315-J315+N315-M315)),0)</f>
        <v>0</v>
      </c>
      <c r="P315" s="113"/>
      <c r="Q315" s="113">
        <f>IF(O315&lt;N315,O315+1,O315)</f>
        <v>0</v>
      </c>
      <c r="R315" s="113">
        <f>J315-H315+M315-K315+Q315-N315</f>
        <v>0</v>
      </c>
      <c r="S315" s="113">
        <f>IF(K315&gt;0,K315-I315,0)+IF(N315&gt;0,N315-L315)</f>
        <v>0</v>
      </c>
      <c r="T315" s="113">
        <f>IF(H315&gt;0,(IF(R315&gt;B_Pause1Nach,B_Pause1Dauer+IF(BA315="Büro",B_WalkTime,0),IF(BA315="Büro",B_WalkTime,0))+IF(R315&gt;B_Pause2Nach,B_Pause2Dauer,0)),0)</f>
        <v>0</v>
      </c>
      <c r="U315" s="113">
        <f>IF(T315&gt;S315,T315-S315,0)</f>
        <v>0</v>
      </c>
      <c r="V315" s="146">
        <f>IF(F315="S",Z315,(IF((R315-U315)&gt;XWorkTimeMax,XWorkTimeMax,IF((R315-U315)&gt;0,R315-U315,0))))</f>
        <v>0</v>
      </c>
      <c r="W315" s="66"/>
      <c r="X315" s="115">
        <f>xNoWorkTime</f>
        <v>4.027777777777778E-2</v>
      </c>
      <c r="Y315" s="110">
        <f>IF(AND((AM315&lt;Feiertag),(G315&lt;&gt;85)),IF(OR(F315="B",F315="G",F315="S",H315&gt;0),H315-H315+Z315,0),0)</f>
        <v>0</v>
      </c>
      <c r="Z315" s="111">
        <f>IF(AND(AM315&gt;0,AM315&lt;Feiertag),INDEX(Arbeitszeit,AM315),"")</f>
        <v>0.29166666666666669</v>
      </c>
      <c r="AA315" s="112">
        <f>V315-Y315</f>
        <v>0</v>
      </c>
      <c r="AB315" s="67" t="str">
        <f>IF((V315-Y315)&lt;0,"*","")</f>
        <v/>
      </c>
      <c r="AC315" s="193">
        <f>xOverTime</f>
        <v>0</v>
      </c>
      <c r="AD315" s="144" t="str">
        <f>IF((R315-U315)&gt;XWorkTimeMax,(R315-U315-XWorkTimeMax),"")</f>
        <v/>
      </c>
      <c r="AE315" s="225">
        <f>IF(AW315,(AE314+SUM(AA315)+(IF(AG315="+",AF315,-AF315))),)</f>
        <v>0</v>
      </c>
      <c r="AF315" s="110"/>
      <c r="AG315" s="627"/>
      <c r="AH315" s="110"/>
      <c r="AI315" s="110" t="str">
        <f>IF(AND(AF315&lt;&gt;"",AF315&lt;=V315),V315-AF315,"")</f>
        <v/>
      </c>
      <c r="AJ315" s="68">
        <f>IF(ISNUMBER(V315 ), IF( V315 &gt;= Y315, Y315, V315 ),"")</f>
        <v>0</v>
      </c>
      <c r="AK315" s="68">
        <f>IF( ISNUMBER( V315 ), IF( V315 &gt;= Y315, V315 - Y315, "" ), "" )</f>
        <v>0</v>
      </c>
      <c r="AL315" s="68" t="str">
        <f>IF( AND(ISNUMBER( V315 ),ISNUMBER( Y315 )), IF( V315 &gt;= Y315, "", Y315 - V315 ), "" )</f>
        <v/>
      </c>
      <c r="AM315">
        <f>IF(A315="",0,IF(ISERROR(VLOOKUP(A315,db_Feiertag,2,FALSE)),WEEKDAY(A315,2),Feiertag))</f>
        <v>1</v>
      </c>
      <c r="AN315" s="122">
        <f>SUM($AD$6:AD315)</f>
        <v>0</v>
      </c>
      <c r="AO315" s="122">
        <f ca="1">IF(D315=D314,AO314,OFFSET(AO315,-1,COLUMN(db_jSaldoGes)-COLUMN()))</f>
        <v>0</v>
      </c>
      <c r="AP315" s="126">
        <f>IF(OR($G315=-1,$G315=82),-1,IF(OR($G315=0,$G315=83),1,0))</f>
        <v>0</v>
      </c>
      <c r="AQ315" s="126">
        <f>IF($F315=Krank,1,IF($F315="J",-1,0))</f>
        <v>0</v>
      </c>
      <c r="AR315" s="126">
        <f>IF($F315=Urlaub,1,IF($F315="T",-1,0))</f>
        <v>0</v>
      </c>
      <c r="AS315" s="125">
        <f>IF(A315="","",AS314-IF(F315=Urlaub,1,0)+IF(AND(MONTH(A315)=1,DAY(A315)=1),B_UrlaubNeu,0))</f>
        <v>30</v>
      </c>
      <c r="AT315" s="125">
        <f ca="1">IF(A315="","",IF(D315=D314,AT314,OFFSET(AT315,-1,COLUMN(db_jUrlRest)-COLUMN()))+IF(AND(MONTH(A315)=1,DAY(A315)=1),B_UrlaubNeu,0))</f>
        <v>30</v>
      </c>
      <c r="AU315" s="135">
        <f>(IF(ISNUMBER(V315),V315,0)+IF(ISNUMBER(AD315),AD315,0))*24</f>
        <v>0</v>
      </c>
      <c r="AV315" s="125">
        <f>IF(ISNUMBER(AD315),K_ArbeitOverMax,IF(AND(ISNUMBER(AA315),AA315&gt;0),K_ArbeitOverTime,IF(AND(ISNUMBER(V315),V315&gt;0),K_ArbeitNormal,IF(F315=Krank,K_Krank,IF(F315=Urlaub,K_Urlaub,IF(AM315=Feiertag,K_Feiertag,IF(OR(AM315=6,AM315=7),K_Wochenende,0)))))))+IF(F315=Gleittag,K_Gleittag,0)</f>
        <v>0</v>
      </c>
      <c r="AW315" t="b">
        <f>OR((F315&gt;0),(NOT(ISBLANK(H315))),SUM(H315:H$373),SUM(G315:G$373))</f>
        <v>0</v>
      </c>
      <c r="AX315" t="b">
        <f ca="1">INDIRECT(ADDRESS(ROW(),COLUMN(xDay)))&gt;5</f>
        <v>0</v>
      </c>
      <c r="AY315" s="600">
        <f>IF(OR(R315&lt;&gt;0,F315&lt;&gt;0),AA315,IF(Z315="",0,-Z315))+(IF(AG315="+",AF315,-AF315))</f>
        <v>-0.29166666666666669</v>
      </c>
      <c r="AZ315" s="225">
        <f>SUM(AY$5:AY315)</f>
        <v>-61.833333333333144</v>
      </c>
      <c r="BA315" s="658"/>
      <c r="BB315" s="658">
        <f>IF(ISNA(MATCH(BA315,B_Arbeitsort,0)),0,MATCH(BA315,B_Arbeitsort,0))</f>
        <v>0</v>
      </c>
      <c r="BC315" s="658"/>
    </row>
    <row r="316" spans="1:55" ht="15.75">
      <c r="A316" s="305">
        <f>IF(A315="","",IF((A315+1)&gt;=DATE(YEAR(xJahr)+1,MONTH(xJahr),DAY(xJahr)),"",A315+1))</f>
        <v>43775</v>
      </c>
      <c r="B316" s="306">
        <f>IF(A316="","",A316)</f>
        <v>43775</v>
      </c>
      <c r="C316" s="307">
        <f>IF(A316="","",NumberOfWeek(A316))</f>
        <v>45</v>
      </c>
      <c r="D316" s="308">
        <f>IF(A316="","",DATE(YEAR(A316),MONTH(A316),1))</f>
        <v>43769</v>
      </c>
      <c r="E316" s="318" t="str">
        <f>IF((R316-U316)&gt;XWorkTimeMax,$Z$4,IF(AV316=Feiertag,VLOOKUP(B316,db_Feiertag,2,FALSE),""))</f>
        <v/>
      </c>
      <c r="F316" s="5"/>
      <c r="G316" s="6" t="str">
        <f>IF(ISBLANK(F316),IF(ISBLANK(H316),"",0),CODE(UPPER(F316)))</f>
        <v/>
      </c>
      <c r="H316" s="7"/>
      <c r="I316" s="7">
        <f>IF(H316&gt;0,H316+Y316+X316+AC316,0)</f>
        <v>0</v>
      </c>
      <c r="J316" s="113">
        <f>IF(K316&gt;I316,IF(I316&lt;H316,I316+1,I316)-B_WalkTime,IF(I316&lt;H316,I316+1,I316))</f>
        <v>0</v>
      </c>
      <c r="K316" s="7"/>
      <c r="L316" s="7">
        <f>IF(K316&gt;0,K316+IF((J316-H316)&lt;Y316,Y316-(J316-H316),TIME(0,10,0))+IF((K316-J316)&gt;xNoWorkTime,0,xNoWorkTime-(K316-J316)),0)</f>
        <v>0</v>
      </c>
      <c r="M316" s="113">
        <f>IF(L316&lt;K316,L316+1,L316)</f>
        <v>0</v>
      </c>
      <c r="N316" s="113"/>
      <c r="O316" s="113">
        <f>IF(N316&gt;0,N316+IF((J316-H316+M316-K316)&lt;Y316,Y316-(J316-H316+M316-K316),TIME(0,10,0))+IF((K316-J316+N316-M316)&gt;xNoWorkTime,0,xNoWorkTime-(K316-J316+N316-M316)),0)</f>
        <v>0</v>
      </c>
      <c r="P316" s="113"/>
      <c r="Q316" s="113">
        <f>IF(O316&lt;N316,O316+1,O316)</f>
        <v>0</v>
      </c>
      <c r="R316" s="113">
        <f>J316-H316+M316-K316+Q316-N316</f>
        <v>0</v>
      </c>
      <c r="S316" s="113">
        <f>IF(K316&gt;0,K316-I316,0)+IF(N316&gt;0,N316-L316)</f>
        <v>0</v>
      </c>
      <c r="T316" s="113">
        <f>IF(H316&gt;0,(IF(R316&gt;B_Pause1Nach,B_Pause1Dauer+IF(BA316="Büro",B_WalkTime,0),IF(BA316="Büro",B_WalkTime,0))+IF(R316&gt;B_Pause2Nach,B_Pause2Dauer,0)),0)</f>
        <v>0</v>
      </c>
      <c r="U316" s="113">
        <f>IF(T316&gt;S316,T316-S316,0)</f>
        <v>0</v>
      </c>
      <c r="V316" s="146">
        <f>IF(F316="S",Z316,(IF((R316-U316)&gt;XWorkTimeMax,XWorkTimeMax,IF((R316-U316)&gt;0,R316-U316,0))))</f>
        <v>0</v>
      </c>
      <c r="W316" s="66"/>
      <c r="X316" s="115">
        <f>xNoWorkTime</f>
        <v>4.027777777777778E-2</v>
      </c>
      <c r="Y316" s="110">
        <f>IF(AND((AM316&lt;Feiertag),(G316&lt;&gt;85)),IF(OR(F316="B",F316="G",F316="S",H316&gt;0),H316-H316+Z316,0),0)</f>
        <v>0</v>
      </c>
      <c r="Z316" s="111">
        <f>IF(AND(AM316&gt;0,AM316&lt;Feiertag),INDEX(Arbeitszeit,AM316),"")</f>
        <v>0.29166666666666669</v>
      </c>
      <c r="AA316" s="112">
        <f>V316-Y316</f>
        <v>0</v>
      </c>
      <c r="AB316" s="67" t="str">
        <f>IF((V316-Y316)&lt;0,"*","")</f>
        <v/>
      </c>
      <c r="AC316" s="193">
        <f>xOverTime</f>
        <v>0</v>
      </c>
      <c r="AD316" s="144" t="str">
        <f>IF((R316-U316)&gt;XWorkTimeMax,(R316-U316-XWorkTimeMax),"")</f>
        <v/>
      </c>
      <c r="AE316" s="225">
        <f>IF(AW316,(AE315+SUM(AA316)+(IF(AG316="+",AF316,-AF316))),)</f>
        <v>0</v>
      </c>
      <c r="AF316" s="110"/>
      <c r="AG316" s="627"/>
      <c r="AH316" s="110"/>
      <c r="AI316" s="110" t="str">
        <f>IF(AND(AF316&lt;&gt;"",AF316&lt;=V316),V316-AF316,"")</f>
        <v/>
      </c>
      <c r="AJ316" s="68">
        <f>IF(ISNUMBER(V316 ), IF( V316 &gt;= Y316, Y316, V316 ),"")</f>
        <v>0</v>
      </c>
      <c r="AK316" s="68">
        <f>IF( ISNUMBER( V316 ), IF( V316 &gt;= Y316, V316 - Y316, "" ), "" )</f>
        <v>0</v>
      </c>
      <c r="AL316" s="68" t="str">
        <f>IF( AND(ISNUMBER( V316 ),ISNUMBER( Y316 )), IF( V316 &gt;= Y316, "", Y316 - V316 ), "" )</f>
        <v/>
      </c>
      <c r="AM316">
        <f>IF(A316="",0,IF(ISERROR(VLOOKUP(A316,db_Feiertag,2,FALSE)),WEEKDAY(A316,2),Feiertag))</f>
        <v>2</v>
      </c>
      <c r="AN316" s="122">
        <f>SUM($AD$6:AD316)</f>
        <v>0</v>
      </c>
      <c r="AO316" s="122">
        <f ca="1">IF(D316=D315,AO315,OFFSET(AO316,-1,COLUMN(db_jSaldoGes)-COLUMN()))</f>
        <v>0</v>
      </c>
      <c r="AP316" s="126">
        <f>IF(OR($G316=-1,$G316=82),-1,IF(OR($G316=0,$G316=83),1,0))</f>
        <v>0</v>
      </c>
      <c r="AQ316" s="126">
        <f>IF($F316=Krank,1,IF($F316="J",-1,0))</f>
        <v>0</v>
      </c>
      <c r="AR316" s="126">
        <f>IF($F316=Urlaub,1,IF($F316="T",-1,0))</f>
        <v>0</v>
      </c>
      <c r="AS316" s="125">
        <f>IF(A316="","",AS315-IF(F316=Urlaub,1,0)+IF(AND(MONTH(A316)=1,DAY(A316)=1),B_UrlaubNeu,0))</f>
        <v>30</v>
      </c>
      <c r="AT316" s="125">
        <f ca="1">IF(A316="","",IF(D316=D315,AT315,OFFSET(AT316,-1,COLUMN(db_jUrlRest)-COLUMN()))+IF(AND(MONTH(A316)=1,DAY(A316)=1),B_UrlaubNeu,0))</f>
        <v>30</v>
      </c>
      <c r="AU316" s="135">
        <f>(IF(ISNUMBER(V316),V316,0)+IF(ISNUMBER(AD316),AD316,0))*24</f>
        <v>0</v>
      </c>
      <c r="AV316" s="125">
        <f>IF(ISNUMBER(AD316),K_ArbeitOverMax,IF(AND(ISNUMBER(AA316),AA316&gt;0),K_ArbeitOverTime,IF(AND(ISNUMBER(V316),V316&gt;0),K_ArbeitNormal,IF(F316=Krank,K_Krank,IF(F316=Urlaub,K_Urlaub,IF(AM316=Feiertag,K_Feiertag,IF(OR(AM316=6,AM316=7),K_Wochenende,0)))))))+IF(F316=Gleittag,K_Gleittag,0)</f>
        <v>0</v>
      </c>
      <c r="AW316" t="b">
        <f>OR((F316&gt;0),(NOT(ISBLANK(H316))),SUM(H316:H$373),SUM(G316:G$373))</f>
        <v>0</v>
      </c>
      <c r="AX316" t="b">
        <f ca="1">INDIRECT(ADDRESS(ROW(),COLUMN(xDay)))&gt;5</f>
        <v>0</v>
      </c>
      <c r="AY316" s="600">
        <f>IF(OR(R316&lt;&gt;0,F316&lt;&gt;0),AA316,IF(Z316="",0,-Z316))+(IF(AG316="+",AF316,-AF316))</f>
        <v>-0.29166666666666669</v>
      </c>
      <c r="AZ316" s="225">
        <f>SUM(AY$5:AY316)</f>
        <v>-62.124999999999808</v>
      </c>
      <c r="BA316" s="658"/>
      <c r="BB316" s="658">
        <f>IF(ISNA(MATCH(BA316,B_Arbeitsort,0)),0,MATCH(BA316,B_Arbeitsort,0))</f>
        <v>0</v>
      </c>
      <c r="BC316" s="658"/>
    </row>
    <row r="317" spans="1:55" ht="15.75">
      <c r="A317" s="305">
        <f>IF(A316="","",IF((A316+1)&gt;=DATE(YEAR(xJahr)+1,MONTH(xJahr),DAY(xJahr)),"",A316+1))</f>
        <v>43776</v>
      </c>
      <c r="B317" s="306">
        <f>IF(A317="","",A317)</f>
        <v>43776</v>
      </c>
      <c r="C317" s="307">
        <f>IF(A317="","",NumberOfWeek(A317))</f>
        <v>45</v>
      </c>
      <c r="D317" s="308">
        <f>IF(A317="","",DATE(YEAR(A317),MONTH(A317),1))</f>
        <v>43769</v>
      </c>
      <c r="E317" s="318" t="str">
        <f>IF((R317-U317)&gt;XWorkTimeMax,$Z$4,IF(AV317=Feiertag,VLOOKUP(B317,db_Feiertag,2,FALSE),""))</f>
        <v/>
      </c>
      <c r="F317" s="5"/>
      <c r="G317" s="6" t="str">
        <f>IF(ISBLANK(F317),IF(ISBLANK(H317),"",0),CODE(UPPER(F317)))</f>
        <v/>
      </c>
      <c r="H317" s="7"/>
      <c r="I317" s="7">
        <f>IF(H317&gt;0,H317+Y317+X317+AC317,0)</f>
        <v>0</v>
      </c>
      <c r="J317" s="113">
        <f>IF(K317&gt;I317,IF(I317&lt;H317,I317+1,I317)-B_WalkTime,IF(I317&lt;H317,I317+1,I317))</f>
        <v>0</v>
      </c>
      <c r="K317" s="7"/>
      <c r="L317" s="7">
        <f>IF(K317&gt;0,K317+IF((J317-H317)&lt;Y317,Y317-(J317-H317),TIME(0,10,0))+IF((K317-J317)&gt;xNoWorkTime,0,xNoWorkTime-(K317-J317)),0)</f>
        <v>0</v>
      </c>
      <c r="M317" s="113">
        <f>IF(L317&lt;K317,L317+1,L317)</f>
        <v>0</v>
      </c>
      <c r="N317" s="113"/>
      <c r="O317" s="113">
        <f>IF(N317&gt;0,N317+IF((J317-H317+M317-K317)&lt;Y317,Y317-(J317-H317+M317-K317),TIME(0,10,0))+IF((K317-J317+N317-M317)&gt;xNoWorkTime,0,xNoWorkTime-(K317-J317+N317-M317)),0)</f>
        <v>0</v>
      </c>
      <c r="P317" s="113"/>
      <c r="Q317" s="113">
        <f>IF(O317&lt;N317,O317+1,O317)</f>
        <v>0</v>
      </c>
      <c r="R317" s="113">
        <f>J317-H317+M317-K317+Q317-N317</f>
        <v>0</v>
      </c>
      <c r="S317" s="113">
        <f>IF(K317&gt;0,K317-I317,0)+IF(N317&gt;0,N317-L317)</f>
        <v>0</v>
      </c>
      <c r="T317" s="113">
        <f>IF(H317&gt;0,(IF(R317&gt;B_Pause1Nach,B_Pause1Dauer+IF(BA317="Büro",B_WalkTime,0),IF(BA317="Büro",B_WalkTime,0))+IF(R317&gt;B_Pause2Nach,B_Pause2Dauer,0)),0)</f>
        <v>0</v>
      </c>
      <c r="U317" s="113">
        <f>IF(T317&gt;S317,T317-S317,0)</f>
        <v>0</v>
      </c>
      <c r="V317" s="146">
        <f>IF(F317="S",Z317,(IF((R317-U317)&gt;XWorkTimeMax,XWorkTimeMax,IF((R317-U317)&gt;0,R317-U317,0))))</f>
        <v>0</v>
      </c>
      <c r="W317" s="66"/>
      <c r="X317" s="115">
        <f>xNoWorkTime</f>
        <v>4.027777777777778E-2</v>
      </c>
      <c r="Y317" s="110">
        <f>IF(AND((AM317&lt;Feiertag),(G317&lt;&gt;85)),IF(OR(F317="B",F317="G",F317="S",H317&gt;0),H317-H317+Z317,0),0)</f>
        <v>0</v>
      </c>
      <c r="Z317" s="111">
        <f>IF(AND(AM317&gt;0,AM317&lt;Feiertag),INDEX(Arbeitszeit,AM317),"")</f>
        <v>0.29166666666666669</v>
      </c>
      <c r="AA317" s="112">
        <f>V317-Y317</f>
        <v>0</v>
      </c>
      <c r="AB317" s="67" t="str">
        <f>IF((V317-Y317)&lt;0,"*","")</f>
        <v/>
      </c>
      <c r="AC317" s="193">
        <f>xOverTime</f>
        <v>0</v>
      </c>
      <c r="AD317" s="144" t="str">
        <f>IF((R317-U317)&gt;XWorkTimeMax,(R317-U317-XWorkTimeMax),"")</f>
        <v/>
      </c>
      <c r="AE317" s="225">
        <f>IF(AW317,(AE316+SUM(AA317)+(IF(AG317="+",AF317,-AF317))),)</f>
        <v>0</v>
      </c>
      <c r="AF317" s="110"/>
      <c r="AG317" s="627"/>
      <c r="AH317" s="110"/>
      <c r="AI317" s="110" t="str">
        <f>IF(AND(AF317&lt;&gt;"",AF317&lt;=V317),V317-AF317,"")</f>
        <v/>
      </c>
      <c r="AJ317" s="68">
        <f>IF(ISNUMBER(V317 ), IF( V317 &gt;= Y317, Y317, V317 ),"")</f>
        <v>0</v>
      </c>
      <c r="AK317" s="68">
        <f>IF( ISNUMBER( V317 ), IF( V317 &gt;= Y317, V317 - Y317, "" ), "" )</f>
        <v>0</v>
      </c>
      <c r="AL317" s="68" t="str">
        <f>IF( AND(ISNUMBER( V317 ),ISNUMBER( Y317 )), IF( V317 &gt;= Y317, "", Y317 - V317 ), "" )</f>
        <v/>
      </c>
      <c r="AM317">
        <f>IF(A317="",0,IF(ISERROR(VLOOKUP(A317,db_Feiertag,2,FALSE)),WEEKDAY(A317,2),Feiertag))</f>
        <v>3</v>
      </c>
      <c r="AN317" s="122">
        <f>SUM($AD$6:AD317)</f>
        <v>0</v>
      </c>
      <c r="AO317" s="122">
        <f ca="1">IF(D317=D316,AO316,OFFSET(AO317,-1,COLUMN(db_jSaldoGes)-COLUMN()))</f>
        <v>0</v>
      </c>
      <c r="AP317" s="126">
        <f>IF(OR($G317=-1,$G317=82),-1,IF(OR($G317=0,$G317=83),1,0))</f>
        <v>0</v>
      </c>
      <c r="AQ317" s="126">
        <f>IF($F317=Krank,1,IF($F317="J",-1,0))</f>
        <v>0</v>
      </c>
      <c r="AR317" s="126">
        <f>IF($F317=Urlaub,1,IF($F317="T",-1,0))</f>
        <v>0</v>
      </c>
      <c r="AS317" s="125">
        <f>IF(A317="","",AS316-IF(F317=Urlaub,1,0)+IF(AND(MONTH(A317)=1,DAY(A317)=1),B_UrlaubNeu,0))</f>
        <v>30</v>
      </c>
      <c r="AT317" s="125">
        <f ca="1">IF(A317="","",IF(D317=D316,AT316,OFFSET(AT317,-1,COLUMN(db_jUrlRest)-COLUMN()))+IF(AND(MONTH(A317)=1,DAY(A317)=1),B_UrlaubNeu,0))</f>
        <v>30</v>
      </c>
      <c r="AU317" s="135">
        <f>(IF(ISNUMBER(V317),V317,0)+IF(ISNUMBER(AD317),AD317,0))*24</f>
        <v>0</v>
      </c>
      <c r="AV317" s="125">
        <f>IF(ISNUMBER(AD317),K_ArbeitOverMax,IF(AND(ISNUMBER(AA317),AA317&gt;0),K_ArbeitOverTime,IF(AND(ISNUMBER(V317),V317&gt;0),K_ArbeitNormal,IF(F317=Krank,K_Krank,IF(F317=Urlaub,K_Urlaub,IF(AM317=Feiertag,K_Feiertag,IF(OR(AM317=6,AM317=7),K_Wochenende,0)))))))+IF(F317=Gleittag,K_Gleittag,0)</f>
        <v>0</v>
      </c>
      <c r="AW317" t="b">
        <f>OR((F317&gt;0),(NOT(ISBLANK(H317))),SUM(H317:H$373),SUM(G317:G$373))</f>
        <v>0</v>
      </c>
      <c r="AX317" t="b">
        <f ca="1">INDIRECT(ADDRESS(ROW(),COLUMN(xDay)))&gt;5</f>
        <v>0</v>
      </c>
      <c r="AY317" s="600">
        <f>IF(OR(R317&lt;&gt;0,F317&lt;&gt;0),AA317,IF(Z317="",0,-Z317))+(IF(AG317="+",AF317,-AF317))</f>
        <v>-0.29166666666666669</v>
      </c>
      <c r="AZ317" s="225">
        <f>SUM(AY$5:AY317)</f>
        <v>-62.416666666666472</v>
      </c>
      <c r="BA317" s="658"/>
      <c r="BB317" s="658">
        <f>IF(ISNA(MATCH(BA317,B_Arbeitsort,0)),0,MATCH(BA317,B_Arbeitsort,0))</f>
        <v>0</v>
      </c>
      <c r="BC317" s="658"/>
    </row>
    <row r="318" spans="1:55" ht="15.75">
      <c r="A318" s="305">
        <f>IF(A317="","",IF((A317+1)&gt;=DATE(YEAR(xJahr)+1,MONTH(xJahr),DAY(xJahr)),"",A317+1))</f>
        <v>43777</v>
      </c>
      <c r="B318" s="306">
        <f>IF(A318="","",A318)</f>
        <v>43777</v>
      </c>
      <c r="C318" s="307">
        <f>IF(A318="","",NumberOfWeek(A318))</f>
        <v>45</v>
      </c>
      <c r="D318" s="308">
        <f>IF(A318="","",DATE(YEAR(A318),MONTH(A318),1))</f>
        <v>43769</v>
      </c>
      <c r="E318" s="318" t="str">
        <f>IF((R318-U318)&gt;XWorkTimeMax,$Z$4,IF(AV318=Feiertag,VLOOKUP(B318,db_Feiertag,2,FALSE),""))</f>
        <v/>
      </c>
      <c r="F318" s="5"/>
      <c r="G318" s="6" t="str">
        <f>IF(ISBLANK(F318),IF(ISBLANK(H318),"",0),CODE(UPPER(F318)))</f>
        <v/>
      </c>
      <c r="H318" s="7"/>
      <c r="I318" s="7">
        <f>IF(H318&gt;0,H318+Y318+X318+AC318,0)</f>
        <v>0</v>
      </c>
      <c r="J318" s="113">
        <f>IF(K318&gt;I318,IF(I318&lt;H318,I318+1,I318)-B_WalkTime,IF(I318&lt;H318,I318+1,I318))</f>
        <v>0</v>
      </c>
      <c r="K318" s="7"/>
      <c r="L318" s="7">
        <f>IF(K318&gt;0,K318+IF((J318-H318)&lt;Y318,Y318-(J318-H318),TIME(0,10,0))+IF((K318-J318)&gt;xNoWorkTime,0,xNoWorkTime-(K318-J318)),0)</f>
        <v>0</v>
      </c>
      <c r="M318" s="113">
        <f>IF(L318&lt;K318,L318+1,L318)</f>
        <v>0</v>
      </c>
      <c r="N318" s="113"/>
      <c r="O318" s="113">
        <f>IF(N318&gt;0,N318+IF((J318-H318+M318-K318)&lt;Y318,Y318-(J318-H318+M318-K318),TIME(0,10,0))+IF((K318-J318+N318-M318)&gt;xNoWorkTime,0,xNoWorkTime-(K318-J318+N318-M318)),0)</f>
        <v>0</v>
      </c>
      <c r="P318" s="113"/>
      <c r="Q318" s="113">
        <f>IF(O318&lt;N318,O318+1,O318)</f>
        <v>0</v>
      </c>
      <c r="R318" s="113">
        <f>J318-H318+M318-K318+Q318-N318</f>
        <v>0</v>
      </c>
      <c r="S318" s="113">
        <f>IF(K318&gt;0,K318-I318,0)+IF(N318&gt;0,N318-L318)</f>
        <v>0</v>
      </c>
      <c r="T318" s="113">
        <f>IF(H318&gt;0,(IF(R318&gt;B_Pause1Nach,B_Pause1Dauer+IF(BA318="Büro",B_WalkTime,0),IF(BA318="Büro",B_WalkTime,0))+IF(R318&gt;B_Pause2Nach,B_Pause2Dauer,0)),0)</f>
        <v>0</v>
      </c>
      <c r="U318" s="113">
        <f>IF(T318&gt;S318,T318-S318,0)</f>
        <v>0</v>
      </c>
      <c r="V318" s="146">
        <f>IF(F318="S",Z318,(IF((R318-U318)&gt;XWorkTimeMax,XWorkTimeMax,IF((R318-U318)&gt;0,R318-U318,0))))</f>
        <v>0</v>
      </c>
      <c r="W318" s="66"/>
      <c r="X318" s="115">
        <f>xNoWorkTime</f>
        <v>4.027777777777778E-2</v>
      </c>
      <c r="Y318" s="110">
        <f>IF(AND((AM318&lt;Feiertag),(G318&lt;&gt;85)),IF(OR(F318="B",F318="G",F318="S",H318&gt;0),H318-H318+Z318,0),0)</f>
        <v>0</v>
      </c>
      <c r="Z318" s="111">
        <f>IF(AND(AM318&gt;0,AM318&lt;Feiertag),INDEX(Arbeitszeit,AM318),"")</f>
        <v>0.29166666666666669</v>
      </c>
      <c r="AA318" s="112">
        <f>V318-Y318</f>
        <v>0</v>
      </c>
      <c r="AB318" s="67" t="str">
        <f>IF((V318-Y318)&lt;0,"*","")</f>
        <v/>
      </c>
      <c r="AC318" s="193">
        <f>xOverTime</f>
        <v>0</v>
      </c>
      <c r="AD318" s="144" t="str">
        <f>IF((R318-U318)&gt;XWorkTimeMax,(R318-U318-XWorkTimeMax),"")</f>
        <v/>
      </c>
      <c r="AE318" s="225">
        <f>IF(AW318,(AE317+SUM(AA318)+(IF(AG318="+",AF318,-AF318))),)</f>
        <v>0</v>
      </c>
      <c r="AF318" s="110"/>
      <c r="AG318" s="627"/>
      <c r="AH318" s="110"/>
      <c r="AI318" s="110" t="str">
        <f>IF(AND(AF318&lt;&gt;"",AF318&lt;=V318),V318-AF318,"")</f>
        <v/>
      </c>
      <c r="AJ318" s="68">
        <f>IF(ISNUMBER(V318 ), IF( V318 &gt;= Y318, Y318, V318 ),"")</f>
        <v>0</v>
      </c>
      <c r="AK318" s="68">
        <f>IF( ISNUMBER( V318 ), IF( V318 &gt;= Y318, V318 - Y318, "" ), "" )</f>
        <v>0</v>
      </c>
      <c r="AL318" s="68" t="str">
        <f>IF( AND(ISNUMBER( V318 ),ISNUMBER( Y318 )), IF( V318 &gt;= Y318, "", Y318 - V318 ), "" )</f>
        <v/>
      </c>
      <c r="AM318">
        <f>IF(A318="",0,IF(ISERROR(VLOOKUP(A318,db_Feiertag,2,FALSE)),WEEKDAY(A318,2),Feiertag))</f>
        <v>4</v>
      </c>
      <c r="AN318" s="122">
        <f>SUM($AD$6:AD318)</f>
        <v>0</v>
      </c>
      <c r="AO318" s="122">
        <f ca="1">IF(D318=D317,AO317,OFFSET(AO318,-1,COLUMN(db_jSaldoGes)-COLUMN()))</f>
        <v>0</v>
      </c>
      <c r="AP318" s="126">
        <f>IF(OR($G318=-1,$G318=82),-1,IF(OR($G318=0,$G318=83),1,0))</f>
        <v>0</v>
      </c>
      <c r="AQ318" s="126">
        <f>IF($F318=Krank,1,IF($F318="J",-1,0))</f>
        <v>0</v>
      </c>
      <c r="AR318" s="126">
        <f>IF($F318=Urlaub,1,IF($F318="T",-1,0))</f>
        <v>0</v>
      </c>
      <c r="AS318" s="125">
        <f>IF(A318="","",AS317-IF(F318=Urlaub,1,0)+IF(AND(MONTH(A318)=1,DAY(A318)=1),B_UrlaubNeu,0))</f>
        <v>30</v>
      </c>
      <c r="AT318" s="125">
        <f ca="1">IF(A318="","",IF(D318=D317,AT317,OFFSET(AT318,-1,COLUMN(db_jUrlRest)-COLUMN()))+IF(AND(MONTH(A318)=1,DAY(A318)=1),B_UrlaubNeu,0))</f>
        <v>30</v>
      </c>
      <c r="AU318" s="135">
        <f>(IF(ISNUMBER(V318),V318,0)+IF(ISNUMBER(AD318),AD318,0))*24</f>
        <v>0</v>
      </c>
      <c r="AV318" s="125">
        <f>IF(ISNUMBER(AD318),K_ArbeitOverMax,IF(AND(ISNUMBER(AA318),AA318&gt;0),K_ArbeitOverTime,IF(AND(ISNUMBER(V318),V318&gt;0),K_ArbeitNormal,IF(F318=Krank,K_Krank,IF(F318=Urlaub,K_Urlaub,IF(AM318=Feiertag,K_Feiertag,IF(OR(AM318=6,AM318=7),K_Wochenende,0)))))))+IF(F318=Gleittag,K_Gleittag,0)</f>
        <v>0</v>
      </c>
      <c r="AW318" t="b">
        <f>OR((F318&gt;0),(NOT(ISBLANK(H318))),SUM(H318:H$373),SUM(G318:G$373))</f>
        <v>0</v>
      </c>
      <c r="AX318" t="b">
        <f ca="1">INDIRECT(ADDRESS(ROW(),COLUMN(xDay)))&gt;5</f>
        <v>0</v>
      </c>
      <c r="AY318" s="600">
        <f>IF(OR(R318&lt;&gt;0,F318&lt;&gt;0),AA318,IF(Z318="",0,-Z318))+(IF(AG318="+",AF318,-AF318))</f>
        <v>-0.29166666666666669</v>
      </c>
      <c r="AZ318" s="225">
        <f>SUM(AY$5:AY318)</f>
        <v>-62.708333333333137</v>
      </c>
      <c r="BA318" s="658"/>
      <c r="BB318" s="658">
        <f>IF(ISNA(MATCH(BA318,B_Arbeitsort,0)),0,MATCH(BA318,B_Arbeitsort,0))</f>
        <v>0</v>
      </c>
      <c r="BC318" s="658"/>
    </row>
    <row r="319" spans="1:55" ht="15.75">
      <c r="A319" s="305">
        <f>IF(A318="","",IF((A318+1)&gt;=DATE(YEAR(xJahr)+1,MONTH(xJahr),DAY(xJahr)),"",A318+1))</f>
        <v>43778</v>
      </c>
      <c r="B319" s="306">
        <f>IF(A319="","",A319)</f>
        <v>43778</v>
      </c>
      <c r="C319" s="307">
        <f>IF(A319="","",NumberOfWeek(A319))</f>
        <v>45</v>
      </c>
      <c r="D319" s="308">
        <f>IF(A319="","",DATE(YEAR(A319),MONTH(A319),1))</f>
        <v>43769</v>
      </c>
      <c r="E319" s="318" t="str">
        <f>IF((R319-U319)&gt;XWorkTimeMax,$Z$4,IF(AV319=Feiertag,VLOOKUP(B319,db_Feiertag,2,FALSE),""))</f>
        <v/>
      </c>
      <c r="F319" s="5"/>
      <c r="G319" s="6" t="str">
        <f>IF(ISBLANK(F319),IF(ISBLANK(H319),"",0),CODE(UPPER(F319)))</f>
        <v/>
      </c>
      <c r="H319" s="7"/>
      <c r="I319" s="7">
        <f>IF(H319&gt;0,H319+Y319+X319+AC319,0)</f>
        <v>0</v>
      </c>
      <c r="J319" s="113">
        <f>IF(K319&gt;I319,IF(I319&lt;H319,I319+1,I319)-B_WalkTime,IF(I319&lt;H319,I319+1,I319))</f>
        <v>0</v>
      </c>
      <c r="K319" s="7"/>
      <c r="L319" s="7">
        <f>IF(K319&gt;0,K319+IF((J319-H319)&lt;Y319,Y319-(J319-H319),TIME(0,10,0))+IF((K319-J319)&gt;xNoWorkTime,0,xNoWorkTime-(K319-J319)),0)</f>
        <v>0</v>
      </c>
      <c r="M319" s="113">
        <f>IF(L319&lt;K319,L319+1,L319)</f>
        <v>0</v>
      </c>
      <c r="N319" s="113"/>
      <c r="O319" s="113">
        <f>IF(N319&gt;0,N319+IF((J319-H319+M319-K319)&lt;Y319,Y319-(J319-H319+M319-K319),TIME(0,10,0))+IF((K319-J319+N319-M319)&gt;xNoWorkTime,0,xNoWorkTime-(K319-J319+N319-M319)),0)</f>
        <v>0</v>
      </c>
      <c r="P319" s="113"/>
      <c r="Q319" s="113">
        <f>IF(O319&lt;N319,O319+1,O319)</f>
        <v>0</v>
      </c>
      <c r="R319" s="113">
        <f>J319-H319+M319-K319+Q319-N319</f>
        <v>0</v>
      </c>
      <c r="S319" s="113">
        <f>IF(K319&gt;0,K319-I319,0)+IF(N319&gt;0,N319-L319)</f>
        <v>0</v>
      </c>
      <c r="T319" s="113">
        <f>IF(H319&gt;0,(IF(R319&gt;B_Pause1Nach,B_Pause1Dauer+IF(BA319="Büro",B_WalkTime,0),IF(BA319="Büro",B_WalkTime,0))+IF(R319&gt;B_Pause2Nach,B_Pause2Dauer,0)),0)</f>
        <v>0</v>
      </c>
      <c r="U319" s="113">
        <f>IF(T319&gt;S319,T319-S319,0)</f>
        <v>0</v>
      </c>
      <c r="V319" s="146">
        <f>IF(F319="S",Z319,(IF((R319-U319)&gt;XWorkTimeMax,XWorkTimeMax,IF((R319-U319)&gt;0,R319-U319,0))))</f>
        <v>0</v>
      </c>
      <c r="W319" s="66"/>
      <c r="X319" s="115">
        <f>xNoWorkTime</f>
        <v>4.027777777777778E-2</v>
      </c>
      <c r="Y319" s="110">
        <f>IF(AND((AM319&lt;Feiertag),(G319&lt;&gt;85)),IF(OR(F319="B",F319="G",F319="S",H319&gt;0),H319-H319+Z319,0),0)</f>
        <v>0</v>
      </c>
      <c r="Z319" s="111">
        <f>IF(AND(AM319&gt;0,AM319&lt;Feiertag),INDEX(Arbeitszeit,AM319),"")</f>
        <v>0.29166666666666669</v>
      </c>
      <c r="AA319" s="112">
        <f>V319-Y319</f>
        <v>0</v>
      </c>
      <c r="AB319" s="67" t="str">
        <f>IF((V319-Y319)&lt;0,"*","")</f>
        <v/>
      </c>
      <c r="AC319" s="193">
        <f>xOverTime</f>
        <v>0</v>
      </c>
      <c r="AD319" s="144" t="str">
        <f>IF((R319-U319)&gt;XWorkTimeMax,(R319-U319-XWorkTimeMax),"")</f>
        <v/>
      </c>
      <c r="AE319" s="225">
        <f>IF(AW319,(AE318+SUM(AA319)+(IF(AG319="+",AF319,-AF319))),)</f>
        <v>0</v>
      </c>
      <c r="AF319" s="110"/>
      <c r="AG319" s="627"/>
      <c r="AH319" s="110"/>
      <c r="AI319" s="110" t="str">
        <f>IF(AND(AF319&lt;&gt;"",AF319&lt;=V319),V319-AF319,"")</f>
        <v/>
      </c>
      <c r="AJ319" s="68">
        <f>IF(ISNUMBER(V319 ), IF( V319 &gt;= Y319, Y319, V319 ),"")</f>
        <v>0</v>
      </c>
      <c r="AK319" s="68">
        <f>IF( ISNUMBER( V319 ), IF( V319 &gt;= Y319, V319 - Y319, "" ), "" )</f>
        <v>0</v>
      </c>
      <c r="AL319" s="68" t="str">
        <f>IF( AND(ISNUMBER( V319 ),ISNUMBER( Y319 )), IF( V319 &gt;= Y319, "", Y319 - V319 ), "" )</f>
        <v/>
      </c>
      <c r="AM319">
        <f>IF(A319="",0,IF(ISERROR(VLOOKUP(A319,db_Feiertag,2,FALSE)),WEEKDAY(A319,2),Feiertag))</f>
        <v>5</v>
      </c>
      <c r="AN319" s="122">
        <f>SUM($AD$6:AD319)</f>
        <v>0</v>
      </c>
      <c r="AO319" s="122">
        <f ca="1">IF(D319=D318,AO318,OFFSET(AO319,-1,COLUMN(db_jSaldoGes)-COLUMN()))</f>
        <v>0</v>
      </c>
      <c r="AP319" s="126">
        <f>IF(OR($G319=-1,$G319=82),-1,IF(OR($G319=0,$G319=83),1,0))</f>
        <v>0</v>
      </c>
      <c r="AQ319" s="126">
        <f>IF($F319=Krank,1,IF($F319="J",-1,0))</f>
        <v>0</v>
      </c>
      <c r="AR319" s="126">
        <f>IF($F319=Urlaub,1,IF($F319="T",-1,0))</f>
        <v>0</v>
      </c>
      <c r="AS319" s="125">
        <f>IF(A319="","",AS318-IF(F319=Urlaub,1,0)+IF(AND(MONTH(A319)=1,DAY(A319)=1),B_UrlaubNeu,0))</f>
        <v>30</v>
      </c>
      <c r="AT319" s="125">
        <f ca="1">IF(A319="","",IF(D319=D318,AT318,OFFSET(AT319,-1,COLUMN(db_jUrlRest)-COLUMN()))+IF(AND(MONTH(A319)=1,DAY(A319)=1),B_UrlaubNeu,0))</f>
        <v>30</v>
      </c>
      <c r="AU319" s="135">
        <f>(IF(ISNUMBER(V319),V319,0)+IF(ISNUMBER(AD319),AD319,0))*24</f>
        <v>0</v>
      </c>
      <c r="AV319" s="125">
        <f>IF(ISNUMBER(AD319),K_ArbeitOverMax,IF(AND(ISNUMBER(AA319),AA319&gt;0),K_ArbeitOverTime,IF(AND(ISNUMBER(V319),V319&gt;0),K_ArbeitNormal,IF(F319=Krank,K_Krank,IF(F319=Urlaub,K_Urlaub,IF(AM319=Feiertag,K_Feiertag,IF(OR(AM319=6,AM319=7),K_Wochenende,0)))))))+IF(F319=Gleittag,K_Gleittag,0)</f>
        <v>0</v>
      </c>
      <c r="AW319" t="b">
        <f>OR((F319&gt;0),(NOT(ISBLANK(H319))),SUM(H319:H$373),SUM(G319:G$373))</f>
        <v>0</v>
      </c>
      <c r="AX319" t="b">
        <f ca="1">INDIRECT(ADDRESS(ROW(),COLUMN(xDay)))&gt;5</f>
        <v>0</v>
      </c>
      <c r="AY319" s="600">
        <f>IF(OR(R319&lt;&gt;0,F319&lt;&gt;0),AA319,IF(Z319="",0,-Z319))+(IF(AG319="+",AF319,-AF319))</f>
        <v>-0.29166666666666669</v>
      </c>
      <c r="AZ319" s="225">
        <f>SUM(AY$5:AY319)</f>
        <v>-62.999999999999801</v>
      </c>
      <c r="BA319" s="658"/>
      <c r="BB319" s="658">
        <f>IF(ISNA(MATCH(BA319,B_Arbeitsort,0)),0,MATCH(BA319,B_Arbeitsort,0))</f>
        <v>0</v>
      </c>
      <c r="BC319" s="658"/>
    </row>
    <row r="320" spans="1:55" ht="15.75">
      <c r="A320" s="305">
        <f>IF(A319="","",IF((A319+1)&gt;=DATE(YEAR(xJahr)+1,MONTH(xJahr),DAY(xJahr)),"",A319+1))</f>
        <v>43779</v>
      </c>
      <c r="B320" s="306">
        <f>IF(A320="","",A320)</f>
        <v>43779</v>
      </c>
      <c r="C320" s="307">
        <f>IF(A320="","",NumberOfWeek(A320))</f>
        <v>45</v>
      </c>
      <c r="D320" s="308">
        <f>IF(A320="","",DATE(YEAR(A320),MONTH(A320),1))</f>
        <v>43769</v>
      </c>
      <c r="E320" s="318" t="str">
        <f>IF((R320-U320)&gt;XWorkTimeMax,$Z$4,IF(AV320=Feiertag,VLOOKUP(B320,db_Feiertag,2,FALSE),""))</f>
        <v/>
      </c>
      <c r="F320" s="5"/>
      <c r="G320" s="6" t="str">
        <f>IF(ISBLANK(F320),IF(ISBLANK(H320),"",0),CODE(UPPER(F320)))</f>
        <v/>
      </c>
      <c r="H320" s="7"/>
      <c r="I320" s="7">
        <f>IF(H320&gt;0,H320+Y320+X320+AC320,0)</f>
        <v>0</v>
      </c>
      <c r="J320" s="113">
        <f>IF(K320&gt;I320,IF(I320&lt;H320,I320+1,I320)-B_WalkTime,IF(I320&lt;H320,I320+1,I320))</f>
        <v>0</v>
      </c>
      <c r="K320" s="7"/>
      <c r="L320" s="7">
        <f>IF(K320&gt;0,K320+IF((J320-H320)&lt;Y320,Y320-(J320-H320),TIME(0,10,0))+IF((K320-J320)&gt;xNoWorkTime,0,xNoWorkTime-(K320-J320)),0)</f>
        <v>0</v>
      </c>
      <c r="M320" s="113">
        <f>IF(L320&lt;K320,L320+1,L320)</f>
        <v>0</v>
      </c>
      <c r="N320" s="113"/>
      <c r="O320" s="113">
        <f>IF(N320&gt;0,N320+IF((J320-H320+M320-K320)&lt;Y320,Y320-(J320-H320+M320-K320),TIME(0,10,0))+IF((K320-J320+N320-M320)&gt;xNoWorkTime,0,xNoWorkTime-(K320-J320+N320-M320)),0)</f>
        <v>0</v>
      </c>
      <c r="P320" s="113"/>
      <c r="Q320" s="113">
        <f>IF(O320&lt;N320,O320+1,O320)</f>
        <v>0</v>
      </c>
      <c r="R320" s="113">
        <f>J320-H320+M320-K320+Q320-N320</f>
        <v>0</v>
      </c>
      <c r="S320" s="113">
        <f>IF(K320&gt;0,K320-I320,0)+IF(N320&gt;0,N320-L320)</f>
        <v>0</v>
      </c>
      <c r="T320" s="113">
        <f>IF(H320&gt;0,(IF(R320&gt;B_Pause1Nach,B_Pause1Dauer+IF(BA320="Büro",B_WalkTime,0),IF(BA320="Büro",B_WalkTime,0))+IF(R320&gt;B_Pause2Nach,B_Pause2Dauer,0)),0)</f>
        <v>0</v>
      </c>
      <c r="U320" s="113">
        <f>IF(T320&gt;S320,T320-S320,0)</f>
        <v>0</v>
      </c>
      <c r="V320" s="146">
        <f>IF(F320="S",Z320,(IF((R320-U320)&gt;XWorkTimeMax,XWorkTimeMax,IF((R320-U320)&gt;0,R320-U320,0))))</f>
        <v>0</v>
      </c>
      <c r="W320" s="66"/>
      <c r="X320" s="115">
        <f>xNoWorkTime</f>
        <v>4.027777777777778E-2</v>
      </c>
      <c r="Y320" s="110">
        <f>IF(AND((AM320&lt;Feiertag),(G320&lt;&gt;85)),IF(OR(F320="B",F320="G",F320="S",H320&gt;0),H320-H320+Z320,0),0)</f>
        <v>0</v>
      </c>
      <c r="Z320" s="111">
        <f>IF(AND(AM320&gt;0,AM320&lt;Feiertag),INDEX(Arbeitszeit,AM320),"")</f>
        <v>0</v>
      </c>
      <c r="AA320" s="112">
        <f>V320-Y320</f>
        <v>0</v>
      </c>
      <c r="AB320" s="67" t="str">
        <f>IF((V320-Y320)&lt;0,"*","")</f>
        <v/>
      </c>
      <c r="AC320" s="193">
        <f>xOverTime</f>
        <v>0</v>
      </c>
      <c r="AD320" s="144" t="str">
        <f>IF((R320-U320)&gt;XWorkTimeMax,(R320-U320-XWorkTimeMax),"")</f>
        <v/>
      </c>
      <c r="AE320" s="225">
        <f>IF(AW320,(AE319+SUM(AA320)+(IF(AG320="+",AF320,-AF320))),)</f>
        <v>0</v>
      </c>
      <c r="AF320" s="110"/>
      <c r="AG320" s="627"/>
      <c r="AH320" s="110"/>
      <c r="AI320" s="110" t="str">
        <f>IF(AND(AF320&lt;&gt;"",AF320&lt;=V320),V320-AF320,"")</f>
        <v/>
      </c>
      <c r="AJ320" s="68">
        <f>IF(ISNUMBER(V320 ), IF( V320 &gt;= Y320, Y320, V320 ),"")</f>
        <v>0</v>
      </c>
      <c r="AK320" s="68">
        <f>IF( ISNUMBER( V320 ), IF( V320 &gt;= Y320, V320 - Y320, "" ), "" )</f>
        <v>0</v>
      </c>
      <c r="AL320" s="68" t="str">
        <f>IF( AND(ISNUMBER( V320 ),ISNUMBER( Y320 )), IF( V320 &gt;= Y320, "", Y320 - V320 ), "" )</f>
        <v/>
      </c>
      <c r="AM320">
        <f>IF(A320="",0,IF(ISERROR(VLOOKUP(A320,db_Feiertag,2,FALSE)),WEEKDAY(A320,2),Feiertag))</f>
        <v>6</v>
      </c>
      <c r="AN320" s="122">
        <f>SUM($AD$6:AD320)</f>
        <v>0</v>
      </c>
      <c r="AO320" s="122">
        <f ca="1">IF(D320=D319,AO319,OFFSET(AO320,-1,COLUMN(db_jSaldoGes)-COLUMN()))</f>
        <v>0</v>
      </c>
      <c r="AP320" s="126">
        <f>IF(OR($G320=-1,$G320=82),-1,IF(OR($G320=0,$G320=83),1,0))</f>
        <v>0</v>
      </c>
      <c r="AQ320" s="126">
        <f>IF($F320=Krank,1,IF($F320="J",-1,0))</f>
        <v>0</v>
      </c>
      <c r="AR320" s="126">
        <f>IF($F320=Urlaub,1,IF($F320="T",-1,0))</f>
        <v>0</v>
      </c>
      <c r="AS320" s="125">
        <f>IF(A320="","",AS319-IF(F320=Urlaub,1,0)+IF(AND(MONTH(A320)=1,DAY(A320)=1),B_UrlaubNeu,0))</f>
        <v>30</v>
      </c>
      <c r="AT320" s="125">
        <f ca="1">IF(A320="","",IF(D320=D319,AT319,OFFSET(AT320,-1,COLUMN(db_jUrlRest)-COLUMN()))+IF(AND(MONTH(A320)=1,DAY(A320)=1),B_UrlaubNeu,0))</f>
        <v>30</v>
      </c>
      <c r="AU320" s="135">
        <f>(IF(ISNUMBER(V320),V320,0)+IF(ISNUMBER(AD320),AD320,0))*24</f>
        <v>0</v>
      </c>
      <c r="AV320" s="125">
        <f>IF(ISNUMBER(AD320),K_ArbeitOverMax,IF(AND(ISNUMBER(AA320),AA320&gt;0),K_ArbeitOverTime,IF(AND(ISNUMBER(V320),V320&gt;0),K_ArbeitNormal,IF(F320=Krank,K_Krank,IF(F320=Urlaub,K_Urlaub,IF(AM320=Feiertag,K_Feiertag,IF(OR(AM320=6,AM320=7),K_Wochenende,0)))))))+IF(F320=Gleittag,K_Gleittag,0)</f>
        <v>7</v>
      </c>
      <c r="AW320" t="b">
        <f>OR((F320&gt;0),(NOT(ISBLANK(H320))),SUM(H320:H$373),SUM(G320:G$373))</f>
        <v>0</v>
      </c>
      <c r="AX320" t="b">
        <f ca="1">INDIRECT(ADDRESS(ROW(),COLUMN(xDay)))&gt;5</f>
        <v>1</v>
      </c>
      <c r="AY320" s="600">
        <f>IF(OR(R320&lt;&gt;0,F320&lt;&gt;0),AA320,IF(Z320="",0,-Z320))+(IF(AG320="+",AF320,-AF320))</f>
        <v>0</v>
      </c>
      <c r="AZ320" s="225">
        <f>SUM(AY$5:AY320)</f>
        <v>-62.999999999999801</v>
      </c>
      <c r="BA320" s="643"/>
      <c r="BB320" s="658">
        <f>IF(ISNA(MATCH(BA320,B_Arbeitsort,0)),0,MATCH(BA320,B_Arbeitsort,0))</f>
        <v>0</v>
      </c>
      <c r="BC320" s="643"/>
    </row>
    <row r="321" spans="1:55" ht="15.75">
      <c r="A321" s="305">
        <f>IF(A320="","",IF((A320+1)&gt;=DATE(YEAR(xJahr)+1,MONTH(xJahr),DAY(xJahr)),"",A320+1))</f>
        <v>43780</v>
      </c>
      <c r="B321" s="306">
        <f>IF(A321="","",A321)</f>
        <v>43780</v>
      </c>
      <c r="C321" s="307">
        <f>IF(A321="","",NumberOfWeek(A321))</f>
        <v>45</v>
      </c>
      <c r="D321" s="308">
        <f>IF(A321="","",DATE(YEAR(A321),MONTH(A321),1))</f>
        <v>43769</v>
      </c>
      <c r="E321" s="318" t="str">
        <f>IF((R321-U321)&gt;XWorkTimeMax,$Z$4,IF(AV321=Feiertag,VLOOKUP(B321,db_Feiertag,2,FALSE),""))</f>
        <v/>
      </c>
      <c r="F321" s="5"/>
      <c r="G321" s="6" t="str">
        <f>IF(ISBLANK(F321),IF(ISBLANK(H321),"",0),CODE(UPPER(F321)))</f>
        <v/>
      </c>
      <c r="H321" s="7"/>
      <c r="I321" s="7">
        <f>IF(H321&gt;0,H321+Y321+X321+AC321,0)</f>
        <v>0</v>
      </c>
      <c r="J321" s="113">
        <f>IF(K321&gt;I321,IF(I321&lt;H321,I321+1,I321)-B_WalkTime,IF(I321&lt;H321,I321+1,I321))</f>
        <v>0</v>
      </c>
      <c r="K321" s="7"/>
      <c r="L321" s="7">
        <f>IF(K321&gt;0,K321+IF((J321-H321)&lt;Y321,Y321-(J321-H321),TIME(0,10,0))+IF((K321-J321)&gt;xNoWorkTime,0,xNoWorkTime-(K321-J321)),0)</f>
        <v>0</v>
      </c>
      <c r="M321" s="113">
        <f>IF(L321&lt;K321,L321+1,L321)</f>
        <v>0</v>
      </c>
      <c r="N321" s="113"/>
      <c r="O321" s="113">
        <f>IF(N321&gt;0,N321+IF((J321-H321+M321-K321)&lt;Y321,Y321-(J321-H321+M321-K321),TIME(0,10,0))+IF((K321-J321+N321-M321)&gt;xNoWorkTime,0,xNoWorkTime-(K321-J321+N321-M321)),0)</f>
        <v>0</v>
      </c>
      <c r="P321" s="113"/>
      <c r="Q321" s="113">
        <f>IF(O321&lt;N321,O321+1,O321)</f>
        <v>0</v>
      </c>
      <c r="R321" s="113">
        <f>J321-H321+M321-K321+Q321-N321</f>
        <v>0</v>
      </c>
      <c r="S321" s="113">
        <f>IF(K321&gt;0,K321-I321,0)+IF(N321&gt;0,N321-L321)</f>
        <v>0</v>
      </c>
      <c r="T321" s="113">
        <f>IF(H321&gt;0,(IF(R321&gt;B_Pause1Nach,B_Pause1Dauer+IF(BA321="Büro",B_WalkTime,0),IF(BA321="Büro",B_WalkTime,0))+IF(R321&gt;B_Pause2Nach,B_Pause2Dauer,0)),0)</f>
        <v>0</v>
      </c>
      <c r="U321" s="113">
        <f>IF(T321&gt;S321,T321-S321,0)</f>
        <v>0</v>
      </c>
      <c r="V321" s="146">
        <f>IF(F321="S",Z321,(IF((R321-U321)&gt;XWorkTimeMax,XWorkTimeMax,IF((R321-U321)&gt;0,R321-U321,0))))</f>
        <v>0</v>
      </c>
      <c r="W321" s="66"/>
      <c r="X321" s="115">
        <f>xNoWorkTime</f>
        <v>4.027777777777778E-2</v>
      </c>
      <c r="Y321" s="110">
        <f>IF(AND((AM321&lt;Feiertag),(G321&lt;&gt;85)),IF(OR(F321="B",F321="G",F321="S",H321&gt;0),H321-H321+Z321,0),0)</f>
        <v>0</v>
      </c>
      <c r="Z321" s="111">
        <f>IF(AND(AM321&gt;0,AM321&lt;Feiertag),INDEX(Arbeitszeit,AM321),"")</f>
        <v>0</v>
      </c>
      <c r="AA321" s="112">
        <f>V321-Y321</f>
        <v>0</v>
      </c>
      <c r="AB321" s="67" t="str">
        <f>IF((V321-Y321)&lt;0,"*","")</f>
        <v/>
      </c>
      <c r="AC321" s="193">
        <f>xOverTime</f>
        <v>0</v>
      </c>
      <c r="AD321" s="144" t="str">
        <f>IF((R321-U321)&gt;XWorkTimeMax,(R321-U321-XWorkTimeMax),"")</f>
        <v/>
      </c>
      <c r="AE321" s="225">
        <f>IF(AW321,(AE320+SUM(AA321)+(IF(AG321="+",AF321,-AF321))),)</f>
        <v>0</v>
      </c>
      <c r="AF321" s="110"/>
      <c r="AG321" s="627"/>
      <c r="AH321" s="110"/>
      <c r="AI321" s="110" t="str">
        <f>IF(AND(AF321&lt;&gt;"",AF321&lt;=V321),V321-AF321,"")</f>
        <v/>
      </c>
      <c r="AJ321" s="68">
        <f>IF(ISNUMBER(V321 ), IF( V321 &gt;= Y321, Y321, V321 ),"")</f>
        <v>0</v>
      </c>
      <c r="AK321" s="68">
        <f>IF( ISNUMBER( V321 ), IF( V321 &gt;= Y321, V321 - Y321, "" ), "" )</f>
        <v>0</v>
      </c>
      <c r="AL321" s="68" t="str">
        <f>IF( AND(ISNUMBER( V321 ),ISNUMBER( Y321 )), IF( V321 &gt;= Y321, "", Y321 - V321 ), "" )</f>
        <v/>
      </c>
      <c r="AM321">
        <f>IF(A321="",0,IF(ISERROR(VLOOKUP(A321,db_Feiertag,2,FALSE)),WEEKDAY(A321,2),Feiertag))</f>
        <v>7</v>
      </c>
      <c r="AN321" s="122">
        <f>SUM($AD$6:AD321)</f>
        <v>0</v>
      </c>
      <c r="AO321" s="122">
        <f ca="1">IF(D321=D320,AO320,OFFSET(AO321,-1,COLUMN(db_jSaldoGes)-COLUMN()))</f>
        <v>0</v>
      </c>
      <c r="AP321" s="126">
        <f>IF(OR($G321=-1,$G321=82),-1,IF(OR($G321=0,$G321=83),1,0))</f>
        <v>0</v>
      </c>
      <c r="AQ321" s="126">
        <f>IF($F321=Krank,1,IF($F321="J",-1,0))</f>
        <v>0</v>
      </c>
      <c r="AR321" s="126">
        <f>IF($F321=Urlaub,1,IF($F321="T",-1,0))</f>
        <v>0</v>
      </c>
      <c r="AS321" s="125">
        <f>IF(A321="","",AS320-IF(F321=Urlaub,1,0)+IF(AND(MONTH(A321)=1,DAY(A321)=1),B_UrlaubNeu,0))</f>
        <v>30</v>
      </c>
      <c r="AT321" s="125">
        <f ca="1">IF(A321="","",IF(D321=D320,AT320,OFFSET(AT321,-1,COLUMN(db_jUrlRest)-COLUMN()))+IF(AND(MONTH(A321)=1,DAY(A321)=1),B_UrlaubNeu,0))</f>
        <v>30</v>
      </c>
      <c r="AU321" s="135">
        <f>(IF(ISNUMBER(V321),V321,0)+IF(ISNUMBER(AD321),AD321,0))*24</f>
        <v>0</v>
      </c>
      <c r="AV321" s="125">
        <f>IF(ISNUMBER(AD321),K_ArbeitOverMax,IF(AND(ISNUMBER(AA321),AA321&gt;0),K_ArbeitOverTime,IF(AND(ISNUMBER(V321),V321&gt;0),K_ArbeitNormal,IF(F321=Krank,K_Krank,IF(F321=Urlaub,K_Urlaub,IF(AM321=Feiertag,K_Feiertag,IF(OR(AM321=6,AM321=7),K_Wochenende,0)))))))+IF(F321=Gleittag,K_Gleittag,0)</f>
        <v>7</v>
      </c>
      <c r="AW321" t="b">
        <f>OR((F321&gt;0),(NOT(ISBLANK(H321))),SUM(H321:H$373),SUM(G321:G$373))</f>
        <v>0</v>
      </c>
      <c r="AX321" t="b">
        <f ca="1">INDIRECT(ADDRESS(ROW(),COLUMN(xDay)))&gt;5</f>
        <v>1</v>
      </c>
      <c r="AY321" s="600">
        <f>IF(OR(R321&lt;&gt;0,F321&lt;&gt;0),AA321,IF(Z321="",0,-Z321))+(IF(AG321="+",AF321,-AF321))</f>
        <v>0</v>
      </c>
      <c r="AZ321" s="225">
        <f>SUM(AY$5:AY321)</f>
        <v>-62.999999999999801</v>
      </c>
      <c r="BA321" s="643"/>
      <c r="BB321" s="658">
        <f>IF(ISNA(MATCH(BA321,B_Arbeitsort,0)),0,MATCH(BA321,B_Arbeitsort,0))</f>
        <v>0</v>
      </c>
      <c r="BC321" s="643"/>
    </row>
    <row r="322" spans="1:55" ht="15.75">
      <c r="A322" s="305">
        <f>IF(A321="","",IF((A321+1)&gt;=DATE(YEAR(xJahr)+1,MONTH(xJahr),DAY(xJahr)),"",A321+1))</f>
        <v>43781</v>
      </c>
      <c r="B322" s="306">
        <f>IF(A322="","",A322)</f>
        <v>43781</v>
      </c>
      <c r="C322" s="307">
        <f>IF(A322="","",NumberOfWeek(A322))</f>
        <v>46</v>
      </c>
      <c r="D322" s="308">
        <f>IF(A322="","",DATE(YEAR(A322),MONTH(A322),1))</f>
        <v>43769</v>
      </c>
      <c r="E322" s="318" t="str">
        <f>IF((R322-U322)&gt;XWorkTimeMax,$Z$4,IF(AV322=Feiertag,VLOOKUP(B322,db_Feiertag,2,FALSE),""))</f>
        <v/>
      </c>
      <c r="F322" s="5"/>
      <c r="G322" s="6" t="str">
        <f>IF(ISBLANK(F322),IF(ISBLANK(H322),"",0),CODE(UPPER(F322)))</f>
        <v/>
      </c>
      <c r="H322" s="7"/>
      <c r="I322" s="7">
        <f>IF(H322&gt;0,H322+Y322+X322+AC322,0)</f>
        <v>0</v>
      </c>
      <c r="J322" s="113">
        <f>IF(K322&gt;I322,IF(I322&lt;H322,I322+1,I322)-B_WalkTime,IF(I322&lt;H322,I322+1,I322))</f>
        <v>0</v>
      </c>
      <c r="K322" s="7"/>
      <c r="L322" s="7">
        <f>IF(K322&gt;0,K322+IF((J322-H322)&lt;Y322,Y322-(J322-H322),TIME(0,10,0))+IF((K322-J322)&gt;xNoWorkTime,0,xNoWorkTime-(K322-J322)),0)</f>
        <v>0</v>
      </c>
      <c r="M322" s="113">
        <f>IF(L322&lt;K322,L322+1,L322)</f>
        <v>0</v>
      </c>
      <c r="N322" s="113"/>
      <c r="O322" s="113">
        <f>IF(N322&gt;0,N322+IF((J322-H322+M322-K322)&lt;Y322,Y322-(J322-H322+M322-K322),TIME(0,10,0))+IF((K322-J322+N322-M322)&gt;xNoWorkTime,0,xNoWorkTime-(K322-J322+N322-M322)),0)</f>
        <v>0</v>
      </c>
      <c r="P322" s="113"/>
      <c r="Q322" s="113">
        <f>IF(O322&lt;N322,O322+1,O322)</f>
        <v>0</v>
      </c>
      <c r="R322" s="113">
        <f>J322-H322+M322-K322+Q322-N322</f>
        <v>0</v>
      </c>
      <c r="S322" s="113">
        <f>IF(K322&gt;0,K322-I322,0)+IF(N322&gt;0,N322-L322)</f>
        <v>0</v>
      </c>
      <c r="T322" s="113">
        <f>IF(H322&gt;0,(IF(R322&gt;B_Pause1Nach,B_Pause1Dauer+IF(BA322="Büro",B_WalkTime,0),IF(BA322="Büro",B_WalkTime,0))+IF(R322&gt;B_Pause2Nach,B_Pause2Dauer,0)),0)</f>
        <v>0</v>
      </c>
      <c r="U322" s="113">
        <f>IF(T322&gt;S322,T322-S322,0)</f>
        <v>0</v>
      </c>
      <c r="V322" s="146">
        <f>IF(F322="S",Z322,(IF((R322-U322)&gt;XWorkTimeMax,XWorkTimeMax,IF((R322-U322)&gt;0,R322-U322,0))))</f>
        <v>0</v>
      </c>
      <c r="W322" s="66"/>
      <c r="X322" s="115">
        <f>xNoWorkTime</f>
        <v>4.027777777777778E-2</v>
      </c>
      <c r="Y322" s="110">
        <f>IF(AND((AM322&lt;Feiertag),(G322&lt;&gt;85)),IF(OR(F322="B",F322="G",F322="S",H322&gt;0),H322-H322+Z322,0),0)</f>
        <v>0</v>
      </c>
      <c r="Z322" s="111">
        <f>IF(AND(AM322&gt;0,AM322&lt;Feiertag),INDEX(Arbeitszeit,AM322),"")</f>
        <v>0.29166666666666669</v>
      </c>
      <c r="AA322" s="112">
        <f>V322-Y322</f>
        <v>0</v>
      </c>
      <c r="AB322" s="67" t="str">
        <f>IF((V322-Y322)&lt;0,"*","")</f>
        <v/>
      </c>
      <c r="AC322" s="193">
        <f>xOverTime</f>
        <v>0</v>
      </c>
      <c r="AD322" s="144" t="str">
        <f>IF((R322-U322)&gt;XWorkTimeMax,(R322-U322-XWorkTimeMax),"")</f>
        <v/>
      </c>
      <c r="AE322" s="225">
        <f>IF(AW322,(AE321+SUM(AA322)+(IF(AG322="+",AF322,-AF322))),)</f>
        <v>0</v>
      </c>
      <c r="AF322" s="110"/>
      <c r="AG322" s="627"/>
      <c r="AH322" s="110"/>
      <c r="AI322" s="110" t="str">
        <f>IF(AND(AF322&lt;&gt;"",AF322&lt;=V322),V322-AF322,"")</f>
        <v/>
      </c>
      <c r="AJ322" s="68">
        <f>IF(ISNUMBER(V322 ), IF( V322 &gt;= Y322, Y322, V322 ),"")</f>
        <v>0</v>
      </c>
      <c r="AK322" s="68">
        <f>IF( ISNUMBER( V322 ), IF( V322 &gt;= Y322, V322 - Y322, "" ), "" )</f>
        <v>0</v>
      </c>
      <c r="AL322" s="68" t="str">
        <f>IF( AND(ISNUMBER( V322 ),ISNUMBER( Y322 )), IF( V322 &gt;= Y322, "", Y322 - V322 ), "" )</f>
        <v/>
      </c>
      <c r="AM322">
        <f>IF(A322="",0,IF(ISERROR(VLOOKUP(A322,db_Feiertag,2,FALSE)),WEEKDAY(A322,2),Feiertag))</f>
        <v>1</v>
      </c>
      <c r="AN322" s="122">
        <f>SUM($AD$6:AD322)</f>
        <v>0</v>
      </c>
      <c r="AO322" s="122">
        <f ca="1">IF(D322=D321,AO321,OFFSET(AO322,-1,COLUMN(db_jSaldoGes)-COLUMN()))</f>
        <v>0</v>
      </c>
      <c r="AP322" s="126">
        <f>IF(OR($G322=-1,$G322=82),-1,IF(OR($G322=0,$G322=83),1,0))</f>
        <v>0</v>
      </c>
      <c r="AQ322" s="126">
        <f>IF($F322=Krank,1,IF($F322="J",-1,0))</f>
        <v>0</v>
      </c>
      <c r="AR322" s="126">
        <f>IF($F322=Urlaub,1,IF($F322="T",-1,0))</f>
        <v>0</v>
      </c>
      <c r="AS322" s="125">
        <f>IF(A322="","",AS321-IF(F322=Urlaub,1,0)+IF(AND(MONTH(A322)=1,DAY(A322)=1),B_UrlaubNeu,0))</f>
        <v>30</v>
      </c>
      <c r="AT322" s="125">
        <f ca="1">IF(A322="","",IF(D322=D321,AT321,OFFSET(AT322,-1,COLUMN(db_jUrlRest)-COLUMN()))+IF(AND(MONTH(A322)=1,DAY(A322)=1),B_UrlaubNeu,0))</f>
        <v>30</v>
      </c>
      <c r="AU322" s="135">
        <f>(IF(ISNUMBER(V322),V322,0)+IF(ISNUMBER(AD322),AD322,0))*24</f>
        <v>0</v>
      </c>
      <c r="AV322" s="125">
        <f>IF(ISNUMBER(AD322),K_ArbeitOverMax,IF(AND(ISNUMBER(AA322),AA322&gt;0),K_ArbeitOverTime,IF(AND(ISNUMBER(V322),V322&gt;0),K_ArbeitNormal,IF(F322=Krank,K_Krank,IF(F322=Urlaub,K_Urlaub,IF(AM322=Feiertag,K_Feiertag,IF(OR(AM322=6,AM322=7),K_Wochenende,0)))))))+IF(F322=Gleittag,K_Gleittag,0)</f>
        <v>0</v>
      </c>
      <c r="AW322" t="b">
        <f>OR((F322&gt;0),(NOT(ISBLANK(H322))),SUM(H322:H$373),SUM(G322:G$373))</f>
        <v>0</v>
      </c>
      <c r="AX322" t="b">
        <f ca="1">INDIRECT(ADDRESS(ROW(),COLUMN(xDay)))&gt;5</f>
        <v>0</v>
      </c>
      <c r="AY322" s="600">
        <f>IF(OR(R322&lt;&gt;0,F322&lt;&gt;0),AA322,IF(Z322="",0,-Z322))+(IF(AG322="+",AF322,-AF322))</f>
        <v>-0.29166666666666669</v>
      </c>
      <c r="AZ322" s="225">
        <f>SUM(AY$5:AY322)</f>
        <v>-63.291666666666465</v>
      </c>
      <c r="BA322" s="658"/>
      <c r="BB322" s="658">
        <f>IF(ISNA(MATCH(BA322,B_Arbeitsort,0)),0,MATCH(BA322,B_Arbeitsort,0))</f>
        <v>0</v>
      </c>
      <c r="BC322" s="658"/>
    </row>
    <row r="323" spans="1:55" ht="15.75">
      <c r="A323" s="305">
        <f>IF(A322="","",IF((A322+1)&gt;=DATE(YEAR(xJahr)+1,MONTH(xJahr),DAY(xJahr)),"",A322+1))</f>
        <v>43782</v>
      </c>
      <c r="B323" s="306">
        <f>IF(A323="","",A323)</f>
        <v>43782</v>
      </c>
      <c r="C323" s="307">
        <f>IF(A323="","",NumberOfWeek(A323))</f>
        <v>46</v>
      </c>
      <c r="D323" s="308">
        <f>IF(A323="","",DATE(YEAR(A323),MONTH(A323),1))</f>
        <v>43769</v>
      </c>
      <c r="E323" s="318" t="str">
        <f>IF((R323-U323)&gt;XWorkTimeMax,$Z$4,IF(AV323=Feiertag,VLOOKUP(B323,db_Feiertag,2,FALSE),""))</f>
        <v/>
      </c>
      <c r="F323" s="5"/>
      <c r="G323" s="6" t="str">
        <f>IF(ISBLANK(F323),IF(ISBLANK(H323),"",0),CODE(UPPER(F323)))</f>
        <v/>
      </c>
      <c r="H323" s="7"/>
      <c r="I323" s="7">
        <f>IF(H323&gt;0,H323+Y323+X323+AC323,0)</f>
        <v>0</v>
      </c>
      <c r="J323" s="113">
        <f>IF(K323&gt;I323,IF(I323&lt;H323,I323+1,I323)-B_WalkTime,IF(I323&lt;H323,I323+1,I323))</f>
        <v>0</v>
      </c>
      <c r="K323" s="7"/>
      <c r="L323" s="7">
        <f>IF(K323&gt;0,K323+IF((J323-H323)&lt;Y323,Y323-(J323-H323),TIME(0,10,0))+IF((K323-J323)&gt;xNoWorkTime,0,xNoWorkTime-(K323-J323)),0)</f>
        <v>0</v>
      </c>
      <c r="M323" s="113">
        <f>IF(L323&lt;K323,L323+1,L323)</f>
        <v>0</v>
      </c>
      <c r="N323" s="113"/>
      <c r="O323" s="113">
        <f>IF(N323&gt;0,N323+IF((J323-H323+M323-K323)&lt;Y323,Y323-(J323-H323+M323-K323),TIME(0,10,0))+IF((K323-J323+N323-M323)&gt;xNoWorkTime,0,xNoWorkTime-(K323-J323+N323-M323)),0)</f>
        <v>0</v>
      </c>
      <c r="P323" s="113"/>
      <c r="Q323" s="113">
        <f>IF(O323&lt;N323,O323+1,O323)</f>
        <v>0</v>
      </c>
      <c r="R323" s="113">
        <f>J323-H323+M323-K323+Q323-N323</f>
        <v>0</v>
      </c>
      <c r="S323" s="113">
        <f>IF(K323&gt;0,K323-I323,0)+IF(N323&gt;0,N323-L323)</f>
        <v>0</v>
      </c>
      <c r="T323" s="113">
        <f>IF(H323&gt;0,(IF(R323&gt;B_Pause1Nach,B_Pause1Dauer+IF(BA323="Büro",B_WalkTime,0),IF(BA323="Büro",B_WalkTime,0))+IF(R323&gt;B_Pause2Nach,B_Pause2Dauer,0)),0)</f>
        <v>0</v>
      </c>
      <c r="U323" s="113">
        <f>IF(T323&gt;S323,T323-S323,0)</f>
        <v>0</v>
      </c>
      <c r="V323" s="146">
        <f>IF(F323="S",Z323,(IF((R323-U323)&gt;XWorkTimeMax,XWorkTimeMax,IF((R323-U323)&gt;0,R323-U323,0))))</f>
        <v>0</v>
      </c>
      <c r="W323" s="66"/>
      <c r="X323" s="115">
        <f>xNoWorkTime</f>
        <v>4.027777777777778E-2</v>
      </c>
      <c r="Y323" s="110">
        <f>IF(AND((AM323&lt;Feiertag),(G323&lt;&gt;85)),IF(OR(F323="B",F323="G",F323="S",H323&gt;0),H323-H323+Z323,0),0)</f>
        <v>0</v>
      </c>
      <c r="Z323" s="111">
        <f>IF(AND(AM323&gt;0,AM323&lt;Feiertag),INDEX(Arbeitszeit,AM323),"")</f>
        <v>0.29166666666666669</v>
      </c>
      <c r="AA323" s="112">
        <f>V323-Y323</f>
        <v>0</v>
      </c>
      <c r="AB323" s="67" t="str">
        <f>IF((V323-Y323)&lt;0,"*","")</f>
        <v/>
      </c>
      <c r="AC323" s="193">
        <f>xOverTime</f>
        <v>0</v>
      </c>
      <c r="AD323" s="144" t="str">
        <f>IF((R323-U323)&gt;XWorkTimeMax,(R323-U323-XWorkTimeMax),"")</f>
        <v/>
      </c>
      <c r="AE323" s="225">
        <f>IF(AW323,(AE322+SUM(AA323)+(IF(AG323="+",AF323,-AF323))),)</f>
        <v>0</v>
      </c>
      <c r="AF323" s="110"/>
      <c r="AG323" s="627"/>
      <c r="AH323" s="110"/>
      <c r="AI323" s="110" t="str">
        <f>IF(AND(AF323&lt;&gt;"",AF323&lt;=V323),V323-AF323,"")</f>
        <v/>
      </c>
      <c r="AJ323" s="68">
        <f>IF(ISNUMBER(V323 ), IF( V323 &gt;= Y323, Y323, V323 ),"")</f>
        <v>0</v>
      </c>
      <c r="AK323" s="68">
        <f>IF( ISNUMBER( V323 ), IF( V323 &gt;= Y323, V323 - Y323, "" ), "" )</f>
        <v>0</v>
      </c>
      <c r="AL323" s="68" t="str">
        <f>IF( AND(ISNUMBER( V323 ),ISNUMBER( Y323 )), IF( V323 &gt;= Y323, "", Y323 - V323 ), "" )</f>
        <v/>
      </c>
      <c r="AM323">
        <f>IF(A323="",0,IF(ISERROR(VLOOKUP(A323,db_Feiertag,2,FALSE)),WEEKDAY(A323,2),Feiertag))</f>
        <v>2</v>
      </c>
      <c r="AN323" s="122">
        <f>SUM($AD$6:AD323)</f>
        <v>0</v>
      </c>
      <c r="AO323" s="122">
        <f ca="1">IF(D323=D322,AO322,OFFSET(AO323,-1,COLUMN(db_jSaldoGes)-COLUMN()))</f>
        <v>0</v>
      </c>
      <c r="AP323" s="126">
        <f>IF(OR($G323=-1,$G323=82),-1,IF(OR($G323=0,$G323=83),1,0))</f>
        <v>0</v>
      </c>
      <c r="AQ323" s="126">
        <f>IF($F323=Krank,1,IF($F323="J",-1,0))</f>
        <v>0</v>
      </c>
      <c r="AR323" s="126">
        <f>IF($F323=Urlaub,1,IF($F323="T",-1,0))</f>
        <v>0</v>
      </c>
      <c r="AS323" s="125">
        <f>IF(A323="","",AS322-IF(F323=Urlaub,1,0)+IF(AND(MONTH(A323)=1,DAY(A323)=1),B_UrlaubNeu,0))</f>
        <v>30</v>
      </c>
      <c r="AT323" s="125">
        <f ca="1">IF(A323="","",IF(D323=D322,AT322,OFFSET(AT323,-1,COLUMN(db_jUrlRest)-COLUMN()))+IF(AND(MONTH(A323)=1,DAY(A323)=1),B_UrlaubNeu,0))</f>
        <v>30</v>
      </c>
      <c r="AU323" s="135">
        <f>(IF(ISNUMBER(V323),V323,0)+IF(ISNUMBER(AD323),AD323,0))*24</f>
        <v>0</v>
      </c>
      <c r="AV323" s="125">
        <f>IF(ISNUMBER(AD323),K_ArbeitOverMax,IF(AND(ISNUMBER(AA323),AA323&gt;0),K_ArbeitOverTime,IF(AND(ISNUMBER(V323),V323&gt;0),K_ArbeitNormal,IF(F323=Krank,K_Krank,IF(F323=Urlaub,K_Urlaub,IF(AM323=Feiertag,K_Feiertag,IF(OR(AM323=6,AM323=7),K_Wochenende,0)))))))+IF(F323=Gleittag,K_Gleittag,0)</f>
        <v>0</v>
      </c>
      <c r="AW323" t="b">
        <f>OR((F323&gt;0),(NOT(ISBLANK(H323))),SUM(H323:H$373),SUM(G323:G$373))</f>
        <v>0</v>
      </c>
      <c r="AX323" t="b">
        <f ca="1">INDIRECT(ADDRESS(ROW(),COLUMN(xDay)))&gt;5</f>
        <v>0</v>
      </c>
      <c r="AY323" s="600">
        <f>IF(OR(R323&lt;&gt;0,F323&lt;&gt;0),AA323,IF(Z323="",0,-Z323))+(IF(AG323="+",AF323,-AF323))</f>
        <v>-0.29166666666666669</v>
      </c>
      <c r="AZ323" s="225">
        <f>SUM(AY$5:AY323)</f>
        <v>-63.58333333333313</v>
      </c>
      <c r="BA323" s="658"/>
      <c r="BB323" s="658">
        <f>IF(ISNA(MATCH(BA323,B_Arbeitsort,0)),0,MATCH(BA323,B_Arbeitsort,0))</f>
        <v>0</v>
      </c>
      <c r="BC323" s="658"/>
    </row>
    <row r="324" spans="1:55" ht="15.75">
      <c r="A324" s="305">
        <f>IF(A323="","",IF((A323+1)&gt;=DATE(YEAR(xJahr)+1,MONTH(xJahr),DAY(xJahr)),"",A323+1))</f>
        <v>43783</v>
      </c>
      <c r="B324" s="306">
        <f>IF(A324="","",A324)</f>
        <v>43783</v>
      </c>
      <c r="C324" s="307">
        <f>IF(A324="","",NumberOfWeek(A324))</f>
        <v>46</v>
      </c>
      <c r="D324" s="308">
        <f>IF(A324="","",DATE(YEAR(A324),MONTH(A324),1))</f>
        <v>43769</v>
      </c>
      <c r="E324" s="318" t="str">
        <f>IF((R324-U324)&gt;XWorkTimeMax,$Z$4,IF(AV324=Feiertag,VLOOKUP(B324,db_Feiertag,2,FALSE),""))</f>
        <v/>
      </c>
      <c r="F324" s="5"/>
      <c r="G324" s="6" t="str">
        <f>IF(ISBLANK(F324),IF(ISBLANK(H324),"",0),CODE(UPPER(F324)))</f>
        <v/>
      </c>
      <c r="H324" s="7"/>
      <c r="I324" s="7">
        <f>IF(H324&gt;0,H324+Y324+X324+AC324,0)</f>
        <v>0</v>
      </c>
      <c r="J324" s="113">
        <f>IF(K324&gt;I324,IF(I324&lt;H324,I324+1,I324)-B_WalkTime,IF(I324&lt;H324,I324+1,I324))</f>
        <v>0</v>
      </c>
      <c r="K324" s="7"/>
      <c r="L324" s="7">
        <f>IF(K324&gt;0,K324+IF((J324-H324)&lt;Y324,Y324-(J324-H324),TIME(0,10,0))+IF((K324-J324)&gt;xNoWorkTime,0,xNoWorkTime-(K324-J324)),0)</f>
        <v>0</v>
      </c>
      <c r="M324" s="113">
        <f>IF(L324&lt;K324,L324+1,L324)</f>
        <v>0</v>
      </c>
      <c r="N324" s="113"/>
      <c r="O324" s="113">
        <f>IF(N324&gt;0,N324+IF((J324-H324+M324-K324)&lt;Y324,Y324-(J324-H324+M324-K324),TIME(0,10,0))+IF((K324-J324+N324-M324)&gt;xNoWorkTime,0,xNoWorkTime-(K324-J324+N324-M324)),0)</f>
        <v>0</v>
      </c>
      <c r="P324" s="113"/>
      <c r="Q324" s="113">
        <f>IF(O324&lt;N324,O324+1,O324)</f>
        <v>0</v>
      </c>
      <c r="R324" s="113">
        <f>J324-H324+M324-K324+Q324-N324</f>
        <v>0</v>
      </c>
      <c r="S324" s="113">
        <f>IF(K324&gt;0,K324-I324,0)+IF(N324&gt;0,N324-L324)</f>
        <v>0</v>
      </c>
      <c r="T324" s="113">
        <f>IF(H324&gt;0,(IF(R324&gt;B_Pause1Nach,B_Pause1Dauer+IF(BA324="Büro",B_WalkTime,0),IF(BA324="Büro",B_WalkTime,0))+IF(R324&gt;B_Pause2Nach,B_Pause2Dauer,0)),0)</f>
        <v>0</v>
      </c>
      <c r="U324" s="113">
        <f>IF(T324&gt;S324,T324-S324,0)</f>
        <v>0</v>
      </c>
      <c r="V324" s="146">
        <f>IF(F324="S",Z324,(IF((R324-U324)&gt;XWorkTimeMax,XWorkTimeMax,IF((R324-U324)&gt;0,R324-U324,0))))</f>
        <v>0</v>
      </c>
      <c r="W324" s="66"/>
      <c r="X324" s="115">
        <f>xNoWorkTime</f>
        <v>4.027777777777778E-2</v>
      </c>
      <c r="Y324" s="110">
        <f>IF(AND((AM324&lt;Feiertag),(G324&lt;&gt;85)),IF(OR(F324="B",F324="G",F324="S",H324&gt;0),H324-H324+Z324,0),0)</f>
        <v>0</v>
      </c>
      <c r="Z324" s="111">
        <f>IF(AND(AM324&gt;0,AM324&lt;Feiertag),INDEX(Arbeitszeit,AM324),"")</f>
        <v>0.29166666666666669</v>
      </c>
      <c r="AA324" s="112">
        <f>V324-Y324</f>
        <v>0</v>
      </c>
      <c r="AB324" s="67" t="str">
        <f>IF((V324-Y324)&lt;0,"*","")</f>
        <v/>
      </c>
      <c r="AC324" s="193">
        <f>xOverTime</f>
        <v>0</v>
      </c>
      <c r="AD324" s="144" t="str">
        <f>IF((R324-U324)&gt;XWorkTimeMax,(R324-U324-XWorkTimeMax),"")</f>
        <v/>
      </c>
      <c r="AE324" s="225">
        <f>IF(AW324,(AE323+SUM(AA324)+(IF(AG324="+",AF324,-AF324))),)</f>
        <v>0</v>
      </c>
      <c r="AF324" s="110"/>
      <c r="AG324" s="627"/>
      <c r="AH324" s="110"/>
      <c r="AI324" s="110" t="str">
        <f>IF(AND(AF324&lt;&gt;"",AF324&lt;=V324),V324-AF324,"")</f>
        <v/>
      </c>
      <c r="AJ324" s="68">
        <f>IF(ISNUMBER(V324 ), IF( V324 &gt;= Y324, Y324, V324 ),"")</f>
        <v>0</v>
      </c>
      <c r="AK324" s="68">
        <f>IF( ISNUMBER( V324 ), IF( V324 &gt;= Y324, V324 - Y324, "" ), "" )</f>
        <v>0</v>
      </c>
      <c r="AL324" s="68" t="str">
        <f>IF( AND(ISNUMBER( V324 ),ISNUMBER( Y324 )), IF( V324 &gt;= Y324, "", Y324 - V324 ), "" )</f>
        <v/>
      </c>
      <c r="AM324">
        <f>IF(A324="",0,IF(ISERROR(VLOOKUP(A324,db_Feiertag,2,FALSE)),WEEKDAY(A324,2),Feiertag))</f>
        <v>3</v>
      </c>
      <c r="AN324" s="122">
        <f>SUM($AD$6:AD324)</f>
        <v>0</v>
      </c>
      <c r="AO324" s="122">
        <f ca="1">IF(D324=D323,AO323,OFFSET(AO324,-1,COLUMN(db_jSaldoGes)-COLUMN()))</f>
        <v>0</v>
      </c>
      <c r="AP324" s="126">
        <f>IF(OR($G324=-1,$G324=82),-1,IF(OR($G324=0,$G324=83),1,0))</f>
        <v>0</v>
      </c>
      <c r="AQ324" s="126">
        <f>IF($F324=Krank,1,IF($F324="J",-1,0))</f>
        <v>0</v>
      </c>
      <c r="AR324" s="126">
        <f>IF($F324=Urlaub,1,IF($F324="T",-1,0))</f>
        <v>0</v>
      </c>
      <c r="AS324" s="125">
        <f>IF(A324="","",AS323-IF(F324=Urlaub,1,0)+IF(AND(MONTH(A324)=1,DAY(A324)=1),B_UrlaubNeu,0))</f>
        <v>30</v>
      </c>
      <c r="AT324" s="125">
        <f ca="1">IF(A324="","",IF(D324=D323,AT323,OFFSET(AT324,-1,COLUMN(db_jUrlRest)-COLUMN()))+IF(AND(MONTH(A324)=1,DAY(A324)=1),B_UrlaubNeu,0))</f>
        <v>30</v>
      </c>
      <c r="AU324" s="135">
        <f>(IF(ISNUMBER(V324),V324,0)+IF(ISNUMBER(AD324),AD324,0))*24</f>
        <v>0</v>
      </c>
      <c r="AV324" s="125">
        <f>IF(ISNUMBER(AD324),K_ArbeitOverMax,IF(AND(ISNUMBER(AA324),AA324&gt;0),K_ArbeitOverTime,IF(AND(ISNUMBER(V324),V324&gt;0),K_ArbeitNormal,IF(F324=Krank,K_Krank,IF(F324=Urlaub,K_Urlaub,IF(AM324=Feiertag,K_Feiertag,IF(OR(AM324=6,AM324=7),K_Wochenende,0)))))))+IF(F324=Gleittag,K_Gleittag,0)</f>
        <v>0</v>
      </c>
      <c r="AW324" t="b">
        <f>OR((F324&gt;0),(NOT(ISBLANK(H324))),SUM(H324:H$373),SUM(G324:G$373))</f>
        <v>0</v>
      </c>
      <c r="AX324" t="b">
        <f ca="1">INDIRECT(ADDRESS(ROW(),COLUMN(xDay)))&gt;5</f>
        <v>0</v>
      </c>
      <c r="AY324" s="600">
        <f>IF(OR(R324&lt;&gt;0,F324&lt;&gt;0),AA324,IF(Z324="",0,-Z324))+(IF(AG324="+",AF324,-AF324))</f>
        <v>-0.29166666666666669</v>
      </c>
      <c r="AZ324" s="225">
        <f>SUM(AY$5:AY324)</f>
        <v>-63.874999999999794</v>
      </c>
      <c r="BA324" s="658"/>
      <c r="BB324" s="658">
        <f>IF(ISNA(MATCH(BA324,B_Arbeitsort,0)),0,MATCH(BA324,B_Arbeitsort,0))</f>
        <v>0</v>
      </c>
      <c r="BC324" s="658"/>
    </row>
    <row r="325" spans="1:55" ht="15.75">
      <c r="A325" s="305">
        <f>IF(A324="","",IF((A324+1)&gt;=DATE(YEAR(xJahr)+1,MONTH(xJahr),DAY(xJahr)),"",A324+1))</f>
        <v>43784</v>
      </c>
      <c r="B325" s="306">
        <f>IF(A325="","",A325)</f>
        <v>43784</v>
      </c>
      <c r="C325" s="307">
        <f>IF(A325="","",NumberOfWeek(A325))</f>
        <v>46</v>
      </c>
      <c r="D325" s="308">
        <f>IF(A325="","",DATE(YEAR(A325),MONTH(A325),1))</f>
        <v>43769</v>
      </c>
      <c r="E325" s="318" t="str">
        <f>IF((R325-U325)&gt;XWorkTimeMax,$Z$4,IF(AV325=Feiertag,VLOOKUP(B325,db_Feiertag,2,FALSE),""))</f>
        <v/>
      </c>
      <c r="F325" s="5"/>
      <c r="G325" s="6" t="str">
        <f>IF(ISBLANK(F325),IF(ISBLANK(H325),"",0),CODE(UPPER(F325)))</f>
        <v/>
      </c>
      <c r="H325" s="7"/>
      <c r="I325" s="7">
        <f>IF(H325&gt;0,H325+Y325+X325+AC325,0)</f>
        <v>0</v>
      </c>
      <c r="J325" s="113">
        <f>IF(K325&gt;I325,IF(I325&lt;H325,I325+1,I325)-B_WalkTime,IF(I325&lt;H325,I325+1,I325))</f>
        <v>0</v>
      </c>
      <c r="K325" s="7"/>
      <c r="L325" s="7">
        <f>IF(K325&gt;0,K325+IF((J325-H325)&lt;Y325,Y325-(J325-H325),TIME(0,10,0))+IF((K325-J325)&gt;xNoWorkTime,0,xNoWorkTime-(K325-J325)),0)</f>
        <v>0</v>
      </c>
      <c r="M325" s="113">
        <f>IF(L325&lt;K325,L325+1,L325)</f>
        <v>0</v>
      </c>
      <c r="N325" s="113"/>
      <c r="O325" s="113">
        <f>IF(N325&gt;0,N325+IF((J325-H325+M325-K325)&lt;Y325,Y325-(J325-H325+M325-K325),TIME(0,10,0))+IF((K325-J325+N325-M325)&gt;xNoWorkTime,0,xNoWorkTime-(K325-J325+N325-M325)),0)</f>
        <v>0</v>
      </c>
      <c r="P325" s="113"/>
      <c r="Q325" s="113">
        <f>IF(O325&lt;N325,O325+1,O325)</f>
        <v>0</v>
      </c>
      <c r="R325" s="113">
        <f>J325-H325+M325-K325+Q325-N325</f>
        <v>0</v>
      </c>
      <c r="S325" s="113">
        <f>IF(K325&gt;0,K325-I325,0)+IF(N325&gt;0,N325-L325)</f>
        <v>0</v>
      </c>
      <c r="T325" s="113">
        <f>IF(H325&gt;0,(IF(R325&gt;B_Pause1Nach,B_Pause1Dauer+IF(BA325="Büro",B_WalkTime,0),IF(BA325="Büro",B_WalkTime,0))+IF(R325&gt;B_Pause2Nach,B_Pause2Dauer,0)),0)</f>
        <v>0</v>
      </c>
      <c r="U325" s="113">
        <f>IF(T325&gt;S325,T325-S325,0)</f>
        <v>0</v>
      </c>
      <c r="V325" s="146">
        <f>IF(F325="S",Z325,(IF((R325-U325)&gt;XWorkTimeMax,XWorkTimeMax,IF((R325-U325)&gt;0,R325-U325,0))))</f>
        <v>0</v>
      </c>
      <c r="W325" s="66"/>
      <c r="X325" s="115">
        <f>xNoWorkTime</f>
        <v>4.027777777777778E-2</v>
      </c>
      <c r="Y325" s="110">
        <f>IF(AND((AM325&lt;Feiertag),(G325&lt;&gt;85)),IF(OR(F325="B",F325="G",F325="S",H325&gt;0),H325-H325+Z325,0),0)</f>
        <v>0</v>
      </c>
      <c r="Z325" s="111">
        <f>IF(AND(AM325&gt;0,AM325&lt;Feiertag),INDEX(Arbeitszeit,AM325),"")</f>
        <v>0.29166666666666669</v>
      </c>
      <c r="AA325" s="112">
        <f>V325-Y325</f>
        <v>0</v>
      </c>
      <c r="AB325" s="67" t="str">
        <f>IF((V325-Y325)&lt;0,"*","")</f>
        <v/>
      </c>
      <c r="AC325" s="193">
        <f>xOverTime</f>
        <v>0</v>
      </c>
      <c r="AD325" s="144" t="str">
        <f>IF((R325-U325)&gt;XWorkTimeMax,(R325-U325-XWorkTimeMax),"")</f>
        <v/>
      </c>
      <c r="AE325" s="225">
        <f>IF(AW325,(AE324+SUM(AA325)+(IF(AG325="+",AF325,-AF325))),)</f>
        <v>0</v>
      </c>
      <c r="AF325" s="110"/>
      <c r="AG325" s="627"/>
      <c r="AH325" s="110"/>
      <c r="AI325" s="110" t="str">
        <f>IF(AND(AF325&lt;&gt;"",AF325&lt;=V325),V325-AF325,"")</f>
        <v/>
      </c>
      <c r="AJ325" s="68">
        <f>IF(ISNUMBER(V325 ), IF( V325 &gt;= Y325, Y325, V325 ),"")</f>
        <v>0</v>
      </c>
      <c r="AK325" s="68">
        <f>IF( ISNUMBER( V325 ), IF( V325 &gt;= Y325, V325 - Y325, "" ), "" )</f>
        <v>0</v>
      </c>
      <c r="AL325" s="68" t="str">
        <f>IF( AND(ISNUMBER( V325 ),ISNUMBER( Y325 )), IF( V325 &gt;= Y325, "", Y325 - V325 ), "" )</f>
        <v/>
      </c>
      <c r="AM325">
        <f>IF(A325="",0,IF(ISERROR(VLOOKUP(A325,db_Feiertag,2,FALSE)),WEEKDAY(A325,2),Feiertag))</f>
        <v>4</v>
      </c>
      <c r="AN325" s="122">
        <f>SUM($AD$6:AD325)</f>
        <v>0</v>
      </c>
      <c r="AO325" s="122">
        <f ca="1">IF(D325=D324,AO324,OFFSET(AO325,-1,COLUMN(db_jSaldoGes)-COLUMN()))</f>
        <v>0</v>
      </c>
      <c r="AP325" s="126">
        <f>IF(OR($G325=-1,$G325=82),-1,IF(OR($G325=0,$G325=83),1,0))</f>
        <v>0</v>
      </c>
      <c r="AQ325" s="126">
        <f>IF($F325=Krank,1,IF($F325="J",-1,0))</f>
        <v>0</v>
      </c>
      <c r="AR325" s="126">
        <f>IF($F325=Urlaub,1,IF($F325="T",-1,0))</f>
        <v>0</v>
      </c>
      <c r="AS325" s="125">
        <f>IF(A325="","",AS324-IF(F325=Urlaub,1,0)+IF(AND(MONTH(A325)=1,DAY(A325)=1),B_UrlaubNeu,0))</f>
        <v>30</v>
      </c>
      <c r="AT325" s="125">
        <f ca="1">IF(A325="","",IF(D325=D324,AT324,OFFSET(AT325,-1,COLUMN(db_jUrlRest)-COLUMN()))+IF(AND(MONTH(A325)=1,DAY(A325)=1),B_UrlaubNeu,0))</f>
        <v>30</v>
      </c>
      <c r="AU325" s="135">
        <f>(IF(ISNUMBER(V325),V325,0)+IF(ISNUMBER(AD325),AD325,0))*24</f>
        <v>0</v>
      </c>
      <c r="AV325" s="125">
        <f>IF(ISNUMBER(AD325),K_ArbeitOverMax,IF(AND(ISNUMBER(AA325),AA325&gt;0),K_ArbeitOverTime,IF(AND(ISNUMBER(V325),V325&gt;0),K_ArbeitNormal,IF(F325=Krank,K_Krank,IF(F325=Urlaub,K_Urlaub,IF(AM325=Feiertag,K_Feiertag,IF(OR(AM325=6,AM325=7),K_Wochenende,0)))))))+IF(F325=Gleittag,K_Gleittag,0)</f>
        <v>0</v>
      </c>
      <c r="AW325" t="b">
        <f>OR((F325&gt;0),(NOT(ISBLANK(H325))),SUM(H325:H$373),SUM(G325:G$373))</f>
        <v>0</v>
      </c>
      <c r="AX325" t="b">
        <f ca="1">INDIRECT(ADDRESS(ROW(),COLUMN(xDay)))&gt;5</f>
        <v>0</v>
      </c>
      <c r="AY325" s="600">
        <f>IF(OR(R325&lt;&gt;0,F325&lt;&gt;0),AA325,IF(Z325="",0,-Z325))+(IF(AG325="+",AF325,-AF325))</f>
        <v>-0.29166666666666669</v>
      </c>
      <c r="AZ325" s="225">
        <f>SUM(AY$5:AY325)</f>
        <v>-64.166666666666458</v>
      </c>
      <c r="BA325" s="658"/>
      <c r="BB325" s="658">
        <f>IF(ISNA(MATCH(BA325,B_Arbeitsort,0)),0,MATCH(BA325,B_Arbeitsort,0))</f>
        <v>0</v>
      </c>
      <c r="BC325" s="658"/>
    </row>
    <row r="326" spans="1:55" ht="15.75">
      <c r="A326" s="305">
        <f>IF(A325="","",IF((A325+1)&gt;=DATE(YEAR(xJahr)+1,MONTH(xJahr),DAY(xJahr)),"",A325+1))</f>
        <v>43785</v>
      </c>
      <c r="B326" s="306">
        <f>IF(A326="","",A326)</f>
        <v>43785</v>
      </c>
      <c r="C326" s="307">
        <f>IF(A326="","",NumberOfWeek(A326))</f>
        <v>46</v>
      </c>
      <c r="D326" s="308">
        <f>IF(A326="","",DATE(YEAR(A326),MONTH(A326),1))</f>
        <v>43769</v>
      </c>
      <c r="E326" s="318" t="str">
        <f>IF((R326-U326)&gt;XWorkTimeMax,$Z$4,IF(AV326=Feiertag,VLOOKUP(B326,db_Feiertag,2,FALSE),""))</f>
        <v/>
      </c>
      <c r="F326" s="5"/>
      <c r="G326" s="6" t="str">
        <f>IF(ISBLANK(F326),IF(ISBLANK(H326),"",0),CODE(UPPER(F326)))</f>
        <v/>
      </c>
      <c r="H326" s="7"/>
      <c r="I326" s="7">
        <f>IF(H326&gt;0,H326+Y326+X326+AC326,0)</f>
        <v>0</v>
      </c>
      <c r="J326" s="113">
        <f>IF(K326&gt;I326,IF(I326&lt;H326,I326+1,I326)-B_WalkTime,IF(I326&lt;H326,I326+1,I326))</f>
        <v>0</v>
      </c>
      <c r="K326" s="7"/>
      <c r="L326" s="7">
        <f>IF(K326&gt;0,K326+IF((J326-H326)&lt;Y326,Y326-(J326-H326),TIME(0,10,0))+IF((K326-J326)&gt;xNoWorkTime,0,xNoWorkTime-(K326-J326)),0)</f>
        <v>0</v>
      </c>
      <c r="M326" s="113">
        <f>IF(L326&lt;K326,L326+1,L326)</f>
        <v>0</v>
      </c>
      <c r="N326" s="113"/>
      <c r="O326" s="113">
        <f>IF(N326&gt;0,N326+IF((J326-H326+M326-K326)&lt;Y326,Y326-(J326-H326+M326-K326),TIME(0,10,0))+IF((K326-J326+N326-M326)&gt;xNoWorkTime,0,xNoWorkTime-(K326-J326+N326-M326)),0)</f>
        <v>0</v>
      </c>
      <c r="P326" s="113"/>
      <c r="Q326" s="113">
        <f>IF(O326&lt;N326,O326+1,O326)</f>
        <v>0</v>
      </c>
      <c r="R326" s="113">
        <f>J326-H326+M326-K326+Q326-N326</f>
        <v>0</v>
      </c>
      <c r="S326" s="113">
        <f>IF(K326&gt;0,K326-I326,0)+IF(N326&gt;0,N326-L326)</f>
        <v>0</v>
      </c>
      <c r="T326" s="113">
        <f>IF(H326&gt;0,(IF(R326&gt;B_Pause1Nach,B_Pause1Dauer+IF(BA326="Büro",B_WalkTime,0),IF(BA326="Büro",B_WalkTime,0))+IF(R326&gt;B_Pause2Nach,B_Pause2Dauer,0)),0)</f>
        <v>0</v>
      </c>
      <c r="U326" s="113">
        <f>IF(T326&gt;S326,T326-S326,0)</f>
        <v>0</v>
      </c>
      <c r="V326" s="146">
        <f>IF(F326="S",Z326,(IF((R326-U326)&gt;XWorkTimeMax,XWorkTimeMax,IF((R326-U326)&gt;0,R326-U326,0))))</f>
        <v>0</v>
      </c>
      <c r="W326" s="66"/>
      <c r="X326" s="115">
        <f>xNoWorkTime</f>
        <v>4.027777777777778E-2</v>
      </c>
      <c r="Y326" s="110">
        <f>IF(AND((AM326&lt;Feiertag),(G326&lt;&gt;85)),IF(OR(F326="B",F326="G",F326="S",H326&gt;0),H326-H326+Z326,0),0)</f>
        <v>0</v>
      </c>
      <c r="Z326" s="111">
        <f>IF(AND(AM326&gt;0,AM326&lt;Feiertag),INDEX(Arbeitszeit,AM326),"")</f>
        <v>0.29166666666666669</v>
      </c>
      <c r="AA326" s="112">
        <f>V326-Y326</f>
        <v>0</v>
      </c>
      <c r="AB326" s="67" t="str">
        <f>IF((V326-Y326)&lt;0,"*","")</f>
        <v/>
      </c>
      <c r="AC326" s="193">
        <f>xOverTime</f>
        <v>0</v>
      </c>
      <c r="AD326" s="144" t="str">
        <f>IF((R326-U326)&gt;XWorkTimeMax,(R326-U326-XWorkTimeMax),"")</f>
        <v/>
      </c>
      <c r="AE326" s="225">
        <f>IF(AW326,(AE325+SUM(AA326)+(IF(AG326="+",AF326,-AF326))),)</f>
        <v>0</v>
      </c>
      <c r="AF326" s="110"/>
      <c r="AG326" s="627"/>
      <c r="AH326" s="110"/>
      <c r="AI326" s="110" t="str">
        <f>IF(AND(AF326&lt;&gt;"",AF326&lt;=V326),V326-AF326,"")</f>
        <v/>
      </c>
      <c r="AJ326" s="68">
        <f>IF(ISNUMBER(V326 ), IF( V326 &gt;= Y326, Y326, V326 ),"")</f>
        <v>0</v>
      </c>
      <c r="AK326" s="68">
        <f>IF( ISNUMBER( V326 ), IF( V326 &gt;= Y326, V326 - Y326, "" ), "" )</f>
        <v>0</v>
      </c>
      <c r="AL326" s="68" t="str">
        <f>IF( AND(ISNUMBER( V326 ),ISNUMBER( Y326 )), IF( V326 &gt;= Y326, "", Y326 - V326 ), "" )</f>
        <v/>
      </c>
      <c r="AM326">
        <f>IF(A326="",0,IF(ISERROR(VLOOKUP(A326,db_Feiertag,2,FALSE)),WEEKDAY(A326,2),Feiertag))</f>
        <v>5</v>
      </c>
      <c r="AN326" s="122">
        <f>SUM($AD$6:AD326)</f>
        <v>0</v>
      </c>
      <c r="AO326" s="122">
        <f ca="1">IF(D326=D325,AO325,OFFSET(AO326,-1,COLUMN(db_jSaldoGes)-COLUMN()))</f>
        <v>0</v>
      </c>
      <c r="AP326" s="126">
        <f>IF(OR($G326=-1,$G326=82),-1,IF(OR($G326=0,$G326=83),1,0))</f>
        <v>0</v>
      </c>
      <c r="AQ326" s="126">
        <f>IF($F326=Krank,1,IF($F326="J",-1,0))</f>
        <v>0</v>
      </c>
      <c r="AR326" s="126">
        <f>IF($F326=Urlaub,1,IF($F326="T",-1,0))</f>
        <v>0</v>
      </c>
      <c r="AS326" s="125">
        <f>IF(A326="","",AS325-IF(F326=Urlaub,1,0)+IF(AND(MONTH(A326)=1,DAY(A326)=1),B_UrlaubNeu,0))</f>
        <v>30</v>
      </c>
      <c r="AT326" s="125">
        <f ca="1">IF(A326="","",IF(D326=D325,AT325,OFFSET(AT326,-1,COLUMN(db_jUrlRest)-COLUMN()))+IF(AND(MONTH(A326)=1,DAY(A326)=1),B_UrlaubNeu,0))</f>
        <v>30</v>
      </c>
      <c r="AU326" s="135">
        <f>(IF(ISNUMBER(V326),V326,0)+IF(ISNUMBER(AD326),AD326,0))*24</f>
        <v>0</v>
      </c>
      <c r="AV326" s="125">
        <f>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ca="1">INDIRECT(ADDRESS(ROW(),COLUMN(xDay)))&gt;5</f>
        <v>0</v>
      </c>
      <c r="AY326" s="600">
        <f>IF(OR(R326&lt;&gt;0,F326&lt;&gt;0),AA326,IF(Z326="",0,-Z326))+(IF(AG326="+",AF326,-AF326))</f>
        <v>-0.29166666666666669</v>
      </c>
      <c r="AZ326" s="225">
        <f>SUM(AY$5:AY326)</f>
        <v>-64.45833333333313</v>
      </c>
      <c r="BA326" s="658"/>
      <c r="BB326" s="658">
        <f>IF(ISNA(MATCH(BA326,B_Arbeitsort,0)),0,MATCH(BA326,B_Arbeitsort,0))</f>
        <v>0</v>
      </c>
      <c r="BC326" s="658"/>
    </row>
    <row r="327" spans="1:55" ht="15.75">
      <c r="A327" s="305">
        <f>IF(A326="","",IF((A326+1)&gt;=DATE(YEAR(xJahr)+1,MONTH(xJahr),DAY(xJahr)),"",A326+1))</f>
        <v>43786</v>
      </c>
      <c r="B327" s="306">
        <f>IF(A327="","",A327)</f>
        <v>43786</v>
      </c>
      <c r="C327" s="307">
        <f>IF(A327="","",NumberOfWeek(A327))</f>
        <v>46</v>
      </c>
      <c r="D327" s="308">
        <f>IF(A327="","",DATE(YEAR(A327),MONTH(A327),1))</f>
        <v>43769</v>
      </c>
      <c r="E327" s="318" t="str">
        <f>IF((R327-U327)&gt;XWorkTimeMax,$Z$4,IF(AV327=Feiertag,VLOOKUP(B327,db_Feiertag,2,FALSE),""))</f>
        <v/>
      </c>
      <c r="F327" s="5"/>
      <c r="G327" s="6" t="str">
        <f>IF(ISBLANK(F327),IF(ISBLANK(H327),"",0),CODE(UPPER(F327)))</f>
        <v/>
      </c>
      <c r="H327" s="7"/>
      <c r="I327" s="7">
        <f>IF(H327&gt;0,H327+Y327+X327+AC327,0)</f>
        <v>0</v>
      </c>
      <c r="J327" s="113">
        <f>IF(K327&gt;I327,IF(I327&lt;H327,I327+1,I327)-B_WalkTime,IF(I327&lt;H327,I327+1,I327))</f>
        <v>0</v>
      </c>
      <c r="K327" s="7"/>
      <c r="L327" s="7">
        <f>IF(K327&gt;0,K327+IF((J327-H327)&lt;Y327,Y327-(J327-H327),TIME(0,10,0))+IF((K327-J327)&gt;xNoWorkTime,0,xNoWorkTime-(K327-J327)),0)</f>
        <v>0</v>
      </c>
      <c r="M327" s="113">
        <f>IF(L327&lt;K327,L327+1,L327)</f>
        <v>0</v>
      </c>
      <c r="N327" s="113"/>
      <c r="O327" s="113">
        <f>IF(N327&gt;0,N327+IF((J327-H327+M327-K327)&lt;Y327,Y327-(J327-H327+M327-K327),TIME(0,10,0))+IF((K327-J327+N327-M327)&gt;xNoWorkTime,0,xNoWorkTime-(K327-J327+N327-M327)),0)</f>
        <v>0</v>
      </c>
      <c r="P327" s="113"/>
      <c r="Q327" s="113">
        <f>IF(O327&lt;N327,O327+1,O327)</f>
        <v>0</v>
      </c>
      <c r="R327" s="113">
        <f>J327-H327+M327-K327+Q327-N327</f>
        <v>0</v>
      </c>
      <c r="S327" s="113">
        <f>IF(K327&gt;0,K327-I327,0)+IF(N327&gt;0,N327-L327)</f>
        <v>0</v>
      </c>
      <c r="T327" s="113">
        <f>IF(H327&gt;0,(IF(R327&gt;B_Pause1Nach,B_Pause1Dauer+IF(BA327="Büro",B_WalkTime,0),IF(BA327="Büro",B_WalkTime,0))+IF(R327&gt;B_Pause2Nach,B_Pause2Dauer,0)),0)</f>
        <v>0</v>
      </c>
      <c r="U327" s="113">
        <f>IF(T327&gt;S327,T327-S327,0)</f>
        <v>0</v>
      </c>
      <c r="V327" s="146">
        <f>IF(F327="S",Z327,(IF((R327-U327)&gt;XWorkTimeMax,XWorkTimeMax,IF((R327-U327)&gt;0,R327-U327,0))))</f>
        <v>0</v>
      </c>
      <c r="W327" s="66"/>
      <c r="X327" s="115">
        <f>xNoWorkTime</f>
        <v>4.027777777777778E-2</v>
      </c>
      <c r="Y327" s="110">
        <f>IF(AND((AM327&lt;Feiertag),(G327&lt;&gt;85)),IF(OR(F327="B",F327="G",F327="S",H327&gt;0),H327-H327+Z327,0),0)</f>
        <v>0</v>
      </c>
      <c r="Z327" s="111">
        <f>IF(AND(AM327&gt;0,AM327&lt;Feiertag),INDEX(Arbeitszeit,AM327),"")</f>
        <v>0</v>
      </c>
      <c r="AA327" s="112">
        <f>V327-Y327</f>
        <v>0</v>
      </c>
      <c r="AB327" s="67" t="str">
        <f>IF((V327-Y327)&lt;0,"*","")</f>
        <v/>
      </c>
      <c r="AC327" s="193">
        <f>xOverTime</f>
        <v>0</v>
      </c>
      <c r="AD327" s="144" t="str">
        <f>IF((R327-U327)&gt;XWorkTimeMax,(R327-U327-XWorkTimeMax),"")</f>
        <v/>
      </c>
      <c r="AE327" s="225">
        <f>IF(AW327,(AE326+SUM(AA327)+(IF(AG327="+",AF327,-AF327))),)</f>
        <v>0</v>
      </c>
      <c r="AF327" s="110"/>
      <c r="AG327" s="627"/>
      <c r="AH327" s="110"/>
      <c r="AI327" s="110" t="str">
        <f>IF(AND(AF327&lt;&gt;"",AF327&lt;=V327),V327-AF327,"")</f>
        <v/>
      </c>
      <c r="AJ327" s="68">
        <f>IF(ISNUMBER(V327 ), IF( V327 &gt;= Y327, Y327, V327 ),"")</f>
        <v>0</v>
      </c>
      <c r="AK327" s="68">
        <f>IF( ISNUMBER( V327 ), IF( V327 &gt;= Y327, V327 - Y327, "" ), "" )</f>
        <v>0</v>
      </c>
      <c r="AL327" s="68" t="str">
        <f>IF( AND(ISNUMBER( V327 ),ISNUMBER( Y327 )), IF( V327 &gt;= Y327, "", Y327 - V327 ), "" )</f>
        <v/>
      </c>
      <c r="AM327">
        <f>IF(A327="",0,IF(ISERROR(VLOOKUP(A327,db_Feiertag,2,FALSE)),WEEKDAY(A327,2),Feiertag))</f>
        <v>6</v>
      </c>
      <c r="AN327" s="122">
        <f>SUM($AD$6:AD327)</f>
        <v>0</v>
      </c>
      <c r="AO327" s="122">
        <f ca="1">IF(D327=D326,AO326,OFFSET(AO327,-1,COLUMN(db_jSaldoGes)-COLUMN()))</f>
        <v>0</v>
      </c>
      <c r="AP327" s="126">
        <f>IF(OR($G327=-1,$G327=82),-1,IF(OR($G327=0,$G327=83),1,0))</f>
        <v>0</v>
      </c>
      <c r="AQ327" s="126">
        <f>IF($F327=Krank,1,IF($F327="J",-1,0))</f>
        <v>0</v>
      </c>
      <c r="AR327" s="126">
        <f>IF($F327=Urlaub,1,IF($F327="T",-1,0))</f>
        <v>0</v>
      </c>
      <c r="AS327" s="125">
        <f>IF(A327="","",AS326-IF(F327=Urlaub,1,0)+IF(AND(MONTH(A327)=1,DAY(A327)=1),B_UrlaubNeu,0))</f>
        <v>30</v>
      </c>
      <c r="AT327" s="125">
        <f ca="1">IF(A327="","",IF(D327=D326,AT326,OFFSET(AT327,-1,COLUMN(db_jUrlRest)-COLUMN()))+IF(AND(MONTH(A327)=1,DAY(A327)=1),B_UrlaubNeu,0))</f>
        <v>30</v>
      </c>
      <c r="AU327" s="135">
        <f>(IF(ISNUMBER(V327),V327,0)+IF(ISNUMBER(AD327),AD327,0))*24</f>
        <v>0</v>
      </c>
      <c r="AV327" s="125">
        <f>IF(ISNUMBER(AD327),K_ArbeitOverMax,IF(AND(ISNUMBER(AA327),AA327&gt;0),K_ArbeitOverTime,IF(AND(ISNUMBER(V327),V327&gt;0),K_ArbeitNormal,IF(F327=Krank,K_Krank,IF(F327=Urlaub,K_Urlaub,IF(AM327=Feiertag,K_Feiertag,IF(OR(AM327=6,AM327=7),K_Wochenende,0)))))))+IF(F327=Gleittag,K_Gleittag,0)</f>
        <v>7</v>
      </c>
      <c r="AW327" t="b">
        <f>OR((F327&gt;0),(NOT(ISBLANK(H327))),SUM(H327:H$373),SUM(G327:G$373))</f>
        <v>0</v>
      </c>
      <c r="AX327" t="b">
        <f ca="1">INDIRECT(ADDRESS(ROW(),COLUMN(xDay)))&gt;5</f>
        <v>1</v>
      </c>
      <c r="AY327" s="600">
        <f>IF(OR(R327&lt;&gt;0,F327&lt;&gt;0),AA327,IF(Z327="",0,-Z327))+(IF(AG327="+",AF327,-AF327))</f>
        <v>0</v>
      </c>
      <c r="AZ327" s="225">
        <f>SUM(AY$5:AY327)</f>
        <v>-64.45833333333313</v>
      </c>
      <c r="BA327" s="643"/>
      <c r="BB327" s="658">
        <f>IF(ISNA(MATCH(BA327,B_Arbeitsort,0)),0,MATCH(BA327,B_Arbeitsort,0))</f>
        <v>0</v>
      </c>
      <c r="BC327" s="643"/>
    </row>
    <row r="328" spans="1:55" ht="15.75">
      <c r="A328" s="305">
        <f>IF(A327="","",IF((A327+1)&gt;=DATE(YEAR(xJahr)+1,MONTH(xJahr),DAY(xJahr)),"",A327+1))</f>
        <v>43787</v>
      </c>
      <c r="B328" s="306">
        <f>IF(A328="","",A328)</f>
        <v>43787</v>
      </c>
      <c r="C328" s="307">
        <f>IF(A328="","",NumberOfWeek(A328))</f>
        <v>46</v>
      </c>
      <c r="D328" s="308">
        <f>IF(A328="","",DATE(YEAR(A328),MONTH(A328),1))</f>
        <v>43769</v>
      </c>
      <c r="E328" s="318" t="str">
        <f>IF((R328-U328)&gt;XWorkTimeMax,$Z$4,IF(AV328=Feiertag,VLOOKUP(B328,db_Feiertag,2,FALSE),""))</f>
        <v/>
      </c>
      <c r="F328" s="5"/>
      <c r="G328" s="6" t="str">
        <f>IF(ISBLANK(F328),IF(ISBLANK(H328),"",0),CODE(UPPER(F328)))</f>
        <v/>
      </c>
      <c r="H328" s="7"/>
      <c r="I328" s="7">
        <f>IF(H328&gt;0,H328+Y328+X328+AC328,0)</f>
        <v>0</v>
      </c>
      <c r="J328" s="113">
        <f>IF(K328&gt;I328,IF(I328&lt;H328,I328+1,I328)-B_WalkTime,IF(I328&lt;H328,I328+1,I328))</f>
        <v>0</v>
      </c>
      <c r="K328" s="7"/>
      <c r="L328" s="7">
        <f>IF(K328&gt;0,K328+IF((J328-H328)&lt;Y328,Y328-(J328-H328),TIME(0,10,0))+IF((K328-J328)&gt;xNoWorkTime,0,xNoWorkTime-(K328-J328)),0)</f>
        <v>0</v>
      </c>
      <c r="M328" s="113">
        <f>IF(L328&lt;K328,L328+1,L328)</f>
        <v>0</v>
      </c>
      <c r="N328" s="113"/>
      <c r="O328" s="113">
        <f>IF(N328&gt;0,N328+IF((J328-H328+M328-K328)&lt;Y328,Y328-(J328-H328+M328-K328),TIME(0,10,0))+IF((K328-J328+N328-M328)&gt;xNoWorkTime,0,xNoWorkTime-(K328-J328+N328-M328)),0)</f>
        <v>0</v>
      </c>
      <c r="P328" s="113"/>
      <c r="Q328" s="113">
        <f>IF(O328&lt;N328,O328+1,O328)</f>
        <v>0</v>
      </c>
      <c r="R328" s="113">
        <f>J328-H328+M328-K328+Q328-N328</f>
        <v>0</v>
      </c>
      <c r="S328" s="113">
        <f>IF(K328&gt;0,K328-I328,0)+IF(N328&gt;0,N328-L328)</f>
        <v>0</v>
      </c>
      <c r="T328" s="113">
        <f>IF(H328&gt;0,(IF(R328&gt;B_Pause1Nach,B_Pause1Dauer+IF(BA328="Büro",B_WalkTime,0),IF(BA328="Büro",B_WalkTime,0))+IF(R328&gt;B_Pause2Nach,B_Pause2Dauer,0)),0)</f>
        <v>0</v>
      </c>
      <c r="U328" s="113">
        <f>IF(T328&gt;S328,T328-S328,0)</f>
        <v>0</v>
      </c>
      <c r="V328" s="146">
        <f>IF(F328="S",Z328,(IF((R328-U328)&gt;XWorkTimeMax,XWorkTimeMax,IF((R328-U328)&gt;0,R328-U328,0))))</f>
        <v>0</v>
      </c>
      <c r="W328" s="66"/>
      <c r="X328" s="115">
        <f>xNoWorkTime</f>
        <v>4.027777777777778E-2</v>
      </c>
      <c r="Y328" s="110">
        <f>IF(AND((AM328&lt;Feiertag),(G328&lt;&gt;85)),IF(OR(F328="B",F328="G",F328="S",H328&gt;0),H328-H328+Z328,0),0)</f>
        <v>0</v>
      </c>
      <c r="Z328" s="111">
        <f>IF(AND(AM328&gt;0,AM328&lt;Feiertag),INDEX(Arbeitszeit,AM328),"")</f>
        <v>0</v>
      </c>
      <c r="AA328" s="112">
        <f>V328-Y328</f>
        <v>0</v>
      </c>
      <c r="AB328" s="67" t="str">
        <f>IF((V328-Y328)&lt;0,"*","")</f>
        <v/>
      </c>
      <c r="AC328" s="193">
        <f>xOverTime</f>
        <v>0</v>
      </c>
      <c r="AD328" s="144" t="str">
        <f>IF((R328-U328)&gt;XWorkTimeMax,(R328-U328-XWorkTimeMax),"")</f>
        <v/>
      </c>
      <c r="AE328" s="225">
        <f>IF(AW328,(AE327+SUM(AA328)+(IF(AG328="+",AF328,-AF328))),)</f>
        <v>0</v>
      </c>
      <c r="AF328" s="110"/>
      <c r="AG328" s="627"/>
      <c r="AH328" s="110"/>
      <c r="AI328" s="110" t="str">
        <f>IF(AND(AF328&lt;&gt;"",AF328&lt;=V328),V328-AF328,"")</f>
        <v/>
      </c>
      <c r="AJ328" s="68">
        <f>IF(ISNUMBER(V328 ), IF( V328 &gt;= Y328, Y328, V328 ),"")</f>
        <v>0</v>
      </c>
      <c r="AK328" s="68">
        <f>IF( ISNUMBER( V328 ), IF( V328 &gt;= Y328, V328 - Y328, "" ), "" )</f>
        <v>0</v>
      </c>
      <c r="AL328" s="68" t="str">
        <f>IF( AND(ISNUMBER( V328 ),ISNUMBER( Y328 )), IF( V328 &gt;= Y328, "", Y328 - V328 ), "" )</f>
        <v/>
      </c>
      <c r="AM328">
        <f>IF(A328="",0,IF(ISERROR(VLOOKUP(A328,db_Feiertag,2,FALSE)),WEEKDAY(A328,2),Feiertag))</f>
        <v>7</v>
      </c>
      <c r="AN328" s="122">
        <f>SUM($AD$6:AD328)</f>
        <v>0</v>
      </c>
      <c r="AO328" s="122">
        <f ca="1">IF(D328=D327,AO327,OFFSET(AO328,-1,COLUMN(db_jSaldoGes)-COLUMN()))</f>
        <v>0</v>
      </c>
      <c r="AP328" s="126">
        <f>IF(OR($G328=-1,$G328=82),-1,IF(OR($G328=0,$G328=83),1,0))</f>
        <v>0</v>
      </c>
      <c r="AQ328" s="126">
        <f>IF($F328=Krank,1,IF($F328="J",-1,0))</f>
        <v>0</v>
      </c>
      <c r="AR328" s="126">
        <f>IF($F328=Urlaub,1,IF($F328="T",-1,0))</f>
        <v>0</v>
      </c>
      <c r="AS328" s="125">
        <f>IF(A328="","",AS327-IF(F328=Urlaub,1,0)+IF(AND(MONTH(A328)=1,DAY(A328)=1),B_UrlaubNeu,0))</f>
        <v>30</v>
      </c>
      <c r="AT328" s="125">
        <f ca="1">IF(A328="","",IF(D328=D327,AT327,OFFSET(AT328,-1,COLUMN(db_jUrlRest)-COLUMN()))+IF(AND(MONTH(A328)=1,DAY(A328)=1),B_UrlaubNeu,0))</f>
        <v>30</v>
      </c>
      <c r="AU328" s="135">
        <f>(IF(ISNUMBER(V328),V328,0)+IF(ISNUMBER(AD328),AD328,0))*24</f>
        <v>0</v>
      </c>
      <c r="AV328" s="125">
        <f>IF(ISNUMBER(AD328),K_ArbeitOverMax,IF(AND(ISNUMBER(AA328),AA328&gt;0),K_ArbeitOverTime,IF(AND(ISNUMBER(V328),V328&gt;0),K_ArbeitNormal,IF(F328=Krank,K_Krank,IF(F328=Urlaub,K_Urlaub,IF(AM328=Feiertag,K_Feiertag,IF(OR(AM328=6,AM328=7),K_Wochenende,0)))))))+IF(F328=Gleittag,K_Gleittag,0)</f>
        <v>7</v>
      </c>
      <c r="AW328" t="b">
        <f>OR((F328&gt;0),(NOT(ISBLANK(H328))),SUM(H328:H$373),SUM(G328:G$373))</f>
        <v>0</v>
      </c>
      <c r="AX328" t="b">
        <f ca="1">INDIRECT(ADDRESS(ROW(),COLUMN(xDay)))&gt;5</f>
        <v>1</v>
      </c>
      <c r="AY328" s="600">
        <f>IF(OR(R328&lt;&gt;0,F328&lt;&gt;0),AA328,IF(Z328="",0,-Z328))+(IF(AG328="+",AF328,-AF328))</f>
        <v>0</v>
      </c>
      <c r="AZ328" s="225">
        <f>SUM(AY$5:AY328)</f>
        <v>-64.45833333333313</v>
      </c>
      <c r="BA328" s="643"/>
      <c r="BB328" s="658">
        <f>IF(ISNA(MATCH(BA328,B_Arbeitsort,0)),0,MATCH(BA328,B_Arbeitsort,0))</f>
        <v>0</v>
      </c>
      <c r="BC328" s="643"/>
    </row>
    <row r="329" spans="1:55" ht="15.75">
      <c r="A329" s="305">
        <f>IF(A328="","",IF((A328+1)&gt;=DATE(YEAR(xJahr)+1,MONTH(xJahr),DAY(xJahr)),"",A328+1))</f>
        <v>43788</v>
      </c>
      <c r="B329" s="306">
        <f>IF(A329="","",A329)</f>
        <v>43788</v>
      </c>
      <c r="C329" s="307">
        <f>IF(A329="","",NumberOfWeek(A329))</f>
        <v>47</v>
      </c>
      <c r="D329" s="308">
        <f>IF(A329="","",DATE(YEAR(A329),MONTH(A329),1))</f>
        <v>43769</v>
      </c>
      <c r="E329" s="318" t="str">
        <f>IF((R329-U329)&gt;XWorkTimeMax,$Z$4,IF(AV329=Feiertag,VLOOKUP(B329,db_Feiertag,2,FALSE),""))</f>
        <v/>
      </c>
      <c r="F329" s="5"/>
      <c r="G329" s="6" t="str">
        <f>IF(ISBLANK(F329),IF(ISBLANK(H329),"",0),CODE(UPPER(F329)))</f>
        <v/>
      </c>
      <c r="H329" s="7"/>
      <c r="I329" s="7">
        <f>IF(H329&gt;0,H329+Y329+X329+AC329,0)</f>
        <v>0</v>
      </c>
      <c r="J329" s="113">
        <f>IF(K329&gt;I329,IF(I329&lt;H329,I329+1,I329)-B_WalkTime,IF(I329&lt;H329,I329+1,I329))</f>
        <v>0</v>
      </c>
      <c r="K329" s="7"/>
      <c r="L329" s="7">
        <f>IF(K329&gt;0,K329+IF((J329-H329)&lt;Y329,Y329-(J329-H329),TIME(0,10,0))+IF((K329-J329)&gt;xNoWorkTime,0,xNoWorkTime-(K329-J329)),0)</f>
        <v>0</v>
      </c>
      <c r="M329" s="113">
        <f>IF(L329&lt;K329,L329+1,L329)</f>
        <v>0</v>
      </c>
      <c r="N329" s="113"/>
      <c r="O329" s="113">
        <f>IF(N329&gt;0,N329+IF((J329-H329+M329-K329)&lt;Y329,Y329-(J329-H329+M329-K329),TIME(0,10,0))+IF((K329-J329+N329-M329)&gt;xNoWorkTime,0,xNoWorkTime-(K329-J329+N329-M329)),0)</f>
        <v>0</v>
      </c>
      <c r="P329" s="113"/>
      <c r="Q329" s="113">
        <f>IF(O329&lt;N329,O329+1,O329)</f>
        <v>0</v>
      </c>
      <c r="R329" s="113">
        <f>J329-H329+M329-K329+Q329-N329</f>
        <v>0</v>
      </c>
      <c r="S329" s="113">
        <f>IF(K329&gt;0,K329-I329,0)+IF(N329&gt;0,N329-L329)</f>
        <v>0</v>
      </c>
      <c r="T329" s="113">
        <f>IF(H329&gt;0,(IF(R329&gt;B_Pause1Nach,B_Pause1Dauer+IF(BA329="Büro",B_WalkTime,0),IF(BA329="Büro",B_WalkTime,0))+IF(R329&gt;B_Pause2Nach,B_Pause2Dauer,0)),0)</f>
        <v>0</v>
      </c>
      <c r="U329" s="113">
        <f>IF(T329&gt;S329,T329-S329,0)</f>
        <v>0</v>
      </c>
      <c r="V329" s="146">
        <f>IF(F329="S",Z329,(IF((R329-U329)&gt;XWorkTimeMax,XWorkTimeMax,IF((R329-U329)&gt;0,R329-U329,0))))</f>
        <v>0</v>
      </c>
      <c r="W329" s="66"/>
      <c r="X329" s="115">
        <f>xNoWorkTime</f>
        <v>4.027777777777778E-2</v>
      </c>
      <c r="Y329" s="110">
        <f>IF(AND((AM329&lt;Feiertag),(G329&lt;&gt;85)),IF(OR(F329="B",F329="G",F329="S",H329&gt;0),H329-H329+Z329,0),0)</f>
        <v>0</v>
      </c>
      <c r="Z329" s="111">
        <f>IF(AND(AM329&gt;0,AM329&lt;Feiertag),INDEX(Arbeitszeit,AM329),"")</f>
        <v>0.29166666666666669</v>
      </c>
      <c r="AA329" s="112">
        <f>V329-Y329</f>
        <v>0</v>
      </c>
      <c r="AB329" s="67" t="str">
        <f>IF((V329-Y329)&lt;0,"*","")</f>
        <v/>
      </c>
      <c r="AC329" s="193">
        <f>xOverTime</f>
        <v>0</v>
      </c>
      <c r="AD329" s="144" t="str">
        <f>IF((R329-U329)&gt;XWorkTimeMax,(R329-U329-XWorkTimeMax),"")</f>
        <v/>
      </c>
      <c r="AE329" s="225">
        <f>IF(AW329,(AE328+SUM(AA329)+(IF(AG329="+",AF329,-AF329))),)</f>
        <v>0</v>
      </c>
      <c r="AF329" s="110"/>
      <c r="AG329" s="627"/>
      <c r="AH329" s="110"/>
      <c r="AI329" s="110" t="str">
        <f>IF(AND(AF329&lt;&gt;"",AF329&lt;=V329),V329-AF329,"")</f>
        <v/>
      </c>
      <c r="AJ329" s="68">
        <f>IF(ISNUMBER(V329 ), IF( V329 &gt;= Y329, Y329, V329 ),"")</f>
        <v>0</v>
      </c>
      <c r="AK329" s="68">
        <f>IF( ISNUMBER( V329 ), IF( V329 &gt;= Y329, V329 - Y329, "" ), "" )</f>
        <v>0</v>
      </c>
      <c r="AL329" s="68" t="str">
        <f>IF( AND(ISNUMBER( V329 ),ISNUMBER( Y329 )), IF( V329 &gt;= Y329, "", Y329 - V329 ), "" )</f>
        <v/>
      </c>
      <c r="AM329">
        <f>IF(A329="",0,IF(ISERROR(VLOOKUP(A329,db_Feiertag,2,FALSE)),WEEKDAY(A329,2),Feiertag))</f>
        <v>1</v>
      </c>
      <c r="AN329" s="122">
        <f>SUM($AD$6:AD329)</f>
        <v>0</v>
      </c>
      <c r="AO329" s="122">
        <f ca="1">IF(D329=D328,AO328,OFFSET(AO329,-1,COLUMN(db_jSaldoGes)-COLUMN()))</f>
        <v>0</v>
      </c>
      <c r="AP329" s="126">
        <f>IF(OR($G329=-1,$G329=82),-1,IF(OR($G329=0,$G329=83),1,0))</f>
        <v>0</v>
      </c>
      <c r="AQ329" s="126">
        <f>IF($F329=Krank,1,IF($F329="J",-1,0))</f>
        <v>0</v>
      </c>
      <c r="AR329" s="126">
        <f>IF($F329=Urlaub,1,IF($F329="T",-1,0))</f>
        <v>0</v>
      </c>
      <c r="AS329" s="125">
        <f>IF(A329="","",AS328-IF(F329=Urlaub,1,0)+IF(AND(MONTH(A329)=1,DAY(A329)=1),B_UrlaubNeu,0))</f>
        <v>30</v>
      </c>
      <c r="AT329" s="125">
        <f ca="1">IF(A329="","",IF(D329=D328,AT328,OFFSET(AT329,-1,COLUMN(db_jUrlRest)-COLUMN()))+IF(AND(MONTH(A329)=1,DAY(A329)=1),B_UrlaubNeu,0))</f>
        <v>30</v>
      </c>
      <c r="AU329" s="135">
        <f>(IF(ISNUMBER(V329),V329,0)+IF(ISNUMBER(AD329),AD329,0))*24</f>
        <v>0</v>
      </c>
      <c r="AV329" s="125">
        <f>IF(ISNUMBER(AD329),K_ArbeitOverMax,IF(AND(ISNUMBER(AA329),AA329&gt;0),K_ArbeitOverTime,IF(AND(ISNUMBER(V329),V329&gt;0),K_ArbeitNormal,IF(F329=Krank,K_Krank,IF(F329=Urlaub,K_Urlaub,IF(AM329=Feiertag,K_Feiertag,IF(OR(AM329=6,AM329=7),K_Wochenende,0)))))))+IF(F329=Gleittag,K_Gleittag,0)</f>
        <v>0</v>
      </c>
      <c r="AW329" t="b">
        <f>OR((F329&gt;0),(NOT(ISBLANK(H329))),SUM(H329:H$373),SUM(G329:G$373))</f>
        <v>0</v>
      </c>
      <c r="AX329" t="b">
        <f ca="1">INDIRECT(ADDRESS(ROW(),COLUMN(xDay)))&gt;5</f>
        <v>0</v>
      </c>
      <c r="AY329" s="600">
        <f>IF(OR(R329&lt;&gt;0,F329&lt;&gt;0),AA329,IF(Z329="",0,-Z329))+(IF(AG329="+",AF329,-AF329))</f>
        <v>-0.29166666666666669</v>
      </c>
      <c r="AZ329" s="225">
        <f>SUM(AY$5:AY329)</f>
        <v>-64.749999999999801</v>
      </c>
      <c r="BA329" s="658"/>
      <c r="BB329" s="658">
        <f>IF(ISNA(MATCH(BA329,B_Arbeitsort,0)),0,MATCH(BA329,B_Arbeitsort,0))</f>
        <v>0</v>
      </c>
      <c r="BC329" s="658"/>
    </row>
    <row r="330" spans="1:55" ht="15.75">
      <c r="A330" s="305">
        <f>IF(A329="","",IF((A329+1)&gt;=DATE(YEAR(xJahr)+1,MONTH(xJahr),DAY(xJahr)),"",A329+1))</f>
        <v>43789</v>
      </c>
      <c r="B330" s="306">
        <f>IF(A330="","",A330)</f>
        <v>43789</v>
      </c>
      <c r="C330" s="307">
        <f>IF(A330="","",NumberOfWeek(A330))</f>
        <v>47</v>
      </c>
      <c r="D330" s="308">
        <f>IF(A330="","",DATE(YEAR(A330),MONTH(A330),1))</f>
        <v>43769</v>
      </c>
      <c r="E330" s="318" t="str">
        <f>IF((R330-U330)&gt;XWorkTimeMax,$Z$4,IF(AV330=Feiertag,VLOOKUP(B330,db_Feiertag,2,FALSE),""))</f>
        <v/>
      </c>
      <c r="F330" s="5"/>
      <c r="G330" s="6" t="str">
        <f>IF(ISBLANK(F330),IF(ISBLANK(H330),"",0),CODE(UPPER(F330)))</f>
        <v/>
      </c>
      <c r="H330" s="7"/>
      <c r="I330" s="7">
        <f>IF(H330&gt;0,H330+Y330+X330+AC330,0)</f>
        <v>0</v>
      </c>
      <c r="J330" s="113">
        <f>IF(K330&gt;I330,IF(I330&lt;H330,I330+1,I330)-B_WalkTime,IF(I330&lt;H330,I330+1,I330))</f>
        <v>0</v>
      </c>
      <c r="K330" s="7"/>
      <c r="L330" s="7">
        <f>IF(K330&gt;0,K330+IF((J330-H330)&lt;Y330,Y330-(J330-H330),TIME(0,10,0))+IF((K330-J330)&gt;xNoWorkTime,0,xNoWorkTime-(K330-J330)),0)</f>
        <v>0</v>
      </c>
      <c r="M330" s="113">
        <f>IF(L330&lt;K330,L330+1,L330)</f>
        <v>0</v>
      </c>
      <c r="N330" s="113"/>
      <c r="O330" s="113">
        <f>IF(N330&gt;0,N330+IF((J330-H330+M330-K330)&lt;Y330,Y330-(J330-H330+M330-K330),TIME(0,10,0))+IF((K330-J330+N330-M330)&gt;xNoWorkTime,0,xNoWorkTime-(K330-J330+N330-M330)),0)</f>
        <v>0</v>
      </c>
      <c r="P330" s="113"/>
      <c r="Q330" s="113">
        <f>IF(O330&lt;N330,O330+1,O330)</f>
        <v>0</v>
      </c>
      <c r="R330" s="113">
        <f>J330-H330+M330-K330+Q330-N330</f>
        <v>0</v>
      </c>
      <c r="S330" s="113">
        <f>IF(K330&gt;0,K330-I330,0)+IF(N330&gt;0,N330-L330)</f>
        <v>0</v>
      </c>
      <c r="T330" s="113">
        <f>IF(H330&gt;0,(IF(R330&gt;B_Pause1Nach,B_Pause1Dauer+IF(BA330="Büro",B_WalkTime,0),IF(BA330="Büro",B_WalkTime,0))+IF(R330&gt;B_Pause2Nach,B_Pause2Dauer,0)),0)</f>
        <v>0</v>
      </c>
      <c r="U330" s="113">
        <f>IF(T330&gt;S330,T330-S330,0)</f>
        <v>0</v>
      </c>
      <c r="V330" s="146">
        <f>IF(F330="S",Z330,(IF((R330-U330)&gt;XWorkTimeMax,XWorkTimeMax,IF((R330-U330)&gt;0,R330-U330,0))))</f>
        <v>0</v>
      </c>
      <c r="W330" s="66"/>
      <c r="X330" s="115">
        <f>xNoWorkTime</f>
        <v>4.027777777777778E-2</v>
      </c>
      <c r="Y330" s="110">
        <f>IF(AND((AM330&lt;Feiertag),(G330&lt;&gt;85)),IF(OR(F330="B",F330="G",F330="S",H330&gt;0),H330-H330+Z330,0),0)</f>
        <v>0</v>
      </c>
      <c r="Z330" s="111">
        <f>IF(AND(AM330&gt;0,AM330&lt;Feiertag),INDEX(Arbeitszeit,AM330),"")</f>
        <v>0.29166666666666669</v>
      </c>
      <c r="AA330" s="112">
        <f>V330-Y330</f>
        <v>0</v>
      </c>
      <c r="AB330" s="67" t="str">
        <f>IF((V330-Y330)&lt;0,"*","")</f>
        <v/>
      </c>
      <c r="AC330" s="193">
        <f>xOverTime</f>
        <v>0</v>
      </c>
      <c r="AD330" s="144" t="str">
        <f>IF((R330-U330)&gt;XWorkTimeMax,(R330-U330-XWorkTimeMax),"")</f>
        <v/>
      </c>
      <c r="AE330" s="225">
        <f>IF(AW330,(AE329+SUM(AA330)+(IF(AG330="+",AF330,-AF330))),)</f>
        <v>0</v>
      </c>
      <c r="AF330" s="110"/>
      <c r="AG330" s="627"/>
      <c r="AH330" s="110"/>
      <c r="AI330" s="110" t="str">
        <f>IF(AND(AF330&lt;&gt;"",AF330&lt;=V330),V330-AF330,"")</f>
        <v/>
      </c>
      <c r="AJ330" s="68">
        <f>IF(ISNUMBER(V330 ), IF( V330 &gt;= Y330, Y330, V330 ),"")</f>
        <v>0</v>
      </c>
      <c r="AK330" s="68">
        <f>IF( ISNUMBER( V330 ), IF( V330 &gt;= Y330, V330 - Y330, "" ), "" )</f>
        <v>0</v>
      </c>
      <c r="AL330" s="68" t="str">
        <f>IF( AND(ISNUMBER( V330 ),ISNUMBER( Y330 )), IF( V330 &gt;= Y330, "", Y330 - V330 ), "" )</f>
        <v/>
      </c>
      <c r="AM330">
        <f>IF(A330="",0,IF(ISERROR(VLOOKUP(A330,db_Feiertag,2,FALSE)),WEEKDAY(A330,2),Feiertag))</f>
        <v>2</v>
      </c>
      <c r="AN330" s="122">
        <f>SUM($AD$6:AD330)</f>
        <v>0</v>
      </c>
      <c r="AO330" s="122">
        <f ca="1">IF(D330=D329,AO329,OFFSET(AO330,-1,COLUMN(db_jSaldoGes)-COLUMN()))</f>
        <v>0</v>
      </c>
      <c r="AP330" s="126">
        <f>IF(OR($G330=-1,$G330=82),-1,IF(OR($G330=0,$G330=83),1,0))</f>
        <v>0</v>
      </c>
      <c r="AQ330" s="126">
        <f>IF($F330=Krank,1,IF($F330="J",-1,0))</f>
        <v>0</v>
      </c>
      <c r="AR330" s="126">
        <f>IF($F330=Urlaub,1,IF($F330="T",-1,0))</f>
        <v>0</v>
      </c>
      <c r="AS330" s="125">
        <f>IF(A330="","",AS329-IF(F330=Urlaub,1,0)+IF(AND(MONTH(A330)=1,DAY(A330)=1),B_UrlaubNeu,0))</f>
        <v>30</v>
      </c>
      <c r="AT330" s="125">
        <f ca="1">IF(A330="","",IF(D330=D329,AT329,OFFSET(AT330,-1,COLUMN(db_jUrlRest)-COLUMN()))+IF(AND(MONTH(A330)=1,DAY(A330)=1),B_UrlaubNeu,0))</f>
        <v>30</v>
      </c>
      <c r="AU330" s="135">
        <f>(IF(ISNUMBER(V330),V330,0)+IF(ISNUMBER(AD330),AD330,0))*24</f>
        <v>0</v>
      </c>
      <c r="AV330" s="125">
        <f>IF(ISNUMBER(AD330),K_ArbeitOverMax,IF(AND(ISNUMBER(AA330),AA330&gt;0),K_ArbeitOverTime,IF(AND(ISNUMBER(V330),V330&gt;0),K_ArbeitNormal,IF(F330=Krank,K_Krank,IF(F330=Urlaub,K_Urlaub,IF(AM330=Feiertag,K_Feiertag,IF(OR(AM330=6,AM330=7),K_Wochenende,0)))))))+IF(F330=Gleittag,K_Gleittag,0)</f>
        <v>0</v>
      </c>
      <c r="AW330" t="b">
        <f>OR((F330&gt;0),(NOT(ISBLANK(H330))),SUM(H330:H$373),SUM(G330:G$373))</f>
        <v>0</v>
      </c>
      <c r="AX330" t="b">
        <f ca="1">INDIRECT(ADDRESS(ROW(),COLUMN(xDay)))&gt;5</f>
        <v>0</v>
      </c>
      <c r="AY330" s="600">
        <f>IF(OR(R330&lt;&gt;0,F330&lt;&gt;0),AA330,IF(Z330="",0,-Z330))+(IF(AG330="+",AF330,-AF330))</f>
        <v>-0.29166666666666669</v>
      </c>
      <c r="AZ330" s="225">
        <f>SUM(AY$5:AY330)</f>
        <v>-65.041666666666472</v>
      </c>
      <c r="BA330" s="658"/>
      <c r="BB330" s="658">
        <f>IF(ISNA(MATCH(BA330,B_Arbeitsort,0)),0,MATCH(BA330,B_Arbeitsort,0))</f>
        <v>0</v>
      </c>
      <c r="BC330" s="658"/>
    </row>
    <row r="331" spans="1:55" ht="15.75">
      <c r="A331" s="305">
        <f>IF(A330="","",IF((A330+1)&gt;=DATE(YEAR(xJahr)+1,MONTH(xJahr),DAY(xJahr)),"",A330+1))</f>
        <v>43790</v>
      </c>
      <c r="B331" s="306">
        <f>IF(A331="","",A331)</f>
        <v>43790</v>
      </c>
      <c r="C331" s="307">
        <f>IF(A331="","",NumberOfWeek(A331))</f>
        <v>47</v>
      </c>
      <c r="D331" s="308">
        <f>IF(A331="","",DATE(YEAR(A331),MONTH(A331),1))</f>
        <v>43769</v>
      </c>
      <c r="E331" s="318" t="str">
        <f>IF((R331-U331)&gt;XWorkTimeMax,$Z$4,IF(AV331=Feiertag,VLOOKUP(B331,db_Feiertag,2,FALSE),""))</f>
        <v/>
      </c>
      <c r="F331" s="5"/>
      <c r="G331" s="6" t="str">
        <f>IF(ISBLANK(F331),IF(ISBLANK(H331),"",0),CODE(UPPER(F331)))</f>
        <v/>
      </c>
      <c r="H331" s="7"/>
      <c r="I331" s="7">
        <f>IF(H331&gt;0,H331+Y331+X331+AC331,0)</f>
        <v>0</v>
      </c>
      <c r="J331" s="113">
        <f>IF(K331&gt;I331,IF(I331&lt;H331,I331+1,I331)-B_WalkTime,IF(I331&lt;H331,I331+1,I331))</f>
        <v>0</v>
      </c>
      <c r="K331" s="7"/>
      <c r="L331" s="7">
        <f>IF(K331&gt;0,K331+IF((J331-H331)&lt;Y331,Y331-(J331-H331),TIME(0,10,0))+IF((K331-J331)&gt;xNoWorkTime,0,xNoWorkTime-(K331-J331)),0)</f>
        <v>0</v>
      </c>
      <c r="M331" s="113">
        <f>IF(L331&lt;K331,L331+1,L331)</f>
        <v>0</v>
      </c>
      <c r="N331" s="113"/>
      <c r="O331" s="113">
        <f>IF(N331&gt;0,N331+IF((J331-H331+M331-K331)&lt;Y331,Y331-(J331-H331+M331-K331),TIME(0,10,0))+IF((K331-J331+N331-M331)&gt;xNoWorkTime,0,xNoWorkTime-(K331-J331+N331-M331)),0)</f>
        <v>0</v>
      </c>
      <c r="P331" s="113"/>
      <c r="Q331" s="113">
        <f>IF(O331&lt;N331,O331+1,O331)</f>
        <v>0</v>
      </c>
      <c r="R331" s="113">
        <f>J331-H331+M331-K331+Q331-N331</f>
        <v>0</v>
      </c>
      <c r="S331" s="113">
        <f>IF(K331&gt;0,K331-I331,0)+IF(N331&gt;0,N331-L331)</f>
        <v>0</v>
      </c>
      <c r="T331" s="113">
        <f>IF(H331&gt;0,(IF(R331&gt;B_Pause1Nach,B_Pause1Dauer+IF(BA331="Büro",B_WalkTime,0),IF(BA331="Büro",B_WalkTime,0))+IF(R331&gt;B_Pause2Nach,B_Pause2Dauer,0)),0)</f>
        <v>0</v>
      </c>
      <c r="U331" s="113">
        <f>IF(T331&gt;S331,T331-S331,0)</f>
        <v>0</v>
      </c>
      <c r="V331" s="146">
        <f>IF(F331="S",Z331,(IF((R331-U331)&gt;XWorkTimeMax,XWorkTimeMax,IF((R331-U331)&gt;0,R331-U331,0))))</f>
        <v>0</v>
      </c>
      <c r="W331" s="66"/>
      <c r="X331" s="115">
        <f>xNoWorkTime</f>
        <v>4.027777777777778E-2</v>
      </c>
      <c r="Y331" s="110">
        <f>IF(AND((AM331&lt;Feiertag),(G331&lt;&gt;85)),IF(OR(F331="B",F331="G",F331="S",H331&gt;0),H331-H331+Z331,0),0)</f>
        <v>0</v>
      </c>
      <c r="Z331" s="111">
        <f>IF(AND(AM331&gt;0,AM331&lt;Feiertag),INDEX(Arbeitszeit,AM331),"")</f>
        <v>0.29166666666666669</v>
      </c>
      <c r="AA331" s="112">
        <f>V331-Y331</f>
        <v>0</v>
      </c>
      <c r="AB331" s="67" t="str">
        <f>IF((V331-Y331)&lt;0,"*","")</f>
        <v/>
      </c>
      <c r="AC331" s="193">
        <f>xOverTime</f>
        <v>0</v>
      </c>
      <c r="AD331" s="144" t="str">
        <f>IF((R331-U331)&gt;XWorkTimeMax,(R331-U331-XWorkTimeMax),"")</f>
        <v/>
      </c>
      <c r="AE331" s="225">
        <f>IF(AW331,(AE330+SUM(AA331)+(IF(AG331="+",AF331,-AF331))),)</f>
        <v>0</v>
      </c>
      <c r="AF331" s="110"/>
      <c r="AG331" s="627"/>
      <c r="AH331" s="110"/>
      <c r="AI331" s="110" t="str">
        <f>IF(AND(AF331&lt;&gt;"",AF331&lt;=V331),V331-AF331,"")</f>
        <v/>
      </c>
      <c r="AJ331" s="68">
        <f>IF(ISNUMBER(V331 ), IF( V331 &gt;= Y331, Y331, V331 ),"")</f>
        <v>0</v>
      </c>
      <c r="AK331" s="68">
        <f>IF( ISNUMBER( V331 ), IF( V331 &gt;= Y331, V331 - Y331, "" ), "" )</f>
        <v>0</v>
      </c>
      <c r="AL331" s="68" t="str">
        <f>IF( AND(ISNUMBER( V331 ),ISNUMBER( Y331 )), IF( V331 &gt;= Y331, "", Y331 - V331 ), "" )</f>
        <v/>
      </c>
      <c r="AM331">
        <f>IF(A331="",0,IF(ISERROR(VLOOKUP(A331,db_Feiertag,2,FALSE)),WEEKDAY(A331,2),Feiertag))</f>
        <v>3</v>
      </c>
      <c r="AN331" s="122">
        <f>SUM($AD$6:AD331)</f>
        <v>0</v>
      </c>
      <c r="AO331" s="122">
        <f ca="1">IF(D331=D330,AO330,OFFSET(AO331,-1,COLUMN(db_jSaldoGes)-COLUMN()))</f>
        <v>0</v>
      </c>
      <c r="AP331" s="126">
        <f>IF(OR($G331=-1,$G331=82),-1,IF(OR($G331=0,$G331=83),1,0))</f>
        <v>0</v>
      </c>
      <c r="AQ331" s="126">
        <f>IF($F331=Krank,1,IF($F331="J",-1,0))</f>
        <v>0</v>
      </c>
      <c r="AR331" s="126">
        <f>IF($F331=Urlaub,1,IF($F331="T",-1,0))</f>
        <v>0</v>
      </c>
      <c r="AS331" s="125">
        <f>IF(A331="","",AS330-IF(F331=Urlaub,1,0)+IF(AND(MONTH(A331)=1,DAY(A331)=1),B_UrlaubNeu,0))</f>
        <v>30</v>
      </c>
      <c r="AT331" s="125">
        <f ca="1">IF(A331="","",IF(D331=D330,AT330,OFFSET(AT331,-1,COLUMN(db_jUrlRest)-COLUMN()))+IF(AND(MONTH(A331)=1,DAY(A331)=1),B_UrlaubNeu,0))</f>
        <v>30</v>
      </c>
      <c r="AU331" s="135">
        <f>(IF(ISNUMBER(V331),V331,0)+IF(ISNUMBER(AD331),AD331,0))*24</f>
        <v>0</v>
      </c>
      <c r="AV331" s="125">
        <f>IF(ISNUMBER(AD331),K_ArbeitOverMax,IF(AND(ISNUMBER(AA331),AA331&gt;0),K_ArbeitOverTime,IF(AND(ISNUMBER(V331),V331&gt;0),K_ArbeitNormal,IF(F331=Krank,K_Krank,IF(F331=Urlaub,K_Urlaub,IF(AM331=Feiertag,K_Feiertag,IF(OR(AM331=6,AM331=7),K_Wochenende,0)))))))+IF(F331=Gleittag,K_Gleittag,0)</f>
        <v>0</v>
      </c>
      <c r="AW331" t="b">
        <f>OR((F331&gt;0),(NOT(ISBLANK(H331))),SUM(H331:H$373),SUM(G331:G$373))</f>
        <v>0</v>
      </c>
      <c r="AX331" t="b">
        <f ca="1">INDIRECT(ADDRESS(ROW(),COLUMN(xDay)))&gt;5</f>
        <v>0</v>
      </c>
      <c r="AY331" s="600">
        <f>IF(OR(R331&lt;&gt;0,F331&lt;&gt;0),AA331,IF(Z331="",0,-Z331))+(IF(AG331="+",AF331,-AF331))</f>
        <v>-0.29166666666666669</v>
      </c>
      <c r="AZ331" s="225">
        <f>SUM(AY$5:AY331)</f>
        <v>-65.333333333333144</v>
      </c>
      <c r="BA331" s="658"/>
      <c r="BB331" s="658">
        <f>IF(ISNA(MATCH(BA331,B_Arbeitsort,0)),0,MATCH(BA331,B_Arbeitsort,0))</f>
        <v>0</v>
      </c>
      <c r="BC331" s="658"/>
    </row>
    <row r="332" spans="1:55" ht="15.75">
      <c r="A332" s="305">
        <f>IF(A331="","",IF((A331+1)&gt;=DATE(YEAR(xJahr)+1,MONTH(xJahr),DAY(xJahr)),"",A331+1))</f>
        <v>43791</v>
      </c>
      <c r="B332" s="306">
        <f>IF(A332="","",A332)</f>
        <v>43791</v>
      </c>
      <c r="C332" s="307">
        <f>IF(A332="","",NumberOfWeek(A332))</f>
        <v>47</v>
      </c>
      <c r="D332" s="308">
        <f>IF(A332="","",DATE(YEAR(A332),MONTH(A332),1))</f>
        <v>43769</v>
      </c>
      <c r="E332" s="318" t="str">
        <f>IF((R332-U332)&gt;XWorkTimeMax,$Z$4,IF(AV332=Feiertag,VLOOKUP(B332,db_Feiertag,2,FALSE),""))</f>
        <v/>
      </c>
      <c r="F332" s="5"/>
      <c r="G332" s="6" t="str">
        <f>IF(ISBLANK(F332),IF(ISBLANK(H332),"",0),CODE(UPPER(F332)))</f>
        <v/>
      </c>
      <c r="H332" s="7"/>
      <c r="I332" s="7">
        <f>IF(H332&gt;0,H332+Y332+X332+AC332,0)</f>
        <v>0</v>
      </c>
      <c r="J332" s="113">
        <f>IF(K332&gt;I332,IF(I332&lt;H332,I332+1,I332)-B_WalkTime,IF(I332&lt;H332,I332+1,I332))</f>
        <v>0</v>
      </c>
      <c r="K332" s="7"/>
      <c r="L332" s="7">
        <f>IF(K332&gt;0,K332+IF((J332-H332)&lt;Y332,Y332-(J332-H332),TIME(0,10,0))+IF((K332-J332)&gt;xNoWorkTime,0,xNoWorkTime-(K332-J332)),0)</f>
        <v>0</v>
      </c>
      <c r="M332" s="113">
        <f>IF(L332&lt;K332,L332+1,L332)</f>
        <v>0</v>
      </c>
      <c r="N332" s="113"/>
      <c r="O332" s="113">
        <f>IF(N332&gt;0,N332+IF((J332-H332+M332-K332)&lt;Y332,Y332-(J332-H332+M332-K332),TIME(0,10,0))+IF((K332-J332+N332-M332)&gt;xNoWorkTime,0,xNoWorkTime-(K332-J332+N332-M332)),0)</f>
        <v>0</v>
      </c>
      <c r="P332" s="113"/>
      <c r="Q332" s="113">
        <f>IF(O332&lt;N332,O332+1,O332)</f>
        <v>0</v>
      </c>
      <c r="R332" s="113">
        <f>J332-H332+M332-K332+Q332-N332</f>
        <v>0</v>
      </c>
      <c r="S332" s="113">
        <f>IF(K332&gt;0,K332-I332,0)+IF(N332&gt;0,N332-L332)</f>
        <v>0</v>
      </c>
      <c r="T332" s="113">
        <f>IF(H332&gt;0,(IF(R332&gt;B_Pause1Nach,B_Pause1Dauer+IF(BA332="Büro",B_WalkTime,0),IF(BA332="Büro",B_WalkTime,0))+IF(R332&gt;B_Pause2Nach,B_Pause2Dauer,0)),0)</f>
        <v>0</v>
      </c>
      <c r="U332" s="113">
        <f>IF(T332&gt;S332,T332-S332,0)</f>
        <v>0</v>
      </c>
      <c r="V332" s="146">
        <f>IF(F332="S",Z332,(IF((R332-U332)&gt;XWorkTimeMax,XWorkTimeMax,IF((R332-U332)&gt;0,R332-U332,0))))</f>
        <v>0</v>
      </c>
      <c r="W332" s="66"/>
      <c r="X332" s="115">
        <f>xNoWorkTime</f>
        <v>4.027777777777778E-2</v>
      </c>
      <c r="Y332" s="110">
        <f>IF(AND((AM332&lt;Feiertag),(G332&lt;&gt;85)),IF(OR(F332="B",F332="G",F332="S",H332&gt;0),H332-H332+Z332,0),0)</f>
        <v>0</v>
      </c>
      <c r="Z332" s="111">
        <f>IF(AND(AM332&gt;0,AM332&lt;Feiertag),INDEX(Arbeitszeit,AM332),"")</f>
        <v>0.29166666666666669</v>
      </c>
      <c r="AA332" s="112">
        <f>V332-Y332</f>
        <v>0</v>
      </c>
      <c r="AB332" s="67" t="str">
        <f>IF((V332-Y332)&lt;0,"*","")</f>
        <v/>
      </c>
      <c r="AC332" s="193">
        <f>xOverTime</f>
        <v>0</v>
      </c>
      <c r="AD332" s="144" t="str">
        <f>IF((R332-U332)&gt;XWorkTimeMax,(R332-U332-XWorkTimeMax),"")</f>
        <v/>
      </c>
      <c r="AE332" s="225">
        <f>IF(AW332,(AE331+SUM(AA332)+(IF(AG332="+",AF332,-AF332))),)</f>
        <v>0</v>
      </c>
      <c r="AF332" s="110"/>
      <c r="AG332" s="627"/>
      <c r="AH332" s="110"/>
      <c r="AI332" s="110" t="str">
        <f>IF(AND(AF332&lt;&gt;"",AF332&lt;=V332),V332-AF332,"")</f>
        <v/>
      </c>
      <c r="AJ332" s="68">
        <f>IF(ISNUMBER(V332 ), IF( V332 &gt;= Y332, Y332, V332 ),"")</f>
        <v>0</v>
      </c>
      <c r="AK332" s="68">
        <f>IF( ISNUMBER( V332 ), IF( V332 &gt;= Y332, V332 - Y332, "" ), "" )</f>
        <v>0</v>
      </c>
      <c r="AL332" s="68" t="str">
        <f>IF( AND(ISNUMBER( V332 ),ISNUMBER( Y332 )), IF( V332 &gt;= Y332, "", Y332 - V332 ), "" )</f>
        <v/>
      </c>
      <c r="AM332">
        <f>IF(A332="",0,IF(ISERROR(VLOOKUP(A332,db_Feiertag,2,FALSE)),WEEKDAY(A332,2),Feiertag))</f>
        <v>4</v>
      </c>
      <c r="AN332" s="122">
        <f>SUM($AD$6:AD332)</f>
        <v>0</v>
      </c>
      <c r="AO332" s="122">
        <f ca="1">IF(D332=D331,AO331,OFFSET(AO332,-1,COLUMN(db_jSaldoGes)-COLUMN()))</f>
        <v>0</v>
      </c>
      <c r="AP332" s="126">
        <f>IF(OR($G332=-1,$G332=82),-1,IF(OR($G332=0,$G332=83),1,0))</f>
        <v>0</v>
      </c>
      <c r="AQ332" s="126">
        <f>IF($F332=Krank,1,IF($F332="J",-1,0))</f>
        <v>0</v>
      </c>
      <c r="AR332" s="126">
        <f>IF($F332=Urlaub,1,IF($F332="T",-1,0))</f>
        <v>0</v>
      </c>
      <c r="AS332" s="125">
        <f>IF(A332="","",AS331-IF(F332=Urlaub,1,0)+IF(AND(MONTH(A332)=1,DAY(A332)=1),B_UrlaubNeu,0))</f>
        <v>30</v>
      </c>
      <c r="AT332" s="125">
        <f ca="1">IF(A332="","",IF(D332=D331,AT331,OFFSET(AT332,-1,COLUMN(db_jUrlRest)-COLUMN()))+IF(AND(MONTH(A332)=1,DAY(A332)=1),B_UrlaubNeu,0))</f>
        <v>30</v>
      </c>
      <c r="AU332" s="135">
        <f>(IF(ISNUMBER(V332),V332,0)+IF(ISNUMBER(AD332),AD332,0))*24</f>
        <v>0</v>
      </c>
      <c r="AV332" s="125">
        <f>IF(ISNUMBER(AD332),K_ArbeitOverMax,IF(AND(ISNUMBER(AA332),AA332&gt;0),K_ArbeitOverTime,IF(AND(ISNUMBER(V332),V332&gt;0),K_ArbeitNormal,IF(F332=Krank,K_Krank,IF(F332=Urlaub,K_Urlaub,IF(AM332=Feiertag,K_Feiertag,IF(OR(AM332=6,AM332=7),K_Wochenende,0)))))))+IF(F332=Gleittag,K_Gleittag,0)</f>
        <v>0</v>
      </c>
      <c r="AW332" t="b">
        <f>OR((F332&gt;0),(NOT(ISBLANK(H332))),SUM(H332:H$373),SUM(G332:G$373))</f>
        <v>0</v>
      </c>
      <c r="AX332" t="b">
        <f ca="1">INDIRECT(ADDRESS(ROW(),COLUMN(xDay)))&gt;5</f>
        <v>0</v>
      </c>
      <c r="AY332" s="600">
        <f>IF(OR(R332&lt;&gt;0,F332&lt;&gt;0),AA332,IF(Z332="",0,-Z332))+(IF(AG332="+",AF332,-AF332))</f>
        <v>-0.29166666666666669</v>
      </c>
      <c r="AZ332" s="225">
        <f>SUM(AY$5:AY332)</f>
        <v>-65.624999999999815</v>
      </c>
      <c r="BA332" s="658"/>
      <c r="BB332" s="658">
        <f>IF(ISNA(MATCH(BA332,B_Arbeitsort,0)),0,MATCH(BA332,B_Arbeitsort,0))</f>
        <v>0</v>
      </c>
      <c r="BC332" s="658"/>
    </row>
    <row r="333" spans="1:55" ht="15.75">
      <c r="A333" s="305">
        <f>IF(A332="","",IF((A332+1)&gt;=DATE(YEAR(xJahr)+1,MONTH(xJahr),DAY(xJahr)),"",A332+1))</f>
        <v>43792</v>
      </c>
      <c r="B333" s="306">
        <f>IF(A333="","",A333)</f>
        <v>43792</v>
      </c>
      <c r="C333" s="307">
        <f>IF(A333="","",NumberOfWeek(A333))</f>
        <v>47</v>
      </c>
      <c r="D333" s="308">
        <f>IF(A333="","",DATE(YEAR(A333),MONTH(A333),1))</f>
        <v>43769</v>
      </c>
      <c r="E333" s="318" t="str">
        <f>IF((R333-U333)&gt;XWorkTimeMax,$Z$4,IF(AV333=Feiertag,VLOOKUP(B333,db_Feiertag,2,FALSE),""))</f>
        <v/>
      </c>
      <c r="F333" s="5"/>
      <c r="G333" s="6" t="str">
        <f>IF(ISBLANK(F333),IF(ISBLANK(H333),"",0),CODE(UPPER(F333)))</f>
        <v/>
      </c>
      <c r="H333" s="7"/>
      <c r="I333" s="7">
        <f>IF(H333&gt;0,H333+Y333+X333+AC333,0)</f>
        <v>0</v>
      </c>
      <c r="J333" s="113">
        <f>IF(K333&gt;I333,IF(I333&lt;H333,I333+1,I333)-B_WalkTime,IF(I333&lt;H333,I333+1,I333))</f>
        <v>0</v>
      </c>
      <c r="K333" s="7"/>
      <c r="L333" s="7">
        <f>IF(K333&gt;0,K333+IF((J333-H333)&lt;Y333,Y333-(J333-H333),TIME(0,10,0))+IF((K333-J333)&gt;xNoWorkTime,0,xNoWorkTime-(K333-J333)),0)</f>
        <v>0</v>
      </c>
      <c r="M333" s="113">
        <f>IF(L333&lt;K333,L333+1,L333)</f>
        <v>0</v>
      </c>
      <c r="N333" s="113"/>
      <c r="O333" s="113">
        <f>IF(N333&gt;0,N333+IF((J333-H333+M333-K333)&lt;Y333,Y333-(J333-H333+M333-K333),TIME(0,10,0))+IF((K333-J333+N333-M333)&gt;xNoWorkTime,0,xNoWorkTime-(K333-J333+N333-M333)),0)</f>
        <v>0</v>
      </c>
      <c r="P333" s="113"/>
      <c r="Q333" s="113">
        <f>IF(O333&lt;N333,O333+1,O333)</f>
        <v>0</v>
      </c>
      <c r="R333" s="113">
        <f>J333-H333+M333-K333+Q333-N333</f>
        <v>0</v>
      </c>
      <c r="S333" s="113">
        <f>IF(K333&gt;0,K333-I333,0)+IF(N333&gt;0,N333-L333)</f>
        <v>0</v>
      </c>
      <c r="T333" s="113">
        <f>IF(H333&gt;0,(IF(R333&gt;B_Pause1Nach,B_Pause1Dauer+IF(BA333="Büro",B_WalkTime,0),IF(BA333="Büro",B_WalkTime,0))+IF(R333&gt;B_Pause2Nach,B_Pause2Dauer,0)),0)</f>
        <v>0</v>
      </c>
      <c r="U333" s="113">
        <f>IF(T333&gt;S333,T333-S333,0)</f>
        <v>0</v>
      </c>
      <c r="V333" s="146">
        <f>IF(F333="S",Z333,(IF((R333-U333)&gt;XWorkTimeMax,XWorkTimeMax,IF((R333-U333)&gt;0,R333-U333,0))))</f>
        <v>0</v>
      </c>
      <c r="W333" s="66"/>
      <c r="X333" s="115">
        <f>xNoWorkTime</f>
        <v>4.027777777777778E-2</v>
      </c>
      <c r="Y333" s="110">
        <f>IF(AND((AM333&lt;Feiertag),(G333&lt;&gt;85)),IF(OR(F333="B",F333="G",F333="S",H333&gt;0),H333-H333+Z333,0),0)</f>
        <v>0</v>
      </c>
      <c r="Z333" s="111">
        <f>IF(AND(AM333&gt;0,AM333&lt;Feiertag),INDEX(Arbeitszeit,AM333),"")</f>
        <v>0.29166666666666669</v>
      </c>
      <c r="AA333" s="112">
        <f>V333-Y333</f>
        <v>0</v>
      </c>
      <c r="AB333" s="67" t="str">
        <f>IF((V333-Y333)&lt;0,"*","")</f>
        <v/>
      </c>
      <c r="AC333" s="193">
        <f>xOverTime</f>
        <v>0</v>
      </c>
      <c r="AD333" s="144" t="str">
        <f>IF((R333-U333)&gt;XWorkTimeMax,(R333-U333-XWorkTimeMax),"")</f>
        <v/>
      </c>
      <c r="AE333" s="225">
        <f>IF(AW333,(AE332+SUM(AA333)+(IF(AG333="+",AF333,-AF333))),)</f>
        <v>0</v>
      </c>
      <c r="AF333" s="110"/>
      <c r="AG333" s="627"/>
      <c r="AH333" s="110"/>
      <c r="AI333" s="110" t="str">
        <f>IF(AND(AF333&lt;&gt;"",AF333&lt;=V333),V333-AF333,"")</f>
        <v/>
      </c>
      <c r="AJ333" s="68">
        <f>IF(ISNUMBER(V333 ), IF( V333 &gt;= Y333, Y333, V333 ),"")</f>
        <v>0</v>
      </c>
      <c r="AK333" s="68">
        <f>IF( ISNUMBER( V333 ), IF( V333 &gt;= Y333, V333 - Y333, "" ), "" )</f>
        <v>0</v>
      </c>
      <c r="AL333" s="68" t="str">
        <f>IF( AND(ISNUMBER( V333 ),ISNUMBER( Y333 )), IF( V333 &gt;= Y333, "", Y333 - V333 ), "" )</f>
        <v/>
      </c>
      <c r="AM333">
        <f>IF(A333="",0,IF(ISERROR(VLOOKUP(A333,db_Feiertag,2,FALSE)),WEEKDAY(A333,2),Feiertag))</f>
        <v>5</v>
      </c>
      <c r="AN333" s="122">
        <f>SUM($AD$6:AD333)</f>
        <v>0</v>
      </c>
      <c r="AO333" s="122">
        <f ca="1">IF(D333=D332,AO332,OFFSET(AO333,-1,COLUMN(db_jSaldoGes)-COLUMN()))</f>
        <v>0</v>
      </c>
      <c r="AP333" s="126">
        <f>IF(OR($G333=-1,$G333=82),-1,IF(OR($G333=0,$G333=83),1,0))</f>
        <v>0</v>
      </c>
      <c r="AQ333" s="126">
        <f>IF($F333=Krank,1,IF($F333="J",-1,0))</f>
        <v>0</v>
      </c>
      <c r="AR333" s="126">
        <f>IF($F333=Urlaub,1,IF($F333="T",-1,0))</f>
        <v>0</v>
      </c>
      <c r="AS333" s="125">
        <f>IF(A333="","",AS332-IF(F333=Urlaub,1,0)+IF(AND(MONTH(A333)=1,DAY(A333)=1),B_UrlaubNeu,0))</f>
        <v>30</v>
      </c>
      <c r="AT333" s="125">
        <f ca="1">IF(A333="","",IF(D333=D332,AT332,OFFSET(AT333,-1,COLUMN(db_jUrlRest)-COLUMN()))+IF(AND(MONTH(A333)=1,DAY(A333)=1),B_UrlaubNeu,0))</f>
        <v>30</v>
      </c>
      <c r="AU333" s="135">
        <f>(IF(ISNUMBER(V333),V333,0)+IF(ISNUMBER(AD333),AD333,0))*24</f>
        <v>0</v>
      </c>
      <c r="AV333" s="125">
        <f>IF(ISNUMBER(AD333),K_ArbeitOverMax,IF(AND(ISNUMBER(AA333),AA333&gt;0),K_ArbeitOverTime,IF(AND(ISNUMBER(V333),V333&gt;0),K_ArbeitNormal,IF(F333=Krank,K_Krank,IF(F333=Urlaub,K_Urlaub,IF(AM333=Feiertag,K_Feiertag,IF(OR(AM333=6,AM333=7),K_Wochenende,0)))))))+IF(F333=Gleittag,K_Gleittag,0)</f>
        <v>0</v>
      </c>
      <c r="AW333" t="b">
        <f>OR((F333&gt;0),(NOT(ISBLANK(H333))),SUM(H333:H$373),SUM(G333:G$373))</f>
        <v>0</v>
      </c>
      <c r="AX333" t="b">
        <f ca="1">INDIRECT(ADDRESS(ROW(),COLUMN(xDay)))&gt;5</f>
        <v>0</v>
      </c>
      <c r="AY333" s="600">
        <f>IF(OR(R333&lt;&gt;0,F333&lt;&gt;0),AA333,IF(Z333="",0,-Z333))+(IF(AG333="+",AF333,-AF333))</f>
        <v>-0.29166666666666669</v>
      </c>
      <c r="AZ333" s="225">
        <f>SUM(AY$5:AY333)</f>
        <v>-65.916666666666487</v>
      </c>
      <c r="BA333" s="658"/>
      <c r="BB333" s="658">
        <f>IF(ISNA(MATCH(BA333,B_Arbeitsort,0)),0,MATCH(BA333,B_Arbeitsort,0))</f>
        <v>0</v>
      </c>
      <c r="BC333" s="658"/>
    </row>
    <row r="334" spans="1:55" ht="15.75">
      <c r="A334" s="305">
        <f>IF(A333="","",IF((A333+1)&gt;=DATE(YEAR(xJahr)+1,MONTH(xJahr),DAY(xJahr)),"",A333+1))</f>
        <v>43793</v>
      </c>
      <c r="B334" s="306">
        <f>IF(A334="","",A334)</f>
        <v>43793</v>
      </c>
      <c r="C334" s="307">
        <f>IF(A334="","",NumberOfWeek(A334))</f>
        <v>47</v>
      </c>
      <c r="D334" s="308">
        <f>IF(A334="","",DATE(YEAR(A334),MONTH(A334),1))</f>
        <v>43769</v>
      </c>
      <c r="E334" s="318" t="str">
        <f>IF((R334-U334)&gt;XWorkTimeMax,$Z$4,IF(AV334=Feiertag,VLOOKUP(B334,db_Feiertag,2,FALSE),""))</f>
        <v/>
      </c>
      <c r="F334" s="5"/>
      <c r="G334" s="6" t="str">
        <f>IF(ISBLANK(F334),IF(ISBLANK(H334),"",0),CODE(UPPER(F334)))</f>
        <v/>
      </c>
      <c r="H334" s="7"/>
      <c r="I334" s="7">
        <f>IF(H334&gt;0,H334+Y334+X334+AC334,0)</f>
        <v>0</v>
      </c>
      <c r="J334" s="113">
        <f>IF(K334&gt;I334,IF(I334&lt;H334,I334+1,I334)-B_WalkTime,IF(I334&lt;H334,I334+1,I334))</f>
        <v>0</v>
      </c>
      <c r="K334" s="7"/>
      <c r="L334" s="7">
        <f>IF(K334&gt;0,K334+IF((J334-H334)&lt;Y334,Y334-(J334-H334),TIME(0,10,0))+IF((K334-J334)&gt;xNoWorkTime,0,xNoWorkTime-(K334-J334)),0)</f>
        <v>0</v>
      </c>
      <c r="M334" s="113">
        <f>IF(L334&lt;K334,L334+1,L334)</f>
        <v>0</v>
      </c>
      <c r="N334" s="113"/>
      <c r="O334" s="113">
        <f>IF(N334&gt;0,N334+IF((J334-H334+M334-K334)&lt;Y334,Y334-(J334-H334+M334-K334),TIME(0,10,0))+IF((K334-J334+N334-M334)&gt;xNoWorkTime,0,xNoWorkTime-(K334-J334+N334-M334)),0)</f>
        <v>0</v>
      </c>
      <c r="P334" s="113"/>
      <c r="Q334" s="113">
        <f>IF(O334&lt;N334,O334+1,O334)</f>
        <v>0</v>
      </c>
      <c r="R334" s="113">
        <f>J334-H334+M334-K334+Q334-N334</f>
        <v>0</v>
      </c>
      <c r="S334" s="113">
        <f>IF(K334&gt;0,K334-I334,0)+IF(N334&gt;0,N334-L334)</f>
        <v>0</v>
      </c>
      <c r="T334" s="113">
        <f>IF(H334&gt;0,(IF(R334&gt;B_Pause1Nach,B_Pause1Dauer+IF(BA334="Büro",B_WalkTime,0),IF(BA334="Büro",B_WalkTime,0))+IF(R334&gt;B_Pause2Nach,B_Pause2Dauer,0)),0)</f>
        <v>0</v>
      </c>
      <c r="U334" s="113">
        <f>IF(T334&gt;S334,T334-S334,0)</f>
        <v>0</v>
      </c>
      <c r="V334" s="146">
        <f>IF(F334="S",Z334,(IF((R334-U334)&gt;XWorkTimeMax,XWorkTimeMax,IF((R334-U334)&gt;0,R334-U334,0))))</f>
        <v>0</v>
      </c>
      <c r="W334" s="66"/>
      <c r="X334" s="115">
        <f>xNoWorkTime</f>
        <v>4.027777777777778E-2</v>
      </c>
      <c r="Y334" s="110">
        <f>IF(AND((AM334&lt;Feiertag),(G334&lt;&gt;85)),IF(OR(F334="B",F334="G",F334="S",H334&gt;0),H334-H334+Z334,0),0)</f>
        <v>0</v>
      </c>
      <c r="Z334" s="111">
        <f>IF(AND(AM334&gt;0,AM334&lt;Feiertag),INDEX(Arbeitszeit,AM334),"")</f>
        <v>0</v>
      </c>
      <c r="AA334" s="112">
        <f>V334-Y334</f>
        <v>0</v>
      </c>
      <c r="AB334" s="67" t="str">
        <f>IF((V334-Y334)&lt;0,"*","")</f>
        <v/>
      </c>
      <c r="AC334" s="193">
        <f>xOverTime</f>
        <v>0</v>
      </c>
      <c r="AD334" s="144" t="str">
        <f>IF((R334-U334)&gt;XWorkTimeMax,(R334-U334-XWorkTimeMax),"")</f>
        <v/>
      </c>
      <c r="AE334" s="225">
        <f>IF(AW334,(AE333+SUM(AA334)+(IF(AG334="+",AF334,-AF334))),)</f>
        <v>0</v>
      </c>
      <c r="AF334" s="110"/>
      <c r="AG334" s="627"/>
      <c r="AH334" s="110"/>
      <c r="AI334" s="110" t="str">
        <f>IF(AND(AF334&lt;&gt;"",AF334&lt;=V334),V334-AF334,"")</f>
        <v/>
      </c>
      <c r="AJ334" s="68">
        <f>IF(ISNUMBER(V334 ), IF( V334 &gt;= Y334, Y334, V334 ),"")</f>
        <v>0</v>
      </c>
      <c r="AK334" s="68">
        <f>IF( ISNUMBER( V334 ), IF( V334 &gt;= Y334, V334 - Y334, "" ), "" )</f>
        <v>0</v>
      </c>
      <c r="AL334" s="68" t="str">
        <f>IF( AND(ISNUMBER( V334 ),ISNUMBER( Y334 )), IF( V334 &gt;= Y334, "", Y334 - V334 ), "" )</f>
        <v/>
      </c>
      <c r="AM334">
        <f>IF(A334="",0,IF(ISERROR(VLOOKUP(A334,db_Feiertag,2,FALSE)),WEEKDAY(A334,2),Feiertag))</f>
        <v>6</v>
      </c>
      <c r="AN334" s="122">
        <f>SUM($AD$6:AD334)</f>
        <v>0</v>
      </c>
      <c r="AO334" s="122">
        <f ca="1">IF(D334=D333,AO333,OFFSET(AO334,-1,COLUMN(db_jSaldoGes)-COLUMN()))</f>
        <v>0</v>
      </c>
      <c r="AP334" s="126">
        <f>IF(OR($G334=-1,$G334=82),-1,IF(OR($G334=0,$G334=83),1,0))</f>
        <v>0</v>
      </c>
      <c r="AQ334" s="126">
        <f>IF($F334=Krank,1,IF($F334="J",-1,0))</f>
        <v>0</v>
      </c>
      <c r="AR334" s="126">
        <f>IF($F334=Urlaub,1,IF($F334="T",-1,0))</f>
        <v>0</v>
      </c>
      <c r="AS334" s="125">
        <f>IF(A334="","",AS333-IF(F334=Urlaub,1,0)+IF(AND(MONTH(A334)=1,DAY(A334)=1),B_UrlaubNeu,0))</f>
        <v>30</v>
      </c>
      <c r="AT334" s="125">
        <f ca="1">IF(A334="","",IF(D334=D333,AT333,OFFSET(AT334,-1,COLUMN(db_jUrlRest)-COLUMN()))+IF(AND(MONTH(A334)=1,DAY(A334)=1),B_UrlaubNeu,0))</f>
        <v>30</v>
      </c>
      <c r="AU334" s="135">
        <f>(IF(ISNUMBER(V334),V334,0)+IF(ISNUMBER(AD334),AD334,0))*24</f>
        <v>0</v>
      </c>
      <c r="AV334" s="125">
        <f>IF(ISNUMBER(AD334),K_ArbeitOverMax,IF(AND(ISNUMBER(AA334),AA334&gt;0),K_ArbeitOverTime,IF(AND(ISNUMBER(V334),V334&gt;0),K_ArbeitNormal,IF(F334=Krank,K_Krank,IF(F334=Urlaub,K_Urlaub,IF(AM334=Feiertag,K_Feiertag,IF(OR(AM334=6,AM334=7),K_Wochenende,0)))))))+IF(F334=Gleittag,K_Gleittag,0)</f>
        <v>7</v>
      </c>
      <c r="AW334" t="b">
        <f>OR((F334&gt;0),(NOT(ISBLANK(H334))),SUM(H334:H$373),SUM(G334:G$373))</f>
        <v>0</v>
      </c>
      <c r="AX334" t="b">
        <f ca="1">INDIRECT(ADDRESS(ROW(),COLUMN(xDay)))&gt;5</f>
        <v>1</v>
      </c>
      <c r="AY334" s="600">
        <f>IF(OR(R334&lt;&gt;0,F334&lt;&gt;0),AA334,IF(Z334="",0,-Z334))+(IF(AG334="+",AF334,-AF334))</f>
        <v>0</v>
      </c>
      <c r="AZ334" s="225">
        <f>SUM(AY$5:AY334)</f>
        <v>-65.916666666666487</v>
      </c>
      <c r="BA334" s="643"/>
      <c r="BB334" s="658">
        <f>IF(ISNA(MATCH(BA334,B_Arbeitsort,0)),0,MATCH(BA334,B_Arbeitsort,0))</f>
        <v>0</v>
      </c>
      <c r="BC334" s="643"/>
    </row>
    <row r="335" spans="1:55" ht="15.75">
      <c r="A335" s="305">
        <f>IF(A334="","",IF((A334+1)&gt;=DATE(YEAR(xJahr)+1,MONTH(xJahr),DAY(xJahr)),"",A334+1))</f>
        <v>43794</v>
      </c>
      <c r="B335" s="306">
        <f>IF(A335="","",A335)</f>
        <v>43794</v>
      </c>
      <c r="C335" s="307">
        <f>IF(A335="","",NumberOfWeek(A335))</f>
        <v>47</v>
      </c>
      <c r="D335" s="308">
        <f>IF(A335="","",DATE(YEAR(A335),MONTH(A335),1))</f>
        <v>43769</v>
      </c>
      <c r="E335" s="318" t="str">
        <f>IF((R335-U335)&gt;XWorkTimeMax,$Z$4,IF(AV335=Feiertag,VLOOKUP(B335,db_Feiertag,2,FALSE),""))</f>
        <v/>
      </c>
      <c r="F335" s="5"/>
      <c r="G335" s="6" t="str">
        <f>IF(ISBLANK(F335),IF(ISBLANK(H335),"",0),CODE(UPPER(F335)))</f>
        <v/>
      </c>
      <c r="H335" s="7"/>
      <c r="I335" s="7">
        <f>IF(H335&gt;0,H335+Y335+X335+AC335,0)</f>
        <v>0</v>
      </c>
      <c r="J335" s="113">
        <f>IF(K335&gt;I335,IF(I335&lt;H335,I335+1,I335)-B_WalkTime,IF(I335&lt;H335,I335+1,I335))</f>
        <v>0</v>
      </c>
      <c r="K335" s="7"/>
      <c r="L335" s="7">
        <f>IF(K335&gt;0,K335+IF((J335-H335)&lt;Y335,Y335-(J335-H335),TIME(0,10,0))+IF((K335-J335)&gt;xNoWorkTime,0,xNoWorkTime-(K335-J335)),0)</f>
        <v>0</v>
      </c>
      <c r="M335" s="113">
        <f>IF(L335&lt;K335,L335+1,L335)</f>
        <v>0</v>
      </c>
      <c r="N335" s="113"/>
      <c r="O335" s="113">
        <f>IF(N335&gt;0,N335+IF((J335-H335+M335-K335)&lt;Y335,Y335-(J335-H335+M335-K335),TIME(0,10,0))+IF((K335-J335+N335-M335)&gt;xNoWorkTime,0,xNoWorkTime-(K335-J335+N335-M335)),0)</f>
        <v>0</v>
      </c>
      <c r="P335" s="113"/>
      <c r="Q335" s="113">
        <f>IF(O335&lt;N335,O335+1,O335)</f>
        <v>0</v>
      </c>
      <c r="R335" s="113">
        <f>J335-H335+M335-K335+Q335-N335</f>
        <v>0</v>
      </c>
      <c r="S335" s="113">
        <f>IF(K335&gt;0,K335-I335,0)+IF(N335&gt;0,N335-L335)</f>
        <v>0</v>
      </c>
      <c r="T335" s="113">
        <f>IF(H335&gt;0,(IF(R335&gt;B_Pause1Nach,B_Pause1Dauer+IF(BA335="Büro",B_WalkTime,0),IF(BA335="Büro",B_WalkTime,0))+IF(R335&gt;B_Pause2Nach,B_Pause2Dauer,0)),0)</f>
        <v>0</v>
      </c>
      <c r="U335" s="113">
        <f>IF(T335&gt;S335,T335-S335,0)</f>
        <v>0</v>
      </c>
      <c r="V335" s="146">
        <f>IF(F335="S",Z335,(IF((R335-U335)&gt;XWorkTimeMax,XWorkTimeMax,IF((R335-U335)&gt;0,R335-U335,0))))</f>
        <v>0</v>
      </c>
      <c r="W335" s="66"/>
      <c r="X335" s="115">
        <f>xNoWorkTime</f>
        <v>4.027777777777778E-2</v>
      </c>
      <c r="Y335" s="110">
        <f>IF(AND((AM335&lt;Feiertag),(G335&lt;&gt;85)),IF(OR(F335="B",F335="G",F335="S",H335&gt;0),H335-H335+Z335,0),0)</f>
        <v>0</v>
      </c>
      <c r="Z335" s="111">
        <f>IF(AND(AM335&gt;0,AM335&lt;Feiertag),INDEX(Arbeitszeit,AM335),"")</f>
        <v>0</v>
      </c>
      <c r="AA335" s="112">
        <f>V335-Y335</f>
        <v>0</v>
      </c>
      <c r="AB335" s="67" t="str">
        <f>IF((V335-Y335)&lt;0,"*","")</f>
        <v/>
      </c>
      <c r="AC335" s="193">
        <f>xOverTime</f>
        <v>0</v>
      </c>
      <c r="AD335" s="144" t="str">
        <f>IF((R335-U335)&gt;XWorkTimeMax,(R335-U335-XWorkTimeMax),"")</f>
        <v/>
      </c>
      <c r="AE335" s="225">
        <f>IF(AW335,(AE334+SUM(AA335)+(IF(AG335="+",AF335,-AF335))),)</f>
        <v>0</v>
      </c>
      <c r="AF335" s="110"/>
      <c r="AG335" s="627"/>
      <c r="AH335" s="110"/>
      <c r="AI335" s="110" t="str">
        <f>IF(AND(AF335&lt;&gt;"",AF335&lt;=V335),V335-AF335,"")</f>
        <v/>
      </c>
      <c r="AJ335" s="68">
        <f>IF(ISNUMBER(V335 ), IF( V335 &gt;= Y335, Y335, V335 ),"")</f>
        <v>0</v>
      </c>
      <c r="AK335" s="68">
        <f>IF( ISNUMBER( V335 ), IF( V335 &gt;= Y335, V335 - Y335, "" ), "" )</f>
        <v>0</v>
      </c>
      <c r="AL335" s="68" t="str">
        <f>IF( AND(ISNUMBER( V335 ),ISNUMBER( Y335 )), IF( V335 &gt;= Y335, "", Y335 - V335 ), "" )</f>
        <v/>
      </c>
      <c r="AM335">
        <f>IF(A335="",0,IF(ISERROR(VLOOKUP(A335,db_Feiertag,2,FALSE)),WEEKDAY(A335,2),Feiertag))</f>
        <v>7</v>
      </c>
      <c r="AN335" s="122">
        <f>SUM($AD$6:AD335)</f>
        <v>0</v>
      </c>
      <c r="AO335" s="122">
        <f ca="1">IF(D335=D334,AO334,OFFSET(AO335,-1,COLUMN(db_jSaldoGes)-COLUMN()))</f>
        <v>0</v>
      </c>
      <c r="AP335" s="126">
        <f>IF(OR($G335=-1,$G335=82),-1,IF(OR($G335=0,$G335=83),1,0))</f>
        <v>0</v>
      </c>
      <c r="AQ335" s="126">
        <f>IF($F335=Krank,1,IF($F335="J",-1,0))</f>
        <v>0</v>
      </c>
      <c r="AR335" s="126">
        <f>IF($F335=Urlaub,1,IF($F335="T",-1,0))</f>
        <v>0</v>
      </c>
      <c r="AS335" s="125">
        <f>IF(A335="","",AS334-IF(F335=Urlaub,1,0)+IF(AND(MONTH(A335)=1,DAY(A335)=1),B_UrlaubNeu,0))</f>
        <v>30</v>
      </c>
      <c r="AT335" s="125">
        <f ca="1">IF(A335="","",IF(D335=D334,AT334,OFFSET(AT335,-1,COLUMN(db_jUrlRest)-COLUMN()))+IF(AND(MONTH(A335)=1,DAY(A335)=1),B_UrlaubNeu,0))</f>
        <v>30</v>
      </c>
      <c r="AU335" s="135">
        <f>(IF(ISNUMBER(V335),V335,0)+IF(ISNUMBER(AD335),AD335,0))*24</f>
        <v>0</v>
      </c>
      <c r="AV335" s="125">
        <f>IF(ISNUMBER(AD335),K_ArbeitOverMax,IF(AND(ISNUMBER(AA335),AA335&gt;0),K_ArbeitOverTime,IF(AND(ISNUMBER(V335),V335&gt;0),K_ArbeitNormal,IF(F335=Krank,K_Krank,IF(F335=Urlaub,K_Urlaub,IF(AM335=Feiertag,K_Feiertag,IF(OR(AM335=6,AM335=7),K_Wochenende,0)))))))+IF(F335=Gleittag,K_Gleittag,0)</f>
        <v>7</v>
      </c>
      <c r="AW335" t="b">
        <f>OR((F335&gt;0),(NOT(ISBLANK(H335))),SUM(H335:H$373),SUM(G335:G$373))</f>
        <v>0</v>
      </c>
      <c r="AX335" t="b">
        <f ca="1">INDIRECT(ADDRESS(ROW(),COLUMN(xDay)))&gt;5</f>
        <v>1</v>
      </c>
      <c r="AY335" s="600">
        <f>IF(OR(R335&lt;&gt;0,F335&lt;&gt;0),AA335,IF(Z335="",0,-Z335))+(IF(AG335="+",AF335,-AF335))</f>
        <v>0</v>
      </c>
      <c r="AZ335" s="225">
        <f>SUM(AY$5:AY335)</f>
        <v>-65.916666666666487</v>
      </c>
      <c r="BA335" s="643"/>
      <c r="BB335" s="658">
        <f>IF(ISNA(MATCH(BA335,B_Arbeitsort,0)),0,MATCH(BA335,B_Arbeitsort,0))</f>
        <v>0</v>
      </c>
      <c r="BC335" s="643"/>
    </row>
    <row r="336" spans="1:55" ht="15.75">
      <c r="A336" s="305">
        <f>IF(A335="","",IF((A335+1)&gt;=DATE(YEAR(xJahr)+1,MONTH(xJahr),DAY(xJahr)),"",A335+1))</f>
        <v>43795</v>
      </c>
      <c r="B336" s="306">
        <f>IF(A336="","",A336)</f>
        <v>43795</v>
      </c>
      <c r="C336" s="307">
        <f>IF(A336="","",NumberOfWeek(A336))</f>
        <v>48</v>
      </c>
      <c r="D336" s="308">
        <f>IF(A336="","",DATE(YEAR(A336),MONTH(A336),1))</f>
        <v>43769</v>
      </c>
      <c r="E336" s="318" t="str">
        <f>IF((R336-U336)&gt;XWorkTimeMax,$Z$4,IF(AV336=Feiertag,VLOOKUP(B336,db_Feiertag,2,FALSE),""))</f>
        <v/>
      </c>
      <c r="F336" s="5"/>
      <c r="G336" s="6" t="str">
        <f>IF(ISBLANK(F336),IF(ISBLANK(H336),"",0),CODE(UPPER(F336)))</f>
        <v/>
      </c>
      <c r="H336" s="7"/>
      <c r="I336" s="7">
        <f>IF(H336&gt;0,H336+Y336+X336+AC336,0)</f>
        <v>0</v>
      </c>
      <c r="J336" s="113">
        <f>IF(K336&gt;I336,IF(I336&lt;H336,I336+1,I336)-B_WalkTime,IF(I336&lt;H336,I336+1,I336))</f>
        <v>0</v>
      </c>
      <c r="K336" s="7"/>
      <c r="L336" s="7">
        <f>IF(K336&gt;0,K336+IF((J336-H336)&lt;Y336,Y336-(J336-H336),TIME(0,10,0))+IF((K336-J336)&gt;xNoWorkTime,0,xNoWorkTime-(K336-J336)),0)</f>
        <v>0</v>
      </c>
      <c r="M336" s="113">
        <f>IF(L336&lt;K336,L336+1,L336)</f>
        <v>0</v>
      </c>
      <c r="N336" s="113"/>
      <c r="O336" s="113">
        <f>IF(N336&gt;0,N336+IF((J336-H336+M336-K336)&lt;Y336,Y336-(J336-H336+M336-K336),TIME(0,10,0))+IF((K336-J336+N336-M336)&gt;xNoWorkTime,0,xNoWorkTime-(K336-J336+N336-M336)),0)</f>
        <v>0</v>
      </c>
      <c r="P336" s="113"/>
      <c r="Q336" s="113">
        <f>IF(O336&lt;N336,O336+1,O336)</f>
        <v>0</v>
      </c>
      <c r="R336" s="113">
        <f>J336-H336+M336-K336+Q336-N336</f>
        <v>0</v>
      </c>
      <c r="S336" s="113">
        <f>IF(K336&gt;0,K336-I336,0)+IF(N336&gt;0,N336-L336)</f>
        <v>0</v>
      </c>
      <c r="T336" s="113">
        <f>IF(H336&gt;0,(IF(R336&gt;B_Pause1Nach,B_Pause1Dauer+IF(BA336="Büro",B_WalkTime,0),IF(BA336="Büro",B_WalkTime,0))+IF(R336&gt;B_Pause2Nach,B_Pause2Dauer,0)),0)</f>
        <v>0</v>
      </c>
      <c r="U336" s="113">
        <f>IF(T336&gt;S336,T336-S336,0)</f>
        <v>0</v>
      </c>
      <c r="V336" s="146">
        <f>IF(F336="S",Z336,(IF((R336-U336)&gt;XWorkTimeMax,XWorkTimeMax,IF((R336-U336)&gt;0,R336-U336,0))))</f>
        <v>0</v>
      </c>
      <c r="W336" s="66"/>
      <c r="X336" s="115">
        <f>xNoWorkTime</f>
        <v>4.027777777777778E-2</v>
      </c>
      <c r="Y336" s="110">
        <f>IF(AND((AM336&lt;Feiertag),(G336&lt;&gt;85)),IF(OR(F336="B",F336="G",F336="S",H336&gt;0),H336-H336+Z336,0),0)</f>
        <v>0</v>
      </c>
      <c r="Z336" s="111">
        <f>IF(AND(AM336&gt;0,AM336&lt;Feiertag),INDEX(Arbeitszeit,AM336),"")</f>
        <v>0.29166666666666669</v>
      </c>
      <c r="AA336" s="112">
        <f>V336-Y336</f>
        <v>0</v>
      </c>
      <c r="AB336" s="67" t="str">
        <f>IF((V336-Y336)&lt;0,"*","")</f>
        <v/>
      </c>
      <c r="AC336" s="193">
        <f>xOverTime</f>
        <v>0</v>
      </c>
      <c r="AD336" s="144" t="str">
        <f>IF((R336-U336)&gt;XWorkTimeMax,(R336-U336-XWorkTimeMax),"")</f>
        <v/>
      </c>
      <c r="AE336" s="225">
        <f>IF(AW336,(AE335+SUM(AA336)+(IF(AG336="+",AF336,-AF336))),)</f>
        <v>0</v>
      </c>
      <c r="AF336" s="110"/>
      <c r="AG336" s="627"/>
      <c r="AH336" s="110"/>
      <c r="AI336" s="110" t="str">
        <f>IF(AND(AF336&lt;&gt;"",AF336&lt;=V336),V336-AF336,"")</f>
        <v/>
      </c>
      <c r="AJ336" s="68">
        <f>IF(ISNUMBER(V336 ), IF( V336 &gt;= Y336, Y336, V336 ),"")</f>
        <v>0</v>
      </c>
      <c r="AK336" s="68">
        <f>IF( ISNUMBER( V336 ), IF( V336 &gt;= Y336, V336 - Y336, "" ), "" )</f>
        <v>0</v>
      </c>
      <c r="AL336" s="68" t="str">
        <f>IF( AND(ISNUMBER( V336 ),ISNUMBER( Y336 )), IF( V336 &gt;= Y336, "", Y336 - V336 ), "" )</f>
        <v/>
      </c>
      <c r="AM336">
        <f>IF(A336="",0,IF(ISERROR(VLOOKUP(A336,db_Feiertag,2,FALSE)),WEEKDAY(A336,2),Feiertag))</f>
        <v>1</v>
      </c>
      <c r="AN336" s="122">
        <f>SUM($AD$6:AD336)</f>
        <v>0</v>
      </c>
      <c r="AO336" s="122">
        <f ca="1">IF(D336=D335,AO335,OFFSET(AO336,-1,COLUMN(db_jSaldoGes)-COLUMN()))</f>
        <v>0</v>
      </c>
      <c r="AP336" s="126">
        <f>IF(OR($G336=-1,$G336=82),-1,IF(OR($G336=0,$G336=83),1,0))</f>
        <v>0</v>
      </c>
      <c r="AQ336" s="126">
        <f>IF($F336=Krank,1,IF($F336="J",-1,0))</f>
        <v>0</v>
      </c>
      <c r="AR336" s="126">
        <f>IF($F336=Urlaub,1,IF($F336="T",-1,0))</f>
        <v>0</v>
      </c>
      <c r="AS336" s="125">
        <f>IF(A336="","",AS335-IF(F336=Urlaub,1,0)+IF(AND(MONTH(A336)=1,DAY(A336)=1),B_UrlaubNeu,0))</f>
        <v>30</v>
      </c>
      <c r="AT336" s="125">
        <f ca="1">IF(A336="","",IF(D336=D335,AT335,OFFSET(AT336,-1,COLUMN(db_jUrlRest)-COLUMN()))+IF(AND(MONTH(A336)=1,DAY(A336)=1),B_UrlaubNeu,0))</f>
        <v>30</v>
      </c>
      <c r="AU336" s="135">
        <f>(IF(ISNUMBER(V336),V336,0)+IF(ISNUMBER(AD336),AD336,0))*24</f>
        <v>0</v>
      </c>
      <c r="AV336" s="125">
        <f>IF(ISNUMBER(AD336),K_ArbeitOverMax,IF(AND(ISNUMBER(AA336),AA336&gt;0),K_ArbeitOverTime,IF(AND(ISNUMBER(V336),V336&gt;0),K_ArbeitNormal,IF(F336=Krank,K_Krank,IF(F336=Urlaub,K_Urlaub,IF(AM336=Feiertag,K_Feiertag,IF(OR(AM336=6,AM336=7),K_Wochenende,0)))))))+IF(F336=Gleittag,K_Gleittag,0)</f>
        <v>0</v>
      </c>
      <c r="AW336" t="b">
        <f>OR((F336&gt;0),(NOT(ISBLANK(H336))),SUM(H336:H$373),SUM(G336:G$373))</f>
        <v>0</v>
      </c>
      <c r="AX336" t="b">
        <f ca="1">INDIRECT(ADDRESS(ROW(),COLUMN(xDay)))&gt;5</f>
        <v>0</v>
      </c>
      <c r="AY336" s="600">
        <f>IF(OR(R336&lt;&gt;0,F336&lt;&gt;0),AA336,IF(Z336="",0,-Z336))+(IF(AG336="+",AF336,-AF336))</f>
        <v>-0.29166666666666669</v>
      </c>
      <c r="AZ336" s="225">
        <f>SUM(AY$5:AY336)</f>
        <v>-66.208333333333158</v>
      </c>
      <c r="BA336" s="658"/>
      <c r="BB336" s="658">
        <f>IF(ISNA(MATCH(BA336,B_Arbeitsort,0)),0,MATCH(BA336,B_Arbeitsort,0))</f>
        <v>0</v>
      </c>
      <c r="BC336" s="658"/>
    </row>
    <row r="337" spans="1:55" ht="15.75">
      <c r="A337" s="305">
        <f>IF(A336="","",IF((A336+1)&gt;=DATE(YEAR(xJahr)+1,MONTH(xJahr),DAY(xJahr)),"",A336+1))</f>
        <v>43796</v>
      </c>
      <c r="B337" s="306">
        <f>IF(A337="","",A337)</f>
        <v>43796</v>
      </c>
      <c r="C337" s="307">
        <f>IF(A337="","",NumberOfWeek(A337))</f>
        <v>48</v>
      </c>
      <c r="D337" s="308">
        <f>IF(A337="","",DATE(YEAR(A337),MONTH(A337),1))</f>
        <v>43769</v>
      </c>
      <c r="E337" s="318" t="str">
        <f>IF((R337-U337)&gt;XWorkTimeMax,$Z$4,IF(AV337=Feiertag,VLOOKUP(B337,db_Feiertag,2,FALSE),""))</f>
        <v/>
      </c>
      <c r="F337" s="5"/>
      <c r="G337" s="6" t="str">
        <f>IF(ISBLANK(F337),IF(ISBLANK(H337),"",0),CODE(UPPER(F337)))</f>
        <v/>
      </c>
      <c r="H337" s="7"/>
      <c r="I337" s="7">
        <f>IF(H337&gt;0,H337+Y337+X337+AC337,0)</f>
        <v>0</v>
      </c>
      <c r="J337" s="113">
        <f>IF(K337&gt;I337,IF(I337&lt;H337,I337+1,I337)-B_WalkTime,IF(I337&lt;H337,I337+1,I337))</f>
        <v>0</v>
      </c>
      <c r="K337" s="7"/>
      <c r="L337" s="7">
        <f>IF(K337&gt;0,K337+IF((J337-H337)&lt;Y337,Y337-(J337-H337),TIME(0,10,0))+IF((K337-J337)&gt;xNoWorkTime,0,xNoWorkTime-(K337-J337)),0)</f>
        <v>0</v>
      </c>
      <c r="M337" s="113">
        <f>IF(L337&lt;K337,L337+1,L337)</f>
        <v>0</v>
      </c>
      <c r="N337" s="113"/>
      <c r="O337" s="113">
        <f>IF(N337&gt;0,N337+IF((J337-H337+M337-K337)&lt;Y337,Y337-(J337-H337+M337-K337),TIME(0,10,0))+IF((K337-J337+N337-M337)&gt;xNoWorkTime,0,xNoWorkTime-(K337-J337+N337-M337)),0)</f>
        <v>0</v>
      </c>
      <c r="P337" s="113"/>
      <c r="Q337" s="113">
        <f>IF(O337&lt;N337,O337+1,O337)</f>
        <v>0</v>
      </c>
      <c r="R337" s="113">
        <f>J337-H337+M337-K337+Q337-N337</f>
        <v>0</v>
      </c>
      <c r="S337" s="113">
        <f>IF(K337&gt;0,K337-I337,0)+IF(N337&gt;0,N337-L337)</f>
        <v>0</v>
      </c>
      <c r="T337" s="113">
        <f>IF(H337&gt;0,(IF(R337&gt;B_Pause1Nach,B_Pause1Dauer+IF(BA337="Büro",B_WalkTime,0),IF(BA337="Büro",B_WalkTime,0))+IF(R337&gt;B_Pause2Nach,B_Pause2Dauer,0)),0)</f>
        <v>0</v>
      </c>
      <c r="U337" s="113">
        <f>IF(T337&gt;S337,T337-S337,0)</f>
        <v>0</v>
      </c>
      <c r="V337" s="146">
        <f>IF(F337="S",Z337,(IF((R337-U337)&gt;XWorkTimeMax,XWorkTimeMax,IF((R337-U337)&gt;0,R337-U337,0))))</f>
        <v>0</v>
      </c>
      <c r="W337" s="66"/>
      <c r="X337" s="115">
        <f>xNoWorkTime</f>
        <v>4.027777777777778E-2</v>
      </c>
      <c r="Y337" s="110">
        <f>IF(AND((AM337&lt;Feiertag),(G337&lt;&gt;85)),IF(OR(F337="B",F337="G",F337="S",H337&gt;0),H337-H337+Z337,0),0)</f>
        <v>0</v>
      </c>
      <c r="Z337" s="111">
        <f>IF(AND(AM337&gt;0,AM337&lt;Feiertag),INDEX(Arbeitszeit,AM337),"")</f>
        <v>0.29166666666666669</v>
      </c>
      <c r="AA337" s="112">
        <f>V337-Y337</f>
        <v>0</v>
      </c>
      <c r="AB337" s="67" t="str">
        <f>IF((V337-Y337)&lt;0,"*","")</f>
        <v/>
      </c>
      <c r="AC337" s="193">
        <f>xOverTime</f>
        <v>0</v>
      </c>
      <c r="AD337" s="144" t="str">
        <f>IF((R337-U337)&gt;XWorkTimeMax,(R337-U337-XWorkTimeMax),"")</f>
        <v/>
      </c>
      <c r="AE337" s="225">
        <f>IF(AW337,(AE336+SUM(AA337)+(IF(AG337="+",AF337,-AF337))),)</f>
        <v>0</v>
      </c>
      <c r="AF337" s="110"/>
      <c r="AG337" s="627"/>
      <c r="AH337" s="110"/>
      <c r="AI337" s="110" t="str">
        <f>IF(AND(AF337&lt;&gt;"",AF337&lt;=V337),V337-AF337,"")</f>
        <v/>
      </c>
      <c r="AJ337" s="68">
        <f>IF(ISNUMBER(V337 ), IF( V337 &gt;= Y337, Y337, V337 ),"")</f>
        <v>0</v>
      </c>
      <c r="AK337" s="68">
        <f>IF( ISNUMBER( V337 ), IF( V337 &gt;= Y337, V337 - Y337, "" ), "" )</f>
        <v>0</v>
      </c>
      <c r="AL337" s="68" t="str">
        <f>IF( AND(ISNUMBER( V337 ),ISNUMBER( Y337 )), IF( V337 &gt;= Y337, "", Y337 - V337 ), "" )</f>
        <v/>
      </c>
      <c r="AM337">
        <f>IF(A337="",0,IF(ISERROR(VLOOKUP(A337,db_Feiertag,2,FALSE)),WEEKDAY(A337,2),Feiertag))</f>
        <v>2</v>
      </c>
      <c r="AN337" s="122">
        <f>SUM($AD$6:AD337)</f>
        <v>0</v>
      </c>
      <c r="AO337" s="122">
        <f ca="1">IF(D337=D336,AO336,OFFSET(AO337,-1,COLUMN(db_jSaldoGes)-COLUMN()))</f>
        <v>0</v>
      </c>
      <c r="AP337" s="126">
        <f>IF(OR($G337=-1,$G337=82),-1,IF(OR($G337=0,$G337=83),1,0))</f>
        <v>0</v>
      </c>
      <c r="AQ337" s="126">
        <f>IF($F337=Krank,1,IF($F337="J",-1,0))</f>
        <v>0</v>
      </c>
      <c r="AR337" s="126">
        <f>IF($F337=Urlaub,1,IF($F337="T",-1,0))</f>
        <v>0</v>
      </c>
      <c r="AS337" s="125">
        <f>IF(A337="","",AS336-IF(F337=Urlaub,1,0)+IF(AND(MONTH(A337)=1,DAY(A337)=1),B_UrlaubNeu,0))</f>
        <v>30</v>
      </c>
      <c r="AT337" s="125">
        <f ca="1">IF(A337="","",IF(D337=D336,AT336,OFFSET(AT337,-1,COLUMN(db_jUrlRest)-COLUMN()))+IF(AND(MONTH(A337)=1,DAY(A337)=1),B_UrlaubNeu,0))</f>
        <v>30</v>
      </c>
      <c r="AU337" s="135">
        <f>(IF(ISNUMBER(V337),V337,0)+IF(ISNUMBER(AD337),AD337,0))*24</f>
        <v>0</v>
      </c>
      <c r="AV337" s="125">
        <f>IF(ISNUMBER(AD337),K_ArbeitOverMax,IF(AND(ISNUMBER(AA337),AA337&gt;0),K_ArbeitOverTime,IF(AND(ISNUMBER(V337),V337&gt;0),K_ArbeitNormal,IF(F337=Krank,K_Krank,IF(F337=Urlaub,K_Urlaub,IF(AM337=Feiertag,K_Feiertag,IF(OR(AM337=6,AM337=7),K_Wochenende,0)))))))+IF(F337=Gleittag,K_Gleittag,0)</f>
        <v>0</v>
      </c>
      <c r="AW337" t="b">
        <f>OR((F337&gt;0),(NOT(ISBLANK(H337))),SUM(H337:H$373),SUM(G337:G$373))</f>
        <v>0</v>
      </c>
      <c r="AX337" t="b">
        <f ca="1">INDIRECT(ADDRESS(ROW(),COLUMN(xDay)))&gt;5</f>
        <v>0</v>
      </c>
      <c r="AY337" s="600">
        <f>IF(OR(R337&lt;&gt;0,F337&lt;&gt;0),AA337,IF(Z337="",0,-Z337))+(IF(AG337="+",AF337,-AF337))</f>
        <v>-0.29166666666666669</v>
      </c>
      <c r="AZ337" s="225">
        <f>SUM(AY$5:AY337)</f>
        <v>-66.499999999999829</v>
      </c>
      <c r="BA337" s="658"/>
      <c r="BB337" s="658">
        <f>IF(ISNA(MATCH(BA337,B_Arbeitsort,0)),0,MATCH(BA337,B_Arbeitsort,0))</f>
        <v>0</v>
      </c>
      <c r="BC337" s="658"/>
    </row>
    <row r="338" spans="1:55" ht="15.75">
      <c r="A338" s="305">
        <f>IF(A337="","",IF((A337+1)&gt;=DATE(YEAR(xJahr)+1,MONTH(xJahr),DAY(xJahr)),"",A337+1))</f>
        <v>43797</v>
      </c>
      <c r="B338" s="306">
        <f>IF(A338="","",A338)</f>
        <v>43797</v>
      </c>
      <c r="C338" s="307">
        <f>IF(A338="","",NumberOfWeek(A338))</f>
        <v>48</v>
      </c>
      <c r="D338" s="308">
        <f>IF(A338="","",DATE(YEAR(A338),MONTH(A338),1))</f>
        <v>43769</v>
      </c>
      <c r="E338" s="318" t="str">
        <f>IF((R338-U338)&gt;XWorkTimeMax,$Z$4,IF(AV338=Feiertag,VLOOKUP(B338,db_Feiertag,2,FALSE),""))</f>
        <v/>
      </c>
      <c r="F338" s="5"/>
      <c r="G338" s="6" t="str">
        <f>IF(ISBLANK(F338),IF(ISBLANK(H338),"",0),CODE(UPPER(F338)))</f>
        <v/>
      </c>
      <c r="H338" s="7"/>
      <c r="I338" s="7">
        <f>IF(H338&gt;0,H338+Y338+X338+AC338,0)</f>
        <v>0</v>
      </c>
      <c r="J338" s="113">
        <f>IF(K338&gt;I338,IF(I338&lt;H338,I338+1,I338)-B_WalkTime,IF(I338&lt;H338,I338+1,I338))</f>
        <v>0</v>
      </c>
      <c r="K338" s="7"/>
      <c r="L338" s="7">
        <f>IF(K338&gt;0,K338+IF((J338-H338)&lt;Y338,Y338-(J338-H338),TIME(0,10,0))+IF((K338-J338)&gt;xNoWorkTime,0,xNoWorkTime-(K338-J338)),0)</f>
        <v>0</v>
      </c>
      <c r="M338" s="113">
        <f>IF(L338&lt;K338,L338+1,L338)</f>
        <v>0</v>
      </c>
      <c r="N338" s="113"/>
      <c r="O338" s="113">
        <f>IF(N338&gt;0,N338+IF((J338-H338+M338-K338)&lt;Y338,Y338-(J338-H338+M338-K338),TIME(0,10,0))+IF((K338-J338+N338-M338)&gt;xNoWorkTime,0,xNoWorkTime-(K338-J338+N338-M338)),0)</f>
        <v>0</v>
      </c>
      <c r="P338" s="113"/>
      <c r="Q338" s="113">
        <f>IF(O338&lt;N338,O338+1,O338)</f>
        <v>0</v>
      </c>
      <c r="R338" s="113">
        <f>J338-H338+M338-K338+Q338-N338</f>
        <v>0</v>
      </c>
      <c r="S338" s="113">
        <f>IF(K338&gt;0,K338-I338,0)+IF(N338&gt;0,N338-L338)</f>
        <v>0</v>
      </c>
      <c r="T338" s="113">
        <f>IF(H338&gt;0,(IF(R338&gt;B_Pause1Nach,B_Pause1Dauer+IF(BA338="Büro",B_WalkTime,0),IF(BA338="Büro",B_WalkTime,0))+IF(R338&gt;B_Pause2Nach,B_Pause2Dauer,0)),0)</f>
        <v>0</v>
      </c>
      <c r="U338" s="113">
        <f>IF(T338&gt;S338,T338-S338,0)</f>
        <v>0</v>
      </c>
      <c r="V338" s="146">
        <f>IF(F338="S",Z338,(IF((R338-U338)&gt;XWorkTimeMax,XWorkTimeMax,IF((R338-U338)&gt;0,R338-U338,0))))</f>
        <v>0</v>
      </c>
      <c r="W338" s="66"/>
      <c r="X338" s="115">
        <f>xNoWorkTime</f>
        <v>4.027777777777778E-2</v>
      </c>
      <c r="Y338" s="110">
        <f>IF(AND((AM338&lt;Feiertag),(G338&lt;&gt;85)),IF(OR(F338="B",F338="G",F338="S",H338&gt;0),H338-H338+Z338,0),0)</f>
        <v>0</v>
      </c>
      <c r="Z338" s="111">
        <f>IF(AND(AM338&gt;0,AM338&lt;Feiertag),INDEX(Arbeitszeit,AM338),"")</f>
        <v>0.29166666666666669</v>
      </c>
      <c r="AA338" s="112">
        <f>V338-Y338</f>
        <v>0</v>
      </c>
      <c r="AB338" s="67" t="str">
        <f>IF((V338-Y338)&lt;0,"*","")</f>
        <v/>
      </c>
      <c r="AC338" s="193">
        <f>xOverTime</f>
        <v>0</v>
      </c>
      <c r="AD338" s="144" t="str">
        <f>IF((R338-U338)&gt;XWorkTimeMax,(R338-U338-XWorkTimeMax),"")</f>
        <v/>
      </c>
      <c r="AE338" s="225">
        <f>IF(AW338,(AE337+SUM(AA338)+(IF(AG338="+",AF338,-AF338))),)</f>
        <v>0</v>
      </c>
      <c r="AF338" s="110"/>
      <c r="AG338" s="627"/>
      <c r="AH338" s="110"/>
      <c r="AI338" s="110" t="str">
        <f>IF(AND(AF338&lt;&gt;"",AF338&lt;=V338),V338-AF338,"")</f>
        <v/>
      </c>
      <c r="AJ338" s="68">
        <f>IF(ISNUMBER(V338 ), IF( V338 &gt;= Y338, Y338, V338 ),"")</f>
        <v>0</v>
      </c>
      <c r="AK338" s="68">
        <f>IF( ISNUMBER( V338 ), IF( V338 &gt;= Y338, V338 - Y338, "" ), "" )</f>
        <v>0</v>
      </c>
      <c r="AL338" s="68" t="str">
        <f>IF( AND(ISNUMBER( V338 ),ISNUMBER( Y338 )), IF( V338 &gt;= Y338, "", Y338 - V338 ), "" )</f>
        <v/>
      </c>
      <c r="AM338">
        <f>IF(A338="",0,IF(ISERROR(VLOOKUP(A338,db_Feiertag,2,FALSE)),WEEKDAY(A338,2),Feiertag))</f>
        <v>3</v>
      </c>
      <c r="AN338" s="122">
        <f>SUM($AD$6:AD338)</f>
        <v>0</v>
      </c>
      <c r="AO338" s="122">
        <f ca="1">IF(D338=D337,AO337,OFFSET(AO338,-1,COLUMN(db_jSaldoGes)-COLUMN()))</f>
        <v>0</v>
      </c>
      <c r="AP338" s="126">
        <f>IF(OR($G338=-1,$G338=82),-1,IF(OR($G338=0,$G338=83),1,0))</f>
        <v>0</v>
      </c>
      <c r="AQ338" s="126">
        <f>IF($F338=Krank,1,IF($F338="J",-1,0))</f>
        <v>0</v>
      </c>
      <c r="AR338" s="126">
        <f>IF($F338=Urlaub,1,IF($F338="T",-1,0))</f>
        <v>0</v>
      </c>
      <c r="AS338" s="125">
        <f>IF(A338="","",AS337-IF(F338=Urlaub,1,0)+IF(AND(MONTH(A338)=1,DAY(A338)=1),B_UrlaubNeu,0))</f>
        <v>30</v>
      </c>
      <c r="AT338" s="125">
        <f ca="1">IF(A338="","",IF(D338=D337,AT337,OFFSET(AT338,-1,COLUMN(db_jUrlRest)-COLUMN()))+IF(AND(MONTH(A338)=1,DAY(A338)=1),B_UrlaubNeu,0))</f>
        <v>30</v>
      </c>
      <c r="AU338" s="135">
        <f>(IF(ISNUMBER(V338),V338,0)+IF(ISNUMBER(AD338),AD338,0))*24</f>
        <v>0</v>
      </c>
      <c r="AV338" s="125">
        <f>IF(ISNUMBER(AD338),K_ArbeitOverMax,IF(AND(ISNUMBER(AA338),AA338&gt;0),K_ArbeitOverTime,IF(AND(ISNUMBER(V338),V338&gt;0),K_ArbeitNormal,IF(F338=Krank,K_Krank,IF(F338=Urlaub,K_Urlaub,IF(AM338=Feiertag,K_Feiertag,IF(OR(AM338=6,AM338=7),K_Wochenende,0)))))))+IF(F338=Gleittag,K_Gleittag,0)</f>
        <v>0</v>
      </c>
      <c r="AW338" t="b">
        <f>OR((F338&gt;0),(NOT(ISBLANK(H338))),SUM(H338:H$373),SUM(G338:G$373))</f>
        <v>0</v>
      </c>
      <c r="AX338" t="b">
        <f ca="1">INDIRECT(ADDRESS(ROW(),COLUMN(xDay)))&gt;5</f>
        <v>0</v>
      </c>
      <c r="AY338" s="600">
        <f>IF(OR(R338&lt;&gt;0,F338&lt;&gt;0),AA338,IF(Z338="",0,-Z338))+(IF(AG338="+",AF338,-AF338))</f>
        <v>-0.29166666666666669</v>
      </c>
      <c r="AZ338" s="225">
        <f>SUM(AY$5:AY338)</f>
        <v>-66.791666666666501</v>
      </c>
      <c r="BA338" s="658"/>
      <c r="BB338" s="658">
        <f>IF(ISNA(MATCH(BA338,B_Arbeitsort,0)),0,MATCH(BA338,B_Arbeitsort,0))</f>
        <v>0</v>
      </c>
      <c r="BC338" s="658"/>
    </row>
    <row r="339" spans="1:55" ht="15.75">
      <c r="A339" s="305">
        <f>IF(A338="","",IF((A338+1)&gt;=DATE(YEAR(xJahr)+1,MONTH(xJahr),DAY(xJahr)),"",A338+1))</f>
        <v>43798</v>
      </c>
      <c r="B339" s="306">
        <f>IF(A339="","",A339)</f>
        <v>43798</v>
      </c>
      <c r="C339" s="307">
        <f>IF(A339="","",NumberOfWeek(A339))</f>
        <v>48</v>
      </c>
      <c r="D339" s="308">
        <f>IF(A339="","",DATE(YEAR(A339),MONTH(A339),1))</f>
        <v>43769</v>
      </c>
      <c r="E339" s="318" t="str">
        <f>IF((R339-U339)&gt;XWorkTimeMax,$Z$4,IF(AV339=Feiertag,VLOOKUP(B339,db_Feiertag,2,FALSE),""))</f>
        <v/>
      </c>
      <c r="F339" s="5"/>
      <c r="G339" s="6" t="str">
        <f>IF(ISBLANK(F339),IF(ISBLANK(H339),"",0),CODE(UPPER(F339)))</f>
        <v/>
      </c>
      <c r="H339" s="7"/>
      <c r="I339" s="7">
        <f>IF(H339&gt;0,H339+Y339+X339+AC339,0)</f>
        <v>0</v>
      </c>
      <c r="J339" s="113">
        <f>IF(K339&gt;I339,IF(I339&lt;H339,I339+1,I339)-B_WalkTime,IF(I339&lt;H339,I339+1,I339))</f>
        <v>0</v>
      </c>
      <c r="K339" s="7"/>
      <c r="L339" s="7">
        <f>IF(K339&gt;0,K339+IF((J339-H339)&lt;Y339,Y339-(J339-H339),TIME(0,10,0))+IF((K339-J339)&gt;xNoWorkTime,0,xNoWorkTime-(K339-J339)),0)</f>
        <v>0</v>
      </c>
      <c r="M339" s="113">
        <f>IF(L339&lt;K339,L339+1,L339)</f>
        <v>0</v>
      </c>
      <c r="N339" s="113"/>
      <c r="O339" s="113">
        <f>IF(N339&gt;0,N339+IF((J339-H339+M339-K339)&lt;Y339,Y339-(J339-H339+M339-K339),TIME(0,10,0))+IF((K339-J339+N339-M339)&gt;xNoWorkTime,0,xNoWorkTime-(K339-J339+N339-M339)),0)</f>
        <v>0</v>
      </c>
      <c r="P339" s="113"/>
      <c r="Q339" s="113">
        <f>IF(O339&lt;N339,O339+1,O339)</f>
        <v>0</v>
      </c>
      <c r="R339" s="113">
        <f>J339-H339+M339-K339+Q339-N339</f>
        <v>0</v>
      </c>
      <c r="S339" s="113">
        <f>IF(K339&gt;0,K339-I339,0)+IF(N339&gt;0,N339-L339)</f>
        <v>0</v>
      </c>
      <c r="T339" s="113">
        <f>IF(H339&gt;0,(IF(R339&gt;B_Pause1Nach,B_Pause1Dauer+IF(BA339="Büro",B_WalkTime,0),IF(BA339="Büro",B_WalkTime,0))+IF(R339&gt;B_Pause2Nach,B_Pause2Dauer,0)),0)</f>
        <v>0</v>
      </c>
      <c r="U339" s="113">
        <f>IF(T339&gt;S339,T339-S339,0)</f>
        <v>0</v>
      </c>
      <c r="V339" s="146">
        <f>IF(F339="S",Z339,(IF((R339-U339)&gt;XWorkTimeMax,XWorkTimeMax,IF((R339-U339)&gt;0,R339-U339,0))))</f>
        <v>0</v>
      </c>
      <c r="W339" s="66"/>
      <c r="X339" s="115">
        <f>xNoWorkTime</f>
        <v>4.027777777777778E-2</v>
      </c>
      <c r="Y339" s="110">
        <f>IF(AND((AM339&lt;Feiertag),(G339&lt;&gt;85)),IF(OR(F339="B",F339="G",F339="S",H339&gt;0),H339-H339+Z339,0),0)</f>
        <v>0</v>
      </c>
      <c r="Z339" s="111">
        <f>IF(AND(AM339&gt;0,AM339&lt;Feiertag),INDEX(Arbeitszeit,AM339),"")</f>
        <v>0.29166666666666669</v>
      </c>
      <c r="AA339" s="112">
        <f>V339-Y339</f>
        <v>0</v>
      </c>
      <c r="AB339" s="67" t="str">
        <f>IF((V339-Y339)&lt;0,"*","")</f>
        <v/>
      </c>
      <c r="AC339" s="193">
        <f>xOverTime</f>
        <v>0</v>
      </c>
      <c r="AD339" s="144" t="str">
        <f>IF((R339-U339)&gt;XWorkTimeMax,(R339-U339-XWorkTimeMax),"")</f>
        <v/>
      </c>
      <c r="AE339" s="225">
        <f>IF(AW339,(AE338+SUM(AA339)+(IF(AG339="+",AF339,-AF339))),)</f>
        <v>0</v>
      </c>
      <c r="AF339" s="110"/>
      <c r="AG339" s="627"/>
      <c r="AH339" s="110"/>
      <c r="AI339" s="110" t="str">
        <f>IF(AND(AF339&lt;&gt;"",AF339&lt;=V339),V339-AF339,"")</f>
        <v/>
      </c>
      <c r="AJ339" s="68">
        <f>IF(ISNUMBER(V339 ), IF( V339 &gt;= Y339, Y339, V339 ),"")</f>
        <v>0</v>
      </c>
      <c r="AK339" s="68">
        <f>IF( ISNUMBER( V339 ), IF( V339 &gt;= Y339, V339 - Y339, "" ), "" )</f>
        <v>0</v>
      </c>
      <c r="AL339" s="68" t="str">
        <f>IF( AND(ISNUMBER( V339 ),ISNUMBER( Y339 )), IF( V339 &gt;= Y339, "", Y339 - V339 ), "" )</f>
        <v/>
      </c>
      <c r="AM339">
        <f>IF(A339="",0,IF(ISERROR(VLOOKUP(A339,db_Feiertag,2,FALSE)),WEEKDAY(A339,2),Feiertag))</f>
        <v>4</v>
      </c>
      <c r="AN339" s="122">
        <f>SUM($AD$6:AD339)</f>
        <v>0</v>
      </c>
      <c r="AO339" s="122">
        <f ca="1">IF(D339=D338,AO338,OFFSET(AO339,-1,COLUMN(db_jSaldoGes)-COLUMN()))</f>
        <v>0</v>
      </c>
      <c r="AP339" s="126">
        <f>IF(OR($G339=-1,$G339=82),-1,IF(OR($G339=0,$G339=83),1,0))</f>
        <v>0</v>
      </c>
      <c r="AQ339" s="126">
        <f>IF($F339=Krank,1,IF($F339="J",-1,0))</f>
        <v>0</v>
      </c>
      <c r="AR339" s="126">
        <f>IF($F339=Urlaub,1,IF($F339="T",-1,0))</f>
        <v>0</v>
      </c>
      <c r="AS339" s="125">
        <f>IF(A339="","",AS338-IF(F339=Urlaub,1,0)+IF(AND(MONTH(A339)=1,DAY(A339)=1),B_UrlaubNeu,0))</f>
        <v>30</v>
      </c>
      <c r="AT339" s="125">
        <f ca="1">IF(A339="","",IF(D339=D338,AT338,OFFSET(AT339,-1,COLUMN(db_jUrlRest)-COLUMN()))+IF(AND(MONTH(A339)=1,DAY(A339)=1),B_UrlaubNeu,0))</f>
        <v>30</v>
      </c>
      <c r="AU339" s="135">
        <f>(IF(ISNUMBER(V339),V339,0)+IF(ISNUMBER(AD339),AD339,0))*24</f>
        <v>0</v>
      </c>
      <c r="AV339" s="125">
        <f>IF(ISNUMBER(AD339),K_ArbeitOverMax,IF(AND(ISNUMBER(AA339),AA339&gt;0),K_ArbeitOverTime,IF(AND(ISNUMBER(V339),V339&gt;0),K_ArbeitNormal,IF(F339=Krank,K_Krank,IF(F339=Urlaub,K_Urlaub,IF(AM339=Feiertag,K_Feiertag,IF(OR(AM339=6,AM339=7),K_Wochenende,0)))))))+IF(F339=Gleittag,K_Gleittag,0)</f>
        <v>0</v>
      </c>
      <c r="AW339" t="b">
        <f>OR((F339&gt;0),(NOT(ISBLANK(H339))),SUM(H339:H$373),SUM(G339:G$373))</f>
        <v>0</v>
      </c>
      <c r="AX339" t="b">
        <f ca="1">INDIRECT(ADDRESS(ROW(),COLUMN(xDay)))&gt;5</f>
        <v>0</v>
      </c>
      <c r="AY339" s="600">
        <f>IF(OR(R339&lt;&gt;0,F339&lt;&gt;0),AA339,IF(Z339="",0,-Z339))+(IF(AG339="+",AF339,-AF339))</f>
        <v>-0.29166666666666669</v>
      </c>
      <c r="AZ339" s="225">
        <f>SUM(AY$5:AY339)</f>
        <v>-67.083333333333172</v>
      </c>
      <c r="BA339" s="658"/>
      <c r="BB339" s="658">
        <f>IF(ISNA(MATCH(BA339,B_Arbeitsort,0)),0,MATCH(BA339,B_Arbeitsort,0))</f>
        <v>0</v>
      </c>
      <c r="BC339" s="658"/>
    </row>
    <row r="340" spans="1:55" ht="15.75">
      <c r="A340" s="305">
        <f>IF(A339="","",IF((A339+1)&gt;=DATE(YEAR(xJahr)+1,MONTH(xJahr),DAY(xJahr)),"",A339+1))</f>
        <v>43799</v>
      </c>
      <c r="B340" s="306">
        <f>IF(A340="","",A340)</f>
        <v>43799</v>
      </c>
      <c r="C340" s="307">
        <f>IF(A340="","",NumberOfWeek(A340))</f>
        <v>48</v>
      </c>
      <c r="D340" s="308">
        <f>IF(A340="","",DATE(YEAR(A340),MONTH(A340),1))</f>
        <v>43799</v>
      </c>
      <c r="E340" s="318" t="str">
        <f>IF((R340-U340)&gt;XWorkTimeMax,$Z$4,IF(AV340=Feiertag,VLOOKUP(B340,db_Feiertag,2,FALSE),""))</f>
        <v/>
      </c>
      <c r="F340" s="5"/>
      <c r="G340" s="6" t="str">
        <f>IF(ISBLANK(F340),IF(ISBLANK(H340),"",0),CODE(UPPER(F340)))</f>
        <v/>
      </c>
      <c r="H340" s="7"/>
      <c r="I340" s="7">
        <f>IF(H340&gt;0,H340+Y340+X340+AC340,0)</f>
        <v>0</v>
      </c>
      <c r="J340" s="113">
        <f>IF(K340&gt;I340,IF(I340&lt;H340,I340+1,I340)-B_WalkTime,IF(I340&lt;H340,I340+1,I340))</f>
        <v>0</v>
      </c>
      <c r="K340" s="7"/>
      <c r="L340" s="7">
        <f>IF(K340&gt;0,K340+IF((J340-H340)&lt;Y340,Y340-(J340-H340),TIME(0,10,0))+IF((K340-J340)&gt;xNoWorkTime,0,xNoWorkTime-(K340-J340)),0)</f>
        <v>0</v>
      </c>
      <c r="M340" s="113">
        <f>IF(L340&lt;K340,L340+1,L340)</f>
        <v>0</v>
      </c>
      <c r="N340" s="113"/>
      <c r="O340" s="113">
        <f>IF(N340&gt;0,N340+IF((J340-H340+M340-K340)&lt;Y340,Y340-(J340-H340+M340-K340),TIME(0,10,0))+IF((K340-J340+N340-M340)&gt;xNoWorkTime,0,xNoWorkTime-(K340-J340+N340-M340)),0)</f>
        <v>0</v>
      </c>
      <c r="P340" s="113"/>
      <c r="Q340" s="113">
        <f>IF(O340&lt;N340,O340+1,O340)</f>
        <v>0</v>
      </c>
      <c r="R340" s="113">
        <f>J340-H340+M340-K340+Q340-N340</f>
        <v>0</v>
      </c>
      <c r="S340" s="113">
        <f>IF(K340&gt;0,K340-I340,0)+IF(N340&gt;0,N340-L340)</f>
        <v>0</v>
      </c>
      <c r="T340" s="113">
        <f>IF(H340&gt;0,(IF(R340&gt;B_Pause1Nach,B_Pause1Dauer+IF(BA340="Büro",B_WalkTime,0),IF(BA340="Büro",B_WalkTime,0))+IF(R340&gt;B_Pause2Nach,B_Pause2Dauer,0)),0)</f>
        <v>0</v>
      </c>
      <c r="U340" s="113">
        <f>IF(T340&gt;S340,T340-S340,0)</f>
        <v>0</v>
      </c>
      <c r="V340" s="146">
        <f>IF(F340="S",Z340,(IF((R340-U340)&gt;XWorkTimeMax,XWorkTimeMax,IF((R340-U340)&gt;0,R340-U340,0))))</f>
        <v>0</v>
      </c>
      <c r="W340" s="66"/>
      <c r="X340" s="115">
        <f>xNoWorkTime</f>
        <v>4.027777777777778E-2</v>
      </c>
      <c r="Y340" s="110">
        <f>IF(AND((AM340&lt;Feiertag),(G340&lt;&gt;85)),IF(OR(F340="B",F340="G",F340="S",H340&gt;0),H340-H340+Z340,0),0)</f>
        <v>0</v>
      </c>
      <c r="Z340" s="111">
        <f>IF(AND(AM340&gt;0,AM340&lt;Feiertag),INDEX(Arbeitszeit,AM340),"")</f>
        <v>0.29166666666666669</v>
      </c>
      <c r="AA340" s="112">
        <f>V340-Y340</f>
        <v>0</v>
      </c>
      <c r="AB340" s="67" t="str">
        <f>IF((V340-Y340)&lt;0,"*","")</f>
        <v/>
      </c>
      <c r="AC340" s="193">
        <f>xOverTime</f>
        <v>0</v>
      </c>
      <c r="AD340" s="144" t="str">
        <f>IF((R340-U340)&gt;XWorkTimeMax,(R340-U340-XWorkTimeMax),"")</f>
        <v/>
      </c>
      <c r="AE340" s="225">
        <f>IF(AW340,(AE339+SUM(AA340)+(IF(AG340="+",AF340,-AF340))),)</f>
        <v>0</v>
      </c>
      <c r="AF340" s="110"/>
      <c r="AG340" s="627"/>
      <c r="AH340" s="110"/>
      <c r="AI340" s="110" t="str">
        <f>IF(AND(AF340&lt;&gt;"",AF340&lt;=V340),V340-AF340,"")</f>
        <v/>
      </c>
      <c r="AJ340" s="68">
        <f>IF(ISNUMBER(V340 ), IF( V340 &gt;= Y340, Y340, V340 ),"")</f>
        <v>0</v>
      </c>
      <c r="AK340" s="68">
        <f>IF( ISNUMBER( V340 ), IF( V340 &gt;= Y340, V340 - Y340, "" ), "" )</f>
        <v>0</v>
      </c>
      <c r="AL340" s="68" t="str">
        <f>IF( AND(ISNUMBER( V340 ),ISNUMBER( Y340 )), IF( V340 &gt;= Y340, "", Y340 - V340 ), "" )</f>
        <v/>
      </c>
      <c r="AM340">
        <f>IF(A340="",0,IF(ISERROR(VLOOKUP(A340,db_Feiertag,2,FALSE)),WEEKDAY(A340,2),Feiertag))</f>
        <v>5</v>
      </c>
      <c r="AN340" s="122">
        <f>SUM($AD$6:AD340)</f>
        <v>0</v>
      </c>
      <c r="AO340" s="122">
        <f ca="1">IF(D340=D339,AO339,OFFSET(AO340,-1,COLUMN(db_jSaldoGes)-COLUMN()))</f>
        <v>0</v>
      </c>
      <c r="AP340" s="126">
        <f>IF(OR($G340=-1,$G340=82),-1,IF(OR($G340=0,$G340=83),1,0))</f>
        <v>0</v>
      </c>
      <c r="AQ340" s="126">
        <f>IF($F340=Krank,1,IF($F340="J",-1,0))</f>
        <v>0</v>
      </c>
      <c r="AR340" s="126">
        <f>IF($F340=Urlaub,1,IF($F340="T",-1,0))</f>
        <v>0</v>
      </c>
      <c r="AS340" s="125">
        <f>IF(A340="","",AS339-IF(F340=Urlaub,1,0)+IF(AND(MONTH(A340)=1,DAY(A340)=1),B_UrlaubNeu,0))</f>
        <v>30</v>
      </c>
      <c r="AT340" s="125">
        <f ca="1">IF(A340="","",IF(D340=D339,AT339,OFFSET(AT340,-1,COLUMN(db_jUrlRest)-COLUMN()))+IF(AND(MONTH(A340)=1,DAY(A340)=1),B_UrlaubNeu,0))</f>
        <v>30</v>
      </c>
      <c r="AU340" s="135">
        <f>(IF(ISNUMBER(V340),V340,0)+IF(ISNUMBER(AD340),AD340,0))*24</f>
        <v>0</v>
      </c>
      <c r="AV340" s="125">
        <f>IF(ISNUMBER(AD340),K_ArbeitOverMax,IF(AND(ISNUMBER(AA340),AA340&gt;0),K_ArbeitOverTime,IF(AND(ISNUMBER(V340),V340&gt;0),K_ArbeitNormal,IF(F340=Krank,K_Krank,IF(F340=Urlaub,K_Urlaub,IF(AM340=Feiertag,K_Feiertag,IF(OR(AM340=6,AM340=7),K_Wochenende,0)))))))+IF(F340=Gleittag,K_Gleittag,0)</f>
        <v>0</v>
      </c>
      <c r="AW340" t="b">
        <f>OR((F340&gt;0),(NOT(ISBLANK(H340))),SUM(H340:H$373),SUM(G340:G$373))</f>
        <v>0</v>
      </c>
      <c r="AX340" t="b">
        <f ca="1">INDIRECT(ADDRESS(ROW(),COLUMN(xDay)))&gt;5</f>
        <v>0</v>
      </c>
      <c r="AY340" s="600">
        <f>IF(OR(R340&lt;&gt;0,F340&lt;&gt;0),AA340,IF(Z340="",0,-Z340))+(IF(AG340="+",AF340,-AF340))</f>
        <v>-0.29166666666666669</v>
      </c>
      <c r="AZ340" s="225">
        <f>SUM(AY$5:AY340)</f>
        <v>-67.374999999999844</v>
      </c>
      <c r="BA340" s="658"/>
      <c r="BB340" s="658">
        <f>IF(ISNA(MATCH(BA340,B_Arbeitsort,0)),0,MATCH(BA340,B_Arbeitsort,0))</f>
        <v>0</v>
      </c>
      <c r="BC340" s="658"/>
    </row>
    <row r="341" spans="1:55" ht="15.75">
      <c r="A341" s="305">
        <f>IF(A340="","",IF((A340+1)&gt;=DATE(YEAR(xJahr)+1,MONTH(xJahr),DAY(xJahr)),"",A340+1))</f>
        <v>43800</v>
      </c>
      <c r="B341" s="306">
        <f>IF(A341="","",A341)</f>
        <v>43800</v>
      </c>
      <c r="C341" s="307">
        <f>IF(A341="","",NumberOfWeek(A341))</f>
        <v>48</v>
      </c>
      <c r="D341" s="308">
        <f>IF(A341="","",DATE(YEAR(A341),MONTH(A341),1))</f>
        <v>43799</v>
      </c>
      <c r="E341" s="318" t="str">
        <f>IF((R341-U341)&gt;XWorkTimeMax,$Z$4,IF(AV341=Feiertag,VLOOKUP(B341,db_Feiertag,2,FALSE),""))</f>
        <v/>
      </c>
      <c r="F341" s="5"/>
      <c r="G341" s="6" t="str">
        <f>IF(ISBLANK(F341),IF(ISBLANK(H341),"",0),CODE(UPPER(F341)))</f>
        <v/>
      </c>
      <c r="H341" s="7"/>
      <c r="I341" s="7">
        <f>IF(H341&gt;0,H341+Y341+X341+AC341,0)</f>
        <v>0</v>
      </c>
      <c r="J341" s="113">
        <f>IF(K341&gt;I341,IF(I341&lt;H341,I341+1,I341)-B_WalkTime,IF(I341&lt;H341,I341+1,I341))</f>
        <v>0</v>
      </c>
      <c r="K341" s="7"/>
      <c r="L341" s="7">
        <f>IF(K341&gt;0,K341+IF((J341-H341)&lt;Y341,Y341-(J341-H341),TIME(0,10,0))+IF((K341-J341)&gt;xNoWorkTime,0,xNoWorkTime-(K341-J341)),0)</f>
        <v>0</v>
      </c>
      <c r="M341" s="113">
        <f>IF(L341&lt;K341,L341+1,L341)</f>
        <v>0</v>
      </c>
      <c r="N341" s="113"/>
      <c r="O341" s="113">
        <f>IF(N341&gt;0,N341+IF((J341-H341+M341-K341)&lt;Y341,Y341-(J341-H341+M341-K341),TIME(0,10,0))+IF((K341-J341+N341-M341)&gt;xNoWorkTime,0,xNoWorkTime-(K341-J341+N341-M341)),0)</f>
        <v>0</v>
      </c>
      <c r="P341" s="113"/>
      <c r="Q341" s="113">
        <f>IF(O341&lt;N341,O341+1,O341)</f>
        <v>0</v>
      </c>
      <c r="R341" s="113">
        <f>J341-H341+M341-K341+Q341-N341</f>
        <v>0</v>
      </c>
      <c r="S341" s="113">
        <f>IF(K341&gt;0,K341-I341,0)+IF(N341&gt;0,N341-L341)</f>
        <v>0</v>
      </c>
      <c r="T341" s="113">
        <f>IF(H341&gt;0,(IF(R341&gt;B_Pause1Nach,B_Pause1Dauer+IF(BA341="Büro",B_WalkTime,0),IF(BA341="Büro",B_WalkTime,0))+IF(R341&gt;B_Pause2Nach,B_Pause2Dauer,0)),0)</f>
        <v>0</v>
      </c>
      <c r="U341" s="113">
        <f>IF(T341&gt;S341,T341-S341,0)</f>
        <v>0</v>
      </c>
      <c r="V341" s="146">
        <f>IF(F341="S",Z341,(IF((R341-U341)&gt;XWorkTimeMax,XWorkTimeMax,IF((R341-U341)&gt;0,R341-U341,0))))</f>
        <v>0</v>
      </c>
      <c r="W341" s="66"/>
      <c r="X341" s="115">
        <f>xNoWorkTime</f>
        <v>4.027777777777778E-2</v>
      </c>
      <c r="Y341" s="110">
        <f>IF(AND((AM341&lt;Feiertag),(G341&lt;&gt;85)),IF(OR(F341="B",F341="G",F341="S",H341&gt;0),H341-H341+Z341,0),0)</f>
        <v>0</v>
      </c>
      <c r="Z341" s="111">
        <f>IF(AND(AM341&gt;0,AM341&lt;Feiertag),INDEX(Arbeitszeit,AM341),"")</f>
        <v>0</v>
      </c>
      <c r="AA341" s="112">
        <f>V341-Y341</f>
        <v>0</v>
      </c>
      <c r="AB341" s="67" t="str">
        <f>IF((V341-Y341)&lt;0,"*","")</f>
        <v/>
      </c>
      <c r="AC341" s="193">
        <f>xOverTime</f>
        <v>0</v>
      </c>
      <c r="AD341" s="144" t="str">
        <f>IF((R341-U341)&gt;XWorkTimeMax,(R341-U341-XWorkTimeMax),"")</f>
        <v/>
      </c>
      <c r="AE341" s="225">
        <f>IF(AW341,(AE340+SUM(AA341)+(IF(AG341="+",AF341,-AF341))),)</f>
        <v>0</v>
      </c>
      <c r="AF341" s="110"/>
      <c r="AG341" s="627"/>
      <c r="AH341" s="110"/>
      <c r="AI341" s="110" t="str">
        <f>IF(AND(AF341&lt;&gt;"",AF341&lt;=V341),V341-AF341,"")</f>
        <v/>
      </c>
      <c r="AJ341" s="68">
        <f>IF(ISNUMBER(V341 ), IF( V341 &gt;= Y341, Y341, V341 ),"")</f>
        <v>0</v>
      </c>
      <c r="AK341" s="68">
        <f>IF( ISNUMBER( V341 ), IF( V341 &gt;= Y341, V341 - Y341, "" ), "" )</f>
        <v>0</v>
      </c>
      <c r="AL341" s="68" t="str">
        <f>IF( AND(ISNUMBER( V341 ),ISNUMBER( Y341 )), IF( V341 &gt;= Y341, "", Y341 - V341 ), "" )</f>
        <v/>
      </c>
      <c r="AM341">
        <f>IF(A341="",0,IF(ISERROR(VLOOKUP(A341,db_Feiertag,2,FALSE)),WEEKDAY(A341,2),Feiertag))</f>
        <v>6</v>
      </c>
      <c r="AN341" s="122">
        <f>SUM($AD$6:AD341)</f>
        <v>0</v>
      </c>
      <c r="AO341" s="122">
        <f ca="1">IF(D341=D340,AO340,OFFSET(AO341,-1,COLUMN(db_jSaldoGes)-COLUMN()))</f>
        <v>0</v>
      </c>
      <c r="AP341" s="126">
        <f>IF(OR($G341=-1,$G341=82),-1,IF(OR($G341=0,$G341=83),1,0))</f>
        <v>0</v>
      </c>
      <c r="AQ341" s="126">
        <f>IF($F341=Krank,1,IF($F341="J",-1,0))</f>
        <v>0</v>
      </c>
      <c r="AR341" s="126">
        <f>IF($F341=Urlaub,1,IF($F341="T",-1,0))</f>
        <v>0</v>
      </c>
      <c r="AS341" s="125">
        <f>IF(A341="","",AS340-IF(F341=Urlaub,1,0)+IF(AND(MONTH(A341)=1,DAY(A341)=1),B_UrlaubNeu,0))</f>
        <v>30</v>
      </c>
      <c r="AT341" s="125">
        <f ca="1">IF(A341="","",IF(D341=D340,AT340,OFFSET(AT341,-1,COLUMN(db_jUrlRest)-COLUMN()))+IF(AND(MONTH(A341)=1,DAY(A341)=1),B_UrlaubNeu,0))</f>
        <v>30</v>
      </c>
      <c r="AU341" s="135">
        <f>(IF(ISNUMBER(V341),V341,0)+IF(ISNUMBER(AD341),AD341,0))*24</f>
        <v>0</v>
      </c>
      <c r="AV341" s="125">
        <f>IF(ISNUMBER(AD341),K_ArbeitOverMax,IF(AND(ISNUMBER(AA341),AA341&gt;0),K_ArbeitOverTime,IF(AND(ISNUMBER(V341),V341&gt;0),K_ArbeitNormal,IF(F341=Krank,K_Krank,IF(F341=Urlaub,K_Urlaub,IF(AM341=Feiertag,K_Feiertag,IF(OR(AM341=6,AM341=7),K_Wochenende,0)))))))+IF(F341=Gleittag,K_Gleittag,0)</f>
        <v>7</v>
      </c>
      <c r="AW341" t="b">
        <f>OR((F341&gt;0),(NOT(ISBLANK(H341))),SUM(H341:H$373),SUM(G341:G$373))</f>
        <v>0</v>
      </c>
      <c r="AX341" t="b">
        <f ca="1">INDIRECT(ADDRESS(ROW(),COLUMN(xDay)))&gt;5</f>
        <v>1</v>
      </c>
      <c r="AY341" s="600">
        <f>IF(OR(R341&lt;&gt;0,F341&lt;&gt;0),AA341,IF(Z341="",0,-Z341))+(IF(AG341="+",AF341,-AF341))</f>
        <v>0</v>
      </c>
      <c r="AZ341" s="225">
        <f>SUM(AY$5:AY341)</f>
        <v>-67.374999999999844</v>
      </c>
      <c r="BA341" s="643"/>
      <c r="BB341" s="658">
        <f>IF(ISNA(MATCH(BA341,B_Arbeitsort,0)),0,MATCH(BA341,B_Arbeitsort,0))</f>
        <v>0</v>
      </c>
      <c r="BC341" s="643"/>
    </row>
    <row r="342" spans="1:55" ht="15.75">
      <c r="A342" s="305">
        <f>IF(A341="","",IF((A341+1)&gt;=DATE(YEAR(xJahr)+1,MONTH(xJahr),DAY(xJahr)),"",A341+1))</f>
        <v>43801</v>
      </c>
      <c r="B342" s="306">
        <f>IF(A342="","",A342)</f>
        <v>43801</v>
      </c>
      <c r="C342" s="307">
        <f>IF(A342="","",NumberOfWeek(A342))</f>
        <v>48</v>
      </c>
      <c r="D342" s="308">
        <f>IF(A342="","",DATE(YEAR(A342),MONTH(A342),1))</f>
        <v>43799</v>
      </c>
      <c r="E342" s="318" t="str">
        <f>IF((R342-U342)&gt;XWorkTimeMax,$Z$4,IF(AV342=Feiertag,VLOOKUP(B342,db_Feiertag,2,FALSE),""))</f>
        <v/>
      </c>
      <c r="F342" s="5"/>
      <c r="G342" s="6" t="str">
        <f>IF(ISBLANK(F342),IF(ISBLANK(H342),"",0),CODE(UPPER(F342)))</f>
        <v/>
      </c>
      <c r="H342" s="7"/>
      <c r="I342" s="7">
        <f>IF(H342&gt;0,H342+Y342+X342+AC342,0)</f>
        <v>0</v>
      </c>
      <c r="J342" s="113">
        <f>IF(K342&gt;I342,IF(I342&lt;H342,I342+1,I342)-B_WalkTime,IF(I342&lt;H342,I342+1,I342))</f>
        <v>0</v>
      </c>
      <c r="K342" s="7"/>
      <c r="L342" s="7">
        <f>IF(K342&gt;0,K342+IF((J342-H342)&lt;Y342,Y342-(J342-H342),TIME(0,10,0))+IF((K342-J342)&gt;xNoWorkTime,0,xNoWorkTime-(K342-J342)),0)</f>
        <v>0</v>
      </c>
      <c r="M342" s="113">
        <f>IF(L342&lt;K342,L342+1,L342)</f>
        <v>0</v>
      </c>
      <c r="N342" s="113"/>
      <c r="O342" s="113">
        <f>IF(N342&gt;0,N342+IF((J342-H342+M342-K342)&lt;Y342,Y342-(J342-H342+M342-K342),TIME(0,10,0))+IF((K342-J342+N342-M342)&gt;xNoWorkTime,0,xNoWorkTime-(K342-J342+N342-M342)),0)</f>
        <v>0</v>
      </c>
      <c r="P342" s="113"/>
      <c r="Q342" s="113">
        <f>IF(O342&lt;N342,O342+1,O342)</f>
        <v>0</v>
      </c>
      <c r="R342" s="113">
        <f>J342-H342+M342-K342+Q342-N342</f>
        <v>0</v>
      </c>
      <c r="S342" s="113">
        <f>IF(K342&gt;0,K342-I342,0)+IF(N342&gt;0,N342-L342)</f>
        <v>0</v>
      </c>
      <c r="T342" s="113">
        <f>IF(H342&gt;0,(IF(R342&gt;B_Pause1Nach,B_Pause1Dauer+IF(BA342="Büro",B_WalkTime,0),IF(BA342="Büro",B_WalkTime,0))+IF(R342&gt;B_Pause2Nach,B_Pause2Dauer,0)),0)</f>
        <v>0</v>
      </c>
      <c r="U342" s="113">
        <f>IF(T342&gt;S342,T342-S342,0)</f>
        <v>0</v>
      </c>
      <c r="V342" s="146">
        <f>IF(F342="S",Z342,(IF((R342-U342)&gt;XWorkTimeMax,XWorkTimeMax,IF((R342-U342)&gt;0,R342-U342,0))))</f>
        <v>0</v>
      </c>
      <c r="W342" s="66"/>
      <c r="X342" s="115">
        <f>xNoWorkTime</f>
        <v>4.027777777777778E-2</v>
      </c>
      <c r="Y342" s="110">
        <f>IF(AND((AM342&lt;Feiertag),(G342&lt;&gt;85)),IF(OR(F342="B",F342="G",F342="S",H342&gt;0),H342-H342+Z342,0),0)</f>
        <v>0</v>
      </c>
      <c r="Z342" s="111">
        <f>IF(AND(AM342&gt;0,AM342&lt;Feiertag),INDEX(Arbeitszeit,AM342),"")</f>
        <v>0</v>
      </c>
      <c r="AA342" s="112">
        <f>V342-Y342</f>
        <v>0</v>
      </c>
      <c r="AB342" s="67" t="str">
        <f>IF((V342-Y342)&lt;0,"*","")</f>
        <v/>
      </c>
      <c r="AC342" s="193">
        <f>xOverTime</f>
        <v>0</v>
      </c>
      <c r="AD342" s="144" t="str">
        <f>IF((R342-U342)&gt;XWorkTimeMax,(R342-U342-XWorkTimeMax),"")</f>
        <v/>
      </c>
      <c r="AE342" s="225">
        <f>IF(AW342,(AE341+SUM(AA342)+(IF(AG342="+",AF342,-AF342))),)</f>
        <v>0</v>
      </c>
      <c r="AF342" s="110"/>
      <c r="AG342" s="627"/>
      <c r="AH342" s="110"/>
      <c r="AI342" s="110" t="str">
        <f>IF(AND(AF342&lt;&gt;"",AF342&lt;=V342),V342-AF342,"")</f>
        <v/>
      </c>
      <c r="AJ342" s="68">
        <f>IF(ISNUMBER(V342 ), IF( V342 &gt;= Y342, Y342, V342 ),"")</f>
        <v>0</v>
      </c>
      <c r="AK342" s="68">
        <f>IF( ISNUMBER( V342 ), IF( V342 &gt;= Y342, V342 - Y342, "" ), "" )</f>
        <v>0</v>
      </c>
      <c r="AL342" s="68" t="str">
        <f>IF( AND(ISNUMBER( V342 ),ISNUMBER( Y342 )), IF( V342 &gt;= Y342, "", Y342 - V342 ), "" )</f>
        <v/>
      </c>
      <c r="AM342">
        <f>IF(A342="",0,IF(ISERROR(VLOOKUP(A342,db_Feiertag,2,FALSE)),WEEKDAY(A342,2),Feiertag))</f>
        <v>7</v>
      </c>
      <c r="AN342" s="122">
        <f>SUM($AD$6:AD342)</f>
        <v>0</v>
      </c>
      <c r="AO342" s="122">
        <f ca="1">IF(D342=D341,AO341,OFFSET(AO342,-1,COLUMN(db_jSaldoGes)-COLUMN()))</f>
        <v>0</v>
      </c>
      <c r="AP342" s="126">
        <f>IF(OR($G342=-1,$G342=82),-1,IF(OR($G342=0,$G342=83),1,0))</f>
        <v>0</v>
      </c>
      <c r="AQ342" s="126">
        <f>IF($F342=Krank,1,IF($F342="J",-1,0))</f>
        <v>0</v>
      </c>
      <c r="AR342" s="126">
        <f>IF($F342=Urlaub,1,IF($F342="T",-1,0))</f>
        <v>0</v>
      </c>
      <c r="AS342" s="125">
        <f>IF(A342="","",AS341-IF(F342=Urlaub,1,0)+IF(AND(MONTH(A342)=1,DAY(A342)=1),B_UrlaubNeu,0))</f>
        <v>30</v>
      </c>
      <c r="AT342" s="125">
        <f ca="1">IF(A342="","",IF(D342=D341,AT341,OFFSET(AT342,-1,COLUMN(db_jUrlRest)-COLUMN()))+IF(AND(MONTH(A342)=1,DAY(A342)=1),B_UrlaubNeu,0))</f>
        <v>30</v>
      </c>
      <c r="AU342" s="135">
        <f>(IF(ISNUMBER(V342),V342,0)+IF(ISNUMBER(AD342),AD342,0))*24</f>
        <v>0</v>
      </c>
      <c r="AV342" s="125">
        <f>IF(ISNUMBER(AD342),K_ArbeitOverMax,IF(AND(ISNUMBER(AA342),AA342&gt;0),K_ArbeitOverTime,IF(AND(ISNUMBER(V342),V342&gt;0),K_ArbeitNormal,IF(F342=Krank,K_Krank,IF(F342=Urlaub,K_Urlaub,IF(AM342=Feiertag,K_Feiertag,IF(OR(AM342=6,AM342=7),K_Wochenende,0)))))))+IF(F342=Gleittag,K_Gleittag,0)</f>
        <v>7</v>
      </c>
      <c r="AW342" t="b">
        <f>OR((F342&gt;0),(NOT(ISBLANK(H342))),SUM(H342:H$373),SUM(G342:G$373))</f>
        <v>0</v>
      </c>
      <c r="AX342" t="b">
        <f ca="1">INDIRECT(ADDRESS(ROW(),COLUMN(xDay)))&gt;5</f>
        <v>1</v>
      </c>
      <c r="AY342" s="600">
        <f>IF(OR(R342&lt;&gt;0,F342&lt;&gt;0),AA342,IF(Z342="",0,-Z342))+(IF(AG342="+",AF342,-AF342))</f>
        <v>0</v>
      </c>
      <c r="AZ342" s="225">
        <f>SUM(AY$5:AY342)</f>
        <v>-67.374999999999844</v>
      </c>
      <c r="BA342" s="643"/>
      <c r="BB342" s="658">
        <f>IF(ISNA(MATCH(BA342,B_Arbeitsort,0)),0,MATCH(BA342,B_Arbeitsort,0))</f>
        <v>0</v>
      </c>
      <c r="BC342" s="643"/>
    </row>
    <row r="343" spans="1:55" ht="15.75">
      <c r="A343" s="305">
        <f>IF(A342="","",IF((A342+1)&gt;=DATE(YEAR(xJahr)+1,MONTH(xJahr),DAY(xJahr)),"",A342+1))</f>
        <v>43802</v>
      </c>
      <c r="B343" s="306">
        <f>IF(A343="","",A343)</f>
        <v>43802</v>
      </c>
      <c r="C343" s="307">
        <f>IF(A343="","",NumberOfWeek(A343))</f>
        <v>49</v>
      </c>
      <c r="D343" s="308">
        <f>IF(A343="","",DATE(YEAR(A343),MONTH(A343),1))</f>
        <v>43799</v>
      </c>
      <c r="E343" s="318" t="str">
        <f>IF((R343-U343)&gt;XWorkTimeMax,$Z$4,IF(AV343=Feiertag,VLOOKUP(B343,db_Feiertag,2,FALSE),""))</f>
        <v/>
      </c>
      <c r="F343" s="5"/>
      <c r="G343" s="6" t="str">
        <f>IF(ISBLANK(F343),IF(ISBLANK(H343),"",0),CODE(UPPER(F343)))</f>
        <v/>
      </c>
      <c r="H343" s="7"/>
      <c r="I343" s="7">
        <f>IF(H343&gt;0,H343+Y343+X343+AC343,0)</f>
        <v>0</v>
      </c>
      <c r="J343" s="113">
        <f>IF(K343&gt;I343,IF(I343&lt;H343,I343+1,I343)-B_WalkTime,IF(I343&lt;H343,I343+1,I343))</f>
        <v>0</v>
      </c>
      <c r="K343" s="7"/>
      <c r="L343" s="7">
        <f>IF(K343&gt;0,K343+IF((J343-H343)&lt;Y343,Y343-(J343-H343),TIME(0,10,0))+IF((K343-J343)&gt;xNoWorkTime,0,xNoWorkTime-(K343-J343)),0)</f>
        <v>0</v>
      </c>
      <c r="M343" s="113">
        <f>IF(L343&lt;K343,L343+1,L343)</f>
        <v>0</v>
      </c>
      <c r="N343" s="113"/>
      <c r="O343" s="113">
        <f>IF(N343&gt;0,N343+IF((J343-H343+M343-K343)&lt;Y343,Y343-(J343-H343+M343-K343),TIME(0,10,0))+IF((K343-J343+N343-M343)&gt;xNoWorkTime,0,xNoWorkTime-(K343-J343+N343-M343)),0)</f>
        <v>0</v>
      </c>
      <c r="P343" s="113"/>
      <c r="Q343" s="113">
        <f>IF(O343&lt;N343,O343+1,O343)</f>
        <v>0</v>
      </c>
      <c r="R343" s="113">
        <f>J343-H343+M343-K343+Q343-N343</f>
        <v>0</v>
      </c>
      <c r="S343" s="113">
        <f>IF(K343&gt;0,K343-I343,0)+IF(N343&gt;0,N343-L343)</f>
        <v>0</v>
      </c>
      <c r="T343" s="113">
        <f>IF(H343&gt;0,(IF(R343&gt;B_Pause1Nach,B_Pause1Dauer+IF(BA343="Büro",B_WalkTime,0),IF(BA343="Büro",B_WalkTime,0))+IF(R343&gt;B_Pause2Nach,B_Pause2Dauer,0)),0)</f>
        <v>0</v>
      </c>
      <c r="U343" s="113">
        <f>IF(T343&gt;S343,T343-S343,0)</f>
        <v>0</v>
      </c>
      <c r="V343" s="146">
        <f>IF(F343="S",Z343,(IF((R343-U343)&gt;XWorkTimeMax,XWorkTimeMax,IF((R343-U343)&gt;0,R343-U343,0))))</f>
        <v>0</v>
      </c>
      <c r="W343" s="66"/>
      <c r="X343" s="115">
        <f>xNoWorkTime</f>
        <v>4.027777777777778E-2</v>
      </c>
      <c r="Y343" s="110">
        <f>IF(AND((AM343&lt;Feiertag),(G343&lt;&gt;85)),IF(OR(F343="B",F343="G",F343="S",H343&gt;0),H343-H343+Z343,0),0)</f>
        <v>0</v>
      </c>
      <c r="Z343" s="111">
        <f>IF(AND(AM343&gt;0,AM343&lt;Feiertag),INDEX(Arbeitszeit,AM343),"")</f>
        <v>0.29166666666666669</v>
      </c>
      <c r="AA343" s="112">
        <f>V343-Y343</f>
        <v>0</v>
      </c>
      <c r="AB343" s="67" t="str">
        <f>IF((V343-Y343)&lt;0,"*","")</f>
        <v/>
      </c>
      <c r="AC343" s="193">
        <f>xOverTime</f>
        <v>0</v>
      </c>
      <c r="AD343" s="144" t="str">
        <f>IF((R343-U343)&gt;XWorkTimeMax,(R343-U343-XWorkTimeMax),"")</f>
        <v/>
      </c>
      <c r="AE343" s="225">
        <f>IF(AW343,(AE342+SUM(AA343)+(IF(AG343="+",AF343,-AF343))),)</f>
        <v>0</v>
      </c>
      <c r="AF343" s="110"/>
      <c r="AG343" s="627"/>
      <c r="AH343" s="110"/>
      <c r="AI343" s="110" t="str">
        <f>IF(AND(AF343&lt;&gt;"",AF343&lt;=V343),V343-AF343,"")</f>
        <v/>
      </c>
      <c r="AJ343" s="68">
        <f>IF(ISNUMBER(V343 ), IF( V343 &gt;= Y343, Y343, V343 ),"")</f>
        <v>0</v>
      </c>
      <c r="AK343" s="68">
        <f>IF( ISNUMBER( V343 ), IF( V343 &gt;= Y343, V343 - Y343, "" ), "" )</f>
        <v>0</v>
      </c>
      <c r="AL343" s="68" t="str">
        <f>IF( AND(ISNUMBER( V343 ),ISNUMBER( Y343 )), IF( V343 &gt;= Y343, "", Y343 - V343 ), "" )</f>
        <v/>
      </c>
      <c r="AM343">
        <f>IF(A343="",0,IF(ISERROR(VLOOKUP(A343,db_Feiertag,2,FALSE)),WEEKDAY(A343,2),Feiertag))</f>
        <v>1</v>
      </c>
      <c r="AN343" s="122">
        <f>SUM($AD$6:AD343)</f>
        <v>0</v>
      </c>
      <c r="AO343" s="122">
        <f ca="1">IF(D343=D342,AO342,OFFSET(AO343,-1,COLUMN(db_jSaldoGes)-COLUMN()))</f>
        <v>0</v>
      </c>
      <c r="AP343" s="126">
        <f>IF(OR($G343=-1,$G343=82),-1,IF(OR($G343=0,$G343=83),1,0))</f>
        <v>0</v>
      </c>
      <c r="AQ343" s="126">
        <f>IF($F343=Krank,1,IF($F343="J",-1,0))</f>
        <v>0</v>
      </c>
      <c r="AR343" s="126">
        <f>IF($F343=Urlaub,1,IF($F343="T",-1,0))</f>
        <v>0</v>
      </c>
      <c r="AS343" s="125">
        <f>IF(A343="","",AS342-IF(F343=Urlaub,1,0)+IF(AND(MONTH(A343)=1,DAY(A343)=1),B_UrlaubNeu,0))</f>
        <v>30</v>
      </c>
      <c r="AT343" s="125">
        <f ca="1">IF(A343="","",IF(D343=D342,AT342,OFFSET(AT343,-1,COLUMN(db_jUrlRest)-COLUMN()))+IF(AND(MONTH(A343)=1,DAY(A343)=1),B_UrlaubNeu,0))</f>
        <v>30</v>
      </c>
      <c r="AU343" s="135">
        <f>(IF(ISNUMBER(V343),V343,0)+IF(ISNUMBER(AD343),AD343,0))*24</f>
        <v>0</v>
      </c>
      <c r="AV343" s="125">
        <f>IF(ISNUMBER(AD343),K_ArbeitOverMax,IF(AND(ISNUMBER(AA343),AA343&gt;0),K_ArbeitOverTime,IF(AND(ISNUMBER(V343),V343&gt;0),K_ArbeitNormal,IF(F343=Krank,K_Krank,IF(F343=Urlaub,K_Urlaub,IF(AM343=Feiertag,K_Feiertag,IF(OR(AM343=6,AM343=7),K_Wochenende,0)))))))+IF(F343=Gleittag,K_Gleittag,0)</f>
        <v>0</v>
      </c>
      <c r="AW343" t="b">
        <f>OR((F343&gt;0),(NOT(ISBLANK(H343))),SUM(H343:H$373),SUM(G343:G$373))</f>
        <v>0</v>
      </c>
      <c r="AX343" t="b">
        <f ca="1">INDIRECT(ADDRESS(ROW(),COLUMN(xDay)))&gt;5</f>
        <v>0</v>
      </c>
      <c r="AY343" s="600">
        <f>IF(OR(R343&lt;&gt;0,F343&lt;&gt;0),AA343,IF(Z343="",0,-Z343))+(IF(AG343="+",AF343,-AF343))</f>
        <v>-0.29166666666666669</v>
      </c>
      <c r="AZ343" s="225">
        <f>SUM(AY$5:AY343)</f>
        <v>-67.666666666666515</v>
      </c>
      <c r="BA343" s="658"/>
      <c r="BB343" s="658">
        <f>IF(ISNA(MATCH(BA343,B_Arbeitsort,0)),0,MATCH(BA343,B_Arbeitsort,0))</f>
        <v>0</v>
      </c>
      <c r="BC343" s="658"/>
    </row>
    <row r="344" spans="1:55" ht="15.75">
      <c r="A344" s="305">
        <f>IF(A343="","",IF((A343+1)&gt;=DATE(YEAR(xJahr)+1,MONTH(xJahr),DAY(xJahr)),"",A343+1))</f>
        <v>43803</v>
      </c>
      <c r="B344" s="306">
        <f>IF(A344="","",A344)</f>
        <v>43803</v>
      </c>
      <c r="C344" s="307">
        <f>IF(A344="","",NumberOfWeek(A344))</f>
        <v>49</v>
      </c>
      <c r="D344" s="308">
        <f>IF(A344="","",DATE(YEAR(A344),MONTH(A344),1))</f>
        <v>43799</v>
      </c>
      <c r="E344" s="318" t="str">
        <f>IF((R344-U344)&gt;XWorkTimeMax,$Z$4,IF(AV344=Feiertag,VLOOKUP(B344,db_Feiertag,2,FALSE),""))</f>
        <v/>
      </c>
      <c r="F344" s="5"/>
      <c r="G344" s="6" t="str">
        <f>IF(ISBLANK(F344),IF(ISBLANK(H344),"",0),CODE(UPPER(F344)))</f>
        <v/>
      </c>
      <c r="H344" s="7"/>
      <c r="I344" s="7">
        <f>IF(H344&gt;0,H344+Y344+X344+AC344,0)</f>
        <v>0</v>
      </c>
      <c r="J344" s="113">
        <f>IF(K344&gt;I344,IF(I344&lt;H344,I344+1,I344)-B_WalkTime,IF(I344&lt;H344,I344+1,I344))</f>
        <v>0</v>
      </c>
      <c r="K344" s="7"/>
      <c r="L344" s="7">
        <f>IF(K344&gt;0,K344+IF((J344-H344)&lt;Y344,Y344-(J344-H344),TIME(0,10,0))+IF((K344-J344)&gt;xNoWorkTime,0,xNoWorkTime-(K344-J344)),0)</f>
        <v>0</v>
      </c>
      <c r="M344" s="113">
        <f>IF(L344&lt;K344,L344+1,L344)</f>
        <v>0</v>
      </c>
      <c r="N344" s="113"/>
      <c r="O344" s="113">
        <f>IF(N344&gt;0,N344+IF((J344-H344+M344-K344)&lt;Y344,Y344-(J344-H344+M344-K344),TIME(0,10,0))+IF((K344-J344+N344-M344)&gt;xNoWorkTime,0,xNoWorkTime-(K344-J344+N344-M344)),0)</f>
        <v>0</v>
      </c>
      <c r="P344" s="113"/>
      <c r="Q344" s="113">
        <f>IF(O344&lt;N344,O344+1,O344)</f>
        <v>0</v>
      </c>
      <c r="R344" s="113">
        <f>J344-H344+M344-K344+Q344-N344</f>
        <v>0</v>
      </c>
      <c r="S344" s="113">
        <f>IF(K344&gt;0,K344-I344,0)+IF(N344&gt;0,N344-L344)</f>
        <v>0</v>
      </c>
      <c r="T344" s="113">
        <f>IF(H344&gt;0,(IF(R344&gt;B_Pause1Nach,B_Pause1Dauer+IF(BA344="Büro",B_WalkTime,0),IF(BA344="Büro",B_WalkTime,0))+IF(R344&gt;B_Pause2Nach,B_Pause2Dauer,0)),0)</f>
        <v>0</v>
      </c>
      <c r="U344" s="113">
        <f>IF(T344&gt;S344,T344-S344,0)</f>
        <v>0</v>
      </c>
      <c r="V344" s="146">
        <f>IF(F344="S",Z344,(IF((R344-U344)&gt;XWorkTimeMax,XWorkTimeMax,IF((R344-U344)&gt;0,R344-U344,0))))</f>
        <v>0</v>
      </c>
      <c r="W344" s="66"/>
      <c r="X344" s="115">
        <f>xNoWorkTime</f>
        <v>4.027777777777778E-2</v>
      </c>
      <c r="Y344" s="110">
        <f>IF(AND((AM344&lt;Feiertag),(G344&lt;&gt;85)),IF(OR(F344="B",F344="G",F344="S",H344&gt;0),H344-H344+Z344,0),0)</f>
        <v>0</v>
      </c>
      <c r="Z344" s="111">
        <f>IF(AND(AM344&gt;0,AM344&lt;Feiertag),INDEX(Arbeitszeit,AM344),"")</f>
        <v>0.29166666666666669</v>
      </c>
      <c r="AA344" s="112">
        <f>V344-Y344</f>
        <v>0</v>
      </c>
      <c r="AB344" s="67" t="str">
        <f>IF((V344-Y344)&lt;0,"*","")</f>
        <v/>
      </c>
      <c r="AC344" s="193">
        <f>xOverTime</f>
        <v>0</v>
      </c>
      <c r="AD344" s="144" t="str">
        <f>IF((R344-U344)&gt;XWorkTimeMax,(R344-U344-XWorkTimeMax),"")</f>
        <v/>
      </c>
      <c r="AE344" s="225">
        <f>IF(AW344,(AE343+SUM(AA344)+(IF(AG344="+",AF344,-AF344))),)</f>
        <v>0</v>
      </c>
      <c r="AF344" s="110"/>
      <c r="AG344" s="627"/>
      <c r="AH344" s="110"/>
      <c r="AI344" s="110" t="str">
        <f>IF(AND(AF344&lt;&gt;"",AF344&lt;=V344),V344-AF344,"")</f>
        <v/>
      </c>
      <c r="AJ344" s="68">
        <f>IF(ISNUMBER(V344 ), IF( V344 &gt;= Y344, Y344, V344 ),"")</f>
        <v>0</v>
      </c>
      <c r="AK344" s="68">
        <f>IF( ISNUMBER( V344 ), IF( V344 &gt;= Y344, V344 - Y344, "" ), "" )</f>
        <v>0</v>
      </c>
      <c r="AL344" s="68" t="str">
        <f>IF( AND(ISNUMBER( V344 ),ISNUMBER( Y344 )), IF( V344 &gt;= Y344, "", Y344 - V344 ), "" )</f>
        <v/>
      </c>
      <c r="AM344">
        <f>IF(A344="",0,IF(ISERROR(VLOOKUP(A344,db_Feiertag,2,FALSE)),WEEKDAY(A344,2),Feiertag))</f>
        <v>2</v>
      </c>
      <c r="AN344" s="122">
        <f>SUM($AD$6:AD344)</f>
        <v>0</v>
      </c>
      <c r="AO344" s="122">
        <f ca="1">IF(D344=D343,AO343,OFFSET(AO344,-1,COLUMN(db_jSaldoGes)-COLUMN()))</f>
        <v>0</v>
      </c>
      <c r="AP344" s="126">
        <f>IF(OR($G344=-1,$G344=82),-1,IF(OR($G344=0,$G344=83),1,0))</f>
        <v>0</v>
      </c>
      <c r="AQ344" s="126">
        <f>IF($F344=Krank,1,IF($F344="J",-1,0))</f>
        <v>0</v>
      </c>
      <c r="AR344" s="126">
        <f>IF($F344=Urlaub,1,IF($F344="T",-1,0))</f>
        <v>0</v>
      </c>
      <c r="AS344" s="125">
        <f>IF(A344="","",AS343-IF(F344=Urlaub,1,0)+IF(AND(MONTH(A344)=1,DAY(A344)=1),B_UrlaubNeu,0))</f>
        <v>30</v>
      </c>
      <c r="AT344" s="125">
        <f ca="1">IF(A344="","",IF(D344=D343,AT343,OFFSET(AT344,-1,COLUMN(db_jUrlRest)-COLUMN()))+IF(AND(MONTH(A344)=1,DAY(A344)=1),B_UrlaubNeu,0))</f>
        <v>30</v>
      </c>
      <c r="AU344" s="135">
        <f>(IF(ISNUMBER(V344),V344,0)+IF(ISNUMBER(AD344),AD344,0))*24</f>
        <v>0</v>
      </c>
      <c r="AV344" s="125">
        <f>IF(ISNUMBER(AD344),K_ArbeitOverMax,IF(AND(ISNUMBER(AA344),AA344&gt;0),K_ArbeitOverTime,IF(AND(ISNUMBER(V344),V344&gt;0),K_ArbeitNormal,IF(F344=Krank,K_Krank,IF(F344=Urlaub,K_Urlaub,IF(AM344=Feiertag,K_Feiertag,IF(OR(AM344=6,AM344=7),K_Wochenende,0)))))))+IF(F344=Gleittag,K_Gleittag,0)</f>
        <v>0</v>
      </c>
      <c r="AW344" t="b">
        <f>OR((F344&gt;0),(NOT(ISBLANK(H344))),SUM(H344:H$373),SUM(G344:G$373))</f>
        <v>0</v>
      </c>
      <c r="AX344" t="b">
        <f ca="1">INDIRECT(ADDRESS(ROW(),COLUMN(xDay)))&gt;5</f>
        <v>0</v>
      </c>
      <c r="AY344" s="600">
        <f>IF(OR(R344&lt;&gt;0,F344&lt;&gt;0),AA344,IF(Z344="",0,-Z344))+(IF(AG344="+",AF344,-AF344))</f>
        <v>-0.29166666666666669</v>
      </c>
      <c r="AZ344" s="225">
        <f>SUM(AY$5:AY344)</f>
        <v>-67.958333333333186</v>
      </c>
      <c r="BA344" s="658"/>
      <c r="BB344" s="658">
        <f>IF(ISNA(MATCH(BA344,B_Arbeitsort,0)),0,MATCH(BA344,B_Arbeitsort,0))</f>
        <v>0</v>
      </c>
      <c r="BC344" s="658"/>
    </row>
    <row r="345" spans="1:55" ht="15.75">
      <c r="A345" s="305">
        <f>IF(A344="","",IF((A344+1)&gt;=DATE(YEAR(xJahr)+1,MONTH(xJahr),DAY(xJahr)),"",A344+1))</f>
        <v>43804</v>
      </c>
      <c r="B345" s="306">
        <f>IF(A345="","",A345)</f>
        <v>43804</v>
      </c>
      <c r="C345" s="307">
        <f>IF(A345="","",NumberOfWeek(A345))</f>
        <v>49</v>
      </c>
      <c r="D345" s="308">
        <f>IF(A345="","",DATE(YEAR(A345),MONTH(A345),1))</f>
        <v>43799</v>
      </c>
      <c r="E345" s="318" t="str">
        <f>IF((R345-U345)&gt;XWorkTimeMax,$Z$4,IF(AV345=Feiertag,VLOOKUP(B345,db_Feiertag,2,FALSE),""))</f>
        <v/>
      </c>
      <c r="F345" s="5"/>
      <c r="G345" s="6" t="str">
        <f>IF(ISBLANK(F345),IF(ISBLANK(H345),"",0),CODE(UPPER(F345)))</f>
        <v/>
      </c>
      <c r="H345" s="7"/>
      <c r="I345" s="7">
        <f>IF(H345&gt;0,H345+Y345+X345+AC345,0)</f>
        <v>0</v>
      </c>
      <c r="J345" s="113">
        <f>IF(K345&gt;I345,IF(I345&lt;H345,I345+1,I345)-B_WalkTime,IF(I345&lt;H345,I345+1,I345))</f>
        <v>0</v>
      </c>
      <c r="K345" s="7"/>
      <c r="L345" s="7">
        <f>IF(K345&gt;0,K345+IF((J345-H345)&lt;Y345,Y345-(J345-H345),TIME(0,10,0))+IF((K345-J345)&gt;xNoWorkTime,0,xNoWorkTime-(K345-J345)),0)</f>
        <v>0</v>
      </c>
      <c r="M345" s="113">
        <f>IF(L345&lt;K345,L345+1,L345)</f>
        <v>0</v>
      </c>
      <c r="N345" s="113"/>
      <c r="O345" s="113">
        <f>IF(N345&gt;0,N345+IF((J345-H345+M345-K345)&lt;Y345,Y345-(J345-H345+M345-K345),TIME(0,10,0))+IF((K345-J345+N345-M345)&gt;xNoWorkTime,0,xNoWorkTime-(K345-J345+N345-M345)),0)</f>
        <v>0</v>
      </c>
      <c r="P345" s="113"/>
      <c r="Q345" s="113">
        <f>IF(O345&lt;N345,O345+1,O345)</f>
        <v>0</v>
      </c>
      <c r="R345" s="113">
        <f>J345-H345+M345-K345+Q345-N345</f>
        <v>0</v>
      </c>
      <c r="S345" s="113">
        <f>IF(K345&gt;0,K345-I345,0)+IF(N345&gt;0,N345-L345)</f>
        <v>0</v>
      </c>
      <c r="T345" s="113">
        <f>IF(H345&gt;0,(IF(R345&gt;B_Pause1Nach,B_Pause1Dauer+IF(BA345="Büro",B_WalkTime,0),IF(BA345="Büro",B_WalkTime,0))+IF(R345&gt;B_Pause2Nach,B_Pause2Dauer,0)),0)</f>
        <v>0</v>
      </c>
      <c r="U345" s="113">
        <f>IF(T345&gt;S345,T345-S345,0)</f>
        <v>0</v>
      </c>
      <c r="V345" s="146">
        <f>IF(F345="S",Z345,(IF((R345-U345)&gt;XWorkTimeMax,XWorkTimeMax,IF((R345-U345)&gt;0,R345-U345,0))))</f>
        <v>0</v>
      </c>
      <c r="W345" s="66"/>
      <c r="X345" s="115">
        <f>xNoWorkTime</f>
        <v>4.027777777777778E-2</v>
      </c>
      <c r="Y345" s="110">
        <f>IF(AND((AM345&lt;Feiertag),(G345&lt;&gt;85)),IF(OR(F345="B",F345="G",F345="S",H345&gt;0),H345-H345+Z345,0),0)</f>
        <v>0</v>
      </c>
      <c r="Z345" s="111">
        <f>IF(AND(AM345&gt;0,AM345&lt;Feiertag),INDEX(Arbeitszeit,AM345),"")</f>
        <v>0.29166666666666669</v>
      </c>
      <c r="AA345" s="112">
        <f>V345-Y345</f>
        <v>0</v>
      </c>
      <c r="AB345" s="67" t="str">
        <f>IF((V345-Y345)&lt;0,"*","")</f>
        <v/>
      </c>
      <c r="AC345" s="193">
        <f>xOverTime</f>
        <v>0</v>
      </c>
      <c r="AD345" s="144" t="str">
        <f>IF((R345-U345)&gt;XWorkTimeMax,(R345-U345-XWorkTimeMax),"")</f>
        <v/>
      </c>
      <c r="AE345" s="225">
        <f>IF(AW345,(AE344+SUM(AA345)+(IF(AG345="+",AF345,-AF345))),)</f>
        <v>0</v>
      </c>
      <c r="AF345" s="110"/>
      <c r="AG345" s="627"/>
      <c r="AH345" s="110"/>
      <c r="AI345" s="110" t="str">
        <f>IF(AND(AF345&lt;&gt;"",AF345&lt;=V345),V345-AF345,"")</f>
        <v/>
      </c>
      <c r="AJ345" s="68">
        <f>IF(ISNUMBER(V345 ), IF( V345 &gt;= Y345, Y345, V345 ),"")</f>
        <v>0</v>
      </c>
      <c r="AK345" s="68">
        <f>IF( ISNUMBER( V345 ), IF( V345 &gt;= Y345, V345 - Y345, "" ), "" )</f>
        <v>0</v>
      </c>
      <c r="AL345" s="68" t="str">
        <f>IF( AND(ISNUMBER( V345 ),ISNUMBER( Y345 )), IF( V345 &gt;= Y345, "", Y345 - V345 ), "" )</f>
        <v/>
      </c>
      <c r="AM345">
        <f>IF(A345="",0,IF(ISERROR(VLOOKUP(A345,db_Feiertag,2,FALSE)),WEEKDAY(A345,2),Feiertag))</f>
        <v>3</v>
      </c>
      <c r="AN345" s="122">
        <f>SUM($AD$6:AD345)</f>
        <v>0</v>
      </c>
      <c r="AO345" s="122">
        <f ca="1">IF(D345=D344,AO344,OFFSET(AO345,-1,COLUMN(db_jSaldoGes)-COLUMN()))</f>
        <v>0</v>
      </c>
      <c r="AP345" s="126">
        <f>IF(OR($G345=-1,$G345=82),-1,IF(OR($G345=0,$G345=83),1,0))</f>
        <v>0</v>
      </c>
      <c r="AQ345" s="126">
        <f>IF($F345=Krank,1,IF($F345="J",-1,0))</f>
        <v>0</v>
      </c>
      <c r="AR345" s="126">
        <f>IF($F345=Urlaub,1,IF($F345="T",-1,0))</f>
        <v>0</v>
      </c>
      <c r="AS345" s="125">
        <f>IF(A345="","",AS344-IF(F345=Urlaub,1,0)+IF(AND(MONTH(A345)=1,DAY(A345)=1),B_UrlaubNeu,0))</f>
        <v>30</v>
      </c>
      <c r="AT345" s="125">
        <f ca="1">IF(A345="","",IF(D345=D344,AT344,OFFSET(AT345,-1,COLUMN(db_jUrlRest)-COLUMN()))+IF(AND(MONTH(A345)=1,DAY(A345)=1),B_UrlaubNeu,0))</f>
        <v>30</v>
      </c>
      <c r="AU345" s="135">
        <f>(IF(ISNUMBER(V345),V345,0)+IF(ISNUMBER(AD345),AD345,0))*24</f>
        <v>0</v>
      </c>
      <c r="AV345" s="125">
        <f>IF(ISNUMBER(AD345),K_ArbeitOverMax,IF(AND(ISNUMBER(AA345),AA345&gt;0),K_ArbeitOverTime,IF(AND(ISNUMBER(V345),V345&gt;0),K_ArbeitNormal,IF(F345=Krank,K_Krank,IF(F345=Urlaub,K_Urlaub,IF(AM345=Feiertag,K_Feiertag,IF(OR(AM345=6,AM345=7),K_Wochenende,0)))))))+IF(F345=Gleittag,K_Gleittag,0)</f>
        <v>0</v>
      </c>
      <c r="AW345" t="b">
        <f>OR((F345&gt;0),(NOT(ISBLANK(H345))),SUM(H345:H$373),SUM(G345:G$373))</f>
        <v>0</v>
      </c>
      <c r="AX345" t="b">
        <f ca="1">INDIRECT(ADDRESS(ROW(),COLUMN(xDay)))&gt;5</f>
        <v>0</v>
      </c>
      <c r="AY345" s="600">
        <f>IF(OR(R345&lt;&gt;0,F345&lt;&gt;0),AA345,IF(Z345="",0,-Z345))+(IF(AG345="+",AF345,-AF345))</f>
        <v>-0.29166666666666669</v>
      </c>
      <c r="AZ345" s="225">
        <f>SUM(AY$5:AY345)</f>
        <v>-68.249999999999858</v>
      </c>
      <c r="BA345" s="658"/>
      <c r="BB345" s="658">
        <f>IF(ISNA(MATCH(BA345,B_Arbeitsort,0)),0,MATCH(BA345,B_Arbeitsort,0))</f>
        <v>0</v>
      </c>
      <c r="BC345" s="658"/>
    </row>
    <row r="346" spans="1:55" ht="15.75">
      <c r="A346" s="305">
        <f>IF(A345="","",IF((A345+1)&gt;=DATE(YEAR(xJahr)+1,MONTH(xJahr),DAY(xJahr)),"",A345+1))</f>
        <v>43805</v>
      </c>
      <c r="B346" s="306">
        <f>IF(A346="","",A346)</f>
        <v>43805</v>
      </c>
      <c r="C346" s="307">
        <f>IF(A346="","",NumberOfWeek(A346))</f>
        <v>49</v>
      </c>
      <c r="D346" s="308">
        <f>IF(A346="","",DATE(YEAR(A346),MONTH(A346),1))</f>
        <v>43799</v>
      </c>
      <c r="E346" s="318" t="str">
        <f>IF((R346-U346)&gt;XWorkTimeMax,$Z$4,IF(AV346=Feiertag,VLOOKUP(B346,db_Feiertag,2,FALSE),""))</f>
        <v/>
      </c>
      <c r="F346" s="5"/>
      <c r="G346" s="6" t="str">
        <f>IF(ISBLANK(F346),IF(ISBLANK(H346),"",0),CODE(UPPER(F346)))</f>
        <v/>
      </c>
      <c r="H346" s="7"/>
      <c r="I346" s="7">
        <f>IF(H346&gt;0,H346+Y346+X346+AC346,0)</f>
        <v>0</v>
      </c>
      <c r="J346" s="113">
        <f>IF(K346&gt;I346,IF(I346&lt;H346,I346+1,I346)-B_WalkTime,IF(I346&lt;H346,I346+1,I346))</f>
        <v>0</v>
      </c>
      <c r="K346" s="7"/>
      <c r="L346" s="7">
        <f>IF(K346&gt;0,K346+IF((J346-H346)&lt;Y346,Y346-(J346-H346),TIME(0,10,0))+IF((K346-J346)&gt;xNoWorkTime,0,xNoWorkTime-(K346-J346)),0)</f>
        <v>0</v>
      </c>
      <c r="M346" s="113">
        <f>IF(L346&lt;K346,L346+1,L346)</f>
        <v>0</v>
      </c>
      <c r="N346" s="113"/>
      <c r="O346" s="113">
        <f>IF(N346&gt;0,N346+IF((J346-H346+M346-K346)&lt;Y346,Y346-(J346-H346+M346-K346),TIME(0,10,0))+IF((K346-J346+N346-M346)&gt;xNoWorkTime,0,xNoWorkTime-(K346-J346+N346-M346)),0)</f>
        <v>0</v>
      </c>
      <c r="P346" s="113"/>
      <c r="Q346" s="113">
        <f>IF(O346&lt;N346,O346+1,O346)</f>
        <v>0</v>
      </c>
      <c r="R346" s="113">
        <f>J346-H346+M346-K346+Q346-N346</f>
        <v>0</v>
      </c>
      <c r="S346" s="113">
        <f>IF(K346&gt;0,K346-I346,0)+IF(N346&gt;0,N346-L346)</f>
        <v>0</v>
      </c>
      <c r="T346" s="113">
        <f>IF(H346&gt;0,(IF(R346&gt;B_Pause1Nach,B_Pause1Dauer+IF(BA346="Büro",B_WalkTime,0),IF(BA346="Büro",B_WalkTime,0))+IF(R346&gt;B_Pause2Nach,B_Pause2Dauer,0)),0)</f>
        <v>0</v>
      </c>
      <c r="U346" s="113">
        <f>IF(T346&gt;S346,T346-S346,0)</f>
        <v>0</v>
      </c>
      <c r="V346" s="146">
        <f>IF(F346="S",Z346,(IF((R346-U346)&gt;XWorkTimeMax,XWorkTimeMax,IF((R346-U346)&gt;0,R346-U346,0))))</f>
        <v>0</v>
      </c>
      <c r="W346" s="66"/>
      <c r="X346" s="115">
        <f>xNoWorkTime</f>
        <v>4.027777777777778E-2</v>
      </c>
      <c r="Y346" s="110">
        <f>IF(AND((AM346&lt;Feiertag),(G346&lt;&gt;85)),IF(OR(F346="B",F346="G",F346="S",H346&gt;0),H346-H346+Z346,0),0)</f>
        <v>0</v>
      </c>
      <c r="Z346" s="111">
        <f>IF(AND(AM346&gt;0,AM346&lt;Feiertag),INDEX(Arbeitszeit,AM346),"")</f>
        <v>0.29166666666666669</v>
      </c>
      <c r="AA346" s="112">
        <f>V346-Y346</f>
        <v>0</v>
      </c>
      <c r="AB346" s="67" t="str">
        <f>IF((V346-Y346)&lt;0,"*","")</f>
        <v/>
      </c>
      <c r="AC346" s="193">
        <f>xOverTime</f>
        <v>0</v>
      </c>
      <c r="AD346" s="144" t="str">
        <f>IF((R346-U346)&gt;XWorkTimeMax,(R346-U346-XWorkTimeMax),"")</f>
        <v/>
      </c>
      <c r="AE346" s="225">
        <f>IF(AW346,(AE345+SUM(AA346)+(IF(AG346="+",AF346,-AF346))),)</f>
        <v>0</v>
      </c>
      <c r="AF346" s="110"/>
      <c r="AG346" s="627"/>
      <c r="AH346" s="110"/>
      <c r="AI346" s="110" t="str">
        <f>IF(AND(AF346&lt;&gt;"",AF346&lt;=V346),V346-AF346,"")</f>
        <v/>
      </c>
      <c r="AJ346" s="68">
        <f>IF(ISNUMBER(V346 ), IF( V346 &gt;= Y346, Y346, V346 ),"")</f>
        <v>0</v>
      </c>
      <c r="AK346" s="68">
        <f>IF( ISNUMBER( V346 ), IF( V346 &gt;= Y346, V346 - Y346, "" ), "" )</f>
        <v>0</v>
      </c>
      <c r="AL346" s="68" t="str">
        <f>IF( AND(ISNUMBER( V346 ),ISNUMBER( Y346 )), IF( V346 &gt;= Y346, "", Y346 - V346 ), "" )</f>
        <v/>
      </c>
      <c r="AM346">
        <f>IF(A346="",0,IF(ISERROR(VLOOKUP(A346,db_Feiertag,2,FALSE)),WEEKDAY(A346,2),Feiertag))</f>
        <v>4</v>
      </c>
      <c r="AN346" s="122">
        <f>SUM($AD$6:AD346)</f>
        <v>0</v>
      </c>
      <c r="AO346" s="122">
        <f ca="1">IF(D346=D345,AO345,OFFSET(AO346,-1,COLUMN(db_jSaldoGes)-COLUMN()))</f>
        <v>0</v>
      </c>
      <c r="AP346" s="126">
        <f>IF(OR($G346=-1,$G346=82),-1,IF(OR($G346=0,$G346=83),1,0))</f>
        <v>0</v>
      </c>
      <c r="AQ346" s="126">
        <f>IF($F346=Krank,1,IF($F346="J",-1,0))</f>
        <v>0</v>
      </c>
      <c r="AR346" s="126">
        <f>IF($F346=Urlaub,1,IF($F346="T",-1,0))</f>
        <v>0</v>
      </c>
      <c r="AS346" s="125">
        <f>IF(A346="","",AS345-IF(F346=Urlaub,1,0)+IF(AND(MONTH(A346)=1,DAY(A346)=1),B_UrlaubNeu,0))</f>
        <v>30</v>
      </c>
      <c r="AT346" s="125">
        <f ca="1">IF(A346="","",IF(D346=D345,AT345,OFFSET(AT346,-1,COLUMN(db_jUrlRest)-COLUMN()))+IF(AND(MONTH(A346)=1,DAY(A346)=1),B_UrlaubNeu,0))</f>
        <v>30</v>
      </c>
      <c r="AU346" s="135">
        <f>(IF(ISNUMBER(V346),V346,0)+IF(ISNUMBER(AD346),AD346,0))*24</f>
        <v>0</v>
      </c>
      <c r="AV346" s="125">
        <f>IF(ISNUMBER(AD346),K_ArbeitOverMax,IF(AND(ISNUMBER(AA346),AA346&gt;0),K_ArbeitOverTime,IF(AND(ISNUMBER(V346),V346&gt;0),K_ArbeitNormal,IF(F346=Krank,K_Krank,IF(F346=Urlaub,K_Urlaub,IF(AM346=Feiertag,K_Feiertag,IF(OR(AM346=6,AM346=7),K_Wochenende,0)))))))+IF(F346=Gleittag,K_Gleittag,0)</f>
        <v>0</v>
      </c>
      <c r="AW346" t="b">
        <f>OR((F346&gt;0),(NOT(ISBLANK(H346))),SUM(H346:H$373),SUM(G346:G$373))</f>
        <v>0</v>
      </c>
      <c r="AX346" t="b">
        <f ca="1">INDIRECT(ADDRESS(ROW(),COLUMN(xDay)))&gt;5</f>
        <v>0</v>
      </c>
      <c r="AY346" s="600">
        <f>IF(OR(R346&lt;&gt;0,F346&lt;&gt;0),AA346,IF(Z346="",0,-Z346))+(IF(AG346="+",AF346,-AF346))</f>
        <v>-0.29166666666666669</v>
      </c>
      <c r="AZ346" s="225">
        <f>SUM(AY$5:AY346)</f>
        <v>-68.541666666666529</v>
      </c>
      <c r="BA346" s="658"/>
      <c r="BB346" s="658">
        <f>IF(ISNA(MATCH(BA346,B_Arbeitsort,0)),0,MATCH(BA346,B_Arbeitsort,0))</f>
        <v>0</v>
      </c>
      <c r="BC346" s="658"/>
    </row>
    <row r="347" spans="1:55" ht="15.75">
      <c r="A347" s="305">
        <f>IF(A346="","",IF((A346+1)&gt;=DATE(YEAR(xJahr)+1,MONTH(xJahr),DAY(xJahr)),"",A346+1))</f>
        <v>43806</v>
      </c>
      <c r="B347" s="306">
        <f>IF(A347="","",A347)</f>
        <v>43806</v>
      </c>
      <c r="C347" s="307">
        <f>IF(A347="","",NumberOfWeek(A347))</f>
        <v>49</v>
      </c>
      <c r="D347" s="308">
        <f>IF(A347="","",DATE(YEAR(A347),MONTH(A347),1))</f>
        <v>43799</v>
      </c>
      <c r="E347" s="318" t="str">
        <f>IF((R347-U347)&gt;XWorkTimeMax,$Z$4,IF(AV347=Feiertag,VLOOKUP(B347,db_Feiertag,2,FALSE),""))</f>
        <v/>
      </c>
      <c r="F347" s="5"/>
      <c r="G347" s="6" t="str">
        <f>IF(ISBLANK(F347),IF(ISBLANK(H347),"",0),CODE(UPPER(F347)))</f>
        <v/>
      </c>
      <c r="H347" s="7"/>
      <c r="I347" s="7">
        <f>IF(H347&gt;0,H347+Y347+X347+AC347,0)</f>
        <v>0</v>
      </c>
      <c r="J347" s="113">
        <f>IF(K347&gt;I347,IF(I347&lt;H347,I347+1,I347)-B_WalkTime,IF(I347&lt;H347,I347+1,I347))</f>
        <v>0</v>
      </c>
      <c r="K347" s="7"/>
      <c r="L347" s="7">
        <f>IF(K347&gt;0,K347+IF((J347-H347)&lt;Y347,Y347-(J347-H347),TIME(0,10,0))+IF((K347-J347)&gt;xNoWorkTime,0,xNoWorkTime-(K347-J347)),0)</f>
        <v>0</v>
      </c>
      <c r="M347" s="113">
        <f>IF(L347&lt;K347,L347+1,L347)</f>
        <v>0</v>
      </c>
      <c r="N347" s="113"/>
      <c r="O347" s="113">
        <f>IF(N347&gt;0,N347+IF((J347-H347+M347-K347)&lt;Y347,Y347-(J347-H347+M347-K347),TIME(0,10,0))+IF((K347-J347+N347-M347)&gt;xNoWorkTime,0,xNoWorkTime-(K347-J347+N347-M347)),0)</f>
        <v>0</v>
      </c>
      <c r="P347" s="113"/>
      <c r="Q347" s="113">
        <f>IF(O347&lt;N347,O347+1,O347)</f>
        <v>0</v>
      </c>
      <c r="R347" s="113">
        <f>J347-H347+M347-K347+Q347-N347</f>
        <v>0</v>
      </c>
      <c r="S347" s="113">
        <f>IF(K347&gt;0,K347-I347,0)+IF(N347&gt;0,N347-L347)</f>
        <v>0</v>
      </c>
      <c r="T347" s="113">
        <f>IF(H347&gt;0,(IF(R347&gt;B_Pause1Nach,B_Pause1Dauer+IF(BA347="Büro",B_WalkTime,0),IF(BA347="Büro",B_WalkTime,0))+IF(R347&gt;B_Pause2Nach,B_Pause2Dauer,0)),0)</f>
        <v>0</v>
      </c>
      <c r="U347" s="113">
        <f>IF(T347&gt;S347,T347-S347,0)</f>
        <v>0</v>
      </c>
      <c r="V347" s="146">
        <f>IF(F347="S",Z347,(IF((R347-U347)&gt;XWorkTimeMax,XWorkTimeMax,IF((R347-U347)&gt;0,R347-U347,0))))</f>
        <v>0</v>
      </c>
      <c r="W347" s="66"/>
      <c r="X347" s="115">
        <f>xNoWorkTime</f>
        <v>4.027777777777778E-2</v>
      </c>
      <c r="Y347" s="110">
        <f>IF(AND((AM347&lt;Feiertag),(G347&lt;&gt;85)),IF(OR(F347="B",F347="G",F347="S",H347&gt;0),H347-H347+Z347,0),0)</f>
        <v>0</v>
      </c>
      <c r="Z347" s="111">
        <f>IF(AND(AM347&gt;0,AM347&lt;Feiertag),INDEX(Arbeitszeit,AM347),"")</f>
        <v>0.29166666666666669</v>
      </c>
      <c r="AA347" s="112">
        <f>V347-Y347</f>
        <v>0</v>
      </c>
      <c r="AB347" s="67" t="str">
        <f>IF((V347-Y347)&lt;0,"*","")</f>
        <v/>
      </c>
      <c r="AC347" s="193">
        <f>xOverTime</f>
        <v>0</v>
      </c>
      <c r="AD347" s="144" t="str">
        <f>IF((R347-U347)&gt;XWorkTimeMax,(R347-U347-XWorkTimeMax),"")</f>
        <v/>
      </c>
      <c r="AE347" s="225">
        <f>IF(AW347,(AE346+SUM(AA347)+(IF(AG347="+",AF347,-AF347))),)</f>
        <v>0</v>
      </c>
      <c r="AF347" s="110"/>
      <c r="AG347" s="627"/>
      <c r="AH347" s="110"/>
      <c r="AI347" s="110" t="str">
        <f>IF(AND(AF347&lt;&gt;"",AF347&lt;=V347),V347-AF347,"")</f>
        <v/>
      </c>
      <c r="AJ347" s="68">
        <f>IF(ISNUMBER(V347 ), IF( V347 &gt;= Y347, Y347, V347 ),"")</f>
        <v>0</v>
      </c>
      <c r="AK347" s="68">
        <f>IF( ISNUMBER( V347 ), IF( V347 &gt;= Y347, V347 - Y347, "" ), "" )</f>
        <v>0</v>
      </c>
      <c r="AL347" s="68" t="str">
        <f>IF( AND(ISNUMBER( V347 ),ISNUMBER( Y347 )), IF( V347 &gt;= Y347, "", Y347 - V347 ), "" )</f>
        <v/>
      </c>
      <c r="AM347">
        <f>IF(A347="",0,IF(ISERROR(VLOOKUP(A347,db_Feiertag,2,FALSE)),WEEKDAY(A347,2),Feiertag))</f>
        <v>5</v>
      </c>
      <c r="AN347" s="122">
        <f>SUM($AD$6:AD347)</f>
        <v>0</v>
      </c>
      <c r="AO347" s="122">
        <f ca="1">IF(D347=D346,AO346,OFFSET(AO347,-1,COLUMN(db_jSaldoGes)-COLUMN()))</f>
        <v>0</v>
      </c>
      <c r="AP347" s="126">
        <f>IF(OR($G347=-1,$G347=82),-1,IF(OR($G347=0,$G347=83),1,0))</f>
        <v>0</v>
      </c>
      <c r="AQ347" s="126">
        <f>IF($F347=Krank,1,IF($F347="J",-1,0))</f>
        <v>0</v>
      </c>
      <c r="AR347" s="126">
        <f>IF($F347=Urlaub,1,IF($F347="T",-1,0))</f>
        <v>0</v>
      </c>
      <c r="AS347" s="125">
        <f>IF(A347="","",AS346-IF(F347=Urlaub,1,0)+IF(AND(MONTH(A347)=1,DAY(A347)=1),B_UrlaubNeu,0))</f>
        <v>30</v>
      </c>
      <c r="AT347" s="125">
        <f ca="1">IF(A347="","",IF(D347=D346,AT346,OFFSET(AT347,-1,COLUMN(db_jUrlRest)-COLUMN()))+IF(AND(MONTH(A347)=1,DAY(A347)=1),B_UrlaubNeu,0))</f>
        <v>30</v>
      </c>
      <c r="AU347" s="135">
        <f>(IF(ISNUMBER(V347),V347,0)+IF(ISNUMBER(AD347),AD347,0))*24</f>
        <v>0</v>
      </c>
      <c r="AV347" s="125">
        <f>IF(ISNUMBER(AD347),K_ArbeitOverMax,IF(AND(ISNUMBER(AA347),AA347&gt;0),K_ArbeitOverTime,IF(AND(ISNUMBER(V347),V347&gt;0),K_ArbeitNormal,IF(F347=Krank,K_Krank,IF(F347=Urlaub,K_Urlaub,IF(AM347=Feiertag,K_Feiertag,IF(OR(AM347=6,AM347=7),K_Wochenende,0)))))))+IF(F347=Gleittag,K_Gleittag,0)</f>
        <v>0</v>
      </c>
      <c r="AW347" t="b">
        <f>OR((F347&gt;0),(NOT(ISBLANK(H347))),SUM(H347:H$373),SUM(G347:G$373))</f>
        <v>0</v>
      </c>
      <c r="AX347" t="b">
        <f ca="1">INDIRECT(ADDRESS(ROW(),COLUMN(xDay)))&gt;5</f>
        <v>0</v>
      </c>
      <c r="AY347" s="600">
        <f>IF(OR(R347&lt;&gt;0,F347&lt;&gt;0),AA347,IF(Z347="",0,-Z347))+(IF(AG347="+",AF347,-AF347))</f>
        <v>-0.29166666666666669</v>
      </c>
      <c r="AZ347" s="225">
        <f>SUM(AY$5:AY347)</f>
        <v>-68.833333333333201</v>
      </c>
      <c r="BA347" s="658"/>
      <c r="BB347" s="658">
        <f>IF(ISNA(MATCH(BA347,B_Arbeitsort,0)),0,MATCH(BA347,B_Arbeitsort,0))</f>
        <v>0</v>
      </c>
      <c r="BC347" s="658"/>
    </row>
    <row r="348" spans="1:55" ht="15.75">
      <c r="A348" s="305">
        <f>IF(A347="","",IF((A347+1)&gt;=DATE(YEAR(xJahr)+1,MONTH(xJahr),DAY(xJahr)),"",A347+1))</f>
        <v>43807</v>
      </c>
      <c r="B348" s="306">
        <f>IF(A348="","",A348)</f>
        <v>43807</v>
      </c>
      <c r="C348" s="307">
        <f>IF(A348="","",NumberOfWeek(A348))</f>
        <v>49</v>
      </c>
      <c r="D348" s="308">
        <f>IF(A348="","",DATE(YEAR(A348),MONTH(A348),1))</f>
        <v>43799</v>
      </c>
      <c r="E348" s="318" t="str">
        <f>IF((R348-U348)&gt;XWorkTimeMax,$Z$4,IF(AV348=Feiertag,VLOOKUP(B348,db_Feiertag,2,FALSE),""))</f>
        <v/>
      </c>
      <c r="F348" s="5"/>
      <c r="G348" s="6" t="str">
        <f>IF(ISBLANK(F348),IF(ISBLANK(H348),"",0),CODE(UPPER(F348)))</f>
        <v/>
      </c>
      <c r="H348" s="7"/>
      <c r="I348" s="7">
        <f>IF(H348&gt;0,H348+Y348+X348+AC348,0)</f>
        <v>0</v>
      </c>
      <c r="J348" s="113">
        <f>IF(K348&gt;I348,IF(I348&lt;H348,I348+1,I348)-B_WalkTime,IF(I348&lt;H348,I348+1,I348))</f>
        <v>0</v>
      </c>
      <c r="K348" s="7"/>
      <c r="L348" s="7">
        <f>IF(K348&gt;0,K348+IF((J348-H348)&lt;Y348,Y348-(J348-H348),TIME(0,10,0))+IF((K348-J348)&gt;xNoWorkTime,0,xNoWorkTime-(K348-J348)),0)</f>
        <v>0</v>
      </c>
      <c r="M348" s="113">
        <f>IF(L348&lt;K348,L348+1,L348)</f>
        <v>0</v>
      </c>
      <c r="N348" s="113"/>
      <c r="O348" s="113">
        <f>IF(N348&gt;0,N348+IF((J348-H348+M348-K348)&lt;Y348,Y348-(J348-H348+M348-K348),TIME(0,10,0))+IF((K348-J348+N348-M348)&gt;xNoWorkTime,0,xNoWorkTime-(K348-J348+N348-M348)),0)</f>
        <v>0</v>
      </c>
      <c r="P348" s="113"/>
      <c r="Q348" s="113">
        <f>IF(O348&lt;N348,O348+1,O348)</f>
        <v>0</v>
      </c>
      <c r="R348" s="113">
        <f>J348-H348+M348-K348+Q348-N348</f>
        <v>0</v>
      </c>
      <c r="S348" s="113">
        <f>IF(K348&gt;0,K348-I348,0)+IF(N348&gt;0,N348-L348)</f>
        <v>0</v>
      </c>
      <c r="T348" s="113">
        <f>IF(H348&gt;0,(IF(R348&gt;B_Pause1Nach,B_Pause1Dauer+IF(BA348="Büro",B_WalkTime,0),IF(BA348="Büro",B_WalkTime,0))+IF(R348&gt;B_Pause2Nach,B_Pause2Dauer,0)),0)</f>
        <v>0</v>
      </c>
      <c r="U348" s="113">
        <f>IF(T348&gt;S348,T348-S348,0)</f>
        <v>0</v>
      </c>
      <c r="V348" s="146">
        <f>IF(F348="S",Z348,(IF((R348-U348)&gt;XWorkTimeMax,XWorkTimeMax,IF((R348-U348)&gt;0,R348-U348,0))))</f>
        <v>0</v>
      </c>
      <c r="W348" s="66"/>
      <c r="X348" s="115">
        <f>xNoWorkTime</f>
        <v>4.027777777777778E-2</v>
      </c>
      <c r="Y348" s="110">
        <f>IF(AND((AM348&lt;Feiertag),(G348&lt;&gt;85)),IF(OR(F348="B",F348="G",F348="S",H348&gt;0),H348-H348+Z348,0),0)</f>
        <v>0</v>
      </c>
      <c r="Z348" s="111">
        <f>IF(AND(AM348&gt;0,AM348&lt;Feiertag),INDEX(Arbeitszeit,AM348),"")</f>
        <v>0</v>
      </c>
      <c r="AA348" s="112">
        <f>V348-Y348</f>
        <v>0</v>
      </c>
      <c r="AB348" s="67" t="str">
        <f>IF((V348-Y348)&lt;0,"*","")</f>
        <v/>
      </c>
      <c r="AC348" s="193">
        <f>xOverTime</f>
        <v>0</v>
      </c>
      <c r="AD348" s="144" t="str">
        <f>IF((R348-U348)&gt;XWorkTimeMax,(R348-U348-XWorkTimeMax),"")</f>
        <v/>
      </c>
      <c r="AE348" s="225">
        <f>IF(AW348,(AE347+SUM(AA348)+(IF(AG348="+",AF348,-AF348))),)</f>
        <v>0</v>
      </c>
      <c r="AF348" s="110"/>
      <c r="AG348" s="627"/>
      <c r="AH348" s="110"/>
      <c r="AI348" s="110" t="str">
        <f>IF(AND(AF348&lt;&gt;"",AF348&lt;=V348),V348-AF348,"")</f>
        <v/>
      </c>
      <c r="AJ348" s="68">
        <f>IF(ISNUMBER(V348 ), IF( V348 &gt;= Y348, Y348, V348 ),"")</f>
        <v>0</v>
      </c>
      <c r="AK348" s="68">
        <f>IF( ISNUMBER( V348 ), IF( V348 &gt;= Y348, V348 - Y348, "" ), "" )</f>
        <v>0</v>
      </c>
      <c r="AL348" s="68" t="str">
        <f>IF( AND(ISNUMBER( V348 ),ISNUMBER( Y348 )), IF( V348 &gt;= Y348, "", Y348 - V348 ), "" )</f>
        <v/>
      </c>
      <c r="AM348">
        <f>IF(A348="",0,IF(ISERROR(VLOOKUP(A348,db_Feiertag,2,FALSE)),WEEKDAY(A348,2),Feiertag))</f>
        <v>6</v>
      </c>
      <c r="AN348" s="122">
        <f>SUM($AD$6:AD348)</f>
        <v>0</v>
      </c>
      <c r="AO348" s="122">
        <f ca="1">IF(D348=D347,AO347,OFFSET(AO348,-1,COLUMN(db_jSaldoGes)-COLUMN()))</f>
        <v>0</v>
      </c>
      <c r="AP348" s="126">
        <f>IF(OR($G348=-1,$G348=82),-1,IF(OR($G348=0,$G348=83),1,0))</f>
        <v>0</v>
      </c>
      <c r="AQ348" s="126">
        <f>IF($F348=Krank,1,IF($F348="J",-1,0))</f>
        <v>0</v>
      </c>
      <c r="AR348" s="126">
        <f>IF($F348=Urlaub,1,IF($F348="T",-1,0))</f>
        <v>0</v>
      </c>
      <c r="AS348" s="125">
        <f>IF(A348="","",AS347-IF(F348=Urlaub,1,0)+IF(AND(MONTH(A348)=1,DAY(A348)=1),B_UrlaubNeu,0))</f>
        <v>30</v>
      </c>
      <c r="AT348" s="125">
        <f ca="1">IF(A348="","",IF(D348=D347,AT347,OFFSET(AT348,-1,COLUMN(db_jUrlRest)-COLUMN()))+IF(AND(MONTH(A348)=1,DAY(A348)=1),B_UrlaubNeu,0))</f>
        <v>30</v>
      </c>
      <c r="AU348" s="135">
        <f>(IF(ISNUMBER(V348),V348,0)+IF(ISNUMBER(AD348),AD348,0))*24</f>
        <v>0</v>
      </c>
      <c r="AV348" s="125">
        <f>IF(ISNUMBER(AD348),K_ArbeitOverMax,IF(AND(ISNUMBER(AA348),AA348&gt;0),K_ArbeitOverTime,IF(AND(ISNUMBER(V348),V348&gt;0),K_ArbeitNormal,IF(F348=Krank,K_Krank,IF(F348=Urlaub,K_Urlaub,IF(AM348=Feiertag,K_Feiertag,IF(OR(AM348=6,AM348=7),K_Wochenende,0)))))))+IF(F348=Gleittag,K_Gleittag,0)</f>
        <v>7</v>
      </c>
      <c r="AW348" t="b">
        <f>OR((F348&gt;0),(NOT(ISBLANK(H348))),SUM(H348:H$373),SUM(G348:G$373))</f>
        <v>0</v>
      </c>
      <c r="AX348" t="b">
        <f ca="1">INDIRECT(ADDRESS(ROW(),COLUMN(xDay)))&gt;5</f>
        <v>1</v>
      </c>
      <c r="AY348" s="600">
        <f>IF(OR(R348&lt;&gt;0,F348&lt;&gt;0),AA348,IF(Z348="",0,-Z348))+(IF(AG348="+",AF348,-AF348))</f>
        <v>0</v>
      </c>
      <c r="AZ348" s="225">
        <f>SUM(AY$5:AY348)</f>
        <v>-68.833333333333201</v>
      </c>
      <c r="BA348" s="643"/>
      <c r="BB348" s="658">
        <f>IF(ISNA(MATCH(BA348,B_Arbeitsort,0)),0,MATCH(BA348,B_Arbeitsort,0))</f>
        <v>0</v>
      </c>
      <c r="BC348" s="643"/>
    </row>
    <row r="349" spans="1:55" ht="15.75">
      <c r="A349" s="305">
        <f>IF(A348="","",IF((A348+1)&gt;=DATE(YEAR(xJahr)+1,MONTH(xJahr),DAY(xJahr)),"",A348+1))</f>
        <v>43808</v>
      </c>
      <c r="B349" s="306">
        <f>IF(A349="","",A349)</f>
        <v>43808</v>
      </c>
      <c r="C349" s="307">
        <f>IF(A349="","",NumberOfWeek(A349))</f>
        <v>49</v>
      </c>
      <c r="D349" s="308">
        <f>IF(A349="","",DATE(YEAR(A349),MONTH(A349),1))</f>
        <v>43799</v>
      </c>
      <c r="E349" s="318" t="str">
        <f>IF((R349-U349)&gt;XWorkTimeMax,$Z$4,IF(AV349=Feiertag,VLOOKUP(B349,db_Feiertag,2,FALSE),""))</f>
        <v/>
      </c>
      <c r="F349" s="5"/>
      <c r="G349" s="6" t="str">
        <f>IF(ISBLANK(F349),IF(ISBLANK(H349),"",0),CODE(UPPER(F349)))</f>
        <v/>
      </c>
      <c r="H349" s="7"/>
      <c r="I349" s="7">
        <f>IF(H349&gt;0,H349+Y349+X349+AC349,0)</f>
        <v>0</v>
      </c>
      <c r="J349" s="113">
        <f>IF(K349&gt;I349,IF(I349&lt;H349,I349+1,I349)-B_WalkTime,IF(I349&lt;H349,I349+1,I349))</f>
        <v>0</v>
      </c>
      <c r="K349" s="7"/>
      <c r="L349" s="7">
        <f>IF(K349&gt;0,K349+IF((J349-H349)&lt;Y349,Y349-(J349-H349),TIME(0,10,0))+IF((K349-J349)&gt;xNoWorkTime,0,xNoWorkTime-(K349-J349)),0)</f>
        <v>0</v>
      </c>
      <c r="M349" s="113">
        <f>IF(L349&lt;K349,L349+1,L349)</f>
        <v>0</v>
      </c>
      <c r="N349" s="113"/>
      <c r="O349" s="113">
        <f>IF(N349&gt;0,N349+IF((J349-H349+M349-K349)&lt;Y349,Y349-(J349-H349+M349-K349),TIME(0,10,0))+IF((K349-J349+N349-M349)&gt;xNoWorkTime,0,xNoWorkTime-(K349-J349+N349-M349)),0)</f>
        <v>0</v>
      </c>
      <c r="P349" s="113"/>
      <c r="Q349" s="113">
        <f>IF(O349&lt;N349,O349+1,O349)</f>
        <v>0</v>
      </c>
      <c r="R349" s="113">
        <f>J349-H349+M349-K349+Q349-N349</f>
        <v>0</v>
      </c>
      <c r="S349" s="113">
        <f>IF(K349&gt;0,K349-I349,0)+IF(N349&gt;0,N349-L349)</f>
        <v>0</v>
      </c>
      <c r="T349" s="113">
        <f>IF(H349&gt;0,(IF(R349&gt;B_Pause1Nach,B_Pause1Dauer+IF(BA349="Büro",B_WalkTime,0),IF(BA349="Büro",B_WalkTime,0))+IF(R349&gt;B_Pause2Nach,B_Pause2Dauer,0)),0)</f>
        <v>0</v>
      </c>
      <c r="U349" s="113">
        <f>IF(T349&gt;S349,T349-S349,0)</f>
        <v>0</v>
      </c>
      <c r="V349" s="146">
        <f>IF(F349="S",Z349,(IF((R349-U349)&gt;XWorkTimeMax,XWorkTimeMax,IF((R349-U349)&gt;0,R349-U349,0))))</f>
        <v>0</v>
      </c>
      <c r="W349" s="66"/>
      <c r="X349" s="115">
        <f>xNoWorkTime</f>
        <v>4.027777777777778E-2</v>
      </c>
      <c r="Y349" s="110">
        <f>IF(AND((AM349&lt;Feiertag),(G349&lt;&gt;85)),IF(OR(F349="B",F349="G",F349="S",H349&gt;0),H349-H349+Z349,0),0)</f>
        <v>0</v>
      </c>
      <c r="Z349" s="111">
        <f>IF(AND(AM349&gt;0,AM349&lt;Feiertag),INDEX(Arbeitszeit,AM349),"")</f>
        <v>0</v>
      </c>
      <c r="AA349" s="112">
        <f>V349-Y349</f>
        <v>0</v>
      </c>
      <c r="AB349" s="67" t="str">
        <f>IF((V349-Y349)&lt;0,"*","")</f>
        <v/>
      </c>
      <c r="AC349" s="193">
        <f>xOverTime</f>
        <v>0</v>
      </c>
      <c r="AD349" s="144" t="str">
        <f>IF((R349-U349)&gt;XWorkTimeMax,(R349-U349-XWorkTimeMax),"")</f>
        <v/>
      </c>
      <c r="AE349" s="225">
        <f>IF(AW349,(AE348+SUM(AA349)+(IF(AG349="+",AF349,-AF349))),)</f>
        <v>0</v>
      </c>
      <c r="AF349" s="110"/>
      <c r="AG349" s="627"/>
      <c r="AH349" s="110"/>
      <c r="AI349" s="110" t="str">
        <f>IF(AND(AF349&lt;&gt;"",AF349&lt;=V349),V349-AF349,"")</f>
        <v/>
      </c>
      <c r="AJ349" s="68">
        <f>IF(ISNUMBER(V349 ), IF( V349 &gt;= Y349, Y349, V349 ),"")</f>
        <v>0</v>
      </c>
      <c r="AK349" s="68">
        <f>IF( ISNUMBER( V349 ), IF( V349 &gt;= Y349, V349 - Y349, "" ), "" )</f>
        <v>0</v>
      </c>
      <c r="AL349" s="68" t="str">
        <f>IF( AND(ISNUMBER( V349 ),ISNUMBER( Y349 )), IF( V349 &gt;= Y349, "", Y349 - V349 ), "" )</f>
        <v/>
      </c>
      <c r="AM349">
        <f>IF(A349="",0,IF(ISERROR(VLOOKUP(A349,db_Feiertag,2,FALSE)),WEEKDAY(A349,2),Feiertag))</f>
        <v>7</v>
      </c>
      <c r="AN349" s="122">
        <f>SUM($AD$6:AD349)</f>
        <v>0</v>
      </c>
      <c r="AO349" s="122">
        <f ca="1">IF(D349=D348,AO348,OFFSET(AO349,-1,COLUMN(db_jSaldoGes)-COLUMN()))</f>
        <v>0</v>
      </c>
      <c r="AP349" s="126">
        <f>IF(OR($G349=-1,$G349=82),-1,IF(OR($G349=0,$G349=83),1,0))</f>
        <v>0</v>
      </c>
      <c r="AQ349" s="126">
        <f>IF($F349=Krank,1,IF($F349="J",-1,0))</f>
        <v>0</v>
      </c>
      <c r="AR349" s="126">
        <f>IF($F349=Urlaub,1,IF($F349="T",-1,0))</f>
        <v>0</v>
      </c>
      <c r="AS349" s="125">
        <f>IF(A349="","",AS348-IF(F349=Urlaub,1,0)+IF(AND(MONTH(A349)=1,DAY(A349)=1),B_UrlaubNeu,0))</f>
        <v>30</v>
      </c>
      <c r="AT349" s="125">
        <f ca="1">IF(A349="","",IF(D349=D348,AT348,OFFSET(AT349,-1,COLUMN(db_jUrlRest)-COLUMN()))+IF(AND(MONTH(A349)=1,DAY(A349)=1),B_UrlaubNeu,0))</f>
        <v>30</v>
      </c>
      <c r="AU349" s="135">
        <f>(IF(ISNUMBER(V349),V349,0)+IF(ISNUMBER(AD349),AD349,0))*24</f>
        <v>0</v>
      </c>
      <c r="AV349" s="125">
        <f>IF(ISNUMBER(AD349),K_ArbeitOverMax,IF(AND(ISNUMBER(AA349),AA349&gt;0),K_ArbeitOverTime,IF(AND(ISNUMBER(V349),V349&gt;0),K_ArbeitNormal,IF(F349=Krank,K_Krank,IF(F349=Urlaub,K_Urlaub,IF(AM349=Feiertag,K_Feiertag,IF(OR(AM349=6,AM349=7),K_Wochenende,0)))))))+IF(F349=Gleittag,K_Gleittag,0)</f>
        <v>7</v>
      </c>
      <c r="AW349" t="b">
        <f>OR((F349&gt;0),(NOT(ISBLANK(H349))),SUM(H349:H$373),SUM(G349:G$373))</f>
        <v>0</v>
      </c>
      <c r="AX349" t="b">
        <f ca="1">INDIRECT(ADDRESS(ROW(),COLUMN(xDay)))&gt;5</f>
        <v>1</v>
      </c>
      <c r="AY349" s="600">
        <f>IF(OR(R349&lt;&gt;0,F349&lt;&gt;0),AA349,IF(Z349="",0,-Z349))+(IF(AG349="+",AF349,-AF349))</f>
        <v>0</v>
      </c>
      <c r="AZ349" s="225">
        <f>SUM(AY$5:AY349)</f>
        <v>-68.833333333333201</v>
      </c>
      <c r="BA349" s="643"/>
      <c r="BB349" s="658">
        <f>IF(ISNA(MATCH(BA349,B_Arbeitsort,0)),0,MATCH(BA349,B_Arbeitsort,0))</f>
        <v>0</v>
      </c>
      <c r="BC349" s="643"/>
    </row>
    <row r="350" spans="1:55" ht="15.75">
      <c r="A350" s="305">
        <f>IF(A349="","",IF((A349+1)&gt;=DATE(YEAR(xJahr)+1,MONTH(xJahr),DAY(xJahr)),"",A349+1))</f>
        <v>43809</v>
      </c>
      <c r="B350" s="306">
        <f>IF(A350="","",A350)</f>
        <v>43809</v>
      </c>
      <c r="C350" s="307">
        <f>IF(A350="","",NumberOfWeek(A350))</f>
        <v>50</v>
      </c>
      <c r="D350" s="308">
        <f>IF(A350="","",DATE(YEAR(A350),MONTH(A350),1))</f>
        <v>43799</v>
      </c>
      <c r="E350" s="318" t="str">
        <f>IF((R350-U350)&gt;XWorkTimeMax,$Z$4,IF(AV350=Feiertag,VLOOKUP(B350,db_Feiertag,2,FALSE),""))</f>
        <v/>
      </c>
      <c r="F350" s="5"/>
      <c r="G350" s="6" t="str">
        <f>IF(ISBLANK(F350),IF(ISBLANK(H350),"",0),CODE(UPPER(F350)))</f>
        <v/>
      </c>
      <c r="H350" s="7"/>
      <c r="I350" s="7">
        <f>IF(H350&gt;0,H350+Y350+X350+AC350,0)</f>
        <v>0</v>
      </c>
      <c r="J350" s="113">
        <f>IF(K350&gt;I350,IF(I350&lt;H350,I350+1,I350)-B_WalkTime,IF(I350&lt;H350,I350+1,I350))</f>
        <v>0</v>
      </c>
      <c r="K350" s="7"/>
      <c r="L350" s="7">
        <f>IF(K350&gt;0,K350+IF((J350-H350)&lt;Y350,Y350-(J350-H350),TIME(0,10,0))+IF((K350-J350)&gt;xNoWorkTime,0,xNoWorkTime-(K350-J350)),0)</f>
        <v>0</v>
      </c>
      <c r="M350" s="113">
        <f>IF(L350&lt;K350,L350+1,L350)</f>
        <v>0</v>
      </c>
      <c r="N350" s="113"/>
      <c r="O350" s="113">
        <f>IF(N350&gt;0,N350+IF((J350-H350+M350-K350)&lt;Y350,Y350-(J350-H350+M350-K350),TIME(0,10,0))+IF((K350-J350+N350-M350)&gt;xNoWorkTime,0,xNoWorkTime-(K350-J350+N350-M350)),0)</f>
        <v>0</v>
      </c>
      <c r="P350" s="113"/>
      <c r="Q350" s="113">
        <f>IF(O350&lt;N350,O350+1,O350)</f>
        <v>0</v>
      </c>
      <c r="R350" s="113">
        <f>J350-H350+M350-K350+Q350-N350</f>
        <v>0</v>
      </c>
      <c r="S350" s="113">
        <f>IF(K350&gt;0,K350-I350,0)+IF(N350&gt;0,N350-L350)</f>
        <v>0</v>
      </c>
      <c r="T350" s="113">
        <f>IF(H350&gt;0,(IF(R350&gt;B_Pause1Nach,B_Pause1Dauer+IF(BA350="Büro",B_WalkTime,0),IF(BA350="Büro",B_WalkTime,0))+IF(R350&gt;B_Pause2Nach,B_Pause2Dauer,0)),0)</f>
        <v>0</v>
      </c>
      <c r="U350" s="113">
        <f>IF(T350&gt;S350,T350-S350,0)</f>
        <v>0</v>
      </c>
      <c r="V350" s="146">
        <f>IF(F350="S",Z350,(IF((R350-U350)&gt;XWorkTimeMax,XWorkTimeMax,IF((R350-U350)&gt;0,R350-U350,0))))</f>
        <v>0</v>
      </c>
      <c r="W350" s="66"/>
      <c r="X350" s="115">
        <f>xNoWorkTime</f>
        <v>4.027777777777778E-2</v>
      </c>
      <c r="Y350" s="110">
        <f>IF(AND((AM350&lt;Feiertag),(G350&lt;&gt;85)),IF(OR(F350="B",F350="G",F350="S",H350&gt;0),H350-H350+Z350,0),0)</f>
        <v>0</v>
      </c>
      <c r="Z350" s="111">
        <f>IF(AND(AM350&gt;0,AM350&lt;Feiertag),INDEX(Arbeitszeit,AM350),"")</f>
        <v>0.29166666666666669</v>
      </c>
      <c r="AA350" s="112">
        <f>V350-Y350</f>
        <v>0</v>
      </c>
      <c r="AB350" s="67" t="str">
        <f>IF((V350-Y350)&lt;0,"*","")</f>
        <v/>
      </c>
      <c r="AC350" s="193">
        <f>xOverTime</f>
        <v>0</v>
      </c>
      <c r="AD350" s="144" t="str">
        <f>IF((R350-U350)&gt;XWorkTimeMax,(R350-U350-XWorkTimeMax),"")</f>
        <v/>
      </c>
      <c r="AE350" s="225">
        <f>IF(AW350,(AE349+SUM(AA350)+(IF(AG350="+",AF350,-AF350))),)</f>
        <v>0</v>
      </c>
      <c r="AF350" s="110"/>
      <c r="AG350" s="627"/>
      <c r="AH350" s="110"/>
      <c r="AI350" s="110" t="str">
        <f>IF(AND(AF350&lt;&gt;"",AF350&lt;=V350),V350-AF350,"")</f>
        <v/>
      </c>
      <c r="AJ350" s="68">
        <f>IF(ISNUMBER(V350 ), IF( V350 &gt;= Y350, Y350, V350 ),"")</f>
        <v>0</v>
      </c>
      <c r="AK350" s="68">
        <f>IF( ISNUMBER( V350 ), IF( V350 &gt;= Y350, V350 - Y350, "" ), "" )</f>
        <v>0</v>
      </c>
      <c r="AL350" s="68" t="str">
        <f>IF( AND(ISNUMBER( V350 ),ISNUMBER( Y350 )), IF( V350 &gt;= Y350, "", Y350 - V350 ), "" )</f>
        <v/>
      </c>
      <c r="AM350">
        <f>IF(A350="",0,IF(ISERROR(VLOOKUP(A350,db_Feiertag,2,FALSE)),WEEKDAY(A350,2),Feiertag))</f>
        <v>1</v>
      </c>
      <c r="AN350" s="122">
        <f>SUM($AD$6:AD350)</f>
        <v>0</v>
      </c>
      <c r="AO350" s="122">
        <f ca="1">IF(D350=D349,AO349,OFFSET(AO350,-1,COLUMN(db_jSaldoGes)-COLUMN()))</f>
        <v>0</v>
      </c>
      <c r="AP350" s="126">
        <f>IF(OR($G350=-1,$G350=82),-1,IF(OR($G350=0,$G350=83),1,0))</f>
        <v>0</v>
      </c>
      <c r="AQ350" s="126">
        <f>IF($F350=Krank,1,IF($F350="J",-1,0))</f>
        <v>0</v>
      </c>
      <c r="AR350" s="126">
        <f>IF($F350=Urlaub,1,IF($F350="T",-1,0))</f>
        <v>0</v>
      </c>
      <c r="AS350" s="125">
        <f>IF(A350="","",AS349-IF(F350=Urlaub,1,0)+IF(AND(MONTH(A350)=1,DAY(A350)=1),B_UrlaubNeu,0))</f>
        <v>30</v>
      </c>
      <c r="AT350" s="125">
        <f ca="1">IF(A350="","",IF(D350=D349,AT349,OFFSET(AT350,-1,COLUMN(db_jUrlRest)-COLUMN()))+IF(AND(MONTH(A350)=1,DAY(A350)=1),B_UrlaubNeu,0))</f>
        <v>30</v>
      </c>
      <c r="AU350" s="135">
        <f>(IF(ISNUMBER(V350),V350,0)+IF(ISNUMBER(AD350),AD350,0))*24</f>
        <v>0</v>
      </c>
      <c r="AV350" s="125">
        <f>IF(ISNUMBER(AD350),K_ArbeitOverMax,IF(AND(ISNUMBER(AA350),AA350&gt;0),K_ArbeitOverTime,IF(AND(ISNUMBER(V350),V350&gt;0),K_ArbeitNormal,IF(F350=Krank,K_Krank,IF(F350=Urlaub,K_Urlaub,IF(AM350=Feiertag,K_Feiertag,IF(OR(AM350=6,AM350=7),K_Wochenende,0)))))))+IF(F350=Gleittag,K_Gleittag,0)</f>
        <v>0</v>
      </c>
      <c r="AW350" t="b">
        <f>OR((F350&gt;0),(NOT(ISBLANK(H350))),SUM(H350:H$373),SUM(G350:G$373))</f>
        <v>0</v>
      </c>
      <c r="AX350" t="b">
        <f ca="1">INDIRECT(ADDRESS(ROW(),COLUMN(xDay)))&gt;5</f>
        <v>0</v>
      </c>
      <c r="AY350" s="600">
        <f>IF(OR(R350&lt;&gt;0,F350&lt;&gt;0),AA350,IF(Z350="",0,-Z350))+(IF(AG350="+",AF350,-AF350))</f>
        <v>-0.29166666666666669</v>
      </c>
      <c r="AZ350" s="225">
        <f>SUM(AY$5:AY350)</f>
        <v>-69.124999999999872</v>
      </c>
      <c r="BA350" s="658"/>
      <c r="BB350" s="658">
        <f>IF(ISNA(MATCH(BA350,B_Arbeitsort,0)),0,MATCH(BA350,B_Arbeitsort,0))</f>
        <v>0</v>
      </c>
      <c r="BC350" s="658"/>
    </row>
    <row r="351" spans="1:55" ht="15.75">
      <c r="A351" s="305">
        <f>IF(A350="","",IF((A350+1)&gt;=DATE(YEAR(xJahr)+1,MONTH(xJahr),DAY(xJahr)),"",A350+1))</f>
        <v>43810</v>
      </c>
      <c r="B351" s="306">
        <f>IF(A351="","",A351)</f>
        <v>43810</v>
      </c>
      <c r="C351" s="307">
        <f>IF(A351="","",NumberOfWeek(A351))</f>
        <v>50</v>
      </c>
      <c r="D351" s="308">
        <f>IF(A351="","",DATE(YEAR(A351),MONTH(A351),1))</f>
        <v>43799</v>
      </c>
      <c r="E351" s="318" t="str">
        <f>IF((R351-U351)&gt;XWorkTimeMax,$Z$4,IF(AV351=Feiertag,VLOOKUP(B351,db_Feiertag,2,FALSE),""))</f>
        <v/>
      </c>
      <c r="F351" s="5"/>
      <c r="G351" s="6" t="str">
        <f>IF(ISBLANK(F351),IF(ISBLANK(H351),"",0),CODE(UPPER(F351)))</f>
        <v/>
      </c>
      <c r="H351" s="7"/>
      <c r="I351" s="7">
        <f>IF(H351&gt;0,H351+Y351+X351+AC351,0)</f>
        <v>0</v>
      </c>
      <c r="J351" s="113">
        <f>IF(K351&gt;I351,IF(I351&lt;H351,I351+1,I351)-B_WalkTime,IF(I351&lt;H351,I351+1,I351))</f>
        <v>0</v>
      </c>
      <c r="K351" s="7"/>
      <c r="L351" s="7">
        <f>IF(K351&gt;0,K351+IF((J351-H351)&lt;Y351,Y351-(J351-H351),TIME(0,10,0))+IF((K351-J351)&gt;xNoWorkTime,0,xNoWorkTime-(K351-J351)),0)</f>
        <v>0</v>
      </c>
      <c r="M351" s="113">
        <f>IF(L351&lt;K351,L351+1,L351)</f>
        <v>0</v>
      </c>
      <c r="N351" s="113"/>
      <c r="O351" s="113">
        <f>IF(N351&gt;0,N351+IF((J351-H351+M351-K351)&lt;Y351,Y351-(J351-H351+M351-K351),TIME(0,10,0))+IF((K351-J351+N351-M351)&gt;xNoWorkTime,0,xNoWorkTime-(K351-J351+N351-M351)),0)</f>
        <v>0</v>
      </c>
      <c r="P351" s="113"/>
      <c r="Q351" s="113">
        <f>IF(O351&lt;N351,O351+1,O351)</f>
        <v>0</v>
      </c>
      <c r="R351" s="113">
        <f>J351-H351+M351-K351+Q351-N351</f>
        <v>0</v>
      </c>
      <c r="S351" s="113">
        <f>IF(K351&gt;0,K351-I351,0)+IF(N351&gt;0,N351-L351)</f>
        <v>0</v>
      </c>
      <c r="T351" s="113">
        <f>IF(H351&gt;0,(IF(R351&gt;B_Pause1Nach,B_Pause1Dauer+IF(BA351="Büro",B_WalkTime,0),IF(BA351="Büro",B_WalkTime,0))+IF(R351&gt;B_Pause2Nach,B_Pause2Dauer,0)),0)</f>
        <v>0</v>
      </c>
      <c r="U351" s="113">
        <f>IF(T351&gt;S351,T351-S351,0)</f>
        <v>0</v>
      </c>
      <c r="V351" s="146">
        <f>IF(F351="S",Z351,(IF((R351-U351)&gt;XWorkTimeMax,XWorkTimeMax,IF((R351-U351)&gt;0,R351-U351,0))))</f>
        <v>0</v>
      </c>
      <c r="W351" s="66"/>
      <c r="X351" s="115">
        <f>xNoWorkTime</f>
        <v>4.027777777777778E-2</v>
      </c>
      <c r="Y351" s="110">
        <f>IF(AND((AM351&lt;Feiertag),(G351&lt;&gt;85)),IF(OR(F351="B",F351="G",F351="S",H351&gt;0),H351-H351+Z351,0),0)</f>
        <v>0</v>
      </c>
      <c r="Z351" s="111">
        <f>IF(AND(AM351&gt;0,AM351&lt;Feiertag),INDEX(Arbeitszeit,AM351),"")</f>
        <v>0.29166666666666669</v>
      </c>
      <c r="AA351" s="112">
        <f>V351-Y351</f>
        <v>0</v>
      </c>
      <c r="AB351" s="67" t="str">
        <f>IF((V351-Y351)&lt;0,"*","")</f>
        <v/>
      </c>
      <c r="AC351" s="193">
        <f>xOverTime</f>
        <v>0</v>
      </c>
      <c r="AD351" s="144" t="str">
        <f>IF((R351-U351)&gt;XWorkTimeMax,(R351-U351-XWorkTimeMax),"")</f>
        <v/>
      </c>
      <c r="AE351" s="225">
        <f>IF(AW351,(AE350+SUM(AA351)+(IF(AG351="+",AF351,-AF351))),)</f>
        <v>0</v>
      </c>
      <c r="AF351" s="110"/>
      <c r="AG351" s="627"/>
      <c r="AH351" s="110"/>
      <c r="AI351" s="110" t="str">
        <f>IF(AND(AF351&lt;&gt;"",AF351&lt;=V351),V351-AF351,"")</f>
        <v/>
      </c>
      <c r="AJ351" s="68">
        <f>IF(ISNUMBER(V351 ), IF( V351 &gt;= Y351, Y351, V351 ),"")</f>
        <v>0</v>
      </c>
      <c r="AK351" s="68">
        <f>IF( ISNUMBER( V351 ), IF( V351 &gt;= Y351, V351 - Y351, "" ), "" )</f>
        <v>0</v>
      </c>
      <c r="AL351" s="68" t="str">
        <f>IF( AND(ISNUMBER( V351 ),ISNUMBER( Y351 )), IF( V351 &gt;= Y351, "", Y351 - V351 ), "" )</f>
        <v/>
      </c>
      <c r="AM351">
        <f>IF(A351="",0,IF(ISERROR(VLOOKUP(A351,db_Feiertag,2,FALSE)),WEEKDAY(A351,2),Feiertag))</f>
        <v>2</v>
      </c>
      <c r="AN351" s="122">
        <f>SUM($AD$6:AD351)</f>
        <v>0</v>
      </c>
      <c r="AO351" s="122">
        <f ca="1">IF(D351=D350,AO350,OFFSET(AO351,-1,COLUMN(db_jSaldoGes)-COLUMN()))</f>
        <v>0</v>
      </c>
      <c r="AP351" s="126">
        <f>IF(OR($G351=-1,$G351=82),-1,IF(OR($G351=0,$G351=83),1,0))</f>
        <v>0</v>
      </c>
      <c r="AQ351" s="126">
        <f>IF($F351=Krank,1,IF($F351="J",-1,0))</f>
        <v>0</v>
      </c>
      <c r="AR351" s="126">
        <f>IF($F351=Urlaub,1,IF($F351="T",-1,0))</f>
        <v>0</v>
      </c>
      <c r="AS351" s="125">
        <f>IF(A351="","",AS350-IF(F351=Urlaub,1,0)+IF(AND(MONTH(A351)=1,DAY(A351)=1),B_UrlaubNeu,0))</f>
        <v>30</v>
      </c>
      <c r="AT351" s="125">
        <f ca="1">IF(A351="","",IF(D351=D350,AT350,OFFSET(AT351,-1,COLUMN(db_jUrlRest)-COLUMN()))+IF(AND(MONTH(A351)=1,DAY(A351)=1),B_UrlaubNeu,0))</f>
        <v>30</v>
      </c>
      <c r="AU351" s="135">
        <f>(IF(ISNUMBER(V351),V351,0)+IF(ISNUMBER(AD351),AD351,0))*24</f>
        <v>0</v>
      </c>
      <c r="AV351" s="125">
        <f>IF(ISNUMBER(AD351),K_ArbeitOverMax,IF(AND(ISNUMBER(AA351),AA351&gt;0),K_ArbeitOverTime,IF(AND(ISNUMBER(V351),V351&gt;0),K_ArbeitNormal,IF(F351=Krank,K_Krank,IF(F351=Urlaub,K_Urlaub,IF(AM351=Feiertag,K_Feiertag,IF(OR(AM351=6,AM351=7),K_Wochenende,0)))))))+IF(F351=Gleittag,K_Gleittag,0)</f>
        <v>0</v>
      </c>
      <c r="AW351" t="b">
        <f>OR((F351&gt;0),(NOT(ISBLANK(H351))),SUM(H351:H$373),SUM(G351:G$373))</f>
        <v>0</v>
      </c>
      <c r="AX351" t="b">
        <f ca="1">INDIRECT(ADDRESS(ROW(),COLUMN(xDay)))&gt;5</f>
        <v>0</v>
      </c>
      <c r="AY351" s="600">
        <f>IF(OR(R351&lt;&gt;0,F351&lt;&gt;0),AA351,IF(Z351="",0,-Z351))+(IF(AG351="+",AF351,-AF351))</f>
        <v>-0.29166666666666669</v>
      </c>
      <c r="AZ351" s="225">
        <f>SUM(AY$5:AY351)</f>
        <v>-69.416666666666544</v>
      </c>
      <c r="BA351" s="658"/>
      <c r="BB351" s="658">
        <f>IF(ISNA(MATCH(BA351,B_Arbeitsort,0)),0,MATCH(BA351,B_Arbeitsort,0))</f>
        <v>0</v>
      </c>
      <c r="BC351" s="658"/>
    </row>
    <row r="352" spans="1:55" ht="15.75">
      <c r="A352" s="305">
        <f>IF(A351="","",IF((A351+1)&gt;=DATE(YEAR(xJahr)+1,MONTH(xJahr),DAY(xJahr)),"",A351+1))</f>
        <v>43811</v>
      </c>
      <c r="B352" s="306">
        <f>IF(A352="","",A352)</f>
        <v>43811</v>
      </c>
      <c r="C352" s="307">
        <f>IF(A352="","",NumberOfWeek(A352))</f>
        <v>50</v>
      </c>
      <c r="D352" s="308">
        <f>IF(A352="","",DATE(YEAR(A352),MONTH(A352),1))</f>
        <v>43799</v>
      </c>
      <c r="E352" s="318" t="str">
        <f>IF((R352-U352)&gt;XWorkTimeMax,$Z$4,IF(AV352=Feiertag,VLOOKUP(B352,db_Feiertag,2,FALSE),""))</f>
        <v/>
      </c>
      <c r="F352" s="5"/>
      <c r="G352" s="6" t="str">
        <f>IF(ISBLANK(F352),IF(ISBLANK(H352),"",0),CODE(UPPER(F352)))</f>
        <v/>
      </c>
      <c r="H352" s="7"/>
      <c r="I352" s="7">
        <f>IF(H352&gt;0,H352+Y352+X352+AC352,0)</f>
        <v>0</v>
      </c>
      <c r="J352" s="113">
        <f>IF(K352&gt;I352,IF(I352&lt;H352,I352+1,I352)-B_WalkTime,IF(I352&lt;H352,I352+1,I352))</f>
        <v>0</v>
      </c>
      <c r="K352" s="7"/>
      <c r="L352" s="7">
        <f>IF(K352&gt;0,K352+IF((J352-H352)&lt;Y352,Y352-(J352-H352),TIME(0,10,0))+IF((K352-J352)&gt;xNoWorkTime,0,xNoWorkTime-(K352-J352)),0)</f>
        <v>0</v>
      </c>
      <c r="M352" s="113">
        <f>IF(L352&lt;K352,L352+1,L352)</f>
        <v>0</v>
      </c>
      <c r="N352" s="113"/>
      <c r="O352" s="113">
        <f>IF(N352&gt;0,N352+IF((J352-H352+M352-K352)&lt;Y352,Y352-(J352-H352+M352-K352),TIME(0,10,0))+IF((K352-J352+N352-M352)&gt;xNoWorkTime,0,xNoWorkTime-(K352-J352+N352-M352)),0)</f>
        <v>0</v>
      </c>
      <c r="P352" s="113"/>
      <c r="Q352" s="113">
        <f>IF(O352&lt;N352,O352+1,O352)</f>
        <v>0</v>
      </c>
      <c r="R352" s="113">
        <f>J352-H352+M352-K352+Q352-N352</f>
        <v>0</v>
      </c>
      <c r="S352" s="113">
        <f>IF(K352&gt;0,K352-I352,0)+IF(N352&gt;0,N352-L352)</f>
        <v>0</v>
      </c>
      <c r="T352" s="113">
        <f>IF(H352&gt;0,(IF(R352&gt;B_Pause1Nach,B_Pause1Dauer+IF(BA352="Büro",B_WalkTime,0),IF(BA352="Büro",B_WalkTime,0))+IF(R352&gt;B_Pause2Nach,B_Pause2Dauer,0)),0)</f>
        <v>0</v>
      </c>
      <c r="U352" s="113">
        <f>IF(T352&gt;S352,T352-S352,0)</f>
        <v>0</v>
      </c>
      <c r="V352" s="146">
        <f>IF(F352="S",Z352,(IF((R352-U352)&gt;XWorkTimeMax,XWorkTimeMax,IF((R352-U352)&gt;0,R352-U352,0))))</f>
        <v>0</v>
      </c>
      <c r="W352" s="66"/>
      <c r="X352" s="115">
        <f>xNoWorkTime</f>
        <v>4.027777777777778E-2</v>
      </c>
      <c r="Y352" s="110">
        <f>IF(AND((AM352&lt;Feiertag),(G352&lt;&gt;85)),IF(OR(F352="B",F352="G",F352="S",H352&gt;0),H352-H352+Z352,0),0)</f>
        <v>0</v>
      </c>
      <c r="Z352" s="111">
        <f>IF(AND(AM352&gt;0,AM352&lt;Feiertag),INDEX(Arbeitszeit,AM352),"")</f>
        <v>0.29166666666666669</v>
      </c>
      <c r="AA352" s="112">
        <f>V352-Y352</f>
        <v>0</v>
      </c>
      <c r="AB352" s="67" t="str">
        <f>IF((V352-Y352)&lt;0,"*","")</f>
        <v/>
      </c>
      <c r="AC352" s="193">
        <f>xOverTime</f>
        <v>0</v>
      </c>
      <c r="AD352" s="144" t="str">
        <f>IF((R352-U352)&gt;XWorkTimeMax,(R352-U352-XWorkTimeMax),"")</f>
        <v/>
      </c>
      <c r="AE352" s="225">
        <f>IF(AW352,(AE351+SUM(AA352)+(IF(AG352="+",AF352,-AF352))),)</f>
        <v>0</v>
      </c>
      <c r="AF352" s="110"/>
      <c r="AG352" s="627"/>
      <c r="AH352" s="110"/>
      <c r="AI352" s="110" t="str">
        <f>IF(AND(AF352&lt;&gt;"",AF352&lt;=V352),V352-AF352,"")</f>
        <v/>
      </c>
      <c r="AJ352" s="68">
        <f>IF(ISNUMBER(V352 ), IF( V352 &gt;= Y352, Y352, V352 ),"")</f>
        <v>0</v>
      </c>
      <c r="AK352" s="68">
        <f>IF( ISNUMBER( V352 ), IF( V352 &gt;= Y352, V352 - Y352, "" ), "" )</f>
        <v>0</v>
      </c>
      <c r="AL352" s="68" t="str">
        <f>IF( AND(ISNUMBER( V352 ),ISNUMBER( Y352 )), IF( V352 &gt;= Y352, "", Y352 - V352 ), "" )</f>
        <v/>
      </c>
      <c r="AM352">
        <f>IF(A352="",0,IF(ISERROR(VLOOKUP(A352,db_Feiertag,2,FALSE)),WEEKDAY(A352,2),Feiertag))</f>
        <v>3</v>
      </c>
      <c r="AN352" s="122">
        <f>SUM($AD$6:AD352)</f>
        <v>0</v>
      </c>
      <c r="AO352" s="122">
        <f ca="1">IF(D352=D351,AO351,OFFSET(AO352,-1,COLUMN(db_jSaldoGes)-COLUMN()))</f>
        <v>0</v>
      </c>
      <c r="AP352" s="126">
        <f>IF(OR($G352=-1,$G352=82),-1,IF(OR($G352=0,$G352=83),1,0))</f>
        <v>0</v>
      </c>
      <c r="AQ352" s="126">
        <f>IF($F352=Krank,1,IF($F352="J",-1,0))</f>
        <v>0</v>
      </c>
      <c r="AR352" s="126">
        <f>IF($F352=Urlaub,1,IF($F352="T",-1,0))</f>
        <v>0</v>
      </c>
      <c r="AS352" s="125">
        <f>IF(A352="","",AS351-IF(F352=Urlaub,1,0)+IF(AND(MONTH(A352)=1,DAY(A352)=1),B_UrlaubNeu,0))</f>
        <v>30</v>
      </c>
      <c r="AT352" s="125">
        <f ca="1">IF(A352="","",IF(D352=D351,AT351,OFFSET(AT352,-1,COLUMN(db_jUrlRest)-COLUMN()))+IF(AND(MONTH(A352)=1,DAY(A352)=1),B_UrlaubNeu,0))</f>
        <v>30</v>
      </c>
      <c r="AU352" s="135">
        <f>(IF(ISNUMBER(V352),V352,0)+IF(ISNUMBER(AD352),AD352,0))*24</f>
        <v>0</v>
      </c>
      <c r="AV352" s="125">
        <f>IF(ISNUMBER(AD352),K_ArbeitOverMax,IF(AND(ISNUMBER(AA352),AA352&gt;0),K_ArbeitOverTime,IF(AND(ISNUMBER(V352),V352&gt;0),K_ArbeitNormal,IF(F352=Krank,K_Krank,IF(F352=Urlaub,K_Urlaub,IF(AM352=Feiertag,K_Feiertag,IF(OR(AM352=6,AM352=7),K_Wochenende,0)))))))+IF(F352=Gleittag,K_Gleittag,0)</f>
        <v>0</v>
      </c>
      <c r="AW352" t="b">
        <f>OR((F352&gt;0),(NOT(ISBLANK(H352))),SUM(H352:H$373),SUM(G352:G$373))</f>
        <v>0</v>
      </c>
      <c r="AX352" t="b">
        <f ca="1">INDIRECT(ADDRESS(ROW(),COLUMN(xDay)))&gt;5</f>
        <v>0</v>
      </c>
      <c r="AY352" s="600">
        <f>IF(OR(R352&lt;&gt;0,F352&lt;&gt;0),AA352,IF(Z352="",0,-Z352))+(IF(AG352="+",AF352,-AF352))</f>
        <v>-0.29166666666666669</v>
      </c>
      <c r="AZ352" s="225">
        <f>SUM(AY$5:AY352)</f>
        <v>-69.708333333333215</v>
      </c>
      <c r="BA352" s="658"/>
      <c r="BB352" s="658">
        <f>IF(ISNA(MATCH(BA352,B_Arbeitsort,0)),0,MATCH(BA352,B_Arbeitsort,0))</f>
        <v>0</v>
      </c>
      <c r="BC352" s="658"/>
    </row>
    <row r="353" spans="1:55" ht="15.75">
      <c r="A353" s="305">
        <f>IF(A352="","",IF((A352+1)&gt;=DATE(YEAR(xJahr)+1,MONTH(xJahr),DAY(xJahr)),"",A352+1))</f>
        <v>43812</v>
      </c>
      <c r="B353" s="306">
        <f>IF(A353="","",A353)</f>
        <v>43812</v>
      </c>
      <c r="C353" s="307">
        <f>IF(A353="","",NumberOfWeek(A353))</f>
        <v>50</v>
      </c>
      <c r="D353" s="308">
        <f>IF(A353="","",DATE(YEAR(A353),MONTH(A353),1))</f>
        <v>43799</v>
      </c>
      <c r="E353" s="318" t="str">
        <f>IF((R353-U353)&gt;XWorkTimeMax,$Z$4,IF(AV353=Feiertag,VLOOKUP(B353,db_Feiertag,2,FALSE),""))</f>
        <v/>
      </c>
      <c r="F353" s="5"/>
      <c r="G353" s="6" t="str">
        <f>IF(ISBLANK(F353),IF(ISBLANK(H353),"",0),CODE(UPPER(F353)))</f>
        <v/>
      </c>
      <c r="H353" s="7"/>
      <c r="I353" s="7">
        <f>IF(H353&gt;0,H353+Y353+X353+AC353,0)</f>
        <v>0</v>
      </c>
      <c r="J353" s="113">
        <f>IF(K353&gt;I353,IF(I353&lt;H353,I353+1,I353)-B_WalkTime,IF(I353&lt;H353,I353+1,I353))</f>
        <v>0</v>
      </c>
      <c r="K353" s="7"/>
      <c r="L353" s="7">
        <f>IF(K353&gt;0,K353+IF((J353-H353)&lt;Y353,Y353-(J353-H353),TIME(0,10,0))+IF((K353-J353)&gt;xNoWorkTime,0,xNoWorkTime-(K353-J353)),0)</f>
        <v>0</v>
      </c>
      <c r="M353" s="113">
        <f>IF(L353&lt;K353,L353+1,L353)</f>
        <v>0</v>
      </c>
      <c r="N353" s="113"/>
      <c r="O353" s="113">
        <f>IF(N353&gt;0,N353+IF((J353-H353+M353-K353)&lt;Y353,Y353-(J353-H353+M353-K353),TIME(0,10,0))+IF((K353-J353+N353-M353)&gt;xNoWorkTime,0,xNoWorkTime-(K353-J353+N353-M353)),0)</f>
        <v>0</v>
      </c>
      <c r="P353" s="113"/>
      <c r="Q353" s="113">
        <f>IF(O353&lt;N353,O353+1,O353)</f>
        <v>0</v>
      </c>
      <c r="R353" s="113">
        <f>J353-H353+M353-K353+Q353-N353</f>
        <v>0</v>
      </c>
      <c r="S353" s="113">
        <f>IF(K353&gt;0,K353-I353,0)+IF(N353&gt;0,N353-L353)</f>
        <v>0</v>
      </c>
      <c r="T353" s="113">
        <f>IF(H353&gt;0,(IF(R353&gt;B_Pause1Nach,B_Pause1Dauer+IF(BA353="Büro",B_WalkTime,0),IF(BA353="Büro",B_WalkTime,0))+IF(R353&gt;B_Pause2Nach,B_Pause2Dauer,0)),0)</f>
        <v>0</v>
      </c>
      <c r="U353" s="113">
        <f>IF(T353&gt;S353,T353-S353,0)</f>
        <v>0</v>
      </c>
      <c r="V353" s="146">
        <f>IF(F353="S",Z353,(IF((R353-U353)&gt;XWorkTimeMax,XWorkTimeMax,IF((R353-U353)&gt;0,R353-U353,0))))</f>
        <v>0</v>
      </c>
      <c r="W353" s="66"/>
      <c r="X353" s="115">
        <f>xNoWorkTime</f>
        <v>4.027777777777778E-2</v>
      </c>
      <c r="Y353" s="110">
        <f>IF(AND((AM353&lt;Feiertag),(G353&lt;&gt;85)),IF(OR(F353="B",F353="G",F353="S",H353&gt;0),H353-H353+Z353,0),0)</f>
        <v>0</v>
      </c>
      <c r="Z353" s="111">
        <f>IF(AND(AM353&gt;0,AM353&lt;Feiertag),INDEX(Arbeitszeit,AM353),"")</f>
        <v>0.29166666666666669</v>
      </c>
      <c r="AA353" s="112">
        <f>V353-Y353</f>
        <v>0</v>
      </c>
      <c r="AB353" s="67" t="str">
        <f>IF((V353-Y353)&lt;0,"*","")</f>
        <v/>
      </c>
      <c r="AC353" s="193">
        <f>xOverTime</f>
        <v>0</v>
      </c>
      <c r="AD353" s="144" t="str">
        <f>IF((R353-U353)&gt;XWorkTimeMax,(R353-U353-XWorkTimeMax),"")</f>
        <v/>
      </c>
      <c r="AE353" s="225">
        <f>IF(AW353,(AE352+SUM(AA353)+(IF(AG353="+",AF353,-AF353))),)</f>
        <v>0</v>
      </c>
      <c r="AF353" s="110"/>
      <c r="AG353" s="627"/>
      <c r="AH353" s="110"/>
      <c r="AI353" s="110" t="str">
        <f>IF(AND(AF353&lt;&gt;"",AF353&lt;=V353),V353-AF353,"")</f>
        <v/>
      </c>
      <c r="AJ353" s="68">
        <f>IF(ISNUMBER(V353 ), IF( V353 &gt;= Y353, Y353, V353 ),"")</f>
        <v>0</v>
      </c>
      <c r="AK353" s="68">
        <f>IF( ISNUMBER( V353 ), IF( V353 &gt;= Y353, V353 - Y353, "" ), "" )</f>
        <v>0</v>
      </c>
      <c r="AL353" s="68" t="str">
        <f>IF( AND(ISNUMBER( V353 ),ISNUMBER( Y353 )), IF( V353 &gt;= Y353, "", Y353 - V353 ), "" )</f>
        <v/>
      </c>
      <c r="AM353">
        <f>IF(A353="",0,IF(ISERROR(VLOOKUP(A353,db_Feiertag,2,FALSE)),WEEKDAY(A353,2),Feiertag))</f>
        <v>4</v>
      </c>
      <c r="AN353" s="122">
        <f>SUM($AD$6:AD353)</f>
        <v>0</v>
      </c>
      <c r="AO353" s="122">
        <f ca="1">IF(D353=D352,AO352,OFFSET(AO353,-1,COLUMN(db_jSaldoGes)-COLUMN()))</f>
        <v>0</v>
      </c>
      <c r="AP353" s="126">
        <f>IF(OR($G353=-1,$G353=82),-1,IF(OR($G353=0,$G353=83),1,0))</f>
        <v>0</v>
      </c>
      <c r="AQ353" s="126">
        <f>IF($F353=Krank,1,IF($F353="J",-1,0))</f>
        <v>0</v>
      </c>
      <c r="AR353" s="126">
        <f>IF($F353=Urlaub,1,IF($F353="T",-1,0))</f>
        <v>0</v>
      </c>
      <c r="AS353" s="125">
        <f>IF(A353="","",AS352-IF(F353=Urlaub,1,0)+IF(AND(MONTH(A353)=1,DAY(A353)=1),B_UrlaubNeu,0))</f>
        <v>30</v>
      </c>
      <c r="AT353" s="125">
        <f ca="1">IF(A353="","",IF(D353=D352,AT352,OFFSET(AT353,-1,COLUMN(db_jUrlRest)-COLUMN()))+IF(AND(MONTH(A353)=1,DAY(A353)=1),B_UrlaubNeu,0))</f>
        <v>30</v>
      </c>
      <c r="AU353" s="135">
        <f>(IF(ISNUMBER(V353),V353,0)+IF(ISNUMBER(AD353),AD353,0))*24</f>
        <v>0</v>
      </c>
      <c r="AV353" s="125">
        <f>IF(ISNUMBER(AD353),K_ArbeitOverMax,IF(AND(ISNUMBER(AA353),AA353&gt;0),K_ArbeitOverTime,IF(AND(ISNUMBER(V353),V353&gt;0),K_ArbeitNormal,IF(F353=Krank,K_Krank,IF(F353=Urlaub,K_Urlaub,IF(AM353=Feiertag,K_Feiertag,IF(OR(AM353=6,AM353=7),K_Wochenende,0)))))))+IF(F353=Gleittag,K_Gleittag,0)</f>
        <v>0</v>
      </c>
      <c r="AW353" t="b">
        <f>OR((F353&gt;0),(NOT(ISBLANK(H353))),SUM(H353:H$373),SUM(G353:G$373))</f>
        <v>0</v>
      </c>
      <c r="AX353" t="b">
        <f ca="1">INDIRECT(ADDRESS(ROW(),COLUMN(xDay)))&gt;5</f>
        <v>0</v>
      </c>
      <c r="AY353" s="600">
        <f>IF(OR(R353&lt;&gt;0,F353&lt;&gt;0),AA353,IF(Z353="",0,-Z353))+(IF(AG353="+",AF353,-AF353))</f>
        <v>-0.29166666666666669</v>
      </c>
      <c r="AZ353" s="225">
        <f>SUM(AY$5:AY353)</f>
        <v>-69.999999999999886</v>
      </c>
      <c r="BA353" s="658"/>
      <c r="BB353" s="658">
        <f>IF(ISNA(MATCH(BA353,B_Arbeitsort,0)),0,MATCH(BA353,B_Arbeitsort,0))</f>
        <v>0</v>
      </c>
      <c r="BC353" s="658"/>
    </row>
    <row r="354" spans="1:55" ht="15.75">
      <c r="A354" s="305">
        <f>IF(A353="","",IF((A353+1)&gt;=DATE(YEAR(xJahr)+1,MONTH(xJahr),DAY(xJahr)),"",A353+1))</f>
        <v>43813</v>
      </c>
      <c r="B354" s="306">
        <f>IF(A354="","",A354)</f>
        <v>43813</v>
      </c>
      <c r="C354" s="307">
        <f>IF(A354="","",NumberOfWeek(A354))</f>
        <v>50</v>
      </c>
      <c r="D354" s="308">
        <f>IF(A354="","",DATE(YEAR(A354),MONTH(A354),1))</f>
        <v>43799</v>
      </c>
      <c r="E354" s="318" t="str">
        <f>IF((R354-U354)&gt;XWorkTimeMax,$Z$4,IF(AV354=Feiertag,VLOOKUP(B354,db_Feiertag,2,FALSE),""))</f>
        <v/>
      </c>
      <c r="F354" s="5"/>
      <c r="G354" s="6" t="str">
        <f>IF(ISBLANK(F354),IF(ISBLANK(H354),"",0),CODE(UPPER(F354)))</f>
        <v/>
      </c>
      <c r="H354" s="7"/>
      <c r="I354" s="7">
        <f>IF(H354&gt;0,H354+Y354+X354+AC354,0)</f>
        <v>0</v>
      </c>
      <c r="J354" s="113">
        <f>IF(K354&gt;I354,IF(I354&lt;H354,I354+1,I354)-B_WalkTime,IF(I354&lt;H354,I354+1,I354))</f>
        <v>0</v>
      </c>
      <c r="K354" s="7"/>
      <c r="L354" s="7">
        <f>IF(K354&gt;0,K354+IF((J354-H354)&lt;Y354,Y354-(J354-H354),TIME(0,10,0))+IF((K354-J354)&gt;xNoWorkTime,0,xNoWorkTime-(K354-J354)),0)</f>
        <v>0</v>
      </c>
      <c r="M354" s="113">
        <f>IF(L354&lt;K354,L354+1,L354)</f>
        <v>0</v>
      </c>
      <c r="N354" s="113"/>
      <c r="O354" s="113">
        <f>IF(N354&gt;0,N354+IF((J354-H354+M354-K354)&lt;Y354,Y354-(J354-H354+M354-K354),TIME(0,10,0))+IF((K354-J354+N354-M354)&gt;xNoWorkTime,0,xNoWorkTime-(K354-J354+N354-M354)),0)</f>
        <v>0</v>
      </c>
      <c r="P354" s="113"/>
      <c r="Q354" s="113">
        <f>IF(O354&lt;N354,O354+1,O354)</f>
        <v>0</v>
      </c>
      <c r="R354" s="113">
        <f>J354-H354+M354-K354+Q354-N354</f>
        <v>0</v>
      </c>
      <c r="S354" s="113">
        <f>IF(K354&gt;0,K354-I354,0)+IF(N354&gt;0,N354-L354)</f>
        <v>0</v>
      </c>
      <c r="T354" s="113">
        <f>IF(H354&gt;0,(IF(R354&gt;B_Pause1Nach,B_Pause1Dauer+IF(BA354="Büro",B_WalkTime,0),IF(BA354="Büro",B_WalkTime,0))+IF(R354&gt;B_Pause2Nach,B_Pause2Dauer,0)),0)</f>
        <v>0</v>
      </c>
      <c r="U354" s="113">
        <f>IF(T354&gt;S354,T354-S354,0)</f>
        <v>0</v>
      </c>
      <c r="V354" s="146">
        <f>IF(F354="S",Z354,(IF((R354-U354)&gt;XWorkTimeMax,XWorkTimeMax,IF((R354-U354)&gt;0,R354-U354,0))))</f>
        <v>0</v>
      </c>
      <c r="W354" s="66"/>
      <c r="X354" s="115">
        <f>xNoWorkTime</f>
        <v>4.027777777777778E-2</v>
      </c>
      <c r="Y354" s="110">
        <f>IF(AND((AM354&lt;Feiertag),(G354&lt;&gt;85)),IF(OR(F354="B",F354="G",F354="S",H354&gt;0),H354-H354+Z354,0),0)</f>
        <v>0</v>
      </c>
      <c r="Z354" s="111">
        <f>IF(AND(AM354&gt;0,AM354&lt;Feiertag),INDEX(Arbeitszeit,AM354),"")</f>
        <v>0.29166666666666669</v>
      </c>
      <c r="AA354" s="112">
        <f>V354-Y354</f>
        <v>0</v>
      </c>
      <c r="AB354" s="67" t="str">
        <f>IF((V354-Y354)&lt;0,"*","")</f>
        <v/>
      </c>
      <c r="AC354" s="193">
        <f>xOverTime</f>
        <v>0</v>
      </c>
      <c r="AD354" s="144" t="str">
        <f>IF((R354-U354)&gt;XWorkTimeMax,(R354-U354-XWorkTimeMax),"")</f>
        <v/>
      </c>
      <c r="AE354" s="225">
        <f>IF(AW354,(AE353+SUM(AA354)+(IF(AG354="+",AF354,-AF354))),)</f>
        <v>0</v>
      </c>
      <c r="AF354" s="110"/>
      <c r="AG354" s="627"/>
      <c r="AH354" s="110"/>
      <c r="AI354" s="110" t="str">
        <f>IF(AND(AF354&lt;&gt;"",AF354&lt;=V354),V354-AF354,"")</f>
        <v/>
      </c>
      <c r="AJ354" s="68">
        <f>IF(ISNUMBER(V354 ), IF( V354 &gt;= Y354, Y354, V354 ),"")</f>
        <v>0</v>
      </c>
      <c r="AK354" s="68">
        <f>IF( ISNUMBER( V354 ), IF( V354 &gt;= Y354, V354 - Y354, "" ), "" )</f>
        <v>0</v>
      </c>
      <c r="AL354" s="68" t="str">
        <f>IF( AND(ISNUMBER( V354 ),ISNUMBER( Y354 )), IF( V354 &gt;= Y354, "", Y354 - V354 ), "" )</f>
        <v/>
      </c>
      <c r="AM354">
        <f>IF(A354="",0,IF(ISERROR(VLOOKUP(A354,db_Feiertag,2,FALSE)),WEEKDAY(A354,2),Feiertag))</f>
        <v>5</v>
      </c>
      <c r="AN354" s="122">
        <f>SUM($AD$6:AD354)</f>
        <v>0</v>
      </c>
      <c r="AO354" s="122">
        <f ca="1">IF(D354=D353,AO353,OFFSET(AO354,-1,COLUMN(db_jSaldoGes)-COLUMN()))</f>
        <v>0</v>
      </c>
      <c r="AP354" s="126">
        <f>IF(OR($G354=-1,$G354=82),-1,IF(OR($G354=0,$G354=83),1,0))</f>
        <v>0</v>
      </c>
      <c r="AQ354" s="126">
        <f>IF($F354=Krank,1,IF($F354="J",-1,0))</f>
        <v>0</v>
      </c>
      <c r="AR354" s="126">
        <f>IF($F354=Urlaub,1,IF($F354="T",-1,0))</f>
        <v>0</v>
      </c>
      <c r="AS354" s="125">
        <f>IF(A354="","",AS353-IF(F354=Urlaub,1,0)+IF(AND(MONTH(A354)=1,DAY(A354)=1),B_UrlaubNeu,0))</f>
        <v>30</v>
      </c>
      <c r="AT354" s="125">
        <f ca="1">IF(A354="","",IF(D354=D353,AT353,OFFSET(AT354,-1,COLUMN(db_jUrlRest)-COLUMN()))+IF(AND(MONTH(A354)=1,DAY(A354)=1),B_UrlaubNeu,0))</f>
        <v>30</v>
      </c>
      <c r="AU354" s="135">
        <f>(IF(ISNUMBER(V354),V354,0)+IF(ISNUMBER(AD354),AD354,0))*24</f>
        <v>0</v>
      </c>
      <c r="AV354" s="125">
        <f>IF(ISNUMBER(AD354),K_ArbeitOverMax,IF(AND(ISNUMBER(AA354),AA354&gt;0),K_ArbeitOverTime,IF(AND(ISNUMBER(V354),V354&gt;0),K_ArbeitNormal,IF(F354=Krank,K_Krank,IF(F354=Urlaub,K_Urlaub,IF(AM354=Feiertag,K_Feiertag,IF(OR(AM354=6,AM354=7),K_Wochenende,0)))))))+IF(F354=Gleittag,K_Gleittag,0)</f>
        <v>0</v>
      </c>
      <c r="AW354" t="b">
        <f>OR((F354&gt;0),(NOT(ISBLANK(H354))),SUM(H354:H$373),SUM(G354:G$373))</f>
        <v>0</v>
      </c>
      <c r="AX354" t="b">
        <f ca="1">INDIRECT(ADDRESS(ROW(),COLUMN(xDay)))&gt;5</f>
        <v>0</v>
      </c>
      <c r="AY354" s="600">
        <f>IF(OR(R354&lt;&gt;0,F354&lt;&gt;0),AA354,IF(Z354="",0,-Z354))+(IF(AG354="+",AF354,-AF354))</f>
        <v>-0.29166666666666669</v>
      </c>
      <c r="AZ354" s="225">
        <f>SUM(AY$5:AY354)</f>
        <v>-70.291666666666558</v>
      </c>
      <c r="BA354" s="658"/>
      <c r="BB354" s="658">
        <f>IF(ISNA(MATCH(BA354,B_Arbeitsort,0)),0,MATCH(BA354,B_Arbeitsort,0))</f>
        <v>0</v>
      </c>
      <c r="BC354" s="658"/>
    </row>
    <row r="355" spans="1:55" ht="15.75">
      <c r="A355" s="305">
        <f>IF(A354="","",IF((A354+1)&gt;=DATE(YEAR(xJahr)+1,MONTH(xJahr),DAY(xJahr)),"",A354+1))</f>
        <v>43814</v>
      </c>
      <c r="B355" s="306">
        <f>IF(A355="","",A355)</f>
        <v>43814</v>
      </c>
      <c r="C355" s="307">
        <f>IF(A355="","",NumberOfWeek(A355))</f>
        <v>50</v>
      </c>
      <c r="D355" s="308">
        <f>IF(A355="","",DATE(YEAR(A355),MONTH(A355),1))</f>
        <v>43799</v>
      </c>
      <c r="E355" s="318" t="str">
        <f>IF((R355-U355)&gt;XWorkTimeMax,$Z$4,IF(AV355=Feiertag,VLOOKUP(B355,db_Feiertag,2,FALSE),""))</f>
        <v/>
      </c>
      <c r="F355" s="5"/>
      <c r="G355" s="6" t="str">
        <f>IF(ISBLANK(F355),IF(ISBLANK(H355),"",0),CODE(UPPER(F355)))</f>
        <v/>
      </c>
      <c r="H355" s="7"/>
      <c r="I355" s="7">
        <f>IF(H355&gt;0,H355+Y355+X355+AC355,0)</f>
        <v>0</v>
      </c>
      <c r="J355" s="113">
        <f>IF(K355&gt;I355,IF(I355&lt;H355,I355+1,I355)-B_WalkTime,IF(I355&lt;H355,I355+1,I355))</f>
        <v>0</v>
      </c>
      <c r="K355" s="7"/>
      <c r="L355" s="7">
        <f>IF(K355&gt;0,K355+IF((J355-H355)&lt;Y355,Y355-(J355-H355),TIME(0,10,0))+IF((K355-J355)&gt;xNoWorkTime,0,xNoWorkTime-(K355-J355)),0)</f>
        <v>0</v>
      </c>
      <c r="M355" s="113">
        <f>IF(L355&lt;K355,L355+1,L355)</f>
        <v>0</v>
      </c>
      <c r="N355" s="113"/>
      <c r="O355" s="113">
        <f>IF(N355&gt;0,N355+IF((J355-H355+M355-K355)&lt;Y355,Y355-(J355-H355+M355-K355),TIME(0,10,0))+IF((K355-J355+N355-M355)&gt;xNoWorkTime,0,xNoWorkTime-(K355-J355+N355-M355)),0)</f>
        <v>0</v>
      </c>
      <c r="P355" s="113"/>
      <c r="Q355" s="113">
        <f>IF(O355&lt;N355,O355+1,O355)</f>
        <v>0</v>
      </c>
      <c r="R355" s="113">
        <f>J355-H355+M355-K355+Q355-N355</f>
        <v>0</v>
      </c>
      <c r="S355" s="113">
        <f>IF(K355&gt;0,K355-I355,0)+IF(N355&gt;0,N355-L355)</f>
        <v>0</v>
      </c>
      <c r="T355" s="113">
        <f>IF(H355&gt;0,(IF(R355&gt;B_Pause1Nach,B_Pause1Dauer+IF(BA355="Büro",B_WalkTime,0),IF(BA355="Büro",B_WalkTime,0))+IF(R355&gt;B_Pause2Nach,B_Pause2Dauer,0)),0)</f>
        <v>0</v>
      </c>
      <c r="U355" s="113">
        <f>IF(T355&gt;S355,T355-S355,0)</f>
        <v>0</v>
      </c>
      <c r="V355" s="146">
        <f>IF(F355="S",Z355,(IF((R355-U355)&gt;XWorkTimeMax,XWorkTimeMax,IF((R355-U355)&gt;0,R355-U355,0))))</f>
        <v>0</v>
      </c>
      <c r="W355" s="66"/>
      <c r="X355" s="115">
        <f>xNoWorkTime</f>
        <v>4.027777777777778E-2</v>
      </c>
      <c r="Y355" s="110">
        <f>IF(AND((AM355&lt;Feiertag),(G355&lt;&gt;85)),IF(OR(F355="B",F355="G",F355="S",H355&gt;0),H355-H355+Z355,0),0)</f>
        <v>0</v>
      </c>
      <c r="Z355" s="111">
        <f>IF(AND(AM355&gt;0,AM355&lt;Feiertag),INDEX(Arbeitszeit,AM355),"")</f>
        <v>0</v>
      </c>
      <c r="AA355" s="112">
        <f>V355-Y355</f>
        <v>0</v>
      </c>
      <c r="AB355" s="67" t="str">
        <f>IF((V355-Y355)&lt;0,"*","")</f>
        <v/>
      </c>
      <c r="AC355" s="193">
        <f>xOverTime</f>
        <v>0</v>
      </c>
      <c r="AD355" s="144" t="str">
        <f>IF((R355-U355)&gt;XWorkTimeMax,(R355-U355-XWorkTimeMax),"")</f>
        <v/>
      </c>
      <c r="AE355" s="225">
        <f>IF(AW355,(AE354+SUM(AA355)+(IF(AG355="+",AF355,-AF355))),)</f>
        <v>0</v>
      </c>
      <c r="AF355" s="110"/>
      <c r="AG355" s="627"/>
      <c r="AH355" s="110"/>
      <c r="AI355" s="110" t="str">
        <f>IF(AND(AF355&lt;&gt;"",AF355&lt;=V355),V355-AF355,"")</f>
        <v/>
      </c>
      <c r="AJ355" s="68">
        <f>IF(ISNUMBER(V355 ), IF( V355 &gt;= Y355, Y355, V355 ),"")</f>
        <v>0</v>
      </c>
      <c r="AK355" s="68">
        <f>IF( ISNUMBER( V355 ), IF( V355 &gt;= Y355, V355 - Y355, "" ), "" )</f>
        <v>0</v>
      </c>
      <c r="AL355" s="68" t="str">
        <f>IF( AND(ISNUMBER( V355 ),ISNUMBER( Y355 )), IF( V355 &gt;= Y355, "", Y355 - V355 ), "" )</f>
        <v/>
      </c>
      <c r="AM355">
        <f>IF(A355="",0,IF(ISERROR(VLOOKUP(A355,db_Feiertag,2,FALSE)),WEEKDAY(A355,2),Feiertag))</f>
        <v>6</v>
      </c>
      <c r="AN355" s="122">
        <f>SUM($AD$6:AD355)</f>
        <v>0</v>
      </c>
      <c r="AO355" s="122">
        <f ca="1">IF(D355=D354,AO354,OFFSET(AO355,-1,COLUMN(db_jSaldoGes)-COLUMN()))</f>
        <v>0</v>
      </c>
      <c r="AP355" s="126">
        <f>IF(OR($G355=-1,$G355=82),-1,IF(OR($G355=0,$G355=83),1,0))</f>
        <v>0</v>
      </c>
      <c r="AQ355" s="126">
        <f>IF($F355=Krank,1,IF($F355="J",-1,0))</f>
        <v>0</v>
      </c>
      <c r="AR355" s="126">
        <f>IF($F355=Urlaub,1,IF($F355="T",-1,0))</f>
        <v>0</v>
      </c>
      <c r="AS355" s="125">
        <f>IF(A355="","",AS354-IF(F355=Urlaub,1,0)+IF(AND(MONTH(A355)=1,DAY(A355)=1),B_UrlaubNeu,0))</f>
        <v>30</v>
      </c>
      <c r="AT355" s="125">
        <f ca="1">IF(A355="","",IF(D355=D354,AT354,OFFSET(AT355,-1,COLUMN(db_jUrlRest)-COLUMN()))+IF(AND(MONTH(A355)=1,DAY(A355)=1),B_UrlaubNeu,0))</f>
        <v>30</v>
      </c>
      <c r="AU355" s="135">
        <f>(IF(ISNUMBER(V355),V355,0)+IF(ISNUMBER(AD355),AD355,0))*24</f>
        <v>0</v>
      </c>
      <c r="AV355" s="125">
        <f>IF(ISNUMBER(AD355),K_ArbeitOverMax,IF(AND(ISNUMBER(AA355),AA355&gt;0),K_ArbeitOverTime,IF(AND(ISNUMBER(V355),V355&gt;0),K_ArbeitNormal,IF(F355=Krank,K_Krank,IF(F355=Urlaub,K_Urlaub,IF(AM355=Feiertag,K_Feiertag,IF(OR(AM355=6,AM355=7),K_Wochenende,0)))))))+IF(F355=Gleittag,K_Gleittag,0)</f>
        <v>7</v>
      </c>
      <c r="AW355" t="b">
        <f>OR((F355&gt;0),(NOT(ISBLANK(H355))),SUM(H355:H$373),SUM(G355:G$373))</f>
        <v>0</v>
      </c>
      <c r="AX355" t="b">
        <f ca="1">INDIRECT(ADDRESS(ROW(),COLUMN(xDay)))&gt;5</f>
        <v>1</v>
      </c>
      <c r="AY355" s="600">
        <f>IF(OR(R355&lt;&gt;0,F355&lt;&gt;0),AA355,IF(Z355="",0,-Z355))+(IF(AG355="+",AF355,-AF355))</f>
        <v>0</v>
      </c>
      <c r="AZ355" s="225">
        <f>SUM(AY$5:AY355)</f>
        <v>-70.291666666666558</v>
      </c>
      <c r="BA355" s="643"/>
      <c r="BB355" s="658">
        <f>IF(ISNA(MATCH(BA355,B_Arbeitsort,0)),0,MATCH(BA355,B_Arbeitsort,0))</f>
        <v>0</v>
      </c>
      <c r="BC355" s="643"/>
    </row>
    <row r="356" spans="1:55" ht="15.75">
      <c r="A356" s="305">
        <f>IF(A355="","",IF((A355+1)&gt;=DATE(YEAR(xJahr)+1,MONTH(xJahr),DAY(xJahr)),"",A355+1))</f>
        <v>43815</v>
      </c>
      <c r="B356" s="306">
        <f>IF(A356="","",A356)</f>
        <v>43815</v>
      </c>
      <c r="C356" s="307">
        <f>IF(A356="","",NumberOfWeek(A356))</f>
        <v>50</v>
      </c>
      <c r="D356" s="308">
        <f>IF(A356="","",DATE(YEAR(A356),MONTH(A356),1))</f>
        <v>43799</v>
      </c>
      <c r="E356" s="318" t="str">
        <f>IF((R356-U356)&gt;XWorkTimeMax,$Z$4,IF(AV356=Feiertag,VLOOKUP(B356,db_Feiertag,2,FALSE),""))</f>
        <v/>
      </c>
      <c r="F356" s="5"/>
      <c r="G356" s="6" t="str">
        <f>IF(ISBLANK(F356),IF(ISBLANK(H356),"",0),CODE(UPPER(F356)))</f>
        <v/>
      </c>
      <c r="H356" s="7"/>
      <c r="I356" s="7">
        <f>IF(H356&gt;0,H356+Y356+X356+AC356,0)</f>
        <v>0</v>
      </c>
      <c r="J356" s="113">
        <f>IF(K356&gt;I356,IF(I356&lt;H356,I356+1,I356)-B_WalkTime,IF(I356&lt;H356,I356+1,I356))</f>
        <v>0</v>
      </c>
      <c r="K356" s="7"/>
      <c r="L356" s="7">
        <f>IF(K356&gt;0,K356+IF((J356-H356)&lt;Y356,Y356-(J356-H356),TIME(0,10,0))+IF((K356-J356)&gt;xNoWorkTime,0,xNoWorkTime-(K356-J356)),0)</f>
        <v>0</v>
      </c>
      <c r="M356" s="113">
        <f>IF(L356&lt;K356,L356+1,L356)</f>
        <v>0</v>
      </c>
      <c r="N356" s="113"/>
      <c r="O356" s="113">
        <f>IF(N356&gt;0,N356+IF((J356-H356+M356-K356)&lt;Y356,Y356-(J356-H356+M356-K356),TIME(0,10,0))+IF((K356-J356+N356-M356)&gt;xNoWorkTime,0,xNoWorkTime-(K356-J356+N356-M356)),0)</f>
        <v>0</v>
      </c>
      <c r="P356" s="113"/>
      <c r="Q356" s="113">
        <f>IF(O356&lt;N356,O356+1,O356)</f>
        <v>0</v>
      </c>
      <c r="R356" s="113">
        <f>J356-H356+M356-K356+Q356-N356</f>
        <v>0</v>
      </c>
      <c r="S356" s="113">
        <f>IF(K356&gt;0,K356-I356,0)+IF(N356&gt;0,N356-L356)</f>
        <v>0</v>
      </c>
      <c r="T356" s="113">
        <f>IF(H356&gt;0,(IF(R356&gt;B_Pause1Nach,B_Pause1Dauer+IF(BA356="Büro",B_WalkTime,0),IF(BA356="Büro",B_WalkTime,0))+IF(R356&gt;B_Pause2Nach,B_Pause2Dauer,0)),0)</f>
        <v>0</v>
      </c>
      <c r="U356" s="113">
        <f>IF(T356&gt;S356,T356-S356,0)</f>
        <v>0</v>
      </c>
      <c r="V356" s="146">
        <f>IF(F356="S",Z356,(IF((R356-U356)&gt;XWorkTimeMax,XWorkTimeMax,IF((R356-U356)&gt;0,R356-U356,0))))</f>
        <v>0</v>
      </c>
      <c r="W356" s="66"/>
      <c r="X356" s="115">
        <f>xNoWorkTime</f>
        <v>4.027777777777778E-2</v>
      </c>
      <c r="Y356" s="110">
        <f>IF(AND((AM356&lt;Feiertag),(G356&lt;&gt;85)),IF(OR(F356="B",F356="G",F356="S",H356&gt;0),H356-H356+Z356,0),0)</f>
        <v>0</v>
      </c>
      <c r="Z356" s="111">
        <f>IF(AND(AM356&gt;0,AM356&lt;Feiertag),INDEX(Arbeitszeit,AM356),"")</f>
        <v>0</v>
      </c>
      <c r="AA356" s="112">
        <f>V356-Y356</f>
        <v>0</v>
      </c>
      <c r="AB356" s="67" t="str">
        <f>IF((V356-Y356)&lt;0,"*","")</f>
        <v/>
      </c>
      <c r="AC356" s="193">
        <f>xOverTime</f>
        <v>0</v>
      </c>
      <c r="AD356" s="144" t="str">
        <f>IF((R356-U356)&gt;XWorkTimeMax,(R356-U356-XWorkTimeMax),"")</f>
        <v/>
      </c>
      <c r="AE356" s="225">
        <f>IF(AW356,(AE355+SUM(AA356)+(IF(AG356="+",AF356,-AF356))),)</f>
        <v>0</v>
      </c>
      <c r="AF356" s="110"/>
      <c r="AG356" s="627"/>
      <c r="AH356" s="110"/>
      <c r="AI356" s="110" t="str">
        <f>IF(AND(AF356&lt;&gt;"",AF356&lt;=V356),V356-AF356,"")</f>
        <v/>
      </c>
      <c r="AJ356" s="68">
        <f>IF(ISNUMBER(V356 ), IF( V356 &gt;= Y356, Y356, V356 ),"")</f>
        <v>0</v>
      </c>
      <c r="AK356" s="68">
        <f>IF( ISNUMBER( V356 ), IF( V356 &gt;= Y356, V356 - Y356, "" ), "" )</f>
        <v>0</v>
      </c>
      <c r="AL356" s="68" t="str">
        <f>IF( AND(ISNUMBER( V356 ),ISNUMBER( Y356 )), IF( V356 &gt;= Y356, "", Y356 - V356 ), "" )</f>
        <v/>
      </c>
      <c r="AM356">
        <f>IF(A356="",0,IF(ISERROR(VLOOKUP(A356,db_Feiertag,2,FALSE)),WEEKDAY(A356,2),Feiertag))</f>
        <v>7</v>
      </c>
      <c r="AN356" s="122">
        <f>SUM($AD$6:AD356)</f>
        <v>0</v>
      </c>
      <c r="AO356" s="122">
        <f ca="1">IF(D356=D355,AO355,OFFSET(AO356,-1,COLUMN(db_jSaldoGes)-COLUMN()))</f>
        <v>0</v>
      </c>
      <c r="AP356" s="126">
        <f>IF(OR($G356=-1,$G356=82),-1,IF(OR($G356=0,$G356=83),1,0))</f>
        <v>0</v>
      </c>
      <c r="AQ356" s="126">
        <f>IF($F356=Krank,1,IF($F356="J",-1,0))</f>
        <v>0</v>
      </c>
      <c r="AR356" s="126">
        <f>IF($F356=Urlaub,1,IF($F356="T",-1,0))</f>
        <v>0</v>
      </c>
      <c r="AS356" s="125">
        <f>IF(A356="","",AS355-IF(F356=Urlaub,1,0)+IF(AND(MONTH(A356)=1,DAY(A356)=1),B_UrlaubNeu,0))</f>
        <v>30</v>
      </c>
      <c r="AT356" s="125">
        <f ca="1">IF(A356="","",IF(D356=D355,AT355,OFFSET(AT356,-1,COLUMN(db_jUrlRest)-COLUMN()))+IF(AND(MONTH(A356)=1,DAY(A356)=1),B_UrlaubNeu,0))</f>
        <v>30</v>
      </c>
      <c r="AU356" s="135">
        <f>(IF(ISNUMBER(V356),V356,0)+IF(ISNUMBER(AD356),AD356,0))*24</f>
        <v>0</v>
      </c>
      <c r="AV356" s="125">
        <f>IF(ISNUMBER(AD356),K_ArbeitOverMax,IF(AND(ISNUMBER(AA356),AA356&gt;0),K_ArbeitOverTime,IF(AND(ISNUMBER(V356),V356&gt;0),K_ArbeitNormal,IF(F356=Krank,K_Krank,IF(F356=Urlaub,K_Urlaub,IF(AM356=Feiertag,K_Feiertag,IF(OR(AM356=6,AM356=7),K_Wochenende,0)))))))+IF(F356=Gleittag,K_Gleittag,0)</f>
        <v>7</v>
      </c>
      <c r="AW356" t="b">
        <f>OR((F356&gt;0),(NOT(ISBLANK(H356))),SUM(H356:H$373),SUM(G356:G$373))</f>
        <v>0</v>
      </c>
      <c r="AX356" t="b">
        <f ca="1">INDIRECT(ADDRESS(ROW(),COLUMN(xDay)))&gt;5</f>
        <v>1</v>
      </c>
      <c r="AY356" s="600">
        <f>IF(OR(R356&lt;&gt;0,F356&lt;&gt;0),AA356,IF(Z356="",0,-Z356))+(IF(AG356="+",AF356,-AF356))</f>
        <v>0</v>
      </c>
      <c r="AZ356" s="225">
        <f>SUM(AY$5:AY356)</f>
        <v>-70.291666666666558</v>
      </c>
      <c r="BA356" s="643"/>
      <c r="BB356" s="658">
        <f>IF(ISNA(MATCH(BA356,B_Arbeitsort,0)),0,MATCH(BA356,B_Arbeitsort,0))</f>
        <v>0</v>
      </c>
      <c r="BC356" s="643"/>
    </row>
    <row r="357" spans="1:55" ht="15.75">
      <c r="A357" s="305">
        <f>IF(A356="","",IF((A356+1)&gt;=DATE(YEAR(xJahr)+1,MONTH(xJahr),DAY(xJahr)),"",A356+1))</f>
        <v>43816</v>
      </c>
      <c r="B357" s="306">
        <f>IF(A357="","",A357)</f>
        <v>43816</v>
      </c>
      <c r="C357" s="307">
        <f>IF(A357="","",NumberOfWeek(A357))</f>
        <v>51</v>
      </c>
      <c r="D357" s="308">
        <f>IF(A357="","",DATE(YEAR(A357),MONTH(A357),1))</f>
        <v>43799</v>
      </c>
      <c r="E357" s="318" t="str">
        <f>IF((R357-U357)&gt;XWorkTimeMax,$Z$4,IF(AV357=Feiertag,VLOOKUP(B357,db_Feiertag,2,FALSE),""))</f>
        <v/>
      </c>
      <c r="F357" s="5"/>
      <c r="G357" s="6" t="str">
        <f>IF(ISBLANK(F357),IF(ISBLANK(H357),"",0),CODE(UPPER(F357)))</f>
        <v/>
      </c>
      <c r="H357" s="7"/>
      <c r="I357" s="7">
        <f>IF(H357&gt;0,H357+Y357+X357+AC357,0)</f>
        <v>0</v>
      </c>
      <c r="J357" s="113">
        <f>IF(K357&gt;I357,IF(I357&lt;H357,I357+1,I357)-B_WalkTime,IF(I357&lt;H357,I357+1,I357))</f>
        <v>0</v>
      </c>
      <c r="K357" s="7"/>
      <c r="L357" s="7">
        <f>IF(K357&gt;0,K357+IF((J357-H357)&lt;Y357,Y357-(J357-H357),TIME(0,10,0))+IF((K357-J357)&gt;xNoWorkTime,0,xNoWorkTime-(K357-J357)),0)</f>
        <v>0</v>
      </c>
      <c r="M357" s="113">
        <f>IF(L357&lt;K357,L357+1,L357)</f>
        <v>0</v>
      </c>
      <c r="N357" s="113"/>
      <c r="O357" s="113">
        <f>IF(N357&gt;0,N357+IF((J357-H357+M357-K357)&lt;Y357,Y357-(J357-H357+M357-K357),TIME(0,10,0))+IF((K357-J357+N357-M357)&gt;xNoWorkTime,0,xNoWorkTime-(K357-J357+N357-M357)),0)</f>
        <v>0</v>
      </c>
      <c r="P357" s="113"/>
      <c r="Q357" s="113">
        <f>IF(O357&lt;N357,O357+1,O357)</f>
        <v>0</v>
      </c>
      <c r="R357" s="113">
        <f>J357-H357+M357-K357+Q357-N357</f>
        <v>0</v>
      </c>
      <c r="S357" s="113">
        <f>IF(K357&gt;0,K357-I357,0)+IF(N357&gt;0,N357-L357)</f>
        <v>0</v>
      </c>
      <c r="T357" s="113">
        <f>IF(H357&gt;0,(IF(R357&gt;B_Pause1Nach,B_Pause1Dauer+IF(BA357="Büro",B_WalkTime,0),IF(BA357="Büro",B_WalkTime,0))+IF(R357&gt;B_Pause2Nach,B_Pause2Dauer,0)),0)</f>
        <v>0</v>
      </c>
      <c r="U357" s="113">
        <f>IF(T357&gt;S357,T357-S357,0)</f>
        <v>0</v>
      </c>
      <c r="V357" s="146">
        <f>IF(F357="S",Z357,(IF((R357-U357)&gt;XWorkTimeMax,XWorkTimeMax,IF((R357-U357)&gt;0,R357-U357,0))))</f>
        <v>0</v>
      </c>
      <c r="W357" s="66"/>
      <c r="X357" s="115">
        <f>xNoWorkTime</f>
        <v>4.027777777777778E-2</v>
      </c>
      <c r="Y357" s="110">
        <f>IF(AND((AM357&lt;Feiertag),(G357&lt;&gt;85)),IF(OR(F357="B",F357="G",F357="S",H357&gt;0),H357-H357+Z357,0),0)</f>
        <v>0</v>
      </c>
      <c r="Z357" s="111">
        <f>IF(AND(AM357&gt;0,AM357&lt;Feiertag),INDEX(Arbeitszeit,AM357),"")</f>
        <v>0.29166666666666669</v>
      </c>
      <c r="AA357" s="112">
        <f>V357-Y357</f>
        <v>0</v>
      </c>
      <c r="AB357" s="67" t="str">
        <f>IF((V357-Y357)&lt;0,"*","")</f>
        <v/>
      </c>
      <c r="AC357" s="193">
        <f>xOverTime</f>
        <v>0</v>
      </c>
      <c r="AD357" s="144" t="str">
        <f>IF((R357-U357)&gt;XWorkTimeMax,(R357-U357-XWorkTimeMax),"")</f>
        <v/>
      </c>
      <c r="AE357" s="225">
        <f>IF(AW357,(AE356+SUM(AA357)+(IF(AG357="+",AF357,-AF357))),)</f>
        <v>0</v>
      </c>
      <c r="AF357" s="110"/>
      <c r="AG357" s="627"/>
      <c r="AH357" s="110"/>
      <c r="AI357" s="110" t="str">
        <f>IF(AND(AF357&lt;&gt;"",AF357&lt;=V357),V357-AF357,"")</f>
        <v/>
      </c>
      <c r="AJ357" s="68">
        <f>IF(ISNUMBER(V357 ), IF( V357 &gt;= Y357, Y357, V357 ),"")</f>
        <v>0</v>
      </c>
      <c r="AK357" s="68">
        <f>IF( ISNUMBER( V357 ), IF( V357 &gt;= Y357, V357 - Y357, "" ), "" )</f>
        <v>0</v>
      </c>
      <c r="AL357" s="68" t="str">
        <f>IF( AND(ISNUMBER( V357 ),ISNUMBER( Y357 )), IF( V357 &gt;= Y357, "", Y357 - V357 ), "" )</f>
        <v/>
      </c>
      <c r="AM357">
        <f>IF(A357="",0,IF(ISERROR(VLOOKUP(A357,db_Feiertag,2,FALSE)),WEEKDAY(A357,2),Feiertag))</f>
        <v>1</v>
      </c>
      <c r="AN357" s="122">
        <f>SUM($AD$6:AD357)</f>
        <v>0</v>
      </c>
      <c r="AO357" s="122">
        <f ca="1">IF(D357=D356,AO356,OFFSET(AO357,-1,COLUMN(db_jSaldoGes)-COLUMN()))</f>
        <v>0</v>
      </c>
      <c r="AP357" s="126">
        <f>IF(OR($G357=-1,$G357=82),-1,IF(OR($G357=0,$G357=83),1,0))</f>
        <v>0</v>
      </c>
      <c r="AQ357" s="126">
        <f>IF($F357=Krank,1,IF($F357="J",-1,0))</f>
        <v>0</v>
      </c>
      <c r="AR357" s="126">
        <f>IF($F357=Urlaub,1,IF($F357="T",-1,0))</f>
        <v>0</v>
      </c>
      <c r="AS357" s="125">
        <f>IF(A357="","",AS356-IF(F357=Urlaub,1,0)+IF(AND(MONTH(A357)=1,DAY(A357)=1),B_UrlaubNeu,0))</f>
        <v>30</v>
      </c>
      <c r="AT357" s="125">
        <f ca="1">IF(A357="","",IF(D357=D356,AT356,OFFSET(AT357,-1,COLUMN(db_jUrlRest)-COLUMN()))+IF(AND(MONTH(A357)=1,DAY(A357)=1),B_UrlaubNeu,0))</f>
        <v>30</v>
      </c>
      <c r="AU357" s="135">
        <f>(IF(ISNUMBER(V357),V357,0)+IF(ISNUMBER(AD357),AD357,0))*24</f>
        <v>0</v>
      </c>
      <c r="AV357" s="125">
        <f>IF(ISNUMBER(AD357),K_ArbeitOverMax,IF(AND(ISNUMBER(AA357),AA357&gt;0),K_ArbeitOverTime,IF(AND(ISNUMBER(V357),V357&gt;0),K_ArbeitNormal,IF(F357=Krank,K_Krank,IF(F357=Urlaub,K_Urlaub,IF(AM357=Feiertag,K_Feiertag,IF(OR(AM357=6,AM357=7),K_Wochenende,0)))))))+IF(F357=Gleittag,K_Gleittag,0)</f>
        <v>0</v>
      </c>
      <c r="AW357" t="b">
        <f>OR((F357&gt;0),(NOT(ISBLANK(H357))),SUM(H357:H$373),SUM(G357:G$373))</f>
        <v>0</v>
      </c>
      <c r="AX357" t="b">
        <f ca="1">INDIRECT(ADDRESS(ROW(),COLUMN(xDay)))&gt;5</f>
        <v>0</v>
      </c>
      <c r="AY357" s="600">
        <f>IF(OR(R357&lt;&gt;0,F357&lt;&gt;0),AA357,IF(Z357="",0,-Z357))+(IF(AG357="+",AF357,-AF357))</f>
        <v>-0.29166666666666669</v>
      </c>
      <c r="AZ357" s="225">
        <f>SUM(AY$5:AY357)</f>
        <v>-70.583333333333229</v>
      </c>
      <c r="BA357" s="658"/>
      <c r="BB357" s="658">
        <f>IF(ISNA(MATCH(BA357,B_Arbeitsort,0)),0,MATCH(BA357,B_Arbeitsort,0))</f>
        <v>0</v>
      </c>
      <c r="BC357" s="658"/>
    </row>
    <row r="358" spans="1:55" ht="15.75">
      <c r="A358" s="305">
        <f>IF(A357="","",IF((A357+1)&gt;=DATE(YEAR(xJahr)+1,MONTH(xJahr),DAY(xJahr)),"",A357+1))</f>
        <v>43817</v>
      </c>
      <c r="B358" s="306">
        <f>IF(A358="","",A358)</f>
        <v>43817</v>
      </c>
      <c r="C358" s="307">
        <f>IF(A358="","",NumberOfWeek(A358))</f>
        <v>51</v>
      </c>
      <c r="D358" s="308">
        <f>IF(A358="","",DATE(YEAR(A358),MONTH(A358),1))</f>
        <v>43799</v>
      </c>
      <c r="E358" s="318" t="str">
        <f>IF((R358-U358)&gt;XWorkTimeMax,$Z$4,IF(AV358=Feiertag,VLOOKUP(B358,db_Feiertag,2,FALSE),""))</f>
        <v/>
      </c>
      <c r="F358" s="5"/>
      <c r="G358" s="6" t="str">
        <f>IF(ISBLANK(F358),IF(ISBLANK(H358),"",0),CODE(UPPER(F358)))</f>
        <v/>
      </c>
      <c r="H358" s="7"/>
      <c r="I358" s="7">
        <f>IF(H358&gt;0,H358+Y358+X358+AC358,0)</f>
        <v>0</v>
      </c>
      <c r="J358" s="113">
        <f>IF(K358&gt;I358,IF(I358&lt;H358,I358+1,I358)-B_WalkTime,IF(I358&lt;H358,I358+1,I358))</f>
        <v>0</v>
      </c>
      <c r="K358" s="7"/>
      <c r="L358" s="7">
        <f>IF(K358&gt;0,K358+IF((J358-H358)&lt;Y358,Y358-(J358-H358),TIME(0,10,0))+IF((K358-J358)&gt;xNoWorkTime,0,xNoWorkTime-(K358-J358)),0)</f>
        <v>0</v>
      </c>
      <c r="M358" s="113">
        <f>IF(L358&lt;K358,L358+1,L358)</f>
        <v>0</v>
      </c>
      <c r="N358" s="113"/>
      <c r="O358" s="113">
        <f>IF(N358&gt;0,N358+IF((J358-H358+M358-K358)&lt;Y358,Y358-(J358-H358+M358-K358),TIME(0,10,0))+IF((K358-J358+N358-M358)&gt;xNoWorkTime,0,xNoWorkTime-(K358-J358+N358-M358)),0)</f>
        <v>0</v>
      </c>
      <c r="P358" s="113"/>
      <c r="Q358" s="113">
        <f>IF(O358&lt;N358,O358+1,O358)</f>
        <v>0</v>
      </c>
      <c r="R358" s="113">
        <f>J358-H358+M358-K358+Q358-N358</f>
        <v>0</v>
      </c>
      <c r="S358" s="113">
        <f>IF(K358&gt;0,K358-I358,0)+IF(N358&gt;0,N358-L358)</f>
        <v>0</v>
      </c>
      <c r="T358" s="113">
        <f>IF(H358&gt;0,(IF(R358&gt;B_Pause1Nach,B_Pause1Dauer+IF(BA358="Büro",B_WalkTime,0),IF(BA358="Büro",B_WalkTime,0))+IF(R358&gt;B_Pause2Nach,B_Pause2Dauer,0)),0)</f>
        <v>0</v>
      </c>
      <c r="U358" s="113">
        <f>IF(T358&gt;S358,T358-S358,0)</f>
        <v>0</v>
      </c>
      <c r="V358" s="146">
        <f>IF(F358="S",Z358,(IF((R358-U358)&gt;XWorkTimeMax,XWorkTimeMax,IF((R358-U358)&gt;0,R358-U358,0))))</f>
        <v>0</v>
      </c>
      <c r="W358" s="66"/>
      <c r="X358" s="115">
        <f>xNoWorkTime</f>
        <v>4.027777777777778E-2</v>
      </c>
      <c r="Y358" s="110">
        <f>IF(AND((AM358&lt;Feiertag),(G358&lt;&gt;85)),IF(OR(F358="B",F358="G",F358="S",H358&gt;0),H358-H358+Z358,0),0)</f>
        <v>0</v>
      </c>
      <c r="Z358" s="111">
        <f>IF(AND(AM358&gt;0,AM358&lt;Feiertag),INDEX(Arbeitszeit,AM358),"")</f>
        <v>0.29166666666666669</v>
      </c>
      <c r="AA358" s="112">
        <f>V358-Y358</f>
        <v>0</v>
      </c>
      <c r="AB358" s="67" t="str">
        <f>IF((V358-Y358)&lt;0,"*","")</f>
        <v/>
      </c>
      <c r="AC358" s="193">
        <f>xOverTime</f>
        <v>0</v>
      </c>
      <c r="AD358" s="144" t="str">
        <f>IF((R358-U358)&gt;XWorkTimeMax,(R358-U358-XWorkTimeMax),"")</f>
        <v/>
      </c>
      <c r="AE358" s="225">
        <f>IF(AW358,(AE357+SUM(AA358)+(IF(AG358="+",AF358,-AF358))),)</f>
        <v>0</v>
      </c>
      <c r="AF358" s="110"/>
      <c r="AG358" s="627"/>
      <c r="AH358" s="110"/>
      <c r="AI358" s="110" t="str">
        <f>IF(AND(AF358&lt;&gt;"",AF358&lt;=V358),V358-AF358,"")</f>
        <v/>
      </c>
      <c r="AJ358" s="68">
        <f>IF(ISNUMBER(V358 ), IF( V358 &gt;= Y358, Y358, V358 ),"")</f>
        <v>0</v>
      </c>
      <c r="AK358" s="68">
        <f>IF( ISNUMBER( V358 ), IF( V358 &gt;= Y358, V358 - Y358, "" ), "" )</f>
        <v>0</v>
      </c>
      <c r="AL358" s="68" t="str">
        <f>IF( AND(ISNUMBER( V358 ),ISNUMBER( Y358 )), IF( V358 &gt;= Y358, "", Y358 - V358 ), "" )</f>
        <v/>
      </c>
      <c r="AM358">
        <f>IF(A358="",0,IF(ISERROR(VLOOKUP(A358,db_Feiertag,2,FALSE)),WEEKDAY(A358,2),Feiertag))</f>
        <v>2</v>
      </c>
      <c r="AN358" s="122">
        <f>SUM($AD$6:AD358)</f>
        <v>0</v>
      </c>
      <c r="AO358" s="122">
        <f ca="1">IF(D358=D357,AO357,OFFSET(AO358,-1,COLUMN(db_jSaldoGes)-COLUMN()))</f>
        <v>0</v>
      </c>
      <c r="AP358" s="126">
        <f>IF(OR($G358=-1,$G358=82),-1,IF(OR($G358=0,$G358=83),1,0))</f>
        <v>0</v>
      </c>
      <c r="AQ358" s="126">
        <f>IF($F358=Krank,1,IF($F358="J",-1,0))</f>
        <v>0</v>
      </c>
      <c r="AR358" s="126">
        <f>IF($F358=Urlaub,1,IF($F358="T",-1,0))</f>
        <v>0</v>
      </c>
      <c r="AS358" s="125">
        <f>IF(A358="","",AS357-IF(F358=Urlaub,1,0)+IF(AND(MONTH(A358)=1,DAY(A358)=1),B_UrlaubNeu,0))</f>
        <v>30</v>
      </c>
      <c r="AT358" s="125">
        <f ca="1">IF(A358="","",IF(D358=D357,AT357,OFFSET(AT358,-1,COLUMN(db_jUrlRest)-COLUMN()))+IF(AND(MONTH(A358)=1,DAY(A358)=1),B_UrlaubNeu,0))</f>
        <v>30</v>
      </c>
      <c r="AU358" s="135">
        <f>(IF(ISNUMBER(V358),V358,0)+IF(ISNUMBER(AD358),AD358,0))*24</f>
        <v>0</v>
      </c>
      <c r="AV358" s="125">
        <f>IF(ISNUMBER(AD358),K_ArbeitOverMax,IF(AND(ISNUMBER(AA358),AA358&gt;0),K_ArbeitOverTime,IF(AND(ISNUMBER(V358),V358&gt;0),K_ArbeitNormal,IF(F358=Krank,K_Krank,IF(F358=Urlaub,K_Urlaub,IF(AM358=Feiertag,K_Feiertag,IF(OR(AM358=6,AM358=7),K_Wochenende,0)))))))+IF(F358=Gleittag,K_Gleittag,0)</f>
        <v>0</v>
      </c>
      <c r="AW358" t="b">
        <f>OR((F358&gt;0),(NOT(ISBLANK(H358))),SUM(H358:H$373),SUM(G358:G$373))</f>
        <v>0</v>
      </c>
      <c r="AX358" t="b">
        <f ca="1">INDIRECT(ADDRESS(ROW(),COLUMN(xDay)))&gt;5</f>
        <v>0</v>
      </c>
      <c r="AY358" s="600">
        <f>IF(OR(R358&lt;&gt;0,F358&lt;&gt;0),AA358,IF(Z358="",0,-Z358))+(IF(AG358="+",AF358,-AF358))</f>
        <v>-0.29166666666666669</v>
      </c>
      <c r="AZ358" s="225">
        <f>SUM(AY$5:AY358)</f>
        <v>-70.874999999999901</v>
      </c>
      <c r="BA358" s="658"/>
      <c r="BB358" s="658">
        <f>IF(ISNA(MATCH(BA358,B_Arbeitsort,0)),0,MATCH(BA358,B_Arbeitsort,0))</f>
        <v>0</v>
      </c>
      <c r="BC358" s="658"/>
    </row>
    <row r="359" spans="1:55" ht="15.75">
      <c r="A359" s="305">
        <f>IF(A358="","",IF((A358+1)&gt;=DATE(YEAR(xJahr)+1,MONTH(xJahr),DAY(xJahr)),"",A358+1))</f>
        <v>43818</v>
      </c>
      <c r="B359" s="306">
        <f>IF(A359="","",A359)</f>
        <v>43818</v>
      </c>
      <c r="C359" s="307">
        <f>IF(A359="","",NumberOfWeek(A359))</f>
        <v>51</v>
      </c>
      <c r="D359" s="308">
        <f>IF(A359="","",DATE(YEAR(A359),MONTH(A359),1))</f>
        <v>43799</v>
      </c>
      <c r="E359" s="318" t="str">
        <f>IF((R359-U359)&gt;XWorkTimeMax,$Z$4,IF(AV359=Feiertag,VLOOKUP(B359,db_Feiertag,2,FALSE),""))</f>
        <v/>
      </c>
      <c r="F359" s="5"/>
      <c r="G359" s="6" t="str">
        <f>IF(ISBLANK(F359),IF(ISBLANK(H359),"",0),CODE(UPPER(F359)))</f>
        <v/>
      </c>
      <c r="H359" s="7"/>
      <c r="I359" s="7">
        <f>IF(H359&gt;0,H359+Y359+X359+AC359,0)</f>
        <v>0</v>
      </c>
      <c r="J359" s="113">
        <f>IF(K359&gt;I359,IF(I359&lt;H359,I359+1,I359)-B_WalkTime,IF(I359&lt;H359,I359+1,I359))</f>
        <v>0</v>
      </c>
      <c r="K359" s="7"/>
      <c r="L359" s="7">
        <f>IF(K359&gt;0,K359+IF((J359-H359)&lt;Y359,Y359-(J359-H359),TIME(0,10,0))+IF((K359-J359)&gt;xNoWorkTime,0,xNoWorkTime-(K359-J359)),0)</f>
        <v>0</v>
      </c>
      <c r="M359" s="113">
        <f>IF(L359&lt;K359,L359+1,L359)</f>
        <v>0</v>
      </c>
      <c r="N359" s="113"/>
      <c r="O359" s="113">
        <f>IF(N359&gt;0,N359+IF((J359-H359+M359-K359)&lt;Y359,Y359-(J359-H359+M359-K359),TIME(0,10,0))+IF((K359-J359+N359-M359)&gt;xNoWorkTime,0,xNoWorkTime-(K359-J359+N359-M359)),0)</f>
        <v>0</v>
      </c>
      <c r="P359" s="113"/>
      <c r="Q359" s="113">
        <f>IF(O359&lt;N359,O359+1,O359)</f>
        <v>0</v>
      </c>
      <c r="R359" s="113">
        <f>J359-H359+M359-K359+Q359-N359</f>
        <v>0</v>
      </c>
      <c r="S359" s="113">
        <f>IF(K359&gt;0,K359-I359,0)+IF(N359&gt;0,N359-L359)</f>
        <v>0</v>
      </c>
      <c r="T359" s="113">
        <f>IF(H359&gt;0,(IF(R359&gt;B_Pause1Nach,B_Pause1Dauer+IF(BA359="Büro",B_WalkTime,0),IF(BA359="Büro",B_WalkTime,0))+IF(R359&gt;B_Pause2Nach,B_Pause2Dauer,0)),0)</f>
        <v>0</v>
      </c>
      <c r="U359" s="113">
        <f>IF(T359&gt;S359,T359-S359,0)</f>
        <v>0</v>
      </c>
      <c r="V359" s="146">
        <f>IF(F359="S",Z359,(IF((R359-U359)&gt;XWorkTimeMax,XWorkTimeMax,IF((R359-U359)&gt;0,R359-U359,0))))</f>
        <v>0</v>
      </c>
      <c r="W359" s="66"/>
      <c r="X359" s="115">
        <f>xNoWorkTime</f>
        <v>4.027777777777778E-2</v>
      </c>
      <c r="Y359" s="110">
        <f>IF(AND((AM359&lt;Feiertag),(G359&lt;&gt;85)),IF(OR(F359="B",F359="G",F359="S",H359&gt;0),H359-H359+Z359,0),0)</f>
        <v>0</v>
      </c>
      <c r="Z359" s="111">
        <f>IF(AND(AM359&gt;0,AM359&lt;Feiertag),INDEX(Arbeitszeit,AM359),"")</f>
        <v>0.29166666666666669</v>
      </c>
      <c r="AA359" s="112">
        <f>V359-Y359</f>
        <v>0</v>
      </c>
      <c r="AB359" s="67" t="str">
        <f>IF((V359-Y359)&lt;0,"*","")</f>
        <v/>
      </c>
      <c r="AC359" s="193">
        <f>xOverTime</f>
        <v>0</v>
      </c>
      <c r="AD359" s="144" t="str">
        <f>IF((R359-U359)&gt;XWorkTimeMax,(R359-U359-XWorkTimeMax),"")</f>
        <v/>
      </c>
      <c r="AE359" s="225">
        <f>IF(AW359,(AE358+SUM(AA359)+(IF(AG359="+",AF359,-AF359))),)</f>
        <v>0</v>
      </c>
      <c r="AF359" s="110"/>
      <c r="AG359" s="627"/>
      <c r="AH359" s="110"/>
      <c r="AI359" s="110" t="str">
        <f>IF(AND(AF359&lt;&gt;"",AF359&lt;=V359),V359-AF359,"")</f>
        <v/>
      </c>
      <c r="AJ359" s="68">
        <f>IF(ISNUMBER(V359 ), IF( V359 &gt;= Y359, Y359, V359 ),"")</f>
        <v>0</v>
      </c>
      <c r="AK359" s="68">
        <f>IF( ISNUMBER( V359 ), IF( V359 &gt;= Y359, V359 - Y359, "" ), "" )</f>
        <v>0</v>
      </c>
      <c r="AL359" s="68" t="str">
        <f>IF( AND(ISNUMBER( V359 ),ISNUMBER( Y359 )), IF( V359 &gt;= Y359, "", Y359 - V359 ), "" )</f>
        <v/>
      </c>
      <c r="AM359">
        <f>IF(A359="",0,IF(ISERROR(VLOOKUP(A359,db_Feiertag,2,FALSE)),WEEKDAY(A359,2),Feiertag))</f>
        <v>3</v>
      </c>
      <c r="AN359" s="122">
        <f>SUM($AD$6:AD359)</f>
        <v>0</v>
      </c>
      <c r="AO359" s="122">
        <f ca="1">IF(D359=D358,AO358,OFFSET(AO359,-1,COLUMN(db_jSaldoGes)-COLUMN()))</f>
        <v>0</v>
      </c>
      <c r="AP359" s="126">
        <f>IF(OR($G359=-1,$G359=82),-1,IF(OR($G359=0,$G359=83),1,0))</f>
        <v>0</v>
      </c>
      <c r="AQ359" s="126">
        <f>IF($F359=Krank,1,IF($F359="J",-1,0))</f>
        <v>0</v>
      </c>
      <c r="AR359" s="126">
        <f>IF($F359=Urlaub,1,IF($F359="T",-1,0))</f>
        <v>0</v>
      </c>
      <c r="AS359" s="125">
        <f>IF(A359="","",AS358-IF(F359=Urlaub,1,0)+IF(AND(MONTH(A359)=1,DAY(A359)=1),B_UrlaubNeu,0))</f>
        <v>30</v>
      </c>
      <c r="AT359" s="125">
        <f ca="1">IF(A359="","",IF(D359=D358,AT358,OFFSET(AT359,-1,COLUMN(db_jUrlRest)-COLUMN()))+IF(AND(MONTH(A359)=1,DAY(A359)=1),B_UrlaubNeu,0))</f>
        <v>30</v>
      </c>
      <c r="AU359" s="135">
        <f>(IF(ISNUMBER(V359),V359,0)+IF(ISNUMBER(AD359),AD359,0))*24</f>
        <v>0</v>
      </c>
      <c r="AV359" s="125">
        <f>IF(ISNUMBER(AD359),K_ArbeitOverMax,IF(AND(ISNUMBER(AA359),AA359&gt;0),K_ArbeitOverTime,IF(AND(ISNUMBER(V359),V359&gt;0),K_ArbeitNormal,IF(F359=Krank,K_Krank,IF(F359=Urlaub,K_Urlaub,IF(AM359=Feiertag,K_Feiertag,IF(OR(AM359=6,AM359=7),K_Wochenende,0)))))))+IF(F359=Gleittag,K_Gleittag,0)</f>
        <v>0</v>
      </c>
      <c r="AW359" t="b">
        <f>OR((F359&gt;0),(NOT(ISBLANK(H359))),SUM(H359:H$373),SUM(G359:G$373))</f>
        <v>0</v>
      </c>
      <c r="AX359" t="b">
        <f ca="1">INDIRECT(ADDRESS(ROW(),COLUMN(xDay)))&gt;5</f>
        <v>0</v>
      </c>
      <c r="AY359" s="600">
        <f>IF(OR(R359&lt;&gt;0,F359&lt;&gt;0),AA359,IF(Z359="",0,-Z359))+(IF(AG359="+",AF359,-AF359))</f>
        <v>-0.29166666666666669</v>
      </c>
      <c r="AZ359" s="225">
        <f>SUM(AY$5:AY359)</f>
        <v>-71.166666666666572</v>
      </c>
      <c r="BA359" s="658"/>
      <c r="BB359" s="658">
        <f>IF(ISNA(MATCH(BA359,B_Arbeitsort,0)),0,MATCH(BA359,B_Arbeitsort,0))</f>
        <v>0</v>
      </c>
      <c r="BC359" s="658"/>
    </row>
    <row r="360" spans="1:55" ht="15.75">
      <c r="A360" s="305">
        <f>IF(A359="","",IF((A359+1)&gt;=DATE(YEAR(xJahr)+1,MONTH(xJahr),DAY(xJahr)),"",A359+1))</f>
        <v>43819</v>
      </c>
      <c r="B360" s="306">
        <f>IF(A360="","",A360)</f>
        <v>43819</v>
      </c>
      <c r="C360" s="307">
        <f>IF(A360="","",NumberOfWeek(A360))</f>
        <v>51</v>
      </c>
      <c r="D360" s="308">
        <f>IF(A360="","",DATE(YEAR(A360),MONTH(A360),1))</f>
        <v>43799</v>
      </c>
      <c r="E360" s="318" t="str">
        <f>IF((R360-U360)&gt;XWorkTimeMax,$Z$4,IF(AV360=Feiertag,VLOOKUP(B360,db_Feiertag,2,FALSE),""))</f>
        <v/>
      </c>
      <c r="F360" s="5"/>
      <c r="G360" s="6" t="str">
        <f>IF(ISBLANK(F360),IF(ISBLANK(H360),"",0),CODE(UPPER(F360)))</f>
        <v/>
      </c>
      <c r="H360" s="7"/>
      <c r="I360" s="7">
        <f>IF(H360&gt;0,H360+Y360+X360+AC360,0)</f>
        <v>0</v>
      </c>
      <c r="J360" s="113">
        <f>IF(K360&gt;I360,IF(I360&lt;H360,I360+1,I360)-B_WalkTime,IF(I360&lt;H360,I360+1,I360))</f>
        <v>0</v>
      </c>
      <c r="K360" s="7"/>
      <c r="L360" s="7">
        <f>IF(K360&gt;0,K360+IF((J360-H360)&lt;Y360,Y360-(J360-H360),TIME(0,10,0))+IF((K360-J360)&gt;xNoWorkTime,0,xNoWorkTime-(K360-J360)),0)</f>
        <v>0</v>
      </c>
      <c r="M360" s="113">
        <f>IF(L360&lt;K360,L360+1,L360)</f>
        <v>0</v>
      </c>
      <c r="N360" s="113"/>
      <c r="O360" s="113">
        <f>IF(N360&gt;0,N360+IF((J360-H360+M360-K360)&lt;Y360,Y360-(J360-H360+M360-K360),TIME(0,10,0))+IF((K360-J360+N360-M360)&gt;xNoWorkTime,0,xNoWorkTime-(K360-J360+N360-M360)),0)</f>
        <v>0</v>
      </c>
      <c r="P360" s="113"/>
      <c r="Q360" s="113">
        <f>IF(O360&lt;N360,O360+1,O360)</f>
        <v>0</v>
      </c>
      <c r="R360" s="113">
        <f>J360-H360+M360-K360+Q360-N360</f>
        <v>0</v>
      </c>
      <c r="S360" s="113">
        <f>IF(K360&gt;0,K360-I360,0)+IF(N360&gt;0,N360-L360)</f>
        <v>0</v>
      </c>
      <c r="T360" s="113">
        <f>IF(H360&gt;0,(IF(R360&gt;B_Pause1Nach,B_Pause1Dauer+IF(BA360="Büro",B_WalkTime,0),IF(BA360="Büro",B_WalkTime,0))+IF(R360&gt;B_Pause2Nach,B_Pause2Dauer,0)),0)</f>
        <v>0</v>
      </c>
      <c r="U360" s="113">
        <f>IF(T360&gt;S360,T360-S360,0)</f>
        <v>0</v>
      </c>
      <c r="V360" s="146">
        <f>IF(F360="S",Z360,(IF((R360-U360)&gt;XWorkTimeMax,XWorkTimeMax,IF((R360-U360)&gt;0,R360-U360,0))))</f>
        <v>0</v>
      </c>
      <c r="W360" s="66"/>
      <c r="X360" s="115">
        <f>xNoWorkTime</f>
        <v>4.027777777777778E-2</v>
      </c>
      <c r="Y360" s="110">
        <f>IF(AND((AM360&lt;Feiertag),(G360&lt;&gt;85)),IF(OR(F360="B",F360="G",F360="S",H360&gt;0),H360-H360+Z360,0),0)</f>
        <v>0</v>
      </c>
      <c r="Z360" s="111">
        <f>IF(AND(AM360&gt;0,AM360&lt;Feiertag),INDEX(Arbeitszeit,AM360),"")</f>
        <v>0.29166666666666669</v>
      </c>
      <c r="AA360" s="112">
        <f>V360-Y360</f>
        <v>0</v>
      </c>
      <c r="AB360" s="67" t="str">
        <f>IF((V360-Y360)&lt;0,"*","")</f>
        <v/>
      </c>
      <c r="AC360" s="193">
        <f>xOverTime</f>
        <v>0</v>
      </c>
      <c r="AD360" s="144" t="str">
        <f>IF((R360-U360)&gt;XWorkTimeMax,(R360-U360-XWorkTimeMax),"")</f>
        <v/>
      </c>
      <c r="AE360" s="225">
        <f>IF(AW360,(AE359+SUM(AA360)+(IF(AG360="+",AF360,-AF360))),)</f>
        <v>0</v>
      </c>
      <c r="AF360" s="110"/>
      <c r="AG360" s="627"/>
      <c r="AH360" s="110"/>
      <c r="AI360" s="110" t="str">
        <f>IF(AND(AF360&lt;&gt;"",AF360&lt;=V360),V360-AF360,"")</f>
        <v/>
      </c>
      <c r="AJ360" s="68">
        <f>IF(ISNUMBER(V360 ), IF( V360 &gt;= Y360, Y360, V360 ),"")</f>
        <v>0</v>
      </c>
      <c r="AK360" s="68">
        <f>IF( ISNUMBER( V360 ), IF( V360 &gt;= Y360, V360 - Y360, "" ), "" )</f>
        <v>0</v>
      </c>
      <c r="AL360" s="68" t="str">
        <f>IF( AND(ISNUMBER( V360 ),ISNUMBER( Y360 )), IF( V360 &gt;= Y360, "", Y360 - V360 ), "" )</f>
        <v/>
      </c>
      <c r="AM360">
        <f>IF(A360="",0,IF(ISERROR(VLOOKUP(A360,db_Feiertag,2,FALSE)),WEEKDAY(A360,2),Feiertag))</f>
        <v>4</v>
      </c>
      <c r="AN360" s="122">
        <f>SUM($AD$6:AD360)</f>
        <v>0</v>
      </c>
      <c r="AO360" s="122">
        <f ca="1">IF(D360=D359,AO359,OFFSET(AO360,-1,COLUMN(db_jSaldoGes)-COLUMN()))</f>
        <v>0</v>
      </c>
      <c r="AP360" s="126">
        <f>IF(OR($G360=-1,$G360=82),-1,IF(OR($G360=0,$G360=83),1,0))</f>
        <v>0</v>
      </c>
      <c r="AQ360" s="126">
        <f>IF($F360=Krank,1,IF($F360="J",-1,0))</f>
        <v>0</v>
      </c>
      <c r="AR360" s="126">
        <f>IF($F360=Urlaub,1,IF($F360="T",-1,0))</f>
        <v>0</v>
      </c>
      <c r="AS360" s="125">
        <f>IF(A360="","",AS359-IF(F360=Urlaub,1,0)+IF(AND(MONTH(A360)=1,DAY(A360)=1),B_UrlaubNeu,0))</f>
        <v>30</v>
      </c>
      <c r="AT360" s="125">
        <f ca="1">IF(A360="","",IF(D360=D359,AT359,OFFSET(AT360,-1,COLUMN(db_jUrlRest)-COLUMN()))+IF(AND(MONTH(A360)=1,DAY(A360)=1),B_UrlaubNeu,0))</f>
        <v>30</v>
      </c>
      <c r="AU360" s="135">
        <f>(IF(ISNUMBER(V360),V360,0)+IF(ISNUMBER(AD360),AD360,0))*24</f>
        <v>0</v>
      </c>
      <c r="AV360" s="125">
        <f>IF(ISNUMBER(AD360),K_ArbeitOverMax,IF(AND(ISNUMBER(AA360),AA360&gt;0),K_ArbeitOverTime,IF(AND(ISNUMBER(V360),V360&gt;0),K_ArbeitNormal,IF(F360=Krank,K_Krank,IF(F360=Urlaub,K_Urlaub,IF(AM360=Feiertag,K_Feiertag,IF(OR(AM360=6,AM360=7),K_Wochenende,0)))))))+IF(F360=Gleittag,K_Gleittag,0)</f>
        <v>0</v>
      </c>
      <c r="AW360" t="b">
        <f>OR((F360&gt;0),(NOT(ISBLANK(H360))),SUM(H360:H$373),SUM(G360:G$373))</f>
        <v>0</v>
      </c>
      <c r="AX360" t="b">
        <f ca="1">INDIRECT(ADDRESS(ROW(),COLUMN(xDay)))&gt;5</f>
        <v>0</v>
      </c>
      <c r="AY360" s="600">
        <f>IF(OR(R360&lt;&gt;0,F360&lt;&gt;0),AA360,IF(Z360="",0,-Z360))+(IF(AG360="+",AF360,-AF360))</f>
        <v>-0.29166666666666669</v>
      </c>
      <c r="AZ360" s="225">
        <f>SUM(AY$5:AY360)</f>
        <v>-71.458333333333243</v>
      </c>
      <c r="BA360" s="658"/>
      <c r="BB360" s="658">
        <f>IF(ISNA(MATCH(BA360,B_Arbeitsort,0)),0,MATCH(BA360,B_Arbeitsort,0))</f>
        <v>0</v>
      </c>
      <c r="BC360" s="658"/>
    </row>
    <row r="361" spans="1:55" ht="15.75">
      <c r="A361" s="305">
        <f>IF(A360="","",IF((A360+1)&gt;=DATE(YEAR(xJahr)+1,MONTH(xJahr),DAY(xJahr)),"",A360+1))</f>
        <v>43820</v>
      </c>
      <c r="B361" s="306">
        <f>IF(A361="","",A361)</f>
        <v>43820</v>
      </c>
      <c r="C361" s="307">
        <f>IF(A361="","",NumberOfWeek(A361))</f>
        <v>51</v>
      </c>
      <c r="D361" s="308">
        <f>IF(A361="","",DATE(YEAR(A361),MONTH(A361),1))</f>
        <v>43799</v>
      </c>
      <c r="E361" s="318" t="str">
        <f>IF((R361-U361)&gt;XWorkTimeMax,$Z$4,IF(AV361=Feiertag,VLOOKUP(B361,db_Feiertag,2,FALSE),""))</f>
        <v/>
      </c>
      <c r="F361" s="5"/>
      <c r="G361" s="6" t="str">
        <f>IF(ISBLANK(F361),IF(ISBLANK(H361),"",0),CODE(UPPER(F361)))</f>
        <v/>
      </c>
      <c r="H361" s="7"/>
      <c r="I361" s="7">
        <f>IF(H361&gt;0,H361+Y361+X361+AC361,0)</f>
        <v>0</v>
      </c>
      <c r="J361" s="113">
        <f>IF(K361&gt;I361,IF(I361&lt;H361,I361+1,I361)-B_WalkTime,IF(I361&lt;H361,I361+1,I361))</f>
        <v>0</v>
      </c>
      <c r="K361" s="7"/>
      <c r="L361" s="7">
        <f>IF(K361&gt;0,K361+IF((J361-H361)&lt;Y361,Y361-(J361-H361),TIME(0,10,0))+IF((K361-J361)&gt;xNoWorkTime,0,xNoWorkTime-(K361-J361)),0)</f>
        <v>0</v>
      </c>
      <c r="M361" s="113">
        <f>IF(L361&lt;K361,L361+1,L361)</f>
        <v>0</v>
      </c>
      <c r="N361" s="113"/>
      <c r="O361" s="113">
        <f>IF(N361&gt;0,N361+IF((J361-H361+M361-K361)&lt;Y361,Y361-(J361-H361+M361-K361),TIME(0,10,0))+IF((K361-J361+N361-M361)&gt;xNoWorkTime,0,xNoWorkTime-(K361-J361+N361-M361)),0)</f>
        <v>0</v>
      </c>
      <c r="P361" s="113"/>
      <c r="Q361" s="113">
        <f>IF(O361&lt;N361,O361+1,O361)</f>
        <v>0</v>
      </c>
      <c r="R361" s="113">
        <f>J361-H361+M361-K361+Q361-N361</f>
        <v>0</v>
      </c>
      <c r="S361" s="113">
        <f>IF(K361&gt;0,K361-I361,0)+IF(N361&gt;0,N361-L361)</f>
        <v>0</v>
      </c>
      <c r="T361" s="113">
        <f>IF(H361&gt;0,(IF(R361&gt;B_Pause1Nach,B_Pause1Dauer+IF(BA361="Büro",B_WalkTime,0),IF(BA361="Büro",B_WalkTime,0))+IF(R361&gt;B_Pause2Nach,B_Pause2Dauer,0)),0)</f>
        <v>0</v>
      </c>
      <c r="U361" s="113">
        <f>IF(T361&gt;S361,T361-S361,0)</f>
        <v>0</v>
      </c>
      <c r="V361" s="146">
        <f>IF(F361="S",Z361,(IF((R361-U361)&gt;XWorkTimeMax,XWorkTimeMax,IF((R361-U361)&gt;0,R361-U361,0))))</f>
        <v>0</v>
      </c>
      <c r="W361" s="66"/>
      <c r="X361" s="115">
        <f>xNoWorkTime</f>
        <v>4.027777777777778E-2</v>
      </c>
      <c r="Y361" s="110">
        <f>IF(AND((AM361&lt;Feiertag),(G361&lt;&gt;85)),IF(OR(F361="B",F361="G",F361="S",H361&gt;0),H361-H361+Z361,0),0)</f>
        <v>0</v>
      </c>
      <c r="Z361" s="111">
        <f>IF(AND(AM361&gt;0,AM361&lt;Feiertag),INDEX(Arbeitszeit,AM361),"")</f>
        <v>0.29166666666666669</v>
      </c>
      <c r="AA361" s="112">
        <f>V361-Y361</f>
        <v>0</v>
      </c>
      <c r="AB361" s="67" t="str">
        <f>IF((V361-Y361)&lt;0,"*","")</f>
        <v/>
      </c>
      <c r="AC361" s="193">
        <f>xOverTime</f>
        <v>0</v>
      </c>
      <c r="AD361" s="144" t="str">
        <f>IF((R361-U361)&gt;XWorkTimeMax,(R361-U361-XWorkTimeMax),"")</f>
        <v/>
      </c>
      <c r="AE361" s="225">
        <f>IF(AW361,(AE360+SUM(AA361)+(IF(AG361="+",AF361,-AF361))),)</f>
        <v>0</v>
      </c>
      <c r="AF361" s="110"/>
      <c r="AG361" s="627"/>
      <c r="AH361" s="110"/>
      <c r="AI361" s="110" t="str">
        <f>IF(AND(AF361&lt;&gt;"",AF361&lt;=V361),V361-AF361,"")</f>
        <v/>
      </c>
      <c r="AJ361" s="68">
        <f>IF(ISNUMBER(V361 ), IF( V361 &gt;= Y361, Y361, V361 ),"")</f>
        <v>0</v>
      </c>
      <c r="AK361" s="68">
        <f>IF( ISNUMBER( V361 ), IF( V361 &gt;= Y361, V361 - Y361, "" ), "" )</f>
        <v>0</v>
      </c>
      <c r="AL361" s="68" t="str">
        <f>IF( AND(ISNUMBER( V361 ),ISNUMBER( Y361 )), IF( V361 &gt;= Y361, "", Y361 - V361 ), "" )</f>
        <v/>
      </c>
      <c r="AM361">
        <f>IF(A361="",0,IF(ISERROR(VLOOKUP(A361,db_Feiertag,2,FALSE)),WEEKDAY(A361,2),Feiertag))</f>
        <v>5</v>
      </c>
      <c r="AN361" s="122">
        <f>SUM($AD$6:AD361)</f>
        <v>0</v>
      </c>
      <c r="AO361" s="122">
        <f ca="1">IF(D361=D360,AO360,OFFSET(AO361,-1,COLUMN(db_jSaldoGes)-COLUMN()))</f>
        <v>0</v>
      </c>
      <c r="AP361" s="126">
        <f>IF(OR($G361=-1,$G361=82),-1,IF(OR($G361=0,$G361=83),1,0))</f>
        <v>0</v>
      </c>
      <c r="AQ361" s="126">
        <f>IF($F361=Krank,1,IF($F361="J",-1,0))</f>
        <v>0</v>
      </c>
      <c r="AR361" s="126">
        <f>IF($F361=Urlaub,1,IF($F361="T",-1,0))</f>
        <v>0</v>
      </c>
      <c r="AS361" s="125">
        <f>IF(A361="","",AS360-IF(F361=Urlaub,1,0)+IF(AND(MONTH(A361)=1,DAY(A361)=1),B_UrlaubNeu,0))</f>
        <v>30</v>
      </c>
      <c r="AT361" s="125">
        <f ca="1">IF(A361="","",IF(D361=D360,AT360,OFFSET(AT361,-1,COLUMN(db_jUrlRest)-COLUMN()))+IF(AND(MONTH(A361)=1,DAY(A361)=1),B_UrlaubNeu,0))</f>
        <v>30</v>
      </c>
      <c r="AU361" s="135">
        <f>(IF(ISNUMBER(V361),V361,0)+IF(ISNUMBER(AD361),AD361,0))*24</f>
        <v>0</v>
      </c>
      <c r="AV361" s="125">
        <f>IF(ISNUMBER(AD361),K_ArbeitOverMax,IF(AND(ISNUMBER(AA361),AA361&gt;0),K_ArbeitOverTime,IF(AND(ISNUMBER(V361),V361&gt;0),K_ArbeitNormal,IF(F361=Krank,K_Krank,IF(F361=Urlaub,K_Urlaub,IF(AM361=Feiertag,K_Feiertag,IF(OR(AM361=6,AM361=7),K_Wochenende,0)))))))+IF(F361=Gleittag,K_Gleittag,0)</f>
        <v>0</v>
      </c>
      <c r="AW361" t="b">
        <f>OR((F361&gt;0),(NOT(ISBLANK(H361))),SUM(H361:H$373),SUM(G361:G$373))</f>
        <v>0</v>
      </c>
      <c r="AX361" t="b">
        <f ca="1">INDIRECT(ADDRESS(ROW(),COLUMN(xDay)))&gt;5</f>
        <v>0</v>
      </c>
      <c r="AY361" s="600">
        <f>IF(OR(R361&lt;&gt;0,F361&lt;&gt;0),AA361,IF(Z361="",0,-Z361))+(IF(AG361="+",AF361,-AF361))</f>
        <v>-0.29166666666666669</v>
      </c>
      <c r="AZ361" s="225">
        <f>SUM(AY$5:AY361)</f>
        <v>-71.749999999999915</v>
      </c>
      <c r="BA361" s="658"/>
      <c r="BB361" s="658">
        <f>IF(ISNA(MATCH(BA361,B_Arbeitsort,0)),0,MATCH(BA361,B_Arbeitsort,0))</f>
        <v>0</v>
      </c>
      <c r="BC361" s="658"/>
    </row>
    <row r="362" spans="1:55" ht="15.75">
      <c r="A362" s="305">
        <f>IF(A361="","",IF((A361+1)&gt;=DATE(YEAR(xJahr)+1,MONTH(xJahr),DAY(xJahr)),"",A361+1))</f>
        <v>43821</v>
      </c>
      <c r="B362" s="306">
        <f>IF(A362="","",A362)</f>
        <v>43821</v>
      </c>
      <c r="C362" s="307">
        <f>IF(A362="","",NumberOfWeek(A362))</f>
        <v>51</v>
      </c>
      <c r="D362" s="308">
        <f>IF(A362="","",DATE(YEAR(A362),MONTH(A362),1))</f>
        <v>43799</v>
      </c>
      <c r="E362" s="318" t="str">
        <f>IF((R362-U362)&gt;XWorkTimeMax,$Z$4,IF(AV362=Feiertag,VLOOKUP(B362,db_Feiertag,2,FALSE),""))</f>
        <v/>
      </c>
      <c r="F362" s="5"/>
      <c r="G362" s="6" t="str">
        <f>IF(ISBLANK(F362),IF(ISBLANK(H362),"",0),CODE(UPPER(F362)))</f>
        <v/>
      </c>
      <c r="H362" s="7"/>
      <c r="I362" s="7">
        <f>IF(H362&gt;0,H362+Y362+X362+AC362,0)</f>
        <v>0</v>
      </c>
      <c r="J362" s="113">
        <f>IF(K362&gt;I362,IF(I362&lt;H362,I362+1,I362)-B_WalkTime,IF(I362&lt;H362,I362+1,I362))</f>
        <v>0</v>
      </c>
      <c r="K362" s="7"/>
      <c r="L362" s="7">
        <f>IF(K362&gt;0,K362+IF((J362-H362)&lt;Y362,Y362-(J362-H362),TIME(0,10,0))+IF((K362-J362)&gt;xNoWorkTime,0,xNoWorkTime-(K362-J362)),0)</f>
        <v>0</v>
      </c>
      <c r="M362" s="113">
        <f>IF(L362&lt;K362,L362+1,L362)</f>
        <v>0</v>
      </c>
      <c r="N362" s="113"/>
      <c r="O362" s="113">
        <f>IF(N362&gt;0,N362+IF((J362-H362+M362-K362)&lt;Y362,Y362-(J362-H362+M362-K362),TIME(0,10,0))+IF((K362-J362+N362-M362)&gt;xNoWorkTime,0,xNoWorkTime-(K362-J362+N362-M362)),0)</f>
        <v>0</v>
      </c>
      <c r="P362" s="113"/>
      <c r="Q362" s="113">
        <f>IF(O362&lt;N362,O362+1,O362)</f>
        <v>0</v>
      </c>
      <c r="R362" s="113">
        <f>J362-H362+M362-K362+Q362-N362</f>
        <v>0</v>
      </c>
      <c r="S362" s="113">
        <f>IF(K362&gt;0,K362-I362,0)+IF(N362&gt;0,N362-L362)</f>
        <v>0</v>
      </c>
      <c r="T362" s="113">
        <f>IF(H362&gt;0,(IF(R362&gt;B_Pause1Nach,B_Pause1Dauer+IF(BA362="Büro",B_WalkTime,0),IF(BA362="Büro",B_WalkTime,0))+IF(R362&gt;B_Pause2Nach,B_Pause2Dauer,0)),0)</f>
        <v>0</v>
      </c>
      <c r="U362" s="113">
        <f>IF(T362&gt;S362,T362-S362,0)</f>
        <v>0</v>
      </c>
      <c r="V362" s="146">
        <f>IF(F362="S",Z362,(IF((R362-U362)&gt;XWorkTimeMax,XWorkTimeMax,IF((R362-U362)&gt;0,R362-U362,0))))</f>
        <v>0</v>
      </c>
      <c r="W362" s="66"/>
      <c r="X362" s="115">
        <f>xNoWorkTime</f>
        <v>4.027777777777778E-2</v>
      </c>
      <c r="Y362" s="110">
        <f>IF(AND((AM362&lt;Feiertag),(G362&lt;&gt;85)),IF(OR(F362="B",F362="G",F362="S",H362&gt;0),H362-H362+Z362,0),0)</f>
        <v>0</v>
      </c>
      <c r="Z362" s="111">
        <f>IF(AND(AM362&gt;0,AM362&lt;Feiertag),INDEX(Arbeitszeit,AM362),"")</f>
        <v>0</v>
      </c>
      <c r="AA362" s="112">
        <f>V362-Y362</f>
        <v>0</v>
      </c>
      <c r="AB362" s="67" t="str">
        <f>IF((V362-Y362)&lt;0,"*","")</f>
        <v/>
      </c>
      <c r="AC362" s="193">
        <f>xOverTime</f>
        <v>0</v>
      </c>
      <c r="AD362" s="144" t="str">
        <f>IF((R362-U362)&gt;XWorkTimeMax,(R362-U362-XWorkTimeMax),"")</f>
        <v/>
      </c>
      <c r="AE362" s="225">
        <f>IF(AW362,(AE361+SUM(AA362)+(IF(AG362="+",AF362,-AF362))),)</f>
        <v>0</v>
      </c>
      <c r="AF362" s="110"/>
      <c r="AG362" s="627"/>
      <c r="AH362" s="110"/>
      <c r="AI362" s="110" t="str">
        <f>IF(AND(AF362&lt;&gt;"",AF362&lt;=V362),V362-AF362,"")</f>
        <v/>
      </c>
      <c r="AJ362" s="68">
        <f>IF(ISNUMBER(V362 ), IF( V362 &gt;= Y362, Y362, V362 ),"")</f>
        <v>0</v>
      </c>
      <c r="AK362" s="68">
        <f>IF( ISNUMBER( V362 ), IF( V362 &gt;= Y362, V362 - Y362, "" ), "" )</f>
        <v>0</v>
      </c>
      <c r="AL362" s="68" t="str">
        <f>IF( AND(ISNUMBER( V362 ),ISNUMBER( Y362 )), IF( V362 &gt;= Y362, "", Y362 - V362 ), "" )</f>
        <v/>
      </c>
      <c r="AM362">
        <f>IF(A362="",0,IF(ISERROR(VLOOKUP(A362,db_Feiertag,2,FALSE)),WEEKDAY(A362,2),Feiertag))</f>
        <v>6</v>
      </c>
      <c r="AN362" s="122">
        <f>SUM($AD$6:AD362)</f>
        <v>0</v>
      </c>
      <c r="AO362" s="122">
        <f ca="1">IF(D362=D361,AO361,OFFSET(AO362,-1,COLUMN(db_jSaldoGes)-COLUMN()))</f>
        <v>0</v>
      </c>
      <c r="AP362" s="126">
        <f>IF(OR($G362=-1,$G362=82),-1,IF(OR($G362=0,$G362=83),1,0))</f>
        <v>0</v>
      </c>
      <c r="AQ362" s="126">
        <f>IF($F362=Krank,1,IF($F362="J",-1,0))</f>
        <v>0</v>
      </c>
      <c r="AR362" s="126">
        <f>IF($F362=Urlaub,1,IF($F362="T",-1,0))</f>
        <v>0</v>
      </c>
      <c r="AS362" s="125">
        <f>IF(A362="","",AS361-IF(F362=Urlaub,1,0)+IF(AND(MONTH(A362)=1,DAY(A362)=1),B_UrlaubNeu,0))</f>
        <v>30</v>
      </c>
      <c r="AT362" s="125">
        <f ca="1">IF(A362="","",IF(D362=D361,AT361,OFFSET(AT362,-1,COLUMN(db_jUrlRest)-COLUMN()))+IF(AND(MONTH(A362)=1,DAY(A362)=1),B_UrlaubNeu,0))</f>
        <v>30</v>
      </c>
      <c r="AU362" s="135">
        <f>(IF(ISNUMBER(V362),V362,0)+IF(ISNUMBER(AD362),AD362,0))*24</f>
        <v>0</v>
      </c>
      <c r="AV362" s="125">
        <f>IF(ISNUMBER(AD362),K_ArbeitOverMax,IF(AND(ISNUMBER(AA362),AA362&gt;0),K_ArbeitOverTime,IF(AND(ISNUMBER(V362),V362&gt;0),K_ArbeitNormal,IF(F362=Krank,K_Krank,IF(F362=Urlaub,K_Urlaub,IF(AM362=Feiertag,K_Feiertag,IF(OR(AM362=6,AM362=7),K_Wochenende,0)))))))+IF(F362=Gleittag,K_Gleittag,0)</f>
        <v>7</v>
      </c>
      <c r="AW362" t="b">
        <f>OR((F362&gt;0),(NOT(ISBLANK(H362))),SUM(H362:H$373),SUM(G362:G$373))</f>
        <v>0</v>
      </c>
      <c r="AX362" t="b">
        <f ca="1">INDIRECT(ADDRESS(ROW(),COLUMN(xDay)))&gt;5</f>
        <v>1</v>
      </c>
      <c r="AY362" s="600">
        <f>IF(OR(R362&lt;&gt;0,F362&lt;&gt;0),AA362,IF(Z362="",0,-Z362))+(IF(AG362="+",AF362,-AF362))</f>
        <v>0</v>
      </c>
      <c r="AZ362" s="225">
        <f>SUM(AY$5:AY362)</f>
        <v>-71.749999999999915</v>
      </c>
      <c r="BA362" s="643"/>
      <c r="BB362" s="658">
        <f>IF(ISNA(MATCH(BA362,B_Arbeitsort,0)),0,MATCH(BA362,B_Arbeitsort,0))</f>
        <v>0</v>
      </c>
      <c r="BC362" s="643"/>
    </row>
    <row r="363" spans="1:55" ht="15.75">
      <c r="A363" s="305">
        <f>IF(A362="","",IF((A362+1)&gt;=DATE(YEAR(xJahr)+1,MONTH(xJahr),DAY(xJahr)),"",A362+1))</f>
        <v>43822</v>
      </c>
      <c r="B363" s="306">
        <f>IF(A363="","",A363)</f>
        <v>43822</v>
      </c>
      <c r="C363" s="307">
        <f>IF(A363="","",NumberOfWeek(A363))</f>
        <v>51</v>
      </c>
      <c r="D363" s="308">
        <f>IF(A363="","",DATE(YEAR(A363),MONTH(A363),1))</f>
        <v>43799</v>
      </c>
      <c r="E363" s="318" t="str">
        <f>IF((R363-U363)&gt;XWorkTimeMax,$Z$4,IF(AV363=Feiertag,VLOOKUP(B363,db_Feiertag,2,FALSE),""))</f>
        <v/>
      </c>
      <c r="F363" s="5"/>
      <c r="G363" s="6" t="str">
        <f>IF(ISBLANK(F363),IF(ISBLANK(H363),"",0),CODE(UPPER(F363)))</f>
        <v/>
      </c>
      <c r="H363" s="7"/>
      <c r="I363" s="7">
        <f>IF(H363&gt;0,H363+Y363+X363+AC363,0)</f>
        <v>0</v>
      </c>
      <c r="J363" s="113">
        <f>IF(K363&gt;I363,IF(I363&lt;H363,I363+1,I363)-B_WalkTime,IF(I363&lt;H363,I363+1,I363))</f>
        <v>0</v>
      </c>
      <c r="K363" s="7"/>
      <c r="L363" s="7">
        <f>IF(K363&gt;0,K363+IF((J363-H363)&lt;Y363,Y363-(J363-H363),TIME(0,10,0))+IF((K363-J363)&gt;xNoWorkTime,0,xNoWorkTime-(K363-J363)),0)</f>
        <v>0</v>
      </c>
      <c r="M363" s="113">
        <f>IF(L363&lt;K363,L363+1,L363)</f>
        <v>0</v>
      </c>
      <c r="N363" s="113"/>
      <c r="O363" s="113">
        <f>IF(N363&gt;0,N363+IF((J363-H363+M363-K363)&lt;Y363,Y363-(J363-H363+M363-K363),TIME(0,10,0))+IF((K363-J363+N363-M363)&gt;xNoWorkTime,0,xNoWorkTime-(K363-J363+N363-M363)),0)</f>
        <v>0</v>
      </c>
      <c r="P363" s="113"/>
      <c r="Q363" s="113">
        <f>IF(O363&lt;N363,O363+1,O363)</f>
        <v>0</v>
      </c>
      <c r="R363" s="113">
        <f>J363-H363+M363-K363+Q363-N363</f>
        <v>0</v>
      </c>
      <c r="S363" s="113">
        <f>IF(K363&gt;0,K363-I363,0)+IF(N363&gt;0,N363-L363)</f>
        <v>0</v>
      </c>
      <c r="T363" s="113">
        <f>IF(H363&gt;0,(IF(R363&gt;B_Pause1Nach,B_Pause1Dauer+IF(BA363="Büro",B_WalkTime,0),IF(BA363="Büro",B_WalkTime,0))+IF(R363&gt;B_Pause2Nach,B_Pause2Dauer,0)),0)</f>
        <v>0</v>
      </c>
      <c r="U363" s="113">
        <f>IF(T363&gt;S363,T363-S363,0)</f>
        <v>0</v>
      </c>
      <c r="V363" s="146">
        <f>IF(F363="S",Z363,(IF((R363-U363)&gt;XWorkTimeMax,XWorkTimeMax,IF((R363-U363)&gt;0,R363-U363,0))))</f>
        <v>0</v>
      </c>
      <c r="W363" s="66"/>
      <c r="X363" s="115">
        <f>xNoWorkTime</f>
        <v>4.027777777777778E-2</v>
      </c>
      <c r="Y363" s="110">
        <f>IF(AND((AM363&lt;Feiertag),(G363&lt;&gt;85)),IF(OR(F363="B",F363="G",F363="S",H363&gt;0),H363-H363+Z363,0),0)</f>
        <v>0</v>
      </c>
      <c r="Z363" s="111">
        <f>IF(AND(AM363&gt;0,AM363&lt;Feiertag),INDEX(Arbeitszeit,AM363),"")</f>
        <v>0</v>
      </c>
      <c r="AA363" s="112">
        <f>V363-Y363</f>
        <v>0</v>
      </c>
      <c r="AB363" s="67" t="str">
        <f>IF((V363-Y363)&lt;0,"*","")</f>
        <v/>
      </c>
      <c r="AC363" s="193">
        <f>xOverTime</f>
        <v>0</v>
      </c>
      <c r="AD363" s="144" t="str">
        <f>IF((R363-U363)&gt;XWorkTimeMax,(R363-U363-XWorkTimeMax),"")</f>
        <v/>
      </c>
      <c r="AE363" s="225">
        <f>IF(AW363,(AE362+SUM(AA363)+(IF(AG363="+",AF363,-AF363))),)</f>
        <v>0</v>
      </c>
      <c r="AF363" s="110"/>
      <c r="AG363" s="627"/>
      <c r="AH363" s="110"/>
      <c r="AI363" s="110" t="str">
        <f>IF(AND(AF363&lt;&gt;"",AF363&lt;=V363),V363-AF363,"")</f>
        <v/>
      </c>
      <c r="AJ363" s="68">
        <f>IF(ISNUMBER(V363 ), IF( V363 &gt;= Y363, Y363, V363 ),"")</f>
        <v>0</v>
      </c>
      <c r="AK363" s="68">
        <f>IF( ISNUMBER( V363 ), IF( V363 &gt;= Y363, V363 - Y363, "" ), "" )</f>
        <v>0</v>
      </c>
      <c r="AL363" s="68" t="str">
        <f>IF( AND(ISNUMBER( V363 ),ISNUMBER( Y363 )), IF( V363 &gt;= Y363, "", Y363 - V363 ), "" )</f>
        <v/>
      </c>
      <c r="AM363">
        <f>IF(A363="",0,IF(ISERROR(VLOOKUP(A363,db_Feiertag,2,FALSE)),WEEKDAY(A363,2),Feiertag))</f>
        <v>7</v>
      </c>
      <c r="AN363" s="122">
        <f>SUM($AD$6:AD363)</f>
        <v>0</v>
      </c>
      <c r="AO363" s="122">
        <f ca="1">IF(D363=D362,AO362,OFFSET(AO363,-1,COLUMN(db_jSaldoGes)-COLUMN()))</f>
        <v>0</v>
      </c>
      <c r="AP363" s="126">
        <f>IF(OR($G363=-1,$G363=82),-1,IF(OR($G363=0,$G363=83),1,0))</f>
        <v>0</v>
      </c>
      <c r="AQ363" s="126">
        <f>IF($F363=Krank,1,IF($F363="J",-1,0))</f>
        <v>0</v>
      </c>
      <c r="AR363" s="126">
        <f>IF($F363=Urlaub,1,IF($F363="T",-1,0))</f>
        <v>0</v>
      </c>
      <c r="AS363" s="125">
        <f>IF(A363="","",AS362-IF(F363=Urlaub,1,0)+IF(AND(MONTH(A363)=1,DAY(A363)=1),B_UrlaubNeu,0))</f>
        <v>30</v>
      </c>
      <c r="AT363" s="125">
        <f ca="1">IF(A363="","",IF(D363=D362,AT362,OFFSET(AT363,-1,COLUMN(db_jUrlRest)-COLUMN()))+IF(AND(MONTH(A363)=1,DAY(A363)=1),B_UrlaubNeu,0))</f>
        <v>30</v>
      </c>
      <c r="AU363" s="135">
        <f>(IF(ISNUMBER(V363),V363,0)+IF(ISNUMBER(AD363),AD363,0))*24</f>
        <v>0</v>
      </c>
      <c r="AV363" s="125">
        <f>IF(ISNUMBER(AD363),K_ArbeitOverMax,IF(AND(ISNUMBER(AA363),AA363&gt;0),K_ArbeitOverTime,IF(AND(ISNUMBER(V363),V363&gt;0),K_ArbeitNormal,IF(F363=Krank,K_Krank,IF(F363=Urlaub,K_Urlaub,IF(AM363=Feiertag,K_Feiertag,IF(OR(AM363=6,AM363=7),K_Wochenende,0)))))))+IF(F363=Gleittag,K_Gleittag,0)</f>
        <v>7</v>
      </c>
      <c r="AW363" t="b">
        <f>OR((F363&gt;0),(NOT(ISBLANK(H363))),SUM(H363:H$373),SUM(G363:G$373))</f>
        <v>0</v>
      </c>
      <c r="AX363" t="b">
        <f ca="1">INDIRECT(ADDRESS(ROW(),COLUMN(xDay)))&gt;5</f>
        <v>1</v>
      </c>
      <c r="AY363" s="600">
        <f>IF(OR(R363&lt;&gt;0,F363&lt;&gt;0),AA363,IF(Z363="",0,-Z363))+(IF(AG363="+",AF363,-AF363))</f>
        <v>0</v>
      </c>
      <c r="AZ363" s="225">
        <f>SUM(AY$5:AY363)</f>
        <v>-71.749999999999915</v>
      </c>
      <c r="BA363" s="643"/>
      <c r="BB363" s="658">
        <f>IF(ISNA(MATCH(BA363,B_Arbeitsort,0)),0,MATCH(BA363,B_Arbeitsort,0))</f>
        <v>0</v>
      </c>
      <c r="BC363" s="643"/>
    </row>
    <row r="364" spans="1:55" ht="15.75">
      <c r="A364" s="305">
        <f>IF(A363="","",IF((A363+1)&gt;=DATE(YEAR(xJahr)+1,MONTH(xJahr),DAY(xJahr)),"",A363+1))</f>
        <v>43823</v>
      </c>
      <c r="B364" s="306">
        <f>IF(A364="","",A364)</f>
        <v>43823</v>
      </c>
      <c r="C364" s="307">
        <f>IF(A364="","",NumberOfWeek(A364))</f>
        <v>52</v>
      </c>
      <c r="D364" s="308">
        <f>IF(A364="","",DATE(YEAR(A364),MONTH(A364),1))</f>
        <v>43799</v>
      </c>
      <c r="E364" s="318" t="str">
        <f>IF((R364-U364)&gt;XWorkTimeMax,$Z$4,IF(AV364=Feiertag,VLOOKUP(B364,db_Feiertag,2,FALSE),""))</f>
        <v>1. Weihnachtsfeiertag</v>
      </c>
      <c r="F364" s="5"/>
      <c r="G364" s="6" t="str">
        <f>IF(ISBLANK(F364),IF(ISBLANK(H364),"",0),CODE(UPPER(F364)))</f>
        <v/>
      </c>
      <c r="H364" s="7"/>
      <c r="I364" s="7">
        <f>IF(H364&gt;0,H364+Y364+X364+AC364,0)</f>
        <v>0</v>
      </c>
      <c r="J364" s="113">
        <f>IF(K364&gt;I364,IF(I364&lt;H364,I364+1,I364)-B_WalkTime,IF(I364&lt;H364,I364+1,I364))</f>
        <v>0</v>
      </c>
      <c r="K364" s="7"/>
      <c r="L364" s="7">
        <f>IF(K364&gt;0,K364+IF((J364-H364)&lt;Y364,Y364-(J364-H364),TIME(0,10,0))+IF((K364-J364)&gt;xNoWorkTime,0,xNoWorkTime-(K364-J364)),0)</f>
        <v>0</v>
      </c>
      <c r="M364" s="113">
        <f>IF(L364&lt;K364,L364+1,L364)</f>
        <v>0</v>
      </c>
      <c r="N364" s="113"/>
      <c r="O364" s="113">
        <f>IF(N364&gt;0,N364+IF((J364-H364+M364-K364)&lt;Y364,Y364-(J364-H364+M364-K364),TIME(0,10,0))+IF((K364-J364+N364-M364)&gt;xNoWorkTime,0,xNoWorkTime-(K364-J364+N364-M364)),0)</f>
        <v>0</v>
      </c>
      <c r="P364" s="113"/>
      <c r="Q364" s="113">
        <f>IF(O364&lt;N364,O364+1,O364)</f>
        <v>0</v>
      </c>
      <c r="R364" s="113">
        <f>J364-H364+M364-K364+Q364-N364</f>
        <v>0</v>
      </c>
      <c r="S364" s="113">
        <f>IF(K364&gt;0,K364-I364,0)+IF(N364&gt;0,N364-L364)</f>
        <v>0</v>
      </c>
      <c r="T364" s="113">
        <f>IF(H364&gt;0,(IF(R364&gt;B_Pause1Nach,B_Pause1Dauer+IF(BA364="Büro",B_WalkTime,0),IF(BA364="Büro",B_WalkTime,0))+IF(R364&gt;B_Pause2Nach,B_Pause2Dauer,0)),0)</f>
        <v>0</v>
      </c>
      <c r="U364" s="113">
        <f>IF(T364&gt;S364,T364-S364,0)</f>
        <v>0</v>
      </c>
      <c r="V364" s="146">
        <f>IF(F364="S",Z364,(IF((R364-U364)&gt;XWorkTimeMax,XWorkTimeMax,IF((R364-U364)&gt;0,R364-U364,0))))</f>
        <v>0</v>
      </c>
      <c r="W364" s="66"/>
      <c r="X364" s="115">
        <f>xNoWorkTime</f>
        <v>4.027777777777778E-2</v>
      </c>
      <c r="Y364" s="110">
        <f>IF(AND((AM364&lt;Feiertag),(G364&lt;&gt;85)),IF(OR(F364="B",F364="G",F364="S",H364&gt;0),H364-H364+Z364,0),0)</f>
        <v>0</v>
      </c>
      <c r="Z364" s="111" t="str">
        <f>IF(AND(AM364&gt;0,AM364&lt;Feiertag),INDEX(Arbeitszeit,AM364),"")</f>
        <v/>
      </c>
      <c r="AA364" s="112">
        <f>V364-Y364</f>
        <v>0</v>
      </c>
      <c r="AB364" s="67" t="str">
        <f>IF((V364-Y364)&lt;0,"*","")</f>
        <v/>
      </c>
      <c r="AC364" s="193">
        <f>xOverTime</f>
        <v>0</v>
      </c>
      <c r="AD364" s="144" t="str">
        <f>IF((R364-U364)&gt;XWorkTimeMax,(R364-U364-XWorkTimeMax),"")</f>
        <v/>
      </c>
      <c r="AE364" s="225">
        <f>IF(AW364,(AE363+SUM(AA364)+(IF(AG364="+",AF364,-AF364))),)</f>
        <v>0</v>
      </c>
      <c r="AF364" s="110"/>
      <c r="AG364" s="627"/>
      <c r="AH364" s="110"/>
      <c r="AI364" s="110" t="str">
        <f>IF(AND(AF364&lt;&gt;"",AF364&lt;=V364),V364-AF364,"")</f>
        <v/>
      </c>
      <c r="AJ364" s="68">
        <f>IF(ISNUMBER(V364 ), IF( V364 &gt;= Y364, Y364, V364 ),"")</f>
        <v>0</v>
      </c>
      <c r="AK364" s="68">
        <f>IF( ISNUMBER( V364 ), IF( V364 &gt;= Y364, V364 - Y364, "" ), "" )</f>
        <v>0</v>
      </c>
      <c r="AL364" s="68" t="str">
        <f>IF( AND(ISNUMBER( V364 ),ISNUMBER( Y364 )), IF( V364 &gt;= Y364, "", Y364 - V364 ), "" )</f>
        <v/>
      </c>
      <c r="AM364">
        <f>IF(A364="",0,IF(ISERROR(VLOOKUP(A364,db_Feiertag,2,FALSE)),WEEKDAY(A364,2),Feiertag))</f>
        <v>8</v>
      </c>
      <c r="AN364" s="122">
        <f>SUM($AD$6:AD364)</f>
        <v>0</v>
      </c>
      <c r="AO364" s="122">
        <f ca="1">IF(D364=D363,AO363,OFFSET(AO364,-1,COLUMN(db_jSaldoGes)-COLUMN()))</f>
        <v>0</v>
      </c>
      <c r="AP364" s="126">
        <f>IF(OR($G364=-1,$G364=82),-1,IF(OR($G364=0,$G364=83),1,0))</f>
        <v>0</v>
      </c>
      <c r="AQ364" s="126">
        <f>IF($F364=Krank,1,IF($F364="J",-1,0))</f>
        <v>0</v>
      </c>
      <c r="AR364" s="126">
        <f>IF($F364=Urlaub,1,IF($F364="T",-1,0))</f>
        <v>0</v>
      </c>
      <c r="AS364" s="125">
        <f>IF(A364="","",AS363-IF(F364=Urlaub,1,0)+IF(AND(MONTH(A364)=1,DAY(A364)=1),B_UrlaubNeu,0))</f>
        <v>30</v>
      </c>
      <c r="AT364" s="125">
        <f ca="1">IF(A364="","",IF(D364=D363,AT363,OFFSET(AT364,-1,COLUMN(db_jUrlRest)-COLUMN()))+IF(AND(MONTH(A364)=1,DAY(A364)=1),B_UrlaubNeu,0))</f>
        <v>30</v>
      </c>
      <c r="AU364" s="135">
        <f>(IF(ISNUMBER(V364),V364,0)+IF(ISNUMBER(AD364),AD364,0))*24</f>
        <v>0</v>
      </c>
      <c r="AV364" s="125">
        <f>IF(ISNUMBER(AD364),K_ArbeitOverMax,IF(AND(ISNUMBER(AA364),AA364&gt;0),K_ArbeitOverTime,IF(AND(ISNUMBER(V364),V364&gt;0),K_ArbeitNormal,IF(F364=Krank,K_Krank,IF(F364=Urlaub,K_Urlaub,IF(AM364=Feiertag,K_Feiertag,IF(OR(AM364=6,AM364=7),K_Wochenende,0)))))))+IF(F364=Gleittag,K_Gleittag,0)</f>
        <v>8</v>
      </c>
      <c r="AW364" t="b">
        <f>OR((F364&gt;0),(NOT(ISBLANK(H364))),SUM(H364:H$373),SUM(G364:G$373))</f>
        <v>0</v>
      </c>
      <c r="AX364" t="b">
        <f ca="1">INDIRECT(ADDRESS(ROW(),COLUMN(xDay)))&gt;5</f>
        <v>1</v>
      </c>
      <c r="AY364" s="600">
        <f>IF(OR(R364&lt;&gt;0,F364&lt;&gt;0),AA364,IF(Z364="",0,-Z364))+(IF(AG364="+",AF364,-AF364))</f>
        <v>0</v>
      </c>
      <c r="AZ364" s="225">
        <f>SUM(AY$5:AY364)</f>
        <v>-71.749999999999915</v>
      </c>
      <c r="BA364" s="643"/>
      <c r="BB364" s="658">
        <f>IF(ISNA(MATCH(BA364,B_Arbeitsort,0)),0,MATCH(BA364,B_Arbeitsort,0))</f>
        <v>0</v>
      </c>
      <c r="BC364" s="643"/>
    </row>
    <row r="365" spans="1:55" ht="15.75">
      <c r="A365" s="305">
        <f>IF(A364="","",IF((A364+1)&gt;=DATE(YEAR(xJahr)+1,MONTH(xJahr),DAY(xJahr)),"",A364+1))</f>
        <v>43824</v>
      </c>
      <c r="B365" s="306">
        <f>IF(A365="","",A365)</f>
        <v>43824</v>
      </c>
      <c r="C365" s="307">
        <f>IF(A365="","",NumberOfWeek(A365))</f>
        <v>52</v>
      </c>
      <c r="D365" s="308">
        <f>IF(A365="","",DATE(YEAR(A365),MONTH(A365),1))</f>
        <v>43799</v>
      </c>
      <c r="E365" s="318" t="str">
        <f>IF((R365-U365)&gt;XWorkTimeMax,$Z$4,IF(AV365=Feiertag,VLOOKUP(B365,db_Feiertag,2,FALSE),""))</f>
        <v>2. Weihnachtsfeiertag</v>
      </c>
      <c r="F365" s="5"/>
      <c r="G365" s="6" t="str">
        <f>IF(ISBLANK(F365),IF(ISBLANK(H365),"",0),CODE(UPPER(F365)))</f>
        <v/>
      </c>
      <c r="H365" s="7"/>
      <c r="I365" s="7">
        <f>IF(H365&gt;0,H365+Y365+X365+AC365,0)</f>
        <v>0</v>
      </c>
      <c r="J365" s="113">
        <f>IF(K365&gt;I365,IF(I365&lt;H365,I365+1,I365)-B_WalkTime,IF(I365&lt;H365,I365+1,I365))</f>
        <v>0</v>
      </c>
      <c r="K365" s="7"/>
      <c r="L365" s="7">
        <f>IF(K365&gt;0,K365+IF((J365-H365)&lt;Y365,Y365-(J365-H365),TIME(0,10,0))+IF((K365-J365)&gt;xNoWorkTime,0,xNoWorkTime-(K365-J365)),0)</f>
        <v>0</v>
      </c>
      <c r="M365" s="113">
        <f>IF(L365&lt;K365,L365+1,L365)</f>
        <v>0</v>
      </c>
      <c r="N365" s="113"/>
      <c r="O365" s="113">
        <f>IF(N365&gt;0,N365+IF((J365-H365+M365-K365)&lt;Y365,Y365-(J365-H365+M365-K365),TIME(0,10,0))+IF((K365-J365+N365-M365)&gt;xNoWorkTime,0,xNoWorkTime-(K365-J365+N365-M365)),0)</f>
        <v>0</v>
      </c>
      <c r="P365" s="113"/>
      <c r="Q365" s="113">
        <f>IF(O365&lt;N365,O365+1,O365)</f>
        <v>0</v>
      </c>
      <c r="R365" s="113">
        <f>J365-H365+M365-K365+Q365-N365</f>
        <v>0</v>
      </c>
      <c r="S365" s="113">
        <f>IF(K365&gt;0,K365-I365,0)+IF(N365&gt;0,N365-L365)</f>
        <v>0</v>
      </c>
      <c r="T365" s="113">
        <f>IF(H365&gt;0,(IF(R365&gt;B_Pause1Nach,B_Pause1Dauer+IF(BA365="Büro",B_WalkTime,0),IF(BA365="Büro",B_WalkTime,0))+IF(R365&gt;B_Pause2Nach,B_Pause2Dauer,0)),0)</f>
        <v>0</v>
      </c>
      <c r="U365" s="113">
        <f>IF(T365&gt;S365,T365-S365,0)</f>
        <v>0</v>
      </c>
      <c r="V365" s="146">
        <f>IF(F365="S",Z365,(IF((R365-U365)&gt;XWorkTimeMax,XWorkTimeMax,IF((R365-U365)&gt;0,R365-U365,0))))</f>
        <v>0</v>
      </c>
      <c r="W365" s="66"/>
      <c r="X365" s="115">
        <f>xNoWorkTime</f>
        <v>4.027777777777778E-2</v>
      </c>
      <c r="Y365" s="110">
        <f>IF(AND((AM365&lt;Feiertag),(G365&lt;&gt;85)),IF(OR(F365="B",F365="G",F365="S",H365&gt;0),H365-H365+Z365,0),0)</f>
        <v>0</v>
      </c>
      <c r="Z365" s="111" t="str">
        <f>IF(AND(AM365&gt;0,AM365&lt;Feiertag),INDEX(Arbeitszeit,AM365),"")</f>
        <v/>
      </c>
      <c r="AA365" s="112">
        <f>V365-Y365</f>
        <v>0</v>
      </c>
      <c r="AB365" s="67" t="str">
        <f>IF((V365-Y365)&lt;0,"*","")</f>
        <v/>
      </c>
      <c r="AC365" s="193">
        <f>xOverTime</f>
        <v>0</v>
      </c>
      <c r="AD365" s="144" t="str">
        <f>IF((R365-U365)&gt;XWorkTimeMax,(R365-U365-XWorkTimeMax),"")</f>
        <v/>
      </c>
      <c r="AE365" s="225">
        <f>IF(AW365,(AE364+SUM(AA365)+(IF(AG365="+",AF365,-AF365))),)</f>
        <v>0</v>
      </c>
      <c r="AF365" s="110"/>
      <c r="AG365" s="627"/>
      <c r="AH365" s="110"/>
      <c r="AI365" s="110" t="str">
        <f>IF(AND(AF365&lt;&gt;"",AF365&lt;=V365),V365-AF365,"")</f>
        <v/>
      </c>
      <c r="AJ365" s="68">
        <f>IF(ISNUMBER(V365 ), IF( V365 &gt;= Y365, Y365, V365 ),"")</f>
        <v>0</v>
      </c>
      <c r="AK365" s="68">
        <f>IF( ISNUMBER( V365 ), IF( V365 &gt;= Y365, V365 - Y365, "" ), "" )</f>
        <v>0</v>
      </c>
      <c r="AL365" s="68" t="str">
        <f>IF( AND(ISNUMBER( V365 ),ISNUMBER( Y365 )), IF( V365 &gt;= Y365, "", Y365 - V365 ), "" )</f>
        <v/>
      </c>
      <c r="AM365">
        <f>IF(A365="",0,IF(ISERROR(VLOOKUP(A365,db_Feiertag,2,FALSE)),WEEKDAY(A365,2),Feiertag))</f>
        <v>8</v>
      </c>
      <c r="AN365" s="122">
        <f>SUM($AD$6:AD365)</f>
        <v>0</v>
      </c>
      <c r="AO365" s="122">
        <f ca="1">IF(D365=D364,AO364,OFFSET(AO365,-1,COLUMN(db_jSaldoGes)-COLUMN()))</f>
        <v>0</v>
      </c>
      <c r="AP365" s="126">
        <f>IF(OR($G365=-1,$G365=82),-1,IF(OR($G365=0,$G365=83),1,0))</f>
        <v>0</v>
      </c>
      <c r="AQ365" s="126">
        <f>IF($F365=Krank,1,IF($F365="J",-1,0))</f>
        <v>0</v>
      </c>
      <c r="AR365" s="126">
        <f>IF($F365=Urlaub,1,IF($F365="T",-1,0))</f>
        <v>0</v>
      </c>
      <c r="AS365" s="125">
        <f>IF(A365="","",AS364-IF(F365=Urlaub,1,0)+IF(AND(MONTH(A365)=1,DAY(A365)=1),B_UrlaubNeu,0))</f>
        <v>30</v>
      </c>
      <c r="AT365" s="125">
        <f ca="1">IF(A365="","",IF(D365=D364,AT364,OFFSET(AT365,-1,COLUMN(db_jUrlRest)-COLUMN()))+IF(AND(MONTH(A365)=1,DAY(A365)=1),B_UrlaubNeu,0))</f>
        <v>30</v>
      </c>
      <c r="AU365" s="135">
        <f>(IF(ISNUMBER(V365),V365,0)+IF(ISNUMBER(AD365),AD365,0))*24</f>
        <v>0</v>
      </c>
      <c r="AV365" s="125">
        <f>IF(ISNUMBER(AD365),K_ArbeitOverMax,IF(AND(ISNUMBER(AA365),AA365&gt;0),K_ArbeitOverTime,IF(AND(ISNUMBER(V365),V365&gt;0),K_ArbeitNormal,IF(F365=Krank,K_Krank,IF(F365=Urlaub,K_Urlaub,IF(AM365=Feiertag,K_Feiertag,IF(OR(AM365=6,AM365=7),K_Wochenende,0)))))))+IF(F365=Gleittag,K_Gleittag,0)</f>
        <v>8</v>
      </c>
      <c r="AW365" t="b">
        <f>OR((F365&gt;0),(NOT(ISBLANK(H365))),SUM(H365:H$373),SUM(G365:G$373))</f>
        <v>0</v>
      </c>
      <c r="AX365" t="b">
        <f ca="1">INDIRECT(ADDRESS(ROW(),COLUMN(xDay)))&gt;5</f>
        <v>1</v>
      </c>
      <c r="AY365" s="600">
        <f>IF(OR(R365&lt;&gt;0,F365&lt;&gt;0),AA365,IF(Z365="",0,-Z365))+(IF(AG365="+",AF365,-AF365))</f>
        <v>0</v>
      </c>
      <c r="AZ365" s="225">
        <f>SUM(AY$5:AY365)</f>
        <v>-71.749999999999915</v>
      </c>
      <c r="BA365" s="643"/>
      <c r="BB365" s="658">
        <f>IF(ISNA(MATCH(BA365,B_Arbeitsort,0)),0,MATCH(BA365,B_Arbeitsort,0))</f>
        <v>0</v>
      </c>
      <c r="BC365" s="643"/>
    </row>
    <row r="366" spans="1:55" ht="15.75">
      <c r="A366" s="305">
        <f>IF(A365="","",IF((A365+1)&gt;=DATE(YEAR(xJahr)+1,MONTH(xJahr),DAY(xJahr)),"",A365+1))</f>
        <v>43825</v>
      </c>
      <c r="B366" s="306">
        <f>IF(A366="","",A366)</f>
        <v>43825</v>
      </c>
      <c r="C366" s="307">
        <f>IF(A366="","",NumberOfWeek(A366))</f>
        <v>52</v>
      </c>
      <c r="D366" s="308">
        <f>IF(A366="","",DATE(YEAR(A366),MONTH(A366),1))</f>
        <v>43799</v>
      </c>
      <c r="E366" s="318" t="str">
        <f>IF((R366-U366)&gt;XWorkTimeMax,$Z$4,IF(AV366=Feiertag,VLOOKUP(B366,db_Feiertag,2,FALSE),""))</f>
        <v/>
      </c>
      <c r="F366" s="5"/>
      <c r="G366" s="6" t="str">
        <f>IF(ISBLANK(F366),IF(ISBLANK(H366),"",0),CODE(UPPER(F366)))</f>
        <v/>
      </c>
      <c r="H366" s="7"/>
      <c r="I366" s="7">
        <f>IF(H366&gt;0,H366+Y366+X366+AC366,0)</f>
        <v>0</v>
      </c>
      <c r="J366" s="113">
        <f>IF(K366&gt;I366,IF(I366&lt;H366,I366+1,I366)-B_WalkTime,IF(I366&lt;H366,I366+1,I366))</f>
        <v>0</v>
      </c>
      <c r="K366" s="7"/>
      <c r="L366" s="7">
        <f>IF(K366&gt;0,K366+IF((J366-H366)&lt;Y366,Y366-(J366-H366),TIME(0,10,0))+IF((K366-J366)&gt;xNoWorkTime,0,xNoWorkTime-(K366-J366)),0)</f>
        <v>0</v>
      </c>
      <c r="M366" s="113">
        <f>IF(L366&lt;K366,L366+1,L366)</f>
        <v>0</v>
      </c>
      <c r="N366" s="113"/>
      <c r="O366" s="113">
        <f>IF(N366&gt;0,N366+IF((J366-H366+M366-K366)&lt;Y366,Y366-(J366-H366+M366-K366),TIME(0,10,0))+IF((K366-J366+N366-M366)&gt;xNoWorkTime,0,xNoWorkTime-(K366-J366+N366-M366)),0)</f>
        <v>0</v>
      </c>
      <c r="P366" s="113"/>
      <c r="Q366" s="113">
        <f>IF(O366&lt;N366,O366+1,O366)</f>
        <v>0</v>
      </c>
      <c r="R366" s="113">
        <f>J366-H366+M366-K366+Q366-N366</f>
        <v>0</v>
      </c>
      <c r="S366" s="113">
        <f>IF(K366&gt;0,K366-I366,0)+IF(N366&gt;0,N366-L366)</f>
        <v>0</v>
      </c>
      <c r="T366" s="113">
        <f>IF(H366&gt;0,(IF(R366&gt;B_Pause1Nach,B_Pause1Dauer+IF(BA366="Büro",B_WalkTime,0),IF(BA366="Büro",B_WalkTime,0))+IF(R366&gt;B_Pause2Nach,B_Pause2Dauer,0)),0)</f>
        <v>0</v>
      </c>
      <c r="U366" s="113">
        <f>IF(T366&gt;S366,T366-S366,0)</f>
        <v>0</v>
      </c>
      <c r="V366" s="146">
        <f>IF(F366="S",Z366,(IF((R366-U366)&gt;XWorkTimeMax,XWorkTimeMax,IF((R366-U366)&gt;0,R366-U366,0))))</f>
        <v>0</v>
      </c>
      <c r="W366" s="66"/>
      <c r="X366" s="115">
        <f>xNoWorkTime</f>
        <v>4.027777777777778E-2</v>
      </c>
      <c r="Y366" s="110">
        <f>IF(AND((AM366&lt;Feiertag),(G366&lt;&gt;85)),IF(OR(F366="B",F366="G",F366="S",H366&gt;0),H366-H366+Z366,0),0)</f>
        <v>0</v>
      </c>
      <c r="Z366" s="111">
        <f>IF(AND(AM366&gt;0,AM366&lt;Feiertag),INDEX(Arbeitszeit,AM366),"")</f>
        <v>0.29166666666666669</v>
      </c>
      <c r="AA366" s="112">
        <f>V366-Y366</f>
        <v>0</v>
      </c>
      <c r="AB366" s="67" t="str">
        <f>IF((V366-Y366)&lt;0,"*","")</f>
        <v/>
      </c>
      <c r="AC366" s="193">
        <f>xOverTime</f>
        <v>0</v>
      </c>
      <c r="AD366" s="144" t="str">
        <f>IF((R366-U366)&gt;XWorkTimeMax,(R366-U366-XWorkTimeMax),"")</f>
        <v/>
      </c>
      <c r="AE366" s="225">
        <f>IF(AW366,(AE365+SUM(AA366)+(IF(AG366="+",AF366,-AF366))),)</f>
        <v>0</v>
      </c>
      <c r="AF366" s="110"/>
      <c r="AG366" s="627"/>
      <c r="AH366" s="110"/>
      <c r="AI366" s="110" t="str">
        <f>IF(AND(AF366&lt;&gt;"",AF366&lt;=V366),V366-AF366,"")</f>
        <v/>
      </c>
      <c r="AJ366" s="68">
        <f>IF(ISNUMBER(V366 ), IF( V366 &gt;= Y366, Y366, V366 ),"")</f>
        <v>0</v>
      </c>
      <c r="AK366" s="68">
        <f>IF( ISNUMBER( V366 ), IF( V366 &gt;= Y366, V366 - Y366, "" ), "" )</f>
        <v>0</v>
      </c>
      <c r="AL366" s="68" t="str">
        <f>IF( AND(ISNUMBER( V366 ),ISNUMBER( Y366 )), IF( V366 &gt;= Y366, "", Y366 - V366 ), "" )</f>
        <v/>
      </c>
      <c r="AM366">
        <f>IF(A366="",0,IF(ISERROR(VLOOKUP(A366,db_Feiertag,2,FALSE)),WEEKDAY(A366,2),Feiertag))</f>
        <v>3</v>
      </c>
      <c r="AN366" s="122">
        <f>SUM($AD$6:AD366)</f>
        <v>0</v>
      </c>
      <c r="AO366" s="122">
        <f ca="1">IF(D366=D365,AO365,OFFSET(AO366,-1,COLUMN(db_jSaldoGes)-COLUMN()))</f>
        <v>0</v>
      </c>
      <c r="AP366" s="126">
        <f>IF(OR($G366=-1,$G366=82),-1,IF(OR($G366=0,$G366=83),1,0))</f>
        <v>0</v>
      </c>
      <c r="AQ366" s="126">
        <f>IF($F366=Krank,1,IF($F366="J",-1,0))</f>
        <v>0</v>
      </c>
      <c r="AR366" s="126">
        <f>IF($F366=Urlaub,1,IF($F366="T",-1,0))</f>
        <v>0</v>
      </c>
      <c r="AS366" s="125">
        <f>IF(A366="","",AS365-IF(F366=Urlaub,1,0)+IF(AND(MONTH(A366)=1,DAY(A366)=1),B_UrlaubNeu,0))</f>
        <v>30</v>
      </c>
      <c r="AT366" s="125">
        <f ca="1">IF(A366="","",IF(D366=D365,AT365,OFFSET(AT366,-1,COLUMN(db_jUrlRest)-COLUMN()))+IF(AND(MONTH(A366)=1,DAY(A366)=1),B_UrlaubNeu,0))</f>
        <v>30</v>
      </c>
      <c r="AU366" s="135">
        <f>(IF(ISNUMBER(V366),V366,0)+IF(ISNUMBER(AD366),AD366,0))*24</f>
        <v>0</v>
      </c>
      <c r="AV366" s="125">
        <f>IF(ISNUMBER(AD366),K_ArbeitOverMax,IF(AND(ISNUMBER(AA366),AA366&gt;0),K_ArbeitOverTime,IF(AND(ISNUMBER(V366),V366&gt;0),K_ArbeitNormal,IF(F366=Krank,K_Krank,IF(F366=Urlaub,K_Urlaub,IF(AM366=Feiertag,K_Feiertag,IF(OR(AM366=6,AM366=7),K_Wochenende,0)))))))+IF(F366=Gleittag,K_Gleittag,0)</f>
        <v>0</v>
      </c>
      <c r="AW366" t="b">
        <f>OR((F366&gt;0),(NOT(ISBLANK(H366))),SUM(H366:H$373),SUM(G366:G$373))</f>
        <v>0</v>
      </c>
      <c r="AX366" t="b">
        <f ca="1">INDIRECT(ADDRESS(ROW(),COLUMN(xDay)))&gt;5</f>
        <v>0</v>
      </c>
      <c r="AY366" s="600">
        <f>IF(OR(R366&lt;&gt;0,F366&lt;&gt;0),AA366,IF(Z366="",0,-Z366))+(IF(AG366="+",AF366,-AF366))</f>
        <v>-0.29166666666666669</v>
      </c>
      <c r="AZ366" s="225">
        <f>SUM(AY$5:AY366)</f>
        <v>-72.041666666666586</v>
      </c>
      <c r="BA366" s="658"/>
      <c r="BB366" s="658">
        <f>IF(ISNA(MATCH(BA366,B_Arbeitsort,0)),0,MATCH(BA366,B_Arbeitsort,0))</f>
        <v>0</v>
      </c>
      <c r="BC366" s="658"/>
    </row>
    <row r="367" spans="1:55" ht="15.75">
      <c r="A367" s="305">
        <f>IF(A366="","",IF((A366+1)&gt;=DATE(YEAR(xJahr)+1,MONTH(xJahr),DAY(xJahr)),"",A366+1))</f>
        <v>43826</v>
      </c>
      <c r="B367" s="306">
        <f>IF(A367="","",A367)</f>
        <v>43826</v>
      </c>
      <c r="C367" s="307">
        <f>IF(A367="","",NumberOfWeek(A367))</f>
        <v>52</v>
      </c>
      <c r="D367" s="308">
        <f>IF(A367="","",DATE(YEAR(A367),MONTH(A367),1))</f>
        <v>43799</v>
      </c>
      <c r="E367" s="318" t="str">
        <f>IF((R367-U367)&gt;XWorkTimeMax,$Z$4,IF(AV367=Feiertag,VLOOKUP(B367,db_Feiertag,2,FALSE),""))</f>
        <v/>
      </c>
      <c r="F367" s="5"/>
      <c r="G367" s="6" t="str">
        <f>IF(ISBLANK(F367),IF(ISBLANK(H367),"",0),CODE(UPPER(F367)))</f>
        <v/>
      </c>
      <c r="H367" s="7"/>
      <c r="I367" s="7">
        <f>IF(H367&gt;0,H367+Y367+X367+AC367,0)</f>
        <v>0</v>
      </c>
      <c r="J367" s="113">
        <f>IF(K367&gt;I367,IF(I367&lt;H367,I367+1,I367)-B_WalkTime,IF(I367&lt;H367,I367+1,I367))</f>
        <v>0</v>
      </c>
      <c r="K367" s="7"/>
      <c r="L367" s="7">
        <f>IF(K367&gt;0,K367+IF((J367-H367)&lt;Y367,Y367-(J367-H367),TIME(0,10,0))+IF((K367-J367)&gt;xNoWorkTime,0,xNoWorkTime-(K367-J367)),0)</f>
        <v>0</v>
      </c>
      <c r="M367" s="113">
        <f>IF(L367&lt;K367,L367+1,L367)</f>
        <v>0</v>
      </c>
      <c r="N367" s="113"/>
      <c r="O367" s="113">
        <f>IF(N367&gt;0,N367+IF((J367-H367+M367-K367)&lt;Y367,Y367-(J367-H367+M367-K367),TIME(0,10,0))+IF((K367-J367+N367-M367)&gt;xNoWorkTime,0,xNoWorkTime-(K367-J367+N367-M367)),0)</f>
        <v>0</v>
      </c>
      <c r="P367" s="113"/>
      <c r="Q367" s="113">
        <f>IF(O367&lt;N367,O367+1,O367)</f>
        <v>0</v>
      </c>
      <c r="R367" s="113">
        <f>J367-H367+M367-K367+Q367-N367</f>
        <v>0</v>
      </c>
      <c r="S367" s="113">
        <f>IF(K367&gt;0,K367-I367,0)+IF(N367&gt;0,N367-L367)</f>
        <v>0</v>
      </c>
      <c r="T367" s="113">
        <f>IF(H367&gt;0,(IF(R367&gt;B_Pause1Nach,B_Pause1Dauer+IF(BA367="Büro",B_WalkTime,0),IF(BA367="Büro",B_WalkTime,0))+IF(R367&gt;B_Pause2Nach,B_Pause2Dauer,0)),0)</f>
        <v>0</v>
      </c>
      <c r="U367" s="113">
        <f>IF(T367&gt;S367,T367-S367,0)</f>
        <v>0</v>
      </c>
      <c r="V367" s="146">
        <f>IF(F367="S",Z367,(IF((R367-U367)&gt;XWorkTimeMax,XWorkTimeMax,IF((R367-U367)&gt;0,R367-U367,0))))</f>
        <v>0</v>
      </c>
      <c r="W367" s="66"/>
      <c r="X367" s="115">
        <f>xNoWorkTime</f>
        <v>4.027777777777778E-2</v>
      </c>
      <c r="Y367" s="110">
        <f>IF(AND((AM367&lt;Feiertag),(G367&lt;&gt;85)),IF(OR(F367="B",F367="G",F367="S",H367&gt;0),H367-H367+Z367,0),0)</f>
        <v>0</v>
      </c>
      <c r="Z367" s="111">
        <f>IF(AND(AM367&gt;0,AM367&lt;Feiertag),INDEX(Arbeitszeit,AM367),"")</f>
        <v>0.29166666666666669</v>
      </c>
      <c r="AA367" s="112">
        <f>V367-Y367</f>
        <v>0</v>
      </c>
      <c r="AB367" s="67" t="str">
        <f>IF((V367-Y367)&lt;0,"*","")</f>
        <v/>
      </c>
      <c r="AC367" s="193">
        <f>xOverTime</f>
        <v>0</v>
      </c>
      <c r="AD367" s="144" t="str">
        <f>IF((R367-U367)&gt;XWorkTimeMax,(R367-U367-XWorkTimeMax),"")</f>
        <v/>
      </c>
      <c r="AE367" s="225">
        <f>IF(AW367,(AE366+SUM(AA367)+(IF(AG367="+",AF367,-AF367))),)</f>
        <v>0</v>
      </c>
      <c r="AF367" s="110"/>
      <c r="AG367" s="627"/>
      <c r="AH367" s="110"/>
      <c r="AI367" s="110" t="str">
        <f>IF(AND(AF367&lt;&gt;"",AF367&lt;=V367),V367-AF367,"")</f>
        <v/>
      </c>
      <c r="AJ367" s="68">
        <f>IF(ISNUMBER(V367 ), IF( V367 &gt;= Y367, Y367, V367 ),"")</f>
        <v>0</v>
      </c>
      <c r="AK367" s="68">
        <f>IF( ISNUMBER( V367 ), IF( V367 &gt;= Y367, V367 - Y367, "" ), "" )</f>
        <v>0</v>
      </c>
      <c r="AL367" s="68" t="str">
        <f>IF( AND(ISNUMBER( V367 ),ISNUMBER( Y367 )), IF( V367 &gt;= Y367, "", Y367 - V367 ), "" )</f>
        <v/>
      </c>
      <c r="AM367">
        <f>IF(A367="",0,IF(ISERROR(VLOOKUP(A367,db_Feiertag,2,FALSE)),WEEKDAY(A367,2),Feiertag))</f>
        <v>4</v>
      </c>
      <c r="AN367" s="122">
        <f>SUM($AD$6:AD367)</f>
        <v>0</v>
      </c>
      <c r="AO367" s="122">
        <f ca="1">IF(D367=D366,AO366,OFFSET(AO367,-1,COLUMN(db_jSaldoGes)-COLUMN()))</f>
        <v>0</v>
      </c>
      <c r="AP367" s="126">
        <f>IF(OR($G367=-1,$G367=82),-1,IF(OR($G367=0,$G367=83),1,0))</f>
        <v>0</v>
      </c>
      <c r="AQ367" s="126">
        <f>IF($F367=Krank,1,IF($F367="J",-1,0))</f>
        <v>0</v>
      </c>
      <c r="AR367" s="126">
        <f>IF($F367=Urlaub,1,IF($F367="T",-1,0))</f>
        <v>0</v>
      </c>
      <c r="AS367" s="125">
        <f>IF(A367="","",AS366-IF(F367=Urlaub,1,0)+IF(AND(MONTH(A367)=1,DAY(A367)=1),B_UrlaubNeu,0))</f>
        <v>30</v>
      </c>
      <c r="AT367" s="125">
        <f ca="1">IF(A367="","",IF(D367=D366,AT366,OFFSET(AT367,-1,COLUMN(db_jUrlRest)-COLUMN()))+IF(AND(MONTH(A367)=1,DAY(A367)=1),B_UrlaubNeu,0))</f>
        <v>30</v>
      </c>
      <c r="AU367" s="135">
        <f>(IF(ISNUMBER(V367),V367,0)+IF(ISNUMBER(AD367),AD367,0))*24</f>
        <v>0</v>
      </c>
      <c r="AV367" s="125">
        <f>IF(ISNUMBER(AD367),K_ArbeitOverMax,IF(AND(ISNUMBER(AA367),AA367&gt;0),K_ArbeitOverTime,IF(AND(ISNUMBER(V367),V367&gt;0),K_ArbeitNormal,IF(F367=Krank,K_Krank,IF(F367=Urlaub,K_Urlaub,IF(AM367=Feiertag,K_Feiertag,IF(OR(AM367=6,AM367=7),K_Wochenende,0)))))))+IF(F367=Gleittag,K_Gleittag,0)</f>
        <v>0</v>
      </c>
      <c r="AW367" t="b">
        <f>OR((F367&gt;0),(NOT(ISBLANK(H367))),SUM(H367:H$373),SUM(G367:G$373))</f>
        <v>0</v>
      </c>
      <c r="AX367" t="b">
        <f ca="1">INDIRECT(ADDRESS(ROW(),COLUMN(xDay)))&gt;5</f>
        <v>0</v>
      </c>
      <c r="AY367" s="600">
        <f>IF(OR(R367&lt;&gt;0,F367&lt;&gt;0),AA367,IF(Z367="",0,-Z367))+(IF(AG367="+",AF367,-AF367))</f>
        <v>-0.29166666666666669</v>
      </c>
      <c r="AZ367" s="225">
        <f>SUM(AY$5:AY367)</f>
        <v>-72.333333333333258</v>
      </c>
      <c r="BA367" s="658"/>
      <c r="BB367" s="658">
        <f>IF(ISNA(MATCH(BA367,B_Arbeitsort,0)),0,MATCH(BA367,B_Arbeitsort,0))</f>
        <v>0</v>
      </c>
      <c r="BC367" s="658"/>
    </row>
    <row r="368" spans="1:55" ht="15.75">
      <c r="A368" s="305">
        <f>IF(A367="","",IF((A367+1)&gt;=DATE(YEAR(xJahr)+1,MONTH(xJahr),DAY(xJahr)),"",A367+1))</f>
        <v>43827</v>
      </c>
      <c r="B368" s="306">
        <f>IF(A368="","",A368)</f>
        <v>43827</v>
      </c>
      <c r="C368" s="307">
        <f>IF(A368="","",NumberOfWeek(A368))</f>
        <v>52</v>
      </c>
      <c r="D368" s="308">
        <f>IF(A368="","",DATE(YEAR(A368),MONTH(A368),1))</f>
        <v>43799</v>
      </c>
      <c r="E368" s="318" t="str">
        <f>IF((R368-U368)&gt;XWorkTimeMax,$Z$4,IF(AV368=Feiertag,VLOOKUP(B368,db_Feiertag,2,FALSE),""))</f>
        <v/>
      </c>
      <c r="F368" s="5"/>
      <c r="G368" s="6" t="str">
        <f>IF(ISBLANK(F368),IF(ISBLANK(H368),"",0),CODE(UPPER(F368)))</f>
        <v/>
      </c>
      <c r="H368" s="7"/>
      <c r="I368" s="7">
        <f>IF(H368&gt;0,H368+Y368+X368+AC368,0)</f>
        <v>0</v>
      </c>
      <c r="J368" s="113">
        <f>IF(K368&gt;I368,IF(I368&lt;H368,I368+1,I368)-B_WalkTime,IF(I368&lt;H368,I368+1,I368))</f>
        <v>0</v>
      </c>
      <c r="K368" s="7"/>
      <c r="L368" s="7">
        <f>IF(K368&gt;0,K368+IF((J368-H368)&lt;Y368,Y368-(J368-H368),TIME(0,10,0))+IF((K368-J368)&gt;xNoWorkTime,0,xNoWorkTime-(K368-J368)),0)</f>
        <v>0</v>
      </c>
      <c r="M368" s="113">
        <f>IF(L368&lt;K368,L368+1,L368)</f>
        <v>0</v>
      </c>
      <c r="N368" s="113"/>
      <c r="O368" s="113">
        <f>IF(N368&gt;0,N368+IF((J368-H368+M368-K368)&lt;Y368,Y368-(J368-H368+M368-K368),TIME(0,10,0))+IF((K368-J368+N368-M368)&gt;xNoWorkTime,0,xNoWorkTime-(K368-J368+N368-M368)),0)</f>
        <v>0</v>
      </c>
      <c r="P368" s="113"/>
      <c r="Q368" s="113">
        <f>IF(O368&lt;N368,O368+1,O368)</f>
        <v>0</v>
      </c>
      <c r="R368" s="113">
        <f>J368-H368+M368-K368+Q368-N368</f>
        <v>0</v>
      </c>
      <c r="S368" s="113">
        <f>IF(K368&gt;0,K368-I368,0)+IF(N368&gt;0,N368-L368)</f>
        <v>0</v>
      </c>
      <c r="T368" s="113">
        <f>IF(H368&gt;0,(IF(R368&gt;B_Pause1Nach,B_Pause1Dauer+IF(BA368="Büro",B_WalkTime,0),IF(BA368="Büro",B_WalkTime,0))+IF(R368&gt;B_Pause2Nach,B_Pause2Dauer,0)),0)</f>
        <v>0</v>
      </c>
      <c r="U368" s="113">
        <f>IF(T368&gt;S368,T368-S368,0)</f>
        <v>0</v>
      </c>
      <c r="V368" s="146">
        <f>IF(F368="S",Z368,(IF((R368-U368)&gt;XWorkTimeMax,XWorkTimeMax,IF((R368-U368)&gt;0,R368-U368,0))))</f>
        <v>0</v>
      </c>
      <c r="W368" s="66"/>
      <c r="X368" s="115">
        <f>xNoWorkTime</f>
        <v>4.027777777777778E-2</v>
      </c>
      <c r="Y368" s="110">
        <f>IF(AND((AM368&lt;Feiertag),(G368&lt;&gt;85)),IF(OR(F368="B",F368="G",F368="S",H368&gt;0),H368-H368+Z368,0),0)</f>
        <v>0</v>
      </c>
      <c r="Z368" s="111">
        <f>IF(AND(AM368&gt;0,AM368&lt;Feiertag),INDEX(Arbeitszeit,AM368),"")</f>
        <v>0.29166666666666669</v>
      </c>
      <c r="AA368" s="112">
        <f>V368-Y368</f>
        <v>0</v>
      </c>
      <c r="AB368" s="67" t="str">
        <f>IF((V368-Y368)&lt;0,"*","")</f>
        <v/>
      </c>
      <c r="AC368" s="193">
        <f>xOverTime</f>
        <v>0</v>
      </c>
      <c r="AD368" s="144" t="str">
        <f>IF((R368-U368)&gt;XWorkTimeMax,(R368-U368-XWorkTimeMax),"")</f>
        <v/>
      </c>
      <c r="AE368" s="225">
        <f>IF(AW368,(AE367+SUM(AA368)+(IF(AG368="+",AF368,-AF368))),)</f>
        <v>0</v>
      </c>
      <c r="AF368" s="110"/>
      <c r="AG368" s="627"/>
      <c r="AH368" s="110"/>
      <c r="AI368" s="110" t="str">
        <f>IF(AND(AF368&lt;&gt;"",AF368&lt;=V368),V368-AF368,"")</f>
        <v/>
      </c>
      <c r="AJ368" s="68">
        <f>IF(ISNUMBER(V368 ), IF( V368 &gt;= Y368, Y368, V368 ),"")</f>
        <v>0</v>
      </c>
      <c r="AK368" s="68">
        <f>IF( ISNUMBER( V368 ), IF( V368 &gt;= Y368, V368 - Y368, "" ), "" )</f>
        <v>0</v>
      </c>
      <c r="AL368" s="68" t="str">
        <f>IF( AND(ISNUMBER( V368 ),ISNUMBER( Y368 )), IF( V368 &gt;= Y368, "", Y368 - V368 ), "" )</f>
        <v/>
      </c>
      <c r="AM368">
        <f>IF(A368="",0,IF(ISERROR(VLOOKUP(A368,db_Feiertag,2,FALSE)),WEEKDAY(A368,2),Feiertag))</f>
        <v>5</v>
      </c>
      <c r="AN368" s="122">
        <f>SUM($AD$6:AD368)</f>
        <v>0</v>
      </c>
      <c r="AO368" s="122">
        <f ca="1">IF(D368=D367,AO367,OFFSET(AO368,-1,COLUMN(db_jSaldoGes)-COLUMN()))</f>
        <v>0</v>
      </c>
      <c r="AP368" s="126">
        <f>IF(OR($G368=-1,$G368=82),-1,IF(OR($G368=0,$G368=83),1,0))</f>
        <v>0</v>
      </c>
      <c r="AQ368" s="126">
        <f>IF($F368=Krank,1,IF($F368="J",-1,0))</f>
        <v>0</v>
      </c>
      <c r="AR368" s="126">
        <f>IF($F368=Urlaub,1,IF($F368="T",-1,0))</f>
        <v>0</v>
      </c>
      <c r="AS368" s="125">
        <f>IF(A368="","",AS367-IF(F368=Urlaub,1,0)+IF(AND(MONTH(A368)=1,DAY(A368)=1),B_UrlaubNeu,0))</f>
        <v>30</v>
      </c>
      <c r="AT368" s="125">
        <f ca="1">IF(A368="","",IF(D368=D367,AT367,OFFSET(AT368,-1,COLUMN(db_jUrlRest)-COLUMN()))+IF(AND(MONTH(A368)=1,DAY(A368)=1),B_UrlaubNeu,0))</f>
        <v>30</v>
      </c>
      <c r="AU368" s="135">
        <f>(IF(ISNUMBER(V368),V368,0)+IF(ISNUMBER(AD368),AD368,0))*24</f>
        <v>0</v>
      </c>
      <c r="AV368" s="125">
        <f>IF(ISNUMBER(AD368),K_ArbeitOverMax,IF(AND(ISNUMBER(AA368),AA368&gt;0),K_ArbeitOverTime,IF(AND(ISNUMBER(V368),V368&gt;0),K_ArbeitNormal,IF(F368=Krank,K_Krank,IF(F368=Urlaub,K_Urlaub,IF(AM368=Feiertag,K_Feiertag,IF(OR(AM368=6,AM368=7),K_Wochenende,0)))))))+IF(F368=Gleittag,K_Gleittag,0)</f>
        <v>0</v>
      </c>
      <c r="AW368" t="b">
        <f>OR((F368&gt;0),(NOT(ISBLANK(H368))),SUM(H368:H$373),SUM(G368:G$373))</f>
        <v>0</v>
      </c>
      <c r="AX368" t="b">
        <f ca="1">INDIRECT(ADDRESS(ROW(),COLUMN(xDay)))&gt;5</f>
        <v>0</v>
      </c>
      <c r="AY368" s="600">
        <f>IF(OR(R368&lt;&gt;0,F368&lt;&gt;0),AA368,IF(Z368="",0,-Z368))+(IF(AG368="+",AF368,-AF368))</f>
        <v>-0.29166666666666669</v>
      </c>
      <c r="AZ368" s="225">
        <f>SUM(AY$5:AY368)</f>
        <v>-72.624999999999929</v>
      </c>
      <c r="BA368" s="658"/>
      <c r="BB368" s="658">
        <f>IF(ISNA(MATCH(BA368,B_Arbeitsort,0)),0,MATCH(BA368,B_Arbeitsort,0))</f>
        <v>0</v>
      </c>
      <c r="BC368" s="658"/>
    </row>
    <row r="369" spans="1:55" ht="15.75">
      <c r="A369" s="305">
        <f>IF(A368="","",IF((A368+1)&gt;=DATE(YEAR(xJahr)+1,MONTH(xJahr),DAY(xJahr)),"",A368+1))</f>
        <v>43828</v>
      </c>
      <c r="B369" s="306">
        <f>IF(A369="","",A369)</f>
        <v>43828</v>
      </c>
      <c r="C369" s="307">
        <f>IF(A369="","",NumberOfWeek(A369))</f>
        <v>52</v>
      </c>
      <c r="D369" s="308">
        <f>IF(A369="","",DATE(YEAR(A369),MONTH(A369),1))</f>
        <v>43799</v>
      </c>
      <c r="E369" s="318" t="str">
        <f>IF((R369-U369)&gt;XWorkTimeMax,$Z$4,IF(AV369=Feiertag,VLOOKUP(B369,db_Feiertag,2,FALSE),""))</f>
        <v/>
      </c>
      <c r="F369" s="5"/>
      <c r="G369" s="6" t="str">
        <f>IF(ISBLANK(F369),IF(ISBLANK(H369),"",0),CODE(UPPER(F369)))</f>
        <v/>
      </c>
      <c r="H369" s="7"/>
      <c r="I369" s="7">
        <f>IF(H369&gt;0,H369+Y369+X369+AC369,0)</f>
        <v>0</v>
      </c>
      <c r="J369" s="113">
        <f>IF(K369&gt;I369,IF(I369&lt;H369,I369+1,I369)-B_WalkTime,IF(I369&lt;H369,I369+1,I369))</f>
        <v>0</v>
      </c>
      <c r="K369" s="7"/>
      <c r="L369" s="7">
        <f>IF(K369&gt;0,K369+IF((J369-H369)&lt;Y369,Y369-(J369-H369),TIME(0,10,0))+IF((K369-J369)&gt;xNoWorkTime,0,xNoWorkTime-(K369-J369)),0)</f>
        <v>0</v>
      </c>
      <c r="M369" s="113">
        <f>IF(L369&lt;K369,L369+1,L369)</f>
        <v>0</v>
      </c>
      <c r="N369" s="113"/>
      <c r="O369" s="113">
        <f>IF(N369&gt;0,N369+IF((J369-H369+M369-K369)&lt;Y369,Y369-(J369-H369+M369-K369),TIME(0,10,0))+IF((K369-J369+N369-M369)&gt;xNoWorkTime,0,xNoWorkTime-(K369-J369+N369-M369)),0)</f>
        <v>0</v>
      </c>
      <c r="P369" s="113"/>
      <c r="Q369" s="113">
        <f>IF(O369&lt;N369,O369+1,O369)</f>
        <v>0</v>
      </c>
      <c r="R369" s="113">
        <f>J369-H369+M369-K369+Q369-N369</f>
        <v>0</v>
      </c>
      <c r="S369" s="113">
        <f>IF(K369&gt;0,K369-I369,0)+IF(N369&gt;0,N369-L369)</f>
        <v>0</v>
      </c>
      <c r="T369" s="113">
        <f>IF(H369&gt;0,(IF(R369&gt;B_Pause1Nach,B_Pause1Dauer+IF(BA369="Büro",B_WalkTime,0),IF(BA369="Büro",B_WalkTime,0))+IF(R369&gt;B_Pause2Nach,B_Pause2Dauer,0)),0)</f>
        <v>0</v>
      </c>
      <c r="U369" s="113">
        <f>IF(T369&gt;S369,T369-S369,0)</f>
        <v>0</v>
      </c>
      <c r="V369" s="146">
        <f>IF(F369="S",Z369,(IF((R369-U369)&gt;XWorkTimeMax,XWorkTimeMax,IF((R369-U369)&gt;0,R369-U369,0))))</f>
        <v>0</v>
      </c>
      <c r="W369" s="66"/>
      <c r="X369" s="115">
        <f>xNoWorkTime</f>
        <v>4.027777777777778E-2</v>
      </c>
      <c r="Y369" s="110">
        <f>IF(AND((AM369&lt;Feiertag),(G369&lt;&gt;85)),IF(OR(F369="B",F369="G",F369="S",H369&gt;0),H369-H369+Z369,0),0)</f>
        <v>0</v>
      </c>
      <c r="Z369" s="111">
        <f>IF(AND(AM369&gt;0,AM369&lt;Feiertag),INDEX(Arbeitszeit,AM369),"")</f>
        <v>0</v>
      </c>
      <c r="AA369" s="112">
        <f>V369-Y369</f>
        <v>0</v>
      </c>
      <c r="AB369" s="67" t="str">
        <f>IF((V369-Y369)&lt;0,"*","")</f>
        <v/>
      </c>
      <c r="AC369" s="193">
        <f>xOverTime</f>
        <v>0</v>
      </c>
      <c r="AD369" s="144" t="str">
        <f>IF((R369-U369)&gt;XWorkTimeMax,(R369-U369-XWorkTimeMax),"")</f>
        <v/>
      </c>
      <c r="AE369" s="225">
        <f>IF(AW369,(AE368+SUM(AA369)+(IF(AG369="+",AF369,-AF369))),)</f>
        <v>0</v>
      </c>
      <c r="AF369" s="110"/>
      <c r="AG369" s="627"/>
      <c r="AH369" s="110"/>
      <c r="AI369" s="110" t="str">
        <f>IF(AND(AF369&lt;&gt;"",AF369&lt;=V369),V369-AF369,"")</f>
        <v/>
      </c>
      <c r="AJ369" s="68">
        <f>IF(ISNUMBER(V369 ), IF( V369 &gt;= Y369, Y369, V369 ),"")</f>
        <v>0</v>
      </c>
      <c r="AK369" s="68">
        <f>IF( ISNUMBER( V369 ), IF( V369 &gt;= Y369, V369 - Y369, "" ), "" )</f>
        <v>0</v>
      </c>
      <c r="AL369" s="68" t="str">
        <f>IF( AND(ISNUMBER( V369 ),ISNUMBER( Y369 )), IF( V369 &gt;= Y369, "", Y369 - V369 ), "" )</f>
        <v/>
      </c>
      <c r="AM369">
        <f>IF(A369="",0,IF(ISERROR(VLOOKUP(A369,db_Feiertag,2,FALSE)),WEEKDAY(A369,2),Feiertag))</f>
        <v>6</v>
      </c>
      <c r="AN369" s="122">
        <f>SUM($AD$6:AD369)</f>
        <v>0</v>
      </c>
      <c r="AO369" s="122">
        <f ca="1">IF(D369=D368,AO368,OFFSET(AO369,-1,COLUMN(db_jSaldoGes)-COLUMN()))</f>
        <v>0</v>
      </c>
      <c r="AP369" s="126">
        <f>IF(OR($G369=-1,$G369=82),-1,IF(OR($G369=0,$G369=83),1,0))</f>
        <v>0</v>
      </c>
      <c r="AQ369" s="126">
        <f>IF($F369=Krank,1,IF($F369="J",-1,0))</f>
        <v>0</v>
      </c>
      <c r="AR369" s="126">
        <f>IF($F369=Urlaub,1,IF($F369="T",-1,0))</f>
        <v>0</v>
      </c>
      <c r="AS369" s="125">
        <f>IF(A369="","",AS368-IF(F369=Urlaub,1,0)+IF(AND(MONTH(A369)=1,DAY(A369)=1),B_UrlaubNeu,0))</f>
        <v>30</v>
      </c>
      <c r="AT369" s="125">
        <f ca="1">IF(A369="","",IF(D369=D368,AT368,OFFSET(AT369,-1,COLUMN(db_jUrlRest)-COLUMN()))+IF(AND(MONTH(A369)=1,DAY(A369)=1),B_UrlaubNeu,0))</f>
        <v>30</v>
      </c>
      <c r="AU369" s="135">
        <f>(IF(ISNUMBER(V369),V369,0)+IF(ISNUMBER(AD369),AD369,0))*24</f>
        <v>0</v>
      </c>
      <c r="AV369" s="125">
        <f>IF(ISNUMBER(AD369),K_ArbeitOverMax,IF(AND(ISNUMBER(AA369),AA369&gt;0),K_ArbeitOverTime,IF(AND(ISNUMBER(V369),V369&gt;0),K_ArbeitNormal,IF(F369=Krank,K_Krank,IF(F369=Urlaub,K_Urlaub,IF(AM369=Feiertag,K_Feiertag,IF(OR(AM369=6,AM369=7),K_Wochenende,0)))))))+IF(F369=Gleittag,K_Gleittag,0)</f>
        <v>7</v>
      </c>
      <c r="AW369" t="b">
        <f>OR((F369&gt;0),(NOT(ISBLANK(H369))),SUM(H369:H$373),SUM(G369:G$373))</f>
        <v>0</v>
      </c>
      <c r="AX369" t="b">
        <f ca="1">INDIRECT(ADDRESS(ROW(),COLUMN(xDay)))&gt;5</f>
        <v>1</v>
      </c>
      <c r="AY369" s="600">
        <f>IF(OR(R369&lt;&gt;0,F369&lt;&gt;0),AA369,IF(Z369="",0,-Z369))+(IF(AG369="+",AF369,-AF369))</f>
        <v>0</v>
      </c>
      <c r="AZ369" s="225">
        <f>SUM(AY$5:AY369)</f>
        <v>-72.624999999999929</v>
      </c>
      <c r="BA369" s="643"/>
      <c r="BB369" s="658">
        <f>IF(ISNA(MATCH(BA369,B_Arbeitsort,0)),0,MATCH(BA369,B_Arbeitsort,0))</f>
        <v>0</v>
      </c>
      <c r="BC369" s="643"/>
    </row>
    <row r="370" spans="1:55" ht="15.75">
      <c r="A370" s="305">
        <f>IF(A369="","",IF((A369+1)&gt;=DATE(YEAR(xJahr)+1,MONTH(xJahr),DAY(xJahr)),"",A369+1))</f>
        <v>43829</v>
      </c>
      <c r="B370" s="306">
        <f>IF(A370="","",A370)</f>
        <v>43829</v>
      </c>
      <c r="C370" s="307">
        <f>IF(A370="","",NumberOfWeek(A370))</f>
        <v>52</v>
      </c>
      <c r="D370" s="308">
        <f>IF(A370="","",DATE(YEAR(A370),MONTH(A370),1))</f>
        <v>43799</v>
      </c>
      <c r="E370" s="318" t="str">
        <f>IF((R370-U370)&gt;XWorkTimeMax,$Z$4,IF(AV370=Feiertag,VLOOKUP(B370,db_Feiertag,2,FALSE),""))</f>
        <v/>
      </c>
      <c r="F370" s="5"/>
      <c r="G370" s="6" t="str">
        <f>IF(ISBLANK(F370),IF(ISBLANK(H370),"",0),CODE(UPPER(F370)))</f>
        <v/>
      </c>
      <c r="H370" s="7"/>
      <c r="I370" s="7">
        <f>IF(H370&gt;0,H370+Y370+X370+AC370,0)</f>
        <v>0</v>
      </c>
      <c r="J370" s="113">
        <f>IF(K370&gt;I370,IF(I370&lt;H370,I370+1,I370)-B_WalkTime,IF(I370&lt;H370,I370+1,I370))</f>
        <v>0</v>
      </c>
      <c r="K370" s="7"/>
      <c r="L370" s="7">
        <f>IF(K370&gt;0,K370+IF((J370-H370)&lt;Y370,Y370-(J370-H370),TIME(0,10,0))+IF((K370-J370)&gt;xNoWorkTime,0,xNoWorkTime-(K370-J370)),0)</f>
        <v>0</v>
      </c>
      <c r="M370" s="113">
        <f>IF(L370&lt;K370,L370+1,L370)</f>
        <v>0</v>
      </c>
      <c r="N370" s="113"/>
      <c r="O370" s="113">
        <f>IF(N370&gt;0,N370+IF((J370-H370+M370-K370)&lt;Y370,Y370-(J370-H370+M370-K370),TIME(0,10,0))+IF((K370-J370+N370-M370)&gt;xNoWorkTime,0,xNoWorkTime-(K370-J370+N370-M370)),0)</f>
        <v>0</v>
      </c>
      <c r="P370" s="113"/>
      <c r="Q370" s="113">
        <f>IF(O370&lt;N370,O370+1,O370)</f>
        <v>0</v>
      </c>
      <c r="R370" s="113">
        <f>J370-H370+M370-K370+Q370-N370</f>
        <v>0</v>
      </c>
      <c r="S370" s="113">
        <f>IF(K370&gt;0,K370-I370,0)+IF(N370&gt;0,N370-L370)</f>
        <v>0</v>
      </c>
      <c r="T370" s="113">
        <f>IF(H370&gt;0,(IF(R370&gt;B_Pause1Nach,B_Pause1Dauer+IF(BA370="Büro",B_WalkTime,0),IF(BA370="Büro",B_WalkTime,0))+IF(R370&gt;B_Pause2Nach,B_Pause2Dauer,0)),0)</f>
        <v>0</v>
      </c>
      <c r="U370" s="113">
        <f>IF(T370&gt;S370,T370-S370,0)</f>
        <v>0</v>
      </c>
      <c r="V370" s="146">
        <f>IF(F370="S",Z370,(IF((R370-U370)&gt;XWorkTimeMax,XWorkTimeMax,IF((R370-U370)&gt;0,R370-U370,0))))</f>
        <v>0</v>
      </c>
      <c r="W370" s="66"/>
      <c r="X370" s="115">
        <f>xNoWorkTime</f>
        <v>4.027777777777778E-2</v>
      </c>
      <c r="Y370" s="110">
        <f>IF(AND((AM370&lt;Feiertag),(G370&lt;&gt;85)),IF(OR(F370="B",F370="G",F370="S",H370&gt;0),H370-H370+Z370,0),0)</f>
        <v>0</v>
      </c>
      <c r="Z370" s="111">
        <f>IF(AND(AM370&gt;0,AM370&lt;Feiertag),INDEX(Arbeitszeit,AM370),"")</f>
        <v>0</v>
      </c>
      <c r="AA370" s="112">
        <f>V370-Y370</f>
        <v>0</v>
      </c>
      <c r="AB370" s="67" t="str">
        <f>IF((V370-Y370)&lt;0,"*","")</f>
        <v/>
      </c>
      <c r="AC370" s="193">
        <f>xOverTime</f>
        <v>0</v>
      </c>
      <c r="AD370" s="144" t="str">
        <f>IF((R370-U370)&gt;XWorkTimeMax,(R370-U370-XWorkTimeMax),"")</f>
        <v/>
      </c>
      <c r="AE370" s="225">
        <f>IF(AW370,(AE369+SUM(AA370)+(IF(AG370="+",AF370,-AF370))),)</f>
        <v>0</v>
      </c>
      <c r="AF370" s="110"/>
      <c r="AG370" s="627"/>
      <c r="AH370" s="110"/>
      <c r="AI370" s="110" t="str">
        <f>IF(AND(AF370&lt;&gt;"",AF370&lt;=V370),V370-AF370,"")</f>
        <v/>
      </c>
      <c r="AJ370" s="68">
        <f>IF(ISNUMBER(V370 ), IF( V370 &gt;= Y370, Y370, V370 ),"")</f>
        <v>0</v>
      </c>
      <c r="AK370" s="68">
        <f>IF( ISNUMBER( V370 ), IF( V370 &gt;= Y370, V370 - Y370, "" ), "" )</f>
        <v>0</v>
      </c>
      <c r="AL370" s="68" t="str">
        <f>IF( AND(ISNUMBER( V370 ),ISNUMBER( Y370 )), IF( V370 &gt;= Y370, "", Y370 - V370 ), "" )</f>
        <v/>
      </c>
      <c r="AM370">
        <f>IF(A370="",0,IF(ISERROR(VLOOKUP(A370,db_Feiertag,2,FALSE)),WEEKDAY(A370,2),Feiertag))</f>
        <v>7</v>
      </c>
      <c r="AN370" s="122">
        <f>SUM($AD$6:AD370)</f>
        <v>0</v>
      </c>
      <c r="AO370" s="122">
        <f ca="1">IF(D370=D369,AO369,OFFSET(AO370,-1,COLUMN(db_jSaldoGes)-COLUMN()))</f>
        <v>0</v>
      </c>
      <c r="AP370" s="126">
        <f>IF(OR($G370=-1,$G370=82),-1,IF(OR($G370=0,$G370=83),1,0))</f>
        <v>0</v>
      </c>
      <c r="AQ370" s="126">
        <f>IF($F370=Krank,1,IF($F370="J",-1,0))</f>
        <v>0</v>
      </c>
      <c r="AR370" s="126">
        <f>IF($F370=Urlaub,1,IF($F370="T",-1,0))</f>
        <v>0</v>
      </c>
      <c r="AS370" s="125">
        <f>IF(A370="","",AS369-IF(F370=Urlaub,1,0)+IF(AND(MONTH(A370)=1,DAY(A370)=1),B_UrlaubNeu,0))</f>
        <v>30</v>
      </c>
      <c r="AT370" s="125">
        <f ca="1">IF(A370="","",IF(D370=D369,AT369,OFFSET(AT370,-1,COLUMN(db_jUrlRest)-COLUMN()))+IF(AND(MONTH(A370)=1,DAY(A370)=1),B_UrlaubNeu,0))</f>
        <v>30</v>
      </c>
      <c r="AU370" s="135">
        <f>(IF(ISNUMBER(V370),V370,0)+IF(ISNUMBER(AD370),AD370,0))*24</f>
        <v>0</v>
      </c>
      <c r="AV370" s="125">
        <f>IF(ISNUMBER(AD370),K_ArbeitOverMax,IF(AND(ISNUMBER(AA370),AA370&gt;0),K_ArbeitOverTime,IF(AND(ISNUMBER(V370),V370&gt;0),K_ArbeitNormal,IF(F370=Krank,K_Krank,IF(F370=Urlaub,K_Urlaub,IF(AM370=Feiertag,K_Feiertag,IF(OR(AM370=6,AM370=7),K_Wochenende,0)))))))+IF(F370=Gleittag,K_Gleittag,0)</f>
        <v>7</v>
      </c>
      <c r="AW370" t="b">
        <f>OR((F370&gt;0),(NOT(ISBLANK(H370))),SUM(H370:H$373),SUM(G370:G$373))</f>
        <v>0</v>
      </c>
      <c r="AX370" t="b">
        <f ca="1">INDIRECT(ADDRESS(ROW(),COLUMN(xDay)))&gt;5</f>
        <v>1</v>
      </c>
      <c r="AY370" s="600">
        <f>IF(OR(R370&lt;&gt;0,F370&lt;&gt;0),AA370,IF(Z370="",0,-Z370))+(IF(AG370="+",AF370,-AF370))</f>
        <v>0</v>
      </c>
      <c r="AZ370" s="225">
        <f>SUM(AY$5:AY370)</f>
        <v>-72.624999999999929</v>
      </c>
      <c r="BA370" s="643"/>
      <c r="BB370" s="658">
        <f>IF(ISNA(MATCH(BA370,B_Arbeitsort,0)),0,MATCH(BA370,B_Arbeitsort,0))</f>
        <v>0</v>
      </c>
      <c r="BC370" s="643"/>
    </row>
    <row r="371" spans="1:55" ht="15.75">
      <c r="A371" s="305" t="str">
        <f>IF(A370="","",IF((A370+1)&gt;=DATE(YEAR(xJahr)+1,MONTH(xJahr),DAY(xJahr)),"",A370+1))</f>
        <v/>
      </c>
      <c r="B371" s="306" t="str">
        <f>IF(A371="","",A371)</f>
        <v/>
      </c>
      <c r="C371" s="307" t="str">
        <f>IF(A371="","",NumberOfWeek(A371))</f>
        <v/>
      </c>
      <c r="D371" s="308" t="str">
        <f>IF(A371="","",DATE(YEAR(A371),MONTH(A371),1))</f>
        <v/>
      </c>
      <c r="E371" s="318" t="str">
        <f>IF((R371-U371)&gt;XWorkTimeMax,$Z$4,IF(AV371=Feiertag,VLOOKUP(B371,db_Feiertag,2,FALSE),""))</f>
        <v/>
      </c>
      <c r="F371" s="5"/>
      <c r="G371" s="6" t="str">
        <f>IF(ISBLANK(F371),IF(ISBLANK(H371),"",0),CODE(UPPER(F371)))</f>
        <v/>
      </c>
      <c r="H371" s="7"/>
      <c r="I371" s="7">
        <f>IF(H371&gt;0,H371+Y371+X371+AC371,0)</f>
        <v>0</v>
      </c>
      <c r="J371" s="113">
        <f>IF(K371&gt;I371,IF(I371&lt;H371,I371+1,I371)-B_WalkTime,IF(I371&lt;H371,I371+1,I371))</f>
        <v>0</v>
      </c>
      <c r="K371" s="7"/>
      <c r="L371" s="7">
        <f>IF(K371&gt;0,K371+IF((J371-H371)&lt;Y371,Y371-(J371-H371),TIME(0,10,0))+IF((K371-J371)&gt;xNoWorkTime,0,xNoWorkTime-(K371-J371)),0)</f>
        <v>0</v>
      </c>
      <c r="M371" s="113">
        <f>IF(L371&lt;K371,L371+1,L371)</f>
        <v>0</v>
      </c>
      <c r="N371" s="113"/>
      <c r="O371" s="113">
        <f>IF(N371&gt;0,N371+IF((J371-H371+M371-K371)&lt;Y371,Y371-(J371-H371+M371-K371),TIME(0,10,0))+IF((K371-J371+N371-M371)&gt;xNoWorkTime,0,xNoWorkTime-(K371-J371+N371-M371)),0)</f>
        <v>0</v>
      </c>
      <c r="P371" s="113"/>
      <c r="Q371" s="113">
        <f>IF(O371&lt;N371,O371+1,O371)</f>
        <v>0</v>
      </c>
      <c r="R371" s="113">
        <f>J371-H371+M371-K371+Q371-N371</f>
        <v>0</v>
      </c>
      <c r="S371" s="113">
        <f>IF(K371&gt;0,K371-I371,0)+IF(N371&gt;0,N371-L371)</f>
        <v>0</v>
      </c>
      <c r="T371" s="113">
        <f>IF(H371&gt;0,(IF(R371&gt;B_Pause1Nach,B_Pause1Dauer+IF(BA371="Büro",B_WalkTime,0),IF(BA371="Büro",B_WalkTime,0))+IF(R371&gt;B_Pause2Nach,B_Pause2Dauer,0)),0)</f>
        <v>0</v>
      </c>
      <c r="U371" s="113">
        <f>IF(T371&gt;S371,T371-S371,0)</f>
        <v>0</v>
      </c>
      <c r="V371" s="146">
        <f>IF(F371="S",Z371,(IF((R371-U371)&gt;XWorkTimeMax,XWorkTimeMax,IF((R371-U371)&gt;0,R371-U371,0))))</f>
        <v>0</v>
      </c>
      <c r="W371" s="66"/>
      <c r="X371" s="115">
        <f>xNoWorkTime</f>
        <v>4.027777777777778E-2</v>
      </c>
      <c r="Y371" s="110">
        <f>IF(AND((AM371&lt;Feiertag),(G371&lt;&gt;85)),IF(OR(F371="B",F371="G",F371="S",H371&gt;0),H371-H371+Z371,0),0)</f>
        <v>0</v>
      </c>
      <c r="Z371" s="111" t="str">
        <f>IF(AND(AM371&gt;0,AM371&lt;Feiertag),INDEX(Arbeitszeit,AM371),"")</f>
        <v/>
      </c>
      <c r="AA371" s="112">
        <f>V371-Y371</f>
        <v>0</v>
      </c>
      <c r="AB371" s="67" t="str">
        <f>IF((V371-Y371)&lt;0,"*","")</f>
        <v/>
      </c>
      <c r="AC371" s="193">
        <f>xOverTime</f>
        <v>0</v>
      </c>
      <c r="AD371" s="144" t="str">
        <f>IF((R371-U371)&gt;XWorkTimeMax,(R371-U371-XWorkTimeMax),"")</f>
        <v/>
      </c>
      <c r="AE371" s="225">
        <f>IF(AW371,(AE370+SUM(AA371)+(IF(AG371="+",AF371,-AF371))),)</f>
        <v>0</v>
      </c>
      <c r="AF371" s="110"/>
      <c r="AG371" s="627"/>
      <c r="AH371" s="110"/>
      <c r="AI371" s="110" t="str">
        <f>IF(AND(AF371&lt;&gt;"",AF371&lt;=V371),V371-AF371,"")</f>
        <v/>
      </c>
      <c r="AJ371" s="68">
        <f>IF(ISNUMBER(V371 ), IF( V371 &gt;= Y371, Y371, V371 ),"")</f>
        <v>0</v>
      </c>
      <c r="AK371" s="68">
        <f>IF( ISNUMBER( V371 ), IF( V371 &gt;= Y371, V371 - Y371, "" ), "" )</f>
        <v>0</v>
      </c>
      <c r="AL371" s="68" t="str">
        <f>IF( AND(ISNUMBER( V371 ),ISNUMBER( Y371 )), IF( V371 &gt;= Y371, "", Y371 - V371 ), "" )</f>
        <v/>
      </c>
      <c r="AM371">
        <f>IF(A371="",0,IF(ISERROR(VLOOKUP(A371,db_Feiertag,2,FALSE)),WEEKDAY(A371,2),Feiertag))</f>
        <v>0</v>
      </c>
      <c r="AN371" s="122">
        <f>SUM($AD$6:AD371)</f>
        <v>0</v>
      </c>
      <c r="AO371" s="122">
        <f ca="1">IF(D371=D370,AO370,OFFSET(AO371,-1,COLUMN(db_jSaldoGes)-COLUMN()))</f>
        <v>0</v>
      </c>
      <c r="AP371" s="126">
        <f>IF(OR($G371=-1,$G371=82),-1,IF(OR($G371=0,$G371=83),1,0))</f>
        <v>0</v>
      </c>
      <c r="AQ371" s="126">
        <f>IF($F371=Krank,1,IF($F371="J",-1,0))</f>
        <v>0</v>
      </c>
      <c r="AR371" s="126">
        <f>IF($F371=Urlaub,1,IF($F371="T",-1,0))</f>
        <v>0</v>
      </c>
      <c r="AS371" s="125" t="str">
        <f>IF(A371="","",AS370-IF(F371=Urlaub,1,0)+IF(AND(MONTH(A371)=1,DAY(A371)=1),B_UrlaubNeu,0))</f>
        <v/>
      </c>
      <c r="AT371" s="125" t="str">
        <f ca="1">IF(A371="","",IF(D371=D370,AT370,OFFSET(AT371,-1,COLUMN(db_jUrlRest)-COLUMN()))+IF(AND(MONTH(A371)=1,DAY(A371)=1),B_UrlaubNeu,0))</f>
        <v/>
      </c>
      <c r="AU371" s="135">
        <f>(IF(ISNUMBER(V371),V371,0)+IF(ISNUMBER(AD371),AD371,0))*24</f>
        <v>0</v>
      </c>
      <c r="AV371" s="125">
        <f>IF(ISNUMBER(AD371),K_ArbeitOverMax,IF(AND(ISNUMBER(AA371),AA371&gt;0),K_ArbeitOverTime,IF(AND(ISNUMBER(V371),V371&gt;0),K_ArbeitNormal,IF(F371=Krank,K_Krank,IF(F371=Urlaub,K_Urlaub,IF(AM371=Feiertag,K_Feiertag,IF(OR(AM371=6,AM371=7),K_Wochenende,0)))))))+IF(F371=Gleittag,K_Gleittag,0)</f>
        <v>0</v>
      </c>
      <c r="AW371" t="b">
        <f>OR((F371&gt;0),(NOT(ISBLANK(H371))),SUM(H371:H$373),SUM(G371:G$373))</f>
        <v>0</v>
      </c>
      <c r="AX371" t="b">
        <f ca="1">INDIRECT(ADDRESS(ROW(),COLUMN(xDay)))&gt;5</f>
        <v>0</v>
      </c>
      <c r="AY371" s="600">
        <f>IF(OR(R371&lt;&gt;0,F371&lt;&gt;0),AA371,IF(Z371="",0,-Z371))+(IF(AG371="+",AF371,-AF371))</f>
        <v>0</v>
      </c>
      <c r="AZ371" s="225">
        <f>SUM(AY$5:AY371)</f>
        <v>-72.624999999999929</v>
      </c>
      <c r="BA371" s="658"/>
      <c r="BB371" s="658">
        <f>IF(ISNA(MATCH(BA371,B_Arbeitsort,0)),0,MATCH(BA371,B_Arbeitsort,0))</f>
        <v>0</v>
      </c>
      <c r="BC371" s="658"/>
    </row>
    <row r="372" spans="1:55" ht="15.75">
      <c r="A372" s="305" t="str">
        <f>IF(A371="","",IF((A371+1)&gt;=DATE(YEAR(xJahr)+1,MONTH(xJahr),DAY(xJahr)),"",A371+1))</f>
        <v/>
      </c>
      <c r="B372" s="306" t="str">
        <f>IF(A372="","",A372)</f>
        <v/>
      </c>
      <c r="C372" s="307" t="str">
        <f>IF(A372="","",NumberOfWeek(A372))</f>
        <v/>
      </c>
      <c r="D372" s="308" t="str">
        <f>IF(A372="","",DATE(YEAR(A372),MONTH(A372),1))</f>
        <v/>
      </c>
      <c r="E372" s="318" t="str">
        <f>IF((R372-U372)&gt;XWorkTimeMax,$Z$4,IF(AV372=Feiertag,VLOOKUP(B372,db_Feiertag,2,FALSE),""))</f>
        <v/>
      </c>
      <c r="F372" s="5"/>
      <c r="G372" s="6" t="str">
        <f>IF(ISBLANK(F372),IF(ISBLANK(H372),"",0),CODE(UPPER(F372)))</f>
        <v/>
      </c>
      <c r="H372" s="7"/>
      <c r="I372" s="7">
        <f>IF(H372&gt;0,H372+Y372+X372+AC372,0)</f>
        <v>0</v>
      </c>
      <c r="J372" s="113">
        <f>IF(K372&gt;I372,IF(I372&lt;H372,I372+1,I372)-B_WalkTime,IF(I372&lt;H372,I372+1,I372))</f>
        <v>0</v>
      </c>
      <c r="K372" s="7"/>
      <c r="L372" s="7">
        <f>IF(K372&gt;0,K372+IF((J372-H372)&lt;Y372,Y372-(J372-H372),TIME(0,10,0))+IF((K372-J372)&gt;xNoWorkTime,0,xNoWorkTime-(K372-J372)),0)</f>
        <v>0</v>
      </c>
      <c r="M372" s="113">
        <f>IF(L372&lt;K372,L372+1,L372)</f>
        <v>0</v>
      </c>
      <c r="N372" s="113"/>
      <c r="O372" s="113">
        <f>IF(N372&gt;0,N372+IF((J372-H372+M372-K372)&lt;Y372,Y372-(J372-H372+M372-K372),TIME(0,10,0))+IF((K372-J372+N372-M372)&gt;xNoWorkTime,0,xNoWorkTime-(K372-J372+N372-M372)),0)</f>
        <v>0</v>
      </c>
      <c r="P372" s="113"/>
      <c r="Q372" s="113">
        <f>IF(O372&lt;N372,O372+1,O372)</f>
        <v>0</v>
      </c>
      <c r="R372" s="113">
        <f>J372-H372+M372-K372+Q372-N372</f>
        <v>0</v>
      </c>
      <c r="S372" s="113">
        <f>IF(K372&gt;0,K372-I372,0)+IF(N372&gt;0,N372-L372)</f>
        <v>0</v>
      </c>
      <c r="T372" s="113">
        <f>IF(H372&gt;0,(IF(R372&gt;B_Pause1Nach,B_Pause1Dauer+IF(BA372="Büro",B_WalkTime,0),IF(BA372="Büro",B_WalkTime,0))+IF(R372&gt;B_Pause2Nach,B_Pause2Dauer,0)),0)</f>
        <v>0</v>
      </c>
      <c r="U372" s="113">
        <f>IF(T372&gt;S372,T372-S372,0)</f>
        <v>0</v>
      </c>
      <c r="V372" s="146">
        <f>IF(F372="S",Z372,(IF((R372-U372)&gt;XWorkTimeMax,XWorkTimeMax,IF((R372-U372)&gt;0,R372-U372,0))))</f>
        <v>0</v>
      </c>
      <c r="W372" s="66"/>
      <c r="X372" s="115">
        <f>xNoWorkTime</f>
        <v>4.027777777777778E-2</v>
      </c>
      <c r="Y372" s="110">
        <f>IF(AND((AM372&lt;Feiertag),(G372&lt;&gt;85)),IF(OR(F372="B",F372="G",F372="S",H372&gt;0),H372-H372+Z372,0),0)</f>
        <v>0</v>
      </c>
      <c r="Z372" s="111" t="str">
        <f>IF(AND(AM372&gt;0,AM372&lt;Feiertag),INDEX(Arbeitszeit,AM372),"")</f>
        <v/>
      </c>
      <c r="AA372" s="112">
        <f>V372-Y372</f>
        <v>0</v>
      </c>
      <c r="AB372" s="67" t="str">
        <f>IF((V372-Y372)&lt;0,"*","")</f>
        <v/>
      </c>
      <c r="AC372" s="193">
        <f>xOverTime</f>
        <v>0</v>
      </c>
      <c r="AD372" s="144" t="str">
        <f>IF((R372-U372)&gt;XWorkTimeMax,(R372-U372-XWorkTimeMax),"")</f>
        <v/>
      </c>
      <c r="AE372" s="225">
        <f>IF(AW372,(AE371+SUM(AA372)+(IF(AG372="+",AF372,-AF372))),)</f>
        <v>0</v>
      </c>
      <c r="AF372" s="110"/>
      <c r="AG372" s="627"/>
      <c r="AH372" s="110"/>
      <c r="AI372" s="110" t="str">
        <f>IF(AND(AF372&lt;&gt;"",AF372&lt;=V372),V372-AF372,"")</f>
        <v/>
      </c>
      <c r="AJ372" s="68">
        <f>IF(ISNUMBER(V372 ), IF( V372 &gt;= Y372, Y372, V372 ),"")</f>
        <v>0</v>
      </c>
      <c r="AK372" s="68">
        <f>IF( ISNUMBER( V372 ), IF( V372 &gt;= Y372, V372 - Y372, "" ), "" )</f>
        <v>0</v>
      </c>
      <c r="AL372" s="68" t="str">
        <f>IF( AND(ISNUMBER( V372 ),ISNUMBER( Y372 )), IF( V372 &gt;= Y372, "", Y372 - V372 ), "" )</f>
        <v/>
      </c>
      <c r="AM372">
        <f>IF(A372="",0,IF(ISERROR(VLOOKUP(A372,db_Feiertag,2,FALSE)),WEEKDAY(A372,2),Feiertag))</f>
        <v>0</v>
      </c>
      <c r="AN372" s="122">
        <f>SUM($AD$6:AD372)</f>
        <v>0</v>
      </c>
      <c r="AO372" s="122">
        <f ca="1">IF(D372=D371,AO371,OFFSET(AO372,-1,COLUMN(db_jSaldoGes)-COLUMN()))</f>
        <v>0</v>
      </c>
      <c r="AP372" s="126">
        <f>IF(OR($G372=-1,$G372=82),-1,IF(OR($G372=0,$G372=83),1,0))</f>
        <v>0</v>
      </c>
      <c r="AQ372" s="126">
        <f>IF($F372=Krank,1,IF($F372="J",-1,0))</f>
        <v>0</v>
      </c>
      <c r="AR372" s="126">
        <f>IF($F372=Urlaub,1,IF($F372="T",-1,0))</f>
        <v>0</v>
      </c>
      <c r="AS372" s="125" t="str">
        <f>IF(A372="","",AS371-IF(F372=Urlaub,1,0)+IF(AND(MONTH(A372)=1,DAY(A372)=1),B_UrlaubNeu,0))</f>
        <v/>
      </c>
      <c r="AT372" s="125" t="str">
        <f ca="1">IF(A372="","",IF(D372=D371,AT371,OFFSET(AT372,-1,COLUMN(db_jUrlRest)-COLUMN()))+IF(AND(MONTH(A372)=1,DAY(A372)=1),B_UrlaubNeu,0))</f>
        <v/>
      </c>
      <c r="AU372" s="135">
        <f>(IF(ISNUMBER(V372),V372,0)+IF(ISNUMBER(AD372),AD372,0))*24</f>
        <v>0</v>
      </c>
      <c r="AV372" s="125">
        <f>IF(ISNUMBER(AD372),K_ArbeitOverMax,IF(AND(ISNUMBER(AA372),AA372&gt;0),K_ArbeitOverTime,IF(AND(ISNUMBER(V372),V372&gt;0),K_ArbeitNormal,IF(F372=Krank,K_Krank,IF(F372=Urlaub,K_Urlaub,IF(AM372=Feiertag,K_Feiertag,IF(OR(AM372=6,AM372=7),K_Wochenende,0)))))))+IF(F372=Gleittag,K_Gleittag,0)</f>
        <v>0</v>
      </c>
      <c r="AW372" t="b">
        <f>OR((F372&gt;0),(NOT(ISBLANK(H372))),SUM(H372:H$373),SUM(G372:G$373))</f>
        <v>0</v>
      </c>
      <c r="AX372" t="b">
        <f ca="1">INDIRECT(ADDRESS(ROW(),COLUMN(xDay)))&gt;5</f>
        <v>0</v>
      </c>
      <c r="AY372" s="600">
        <f>IF(OR(R372&lt;&gt;0,F372&lt;&gt;0),AA372,IF(Z372="",0,-Z372))+(IF(AG372="+",AF372,-AF372))</f>
        <v>0</v>
      </c>
      <c r="AZ372" s="225">
        <f>SUM(AY$5:AY372)</f>
        <v>-72.624999999999929</v>
      </c>
      <c r="BA372" s="658"/>
      <c r="BB372" s="658">
        <f>IF(ISNA(MATCH(BA372,B_Arbeitsort,0)),0,MATCH(BA372,B_Arbeitsort,0))</f>
        <v>0</v>
      </c>
      <c r="BC372" s="658"/>
    </row>
    <row r="373" spans="1:55" ht="15.75">
      <c r="A373" s="305" t="str">
        <f>IF(A372="","",IF((A372+1)&gt;=DATE(YEAR(xJahr)+1,MONTH(xJahr),DAY(xJahr)),"",A372+1))</f>
        <v/>
      </c>
      <c r="B373" s="306" t="str">
        <f>IF(A373="","",A373)</f>
        <v/>
      </c>
      <c r="C373" s="307" t="str">
        <f>IF(A373="","",NumberOfWeek(A373))</f>
        <v/>
      </c>
      <c r="D373" s="308" t="str">
        <f>IF(A373="","",DATE(YEAR(A373),MONTH(A373),1))</f>
        <v/>
      </c>
      <c r="E373" s="318" t="str">
        <f>IF((R373-U373)&gt;XWorkTimeMax,$Z$4,IF(AV373=Feiertag,VLOOKUP(B373,db_Feiertag,2,FALSE),""))</f>
        <v/>
      </c>
      <c r="F373" s="5"/>
      <c r="G373" s="6" t="str">
        <f>IF(ISBLANK(F373),IF(ISBLANK(H373),"",0),CODE(UPPER(F373)))</f>
        <v/>
      </c>
      <c r="H373" s="7"/>
      <c r="I373" s="7">
        <f>IF(H373&gt;0,H373+Y373+X373+AC373,0)</f>
        <v>0</v>
      </c>
      <c r="J373" s="113">
        <f>IF(K373&gt;I373,IF(I373&lt;H373,I373+1,I373)-B_WalkTime,IF(I373&lt;H373,I373+1,I373))</f>
        <v>0</v>
      </c>
      <c r="K373" s="7"/>
      <c r="L373" s="7">
        <f>IF(K373&gt;0,K373+IF((J373-H373)&lt;Y373,Y373-(J373-H373),TIME(0,10,0))+IF((K373-J373)&gt;xNoWorkTime,0,xNoWorkTime-(K373-J373)),0)</f>
        <v>0</v>
      </c>
      <c r="M373" s="113">
        <f>IF(L373&lt;K373,L373+1,L373)</f>
        <v>0</v>
      </c>
      <c r="N373" s="113"/>
      <c r="O373" s="113">
        <f>IF(N373&gt;0,N373+IF((J373-H373+M373-K373)&lt;Y373,Y373-(J373-H373+M373-K373),TIME(0,10,0))+IF((K373-J373+N373-M373)&gt;xNoWorkTime,0,xNoWorkTime-(K373-J373+N373-M373)),0)</f>
        <v>0</v>
      </c>
      <c r="P373" s="113"/>
      <c r="Q373" s="113">
        <f>IF(O373&lt;N373,O373+1,O373)</f>
        <v>0</v>
      </c>
      <c r="R373" s="113">
        <f>J373-H373+M373-K373+Q373-N373</f>
        <v>0</v>
      </c>
      <c r="S373" s="113">
        <f>IF(K373&gt;0,K373-I373,0)+IF(N373&gt;0,N373-L373)</f>
        <v>0</v>
      </c>
      <c r="T373" s="113">
        <f>IF(H373&gt;0,(IF(R373&gt;B_Pause1Nach,B_Pause1Dauer+IF(BA373="Büro",B_WalkTime,0),IF(BA373="Büro",B_WalkTime,0))+IF(R373&gt;B_Pause2Nach,B_Pause2Dauer,0)),0)</f>
        <v>0</v>
      </c>
      <c r="U373" s="113">
        <f>IF(T373&gt;S373,T373-S373,0)</f>
        <v>0</v>
      </c>
      <c r="V373" s="146">
        <f>IF(F373="S",Z373,(IF((R373-U373)&gt;XWorkTimeMax,XWorkTimeMax,IF((R373-U373)&gt;0,R373-U373,0))))</f>
        <v>0</v>
      </c>
      <c r="W373" s="66"/>
      <c r="X373" s="115">
        <f>xNoWorkTime</f>
        <v>4.027777777777778E-2</v>
      </c>
      <c r="Y373" s="110">
        <f>IF(AND((AM373&lt;Feiertag),(G373&lt;&gt;85)),IF(OR(F373="B",F373="G",F373="S",H373&gt;0),H373-H373+Z373,0),0)</f>
        <v>0</v>
      </c>
      <c r="Z373" s="111" t="str">
        <f>IF(AND(AM373&gt;0,AM373&lt;Feiertag),INDEX(Arbeitszeit,AM373),"")</f>
        <v/>
      </c>
      <c r="AA373" s="112">
        <f>V373-Y373</f>
        <v>0</v>
      </c>
      <c r="AB373" s="67" t="str">
        <f>IF((V373-Y373)&lt;0,"*","")</f>
        <v/>
      </c>
      <c r="AC373" s="193">
        <f>xOverTime</f>
        <v>0</v>
      </c>
      <c r="AD373" s="144" t="str">
        <f>IF((R373-U373)&gt;XWorkTimeMax,(R373-U373-XWorkTimeMax),"")</f>
        <v/>
      </c>
      <c r="AE373" s="225">
        <f>IF(AW373,(AE372+SUM(AA373)+(IF(AG373="+",AF373,-AF373))),)</f>
        <v>0</v>
      </c>
      <c r="AF373" s="110"/>
      <c r="AG373" s="627"/>
      <c r="AH373" s="110"/>
      <c r="AI373" s="110" t="str">
        <f>IF(AND(AF373&lt;&gt;"",AF373&lt;=V373),V373-AF373,"")</f>
        <v/>
      </c>
      <c r="AJ373" s="68">
        <f>IF(ISNUMBER(V373 ), IF( V373 &gt;= Y373, Y373, V373 ),"")</f>
        <v>0</v>
      </c>
      <c r="AK373" s="68">
        <f>IF( ISNUMBER( V373 ), IF( V373 &gt;= Y373, V373 - Y373, "" ), "" )</f>
        <v>0</v>
      </c>
      <c r="AL373" s="68" t="str">
        <f>IF( AND(ISNUMBER( V373 ),ISNUMBER( Y373 )), IF( V373 &gt;= Y373, "", Y373 - V373 ), "" )</f>
        <v/>
      </c>
      <c r="AM373">
        <f>IF(A373="",0,IF(ISERROR(VLOOKUP(A373,db_Feiertag,2,FALSE)),WEEKDAY(A373,2),Feiertag))</f>
        <v>0</v>
      </c>
      <c r="AN373" s="122">
        <f>SUM($AD$6:AD373)</f>
        <v>0</v>
      </c>
      <c r="AO373" s="122">
        <f ca="1">IF(D373=D372,AO372,OFFSET(AO373,-1,COLUMN(db_jSaldoGes)-COLUMN()))</f>
        <v>0</v>
      </c>
      <c r="AP373" s="126">
        <f>IF(OR($G373=-1,$G373=82),-1,IF(OR($G373=0,$G373=83),1,0))</f>
        <v>0</v>
      </c>
      <c r="AQ373" s="126">
        <f>IF($F373=Krank,1,IF($F373="J",-1,0))</f>
        <v>0</v>
      </c>
      <c r="AR373" s="126">
        <f>IF($F373=Urlaub,1,IF($F373="T",-1,0))</f>
        <v>0</v>
      </c>
      <c r="AS373" s="125" t="str">
        <f>IF(A373="","",AS372-IF(F373=Urlaub,1,0)+IF(AND(MONTH(A373)=1,DAY(A373)=1),B_UrlaubNeu,0))</f>
        <v/>
      </c>
      <c r="AT373" s="125" t="str">
        <f ca="1">IF(A373="","",IF(D373=D372,AT372,OFFSET(AT373,-1,COLUMN(db_jUrlRest)-COLUMN()))+IF(AND(MONTH(A373)=1,DAY(A373)=1),B_UrlaubNeu,0))</f>
        <v/>
      </c>
      <c r="AU373" s="135">
        <f>(IF(ISNUMBER(V373),V373,0)+IF(ISNUMBER(AD373),AD373,0))*24</f>
        <v>0</v>
      </c>
      <c r="AV373" s="125">
        <f>IF(ISNUMBER(AD373),K_ArbeitOverMax,IF(AND(ISNUMBER(AA373),AA373&gt;0),K_ArbeitOverTime,IF(AND(ISNUMBER(V373),V373&gt;0),K_ArbeitNormal,IF(F373=Krank,K_Krank,IF(F373=Urlaub,K_Urlaub,IF(AM373=Feiertag,K_Feiertag,IF(OR(AM373=6,AM373=7),K_Wochenende,0)))))))+IF(F373=Gleittag,K_Gleittag,0)</f>
        <v>0</v>
      </c>
      <c r="AW373" t="b">
        <f>OR((F373&gt;0),(NOT(ISBLANK(H373))),SUM(H373:H$373),SUM(G373:G$373))</f>
        <v>0</v>
      </c>
      <c r="AX373" t="b">
        <f ca="1">INDIRECT(ADDRESS(ROW(),COLUMN(xDay)))&gt;5</f>
        <v>0</v>
      </c>
      <c r="AY373" s="600">
        <f>IF(OR(R373&lt;&gt;0,F373&lt;&gt;0),AA373,IF(Z373="",0,-Z373))+(IF(AG373="+",AF373,-AF373))</f>
        <v>0</v>
      </c>
      <c r="AZ373" s="225">
        <f>SUM(AY$5:AY373)</f>
        <v>-72.624999999999929</v>
      </c>
      <c r="BA373" s="658"/>
      <c r="BB373" s="658">
        <f>IF(ISNA(MATCH(BA373,B_Arbeitsort,0)),0,MATCH(BA373,B_Arbeitsort,0))</f>
        <v>0</v>
      </c>
      <c r="BC373" s="658"/>
    </row>
    <row r="374" spans="1:55" s="1" customFormat="1" ht="12.75" customHeight="1">
      <c r="A374" s="8"/>
      <c r="B374" s="8"/>
      <c r="C374" s="8"/>
      <c r="D374" s="9"/>
      <c r="E374" s="678">
        <f>SUBTOTAL(3,F6:F373)</f>
        <v>0</v>
      </c>
      <c r="F374" s="678"/>
      <c r="G374" s="8"/>
      <c r="H374" s="661" t="s">
        <v>247</v>
      </c>
      <c r="I374" s="319"/>
      <c r="J374" s="320"/>
      <c r="K374" s="320"/>
      <c r="L374" s="320"/>
      <c r="M374" s="320"/>
      <c r="N374" s="320"/>
      <c r="O374" s="320"/>
      <c r="P374" s="320"/>
      <c r="Q374" s="320"/>
      <c r="R374" s="320"/>
      <c r="S374" s="320"/>
      <c r="T374" s="320"/>
      <c r="U374" s="320"/>
      <c r="V374" s="321">
        <f>SUBTOTAL(9,V6:V373)</f>
        <v>0</v>
      </c>
      <c r="W374" s="322"/>
      <c r="X374" s="315"/>
      <c r="Y374" s="321">
        <f>SUBTOTAL(9,Y6:Y373)</f>
        <v>0</v>
      </c>
      <c r="Z374" s="316"/>
      <c r="AA374" s="323">
        <f>SUBTOTAL(9,AA6:AA373)</f>
        <v>0</v>
      </c>
      <c r="AB374" s="322"/>
      <c r="AC374" s="317"/>
      <c r="AD374" s="488">
        <f>SUBTOTAL(9,AD6:AD373)</f>
        <v>0</v>
      </c>
      <c r="AE374"/>
      <c r="AF374" s="321">
        <f>SUBTOTAL(9,AF6:AF373)</f>
        <v>0</v>
      </c>
      <c r="AG374" s="321"/>
      <c r="AH374" s="321"/>
      <c r="AI374" s="321">
        <f>SUBTOTAL(9,AI6:AI373)</f>
        <v>0</v>
      </c>
      <c r="AP374" s="8">
        <f>SUBTOTAL(9,AP6:AP373)</f>
        <v>0</v>
      </c>
      <c r="AQ374" s="8">
        <f>SUBTOTAL(9,AQ6:AQ373)</f>
        <v>0</v>
      </c>
      <c r="AR374" s="8">
        <f>SUBTOTAL(9,AR6:AR373)</f>
        <v>0</v>
      </c>
      <c r="BA374" s="642"/>
      <c r="BB374" s="642"/>
      <c r="BC374" s="642"/>
    </row>
    <row r="375" spans="1:55" ht="9.9499999999999993" customHeight="1">
      <c r="A375" s="8"/>
      <c r="B375" s="8"/>
      <c r="C375" s="8"/>
      <c r="D375" s="9"/>
      <c r="E375" s="313"/>
      <c r="G375" s="8"/>
      <c r="H375" s="8"/>
      <c r="I375" s="8"/>
      <c r="J375" s="8"/>
      <c r="K375" s="8"/>
      <c r="L375" s="8"/>
      <c r="M375" s="10"/>
      <c r="N375" s="10"/>
      <c r="O375" s="10"/>
      <c r="P375" s="10"/>
      <c r="Q375" s="10"/>
      <c r="R375" s="10"/>
      <c r="S375" s="611"/>
      <c r="T375" s="10"/>
      <c r="U375" s="10"/>
      <c r="V375" s="10"/>
      <c r="X375" s="10"/>
      <c r="Z375" s="123"/>
      <c r="AA375" s="11"/>
      <c r="AB375" s="1"/>
      <c r="AC375" s="12"/>
      <c r="AF375" s="10"/>
      <c r="AG375" s="626"/>
      <c r="AH375" s="626"/>
      <c r="AI375" s="10"/>
      <c r="BA375" s="644"/>
      <c r="BB375" s="644"/>
      <c r="BC375" s="644"/>
    </row>
    <row r="376" spans="1:55" ht="11.25" customHeight="1">
      <c r="A376" s="334" t="s">
        <v>27</v>
      </c>
      <c r="B376" s="335"/>
      <c r="C376" s="335"/>
      <c r="D376" s="336"/>
      <c r="E376" s="313"/>
      <c r="G376" s="8"/>
      <c r="H376" s="334" t="s">
        <v>31</v>
      </c>
      <c r="I376" s="334"/>
      <c r="J376" s="337"/>
      <c r="K376" s="335"/>
      <c r="L376" s="335"/>
      <c r="M376" s="338"/>
      <c r="N376" s="338"/>
      <c r="O376" s="338"/>
      <c r="P376" s="338"/>
      <c r="Q376" s="338"/>
      <c r="R376" s="338"/>
      <c r="S376" s="338"/>
      <c r="T376" s="338"/>
      <c r="U376" s="338"/>
      <c r="V376" s="338"/>
      <c r="W376" s="337"/>
      <c r="X376" s="338"/>
      <c r="Y376" s="337"/>
      <c r="Z376" s="339"/>
      <c r="AA376" s="340"/>
      <c r="AB376" s="341"/>
      <c r="AC376" s="342"/>
      <c r="AD376" s="337"/>
      <c r="AF376" s="10"/>
      <c r="AG376" s="626"/>
      <c r="AH376" s="626"/>
      <c r="AI376" s="10"/>
      <c r="BA376" s="644"/>
      <c r="BB376" s="644"/>
      <c r="BC376" s="644"/>
    </row>
    <row r="377" spans="1:55">
      <c r="A377" s="264">
        <f>B_Vorjahr_hhmm</f>
        <v>0</v>
      </c>
      <c r="B377" s="262" t="s">
        <v>28</v>
      </c>
      <c r="C377" s="263"/>
      <c r="D377" s="269"/>
      <c r="E377" s="313"/>
      <c r="F377" s="3"/>
      <c r="G377" s="13"/>
      <c r="H377" s="259" t="s">
        <v>108</v>
      </c>
      <c r="I377" s="596"/>
      <c r="J377" s="260"/>
      <c r="K377" s="260"/>
      <c r="L377" s="260"/>
      <c r="M377" s="261"/>
      <c r="N377" s="261"/>
      <c r="O377" s="261"/>
      <c r="P377" s="261"/>
      <c r="Q377" s="261"/>
      <c r="R377" s="261"/>
      <c r="S377" s="261"/>
      <c r="T377" s="261"/>
      <c r="U377" s="261"/>
      <c r="V377" s="15">
        <f>SUM(V6:V373)</f>
        <v>0</v>
      </c>
      <c r="W377" s="16"/>
      <c r="X377" s="1"/>
      <c r="AA377" s="249">
        <f>SUM(AA6:AA373)</f>
        <v>0</v>
      </c>
      <c r="AB377" s="14"/>
      <c r="AD377" s="17">
        <f>SUM(AD6:AD373)</f>
        <v>0</v>
      </c>
      <c r="BA377" s="49"/>
      <c r="BB377" s="49"/>
      <c r="BC377" s="49"/>
    </row>
    <row r="378" spans="1:55">
      <c r="A378" s="265">
        <f>B_UrlaubVJRest</f>
        <v>0</v>
      </c>
      <c r="B378" s="259" t="s">
        <v>109</v>
      </c>
      <c r="C378" s="263"/>
      <c r="D378" s="268"/>
      <c r="G378" s="18"/>
      <c r="H378" s="262" t="s">
        <v>110</v>
      </c>
      <c r="I378" s="263"/>
      <c r="J378" s="263"/>
      <c r="K378" s="263"/>
      <c r="L378" s="263"/>
      <c r="M378" s="260"/>
      <c r="N378" s="483"/>
      <c r="O378" s="483"/>
      <c r="P378" s="483"/>
      <c r="Q378" s="483"/>
      <c r="R378" s="483"/>
      <c r="S378" s="483"/>
      <c r="T378" s="483"/>
      <c r="U378" s="483"/>
      <c r="V378" s="252">
        <f>SUM(Y6:Y373)</f>
        <v>0</v>
      </c>
      <c r="W378" s="253"/>
      <c r="X378" s="1"/>
      <c r="BA378" s="49"/>
      <c r="BB378" s="49"/>
      <c r="BC378" s="49"/>
    </row>
    <row r="379" spans="1:55">
      <c r="A379" s="334"/>
      <c r="B379" s="334"/>
      <c r="C379" s="334"/>
      <c r="D379" s="334"/>
      <c r="E379" s="313"/>
      <c r="F379" s="3"/>
      <c r="G379" s="18"/>
      <c r="H379" s="259" t="s">
        <v>34</v>
      </c>
      <c r="I379" s="596"/>
      <c r="J379" s="263"/>
      <c r="K379" s="263"/>
      <c r="L379" s="263"/>
      <c r="M379" s="261"/>
      <c r="N379" s="261"/>
      <c r="O379" s="261"/>
      <c r="P379" s="261"/>
      <c r="Q379" s="261"/>
      <c r="R379" s="261"/>
      <c r="S379" s="261"/>
      <c r="T379" s="261"/>
      <c r="U379" s="261"/>
      <c r="V379" s="325">
        <f>SUM(AF5:AF373)</f>
        <v>0</v>
      </c>
      <c r="W379" s="256"/>
      <c r="BA379" s="49"/>
      <c r="BB379" s="49"/>
      <c r="BC379" s="49"/>
    </row>
    <row r="380" spans="1:55">
      <c r="A380" s="265">
        <f>COUNTIF(F6:F373,Krank)-COUNTIF(F6:F373,"J")</f>
        <v>0</v>
      </c>
      <c r="B380" s="262" t="s">
        <v>32</v>
      </c>
      <c r="C380" s="267"/>
      <c r="D380" s="268"/>
      <c r="E380" s="313"/>
      <c r="F380" s="3"/>
      <c r="G380" s="18"/>
      <c r="H380" s="262" t="s">
        <v>21</v>
      </c>
      <c r="I380" s="263"/>
      <c r="J380" s="263"/>
      <c r="K380" s="263"/>
      <c r="L380" s="263"/>
      <c r="M380" s="261"/>
      <c r="N380" s="484"/>
      <c r="O380" s="484"/>
      <c r="P380" s="484"/>
      <c r="Q380" s="484"/>
      <c r="R380" s="484"/>
      <c r="S380" s="484"/>
      <c r="T380" s="484"/>
      <c r="U380" s="484"/>
      <c r="V380" s="254">
        <f>xVorjahrSaldo+V377-V378-V379</f>
        <v>0</v>
      </c>
      <c r="W380" s="255" t="str">
        <f>IF(V380&lt;0,"*","")</f>
        <v/>
      </c>
      <c r="Y380" s="675">
        <f>V380/B_WorkTime</f>
        <v>0</v>
      </c>
      <c r="Z380" s="676"/>
      <c r="AA380" s="677"/>
      <c r="BA380" s="49"/>
      <c r="BB380" s="49"/>
      <c r="BC380" s="49"/>
    </row>
    <row r="381" spans="1:55">
      <c r="A381" s="265">
        <f>(FREQUENCY(G6:G373,0)-FREQUENCY(G6:G373,-1))+(FREQUENCY(G6:G373,83)-FREQUENCY(G6:G373,82))</f>
        <v>0</v>
      </c>
      <c r="B381" s="259" t="s">
        <v>29</v>
      </c>
      <c r="C381" s="267"/>
      <c r="D381" s="268"/>
      <c r="G381" s="19"/>
      <c r="H381" s="262" t="s">
        <v>33</v>
      </c>
      <c r="I381" s="263"/>
      <c r="J381" s="263"/>
      <c r="K381" s="263"/>
      <c r="L381" s="263"/>
      <c r="M381" s="260"/>
      <c r="N381" s="483"/>
      <c r="O381" s="483"/>
      <c r="P381" s="483"/>
      <c r="Q381" s="483"/>
      <c r="R381" s="483"/>
      <c r="S381" s="483"/>
      <c r="T381" s="483"/>
      <c r="U381" s="483"/>
      <c r="V381" s="257">
        <f>COUNTIF(F6:F373,Urlaub)-COUNTIF(F6:F373,"T")</f>
        <v>0</v>
      </c>
      <c r="W381" s="16"/>
      <c r="X381" s="248"/>
      <c r="AA381" s="48"/>
      <c r="BA381" s="49"/>
      <c r="BB381" s="49"/>
      <c r="BC381" s="49"/>
    </row>
    <row r="382" spans="1:55">
      <c r="A382" s="266">
        <f>IF(AND(V377&gt;0,A381&gt;0),V377 / A381,0)</f>
        <v>0</v>
      </c>
      <c r="B382" s="259" t="s">
        <v>30</v>
      </c>
      <c r="C382" s="267"/>
      <c r="D382" s="268"/>
      <c r="F382" s="3"/>
      <c r="H382" s="259" t="s">
        <v>112</v>
      </c>
      <c r="I382" s="596"/>
      <c r="J382" s="260"/>
      <c r="K382" s="260"/>
      <c r="L382" s="260"/>
      <c r="M382" s="485"/>
      <c r="N382" s="485"/>
      <c r="O382" s="485"/>
      <c r="P382" s="485"/>
      <c r="Q382" s="485"/>
      <c r="R382" s="485"/>
      <c r="S382" s="485"/>
      <c r="T382" s="485"/>
      <c r="U382" s="485"/>
      <c r="V382" s="250">
        <f>A378+B_UrlaubNeu-V381</f>
        <v>30</v>
      </c>
      <c r="W382" s="251"/>
      <c r="X382" s="8"/>
      <c r="AA382" s="21"/>
      <c r="AC382" s="8"/>
      <c r="BA382" s="49"/>
      <c r="BB382" s="49"/>
      <c r="BC382" s="49"/>
    </row>
    <row r="383" spans="1:55">
      <c r="A383" s="554">
        <f>SUMIF($AM$6:$AM$373,6,$AP$6:$AP$373)</f>
        <v>0</v>
      </c>
      <c r="B383" s="259" t="s">
        <v>80</v>
      </c>
      <c r="C383" s="267"/>
      <c r="D383" s="268"/>
      <c r="H383" s="259" t="s">
        <v>79</v>
      </c>
      <c r="I383" s="596"/>
      <c r="J383" s="260"/>
      <c r="K383" s="260"/>
      <c r="L383" s="260"/>
      <c r="M383" s="485"/>
      <c r="N383" s="485"/>
      <c r="O383" s="485"/>
      <c r="P383" s="485"/>
      <c r="Q383" s="485"/>
      <c r="R383" s="485"/>
      <c r="S383" s="485"/>
      <c r="T383" s="485"/>
      <c r="U383" s="485"/>
      <c r="V383" s="250">
        <f>COUNTIF(F6:F375,Gleittag)</f>
        <v>0</v>
      </c>
      <c r="W383" s="251"/>
      <c r="AD383" s="22"/>
      <c r="BA383" s="49"/>
      <c r="BB383" s="49"/>
      <c r="BC383" s="49"/>
    </row>
    <row r="384" spans="1:55">
      <c r="A384" s="554">
        <f>SUMIF($AM$6:$AM$373,7,$AP$6:$AP$373)</f>
        <v>0</v>
      </c>
      <c r="B384" s="259" t="s">
        <v>81</v>
      </c>
      <c r="C384" s="267"/>
      <c r="D384" s="268"/>
      <c r="J384" s="20"/>
      <c r="BA384" s="49"/>
      <c r="BB384" s="49"/>
      <c r="BC384" s="49"/>
    </row>
    <row r="385" spans="1:55">
      <c r="A385" s="554">
        <f>SUMIF($AM$6:$AM$373,8,$AP$6:$AP$373)</f>
        <v>0</v>
      </c>
      <c r="B385" s="259" t="s">
        <v>3</v>
      </c>
      <c r="C385" s="267"/>
      <c r="D385" s="268"/>
      <c r="BA385" s="49"/>
      <c r="BB385" s="49"/>
      <c r="BC385" s="49"/>
    </row>
    <row r="386" spans="1:55">
      <c r="A386" s="334" t="s">
        <v>233</v>
      </c>
      <c r="B386" s="334"/>
      <c r="C386" s="334"/>
      <c r="D386" s="334"/>
      <c r="BA386" s="49"/>
      <c r="BB386" s="49"/>
      <c r="BC386" s="49"/>
    </row>
    <row r="387" spans="1:55">
      <c r="A387" s="265">
        <f>COUNTIF($BA:$BA,C387)</f>
        <v>1</v>
      </c>
      <c r="B387" s="633">
        <f>IFERROR(A387/$A$391,0)</f>
        <v>0</v>
      </c>
      <c r="C387" s="262" t="str">
        <f>INDEX(B_Arbeitsort,1)</f>
        <v>Büro</v>
      </c>
      <c r="D387" s="268"/>
      <c r="BA387" s="49"/>
      <c r="BB387" s="49"/>
      <c r="BC387" s="49"/>
    </row>
    <row r="388" spans="1:55">
      <c r="A388" s="265">
        <f>COUNTIF($BA:$BA,C388)</f>
        <v>1</v>
      </c>
      <c r="B388" s="633">
        <f>IFERROR(A388/$A$391,0)</f>
        <v>0</v>
      </c>
      <c r="C388" s="262" t="str">
        <f>INDEX(B_Arbeitsort,2)</f>
        <v>HomeOffice (Mobiles Arbeiten)</v>
      </c>
      <c r="D388" s="268"/>
      <c r="BA388" s="49"/>
      <c r="BB388" s="49"/>
      <c r="BC388" s="49"/>
    </row>
    <row r="389" spans="1:55">
      <c r="A389" s="265">
        <f>COUNTIF($BA:$BA,C389)</f>
        <v>1</v>
      </c>
      <c r="B389" s="633">
        <f>IFERROR(A389/$A$391,0)</f>
        <v>0</v>
      </c>
      <c r="C389" s="262" t="str">
        <f>INDEX(B_Arbeitsort,3)</f>
        <v>Kunde</v>
      </c>
      <c r="D389" s="268"/>
      <c r="BA389" s="49"/>
      <c r="BB389" s="49"/>
      <c r="BC389" s="49"/>
    </row>
    <row r="390" spans="1:55">
      <c r="A390" s="265">
        <f>COUNTIF($BA:$BA,C390)</f>
        <v>1</v>
      </c>
      <c r="B390" s="633">
        <f>IFERROR(A390/$A$391,0)</f>
        <v>0</v>
      </c>
      <c r="C390" s="262" t="str">
        <f>INDEX(B_Arbeitsort,4)</f>
        <v>Dienstreise</v>
      </c>
      <c r="D390" s="268"/>
    </row>
    <row r="391" spans="1:55">
      <c r="A391" s="634">
        <f>(FREQUENCY(G6:G373,0)-FREQUENCY(G6:G373,-1))+(FREQUENCY(G6:G373,83)-FREQUENCY(G6:G373,82))</f>
        <v>0</v>
      </c>
      <c r="B391" s="633">
        <v>1</v>
      </c>
      <c r="C391" s="259" t="s">
        <v>29</v>
      </c>
      <c r="D391" s="268"/>
    </row>
    <row r="393" spans="1:55">
      <c r="A393" s="660" t="s">
        <v>246</v>
      </c>
      <c r="B393" s="660"/>
      <c r="C393" s="660"/>
      <c r="D393" s="660"/>
      <c r="E393" s="660"/>
    </row>
    <row r="394" spans="1:55">
      <c r="A394" s="662" cm="1">
        <f t="array" aca="1" ref="A394" ca="1">SUMPRODUCT(SUBTOTAL(3,OFFSET(b_Arbeitsort_index,ROW(b_Arbeitsort_index)-MIN(ROW(b_Arbeitsort_index)),,1))*(b_Arbeitsort_index=F394))</f>
        <v>1</v>
      </c>
      <c r="B394" s="663">
        <f ca="1">IFERROR(A394/$A$398,0)</f>
        <v>0.25</v>
      </c>
      <c r="C394" s="664" t="str">
        <f>INDEX(B_Arbeitsort,1)</f>
        <v>Büro</v>
      </c>
      <c r="D394" s="665"/>
      <c r="E394" s="666"/>
      <c r="F394" s="659">
        <f>MATCH(C394,B_Arbeitsort,0)</f>
        <v>1</v>
      </c>
    </row>
    <row r="395" spans="1:55">
      <c r="A395" s="662" cm="1">
        <f t="array" aca="1" ref="A395" ca="1">SUMPRODUCT(SUBTOTAL(3,OFFSET(b_Arbeitsort_index,ROW(b_Arbeitsort_index)-MIN(ROW(b_Arbeitsort_index)),,1))*(b_Arbeitsort_index=F395))</f>
        <v>1</v>
      </c>
      <c r="B395" s="663">
        <f ca="1">IFERROR(A395/$A$398,0)</f>
        <v>0.25</v>
      </c>
      <c r="C395" s="664" t="str">
        <f>INDEX(B_Arbeitsort,2)</f>
        <v>HomeOffice (Mobiles Arbeiten)</v>
      </c>
      <c r="D395" s="665"/>
      <c r="E395" s="666"/>
      <c r="F395" s="659">
        <f>MATCH(C395,B_Arbeitsort,0)</f>
        <v>2</v>
      </c>
    </row>
    <row r="396" spans="1:55">
      <c r="A396" s="662" cm="1">
        <f t="array" aca="1" ref="A396" ca="1">SUMPRODUCT(SUBTOTAL(3,OFFSET(b_Arbeitsort_index,ROW(b_Arbeitsort_index)-MIN(ROW(b_Arbeitsort_index)),,1))*(b_Arbeitsort_index=F396))</f>
        <v>1</v>
      </c>
      <c r="B396" s="663">
        <f ca="1">IFERROR(A396/$A$398,0)</f>
        <v>0.25</v>
      </c>
      <c r="C396" s="664" t="str">
        <f>INDEX(B_Arbeitsort,3)</f>
        <v>Kunde</v>
      </c>
      <c r="D396" s="665"/>
      <c r="E396" s="666"/>
      <c r="F396" s="659">
        <f>MATCH(C396,B_Arbeitsort,0)</f>
        <v>3</v>
      </c>
    </row>
    <row r="397" spans="1:55">
      <c r="A397" s="662" cm="1">
        <f t="array" aca="1" ref="A397" ca="1">SUMPRODUCT(SUBTOTAL(3,OFFSET(b_Arbeitsort_index,ROW(b_Arbeitsort_index)-MIN(ROW(b_Arbeitsort_index)),,1))*(b_Arbeitsort_index=F397))</f>
        <v>1</v>
      </c>
      <c r="B397" s="663">
        <f ca="1">IFERROR(A397/$A$398,0)</f>
        <v>0.25</v>
      </c>
      <c r="C397" s="664" t="str">
        <f>INDEX(B_Arbeitsort,4)</f>
        <v>Dienstreise</v>
      </c>
      <c r="D397" s="665"/>
      <c r="E397" s="666"/>
      <c r="F397" s="659">
        <f>MATCH(C397,B_Arbeitsort,0)</f>
        <v>4</v>
      </c>
    </row>
    <row r="398" spans="1:55">
      <c r="A398" s="667">
        <f ca="1">SUM(A394:A397)</f>
        <v>4</v>
      </c>
      <c r="B398" s="328" t="s">
        <v>249</v>
      </c>
      <c r="C398" s="659"/>
      <c r="D398" s="659"/>
      <c r="E398" s="659"/>
      <c r="F398" s="659"/>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0"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703125" defaultRowHeight="12.75"/>
  <cols>
    <col min="1" max="1" width="7" customWidth="1"/>
    <col min="2" max="2" width="14.5703125" style="188" customWidth="1"/>
    <col min="3" max="3" width="3.85546875" style="188" customWidth="1"/>
    <col min="4" max="5" width="11.42578125" style="189" customWidth="1"/>
  </cols>
  <sheetData>
    <row r="1" spans="2:7" ht="18.75" customHeight="1">
      <c r="B1" s="435" t="str">
        <f>Einstellungen!B3</f>
        <v>Name:</v>
      </c>
      <c r="C1" s="188" t="str">
        <f>B_PersonName</f>
        <v>Mustermann</v>
      </c>
      <c r="D1" s="436"/>
      <c r="F1" s="437" t="str">
        <f>Einstellungen!B4</f>
        <v>Abteilung:</v>
      </c>
      <c r="G1" s="192" t="str">
        <f>B_Department</f>
        <v>Siemens</v>
      </c>
    </row>
    <row r="4" spans="2:7">
      <c r="B4" s="188" t="str">
        <f>Arbeitszeit!AE4</f>
        <v>Saldo</v>
      </c>
      <c r="D4" s="188" t="str">
        <f>Arbeitszeit!AN4</f>
        <v>sum &gt; 10 Std</v>
      </c>
    </row>
    <row r="5" spans="2:7">
      <c r="B5" s="494">
        <f>Arbeitszeit!AE5</f>
        <v>0</v>
      </c>
      <c r="D5" s="189">
        <f>Arbeitszeit!AN8</f>
        <v>0</v>
      </c>
    </row>
    <row r="6" spans="2:7">
      <c r="B6" s="494">
        <f>B5+Arbeitszeit!AA6-Arbeitszeit!AF6</f>
        <v>0</v>
      </c>
      <c r="D6" s="188">
        <f t="shared" ref="D6:D69" si="0">db_jSumOverMax</f>
        <v>0</v>
      </c>
    </row>
    <row r="7" spans="2:7">
      <c r="B7" s="494">
        <f>B6+Arbeitszeit!AA7-Arbeitszeit!AF7</f>
        <v>0</v>
      </c>
      <c r="D7" s="188">
        <f t="shared" si="0"/>
        <v>0</v>
      </c>
    </row>
    <row r="8" spans="2:7">
      <c r="B8" s="494">
        <f>B7+Arbeitszeit!AA8-Arbeitszeit!AF8</f>
        <v>0</v>
      </c>
      <c r="D8" s="188">
        <f t="shared" si="0"/>
        <v>0</v>
      </c>
    </row>
    <row r="9" spans="2:7">
      <c r="B9" s="494">
        <f>B8+Arbeitszeit!AA9-Arbeitszeit!AF9</f>
        <v>0</v>
      </c>
      <c r="D9" s="188">
        <f t="shared" si="0"/>
        <v>0</v>
      </c>
    </row>
    <row r="10" spans="2:7">
      <c r="B10" s="494">
        <f>B9+Arbeitszeit!AA10-Arbeitszeit!AF10</f>
        <v>0</v>
      </c>
      <c r="D10" s="188">
        <f t="shared" si="0"/>
        <v>0</v>
      </c>
    </row>
    <row r="11" spans="2:7">
      <c r="B11" s="494">
        <f>B10+Arbeitszeit!AA11-Arbeitszeit!AF11</f>
        <v>0</v>
      </c>
      <c r="D11" s="188">
        <f t="shared" si="0"/>
        <v>0</v>
      </c>
    </row>
    <row r="12" spans="2:7">
      <c r="B12" s="494">
        <f>B11+Arbeitszeit!AA12-Arbeitszeit!AF12</f>
        <v>0</v>
      </c>
      <c r="D12" s="188">
        <f t="shared" si="0"/>
        <v>0</v>
      </c>
    </row>
    <row r="13" spans="2:7">
      <c r="B13" s="494">
        <f>B12+Arbeitszeit!AA13-Arbeitszeit!AF13</f>
        <v>0</v>
      </c>
      <c r="D13" s="188">
        <f t="shared" si="0"/>
        <v>0</v>
      </c>
    </row>
    <row r="14" spans="2:7">
      <c r="B14" s="494">
        <f>B13+Arbeitszeit!AA14-Arbeitszeit!AF14</f>
        <v>0</v>
      </c>
      <c r="D14" s="188">
        <f t="shared" si="0"/>
        <v>0</v>
      </c>
    </row>
    <row r="15" spans="2:7">
      <c r="B15" s="494">
        <f>B14+Arbeitszeit!AA15-Arbeitszeit!AF15</f>
        <v>0</v>
      </c>
      <c r="D15" s="188">
        <f t="shared" si="0"/>
        <v>0</v>
      </c>
    </row>
    <row r="16" spans="2:7">
      <c r="B16" s="494">
        <f>B15+Arbeitszeit!AA16-Arbeitszeit!AF16</f>
        <v>0</v>
      </c>
      <c r="D16" s="188">
        <f t="shared" si="0"/>
        <v>0</v>
      </c>
    </row>
    <row r="17" spans="2:11">
      <c r="B17" s="494">
        <f>B16+Arbeitszeit!AA17-Arbeitszeit!AF17</f>
        <v>0</v>
      </c>
      <c r="D17" s="188">
        <f t="shared" si="0"/>
        <v>0</v>
      </c>
    </row>
    <row r="18" spans="2:11">
      <c r="B18" s="494">
        <f>B17+Arbeitszeit!AA18-Arbeitszeit!AF18</f>
        <v>0</v>
      </c>
      <c r="D18" s="188">
        <f t="shared" si="0"/>
        <v>0</v>
      </c>
    </row>
    <row r="19" spans="2:11">
      <c r="B19" s="494">
        <f>B18+Arbeitszeit!AA19-Arbeitszeit!AF19</f>
        <v>0</v>
      </c>
      <c r="D19" s="188">
        <f t="shared" si="0"/>
        <v>0</v>
      </c>
      <c r="J19" s="68">
        <v>0.58333333333333337</v>
      </c>
      <c r="K19" s="508">
        <v>0.6875</v>
      </c>
    </row>
    <row r="20" spans="2:11">
      <c r="B20" s="494">
        <f>B19+Arbeitszeit!AA20-Arbeitszeit!AF20</f>
        <v>0</v>
      </c>
      <c r="D20" s="188">
        <f t="shared" si="0"/>
        <v>0</v>
      </c>
    </row>
    <row r="21" spans="2:11">
      <c r="B21" s="494">
        <f>B20+Arbeitszeit!AA21-Arbeitszeit!AF21</f>
        <v>0</v>
      </c>
      <c r="D21" s="188">
        <f t="shared" si="0"/>
        <v>0</v>
      </c>
    </row>
    <row r="22" spans="2:11">
      <c r="B22" s="494">
        <f>B21+Arbeitszeit!AA22-Arbeitszeit!AF22</f>
        <v>0</v>
      </c>
      <c r="D22" s="188">
        <f t="shared" si="0"/>
        <v>0</v>
      </c>
    </row>
    <row r="23" spans="2:11">
      <c r="B23" s="494">
        <f>B22+Arbeitszeit!AA23-Arbeitszeit!AF23</f>
        <v>0</v>
      </c>
      <c r="D23" s="188">
        <f t="shared" si="0"/>
        <v>0</v>
      </c>
    </row>
    <row r="24" spans="2:11">
      <c r="B24" s="494">
        <f>B23+Arbeitszeit!AA24-Arbeitszeit!AF24</f>
        <v>0</v>
      </c>
      <c r="D24" s="188">
        <f t="shared" si="0"/>
        <v>0</v>
      </c>
    </row>
    <row r="25" spans="2:11">
      <c r="B25" s="494">
        <f>B24+Arbeitszeit!AA25-Arbeitszeit!AF25</f>
        <v>0</v>
      </c>
      <c r="D25" s="188">
        <f t="shared" si="0"/>
        <v>0</v>
      </c>
    </row>
    <row r="26" spans="2:11">
      <c r="B26" s="494">
        <f>B25+Arbeitszeit!AA26-Arbeitszeit!AF26</f>
        <v>0</v>
      </c>
      <c r="D26" s="188">
        <f t="shared" si="0"/>
        <v>0</v>
      </c>
    </row>
    <row r="27" spans="2:11">
      <c r="B27" s="494">
        <f>B26+Arbeitszeit!AA27-Arbeitszeit!AF27</f>
        <v>0</v>
      </c>
      <c r="D27" s="188">
        <f t="shared" si="0"/>
        <v>0</v>
      </c>
    </row>
    <row r="28" spans="2:11">
      <c r="B28" s="494">
        <f>B27+Arbeitszeit!AA28-Arbeitszeit!AF28</f>
        <v>0</v>
      </c>
      <c r="D28" s="188">
        <f t="shared" si="0"/>
        <v>0</v>
      </c>
    </row>
    <row r="29" spans="2:11">
      <c r="B29" s="494">
        <f>B28+Arbeitszeit!AA29-Arbeitszeit!AF29</f>
        <v>0</v>
      </c>
      <c r="D29" s="188">
        <f t="shared" si="0"/>
        <v>0</v>
      </c>
    </row>
    <row r="30" spans="2:11">
      <c r="B30" s="494">
        <f>B29+Arbeitszeit!AA30-Arbeitszeit!AF30</f>
        <v>0</v>
      </c>
      <c r="D30" s="188">
        <f t="shared" si="0"/>
        <v>0</v>
      </c>
    </row>
    <row r="31" spans="2:11">
      <c r="B31" s="494">
        <f>B30+Arbeitszeit!AA31-Arbeitszeit!AF31</f>
        <v>0</v>
      </c>
      <c r="D31" s="188">
        <f t="shared" si="0"/>
        <v>0</v>
      </c>
    </row>
    <row r="32" spans="2:11">
      <c r="B32" s="494">
        <f>B31+Arbeitszeit!AA32-Arbeitszeit!AF32</f>
        <v>0</v>
      </c>
      <c r="D32" s="188">
        <f t="shared" si="0"/>
        <v>0</v>
      </c>
    </row>
    <row r="33" spans="2:4">
      <c r="B33" s="494">
        <f>B32+Arbeitszeit!AA33-Arbeitszeit!AF33</f>
        <v>0</v>
      </c>
      <c r="D33" s="188">
        <f t="shared" si="0"/>
        <v>0</v>
      </c>
    </row>
    <row r="34" spans="2:4">
      <c r="B34" s="494">
        <f>B33+Arbeitszeit!AA34-Arbeitszeit!AF34</f>
        <v>0</v>
      </c>
      <c r="D34" s="188">
        <f t="shared" si="0"/>
        <v>0</v>
      </c>
    </row>
    <row r="35" spans="2:4">
      <c r="B35" s="494">
        <f>B34+Arbeitszeit!AA35-Arbeitszeit!AF35</f>
        <v>0</v>
      </c>
      <c r="D35" s="188">
        <f t="shared" si="0"/>
        <v>0</v>
      </c>
    </row>
    <row r="36" spans="2:4">
      <c r="B36" s="494">
        <f>B35+Arbeitszeit!AA36-Arbeitszeit!AF36</f>
        <v>0</v>
      </c>
      <c r="D36" s="188">
        <f t="shared" si="0"/>
        <v>0</v>
      </c>
    </row>
    <row r="37" spans="2:4">
      <c r="B37" s="494">
        <f>B36+Arbeitszeit!AA37-Arbeitszeit!AF37</f>
        <v>0</v>
      </c>
      <c r="D37" s="188">
        <f t="shared" si="0"/>
        <v>0</v>
      </c>
    </row>
    <row r="38" spans="2:4">
      <c r="B38" s="494">
        <f>B37+Arbeitszeit!AA38-Arbeitszeit!AF38</f>
        <v>0</v>
      </c>
      <c r="D38" s="188">
        <f t="shared" si="0"/>
        <v>0</v>
      </c>
    </row>
    <row r="39" spans="2:4">
      <c r="B39" s="494">
        <f>B38+Arbeitszeit!AA39-Arbeitszeit!AF39</f>
        <v>0</v>
      </c>
      <c r="D39" s="188">
        <f t="shared" si="0"/>
        <v>0</v>
      </c>
    </row>
    <row r="40" spans="2:4">
      <c r="B40" s="494">
        <f>B39+Arbeitszeit!AA40-Arbeitszeit!AF40</f>
        <v>0</v>
      </c>
      <c r="D40" s="188">
        <f t="shared" si="0"/>
        <v>0</v>
      </c>
    </row>
    <row r="41" spans="2:4">
      <c r="B41" s="494">
        <f>B40+Arbeitszeit!AA41-Arbeitszeit!AF41</f>
        <v>0</v>
      </c>
      <c r="D41" s="188">
        <f t="shared" si="0"/>
        <v>0</v>
      </c>
    </row>
    <row r="42" spans="2:4">
      <c r="B42" s="494">
        <f>B41+Arbeitszeit!AA42-Arbeitszeit!AF42</f>
        <v>0</v>
      </c>
      <c r="D42" s="188">
        <f t="shared" si="0"/>
        <v>0</v>
      </c>
    </row>
    <row r="43" spans="2:4">
      <c r="B43" s="494">
        <f>B42+Arbeitszeit!AA43-Arbeitszeit!AF43</f>
        <v>0</v>
      </c>
      <c r="D43" s="188">
        <f t="shared" si="0"/>
        <v>0</v>
      </c>
    </row>
    <row r="44" spans="2:4">
      <c r="B44" s="494">
        <f>B43+Arbeitszeit!AA44-Arbeitszeit!AF44</f>
        <v>0</v>
      </c>
      <c r="D44" s="188">
        <f t="shared" si="0"/>
        <v>0</v>
      </c>
    </row>
    <row r="45" spans="2:4">
      <c r="B45" s="494">
        <f>B44+Arbeitszeit!AA45-Arbeitszeit!AF45</f>
        <v>0</v>
      </c>
      <c r="D45" s="188">
        <f t="shared" si="0"/>
        <v>0</v>
      </c>
    </row>
    <row r="46" spans="2:4">
      <c r="B46" s="494">
        <f>B45+Arbeitszeit!AA46-Arbeitszeit!AF46</f>
        <v>0</v>
      </c>
      <c r="D46" s="188">
        <f t="shared" si="0"/>
        <v>0</v>
      </c>
    </row>
    <row r="47" spans="2:4">
      <c r="B47" s="494">
        <f>B46+Arbeitszeit!AA47-Arbeitszeit!AF47</f>
        <v>0</v>
      </c>
      <c r="D47" s="188">
        <f t="shared" si="0"/>
        <v>0</v>
      </c>
    </row>
    <row r="48" spans="2:4">
      <c r="B48" s="494">
        <f>B47+Arbeitszeit!AA48-Arbeitszeit!AF48</f>
        <v>0</v>
      </c>
      <c r="D48" s="188">
        <f t="shared" si="0"/>
        <v>0</v>
      </c>
    </row>
    <row r="49" spans="2:4">
      <c r="B49" s="494">
        <f>B48+Arbeitszeit!AA49-Arbeitszeit!AF49</f>
        <v>0</v>
      </c>
      <c r="D49" s="188">
        <f t="shared" si="0"/>
        <v>0</v>
      </c>
    </row>
    <row r="50" spans="2:4">
      <c r="B50" s="494">
        <f>B49+Arbeitszeit!AA50-Arbeitszeit!AF50</f>
        <v>0</v>
      </c>
      <c r="D50" s="188">
        <f t="shared" si="0"/>
        <v>0</v>
      </c>
    </row>
    <row r="51" spans="2:4">
      <c r="B51" s="494">
        <f>B50+Arbeitszeit!AA51-Arbeitszeit!AF51</f>
        <v>0</v>
      </c>
      <c r="D51" s="188">
        <f t="shared" si="0"/>
        <v>0</v>
      </c>
    </row>
    <row r="52" spans="2:4">
      <c r="B52" s="494">
        <f>B51+Arbeitszeit!AA52-Arbeitszeit!AF52</f>
        <v>0</v>
      </c>
      <c r="D52" s="188">
        <f t="shared" si="0"/>
        <v>0</v>
      </c>
    </row>
    <row r="53" spans="2:4">
      <c r="B53" s="494">
        <f>B52+Arbeitszeit!AA53-Arbeitszeit!AF53</f>
        <v>0</v>
      </c>
      <c r="D53" s="188">
        <f t="shared" si="0"/>
        <v>0</v>
      </c>
    </row>
    <row r="54" spans="2:4">
      <c r="B54" s="494">
        <f>B53+Arbeitszeit!AA54-Arbeitszeit!AF54</f>
        <v>0</v>
      </c>
      <c r="D54" s="188">
        <f t="shared" si="0"/>
        <v>0</v>
      </c>
    </row>
    <row r="55" spans="2:4">
      <c r="B55" s="494">
        <f>B54+Arbeitszeit!AA55-Arbeitszeit!AF55</f>
        <v>0</v>
      </c>
      <c r="D55" s="188">
        <f t="shared" si="0"/>
        <v>0</v>
      </c>
    </row>
    <row r="56" spans="2:4">
      <c r="B56" s="494">
        <f>B55+Arbeitszeit!AA56-Arbeitszeit!AF56</f>
        <v>0</v>
      </c>
      <c r="D56" s="188">
        <f t="shared" si="0"/>
        <v>0</v>
      </c>
    </row>
    <row r="57" spans="2:4">
      <c r="B57" s="494">
        <f>B56+Arbeitszeit!AA57-Arbeitszeit!AF57</f>
        <v>0</v>
      </c>
      <c r="D57" s="188">
        <f t="shared" si="0"/>
        <v>0</v>
      </c>
    </row>
    <row r="58" spans="2:4">
      <c r="B58" s="494">
        <f>B57+Arbeitszeit!AA58-Arbeitszeit!AF58</f>
        <v>0</v>
      </c>
      <c r="D58" s="188">
        <f t="shared" si="0"/>
        <v>0</v>
      </c>
    </row>
    <row r="59" spans="2:4">
      <c r="B59" s="494">
        <f>B58+Arbeitszeit!AA59-Arbeitszeit!AF59</f>
        <v>0</v>
      </c>
      <c r="D59" s="188">
        <f t="shared" si="0"/>
        <v>0</v>
      </c>
    </row>
    <row r="60" spans="2:4">
      <c r="B60" s="494">
        <f>B59+Arbeitszeit!AA60-Arbeitszeit!AF60</f>
        <v>0</v>
      </c>
      <c r="D60" s="188">
        <f t="shared" si="0"/>
        <v>0</v>
      </c>
    </row>
    <row r="61" spans="2:4">
      <c r="B61" s="494">
        <f>B60+Arbeitszeit!AA61-Arbeitszeit!AF61</f>
        <v>0</v>
      </c>
      <c r="D61" s="188">
        <f t="shared" si="0"/>
        <v>0</v>
      </c>
    </row>
    <row r="62" spans="2:4">
      <c r="B62" s="494">
        <f>B61+Arbeitszeit!AA62-Arbeitszeit!AF62</f>
        <v>0</v>
      </c>
      <c r="D62" s="188">
        <f t="shared" si="0"/>
        <v>0</v>
      </c>
    </row>
    <row r="63" spans="2:4">
      <c r="B63" s="494">
        <f>B62+Arbeitszeit!AA63-Arbeitszeit!AF63</f>
        <v>0</v>
      </c>
      <c r="D63" s="188">
        <f t="shared" si="0"/>
        <v>0</v>
      </c>
    </row>
    <row r="64" spans="2:4">
      <c r="B64" s="494">
        <f>B63+Arbeitszeit!AA64-Arbeitszeit!AF64</f>
        <v>0</v>
      </c>
      <c r="D64" s="188">
        <f t="shared" si="0"/>
        <v>0</v>
      </c>
    </row>
    <row r="65" spans="2:4">
      <c r="B65" s="494">
        <f>B64+Arbeitszeit!AA65-Arbeitszeit!AF65</f>
        <v>0</v>
      </c>
      <c r="D65" s="188">
        <f t="shared" si="0"/>
        <v>0</v>
      </c>
    </row>
    <row r="66" spans="2:4">
      <c r="B66" s="494">
        <f>B65+Arbeitszeit!AA66-Arbeitszeit!AF66</f>
        <v>0</v>
      </c>
      <c r="D66" s="188">
        <f t="shared" si="0"/>
        <v>0</v>
      </c>
    </row>
    <row r="67" spans="2:4">
      <c r="B67" s="494">
        <f>B66+Arbeitszeit!AA67-Arbeitszeit!AF67</f>
        <v>0</v>
      </c>
      <c r="D67" s="188">
        <f t="shared" si="0"/>
        <v>0</v>
      </c>
    </row>
    <row r="68" spans="2:4">
      <c r="B68" s="494">
        <f>B67+Arbeitszeit!AA68-Arbeitszeit!AF68</f>
        <v>0</v>
      </c>
      <c r="D68" s="188">
        <f t="shared" si="0"/>
        <v>0</v>
      </c>
    </row>
    <row r="69" spans="2:4">
      <c r="B69" s="494">
        <f>B68+Arbeitszeit!AA69-Arbeitszeit!AF69</f>
        <v>0</v>
      </c>
      <c r="D69" s="188">
        <f t="shared" si="0"/>
        <v>0</v>
      </c>
    </row>
    <row r="70" spans="2:4">
      <c r="B70" s="494">
        <f>B69+Arbeitszeit!AA70-Arbeitszeit!AF70</f>
        <v>0</v>
      </c>
      <c r="D70" s="188">
        <f t="shared" ref="D70:D133" si="1">db_jSumOverMax</f>
        <v>0</v>
      </c>
    </row>
    <row r="71" spans="2:4">
      <c r="B71" s="494">
        <f>B70+Arbeitszeit!AA71-Arbeitszeit!AF71</f>
        <v>0</v>
      </c>
      <c r="D71" s="188">
        <f t="shared" si="1"/>
        <v>0</v>
      </c>
    </row>
    <row r="72" spans="2:4">
      <c r="B72" s="494">
        <f>B71+Arbeitszeit!AA72-Arbeitszeit!AF72</f>
        <v>0</v>
      </c>
      <c r="D72" s="188">
        <f t="shared" si="1"/>
        <v>0</v>
      </c>
    </row>
    <row r="73" spans="2:4">
      <c r="B73" s="494">
        <f>B72+Arbeitszeit!AA73-Arbeitszeit!AF73</f>
        <v>0</v>
      </c>
      <c r="D73" s="188">
        <f t="shared" si="1"/>
        <v>0</v>
      </c>
    </row>
    <row r="74" spans="2:4">
      <c r="B74" s="494">
        <f>B73+Arbeitszeit!AA74-Arbeitszeit!AF74</f>
        <v>0</v>
      </c>
      <c r="D74" s="188">
        <f t="shared" si="1"/>
        <v>0</v>
      </c>
    </row>
    <row r="75" spans="2:4">
      <c r="B75" s="494">
        <f>B74+Arbeitszeit!AA75-Arbeitszeit!AF75</f>
        <v>0</v>
      </c>
      <c r="D75" s="188">
        <f t="shared" si="1"/>
        <v>0</v>
      </c>
    </row>
    <row r="76" spans="2:4">
      <c r="B76" s="494">
        <f>B75+Arbeitszeit!AA76-Arbeitszeit!AF76</f>
        <v>0</v>
      </c>
      <c r="D76" s="188">
        <f t="shared" si="1"/>
        <v>0</v>
      </c>
    </row>
    <row r="77" spans="2:4">
      <c r="B77" s="494">
        <f>B76+Arbeitszeit!AA77-Arbeitszeit!AF77</f>
        <v>0</v>
      </c>
      <c r="D77" s="188">
        <f t="shared" si="1"/>
        <v>0</v>
      </c>
    </row>
    <row r="78" spans="2:4">
      <c r="B78" s="494">
        <f>B77+Arbeitszeit!AA78-Arbeitszeit!AF78</f>
        <v>0</v>
      </c>
      <c r="D78" s="188">
        <f t="shared" si="1"/>
        <v>0</v>
      </c>
    </row>
    <row r="79" spans="2:4">
      <c r="B79" s="494">
        <f>B78+Arbeitszeit!AA79-Arbeitszeit!AF79</f>
        <v>0</v>
      </c>
      <c r="D79" s="188">
        <f t="shared" si="1"/>
        <v>0</v>
      </c>
    </row>
    <row r="80" spans="2:4">
      <c r="B80" s="494">
        <f>B79+Arbeitszeit!AA80-Arbeitszeit!AF80</f>
        <v>0</v>
      </c>
      <c r="D80" s="188">
        <f t="shared" si="1"/>
        <v>0</v>
      </c>
    </row>
    <row r="81" spans="2:4">
      <c r="B81" s="494">
        <f>B80+Arbeitszeit!AA81-Arbeitszeit!AF81</f>
        <v>0</v>
      </c>
      <c r="D81" s="188">
        <f t="shared" si="1"/>
        <v>0</v>
      </c>
    </row>
    <row r="82" spans="2:4">
      <c r="B82" s="494">
        <f>B81+Arbeitszeit!AA82-Arbeitszeit!AF82</f>
        <v>0</v>
      </c>
      <c r="D82" s="188">
        <f t="shared" si="1"/>
        <v>0</v>
      </c>
    </row>
    <row r="83" spans="2:4">
      <c r="B83" s="494">
        <f>B82+Arbeitszeit!AA83-Arbeitszeit!AF83</f>
        <v>0</v>
      </c>
      <c r="D83" s="188">
        <f t="shared" si="1"/>
        <v>0</v>
      </c>
    </row>
    <row r="84" spans="2:4">
      <c r="B84" s="494">
        <f>B83+Arbeitszeit!AA84-Arbeitszeit!AF84</f>
        <v>0</v>
      </c>
      <c r="D84" s="188">
        <f t="shared" si="1"/>
        <v>0</v>
      </c>
    </row>
    <row r="85" spans="2:4">
      <c r="B85" s="494">
        <f>B84+Arbeitszeit!AA85-Arbeitszeit!AF85</f>
        <v>0</v>
      </c>
      <c r="D85" s="188">
        <f t="shared" si="1"/>
        <v>0</v>
      </c>
    </row>
    <row r="86" spans="2:4">
      <c r="B86" s="494">
        <f>B85+Arbeitszeit!AA86-Arbeitszeit!AF86</f>
        <v>0</v>
      </c>
      <c r="D86" s="188">
        <f t="shared" si="1"/>
        <v>0</v>
      </c>
    </row>
    <row r="87" spans="2:4">
      <c r="B87" s="494">
        <f>B86+Arbeitszeit!AA87-Arbeitszeit!AF87</f>
        <v>0</v>
      </c>
      <c r="D87" s="188">
        <f t="shared" si="1"/>
        <v>0</v>
      </c>
    </row>
    <row r="88" spans="2:4">
      <c r="B88" s="494">
        <f>B87+Arbeitszeit!AA88-Arbeitszeit!AF88</f>
        <v>0</v>
      </c>
      <c r="D88" s="188">
        <f t="shared" si="1"/>
        <v>0</v>
      </c>
    </row>
    <row r="89" spans="2:4">
      <c r="B89" s="494">
        <f>B88+Arbeitszeit!AA89-Arbeitszeit!AF89</f>
        <v>0</v>
      </c>
      <c r="D89" s="188">
        <f t="shared" si="1"/>
        <v>0</v>
      </c>
    </row>
    <row r="90" spans="2:4">
      <c r="B90" s="494">
        <f>B89+Arbeitszeit!AA90-Arbeitszeit!AF90</f>
        <v>0</v>
      </c>
      <c r="D90" s="188">
        <f t="shared" si="1"/>
        <v>0</v>
      </c>
    </row>
    <row r="91" spans="2:4">
      <c r="B91" s="494">
        <f>B90+Arbeitszeit!AA91-Arbeitszeit!AF91</f>
        <v>0</v>
      </c>
      <c r="D91" s="188">
        <f t="shared" si="1"/>
        <v>0</v>
      </c>
    </row>
    <row r="92" spans="2:4">
      <c r="B92" s="494">
        <f>B91+Arbeitszeit!AA92-Arbeitszeit!AF92</f>
        <v>0</v>
      </c>
      <c r="D92" s="188">
        <f t="shared" si="1"/>
        <v>0</v>
      </c>
    </row>
    <row r="93" spans="2:4">
      <c r="B93" s="494">
        <f>B92+Arbeitszeit!AA93-Arbeitszeit!AF93</f>
        <v>0</v>
      </c>
      <c r="D93" s="188">
        <f t="shared" si="1"/>
        <v>0</v>
      </c>
    </row>
    <row r="94" spans="2:4">
      <c r="B94" s="494">
        <f>B93+Arbeitszeit!AA94-Arbeitszeit!AF94</f>
        <v>0</v>
      </c>
      <c r="D94" s="188">
        <f t="shared" si="1"/>
        <v>0</v>
      </c>
    </row>
    <row r="95" spans="2:4">
      <c r="B95" s="494">
        <f>B94+Arbeitszeit!AA95-Arbeitszeit!AF95</f>
        <v>0</v>
      </c>
      <c r="D95" s="188">
        <f t="shared" si="1"/>
        <v>0</v>
      </c>
    </row>
    <row r="96" spans="2:4">
      <c r="B96" s="494">
        <f>B95+Arbeitszeit!AA96-Arbeitszeit!AF96</f>
        <v>0</v>
      </c>
      <c r="D96" s="188">
        <f t="shared" si="1"/>
        <v>0</v>
      </c>
    </row>
    <row r="97" spans="2:4">
      <c r="B97" s="494">
        <f>B96+Arbeitszeit!AA97-Arbeitszeit!AF97</f>
        <v>0</v>
      </c>
      <c r="D97" s="188">
        <f t="shared" si="1"/>
        <v>0</v>
      </c>
    </row>
    <row r="98" spans="2:4">
      <c r="B98" s="494">
        <f>B97+Arbeitszeit!AA98-Arbeitszeit!AF98</f>
        <v>0</v>
      </c>
      <c r="D98" s="188">
        <f t="shared" si="1"/>
        <v>0</v>
      </c>
    </row>
    <row r="99" spans="2:4">
      <c r="B99" s="494">
        <f>B98+Arbeitszeit!AA99-Arbeitszeit!AF99</f>
        <v>0</v>
      </c>
      <c r="D99" s="188">
        <f t="shared" si="1"/>
        <v>0</v>
      </c>
    </row>
    <row r="100" spans="2:4">
      <c r="B100" s="494">
        <f>B99+Arbeitszeit!AA100-Arbeitszeit!AF100</f>
        <v>0</v>
      </c>
      <c r="D100" s="188">
        <f t="shared" si="1"/>
        <v>0</v>
      </c>
    </row>
    <row r="101" spans="2:4">
      <c r="B101" s="494">
        <f>B100+Arbeitszeit!AA101-Arbeitszeit!AF101</f>
        <v>0</v>
      </c>
      <c r="D101" s="188">
        <f t="shared" si="1"/>
        <v>0</v>
      </c>
    </row>
    <row r="102" spans="2:4">
      <c r="B102" s="494">
        <f>B101+Arbeitszeit!AA102-Arbeitszeit!AF102</f>
        <v>0</v>
      </c>
      <c r="D102" s="188">
        <f t="shared" si="1"/>
        <v>0</v>
      </c>
    </row>
    <row r="103" spans="2:4">
      <c r="B103" s="494">
        <f>B102+Arbeitszeit!AA103-Arbeitszeit!AF103</f>
        <v>0</v>
      </c>
      <c r="D103" s="188">
        <f t="shared" si="1"/>
        <v>0</v>
      </c>
    </row>
    <row r="104" spans="2:4">
      <c r="B104" s="494">
        <f>B103+Arbeitszeit!AA104-Arbeitszeit!AF104</f>
        <v>0</v>
      </c>
      <c r="D104" s="188">
        <f t="shared" si="1"/>
        <v>0</v>
      </c>
    </row>
    <row r="105" spans="2:4">
      <c r="B105" s="494">
        <f>B104+Arbeitszeit!AA105-Arbeitszeit!AF105</f>
        <v>0</v>
      </c>
      <c r="D105" s="188">
        <f t="shared" si="1"/>
        <v>0</v>
      </c>
    </row>
    <row r="106" spans="2:4">
      <c r="B106" s="494">
        <f>B105+Arbeitszeit!AA106-Arbeitszeit!AF106</f>
        <v>0</v>
      </c>
      <c r="D106" s="188">
        <f t="shared" si="1"/>
        <v>0</v>
      </c>
    </row>
    <row r="107" spans="2:4">
      <c r="B107" s="494">
        <f>B106+Arbeitszeit!AA107-Arbeitszeit!AF107</f>
        <v>0</v>
      </c>
      <c r="D107" s="188">
        <f t="shared" si="1"/>
        <v>0</v>
      </c>
    </row>
    <row r="108" spans="2:4">
      <c r="B108" s="494">
        <f>B107+Arbeitszeit!AA108-Arbeitszeit!AF108</f>
        <v>0</v>
      </c>
      <c r="D108" s="188">
        <f t="shared" si="1"/>
        <v>0</v>
      </c>
    </row>
    <row r="109" spans="2:4">
      <c r="B109" s="494">
        <f>B108+Arbeitszeit!AA109-Arbeitszeit!AF109</f>
        <v>0</v>
      </c>
      <c r="D109" s="188">
        <f t="shared" si="1"/>
        <v>0</v>
      </c>
    </row>
    <row r="110" spans="2:4">
      <c r="B110" s="494">
        <f>B109+Arbeitszeit!AA110-Arbeitszeit!AF110</f>
        <v>0</v>
      </c>
      <c r="D110" s="188">
        <f t="shared" si="1"/>
        <v>0</v>
      </c>
    </row>
    <row r="111" spans="2:4">
      <c r="B111" s="494">
        <f>B110+Arbeitszeit!AA111-Arbeitszeit!AF111</f>
        <v>0</v>
      </c>
      <c r="D111" s="188">
        <f t="shared" si="1"/>
        <v>0</v>
      </c>
    </row>
    <row r="112" spans="2:4">
      <c r="B112" s="494">
        <f>B111+Arbeitszeit!AA112-Arbeitszeit!AF112</f>
        <v>0</v>
      </c>
      <c r="D112" s="188">
        <f t="shared" si="1"/>
        <v>0</v>
      </c>
    </row>
    <row r="113" spans="2:4">
      <c r="B113" s="494">
        <f>B112+Arbeitszeit!AA113-Arbeitszeit!AF113</f>
        <v>0</v>
      </c>
      <c r="D113" s="188">
        <f t="shared" si="1"/>
        <v>0</v>
      </c>
    </row>
    <row r="114" spans="2:4">
      <c r="B114" s="494">
        <f>B113+Arbeitszeit!AA114-Arbeitszeit!AF114</f>
        <v>0</v>
      </c>
      <c r="D114" s="188">
        <f t="shared" si="1"/>
        <v>0</v>
      </c>
    </row>
    <row r="115" spans="2:4">
      <c r="B115" s="494">
        <f>B114+Arbeitszeit!AA115-Arbeitszeit!AF115</f>
        <v>0</v>
      </c>
      <c r="D115" s="188">
        <f t="shared" si="1"/>
        <v>0</v>
      </c>
    </row>
    <row r="116" spans="2:4">
      <c r="B116" s="494">
        <f>B115+Arbeitszeit!AA116-Arbeitszeit!AF116</f>
        <v>0</v>
      </c>
      <c r="D116" s="188">
        <f t="shared" si="1"/>
        <v>0</v>
      </c>
    </row>
    <row r="117" spans="2:4">
      <c r="B117" s="494">
        <f>B116+Arbeitszeit!AA117-Arbeitszeit!AF117</f>
        <v>0</v>
      </c>
      <c r="D117" s="188">
        <f t="shared" si="1"/>
        <v>0</v>
      </c>
    </row>
    <row r="118" spans="2:4">
      <c r="B118" s="494">
        <f>B117+Arbeitszeit!AA118-Arbeitszeit!AF118</f>
        <v>0</v>
      </c>
      <c r="D118" s="188">
        <f t="shared" si="1"/>
        <v>0</v>
      </c>
    </row>
    <row r="119" spans="2:4">
      <c r="B119" s="494">
        <f>B118+Arbeitszeit!AA119-Arbeitszeit!AF119</f>
        <v>0</v>
      </c>
      <c r="D119" s="188">
        <f t="shared" si="1"/>
        <v>0</v>
      </c>
    </row>
    <row r="120" spans="2:4">
      <c r="B120" s="494">
        <f>B119+Arbeitszeit!AA120-Arbeitszeit!AF120</f>
        <v>0</v>
      </c>
      <c r="D120" s="188">
        <f t="shared" si="1"/>
        <v>0</v>
      </c>
    </row>
    <row r="121" spans="2:4">
      <c r="B121" s="494">
        <f>B120+Arbeitszeit!AA121-Arbeitszeit!AF121</f>
        <v>0</v>
      </c>
      <c r="D121" s="188">
        <f t="shared" si="1"/>
        <v>0</v>
      </c>
    </row>
    <row r="122" spans="2:4">
      <c r="B122" s="494">
        <f>B121+Arbeitszeit!AA122-Arbeitszeit!AF122</f>
        <v>0</v>
      </c>
      <c r="D122" s="188">
        <f t="shared" si="1"/>
        <v>0</v>
      </c>
    </row>
    <row r="123" spans="2:4">
      <c r="B123" s="494">
        <f>B122+Arbeitszeit!AA123-Arbeitszeit!AF123</f>
        <v>0</v>
      </c>
      <c r="D123" s="188">
        <f t="shared" si="1"/>
        <v>0</v>
      </c>
    </row>
    <row r="124" spans="2:4">
      <c r="B124" s="494">
        <f>B123+Arbeitszeit!AA124-Arbeitszeit!AF124</f>
        <v>0</v>
      </c>
      <c r="D124" s="188">
        <f t="shared" si="1"/>
        <v>0</v>
      </c>
    </row>
    <row r="125" spans="2:4">
      <c r="B125" s="494">
        <f>B124+Arbeitszeit!AA125-Arbeitszeit!AF125</f>
        <v>0</v>
      </c>
      <c r="D125" s="188">
        <f t="shared" si="1"/>
        <v>0</v>
      </c>
    </row>
    <row r="126" spans="2:4">
      <c r="B126" s="494">
        <f>B125+Arbeitszeit!AA126-Arbeitszeit!AF126</f>
        <v>0</v>
      </c>
      <c r="D126" s="188">
        <f t="shared" si="1"/>
        <v>0</v>
      </c>
    </row>
    <row r="127" spans="2:4">
      <c r="B127" s="494">
        <f>B126+Arbeitszeit!AA127-Arbeitszeit!AF127</f>
        <v>0</v>
      </c>
      <c r="D127" s="188">
        <f t="shared" si="1"/>
        <v>0</v>
      </c>
    </row>
    <row r="128" spans="2:4">
      <c r="B128" s="494">
        <f>B127+Arbeitszeit!AA128-Arbeitszeit!AF128</f>
        <v>0</v>
      </c>
      <c r="D128" s="188">
        <f t="shared" si="1"/>
        <v>0</v>
      </c>
    </row>
    <row r="129" spans="2:4">
      <c r="B129" s="494">
        <f>B128+Arbeitszeit!AA129-Arbeitszeit!AF129</f>
        <v>0</v>
      </c>
      <c r="D129" s="188">
        <f t="shared" si="1"/>
        <v>0</v>
      </c>
    </row>
    <row r="130" spans="2:4">
      <c r="B130" s="494">
        <f>B129+Arbeitszeit!AA130-Arbeitszeit!AF130</f>
        <v>0</v>
      </c>
      <c r="D130" s="188">
        <f t="shared" si="1"/>
        <v>0</v>
      </c>
    </row>
    <row r="131" spans="2:4">
      <c r="B131" s="494">
        <f>B130+Arbeitszeit!AA131-Arbeitszeit!AF131</f>
        <v>0</v>
      </c>
      <c r="D131" s="188">
        <f t="shared" si="1"/>
        <v>0</v>
      </c>
    </row>
    <row r="132" spans="2:4">
      <c r="B132" s="494">
        <f>B131+Arbeitszeit!AA132-Arbeitszeit!AF132</f>
        <v>0</v>
      </c>
      <c r="D132" s="188">
        <f t="shared" si="1"/>
        <v>0</v>
      </c>
    </row>
    <row r="133" spans="2:4">
      <c r="B133" s="494">
        <f>B132+Arbeitszeit!AA133-Arbeitszeit!AF133</f>
        <v>0</v>
      </c>
      <c r="D133" s="188">
        <f t="shared" si="1"/>
        <v>0</v>
      </c>
    </row>
    <row r="134" spans="2:4">
      <c r="B134" s="494">
        <f>B133+Arbeitszeit!AA134-Arbeitszeit!AF134</f>
        <v>0</v>
      </c>
      <c r="D134" s="188">
        <f t="shared" ref="D134:D197" si="2">db_jSumOverMax</f>
        <v>0</v>
      </c>
    </row>
    <row r="135" spans="2:4">
      <c r="B135" s="494">
        <f>B134+Arbeitszeit!AA135-Arbeitszeit!AF135</f>
        <v>0</v>
      </c>
      <c r="D135" s="188">
        <f t="shared" si="2"/>
        <v>0</v>
      </c>
    </row>
    <row r="136" spans="2:4">
      <c r="B136" s="494">
        <f>B135+Arbeitszeit!AA136-Arbeitszeit!AF136</f>
        <v>0</v>
      </c>
      <c r="D136" s="188">
        <f t="shared" si="2"/>
        <v>0</v>
      </c>
    </row>
    <row r="137" spans="2:4">
      <c r="B137" s="494">
        <f>B136+Arbeitszeit!AA137-Arbeitszeit!AF137</f>
        <v>0</v>
      </c>
      <c r="D137" s="188">
        <f t="shared" si="2"/>
        <v>0</v>
      </c>
    </row>
    <row r="138" spans="2:4">
      <c r="B138" s="494">
        <f>B137+Arbeitszeit!AA138-Arbeitszeit!AF138</f>
        <v>0</v>
      </c>
      <c r="D138" s="188">
        <f t="shared" si="2"/>
        <v>0</v>
      </c>
    </row>
    <row r="139" spans="2:4">
      <c r="B139" s="494">
        <f>B138+Arbeitszeit!AA139-Arbeitszeit!AF139</f>
        <v>0</v>
      </c>
      <c r="D139" s="188">
        <f t="shared" si="2"/>
        <v>0</v>
      </c>
    </row>
    <row r="140" spans="2:4">
      <c r="B140" s="494">
        <f>B139+Arbeitszeit!AA140-Arbeitszeit!AF140</f>
        <v>0</v>
      </c>
      <c r="D140" s="188">
        <f t="shared" si="2"/>
        <v>0</v>
      </c>
    </row>
    <row r="141" spans="2:4">
      <c r="B141" s="494">
        <f>B140+Arbeitszeit!AA141-Arbeitszeit!AF141</f>
        <v>0</v>
      </c>
      <c r="D141" s="188">
        <f t="shared" si="2"/>
        <v>0</v>
      </c>
    </row>
    <row r="142" spans="2:4">
      <c r="B142" s="494">
        <f>B141+Arbeitszeit!AA142-Arbeitszeit!AF142</f>
        <v>0</v>
      </c>
      <c r="D142" s="188">
        <f t="shared" si="2"/>
        <v>0</v>
      </c>
    </row>
    <row r="143" spans="2:4">
      <c r="B143" s="494">
        <f>B142+Arbeitszeit!AA143-Arbeitszeit!AF143</f>
        <v>0</v>
      </c>
      <c r="D143" s="188">
        <f t="shared" si="2"/>
        <v>0</v>
      </c>
    </row>
    <row r="144" spans="2:4">
      <c r="B144" s="494">
        <f>B143+Arbeitszeit!AA144-Arbeitszeit!AF144</f>
        <v>0</v>
      </c>
      <c r="D144" s="188">
        <f t="shared" si="2"/>
        <v>0</v>
      </c>
    </row>
    <row r="145" spans="2:4">
      <c r="B145" s="494">
        <f>B144+Arbeitszeit!AA145-Arbeitszeit!AF145</f>
        <v>0</v>
      </c>
      <c r="D145" s="188">
        <f t="shared" si="2"/>
        <v>0</v>
      </c>
    </row>
    <row r="146" spans="2:4">
      <c r="B146" s="494">
        <f>B145+Arbeitszeit!AA146-Arbeitszeit!AF146</f>
        <v>0</v>
      </c>
      <c r="D146" s="188">
        <f t="shared" si="2"/>
        <v>0</v>
      </c>
    </row>
    <row r="147" spans="2:4">
      <c r="B147" s="494">
        <f>B146+Arbeitszeit!AA147-Arbeitszeit!AF147</f>
        <v>0</v>
      </c>
      <c r="D147" s="188">
        <f t="shared" si="2"/>
        <v>0</v>
      </c>
    </row>
    <row r="148" spans="2:4">
      <c r="B148" s="494">
        <f>B147+Arbeitszeit!AA148-Arbeitszeit!AF148</f>
        <v>0</v>
      </c>
      <c r="D148" s="188">
        <f t="shared" si="2"/>
        <v>0</v>
      </c>
    </row>
    <row r="149" spans="2:4">
      <c r="B149" s="494">
        <f>B148+Arbeitszeit!AA149-Arbeitszeit!AF149</f>
        <v>0</v>
      </c>
      <c r="D149" s="188">
        <f t="shared" si="2"/>
        <v>0</v>
      </c>
    </row>
    <row r="150" spans="2:4">
      <c r="B150" s="494">
        <f>B149+Arbeitszeit!AA150-Arbeitszeit!AF150</f>
        <v>0</v>
      </c>
      <c r="D150" s="188">
        <f t="shared" si="2"/>
        <v>0</v>
      </c>
    </row>
    <row r="151" spans="2:4">
      <c r="B151" s="494">
        <f>B150+Arbeitszeit!AA151-Arbeitszeit!AF151</f>
        <v>0</v>
      </c>
      <c r="D151" s="188">
        <f t="shared" si="2"/>
        <v>0</v>
      </c>
    </row>
    <row r="152" spans="2:4">
      <c r="B152" s="494">
        <f>B151+Arbeitszeit!AA152-Arbeitszeit!AF152</f>
        <v>0</v>
      </c>
      <c r="D152" s="188">
        <f t="shared" si="2"/>
        <v>0</v>
      </c>
    </row>
    <row r="153" spans="2:4">
      <c r="B153" s="494">
        <f>B152+Arbeitszeit!AA153-Arbeitszeit!AF153</f>
        <v>0</v>
      </c>
      <c r="D153" s="188">
        <f t="shared" si="2"/>
        <v>0</v>
      </c>
    </row>
    <row r="154" spans="2:4">
      <c r="B154" s="494">
        <f>B153+Arbeitszeit!AA154-Arbeitszeit!AF154</f>
        <v>0</v>
      </c>
      <c r="D154" s="188">
        <f t="shared" si="2"/>
        <v>0</v>
      </c>
    </row>
    <row r="155" spans="2:4">
      <c r="B155" s="494">
        <f>B154+Arbeitszeit!AA155-Arbeitszeit!AF155</f>
        <v>0</v>
      </c>
      <c r="D155" s="188">
        <f t="shared" si="2"/>
        <v>0</v>
      </c>
    </row>
    <row r="156" spans="2:4">
      <c r="B156" s="494">
        <f>B155+Arbeitszeit!AA156-Arbeitszeit!AF156</f>
        <v>0</v>
      </c>
      <c r="D156" s="188">
        <f t="shared" si="2"/>
        <v>0</v>
      </c>
    </row>
    <row r="157" spans="2:4">
      <c r="B157" s="494">
        <f>B156+Arbeitszeit!AA157-Arbeitszeit!AF157</f>
        <v>0</v>
      </c>
      <c r="D157" s="188">
        <f t="shared" si="2"/>
        <v>0</v>
      </c>
    </row>
    <row r="158" spans="2:4">
      <c r="B158" s="494">
        <f>B157+Arbeitszeit!AA158-Arbeitszeit!AF158</f>
        <v>0</v>
      </c>
      <c r="D158" s="188">
        <f t="shared" si="2"/>
        <v>0</v>
      </c>
    </row>
    <row r="159" spans="2:4">
      <c r="B159" s="494">
        <f>B158+Arbeitszeit!AA159-Arbeitszeit!AF159</f>
        <v>0</v>
      </c>
      <c r="D159" s="188">
        <f t="shared" si="2"/>
        <v>0</v>
      </c>
    </row>
    <row r="160" spans="2:4">
      <c r="B160" s="494">
        <f>B159+Arbeitszeit!AA160-Arbeitszeit!AF160</f>
        <v>0</v>
      </c>
      <c r="D160" s="188">
        <f t="shared" si="2"/>
        <v>0</v>
      </c>
    </row>
    <row r="161" spans="2:4">
      <c r="B161" s="494">
        <f>B160+Arbeitszeit!AA161-Arbeitszeit!AF161</f>
        <v>0</v>
      </c>
      <c r="D161" s="188">
        <f t="shared" si="2"/>
        <v>0</v>
      </c>
    </row>
    <row r="162" spans="2:4">
      <c r="B162" s="494">
        <f>B161+Arbeitszeit!AA162-Arbeitszeit!AF162</f>
        <v>0</v>
      </c>
      <c r="D162" s="188">
        <f t="shared" si="2"/>
        <v>0</v>
      </c>
    </row>
    <row r="163" spans="2:4">
      <c r="B163" s="494">
        <f>B162+Arbeitszeit!AA163-Arbeitszeit!AF163</f>
        <v>0</v>
      </c>
      <c r="D163" s="188">
        <f t="shared" si="2"/>
        <v>0</v>
      </c>
    </row>
    <row r="164" spans="2:4">
      <c r="B164" s="494">
        <f>B163+Arbeitszeit!AA164-Arbeitszeit!AF164</f>
        <v>0</v>
      </c>
      <c r="D164" s="188">
        <f t="shared" si="2"/>
        <v>0</v>
      </c>
    </row>
    <row r="165" spans="2:4">
      <c r="B165" s="494">
        <f>B164+Arbeitszeit!AA165-Arbeitszeit!AF165</f>
        <v>0</v>
      </c>
      <c r="D165" s="188">
        <f t="shared" si="2"/>
        <v>0</v>
      </c>
    </row>
    <row r="166" spans="2:4">
      <c r="B166" s="494">
        <f>B165+Arbeitszeit!AA166-Arbeitszeit!AF166</f>
        <v>0</v>
      </c>
      <c r="D166" s="188">
        <f t="shared" si="2"/>
        <v>0</v>
      </c>
    </row>
    <row r="167" spans="2:4">
      <c r="B167" s="494">
        <f>B166+Arbeitszeit!AA167-Arbeitszeit!AF167</f>
        <v>0</v>
      </c>
      <c r="D167" s="188">
        <f t="shared" si="2"/>
        <v>0</v>
      </c>
    </row>
    <row r="168" spans="2:4">
      <c r="B168" s="494">
        <f>B167+Arbeitszeit!AA168-Arbeitszeit!AF168</f>
        <v>0</v>
      </c>
      <c r="D168" s="188">
        <f t="shared" si="2"/>
        <v>0</v>
      </c>
    </row>
    <row r="169" spans="2:4">
      <c r="B169" s="494">
        <f>B168+Arbeitszeit!AA169-Arbeitszeit!AF169</f>
        <v>0</v>
      </c>
      <c r="D169" s="188">
        <f t="shared" si="2"/>
        <v>0</v>
      </c>
    </row>
    <row r="170" spans="2:4">
      <c r="B170" s="494">
        <f>B169+Arbeitszeit!AA170-Arbeitszeit!AF170</f>
        <v>0</v>
      </c>
      <c r="D170" s="188">
        <f t="shared" si="2"/>
        <v>0</v>
      </c>
    </row>
    <row r="171" spans="2:4">
      <c r="B171" s="494">
        <f>B170+Arbeitszeit!AA171-Arbeitszeit!AF171</f>
        <v>0</v>
      </c>
      <c r="D171" s="188">
        <f t="shared" si="2"/>
        <v>0</v>
      </c>
    </row>
    <row r="172" spans="2:4">
      <c r="B172" s="494">
        <f>B171+Arbeitszeit!AA172-Arbeitszeit!AF172</f>
        <v>0</v>
      </c>
      <c r="D172" s="188">
        <f t="shared" si="2"/>
        <v>0</v>
      </c>
    </row>
    <row r="173" spans="2:4">
      <c r="B173" s="494">
        <f>B172+Arbeitszeit!AA173-Arbeitszeit!AF173</f>
        <v>0</v>
      </c>
      <c r="D173" s="188">
        <f t="shared" si="2"/>
        <v>0</v>
      </c>
    </row>
    <row r="174" spans="2:4">
      <c r="B174" s="494">
        <f>B173+Arbeitszeit!AA174-Arbeitszeit!AF174</f>
        <v>0</v>
      </c>
      <c r="D174" s="188">
        <f t="shared" si="2"/>
        <v>0</v>
      </c>
    </row>
    <row r="175" spans="2:4">
      <c r="B175" s="494">
        <f>B174+Arbeitszeit!AA175-Arbeitszeit!AF175</f>
        <v>0</v>
      </c>
      <c r="D175" s="188">
        <f t="shared" si="2"/>
        <v>0</v>
      </c>
    </row>
    <row r="176" spans="2:4">
      <c r="B176" s="494">
        <f>B175+Arbeitszeit!AA176-Arbeitszeit!AF176</f>
        <v>0</v>
      </c>
      <c r="D176" s="188">
        <f t="shared" si="2"/>
        <v>0</v>
      </c>
    </row>
    <row r="177" spans="2:4">
      <c r="B177" s="494">
        <f>B176+Arbeitszeit!AA177-Arbeitszeit!AF177</f>
        <v>0</v>
      </c>
      <c r="D177" s="188">
        <f t="shared" si="2"/>
        <v>0</v>
      </c>
    </row>
    <row r="178" spans="2:4">
      <c r="B178" s="494">
        <f>B177+Arbeitszeit!AA178-Arbeitszeit!AF178</f>
        <v>0</v>
      </c>
      <c r="D178" s="188">
        <f t="shared" si="2"/>
        <v>0</v>
      </c>
    </row>
    <row r="179" spans="2:4">
      <c r="B179" s="494">
        <f>B178+Arbeitszeit!AA179-Arbeitszeit!AF179</f>
        <v>0</v>
      </c>
      <c r="D179" s="188">
        <f t="shared" si="2"/>
        <v>0</v>
      </c>
    </row>
    <row r="180" spans="2:4">
      <c r="B180" s="494">
        <f>B179+Arbeitszeit!AA180-Arbeitszeit!AF180</f>
        <v>0</v>
      </c>
      <c r="D180" s="188">
        <f t="shared" si="2"/>
        <v>0</v>
      </c>
    </row>
    <row r="181" spans="2:4">
      <c r="B181" s="494">
        <f>B180+Arbeitszeit!AA181-Arbeitszeit!AF181</f>
        <v>0</v>
      </c>
      <c r="D181" s="188">
        <f t="shared" si="2"/>
        <v>0</v>
      </c>
    </row>
    <row r="182" spans="2:4">
      <c r="B182" s="494">
        <f>B181+Arbeitszeit!AA182-Arbeitszeit!AF182</f>
        <v>0</v>
      </c>
      <c r="D182" s="188">
        <f t="shared" si="2"/>
        <v>0</v>
      </c>
    </row>
    <row r="183" spans="2:4">
      <c r="B183" s="494">
        <f>B182+Arbeitszeit!AA183-Arbeitszeit!AF183</f>
        <v>0</v>
      </c>
      <c r="D183" s="188">
        <f t="shared" si="2"/>
        <v>0</v>
      </c>
    </row>
    <row r="184" spans="2:4">
      <c r="B184" s="494">
        <f>B183+Arbeitszeit!AA184-Arbeitszeit!AF184</f>
        <v>0</v>
      </c>
      <c r="D184" s="188">
        <f t="shared" si="2"/>
        <v>0</v>
      </c>
    </row>
    <row r="185" spans="2:4">
      <c r="B185" s="494">
        <f>B184+Arbeitszeit!AA185-Arbeitszeit!AF185</f>
        <v>0</v>
      </c>
      <c r="D185" s="188">
        <f t="shared" si="2"/>
        <v>0</v>
      </c>
    </row>
    <row r="186" spans="2:4">
      <c r="B186" s="494">
        <f>B185+Arbeitszeit!AA186-Arbeitszeit!AF186</f>
        <v>0</v>
      </c>
      <c r="D186" s="188">
        <f t="shared" si="2"/>
        <v>0</v>
      </c>
    </row>
    <row r="187" spans="2:4">
      <c r="B187" s="494">
        <f>B186+Arbeitszeit!AA187-Arbeitszeit!AF187</f>
        <v>0</v>
      </c>
      <c r="D187" s="188">
        <f t="shared" si="2"/>
        <v>0</v>
      </c>
    </row>
    <row r="188" spans="2:4">
      <c r="B188" s="494">
        <f>B187+Arbeitszeit!AA188-Arbeitszeit!AF188</f>
        <v>0</v>
      </c>
      <c r="D188" s="188">
        <f t="shared" si="2"/>
        <v>0</v>
      </c>
    </row>
    <row r="189" spans="2:4">
      <c r="B189" s="494">
        <f>B188+Arbeitszeit!AA189-Arbeitszeit!AF189</f>
        <v>0</v>
      </c>
      <c r="D189" s="188">
        <f t="shared" si="2"/>
        <v>0</v>
      </c>
    </row>
    <row r="190" spans="2:4">
      <c r="B190" s="494">
        <f>B189+Arbeitszeit!AA190-Arbeitszeit!AF190</f>
        <v>0</v>
      </c>
      <c r="D190" s="188">
        <f t="shared" si="2"/>
        <v>0</v>
      </c>
    </row>
    <row r="191" spans="2:4">
      <c r="B191" s="494">
        <f>B190+Arbeitszeit!AA191-Arbeitszeit!AF191</f>
        <v>0</v>
      </c>
      <c r="D191" s="188">
        <f t="shared" si="2"/>
        <v>0</v>
      </c>
    </row>
    <row r="192" spans="2:4">
      <c r="B192" s="494">
        <f>B191+Arbeitszeit!AA192-Arbeitszeit!AF192</f>
        <v>0</v>
      </c>
      <c r="D192" s="188">
        <f t="shared" si="2"/>
        <v>0</v>
      </c>
    </row>
    <row r="193" spans="2:4">
      <c r="B193" s="494">
        <f>B192+Arbeitszeit!AA193-Arbeitszeit!AF193</f>
        <v>0</v>
      </c>
      <c r="D193" s="188">
        <f t="shared" si="2"/>
        <v>0</v>
      </c>
    </row>
    <row r="194" spans="2:4">
      <c r="B194" s="494">
        <f>B193+Arbeitszeit!AA194-Arbeitszeit!AF194</f>
        <v>0</v>
      </c>
      <c r="D194" s="188">
        <f t="shared" si="2"/>
        <v>0</v>
      </c>
    </row>
    <row r="195" spans="2:4">
      <c r="B195" s="494">
        <f>B194+Arbeitszeit!AA195-Arbeitszeit!AF195</f>
        <v>0</v>
      </c>
      <c r="D195" s="188">
        <f t="shared" si="2"/>
        <v>0</v>
      </c>
    </row>
    <row r="196" spans="2:4">
      <c r="B196" s="494">
        <f>B195+Arbeitszeit!AA196-Arbeitszeit!AF196</f>
        <v>0</v>
      </c>
      <c r="D196" s="188">
        <f t="shared" si="2"/>
        <v>0</v>
      </c>
    </row>
    <row r="197" spans="2:4">
      <c r="B197" s="494">
        <f>B196+Arbeitszeit!AA197-Arbeitszeit!AF197</f>
        <v>0</v>
      </c>
      <c r="D197" s="188">
        <f t="shared" si="2"/>
        <v>0</v>
      </c>
    </row>
    <row r="198" spans="2:4">
      <c r="B198" s="494">
        <f>B197+Arbeitszeit!AA198-Arbeitszeit!AF198</f>
        <v>0</v>
      </c>
      <c r="D198" s="188">
        <f t="shared" ref="D198:D261" si="3">db_jSumOverMax</f>
        <v>0</v>
      </c>
    </row>
    <row r="199" spans="2:4">
      <c r="B199" s="494">
        <f>B198+Arbeitszeit!AA199-Arbeitszeit!AF199</f>
        <v>0</v>
      </c>
      <c r="D199" s="188">
        <f t="shared" si="3"/>
        <v>0</v>
      </c>
    </row>
    <row r="200" spans="2:4">
      <c r="B200" s="494">
        <f>B199+Arbeitszeit!AA200-Arbeitszeit!AF200</f>
        <v>0</v>
      </c>
      <c r="D200" s="188">
        <f t="shared" si="3"/>
        <v>0</v>
      </c>
    </row>
    <row r="201" spans="2:4">
      <c r="B201" s="494">
        <f>B200+Arbeitszeit!AA201-Arbeitszeit!AF201</f>
        <v>0</v>
      </c>
      <c r="D201" s="188">
        <f t="shared" si="3"/>
        <v>0</v>
      </c>
    </row>
    <row r="202" spans="2:4">
      <c r="B202" s="494">
        <f>B201+Arbeitszeit!AA202-Arbeitszeit!AF202</f>
        <v>0</v>
      </c>
      <c r="D202" s="188">
        <f t="shared" si="3"/>
        <v>0</v>
      </c>
    </row>
    <row r="203" spans="2:4">
      <c r="B203" s="494">
        <f>B202+Arbeitszeit!AA203-Arbeitszeit!AF203</f>
        <v>0</v>
      </c>
      <c r="D203" s="188">
        <f t="shared" si="3"/>
        <v>0</v>
      </c>
    </row>
    <row r="204" spans="2:4">
      <c r="B204" s="494">
        <f>B203+Arbeitszeit!AA204-Arbeitszeit!AF204</f>
        <v>0</v>
      </c>
      <c r="D204" s="188">
        <f t="shared" si="3"/>
        <v>0</v>
      </c>
    </row>
    <row r="205" spans="2:4">
      <c r="B205" s="494">
        <f>B204+Arbeitszeit!AA205-Arbeitszeit!AF205</f>
        <v>0</v>
      </c>
      <c r="D205" s="188">
        <f t="shared" si="3"/>
        <v>0</v>
      </c>
    </row>
    <row r="206" spans="2:4">
      <c r="B206" s="494">
        <f>B205+Arbeitszeit!AA206-Arbeitszeit!AF206</f>
        <v>0</v>
      </c>
      <c r="D206" s="188">
        <f t="shared" si="3"/>
        <v>0</v>
      </c>
    </row>
    <row r="207" spans="2:4">
      <c r="B207" s="494">
        <f>B206+Arbeitszeit!AA207-Arbeitszeit!AF207</f>
        <v>0</v>
      </c>
      <c r="D207" s="188">
        <f t="shared" si="3"/>
        <v>0</v>
      </c>
    </row>
    <row r="208" spans="2:4">
      <c r="B208" s="494">
        <f>B207+Arbeitszeit!AA208-Arbeitszeit!AF208</f>
        <v>0</v>
      </c>
      <c r="D208" s="188">
        <f t="shared" si="3"/>
        <v>0</v>
      </c>
    </row>
    <row r="209" spans="2:4">
      <c r="B209" s="494">
        <f>B208+Arbeitszeit!AA209-Arbeitszeit!AF209</f>
        <v>0</v>
      </c>
      <c r="D209" s="188">
        <f t="shared" si="3"/>
        <v>0</v>
      </c>
    </row>
    <row r="210" spans="2:4">
      <c r="B210" s="494">
        <f>B209+Arbeitszeit!AA210-Arbeitszeit!AF210</f>
        <v>0</v>
      </c>
      <c r="D210" s="188">
        <f t="shared" si="3"/>
        <v>0</v>
      </c>
    </row>
    <row r="211" spans="2:4">
      <c r="B211" s="494">
        <f>B210+Arbeitszeit!AA211-Arbeitszeit!AF211</f>
        <v>0</v>
      </c>
      <c r="D211" s="188">
        <f t="shared" si="3"/>
        <v>0</v>
      </c>
    </row>
    <row r="212" spans="2:4">
      <c r="B212" s="494">
        <f>B211+Arbeitszeit!AA212-Arbeitszeit!AF212</f>
        <v>0</v>
      </c>
      <c r="D212" s="188">
        <f t="shared" si="3"/>
        <v>0</v>
      </c>
    </row>
    <row r="213" spans="2:4">
      <c r="B213" s="494">
        <f>B212+Arbeitszeit!AA213-Arbeitszeit!AF213</f>
        <v>0</v>
      </c>
      <c r="D213" s="188">
        <f t="shared" si="3"/>
        <v>0</v>
      </c>
    </row>
    <row r="214" spans="2:4">
      <c r="B214" s="494">
        <f>B213+Arbeitszeit!AA214-Arbeitszeit!AF214</f>
        <v>0</v>
      </c>
      <c r="D214" s="188">
        <f t="shared" si="3"/>
        <v>0</v>
      </c>
    </row>
    <row r="215" spans="2:4">
      <c r="B215" s="494">
        <f>B214+Arbeitszeit!AA215-Arbeitszeit!AF215</f>
        <v>0</v>
      </c>
      <c r="D215" s="188">
        <f t="shared" si="3"/>
        <v>0</v>
      </c>
    </row>
    <row r="216" spans="2:4">
      <c r="B216" s="494">
        <f>B215+Arbeitszeit!AA216-Arbeitszeit!AF216</f>
        <v>0</v>
      </c>
      <c r="D216" s="188">
        <f t="shared" si="3"/>
        <v>0</v>
      </c>
    </row>
    <row r="217" spans="2:4">
      <c r="B217" s="494">
        <f>B216+Arbeitszeit!AA217-Arbeitszeit!AF217</f>
        <v>0</v>
      </c>
      <c r="D217" s="188">
        <f t="shared" si="3"/>
        <v>0</v>
      </c>
    </row>
    <row r="218" spans="2:4">
      <c r="B218" s="494">
        <f>B217+Arbeitszeit!AA218-Arbeitszeit!AF218</f>
        <v>0</v>
      </c>
      <c r="D218" s="188">
        <f t="shared" si="3"/>
        <v>0</v>
      </c>
    </row>
    <row r="219" spans="2:4">
      <c r="B219" s="494">
        <f>B218+Arbeitszeit!AA219-Arbeitszeit!AF219</f>
        <v>0</v>
      </c>
      <c r="D219" s="188">
        <f t="shared" si="3"/>
        <v>0</v>
      </c>
    </row>
    <row r="220" spans="2:4">
      <c r="B220" s="494">
        <f>B219+Arbeitszeit!AA220-Arbeitszeit!AF220</f>
        <v>0</v>
      </c>
      <c r="D220" s="188">
        <f t="shared" si="3"/>
        <v>0</v>
      </c>
    </row>
    <row r="221" spans="2:4">
      <c r="B221" s="494">
        <f>B220+Arbeitszeit!AA221-Arbeitszeit!AF221</f>
        <v>0</v>
      </c>
      <c r="D221" s="188">
        <f t="shared" si="3"/>
        <v>0</v>
      </c>
    </row>
    <row r="222" spans="2:4">
      <c r="B222" s="494">
        <f>B221+Arbeitszeit!AA222-Arbeitszeit!AF222</f>
        <v>0</v>
      </c>
      <c r="D222" s="188">
        <f t="shared" si="3"/>
        <v>0</v>
      </c>
    </row>
    <row r="223" spans="2:4">
      <c r="B223" s="494">
        <f>B222+Arbeitszeit!AA223-Arbeitszeit!AF223</f>
        <v>0</v>
      </c>
      <c r="D223" s="188">
        <f t="shared" si="3"/>
        <v>0</v>
      </c>
    </row>
    <row r="224" spans="2:4">
      <c r="B224" s="494">
        <f>B223+Arbeitszeit!AA224-Arbeitszeit!AF224</f>
        <v>0</v>
      </c>
      <c r="D224" s="188">
        <f t="shared" si="3"/>
        <v>0</v>
      </c>
    </row>
    <row r="225" spans="2:4">
      <c r="B225" s="494">
        <f>B224+Arbeitszeit!AA225-Arbeitszeit!AF225</f>
        <v>0</v>
      </c>
      <c r="D225" s="188">
        <f t="shared" si="3"/>
        <v>0</v>
      </c>
    </row>
    <row r="226" spans="2:4">
      <c r="B226" s="494">
        <f>B225+Arbeitszeit!AA226-Arbeitszeit!AF226</f>
        <v>0</v>
      </c>
      <c r="D226" s="188">
        <f t="shared" si="3"/>
        <v>0</v>
      </c>
    </row>
    <row r="227" spans="2:4">
      <c r="B227" s="494">
        <f>B226+Arbeitszeit!AA227-Arbeitszeit!AF227</f>
        <v>0</v>
      </c>
      <c r="D227" s="188">
        <f t="shared" si="3"/>
        <v>0</v>
      </c>
    </row>
    <row r="228" spans="2:4">
      <c r="B228" s="494">
        <f>B227+Arbeitszeit!AA228-Arbeitszeit!AF228</f>
        <v>0</v>
      </c>
      <c r="D228" s="188">
        <f t="shared" si="3"/>
        <v>0</v>
      </c>
    </row>
    <row r="229" spans="2:4">
      <c r="B229" s="494">
        <f>B228+Arbeitszeit!AA229-Arbeitszeit!AF229</f>
        <v>0</v>
      </c>
      <c r="D229" s="188">
        <f t="shared" si="3"/>
        <v>0</v>
      </c>
    </row>
    <row r="230" spans="2:4">
      <c r="B230" s="494">
        <f>B229+Arbeitszeit!AA230-Arbeitszeit!AF230</f>
        <v>0</v>
      </c>
      <c r="D230" s="188">
        <f t="shared" si="3"/>
        <v>0</v>
      </c>
    </row>
    <row r="231" spans="2:4">
      <c r="B231" s="494">
        <f>B230+Arbeitszeit!AA231-Arbeitszeit!AF231</f>
        <v>0</v>
      </c>
      <c r="D231" s="188">
        <f t="shared" si="3"/>
        <v>0</v>
      </c>
    </row>
    <row r="232" spans="2:4">
      <c r="B232" s="494">
        <f>B231+Arbeitszeit!AA232-Arbeitszeit!AF232</f>
        <v>0</v>
      </c>
      <c r="D232" s="188">
        <f t="shared" si="3"/>
        <v>0</v>
      </c>
    </row>
    <row r="233" spans="2:4">
      <c r="B233" s="494">
        <f>B232+Arbeitszeit!AA233-Arbeitszeit!AF233</f>
        <v>0</v>
      </c>
      <c r="D233" s="188">
        <f t="shared" si="3"/>
        <v>0</v>
      </c>
    </row>
    <row r="234" spans="2:4">
      <c r="B234" s="494">
        <f>B233+Arbeitszeit!AA234-Arbeitszeit!AF234</f>
        <v>0</v>
      </c>
      <c r="D234" s="188">
        <f t="shared" si="3"/>
        <v>0</v>
      </c>
    </row>
    <row r="235" spans="2:4">
      <c r="B235" s="494">
        <f>B234+Arbeitszeit!AA235-Arbeitszeit!AF235</f>
        <v>0</v>
      </c>
      <c r="D235" s="188">
        <f t="shared" si="3"/>
        <v>0</v>
      </c>
    </row>
    <row r="236" spans="2:4">
      <c r="B236" s="494">
        <f>B235+Arbeitszeit!AA236-Arbeitszeit!AF236</f>
        <v>0</v>
      </c>
      <c r="D236" s="188">
        <f t="shared" si="3"/>
        <v>0</v>
      </c>
    </row>
    <row r="237" spans="2:4">
      <c r="B237" s="494">
        <f>B236+Arbeitszeit!AA237-Arbeitszeit!AF237</f>
        <v>0</v>
      </c>
      <c r="D237" s="188">
        <f t="shared" si="3"/>
        <v>0</v>
      </c>
    </row>
    <row r="238" spans="2:4">
      <c r="B238" s="494">
        <f>B237+Arbeitszeit!AA238-Arbeitszeit!AF238</f>
        <v>0</v>
      </c>
      <c r="D238" s="188">
        <f t="shared" si="3"/>
        <v>0</v>
      </c>
    </row>
    <row r="239" spans="2:4">
      <c r="B239" s="494">
        <f>B238+Arbeitszeit!AA239-Arbeitszeit!AF239</f>
        <v>0</v>
      </c>
      <c r="D239" s="188">
        <f t="shared" si="3"/>
        <v>0</v>
      </c>
    </row>
    <row r="240" spans="2:4">
      <c r="B240" s="494">
        <f>B239+Arbeitszeit!AA240-Arbeitszeit!AF240</f>
        <v>0</v>
      </c>
      <c r="D240" s="188">
        <f t="shared" si="3"/>
        <v>0</v>
      </c>
    </row>
    <row r="241" spans="2:4">
      <c r="B241" s="494">
        <f>B240+Arbeitszeit!AA241-Arbeitszeit!AF241</f>
        <v>0</v>
      </c>
      <c r="D241" s="188">
        <f t="shared" si="3"/>
        <v>0</v>
      </c>
    </row>
    <row r="242" spans="2:4">
      <c r="B242" s="494">
        <f>B241+Arbeitszeit!AA242-Arbeitszeit!AF242</f>
        <v>0</v>
      </c>
      <c r="D242" s="188">
        <f t="shared" si="3"/>
        <v>0</v>
      </c>
    </row>
    <row r="243" spans="2:4">
      <c r="B243" s="494">
        <f>B242+Arbeitszeit!AA243-Arbeitszeit!AF243</f>
        <v>0</v>
      </c>
      <c r="D243" s="188">
        <f t="shared" si="3"/>
        <v>0</v>
      </c>
    </row>
    <row r="244" spans="2:4">
      <c r="B244" s="494">
        <f>B243+Arbeitszeit!AA244-Arbeitszeit!AF244</f>
        <v>0</v>
      </c>
      <c r="D244" s="188">
        <f t="shared" si="3"/>
        <v>0</v>
      </c>
    </row>
    <row r="245" spans="2:4">
      <c r="B245" s="494">
        <f>B244+Arbeitszeit!AA245-Arbeitszeit!AF245</f>
        <v>0</v>
      </c>
      <c r="D245" s="188">
        <f t="shared" si="3"/>
        <v>0</v>
      </c>
    </row>
    <row r="246" spans="2:4">
      <c r="B246" s="494">
        <f>B245+Arbeitszeit!AA246-Arbeitszeit!AF246</f>
        <v>0</v>
      </c>
      <c r="D246" s="188">
        <f t="shared" si="3"/>
        <v>0</v>
      </c>
    </row>
    <row r="247" spans="2:4">
      <c r="B247" s="494">
        <f>B246+Arbeitszeit!AA247-Arbeitszeit!AF247</f>
        <v>0</v>
      </c>
      <c r="D247" s="188">
        <f t="shared" si="3"/>
        <v>0</v>
      </c>
    </row>
    <row r="248" spans="2:4">
      <c r="B248" s="494">
        <f>B247+Arbeitszeit!AA248-Arbeitszeit!AF248</f>
        <v>0</v>
      </c>
      <c r="D248" s="188">
        <f t="shared" si="3"/>
        <v>0</v>
      </c>
    </row>
    <row r="249" spans="2:4">
      <c r="B249" s="494">
        <f>B248+Arbeitszeit!AA249-Arbeitszeit!AF249</f>
        <v>0</v>
      </c>
      <c r="D249" s="188">
        <f t="shared" si="3"/>
        <v>0</v>
      </c>
    </row>
    <row r="250" spans="2:4">
      <c r="B250" s="494">
        <f>B249+Arbeitszeit!AA250-Arbeitszeit!AF250</f>
        <v>0</v>
      </c>
      <c r="D250" s="188">
        <f t="shared" si="3"/>
        <v>0</v>
      </c>
    </row>
    <row r="251" spans="2:4">
      <c r="B251" s="494">
        <f>B250+Arbeitszeit!AA251-Arbeitszeit!AF251</f>
        <v>0</v>
      </c>
      <c r="D251" s="188">
        <f t="shared" si="3"/>
        <v>0</v>
      </c>
    </row>
    <row r="252" spans="2:4">
      <c r="B252" s="494">
        <f>B251+Arbeitszeit!AA252-Arbeitszeit!AF252</f>
        <v>0</v>
      </c>
      <c r="D252" s="188">
        <f t="shared" si="3"/>
        <v>0</v>
      </c>
    </row>
    <row r="253" spans="2:4">
      <c r="B253" s="494">
        <f>B252+Arbeitszeit!AA253-Arbeitszeit!AF253</f>
        <v>0</v>
      </c>
      <c r="D253" s="188">
        <f t="shared" si="3"/>
        <v>0</v>
      </c>
    </row>
    <row r="254" spans="2:4">
      <c r="B254" s="494">
        <f>B253+Arbeitszeit!AA254-Arbeitszeit!AF254</f>
        <v>0</v>
      </c>
      <c r="D254" s="188">
        <f t="shared" si="3"/>
        <v>0</v>
      </c>
    </row>
    <row r="255" spans="2:4">
      <c r="B255" s="494">
        <f>B254+Arbeitszeit!AA255-Arbeitszeit!AF255</f>
        <v>0</v>
      </c>
      <c r="D255" s="188">
        <f t="shared" si="3"/>
        <v>0</v>
      </c>
    </row>
    <row r="256" spans="2:4">
      <c r="B256" s="494">
        <f>B255+Arbeitszeit!AA256-Arbeitszeit!AF256</f>
        <v>0</v>
      </c>
      <c r="D256" s="188">
        <f t="shared" si="3"/>
        <v>0</v>
      </c>
    </row>
    <row r="257" spans="2:4">
      <c r="B257" s="494">
        <f>B256+Arbeitszeit!AA257-Arbeitszeit!AF257</f>
        <v>0</v>
      </c>
      <c r="D257" s="188">
        <f t="shared" si="3"/>
        <v>0</v>
      </c>
    </row>
    <row r="258" spans="2:4">
      <c r="B258" s="494">
        <f>B257+Arbeitszeit!AA258-Arbeitszeit!AF258</f>
        <v>0</v>
      </c>
      <c r="D258" s="188">
        <f t="shared" si="3"/>
        <v>0</v>
      </c>
    </row>
    <row r="259" spans="2:4">
      <c r="B259" s="494">
        <f>B258+Arbeitszeit!AA259-Arbeitszeit!AF259</f>
        <v>0</v>
      </c>
      <c r="D259" s="188">
        <f t="shared" si="3"/>
        <v>0</v>
      </c>
    </row>
    <row r="260" spans="2:4">
      <c r="B260" s="494">
        <f>B259+Arbeitszeit!AA260-Arbeitszeit!AF260</f>
        <v>0</v>
      </c>
      <c r="D260" s="188">
        <f t="shared" si="3"/>
        <v>0</v>
      </c>
    </row>
    <row r="261" spans="2:4">
      <c r="B261" s="494">
        <f>B260+Arbeitszeit!AA261-Arbeitszeit!AF261</f>
        <v>0</v>
      </c>
      <c r="D261" s="188">
        <f t="shared" si="3"/>
        <v>0</v>
      </c>
    </row>
    <row r="262" spans="2:4">
      <c r="B262" s="494">
        <f>B261+Arbeitszeit!AA262-Arbeitszeit!AF262</f>
        <v>0</v>
      </c>
      <c r="D262" s="188">
        <f t="shared" ref="D262:D325" si="4">db_jSumOverMax</f>
        <v>0</v>
      </c>
    </row>
    <row r="263" spans="2:4">
      <c r="B263" s="494">
        <f>B262+Arbeitszeit!AA263-Arbeitszeit!AF263</f>
        <v>0</v>
      </c>
      <c r="D263" s="188">
        <f t="shared" si="4"/>
        <v>0</v>
      </c>
    </row>
    <row r="264" spans="2:4">
      <c r="B264" s="494">
        <f>B263+Arbeitszeit!AA264-Arbeitszeit!AF264</f>
        <v>0</v>
      </c>
      <c r="D264" s="188">
        <f t="shared" si="4"/>
        <v>0</v>
      </c>
    </row>
    <row r="265" spans="2:4">
      <c r="B265" s="494">
        <f>B264+Arbeitszeit!AA265-Arbeitszeit!AF265</f>
        <v>0</v>
      </c>
      <c r="D265" s="188">
        <f t="shared" si="4"/>
        <v>0</v>
      </c>
    </row>
    <row r="266" spans="2:4">
      <c r="B266" s="494">
        <f>B265+Arbeitszeit!AA266-Arbeitszeit!AF266</f>
        <v>0</v>
      </c>
      <c r="D266" s="188">
        <f t="shared" si="4"/>
        <v>0</v>
      </c>
    </row>
    <row r="267" spans="2:4">
      <c r="B267" s="494">
        <f>B266+Arbeitszeit!AA267-Arbeitszeit!AF267</f>
        <v>0</v>
      </c>
      <c r="D267" s="188">
        <f t="shared" si="4"/>
        <v>0</v>
      </c>
    </row>
    <row r="268" spans="2:4">
      <c r="B268" s="494">
        <f>B267+Arbeitszeit!AA268-Arbeitszeit!AF268</f>
        <v>0</v>
      </c>
      <c r="D268" s="188">
        <f t="shared" si="4"/>
        <v>0</v>
      </c>
    </row>
    <row r="269" spans="2:4">
      <c r="B269" s="494">
        <f>B268+Arbeitszeit!AA269-Arbeitszeit!AF269</f>
        <v>0</v>
      </c>
      <c r="D269" s="188">
        <f t="shared" si="4"/>
        <v>0</v>
      </c>
    </row>
    <row r="270" spans="2:4">
      <c r="B270" s="494">
        <f>B269+Arbeitszeit!AA270-Arbeitszeit!AF270</f>
        <v>0</v>
      </c>
      <c r="D270" s="188">
        <f t="shared" si="4"/>
        <v>0</v>
      </c>
    </row>
    <row r="271" spans="2:4">
      <c r="B271" s="494">
        <f>B270+Arbeitszeit!AA271-Arbeitszeit!AF271</f>
        <v>0</v>
      </c>
      <c r="D271" s="188">
        <f t="shared" si="4"/>
        <v>0</v>
      </c>
    </row>
    <row r="272" spans="2:4">
      <c r="B272" s="494">
        <f>B271+Arbeitszeit!AA272-Arbeitszeit!AF272</f>
        <v>0</v>
      </c>
      <c r="D272" s="188">
        <f t="shared" si="4"/>
        <v>0</v>
      </c>
    </row>
    <row r="273" spans="2:4">
      <c r="B273" s="494">
        <f>B272+Arbeitszeit!AA273-Arbeitszeit!AF273</f>
        <v>0</v>
      </c>
      <c r="D273" s="188">
        <f t="shared" si="4"/>
        <v>0</v>
      </c>
    </row>
    <row r="274" spans="2:4">
      <c r="B274" s="494">
        <f>B273+Arbeitszeit!AA274-Arbeitszeit!AF274</f>
        <v>0</v>
      </c>
      <c r="D274" s="188">
        <f t="shared" si="4"/>
        <v>0</v>
      </c>
    </row>
    <row r="275" spans="2:4">
      <c r="B275" s="494">
        <f>B274+Arbeitszeit!AA275-Arbeitszeit!AF275</f>
        <v>0</v>
      </c>
      <c r="D275" s="188">
        <f t="shared" si="4"/>
        <v>0</v>
      </c>
    </row>
    <row r="276" spans="2:4">
      <c r="B276" s="494">
        <f>B275+Arbeitszeit!AA276-Arbeitszeit!AF276</f>
        <v>0</v>
      </c>
      <c r="D276" s="188">
        <f t="shared" si="4"/>
        <v>0</v>
      </c>
    </row>
    <row r="277" spans="2:4">
      <c r="B277" s="494">
        <f>B276+Arbeitszeit!AA277-Arbeitszeit!AF277</f>
        <v>0</v>
      </c>
      <c r="D277" s="188">
        <f t="shared" si="4"/>
        <v>0</v>
      </c>
    </row>
    <row r="278" spans="2:4">
      <c r="B278" s="494">
        <f>B277+Arbeitszeit!AA278-Arbeitszeit!AF278</f>
        <v>0</v>
      </c>
      <c r="D278" s="188">
        <f t="shared" si="4"/>
        <v>0</v>
      </c>
    </row>
    <row r="279" spans="2:4">
      <c r="B279" s="494">
        <f>B278+Arbeitszeit!AA279-Arbeitszeit!AF279</f>
        <v>0</v>
      </c>
      <c r="D279" s="188">
        <f t="shared" si="4"/>
        <v>0</v>
      </c>
    </row>
    <row r="280" spans="2:4">
      <c r="B280" s="494">
        <f>B279+Arbeitszeit!AA280-Arbeitszeit!AF280</f>
        <v>0</v>
      </c>
      <c r="D280" s="188">
        <f t="shared" si="4"/>
        <v>0</v>
      </c>
    </row>
    <row r="281" spans="2:4">
      <c r="B281" s="494">
        <f>B280+Arbeitszeit!AA281-Arbeitszeit!AF281</f>
        <v>0</v>
      </c>
      <c r="D281" s="188">
        <f t="shared" si="4"/>
        <v>0</v>
      </c>
    </row>
    <row r="282" spans="2:4">
      <c r="B282" s="494">
        <f>B281+Arbeitszeit!AA282-Arbeitszeit!AF282</f>
        <v>0</v>
      </c>
      <c r="D282" s="188">
        <f t="shared" si="4"/>
        <v>0</v>
      </c>
    </row>
    <row r="283" spans="2:4">
      <c r="B283" s="494">
        <f>B282+Arbeitszeit!AA283-Arbeitszeit!AF283</f>
        <v>0</v>
      </c>
      <c r="D283" s="188">
        <f t="shared" si="4"/>
        <v>0</v>
      </c>
    </row>
    <row r="284" spans="2:4">
      <c r="B284" s="494">
        <f>B283+Arbeitszeit!AA284-Arbeitszeit!AF284</f>
        <v>0</v>
      </c>
      <c r="D284" s="188">
        <f t="shared" si="4"/>
        <v>0</v>
      </c>
    </row>
    <row r="285" spans="2:4">
      <c r="B285" s="494">
        <f>B284+Arbeitszeit!AA285-Arbeitszeit!AF285</f>
        <v>0</v>
      </c>
      <c r="D285" s="188">
        <f t="shared" si="4"/>
        <v>0</v>
      </c>
    </row>
    <row r="286" spans="2:4">
      <c r="B286" s="494">
        <f>B285+Arbeitszeit!AA286-Arbeitszeit!AF286</f>
        <v>0</v>
      </c>
      <c r="D286" s="188">
        <f t="shared" si="4"/>
        <v>0</v>
      </c>
    </row>
    <row r="287" spans="2:4">
      <c r="B287" s="494">
        <f>B286+Arbeitszeit!AA287-Arbeitszeit!AF287</f>
        <v>0</v>
      </c>
      <c r="D287" s="188">
        <f t="shared" si="4"/>
        <v>0</v>
      </c>
    </row>
    <row r="288" spans="2:4">
      <c r="B288" s="494">
        <f>B287+Arbeitszeit!AA288-Arbeitszeit!AF288</f>
        <v>0</v>
      </c>
      <c r="D288" s="188">
        <f t="shared" si="4"/>
        <v>0</v>
      </c>
    </row>
    <row r="289" spans="2:4">
      <c r="B289" s="494">
        <f>B288+Arbeitszeit!AA289-Arbeitszeit!AF289</f>
        <v>0</v>
      </c>
      <c r="D289" s="188">
        <f t="shared" si="4"/>
        <v>0</v>
      </c>
    </row>
    <row r="290" spans="2:4">
      <c r="B290" s="494">
        <f>B289+Arbeitszeit!AA290-Arbeitszeit!AF290</f>
        <v>0</v>
      </c>
      <c r="D290" s="188">
        <f t="shared" si="4"/>
        <v>0</v>
      </c>
    </row>
    <row r="291" spans="2:4">
      <c r="B291" s="494">
        <f>B290+Arbeitszeit!AA291-Arbeitszeit!AF291</f>
        <v>0</v>
      </c>
      <c r="D291" s="188">
        <f t="shared" si="4"/>
        <v>0</v>
      </c>
    </row>
    <row r="292" spans="2:4">
      <c r="B292" s="494">
        <f>B291+Arbeitszeit!AA292-Arbeitszeit!AF292</f>
        <v>0</v>
      </c>
      <c r="D292" s="188">
        <f t="shared" si="4"/>
        <v>0</v>
      </c>
    </row>
    <row r="293" spans="2:4">
      <c r="B293" s="494">
        <f>B292+Arbeitszeit!AA293-Arbeitszeit!AF293</f>
        <v>0</v>
      </c>
      <c r="D293" s="188">
        <f t="shared" si="4"/>
        <v>0</v>
      </c>
    </row>
    <row r="294" spans="2:4">
      <c r="B294" s="494">
        <f>B293+Arbeitszeit!AA294-Arbeitszeit!AF294</f>
        <v>0</v>
      </c>
      <c r="D294" s="188">
        <f t="shared" si="4"/>
        <v>0</v>
      </c>
    </row>
    <row r="295" spans="2:4">
      <c r="B295" s="494">
        <f>B294+Arbeitszeit!AA295-Arbeitszeit!AF295</f>
        <v>0</v>
      </c>
      <c r="D295" s="188">
        <f t="shared" si="4"/>
        <v>0</v>
      </c>
    </row>
    <row r="296" spans="2:4">
      <c r="B296" s="494">
        <f>B295+Arbeitszeit!AA296-Arbeitszeit!AF296</f>
        <v>0</v>
      </c>
      <c r="D296" s="188">
        <f t="shared" si="4"/>
        <v>0</v>
      </c>
    </row>
    <row r="297" spans="2:4">
      <c r="B297" s="494">
        <f>B296+Arbeitszeit!AA297-Arbeitszeit!AF297</f>
        <v>0</v>
      </c>
      <c r="D297" s="188">
        <f t="shared" si="4"/>
        <v>0</v>
      </c>
    </row>
    <row r="298" spans="2:4">
      <c r="B298" s="494">
        <f>B297+Arbeitszeit!AA298-Arbeitszeit!AF298</f>
        <v>0</v>
      </c>
      <c r="D298" s="188">
        <f t="shared" si="4"/>
        <v>0</v>
      </c>
    </row>
    <row r="299" spans="2:4">
      <c r="B299" s="494">
        <f>B298+Arbeitszeit!AA299-Arbeitszeit!AF299</f>
        <v>0</v>
      </c>
      <c r="D299" s="188">
        <f t="shared" si="4"/>
        <v>0</v>
      </c>
    </row>
    <row r="300" spans="2:4">
      <c r="B300" s="494">
        <f>B299+Arbeitszeit!AA300-Arbeitszeit!AF300</f>
        <v>0</v>
      </c>
      <c r="D300" s="188">
        <f t="shared" si="4"/>
        <v>0</v>
      </c>
    </row>
    <row r="301" spans="2:4">
      <c r="B301" s="494">
        <f>B300+Arbeitszeit!AA301-Arbeitszeit!AF301</f>
        <v>0</v>
      </c>
      <c r="D301" s="188">
        <f t="shared" si="4"/>
        <v>0</v>
      </c>
    </row>
    <row r="302" spans="2:4">
      <c r="B302" s="494">
        <f>B301+Arbeitszeit!AA302-Arbeitszeit!AF302</f>
        <v>0</v>
      </c>
      <c r="D302" s="188">
        <f t="shared" si="4"/>
        <v>0</v>
      </c>
    </row>
    <row r="303" spans="2:4">
      <c r="B303" s="494">
        <f>B302+Arbeitszeit!AA303-Arbeitszeit!AF303</f>
        <v>0</v>
      </c>
      <c r="D303" s="188">
        <f t="shared" si="4"/>
        <v>0</v>
      </c>
    </row>
    <row r="304" spans="2:4">
      <c r="B304" s="494">
        <f>B303+Arbeitszeit!AA304-Arbeitszeit!AF304</f>
        <v>0</v>
      </c>
      <c r="D304" s="188">
        <f t="shared" si="4"/>
        <v>0</v>
      </c>
    </row>
    <row r="305" spans="2:4">
      <c r="B305" s="494">
        <f>B304+Arbeitszeit!AA305-Arbeitszeit!AF305</f>
        <v>0</v>
      </c>
      <c r="D305" s="188">
        <f t="shared" si="4"/>
        <v>0</v>
      </c>
    </row>
    <row r="306" spans="2:4">
      <c r="B306" s="494">
        <f>B305+Arbeitszeit!AA306-Arbeitszeit!AF306</f>
        <v>0</v>
      </c>
      <c r="D306" s="188">
        <f t="shared" si="4"/>
        <v>0</v>
      </c>
    </row>
    <row r="307" spans="2:4">
      <c r="B307" s="494">
        <f>B306+Arbeitszeit!AA307-Arbeitszeit!AF307</f>
        <v>0</v>
      </c>
      <c r="D307" s="188">
        <f t="shared" si="4"/>
        <v>0</v>
      </c>
    </row>
    <row r="308" spans="2:4">
      <c r="B308" s="494">
        <f>B307+Arbeitszeit!AA308-Arbeitszeit!AF308</f>
        <v>0</v>
      </c>
      <c r="D308" s="188">
        <f t="shared" si="4"/>
        <v>0</v>
      </c>
    </row>
    <row r="309" spans="2:4">
      <c r="B309" s="494">
        <f>B308+Arbeitszeit!AA309-Arbeitszeit!AF309</f>
        <v>0</v>
      </c>
      <c r="D309" s="188">
        <f t="shared" si="4"/>
        <v>0</v>
      </c>
    </row>
    <row r="310" spans="2:4">
      <c r="B310" s="494">
        <f>B309+Arbeitszeit!AA310-Arbeitszeit!AF310</f>
        <v>0</v>
      </c>
      <c r="D310" s="188">
        <f t="shared" si="4"/>
        <v>0</v>
      </c>
    </row>
    <row r="311" spans="2:4">
      <c r="B311" s="494">
        <f>B310+Arbeitszeit!AA311-Arbeitszeit!AF311</f>
        <v>0</v>
      </c>
      <c r="D311" s="188">
        <f t="shared" si="4"/>
        <v>0</v>
      </c>
    </row>
    <row r="312" spans="2:4">
      <c r="B312" s="494">
        <f>B311+Arbeitszeit!AA312-Arbeitszeit!AF312</f>
        <v>0</v>
      </c>
      <c r="D312" s="188">
        <f t="shared" si="4"/>
        <v>0</v>
      </c>
    </row>
    <row r="313" spans="2:4">
      <c r="B313" s="494">
        <f>B312+Arbeitszeit!AA313-Arbeitszeit!AF313</f>
        <v>0</v>
      </c>
      <c r="D313" s="188">
        <f t="shared" si="4"/>
        <v>0</v>
      </c>
    </row>
    <row r="314" spans="2:4">
      <c r="B314" s="494">
        <f>B313+Arbeitszeit!AA314-Arbeitszeit!AF314</f>
        <v>0</v>
      </c>
      <c r="D314" s="188">
        <f t="shared" si="4"/>
        <v>0</v>
      </c>
    </row>
    <row r="315" spans="2:4">
      <c r="B315" s="494">
        <f>B314+Arbeitszeit!AA315-Arbeitszeit!AF315</f>
        <v>0</v>
      </c>
      <c r="D315" s="188">
        <f t="shared" si="4"/>
        <v>0</v>
      </c>
    </row>
    <row r="316" spans="2:4">
      <c r="B316" s="494">
        <f>B315+Arbeitszeit!AA316-Arbeitszeit!AF316</f>
        <v>0</v>
      </c>
      <c r="D316" s="188">
        <f t="shared" si="4"/>
        <v>0</v>
      </c>
    </row>
    <row r="317" spans="2:4">
      <c r="B317" s="494">
        <f>B316+Arbeitszeit!AA317-Arbeitszeit!AF317</f>
        <v>0</v>
      </c>
      <c r="D317" s="188">
        <f t="shared" si="4"/>
        <v>0</v>
      </c>
    </row>
    <row r="318" spans="2:4">
      <c r="B318" s="494">
        <f>B317+Arbeitszeit!AA318-Arbeitszeit!AF318</f>
        <v>0</v>
      </c>
      <c r="D318" s="188">
        <f t="shared" si="4"/>
        <v>0</v>
      </c>
    </row>
    <row r="319" spans="2:4">
      <c r="B319" s="494">
        <f>B318+Arbeitszeit!AA319-Arbeitszeit!AF319</f>
        <v>0</v>
      </c>
      <c r="D319" s="188">
        <f t="shared" si="4"/>
        <v>0</v>
      </c>
    </row>
    <row r="320" spans="2:4">
      <c r="B320" s="494">
        <f>B319+Arbeitszeit!AA320-Arbeitszeit!AF320</f>
        <v>0</v>
      </c>
      <c r="D320" s="188">
        <f t="shared" si="4"/>
        <v>0</v>
      </c>
    </row>
    <row r="321" spans="2:4">
      <c r="B321" s="494">
        <f>B320+Arbeitszeit!AA321-Arbeitszeit!AF321</f>
        <v>0</v>
      </c>
      <c r="D321" s="188">
        <f t="shared" si="4"/>
        <v>0</v>
      </c>
    </row>
    <row r="322" spans="2:4">
      <c r="B322" s="494">
        <f>B321+Arbeitszeit!AA322-Arbeitszeit!AF322</f>
        <v>0</v>
      </c>
      <c r="D322" s="188">
        <f t="shared" si="4"/>
        <v>0</v>
      </c>
    </row>
    <row r="323" spans="2:4">
      <c r="B323" s="494">
        <f>B322+Arbeitszeit!AA323-Arbeitszeit!AF323</f>
        <v>0</v>
      </c>
      <c r="D323" s="188">
        <f t="shared" si="4"/>
        <v>0</v>
      </c>
    </row>
    <row r="324" spans="2:4">
      <c r="B324" s="494">
        <f>B323+Arbeitszeit!AA324-Arbeitszeit!AF324</f>
        <v>0</v>
      </c>
      <c r="D324" s="188">
        <f t="shared" si="4"/>
        <v>0</v>
      </c>
    </row>
    <row r="325" spans="2:4">
      <c r="B325" s="494">
        <f>B324+Arbeitszeit!AA325-Arbeitszeit!AF325</f>
        <v>0</v>
      </c>
      <c r="D325" s="188">
        <f t="shared" si="4"/>
        <v>0</v>
      </c>
    </row>
    <row r="326" spans="2:4">
      <c r="B326" s="494">
        <f>B325+Arbeitszeit!AA326-Arbeitszeit!AF326</f>
        <v>0</v>
      </c>
      <c r="D326" s="188">
        <f t="shared" ref="D326:D373" si="5">db_jSumOverMax</f>
        <v>0</v>
      </c>
    </row>
    <row r="327" spans="2:4">
      <c r="B327" s="494">
        <f>B326+Arbeitszeit!AA327-Arbeitszeit!AF327</f>
        <v>0</v>
      </c>
      <c r="D327" s="188">
        <f t="shared" si="5"/>
        <v>0</v>
      </c>
    </row>
    <row r="328" spans="2:4">
      <c r="B328" s="494">
        <f>B327+Arbeitszeit!AA328-Arbeitszeit!AF328</f>
        <v>0</v>
      </c>
      <c r="D328" s="188">
        <f t="shared" si="5"/>
        <v>0</v>
      </c>
    </row>
    <row r="329" spans="2:4">
      <c r="B329" s="494">
        <f>B328+Arbeitszeit!AA329-Arbeitszeit!AF329</f>
        <v>0</v>
      </c>
      <c r="D329" s="188">
        <f t="shared" si="5"/>
        <v>0</v>
      </c>
    </row>
    <row r="330" spans="2:4">
      <c r="B330" s="494">
        <f>B329+Arbeitszeit!AA330-Arbeitszeit!AF330</f>
        <v>0</v>
      </c>
      <c r="D330" s="188">
        <f t="shared" si="5"/>
        <v>0</v>
      </c>
    </row>
    <row r="331" spans="2:4">
      <c r="B331" s="494">
        <f>B330+Arbeitszeit!AA331-Arbeitszeit!AF331</f>
        <v>0</v>
      </c>
      <c r="D331" s="188">
        <f t="shared" si="5"/>
        <v>0</v>
      </c>
    </row>
    <row r="332" spans="2:4">
      <c r="B332" s="494">
        <f>B331+Arbeitszeit!AA332-Arbeitszeit!AF332</f>
        <v>0</v>
      </c>
      <c r="D332" s="188">
        <f t="shared" si="5"/>
        <v>0</v>
      </c>
    </row>
    <row r="333" spans="2:4">
      <c r="B333" s="494">
        <f>B332+Arbeitszeit!AA333-Arbeitszeit!AF333</f>
        <v>0</v>
      </c>
      <c r="D333" s="188">
        <f t="shared" si="5"/>
        <v>0</v>
      </c>
    </row>
    <row r="334" spans="2:4">
      <c r="B334" s="494">
        <f>B333+Arbeitszeit!AA334-Arbeitszeit!AF334</f>
        <v>0</v>
      </c>
      <c r="D334" s="188">
        <f t="shared" si="5"/>
        <v>0</v>
      </c>
    </row>
    <row r="335" spans="2:4">
      <c r="B335" s="494">
        <f>B334+Arbeitszeit!AA335-Arbeitszeit!AF335</f>
        <v>0</v>
      </c>
      <c r="D335" s="188">
        <f t="shared" si="5"/>
        <v>0</v>
      </c>
    </row>
    <row r="336" spans="2:4">
      <c r="B336" s="494">
        <f>B335+Arbeitszeit!AA336-Arbeitszeit!AF336</f>
        <v>0</v>
      </c>
      <c r="D336" s="188">
        <f t="shared" si="5"/>
        <v>0</v>
      </c>
    </row>
    <row r="337" spans="2:4">
      <c r="B337" s="494">
        <f>B336+Arbeitszeit!AA337-Arbeitszeit!AF337</f>
        <v>0</v>
      </c>
      <c r="D337" s="188">
        <f t="shared" si="5"/>
        <v>0</v>
      </c>
    </row>
    <row r="338" spans="2:4">
      <c r="B338" s="494">
        <f>B337+Arbeitszeit!AA338-Arbeitszeit!AF338</f>
        <v>0</v>
      </c>
      <c r="D338" s="188">
        <f t="shared" si="5"/>
        <v>0</v>
      </c>
    </row>
    <row r="339" spans="2:4">
      <c r="B339" s="494">
        <f>B338+Arbeitszeit!AA339-Arbeitszeit!AF339</f>
        <v>0</v>
      </c>
      <c r="D339" s="188">
        <f t="shared" si="5"/>
        <v>0</v>
      </c>
    </row>
    <row r="340" spans="2:4">
      <c r="B340" s="494">
        <f>B339+Arbeitszeit!AA340-Arbeitszeit!AF340</f>
        <v>0</v>
      </c>
      <c r="D340" s="188">
        <f t="shared" si="5"/>
        <v>0</v>
      </c>
    </row>
    <row r="341" spans="2:4">
      <c r="B341" s="494">
        <f>B340+Arbeitszeit!AA341-Arbeitszeit!AF341</f>
        <v>0</v>
      </c>
      <c r="D341" s="188">
        <f t="shared" si="5"/>
        <v>0</v>
      </c>
    </row>
    <row r="342" spans="2:4">
      <c r="B342" s="494">
        <f>B341+Arbeitszeit!AA342-Arbeitszeit!AF342</f>
        <v>0</v>
      </c>
      <c r="D342" s="188">
        <f t="shared" si="5"/>
        <v>0</v>
      </c>
    </row>
    <row r="343" spans="2:4">
      <c r="B343" s="494">
        <f>B342+Arbeitszeit!AA343-Arbeitszeit!AF343</f>
        <v>0</v>
      </c>
      <c r="D343" s="188">
        <f t="shared" si="5"/>
        <v>0</v>
      </c>
    </row>
    <row r="344" spans="2:4">
      <c r="B344" s="494">
        <f>B343+Arbeitszeit!AA344-Arbeitszeit!AF344</f>
        <v>0</v>
      </c>
      <c r="D344" s="188">
        <f t="shared" si="5"/>
        <v>0</v>
      </c>
    </row>
    <row r="345" spans="2:4">
      <c r="B345" s="494">
        <f>B344+Arbeitszeit!AA345-Arbeitszeit!AF345</f>
        <v>0</v>
      </c>
      <c r="D345" s="188">
        <f t="shared" si="5"/>
        <v>0</v>
      </c>
    </row>
    <row r="346" spans="2:4">
      <c r="B346" s="494">
        <f>B345+Arbeitszeit!AA346-Arbeitszeit!AF346</f>
        <v>0</v>
      </c>
      <c r="D346" s="188">
        <f t="shared" si="5"/>
        <v>0</v>
      </c>
    </row>
    <row r="347" spans="2:4">
      <c r="B347" s="494">
        <f>B346+Arbeitszeit!AA347-Arbeitszeit!AF347</f>
        <v>0</v>
      </c>
      <c r="D347" s="188">
        <f t="shared" si="5"/>
        <v>0</v>
      </c>
    </row>
    <row r="348" spans="2:4">
      <c r="B348" s="494">
        <f>B347+Arbeitszeit!AA348-Arbeitszeit!AF348</f>
        <v>0</v>
      </c>
      <c r="D348" s="188">
        <f t="shared" si="5"/>
        <v>0</v>
      </c>
    </row>
    <row r="349" spans="2:4">
      <c r="B349" s="494">
        <f>B348+Arbeitszeit!AA349-Arbeitszeit!AF349</f>
        <v>0</v>
      </c>
      <c r="D349" s="188">
        <f t="shared" si="5"/>
        <v>0</v>
      </c>
    </row>
    <row r="350" spans="2:4">
      <c r="B350" s="494">
        <f>B349+Arbeitszeit!AA350-Arbeitszeit!AF350</f>
        <v>0</v>
      </c>
      <c r="D350" s="188">
        <f t="shared" si="5"/>
        <v>0</v>
      </c>
    </row>
    <row r="351" spans="2:4">
      <c r="B351" s="494">
        <f>B350+Arbeitszeit!AA351-Arbeitszeit!AF351</f>
        <v>0</v>
      </c>
      <c r="D351" s="188">
        <f t="shared" si="5"/>
        <v>0</v>
      </c>
    </row>
    <row r="352" spans="2:4">
      <c r="B352" s="494">
        <f>B351+Arbeitszeit!AA352-Arbeitszeit!AF352</f>
        <v>0</v>
      </c>
      <c r="D352" s="188">
        <f t="shared" si="5"/>
        <v>0</v>
      </c>
    </row>
    <row r="353" spans="2:4">
      <c r="B353" s="494">
        <f>B352+Arbeitszeit!AA353-Arbeitszeit!AF353</f>
        <v>0</v>
      </c>
      <c r="D353" s="188">
        <f t="shared" si="5"/>
        <v>0</v>
      </c>
    </row>
    <row r="354" spans="2:4">
      <c r="B354" s="494">
        <f>B353+Arbeitszeit!AA354-Arbeitszeit!AF354</f>
        <v>0</v>
      </c>
      <c r="D354" s="188">
        <f t="shared" si="5"/>
        <v>0</v>
      </c>
    </row>
    <row r="355" spans="2:4">
      <c r="B355" s="494">
        <f>B354+Arbeitszeit!AA355-Arbeitszeit!AF355</f>
        <v>0</v>
      </c>
      <c r="D355" s="188">
        <f t="shared" si="5"/>
        <v>0</v>
      </c>
    </row>
    <row r="356" spans="2:4">
      <c r="B356" s="494">
        <f>B355+Arbeitszeit!AA356-Arbeitszeit!AF356</f>
        <v>0</v>
      </c>
      <c r="D356" s="188">
        <f t="shared" si="5"/>
        <v>0</v>
      </c>
    </row>
    <row r="357" spans="2:4">
      <c r="B357" s="494">
        <f>B356+Arbeitszeit!AA357-Arbeitszeit!AF357</f>
        <v>0</v>
      </c>
      <c r="D357" s="188">
        <f t="shared" si="5"/>
        <v>0</v>
      </c>
    </row>
    <row r="358" spans="2:4">
      <c r="B358" s="494">
        <f>B357+Arbeitszeit!AA358-Arbeitszeit!AF358</f>
        <v>0</v>
      </c>
      <c r="D358" s="188">
        <f t="shared" si="5"/>
        <v>0</v>
      </c>
    </row>
    <row r="359" spans="2:4">
      <c r="B359" s="494">
        <f>B358+Arbeitszeit!AA359-Arbeitszeit!AF359</f>
        <v>0</v>
      </c>
      <c r="D359" s="188">
        <f t="shared" si="5"/>
        <v>0</v>
      </c>
    </row>
    <row r="360" spans="2:4">
      <c r="B360" s="494">
        <f>B359+Arbeitszeit!AA360-Arbeitszeit!AF360</f>
        <v>0</v>
      </c>
      <c r="D360" s="188">
        <f t="shared" si="5"/>
        <v>0</v>
      </c>
    </row>
    <row r="361" spans="2:4">
      <c r="B361" s="494">
        <f>B360+Arbeitszeit!AA361-Arbeitszeit!AF361</f>
        <v>0</v>
      </c>
      <c r="D361" s="188">
        <f t="shared" si="5"/>
        <v>0</v>
      </c>
    </row>
    <row r="362" spans="2:4">
      <c r="B362" s="494">
        <f>B361+Arbeitszeit!AA362-Arbeitszeit!AF362</f>
        <v>0</v>
      </c>
      <c r="D362" s="188">
        <f t="shared" si="5"/>
        <v>0</v>
      </c>
    </row>
    <row r="363" spans="2:4">
      <c r="B363" s="494">
        <f>B362+Arbeitszeit!AA363-Arbeitszeit!AF363</f>
        <v>0</v>
      </c>
      <c r="D363" s="188">
        <f t="shared" si="5"/>
        <v>0</v>
      </c>
    </row>
    <row r="364" spans="2:4">
      <c r="B364" s="494">
        <f>B363+Arbeitszeit!AA364-Arbeitszeit!AF364</f>
        <v>0</v>
      </c>
      <c r="D364" s="188">
        <f t="shared" si="5"/>
        <v>0</v>
      </c>
    </row>
    <row r="365" spans="2:4">
      <c r="B365" s="494">
        <f>B364+Arbeitszeit!AA365-Arbeitszeit!AF365</f>
        <v>0</v>
      </c>
      <c r="D365" s="188">
        <f t="shared" si="5"/>
        <v>0</v>
      </c>
    </row>
    <row r="366" spans="2:4">
      <c r="B366" s="494">
        <f>B365+Arbeitszeit!AA366-Arbeitszeit!AF366</f>
        <v>0</v>
      </c>
      <c r="D366" s="188">
        <f t="shared" si="5"/>
        <v>0</v>
      </c>
    </row>
    <row r="367" spans="2:4">
      <c r="B367" s="494">
        <f>B366+Arbeitszeit!AA367-Arbeitszeit!AF367</f>
        <v>0</v>
      </c>
      <c r="D367" s="188">
        <f t="shared" si="5"/>
        <v>0</v>
      </c>
    </row>
    <row r="368" spans="2:4">
      <c r="B368" s="494">
        <f>B367+Arbeitszeit!AA368-Arbeitszeit!AF368</f>
        <v>0</v>
      </c>
      <c r="D368" s="188">
        <f t="shared" si="5"/>
        <v>0</v>
      </c>
    </row>
    <row r="369" spans="2:4">
      <c r="B369" s="494">
        <f>B368+Arbeitszeit!AA369-Arbeitszeit!AF369</f>
        <v>0</v>
      </c>
      <c r="D369" s="188">
        <f t="shared" si="5"/>
        <v>0</v>
      </c>
    </row>
    <row r="370" spans="2:4">
      <c r="B370" s="494">
        <f>B369+Arbeitszeit!AA370-Arbeitszeit!AF370</f>
        <v>0</v>
      </c>
      <c r="D370" s="188">
        <f t="shared" si="5"/>
        <v>0</v>
      </c>
    </row>
    <row r="371" spans="2:4">
      <c r="B371" s="494">
        <f>B370+Arbeitszeit!AA371-Arbeitszeit!AF371</f>
        <v>0</v>
      </c>
      <c r="D371" s="188">
        <f t="shared" si="5"/>
        <v>0</v>
      </c>
    </row>
    <row r="372" spans="2:4">
      <c r="B372" s="494">
        <f>B371+Arbeitszeit!AA372-Arbeitszeit!AF372</f>
        <v>0</v>
      </c>
      <c r="D372" s="188">
        <f t="shared" si="5"/>
        <v>0</v>
      </c>
    </row>
    <row r="373" spans="2:4">
      <c r="B373" s="494">
        <f>B372+Arbeitszeit!AA373-Arbeitszeit!AF373</f>
        <v>0</v>
      </c>
      <c r="D373" s="188">
        <f t="shared" si="5"/>
        <v>0</v>
      </c>
    </row>
    <row r="374" spans="2:4">
      <c r="B374" s="494"/>
      <c r="D374" s="188"/>
    </row>
    <row r="375" spans="2:4">
      <c r="D375" s="188"/>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457" hidden="1" customWidth="1"/>
    <col min="18" max="18" width="7" customWidth="1"/>
    <col min="19" max="19" width="34.28515625" bestFit="1" customWidth="1"/>
  </cols>
  <sheetData>
    <row r="1" spans="1:19">
      <c r="A1" s="1" t="s">
        <v>95</v>
      </c>
      <c r="B1" s="1"/>
      <c r="C1" s="2" t="str">
        <f>B_PersonName</f>
        <v>Mustermann</v>
      </c>
      <c r="F1" s="4" t="s">
        <v>96</v>
      </c>
      <c r="G1" s="2" t="str">
        <f>B_Department</f>
        <v>Siemens</v>
      </c>
    </row>
    <row r="2" spans="1:19" ht="13.5" thickBot="1">
      <c r="A2" s="141" t="str">
        <f ca="1">CELL("filename",A2)</f>
        <v>D:\_pdata\GLAZ\andi\[vGlaz2023.xlsm]AufgabenM</v>
      </c>
      <c r="B2" s="141"/>
      <c r="D2" s="3"/>
    </row>
    <row r="3" spans="1:19" ht="51" customHeight="1" thickBot="1">
      <c r="A3" s="458">
        <f>Arbeitszeit!xJahr</f>
        <v>43465</v>
      </c>
      <c r="B3" s="459"/>
      <c r="C3" s="492" t="s">
        <v>73</v>
      </c>
      <c r="D3" s="493" t="s">
        <v>74</v>
      </c>
      <c r="E3" s="489">
        <f>Arbeitszeit!xJahr</f>
        <v>43465</v>
      </c>
      <c r="F3" s="489">
        <f t="shared" ref="F3:Q3" si="0">DATE(YEAR(E3),MONTH(E3)+1,1)</f>
        <v>43496</v>
      </c>
      <c r="G3" s="489">
        <f t="shared" si="0"/>
        <v>43524</v>
      </c>
      <c r="H3" s="489">
        <f t="shared" si="0"/>
        <v>43555</v>
      </c>
      <c r="I3" s="489">
        <f t="shared" si="0"/>
        <v>43585</v>
      </c>
      <c r="J3" s="489">
        <f t="shared" si="0"/>
        <v>43616</v>
      </c>
      <c r="K3" s="489">
        <f t="shared" si="0"/>
        <v>43646</v>
      </c>
      <c r="L3" s="489">
        <f t="shared" si="0"/>
        <v>43677</v>
      </c>
      <c r="M3" s="489">
        <f t="shared" si="0"/>
        <v>43708</v>
      </c>
      <c r="N3" s="489">
        <f t="shared" si="0"/>
        <v>43738</v>
      </c>
      <c r="O3" s="489">
        <f t="shared" si="0"/>
        <v>43769</v>
      </c>
      <c r="P3" s="489">
        <f t="shared" si="0"/>
        <v>43799</v>
      </c>
      <c r="Q3" s="490">
        <f t="shared" si="0"/>
        <v>43830</v>
      </c>
      <c r="R3" s="491" t="s">
        <v>75</v>
      </c>
      <c r="S3" s="460" t="s">
        <v>18</v>
      </c>
    </row>
    <row r="4" spans="1:19">
      <c r="A4" s="473" t="str">
        <f>INDEX(g_NameAufgaben,$B4)</f>
        <v>Urlaub</v>
      </c>
      <c r="B4" s="461">
        <v>1</v>
      </c>
      <c r="C4" s="477"/>
      <c r="D4" s="462"/>
      <c r="E4" s="495">
        <f t="shared" ref="E4:P4" ca="1" si="1">SUM(OFFSET(db_Aufgaben,MATCH(E$3,db_Aufgaben_Zeit,0)+1,($B4-1)*2,F$3-E$3,1))</f>
        <v>0</v>
      </c>
      <c r="F4" s="495">
        <f t="shared" ca="1" si="1"/>
        <v>0</v>
      </c>
      <c r="G4" s="495">
        <f t="shared" ca="1" si="1"/>
        <v>0</v>
      </c>
      <c r="H4" s="495">
        <f t="shared" ca="1" si="1"/>
        <v>0</v>
      </c>
      <c r="I4" s="495">
        <f t="shared" ca="1" si="1"/>
        <v>0</v>
      </c>
      <c r="J4" s="495">
        <f t="shared" ca="1" si="1"/>
        <v>0</v>
      </c>
      <c r="K4" s="495">
        <f t="shared" ca="1" si="1"/>
        <v>0</v>
      </c>
      <c r="L4" s="495">
        <f t="shared" ca="1" si="1"/>
        <v>0</v>
      </c>
      <c r="M4" s="495">
        <f t="shared" ca="1" si="1"/>
        <v>0</v>
      </c>
      <c r="N4" s="495">
        <f t="shared" ca="1" si="1"/>
        <v>0</v>
      </c>
      <c r="O4" s="495">
        <f t="shared" ca="1" si="1"/>
        <v>0</v>
      </c>
      <c r="P4" s="495">
        <f t="shared" ca="1" si="1"/>
        <v>0</v>
      </c>
      <c r="Q4" s="496"/>
      <c r="R4" s="497">
        <f t="shared" ref="R4:R25" ca="1" si="2">SUM(E4:P4)</f>
        <v>0</v>
      </c>
      <c r="S4" s="463"/>
    </row>
    <row r="5" spans="1:19">
      <c r="A5" s="474" t="str">
        <f t="shared" ref="A5:A25" si="3">INDEX(g_NameAufgaben,$B5)</f>
        <v>Krank</v>
      </c>
      <c r="B5" s="464">
        <v>2</v>
      </c>
      <c r="C5" s="478"/>
      <c r="D5" s="153"/>
      <c r="E5" s="498">
        <f t="shared" ref="E5:P5" ca="1" si="4">SUM(OFFSET(db_Aufgaben,MATCH(E$3,db_Aufgaben_Zeit,0)+1,($B5-1)*2,F$3-E$3,1))</f>
        <v>0</v>
      </c>
      <c r="F5" s="498">
        <f t="shared" ca="1" si="4"/>
        <v>0</v>
      </c>
      <c r="G5" s="498">
        <f t="shared" ca="1" si="4"/>
        <v>0</v>
      </c>
      <c r="H5" s="498">
        <f t="shared" ca="1" si="4"/>
        <v>0</v>
      </c>
      <c r="I5" s="498">
        <f t="shared" ca="1" si="4"/>
        <v>0</v>
      </c>
      <c r="J5" s="498">
        <f t="shared" ca="1" si="4"/>
        <v>0</v>
      </c>
      <c r="K5" s="498">
        <f t="shared" ca="1" si="4"/>
        <v>0</v>
      </c>
      <c r="L5" s="498">
        <f t="shared" ca="1" si="4"/>
        <v>0</v>
      </c>
      <c r="M5" s="498">
        <f t="shared" ca="1" si="4"/>
        <v>0</v>
      </c>
      <c r="N5" s="498">
        <f t="shared" ca="1" si="4"/>
        <v>0</v>
      </c>
      <c r="O5" s="498">
        <f t="shared" ca="1" si="4"/>
        <v>0</v>
      </c>
      <c r="P5" s="498">
        <f t="shared" ca="1" si="4"/>
        <v>0</v>
      </c>
      <c r="Q5" s="499"/>
      <c r="R5" s="500">
        <f t="shared" ca="1" si="2"/>
        <v>0</v>
      </c>
      <c r="S5" s="465"/>
    </row>
    <row r="6" spans="1:19">
      <c r="A6" s="475" t="str">
        <f t="shared" si="3"/>
        <v>Allgemein</v>
      </c>
      <c r="B6" s="466">
        <v>3</v>
      </c>
      <c r="C6" s="479"/>
      <c r="D6" s="467"/>
      <c r="E6" s="501">
        <f t="shared" ref="E6:P6" ca="1" si="5">SUM(OFFSET(db_Aufgaben,MATCH(E$3,db_Aufgaben_Zeit,0)+1,($B6-1)*2,F$3-E$3,1))</f>
        <v>0</v>
      </c>
      <c r="F6" s="501">
        <f t="shared" ca="1" si="5"/>
        <v>0</v>
      </c>
      <c r="G6" s="501">
        <f t="shared" ca="1" si="5"/>
        <v>0</v>
      </c>
      <c r="H6" s="501">
        <f t="shared" ca="1" si="5"/>
        <v>0</v>
      </c>
      <c r="I6" s="501">
        <f t="shared" ca="1" si="5"/>
        <v>0</v>
      </c>
      <c r="J6" s="501">
        <f t="shared" ca="1" si="5"/>
        <v>0</v>
      </c>
      <c r="K6" s="501">
        <f t="shared" ca="1" si="5"/>
        <v>0</v>
      </c>
      <c r="L6" s="501">
        <f t="shared" ca="1" si="5"/>
        <v>0</v>
      </c>
      <c r="M6" s="501">
        <f t="shared" ca="1" si="5"/>
        <v>0</v>
      </c>
      <c r="N6" s="501">
        <f t="shared" ca="1" si="5"/>
        <v>0</v>
      </c>
      <c r="O6" s="501">
        <f t="shared" ca="1" si="5"/>
        <v>0</v>
      </c>
      <c r="P6" s="501">
        <f t="shared" ca="1" si="5"/>
        <v>0</v>
      </c>
      <c r="Q6" s="502"/>
      <c r="R6" s="503">
        <f t="shared" ca="1" si="2"/>
        <v>0</v>
      </c>
      <c r="S6" s="468"/>
    </row>
    <row r="7" spans="1:19">
      <c r="A7" s="476" t="str">
        <f t="shared" si="3"/>
        <v>Aufgabe 01</v>
      </c>
      <c r="B7" s="469">
        <v>4</v>
      </c>
      <c r="C7" s="480"/>
      <c r="D7" s="470">
        <f t="shared" ref="D7:D25" si="6">INDEX(g_Aufgaben,$B7,9)</f>
        <v>0</v>
      </c>
      <c r="E7" s="504">
        <f t="shared" ref="E7:P7" ca="1" si="7">SUM(OFFSET(db_Aufgaben,MATCH(E$3,db_Aufgaben_Zeit,0)+1,($B7-1)*2,F$3-E$3,1))</f>
        <v>0</v>
      </c>
      <c r="F7" s="504">
        <f t="shared" ca="1" si="7"/>
        <v>0</v>
      </c>
      <c r="G7" s="504">
        <f t="shared" ca="1" si="7"/>
        <v>0</v>
      </c>
      <c r="H7" s="504">
        <f t="shared" ca="1" si="7"/>
        <v>0</v>
      </c>
      <c r="I7" s="504">
        <f t="shared" ca="1" si="7"/>
        <v>0</v>
      </c>
      <c r="J7" s="504">
        <f t="shared" ca="1" si="7"/>
        <v>0</v>
      </c>
      <c r="K7" s="504">
        <f t="shared" ca="1" si="7"/>
        <v>0</v>
      </c>
      <c r="L7" s="504">
        <f t="shared" ca="1" si="7"/>
        <v>0</v>
      </c>
      <c r="M7" s="504">
        <f t="shared" ca="1" si="7"/>
        <v>0</v>
      </c>
      <c r="N7" s="504">
        <f t="shared" ca="1" si="7"/>
        <v>0</v>
      </c>
      <c r="O7" s="504">
        <f t="shared" ca="1" si="7"/>
        <v>0</v>
      </c>
      <c r="P7" s="504">
        <f t="shared" ca="1" si="7"/>
        <v>0</v>
      </c>
      <c r="Q7" s="505"/>
      <c r="R7" s="506">
        <f t="shared" ca="1" si="2"/>
        <v>0</v>
      </c>
      <c r="S7" s="507">
        <f t="shared" ref="S7:S25" si="8">INDEX(g_Aufgaben,$B7,3)</f>
        <v>0</v>
      </c>
    </row>
    <row r="8" spans="1:19">
      <c r="A8" s="476" t="str">
        <f t="shared" si="3"/>
        <v>Aufgabe 02</v>
      </c>
      <c r="B8" s="469">
        <v>5</v>
      </c>
      <c r="C8" s="480"/>
      <c r="D8" s="470">
        <f t="shared" si="6"/>
        <v>0</v>
      </c>
      <c r="E8" s="504">
        <f t="shared" ref="E8:P8" ca="1" si="9">SUM(OFFSET(db_Aufgaben,MATCH(E$3,db_Aufgaben_Zeit,0)+1,($B8-1)*2,F$3-E$3,1))</f>
        <v>0</v>
      </c>
      <c r="F8" s="504">
        <f t="shared" ca="1" si="9"/>
        <v>0</v>
      </c>
      <c r="G8" s="504">
        <f t="shared" ca="1" si="9"/>
        <v>0</v>
      </c>
      <c r="H8" s="504">
        <f t="shared" ca="1" si="9"/>
        <v>0</v>
      </c>
      <c r="I8" s="504">
        <f t="shared" ca="1" si="9"/>
        <v>0</v>
      </c>
      <c r="J8" s="504">
        <f t="shared" ca="1" si="9"/>
        <v>0</v>
      </c>
      <c r="K8" s="504">
        <f t="shared" ca="1" si="9"/>
        <v>0</v>
      </c>
      <c r="L8" s="504">
        <f t="shared" ca="1" si="9"/>
        <v>0</v>
      </c>
      <c r="M8" s="504">
        <f t="shared" ca="1" si="9"/>
        <v>0</v>
      </c>
      <c r="N8" s="504">
        <f t="shared" ca="1" si="9"/>
        <v>0</v>
      </c>
      <c r="O8" s="504">
        <f t="shared" ca="1" si="9"/>
        <v>0</v>
      </c>
      <c r="P8" s="504">
        <f t="shared" ca="1" si="9"/>
        <v>0</v>
      </c>
      <c r="Q8" s="505"/>
      <c r="R8" s="506">
        <f t="shared" ca="1" si="2"/>
        <v>0</v>
      </c>
      <c r="S8" s="507">
        <f t="shared" si="8"/>
        <v>0</v>
      </c>
    </row>
    <row r="9" spans="1:19">
      <c r="A9" s="476" t="str">
        <f t="shared" si="3"/>
        <v>Aufgabe 03</v>
      </c>
      <c r="B9" s="469">
        <v>6</v>
      </c>
      <c r="C9" s="480"/>
      <c r="D9" s="470">
        <f t="shared" si="6"/>
        <v>0</v>
      </c>
      <c r="E9" s="504">
        <f t="shared" ref="E9:P9" ca="1" si="10">SUM(OFFSET(db_Aufgaben,MATCH(E$3,db_Aufgaben_Zeit,0)+1,($B9-1)*2,F$3-E$3,1))</f>
        <v>0</v>
      </c>
      <c r="F9" s="504">
        <f t="shared" ca="1" si="10"/>
        <v>0</v>
      </c>
      <c r="G9" s="504">
        <f t="shared" ca="1" si="10"/>
        <v>0</v>
      </c>
      <c r="H9" s="504">
        <f t="shared" ca="1" si="10"/>
        <v>0</v>
      </c>
      <c r="I9" s="504">
        <f t="shared" ca="1" si="10"/>
        <v>0</v>
      </c>
      <c r="J9" s="504">
        <f t="shared" ca="1" si="10"/>
        <v>0</v>
      </c>
      <c r="K9" s="504">
        <f t="shared" ca="1" si="10"/>
        <v>0</v>
      </c>
      <c r="L9" s="504">
        <f t="shared" ca="1" si="10"/>
        <v>0</v>
      </c>
      <c r="M9" s="504">
        <f t="shared" ca="1" si="10"/>
        <v>0</v>
      </c>
      <c r="N9" s="504">
        <f t="shared" ca="1" si="10"/>
        <v>0</v>
      </c>
      <c r="O9" s="504">
        <f t="shared" ca="1" si="10"/>
        <v>0</v>
      </c>
      <c r="P9" s="504">
        <f t="shared" ca="1" si="10"/>
        <v>0</v>
      </c>
      <c r="Q9" s="505"/>
      <c r="R9" s="506">
        <f t="shared" ca="1" si="2"/>
        <v>0</v>
      </c>
      <c r="S9" s="507">
        <f t="shared" si="8"/>
        <v>0</v>
      </c>
    </row>
    <row r="10" spans="1:19">
      <c r="A10" s="476" t="str">
        <f t="shared" si="3"/>
        <v>Aufgabe 04</v>
      </c>
      <c r="B10" s="469">
        <v>7</v>
      </c>
      <c r="C10" s="480"/>
      <c r="D10" s="470">
        <f t="shared" si="6"/>
        <v>0</v>
      </c>
      <c r="E10" s="504">
        <f t="shared" ref="E10:P10" ca="1" si="11">SUM(OFFSET(db_Aufgaben,MATCH(E$3,db_Aufgaben_Zeit,0)+1,($B10-1)*2,F$3-E$3,1))</f>
        <v>0</v>
      </c>
      <c r="F10" s="504">
        <f t="shared" ca="1" si="11"/>
        <v>0</v>
      </c>
      <c r="G10" s="504">
        <f t="shared" ca="1" si="11"/>
        <v>0</v>
      </c>
      <c r="H10" s="504">
        <f t="shared" ca="1" si="11"/>
        <v>0</v>
      </c>
      <c r="I10" s="504">
        <f t="shared" ca="1" si="11"/>
        <v>0</v>
      </c>
      <c r="J10" s="504">
        <f t="shared" ca="1" si="11"/>
        <v>0</v>
      </c>
      <c r="K10" s="504">
        <f t="shared" ca="1" si="11"/>
        <v>0</v>
      </c>
      <c r="L10" s="504">
        <f t="shared" ca="1" si="11"/>
        <v>0</v>
      </c>
      <c r="M10" s="504">
        <f t="shared" ca="1" si="11"/>
        <v>0</v>
      </c>
      <c r="N10" s="504">
        <f t="shared" ca="1" si="11"/>
        <v>0</v>
      </c>
      <c r="O10" s="504">
        <f t="shared" ca="1" si="11"/>
        <v>0</v>
      </c>
      <c r="P10" s="504">
        <f t="shared" ca="1" si="11"/>
        <v>0</v>
      </c>
      <c r="Q10" s="505"/>
      <c r="R10" s="506">
        <f t="shared" ca="1" si="2"/>
        <v>0</v>
      </c>
      <c r="S10" s="507">
        <f t="shared" si="8"/>
        <v>0</v>
      </c>
    </row>
    <row r="11" spans="1:19">
      <c r="A11" s="476" t="str">
        <f t="shared" si="3"/>
        <v>Aufgabe 05</v>
      </c>
      <c r="B11" s="469">
        <v>8</v>
      </c>
      <c r="C11" s="480"/>
      <c r="D11" s="470">
        <f t="shared" si="6"/>
        <v>0</v>
      </c>
      <c r="E11" s="504">
        <f t="shared" ref="E11:P11" ca="1" si="12">SUM(OFFSET(db_Aufgaben,MATCH(E$3,db_Aufgaben_Zeit,0)+1,($B11-1)*2,F$3-E$3,1))</f>
        <v>0</v>
      </c>
      <c r="F11" s="504">
        <f t="shared" ca="1" si="12"/>
        <v>0</v>
      </c>
      <c r="G11" s="504">
        <f t="shared" ca="1" si="12"/>
        <v>0</v>
      </c>
      <c r="H11" s="504">
        <f t="shared" ca="1" si="12"/>
        <v>0</v>
      </c>
      <c r="I11" s="504">
        <f t="shared" ca="1" si="12"/>
        <v>0</v>
      </c>
      <c r="J11" s="504">
        <f t="shared" ca="1" si="12"/>
        <v>0</v>
      </c>
      <c r="K11" s="504">
        <f t="shared" ca="1" si="12"/>
        <v>0</v>
      </c>
      <c r="L11" s="504">
        <f t="shared" ca="1" si="12"/>
        <v>0</v>
      </c>
      <c r="M11" s="504">
        <f t="shared" ca="1" si="12"/>
        <v>0</v>
      </c>
      <c r="N11" s="504">
        <f t="shared" ca="1" si="12"/>
        <v>0</v>
      </c>
      <c r="O11" s="504">
        <f t="shared" ca="1" si="12"/>
        <v>0</v>
      </c>
      <c r="P11" s="504">
        <f t="shared" ca="1" si="12"/>
        <v>0</v>
      </c>
      <c r="Q11" s="505"/>
      <c r="R11" s="506">
        <f t="shared" ca="1" si="2"/>
        <v>0</v>
      </c>
      <c r="S11" s="507">
        <f t="shared" si="8"/>
        <v>0</v>
      </c>
    </row>
    <row r="12" spans="1:19">
      <c r="A12" s="476" t="str">
        <f t="shared" si="3"/>
        <v>Aufgabe 06</v>
      </c>
      <c r="B12" s="469">
        <v>9</v>
      </c>
      <c r="C12" s="480"/>
      <c r="D12" s="470">
        <f t="shared" si="6"/>
        <v>0</v>
      </c>
      <c r="E12" s="504">
        <f t="shared" ref="E12:P12" ca="1" si="13">SUM(OFFSET(db_Aufgaben,MATCH(E$3,db_Aufgaben_Zeit,0)+1,($B12-1)*2,F$3-E$3,1))</f>
        <v>0</v>
      </c>
      <c r="F12" s="504">
        <f t="shared" ca="1" si="13"/>
        <v>0</v>
      </c>
      <c r="G12" s="504">
        <f t="shared" ca="1" si="13"/>
        <v>0</v>
      </c>
      <c r="H12" s="504">
        <f t="shared" ca="1" si="13"/>
        <v>0</v>
      </c>
      <c r="I12" s="504">
        <f t="shared" ca="1" si="13"/>
        <v>0</v>
      </c>
      <c r="J12" s="504">
        <f t="shared" ca="1" si="13"/>
        <v>0</v>
      </c>
      <c r="K12" s="504">
        <f t="shared" ca="1" si="13"/>
        <v>0</v>
      </c>
      <c r="L12" s="504">
        <f t="shared" ca="1" si="13"/>
        <v>0</v>
      </c>
      <c r="M12" s="504">
        <f t="shared" ca="1" si="13"/>
        <v>0</v>
      </c>
      <c r="N12" s="504">
        <f t="shared" ca="1" si="13"/>
        <v>0</v>
      </c>
      <c r="O12" s="504">
        <f t="shared" ca="1" si="13"/>
        <v>0</v>
      </c>
      <c r="P12" s="504">
        <f t="shared" ca="1" si="13"/>
        <v>0</v>
      </c>
      <c r="Q12" s="505"/>
      <c r="R12" s="506">
        <f t="shared" ca="1" si="2"/>
        <v>0</v>
      </c>
      <c r="S12" s="507">
        <f t="shared" si="8"/>
        <v>0</v>
      </c>
    </row>
    <row r="13" spans="1:19">
      <c r="A13" s="476" t="str">
        <f t="shared" si="3"/>
        <v>Aufgabe 07</v>
      </c>
      <c r="B13" s="469">
        <v>10</v>
      </c>
      <c r="C13" s="480"/>
      <c r="D13" s="470">
        <f t="shared" si="6"/>
        <v>0</v>
      </c>
      <c r="E13" s="504">
        <f t="shared" ref="E13:P13" ca="1" si="14">SUM(OFFSET(db_Aufgaben,MATCH(E$3,db_Aufgaben_Zeit,0)+1,($B13-1)*2,F$3-E$3,1))</f>
        <v>0</v>
      </c>
      <c r="F13" s="504">
        <f t="shared" ca="1" si="14"/>
        <v>0</v>
      </c>
      <c r="G13" s="504">
        <f t="shared" ca="1" si="14"/>
        <v>0</v>
      </c>
      <c r="H13" s="504">
        <f t="shared" ca="1" si="14"/>
        <v>0</v>
      </c>
      <c r="I13" s="504">
        <f t="shared" ca="1" si="14"/>
        <v>0</v>
      </c>
      <c r="J13" s="504">
        <f t="shared" ca="1" si="14"/>
        <v>0</v>
      </c>
      <c r="K13" s="504">
        <f t="shared" ca="1" si="14"/>
        <v>0</v>
      </c>
      <c r="L13" s="504">
        <f t="shared" ca="1" si="14"/>
        <v>0</v>
      </c>
      <c r="M13" s="504">
        <f t="shared" ca="1" si="14"/>
        <v>0</v>
      </c>
      <c r="N13" s="504">
        <f t="shared" ca="1" si="14"/>
        <v>0</v>
      </c>
      <c r="O13" s="504">
        <f t="shared" ca="1" si="14"/>
        <v>0</v>
      </c>
      <c r="P13" s="504">
        <f t="shared" ca="1" si="14"/>
        <v>0</v>
      </c>
      <c r="Q13" s="505"/>
      <c r="R13" s="506">
        <f t="shared" ca="1" si="2"/>
        <v>0</v>
      </c>
      <c r="S13" s="507">
        <f t="shared" si="8"/>
        <v>0</v>
      </c>
    </row>
    <row r="14" spans="1:19">
      <c r="A14" s="476" t="str">
        <f t="shared" si="3"/>
        <v>Aufgabe 08</v>
      </c>
      <c r="B14" s="469">
        <v>11</v>
      </c>
      <c r="C14" s="480"/>
      <c r="D14" s="470">
        <f t="shared" si="6"/>
        <v>0</v>
      </c>
      <c r="E14" s="504">
        <f t="shared" ref="E14:P14" ca="1" si="15">SUM(OFFSET(db_Aufgaben,MATCH(E$3,db_Aufgaben_Zeit,0)+1,($B14-1)*2,F$3-E$3,1))</f>
        <v>0</v>
      </c>
      <c r="F14" s="504">
        <f t="shared" ca="1" si="15"/>
        <v>0</v>
      </c>
      <c r="G14" s="504">
        <f t="shared" ca="1" si="15"/>
        <v>0</v>
      </c>
      <c r="H14" s="504">
        <f t="shared" ca="1" si="15"/>
        <v>0</v>
      </c>
      <c r="I14" s="504">
        <f t="shared" ca="1" si="15"/>
        <v>0</v>
      </c>
      <c r="J14" s="504">
        <f t="shared" ca="1" si="15"/>
        <v>0</v>
      </c>
      <c r="K14" s="504">
        <f t="shared" ca="1" si="15"/>
        <v>0</v>
      </c>
      <c r="L14" s="504">
        <f t="shared" ca="1" si="15"/>
        <v>0</v>
      </c>
      <c r="M14" s="504">
        <f t="shared" ca="1" si="15"/>
        <v>0</v>
      </c>
      <c r="N14" s="504">
        <f t="shared" ca="1" si="15"/>
        <v>0</v>
      </c>
      <c r="O14" s="504">
        <f t="shared" ca="1" si="15"/>
        <v>0</v>
      </c>
      <c r="P14" s="504">
        <f t="shared" ca="1" si="15"/>
        <v>0</v>
      </c>
      <c r="Q14" s="505"/>
      <c r="R14" s="506">
        <f t="shared" ca="1" si="2"/>
        <v>0</v>
      </c>
      <c r="S14" s="507">
        <f t="shared" si="8"/>
        <v>0</v>
      </c>
    </row>
    <row r="15" spans="1:19">
      <c r="A15" s="476" t="str">
        <f t="shared" si="3"/>
        <v>Aufgabe 09</v>
      </c>
      <c r="B15" s="469">
        <v>12</v>
      </c>
      <c r="C15" s="480"/>
      <c r="D15" s="470">
        <f t="shared" si="6"/>
        <v>0</v>
      </c>
      <c r="E15" s="504">
        <f t="shared" ref="E15:P15" ca="1" si="16">SUM(OFFSET(db_Aufgaben,MATCH(E$3,db_Aufgaben_Zeit,0)+1,($B15-1)*2,F$3-E$3,1))</f>
        <v>0</v>
      </c>
      <c r="F15" s="504">
        <f t="shared" ca="1" si="16"/>
        <v>0</v>
      </c>
      <c r="G15" s="504">
        <f t="shared" ca="1" si="16"/>
        <v>0</v>
      </c>
      <c r="H15" s="504">
        <f t="shared" ca="1" si="16"/>
        <v>0</v>
      </c>
      <c r="I15" s="504">
        <f t="shared" ca="1" si="16"/>
        <v>0</v>
      </c>
      <c r="J15" s="504">
        <f t="shared" ca="1" si="16"/>
        <v>0</v>
      </c>
      <c r="K15" s="504">
        <f t="shared" ca="1" si="16"/>
        <v>0</v>
      </c>
      <c r="L15" s="504">
        <f t="shared" ca="1" si="16"/>
        <v>0</v>
      </c>
      <c r="M15" s="504">
        <f t="shared" ca="1" si="16"/>
        <v>0</v>
      </c>
      <c r="N15" s="504">
        <f t="shared" ca="1" si="16"/>
        <v>0</v>
      </c>
      <c r="O15" s="504">
        <f t="shared" ca="1" si="16"/>
        <v>0</v>
      </c>
      <c r="P15" s="504">
        <f t="shared" ca="1" si="16"/>
        <v>0</v>
      </c>
      <c r="Q15" s="505"/>
      <c r="R15" s="506">
        <f t="shared" ca="1" si="2"/>
        <v>0</v>
      </c>
      <c r="S15" s="507">
        <f t="shared" si="8"/>
        <v>0</v>
      </c>
    </row>
    <row r="16" spans="1:19">
      <c r="A16" s="476" t="str">
        <f t="shared" si="3"/>
        <v>Aufgabe 10</v>
      </c>
      <c r="B16" s="469">
        <v>13</v>
      </c>
      <c r="C16" s="480"/>
      <c r="D16" s="470">
        <f t="shared" si="6"/>
        <v>0</v>
      </c>
      <c r="E16" s="504">
        <f t="shared" ref="E16:P16" ca="1" si="17">SUM(OFFSET(db_Aufgaben,MATCH(E$3,db_Aufgaben_Zeit,0)+1,($B16-1)*2,F$3-E$3,1))</f>
        <v>0</v>
      </c>
      <c r="F16" s="504">
        <f t="shared" ca="1" si="17"/>
        <v>0</v>
      </c>
      <c r="G16" s="504">
        <f t="shared" ca="1" si="17"/>
        <v>0</v>
      </c>
      <c r="H16" s="504">
        <f t="shared" ca="1" si="17"/>
        <v>0</v>
      </c>
      <c r="I16" s="504">
        <f t="shared" ca="1" si="17"/>
        <v>0</v>
      </c>
      <c r="J16" s="504">
        <f t="shared" ca="1" si="17"/>
        <v>0</v>
      </c>
      <c r="K16" s="504">
        <f t="shared" ca="1" si="17"/>
        <v>0</v>
      </c>
      <c r="L16" s="504">
        <f t="shared" ca="1" si="17"/>
        <v>0</v>
      </c>
      <c r="M16" s="504">
        <f t="shared" ca="1" si="17"/>
        <v>0</v>
      </c>
      <c r="N16" s="504">
        <f t="shared" ca="1" si="17"/>
        <v>0</v>
      </c>
      <c r="O16" s="504">
        <f t="shared" ca="1" si="17"/>
        <v>0</v>
      </c>
      <c r="P16" s="504">
        <f t="shared" ca="1" si="17"/>
        <v>0</v>
      </c>
      <c r="Q16" s="505"/>
      <c r="R16" s="506">
        <f t="shared" ca="1" si="2"/>
        <v>0</v>
      </c>
      <c r="S16" s="507">
        <f t="shared" si="8"/>
        <v>0</v>
      </c>
    </row>
    <row r="17" spans="1:19">
      <c r="A17" s="476" t="str">
        <f t="shared" si="3"/>
        <v>Aufgabe 11</v>
      </c>
      <c r="B17" s="469">
        <v>14</v>
      </c>
      <c r="C17" s="480"/>
      <c r="D17" s="470">
        <f t="shared" si="6"/>
        <v>0</v>
      </c>
      <c r="E17" s="504">
        <f t="shared" ref="E17:P17" ca="1" si="18">SUM(OFFSET(db_Aufgaben,MATCH(E$3,db_Aufgaben_Zeit,0)+1,($B17-1)*2,F$3-E$3,1))</f>
        <v>0</v>
      </c>
      <c r="F17" s="504">
        <f t="shared" ca="1" si="18"/>
        <v>0</v>
      </c>
      <c r="G17" s="504">
        <f t="shared" ca="1" si="18"/>
        <v>0</v>
      </c>
      <c r="H17" s="504">
        <f t="shared" ca="1" si="18"/>
        <v>0</v>
      </c>
      <c r="I17" s="504">
        <f t="shared" ca="1" si="18"/>
        <v>0</v>
      </c>
      <c r="J17" s="504">
        <f t="shared" ca="1" si="18"/>
        <v>0</v>
      </c>
      <c r="K17" s="504">
        <f t="shared" ca="1" si="18"/>
        <v>0</v>
      </c>
      <c r="L17" s="504">
        <f t="shared" ca="1" si="18"/>
        <v>0</v>
      </c>
      <c r="M17" s="504">
        <f t="shared" ca="1" si="18"/>
        <v>0</v>
      </c>
      <c r="N17" s="504">
        <f t="shared" ca="1" si="18"/>
        <v>0</v>
      </c>
      <c r="O17" s="504">
        <f t="shared" ca="1" si="18"/>
        <v>0</v>
      </c>
      <c r="P17" s="504">
        <f t="shared" ca="1" si="18"/>
        <v>0</v>
      </c>
      <c r="Q17" s="505"/>
      <c r="R17" s="506">
        <f t="shared" ca="1" si="2"/>
        <v>0</v>
      </c>
      <c r="S17" s="507">
        <f t="shared" si="8"/>
        <v>0</v>
      </c>
    </row>
    <row r="18" spans="1:19">
      <c r="A18" s="476" t="str">
        <f t="shared" si="3"/>
        <v>Aufgabe 12</v>
      </c>
      <c r="B18" s="469">
        <v>15</v>
      </c>
      <c r="C18" s="480"/>
      <c r="D18" s="470">
        <f t="shared" si="6"/>
        <v>0</v>
      </c>
      <c r="E18" s="504">
        <f t="shared" ref="E18:P18" ca="1" si="19">SUM(OFFSET(db_Aufgaben,MATCH(E$3,db_Aufgaben_Zeit,0)+1,($B18-1)*2,F$3-E$3,1))</f>
        <v>0</v>
      </c>
      <c r="F18" s="504">
        <f t="shared" ca="1" si="19"/>
        <v>0</v>
      </c>
      <c r="G18" s="504">
        <f t="shared" ca="1" si="19"/>
        <v>0</v>
      </c>
      <c r="H18" s="504">
        <f t="shared" ca="1" si="19"/>
        <v>0</v>
      </c>
      <c r="I18" s="504">
        <f t="shared" ca="1" si="19"/>
        <v>0</v>
      </c>
      <c r="J18" s="504">
        <f t="shared" ca="1" si="19"/>
        <v>0</v>
      </c>
      <c r="K18" s="504">
        <f t="shared" ca="1" si="19"/>
        <v>0</v>
      </c>
      <c r="L18" s="504">
        <f t="shared" ca="1" si="19"/>
        <v>0</v>
      </c>
      <c r="M18" s="504">
        <f t="shared" ca="1" si="19"/>
        <v>0</v>
      </c>
      <c r="N18" s="504">
        <f t="shared" ca="1" si="19"/>
        <v>0</v>
      </c>
      <c r="O18" s="504">
        <f t="shared" ca="1" si="19"/>
        <v>0</v>
      </c>
      <c r="P18" s="504">
        <f t="shared" ca="1" si="19"/>
        <v>0</v>
      </c>
      <c r="Q18" s="505"/>
      <c r="R18" s="506">
        <f t="shared" ca="1" si="2"/>
        <v>0</v>
      </c>
      <c r="S18" s="507">
        <f t="shared" si="8"/>
        <v>0</v>
      </c>
    </row>
    <row r="19" spans="1:19">
      <c r="A19" s="476" t="str">
        <f t="shared" si="3"/>
        <v>Aufgabe 13</v>
      </c>
      <c r="B19" s="469">
        <v>16</v>
      </c>
      <c r="C19" s="480"/>
      <c r="D19" s="470">
        <f t="shared" si="6"/>
        <v>0</v>
      </c>
      <c r="E19" s="504">
        <f t="shared" ref="E19:P19" ca="1" si="20">SUM(OFFSET(db_Aufgaben,MATCH(E$3,db_Aufgaben_Zeit,0)+1,($B19-1)*2,F$3-E$3,1))</f>
        <v>0</v>
      </c>
      <c r="F19" s="504">
        <f t="shared" ca="1" si="20"/>
        <v>0</v>
      </c>
      <c r="G19" s="504">
        <f t="shared" ca="1" si="20"/>
        <v>0</v>
      </c>
      <c r="H19" s="504">
        <f t="shared" ca="1" si="20"/>
        <v>0</v>
      </c>
      <c r="I19" s="504">
        <f t="shared" ca="1" si="20"/>
        <v>0</v>
      </c>
      <c r="J19" s="504">
        <f t="shared" ca="1" si="20"/>
        <v>0</v>
      </c>
      <c r="K19" s="504">
        <f t="shared" ca="1" si="20"/>
        <v>0</v>
      </c>
      <c r="L19" s="504">
        <f t="shared" ca="1" si="20"/>
        <v>0</v>
      </c>
      <c r="M19" s="504">
        <f t="shared" ca="1" si="20"/>
        <v>0</v>
      </c>
      <c r="N19" s="504">
        <f t="shared" ca="1" si="20"/>
        <v>0</v>
      </c>
      <c r="O19" s="504">
        <f t="shared" ca="1" si="20"/>
        <v>0</v>
      </c>
      <c r="P19" s="504">
        <f t="shared" ca="1" si="20"/>
        <v>0</v>
      </c>
      <c r="Q19" s="505"/>
      <c r="R19" s="506">
        <f t="shared" ca="1" si="2"/>
        <v>0</v>
      </c>
      <c r="S19" s="507">
        <f t="shared" si="8"/>
        <v>0</v>
      </c>
    </row>
    <row r="20" spans="1:19">
      <c r="A20" s="476" t="str">
        <f t="shared" si="3"/>
        <v>Aufgabe 14</v>
      </c>
      <c r="B20" s="469">
        <v>17</v>
      </c>
      <c r="C20" s="480"/>
      <c r="D20" s="470">
        <f t="shared" si="6"/>
        <v>0</v>
      </c>
      <c r="E20" s="504">
        <f t="shared" ref="E20:P20" ca="1" si="21">SUM(OFFSET(db_Aufgaben,MATCH(E$3,db_Aufgaben_Zeit,0)+1,($B20-1)*2,F$3-E$3,1))</f>
        <v>0</v>
      </c>
      <c r="F20" s="504">
        <f t="shared" ca="1" si="21"/>
        <v>0</v>
      </c>
      <c r="G20" s="504">
        <f t="shared" ca="1" si="21"/>
        <v>0</v>
      </c>
      <c r="H20" s="504">
        <f t="shared" ca="1" si="21"/>
        <v>0</v>
      </c>
      <c r="I20" s="504">
        <f t="shared" ca="1" si="21"/>
        <v>0</v>
      </c>
      <c r="J20" s="504">
        <f t="shared" ca="1" si="21"/>
        <v>0</v>
      </c>
      <c r="K20" s="504">
        <f t="shared" ca="1" si="21"/>
        <v>0</v>
      </c>
      <c r="L20" s="504">
        <f t="shared" ca="1" si="21"/>
        <v>0</v>
      </c>
      <c r="M20" s="504">
        <f t="shared" ca="1" si="21"/>
        <v>0</v>
      </c>
      <c r="N20" s="504">
        <f t="shared" ca="1" si="21"/>
        <v>0</v>
      </c>
      <c r="O20" s="504">
        <f t="shared" ca="1" si="21"/>
        <v>0</v>
      </c>
      <c r="P20" s="504">
        <f t="shared" ca="1" si="21"/>
        <v>0</v>
      </c>
      <c r="Q20" s="505"/>
      <c r="R20" s="506">
        <f t="shared" ca="1" si="2"/>
        <v>0</v>
      </c>
      <c r="S20" s="507">
        <f t="shared" si="8"/>
        <v>0</v>
      </c>
    </row>
    <row r="21" spans="1:19">
      <c r="A21" s="476" t="str">
        <f t="shared" si="3"/>
        <v>Aufgabe 15</v>
      </c>
      <c r="B21" s="469">
        <v>18</v>
      </c>
      <c r="C21" s="480"/>
      <c r="D21" s="470">
        <f t="shared" si="6"/>
        <v>0</v>
      </c>
      <c r="E21" s="504">
        <f t="shared" ref="E21:P21" ca="1" si="22">SUM(OFFSET(db_Aufgaben,MATCH(E$3,db_Aufgaben_Zeit,0)+1,($B21-1)*2,F$3-E$3,1))</f>
        <v>0</v>
      </c>
      <c r="F21" s="504">
        <f t="shared" ca="1" si="22"/>
        <v>0</v>
      </c>
      <c r="G21" s="504">
        <f t="shared" ca="1" si="22"/>
        <v>0</v>
      </c>
      <c r="H21" s="504">
        <f t="shared" ca="1" si="22"/>
        <v>0</v>
      </c>
      <c r="I21" s="504">
        <f t="shared" ca="1" si="22"/>
        <v>0</v>
      </c>
      <c r="J21" s="504">
        <f t="shared" ca="1" si="22"/>
        <v>0</v>
      </c>
      <c r="K21" s="504">
        <f t="shared" ca="1" si="22"/>
        <v>0</v>
      </c>
      <c r="L21" s="504">
        <f t="shared" ca="1" si="22"/>
        <v>0</v>
      </c>
      <c r="M21" s="504">
        <f t="shared" ca="1" si="22"/>
        <v>0</v>
      </c>
      <c r="N21" s="504">
        <f t="shared" ca="1" si="22"/>
        <v>0</v>
      </c>
      <c r="O21" s="504">
        <f t="shared" ca="1" si="22"/>
        <v>0</v>
      </c>
      <c r="P21" s="504">
        <f t="shared" ca="1" si="22"/>
        <v>0</v>
      </c>
      <c r="Q21" s="505"/>
      <c r="R21" s="506">
        <f t="shared" ca="1" si="2"/>
        <v>0</v>
      </c>
      <c r="S21" s="507">
        <f t="shared" si="8"/>
        <v>0</v>
      </c>
    </row>
    <row r="22" spans="1:19">
      <c r="A22" s="476" t="str">
        <f t="shared" si="3"/>
        <v>Aufgabe 16</v>
      </c>
      <c r="B22" s="469">
        <v>19</v>
      </c>
      <c r="C22" s="480"/>
      <c r="D22" s="470">
        <f t="shared" si="6"/>
        <v>0</v>
      </c>
      <c r="E22" s="504">
        <f t="shared" ref="E22:P22" ca="1" si="23">SUM(OFFSET(db_Aufgaben,MATCH(E$3,db_Aufgaben_Zeit,0)+1,($B22-1)*2,F$3-E$3,1))</f>
        <v>0</v>
      </c>
      <c r="F22" s="504">
        <f t="shared" ca="1" si="23"/>
        <v>0</v>
      </c>
      <c r="G22" s="504">
        <f t="shared" ca="1" si="23"/>
        <v>0</v>
      </c>
      <c r="H22" s="504">
        <f t="shared" ca="1" si="23"/>
        <v>0</v>
      </c>
      <c r="I22" s="504">
        <f t="shared" ca="1" si="23"/>
        <v>0</v>
      </c>
      <c r="J22" s="504">
        <f t="shared" ca="1" si="23"/>
        <v>0</v>
      </c>
      <c r="K22" s="504">
        <f t="shared" ca="1" si="23"/>
        <v>0</v>
      </c>
      <c r="L22" s="504">
        <f t="shared" ca="1" si="23"/>
        <v>0</v>
      </c>
      <c r="M22" s="504">
        <f t="shared" ca="1" si="23"/>
        <v>0</v>
      </c>
      <c r="N22" s="504">
        <f t="shared" ca="1" si="23"/>
        <v>0</v>
      </c>
      <c r="O22" s="504">
        <f t="shared" ca="1" si="23"/>
        <v>0</v>
      </c>
      <c r="P22" s="504">
        <f t="shared" ca="1" si="23"/>
        <v>0</v>
      </c>
      <c r="Q22" s="505"/>
      <c r="R22" s="506">
        <f t="shared" ca="1" si="2"/>
        <v>0</v>
      </c>
      <c r="S22" s="507">
        <f t="shared" si="8"/>
        <v>0</v>
      </c>
    </row>
    <row r="23" spans="1:19">
      <c r="A23" s="476" t="str">
        <f t="shared" si="3"/>
        <v>Aufgabe 17</v>
      </c>
      <c r="B23" s="469">
        <v>20</v>
      </c>
      <c r="C23" s="480"/>
      <c r="D23" s="470">
        <f t="shared" si="6"/>
        <v>0</v>
      </c>
      <c r="E23" s="504">
        <f t="shared" ref="E23:P23" ca="1" si="24">SUM(OFFSET(db_Aufgaben,MATCH(E$3,db_Aufgaben_Zeit,0)+1,($B23-1)*2,F$3-E$3,1))</f>
        <v>0</v>
      </c>
      <c r="F23" s="504">
        <f t="shared" ca="1" si="24"/>
        <v>0</v>
      </c>
      <c r="G23" s="504">
        <f t="shared" ca="1" si="24"/>
        <v>0</v>
      </c>
      <c r="H23" s="504">
        <f t="shared" ca="1" si="24"/>
        <v>0</v>
      </c>
      <c r="I23" s="504">
        <f t="shared" ca="1" si="24"/>
        <v>0</v>
      </c>
      <c r="J23" s="504">
        <f t="shared" ca="1" si="24"/>
        <v>0</v>
      </c>
      <c r="K23" s="504">
        <f t="shared" ca="1" si="24"/>
        <v>0</v>
      </c>
      <c r="L23" s="504">
        <f t="shared" ca="1" si="24"/>
        <v>0</v>
      </c>
      <c r="M23" s="504">
        <f t="shared" ca="1" si="24"/>
        <v>0</v>
      </c>
      <c r="N23" s="504">
        <f t="shared" ca="1" si="24"/>
        <v>0</v>
      </c>
      <c r="O23" s="504">
        <f t="shared" ca="1" si="24"/>
        <v>0</v>
      </c>
      <c r="P23" s="504">
        <f t="shared" ca="1" si="24"/>
        <v>0</v>
      </c>
      <c r="Q23" s="505"/>
      <c r="R23" s="506">
        <f t="shared" ca="1" si="2"/>
        <v>0</v>
      </c>
      <c r="S23" s="507">
        <f t="shared" si="8"/>
        <v>0</v>
      </c>
    </row>
    <row r="24" spans="1:19">
      <c r="A24" s="476" t="str">
        <f t="shared" si="3"/>
        <v>Aufgabe 18</v>
      </c>
      <c r="B24" s="469">
        <v>21</v>
      </c>
      <c r="C24" s="480"/>
      <c r="D24" s="470">
        <f t="shared" si="6"/>
        <v>0</v>
      </c>
      <c r="E24" s="504">
        <f t="shared" ref="E24:P24" ca="1" si="25">SUM(OFFSET(db_Aufgaben,MATCH(E$3,db_Aufgaben_Zeit,0)+1,($B24-1)*2,F$3-E$3,1))</f>
        <v>0</v>
      </c>
      <c r="F24" s="504">
        <f t="shared" ca="1" si="25"/>
        <v>0</v>
      </c>
      <c r="G24" s="504">
        <f t="shared" ca="1" si="25"/>
        <v>0</v>
      </c>
      <c r="H24" s="504">
        <f t="shared" ca="1" si="25"/>
        <v>0</v>
      </c>
      <c r="I24" s="504">
        <f t="shared" ca="1" si="25"/>
        <v>0</v>
      </c>
      <c r="J24" s="504">
        <f t="shared" ca="1" si="25"/>
        <v>0</v>
      </c>
      <c r="K24" s="504">
        <f t="shared" ca="1" si="25"/>
        <v>0</v>
      </c>
      <c r="L24" s="504">
        <f t="shared" ca="1" si="25"/>
        <v>0</v>
      </c>
      <c r="M24" s="504">
        <f t="shared" ca="1" si="25"/>
        <v>0</v>
      </c>
      <c r="N24" s="504">
        <f t="shared" ca="1" si="25"/>
        <v>0</v>
      </c>
      <c r="O24" s="504">
        <f t="shared" ca="1" si="25"/>
        <v>0</v>
      </c>
      <c r="P24" s="504">
        <f t="shared" ca="1" si="25"/>
        <v>0</v>
      </c>
      <c r="Q24" s="505"/>
      <c r="R24" s="506">
        <f ca="1">SUM(E24:P24)</f>
        <v>0</v>
      </c>
      <c r="S24" s="507">
        <f t="shared" si="8"/>
        <v>0</v>
      </c>
    </row>
    <row r="25" spans="1:19">
      <c r="A25" s="476" t="str">
        <f t="shared" si="3"/>
        <v>Aufgabe 19</v>
      </c>
      <c r="B25" s="469">
        <v>22</v>
      </c>
      <c r="C25" s="480"/>
      <c r="D25" s="470">
        <f t="shared" si="6"/>
        <v>0</v>
      </c>
      <c r="E25" s="504">
        <f t="shared" ref="E25:P25" ca="1" si="26">SUM(OFFSET(db_Aufgaben,MATCH(E$3,db_Aufgaben_Zeit,0)+1,($B25-1)*2,F$3-E$3,1))</f>
        <v>0</v>
      </c>
      <c r="F25" s="504">
        <f t="shared" ca="1" si="26"/>
        <v>0</v>
      </c>
      <c r="G25" s="504">
        <f t="shared" ca="1" si="26"/>
        <v>0</v>
      </c>
      <c r="H25" s="504">
        <f t="shared" ca="1" si="26"/>
        <v>0</v>
      </c>
      <c r="I25" s="504">
        <f t="shared" ca="1" si="26"/>
        <v>0</v>
      </c>
      <c r="J25" s="504">
        <f t="shared" ca="1" si="26"/>
        <v>0</v>
      </c>
      <c r="K25" s="504">
        <f t="shared" ca="1" si="26"/>
        <v>0</v>
      </c>
      <c r="L25" s="504">
        <f t="shared" ca="1" si="26"/>
        <v>0</v>
      </c>
      <c r="M25" s="504">
        <f t="shared" ca="1" si="26"/>
        <v>0</v>
      </c>
      <c r="N25" s="504">
        <f t="shared" ca="1" si="26"/>
        <v>0</v>
      </c>
      <c r="O25" s="504">
        <f t="shared" ca="1" si="26"/>
        <v>0</v>
      </c>
      <c r="P25" s="504">
        <f t="shared" ca="1" si="26"/>
        <v>0</v>
      </c>
      <c r="Q25" s="505"/>
      <c r="R25" s="506">
        <f t="shared" ca="1" si="2"/>
        <v>0</v>
      </c>
      <c r="S25" s="507">
        <f t="shared" si="8"/>
        <v>0</v>
      </c>
    </row>
    <row r="26" spans="1:19" ht="5.25" customHeight="1" thickBot="1">
      <c r="C26" s="481"/>
      <c r="R26" s="471"/>
    </row>
    <row r="27" spans="1:19" ht="13.5" thickBot="1">
      <c r="A27" s="472"/>
      <c r="B27" s="472"/>
      <c r="C27" s="472"/>
      <c r="D27" s="472"/>
      <c r="E27" s="514">
        <f t="shared" ref="E27:P27" ca="1" si="27">SUBTOTAL(9,E4:E26)</f>
        <v>0</v>
      </c>
      <c r="F27" s="514">
        <f t="shared" ca="1" si="27"/>
        <v>0</v>
      </c>
      <c r="G27" s="514">
        <f t="shared" ca="1" si="27"/>
        <v>0</v>
      </c>
      <c r="H27" s="514">
        <f t="shared" ca="1" si="27"/>
        <v>0</v>
      </c>
      <c r="I27" s="514">
        <f t="shared" ca="1" si="27"/>
        <v>0</v>
      </c>
      <c r="J27" s="514">
        <f t="shared" ca="1" si="27"/>
        <v>0</v>
      </c>
      <c r="K27" s="514">
        <f t="shared" ca="1" si="27"/>
        <v>0</v>
      </c>
      <c r="L27" s="514">
        <f t="shared" ca="1" si="27"/>
        <v>0</v>
      </c>
      <c r="M27" s="514">
        <f t="shared" ca="1" si="27"/>
        <v>0</v>
      </c>
      <c r="N27" s="514">
        <f t="shared" ca="1" si="27"/>
        <v>0</v>
      </c>
      <c r="O27" s="514">
        <f t="shared" ca="1" si="27"/>
        <v>0</v>
      </c>
      <c r="P27" s="514">
        <f t="shared" ca="1" si="27"/>
        <v>0</v>
      </c>
      <c r="Q27" s="515"/>
      <c r="R27" s="516">
        <f ca="1">SUBTOTAL(9,R4:R26)</f>
        <v>0</v>
      </c>
      <c r="S27" s="472"/>
    </row>
    <row r="28" spans="1:19" ht="13.5" thickBot="1">
      <c r="D28" s="70" t="s">
        <v>78</v>
      </c>
      <c r="E28" s="511">
        <f t="shared" ref="E28:R28" ca="1" si="28">SUBTOTAL(9,E7:E23)</f>
        <v>0</v>
      </c>
      <c r="F28" s="512">
        <f t="shared" ca="1" si="28"/>
        <v>0</v>
      </c>
      <c r="G28" s="512">
        <f t="shared" ca="1" si="28"/>
        <v>0</v>
      </c>
      <c r="H28" s="512">
        <f t="shared" ca="1" si="28"/>
        <v>0</v>
      </c>
      <c r="I28" s="512">
        <f t="shared" ca="1" si="28"/>
        <v>0</v>
      </c>
      <c r="J28" s="512">
        <f t="shared" ca="1" si="28"/>
        <v>0</v>
      </c>
      <c r="K28" s="512">
        <f t="shared" ca="1" si="28"/>
        <v>0</v>
      </c>
      <c r="L28" s="512">
        <f t="shared" ca="1" si="28"/>
        <v>0</v>
      </c>
      <c r="M28" s="512">
        <f t="shared" ca="1" si="28"/>
        <v>0</v>
      </c>
      <c r="N28" s="512">
        <f t="shared" ca="1" si="28"/>
        <v>0</v>
      </c>
      <c r="O28" s="512">
        <f t="shared" ca="1" si="28"/>
        <v>0</v>
      </c>
      <c r="P28" s="512">
        <f t="shared" ca="1" si="28"/>
        <v>0</v>
      </c>
      <c r="Q28" s="512">
        <f t="shared" si="28"/>
        <v>0</v>
      </c>
      <c r="R28" s="513">
        <f t="shared" ca="1" si="28"/>
        <v>0</v>
      </c>
    </row>
  </sheetData>
  <autoFilter ref="A3:S25"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defaultColWidth="11.5703125" defaultRowHeight="12.75"/>
  <cols>
    <col min="1" max="1" width="7.7109375" hidden="1" customWidth="1"/>
    <col min="2" max="2" width="4.5703125" style="74" customWidth="1"/>
    <col min="3" max="3" width="10.7109375" style="70" customWidth="1"/>
    <col min="4" max="4" width="3.7109375" customWidth="1"/>
    <col min="5" max="5" width="10.7109375" style="2" customWidth="1"/>
    <col min="6" max="6" width="3.5703125" style="2"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71"/>
      <c r="I1" s="10"/>
      <c r="J1" s="69"/>
    </row>
    <row r="2" spans="2:10" hidden="1">
      <c r="H2" s="71"/>
      <c r="I2" s="10"/>
      <c r="J2" s="69"/>
    </row>
    <row r="3" spans="2:10" hidden="1">
      <c r="H3" s="71"/>
      <c r="I3" s="10"/>
      <c r="J3" s="69"/>
    </row>
    <row r="4" spans="2:10">
      <c r="I4" s="10"/>
      <c r="J4" s="69"/>
    </row>
    <row r="5" spans="2:10" ht="20.25">
      <c r="C5" s="681"/>
      <c r="D5" s="682"/>
      <c r="E5" s="682"/>
      <c r="F5" s="682"/>
      <c r="G5" s="682"/>
      <c r="H5" s="71"/>
      <c r="I5" s="683" t="s">
        <v>149</v>
      </c>
      <c r="J5" s="683"/>
    </row>
    <row r="6" spans="2:10" ht="15.75">
      <c r="H6" s="83"/>
      <c r="I6" s="85" t="s">
        <v>124</v>
      </c>
      <c r="J6" s="96">
        <f>J11</f>
        <v>43465</v>
      </c>
    </row>
    <row r="7" spans="2:10" ht="15.75">
      <c r="B7" s="82"/>
      <c r="C7" s="84"/>
      <c r="D7" s="75"/>
      <c r="E7" s="85" t="s">
        <v>150</v>
      </c>
      <c r="F7" s="86"/>
      <c r="G7" s="149">
        <f>Arbeitszeit!xSaldo</f>
        <v>0</v>
      </c>
      <c r="H7" s="148">
        <f>Arbeitszeit!Y380</f>
        <v>0</v>
      </c>
      <c r="I7" s="86"/>
      <c r="J7" s="86"/>
    </row>
    <row r="8" spans="2:10" ht="15">
      <c r="B8" s="82"/>
      <c r="H8" s="75"/>
      <c r="I8" s="86"/>
      <c r="J8" s="86"/>
    </row>
    <row r="9" spans="2:10" ht="15">
      <c r="B9" s="82"/>
      <c r="H9" s="75"/>
      <c r="I9" s="86"/>
      <c r="J9" s="97">
        <f>DATE(YEAR(J11)+IF(AND(1=MONTH(J11),DAY(J11)),0,1),MONTH(J11-1),DAY(J11-1))</f>
        <v>43829</v>
      </c>
    </row>
    <row r="10" spans="2:10" ht="15">
      <c r="B10" s="82"/>
      <c r="C10" s="84"/>
      <c r="D10" s="75"/>
      <c r="E10" s="84" t="s">
        <v>147</v>
      </c>
      <c r="F10" s="86"/>
      <c r="G10" s="88">
        <f>Arbeitszeit!V377</f>
        <v>0</v>
      </c>
      <c r="H10" s="100">
        <v>0</v>
      </c>
      <c r="I10" s="86"/>
      <c r="J10" s="97">
        <f ca="1">TODAY()</f>
        <v>43435</v>
      </c>
    </row>
    <row r="11" spans="2:10" ht="15">
      <c r="B11" s="82"/>
      <c r="C11" s="84"/>
      <c r="D11" s="75"/>
      <c r="E11" s="84" t="s">
        <v>148</v>
      </c>
      <c r="F11" s="87"/>
      <c r="G11" s="88">
        <f>Arbeitszeit!V378</f>
        <v>0</v>
      </c>
      <c r="H11" s="100">
        <f>Arbeitszeit!Y380</f>
        <v>0</v>
      </c>
      <c r="I11" s="75"/>
      <c r="J11" s="97">
        <f>B_Year</f>
        <v>43465</v>
      </c>
    </row>
    <row r="12" spans="2:10" ht="15">
      <c r="B12" s="82"/>
      <c r="H12" s="86"/>
      <c r="I12" s="86"/>
      <c r="J12" s="98">
        <f ca="1">IF((J10-J11)&lt;0,0,IF((J10-J11)&gt;366,366,(J10-J11)))</f>
        <v>0</v>
      </c>
    </row>
    <row r="13" spans="2:10" ht="15">
      <c r="B13" s="82"/>
      <c r="C13" s="84"/>
      <c r="D13" s="75"/>
      <c r="E13" s="87"/>
      <c r="F13" s="87"/>
      <c r="G13" s="75"/>
      <c r="H13" s="86"/>
      <c r="I13" s="86"/>
      <c r="J13" s="98">
        <f ca="1">IF((J9-J10)&lt;0,0,IF((J9-J10)&gt;366,366,(J9-J10)))</f>
        <v>366</v>
      </c>
    </row>
    <row r="14" spans="2:10" ht="15.75">
      <c r="B14" s="82"/>
      <c r="C14" s="84"/>
      <c r="D14" s="75"/>
      <c r="E14" s="85" t="s">
        <v>146</v>
      </c>
      <c r="F14" s="86"/>
      <c r="G14" s="89">
        <f ca="1">IF(AND(J17&gt;=Arbeitszeit!xJahr,J17&lt;=Arbeitszeit!xJahrEnd),LOOKUP(J17,db_jZeit,db_jUrlRest),Arbeitszeit!xResturlaub)</f>
        <v>30</v>
      </c>
      <c r="H14" s="86"/>
      <c r="I14" s="86"/>
    </row>
    <row r="15" spans="2:10" ht="15">
      <c r="B15" s="82"/>
      <c r="C15" s="84"/>
      <c r="D15" s="75"/>
      <c r="E15" s="87"/>
      <c r="F15" s="87"/>
      <c r="G15" s="75"/>
      <c r="H15" s="75"/>
      <c r="I15" s="86"/>
      <c r="J15" s="86"/>
    </row>
    <row r="16" spans="2:10" ht="15.75">
      <c r="B16" s="82"/>
      <c r="C16" s="90"/>
      <c r="D16" s="86"/>
      <c r="E16" s="91" t="str">
        <f>"&gt; "&amp; TEXT(Einstellungen!D7,"h") &amp;" Std:"</f>
        <v>&gt; 10 Std:</v>
      </c>
      <c r="F16" s="92"/>
      <c r="G16" s="93">
        <f>Arbeitszeit!AD377</f>
        <v>0</v>
      </c>
      <c r="H16" s="75"/>
      <c r="I16" s="86"/>
      <c r="J16" s="86"/>
    </row>
    <row r="17" spans="1:29" ht="15.75">
      <c r="C17" s="90"/>
      <c r="D17" s="86"/>
      <c r="E17" s="94" t="s">
        <v>116</v>
      </c>
      <c r="F17" s="92"/>
      <c r="G17" s="95">
        <f>Arbeitszeit!A381</f>
        <v>0</v>
      </c>
      <c r="H17" s="75"/>
      <c r="I17" s="85" t="s">
        <v>145</v>
      </c>
      <c r="J17" s="147">
        <f ca="1">TODAY()</f>
        <v>43435</v>
      </c>
    </row>
    <row r="18" spans="1:29">
      <c r="C18" s="84"/>
      <c r="D18" s="75"/>
      <c r="E18" s="94" t="s">
        <v>117</v>
      </c>
      <c r="F18" s="87"/>
      <c r="G18" s="150">
        <f>Arbeitszeit!A382</f>
        <v>0</v>
      </c>
      <c r="H18" s="99"/>
      <c r="I18" s="75"/>
      <c r="J18" s="75"/>
    </row>
    <row r="19" spans="1:29">
      <c r="C19" s="84"/>
      <c r="D19" s="75"/>
      <c r="E19" s="87"/>
      <c r="F19" s="87"/>
      <c r="G19" s="75"/>
      <c r="H19" s="75"/>
      <c r="I19" s="75"/>
      <c r="J19" s="75"/>
    </row>
    <row r="21" spans="1:29" hidden="1"/>
    <row r="22" spans="1:29" hidden="1"/>
    <row r="23" spans="1:29" hidden="1">
      <c r="E23" s="2" t="s">
        <v>15</v>
      </c>
      <c r="F23" s="2">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2"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2"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0" customFormat="1" ht="18" customHeight="1">
      <c r="B26" s="74"/>
      <c r="C26" s="684" t="s">
        <v>164</v>
      </c>
      <c r="D26" s="684"/>
      <c r="E26" s="684"/>
      <c r="G26" s="23" t="str">
        <f>INDEX(g_NameAufgaben,G$25)</f>
        <v>Urlaub</v>
      </c>
      <c r="H26" s="23" t="str">
        <f t="shared" ref="H26:AA26" si="1">INDEX(g_NameAufgaben,H$25)</f>
        <v>Krank</v>
      </c>
      <c r="I26" s="61" t="str">
        <f t="shared" si="1"/>
        <v>Allgemein</v>
      </c>
      <c r="J26" s="63" t="str">
        <f t="shared" si="1"/>
        <v>Aufgabe 01</v>
      </c>
      <c r="K26" s="63" t="str">
        <f t="shared" si="1"/>
        <v>Aufgabe 02</v>
      </c>
      <c r="L26" s="63" t="str">
        <f t="shared" si="1"/>
        <v>Aufgabe 03</v>
      </c>
      <c r="M26" s="63" t="str">
        <f t="shared" si="1"/>
        <v>Aufgabe 04</v>
      </c>
      <c r="N26" s="63" t="str">
        <f t="shared" si="1"/>
        <v>Aufgabe 05</v>
      </c>
      <c r="O26" s="63" t="str">
        <f t="shared" si="1"/>
        <v>Aufgabe 06</v>
      </c>
      <c r="P26" s="63" t="str">
        <f t="shared" si="1"/>
        <v>Aufgabe 07</v>
      </c>
      <c r="Q26" s="63" t="str">
        <f t="shared" si="1"/>
        <v>Aufgabe 08</v>
      </c>
      <c r="R26" s="63" t="str">
        <f t="shared" si="1"/>
        <v>Aufgabe 09</v>
      </c>
      <c r="S26" s="63" t="str">
        <f t="shared" si="1"/>
        <v>Aufgabe 10</v>
      </c>
      <c r="T26" s="63" t="str">
        <f t="shared" si="1"/>
        <v>Aufgabe 11</v>
      </c>
      <c r="U26" s="63" t="str">
        <f t="shared" si="1"/>
        <v>Aufgabe 12</v>
      </c>
      <c r="V26" s="63" t="str">
        <f t="shared" si="1"/>
        <v>Aufgabe 13</v>
      </c>
      <c r="W26" s="63" t="str">
        <f t="shared" si="1"/>
        <v>Aufgabe 14</v>
      </c>
      <c r="X26" s="63" t="str">
        <f t="shared" si="1"/>
        <v>Aufgabe 15</v>
      </c>
      <c r="Y26" s="63" t="str">
        <f t="shared" si="1"/>
        <v>Aufgabe 16</v>
      </c>
      <c r="Z26" s="63" t="str">
        <f t="shared" si="1"/>
        <v>Aufgabe 17</v>
      </c>
      <c r="AA26" s="63" t="str">
        <f t="shared" si="1"/>
        <v>Aufgabe 18</v>
      </c>
      <c r="AC26" s="102" t="s">
        <v>163</v>
      </c>
    </row>
    <row r="27" spans="1:29">
      <c r="A27" s="73" t="str">
        <f>Aufgaben!A4</f>
        <v>Übertrag</v>
      </c>
    </row>
    <row r="28" spans="1:29" ht="12" customHeight="1">
      <c r="A28" s="73">
        <f>Aufgaben!A5</f>
        <v>43465</v>
      </c>
      <c r="C28" s="152"/>
      <c r="D28" s="151"/>
      <c r="E28" s="152"/>
      <c r="F28" s="72"/>
    </row>
    <row r="29" spans="1:29" s="80" customFormat="1" ht="15.75" customHeight="1">
      <c r="A29" s="73">
        <f>Arbeitszeit!$A7</f>
        <v>43466</v>
      </c>
      <c r="B29" s="77"/>
      <c r="C29" s="78">
        <v>1</v>
      </c>
      <c r="D29" s="77" t="s">
        <v>144</v>
      </c>
      <c r="E29" s="79">
        <v>365</v>
      </c>
      <c r="F29" s="79"/>
      <c r="G29" s="81">
        <f t="shared" ref="G29:AA29" ca="1" si="2">SUM(OFFSET(db_Aufgaben,$C29+1,(G$25-1)*2,$E29-$C29+1,1))</f>
        <v>0</v>
      </c>
      <c r="H29" s="81">
        <f t="shared" ca="1" si="2"/>
        <v>0</v>
      </c>
      <c r="I29" s="81">
        <f t="shared" ca="1" si="2"/>
        <v>0</v>
      </c>
      <c r="J29" s="81">
        <f t="shared" ca="1" si="2"/>
        <v>0</v>
      </c>
      <c r="K29" s="81">
        <f t="shared" ca="1" si="2"/>
        <v>0</v>
      </c>
      <c r="L29" s="81">
        <f t="shared" ca="1" si="2"/>
        <v>0</v>
      </c>
      <c r="M29" s="81">
        <f t="shared" ca="1" si="2"/>
        <v>0</v>
      </c>
      <c r="N29" s="81">
        <f t="shared" ca="1" si="2"/>
        <v>0</v>
      </c>
      <c r="O29" s="81">
        <f t="shared" ca="1" si="2"/>
        <v>0</v>
      </c>
      <c r="P29" s="81">
        <f t="shared" ca="1" si="2"/>
        <v>0</v>
      </c>
      <c r="Q29" s="81">
        <f t="shared" ca="1" si="2"/>
        <v>0</v>
      </c>
      <c r="R29" s="81">
        <f t="shared" ca="1" si="2"/>
        <v>0</v>
      </c>
      <c r="S29" s="81">
        <f t="shared" ca="1" si="2"/>
        <v>0</v>
      </c>
      <c r="T29" s="81">
        <f t="shared" ca="1" si="2"/>
        <v>0</v>
      </c>
      <c r="U29" s="81">
        <f t="shared" ca="1" si="2"/>
        <v>0</v>
      </c>
      <c r="V29" s="81">
        <f t="shared" ca="1" si="2"/>
        <v>0</v>
      </c>
      <c r="W29" s="81">
        <f t="shared" ca="1" si="2"/>
        <v>0</v>
      </c>
      <c r="X29" s="81">
        <f t="shared" ca="1" si="2"/>
        <v>0</v>
      </c>
      <c r="Y29" s="81">
        <f t="shared" ca="1" si="2"/>
        <v>0</v>
      </c>
      <c r="Z29" s="81">
        <f t="shared" ca="1" si="2"/>
        <v>0</v>
      </c>
      <c r="AA29" s="81">
        <f t="shared" ca="1" si="2"/>
        <v>0</v>
      </c>
      <c r="AC29" s="103">
        <f ca="1">SUM(G29:AB29)</f>
        <v>0</v>
      </c>
    </row>
    <row r="30" spans="1:29" ht="9.75" customHeight="1">
      <c r="A30" s="73">
        <f>Arbeitszeit!$A8</f>
        <v>43467</v>
      </c>
      <c r="C30" s="152"/>
      <c r="D30" s="10"/>
      <c r="E30" s="152"/>
      <c r="F30" s="69"/>
      <c r="G30" s="74"/>
      <c r="H30" s="74"/>
      <c r="I30" s="74"/>
      <c r="J30" s="74"/>
      <c r="K30" s="74"/>
      <c r="L30" s="74"/>
      <c r="M30" s="74"/>
      <c r="N30" s="74"/>
      <c r="O30" s="74"/>
      <c r="P30" s="74"/>
      <c r="Q30" s="74"/>
      <c r="R30" s="75"/>
    </row>
    <row r="31" spans="1:29" ht="15.75" customHeight="1">
      <c r="A31" s="73">
        <f>Arbeitszeit!$A9</f>
        <v>43468</v>
      </c>
      <c r="B31" s="74">
        <v>1</v>
      </c>
      <c r="C31" s="70">
        <v>1</v>
      </c>
      <c r="D31" s="74" t="s">
        <v>144</v>
      </c>
      <c r="E31" s="2">
        <v>23</v>
      </c>
      <c r="F31" s="69"/>
      <c r="G31" s="76">
        <f t="shared" ref="G31:AA31" ca="1" si="3">SUM(OFFSET(db_Aufgaben,$C31+1,(G$25-1)*2,$E31-$C31+1,1))</f>
        <v>0</v>
      </c>
      <c r="H31" s="76">
        <f t="shared" ca="1" si="3"/>
        <v>0</v>
      </c>
      <c r="I31" s="76">
        <f t="shared" ca="1" si="3"/>
        <v>0</v>
      </c>
      <c r="J31" s="76">
        <f t="shared" ca="1" si="3"/>
        <v>0</v>
      </c>
      <c r="K31" s="76">
        <f t="shared" ca="1" si="3"/>
        <v>0</v>
      </c>
      <c r="L31" s="76">
        <f t="shared" ca="1" si="3"/>
        <v>0</v>
      </c>
      <c r="M31" s="76">
        <f t="shared" ca="1" si="3"/>
        <v>0</v>
      </c>
      <c r="N31" s="76">
        <f t="shared" ca="1" si="3"/>
        <v>0</v>
      </c>
      <c r="O31" s="76">
        <f t="shared" ca="1" si="3"/>
        <v>0</v>
      </c>
      <c r="P31" s="76">
        <f t="shared" ca="1" si="3"/>
        <v>0</v>
      </c>
      <c r="Q31" s="76">
        <f t="shared" ca="1" si="3"/>
        <v>0</v>
      </c>
      <c r="R31" s="76">
        <f t="shared" ca="1" si="3"/>
        <v>0</v>
      </c>
      <c r="S31" s="76">
        <f t="shared" ca="1" si="3"/>
        <v>0</v>
      </c>
      <c r="T31" s="76">
        <f t="shared" ca="1" si="3"/>
        <v>0</v>
      </c>
      <c r="U31" s="76">
        <f t="shared" ca="1" si="3"/>
        <v>0</v>
      </c>
      <c r="V31" s="76">
        <f t="shared" ca="1" si="3"/>
        <v>0</v>
      </c>
      <c r="W31" s="76">
        <f t="shared" ca="1" si="3"/>
        <v>0</v>
      </c>
      <c r="X31" s="76">
        <f t="shared" ca="1" si="3"/>
        <v>0</v>
      </c>
      <c r="Y31" s="76">
        <f t="shared" ca="1" si="3"/>
        <v>0</v>
      </c>
      <c r="Z31" s="76">
        <f t="shared" ca="1" si="3"/>
        <v>0</v>
      </c>
      <c r="AA31" s="76">
        <f t="shared" ca="1" si="3"/>
        <v>0</v>
      </c>
      <c r="AC31" s="103">
        <f ca="1">SUM(G31:AB31)</f>
        <v>0</v>
      </c>
    </row>
    <row r="32" spans="1:29" ht="6.95" customHeight="1">
      <c r="A32" s="73">
        <f>Arbeitszeit!$A10</f>
        <v>43469</v>
      </c>
      <c r="C32" s="152"/>
      <c r="D32" s="10"/>
      <c r="E32" s="152"/>
      <c r="F32" s="69"/>
      <c r="G32" s="74"/>
      <c r="H32" s="74"/>
      <c r="I32" s="74"/>
      <c r="J32" s="74"/>
      <c r="K32" s="74"/>
      <c r="L32" s="74"/>
      <c r="M32" s="74"/>
      <c r="N32" s="74"/>
      <c r="O32" s="74"/>
      <c r="P32" s="74"/>
      <c r="Q32" s="74"/>
      <c r="R32" s="74"/>
      <c r="S32" s="74"/>
      <c r="T32" s="74"/>
      <c r="U32" s="74"/>
      <c r="V32" s="74"/>
      <c r="W32" s="74"/>
      <c r="X32" s="74"/>
      <c r="Y32" s="74"/>
      <c r="Z32" s="74"/>
      <c r="AA32" s="74"/>
      <c r="AC32" s="104"/>
    </row>
    <row r="33" spans="1:29" ht="15.75" customHeight="1">
      <c r="A33" s="73">
        <f>Arbeitszeit!$A11</f>
        <v>43470</v>
      </c>
      <c r="B33" s="74">
        <v>2</v>
      </c>
      <c r="C33" s="70">
        <v>24</v>
      </c>
      <c r="D33" s="74" t="s">
        <v>144</v>
      </c>
      <c r="E33" s="2">
        <v>53</v>
      </c>
      <c r="G33" s="76">
        <f t="shared" ref="G33:AA33" ca="1" si="4">SUM(OFFSET(db_Aufgaben,$C33+1,(G$25-1)*2,$E33-$C33+1,1))</f>
        <v>0</v>
      </c>
      <c r="H33" s="76">
        <f t="shared" ca="1" si="4"/>
        <v>0</v>
      </c>
      <c r="I33" s="76">
        <f t="shared" ca="1" si="4"/>
        <v>0</v>
      </c>
      <c r="J33" s="76">
        <f t="shared" ca="1" si="4"/>
        <v>0</v>
      </c>
      <c r="K33" s="76">
        <f t="shared" ca="1" si="4"/>
        <v>0</v>
      </c>
      <c r="L33" s="76">
        <f t="shared" ca="1" si="4"/>
        <v>0</v>
      </c>
      <c r="M33" s="76">
        <f t="shared" ca="1" si="4"/>
        <v>0</v>
      </c>
      <c r="N33" s="76">
        <f t="shared" ca="1" si="4"/>
        <v>0</v>
      </c>
      <c r="O33" s="76">
        <f t="shared" ca="1" si="4"/>
        <v>0</v>
      </c>
      <c r="P33" s="76">
        <f t="shared" ca="1" si="4"/>
        <v>0</v>
      </c>
      <c r="Q33" s="76">
        <f t="shared" ca="1" si="4"/>
        <v>0</v>
      </c>
      <c r="R33" s="76">
        <f t="shared" ca="1" si="4"/>
        <v>0</v>
      </c>
      <c r="S33" s="76">
        <f t="shared" ca="1" si="4"/>
        <v>0</v>
      </c>
      <c r="T33" s="76">
        <f t="shared" ca="1" si="4"/>
        <v>0</v>
      </c>
      <c r="U33" s="76">
        <f t="shared" ca="1" si="4"/>
        <v>0</v>
      </c>
      <c r="V33" s="76">
        <f t="shared" ca="1" si="4"/>
        <v>0</v>
      </c>
      <c r="W33" s="76">
        <f t="shared" ca="1" si="4"/>
        <v>0</v>
      </c>
      <c r="X33" s="76">
        <f t="shared" ca="1" si="4"/>
        <v>0</v>
      </c>
      <c r="Y33" s="76">
        <f t="shared" ca="1" si="4"/>
        <v>0</v>
      </c>
      <c r="Z33" s="76">
        <f t="shared" ca="1" si="4"/>
        <v>0</v>
      </c>
      <c r="AA33" s="76">
        <f t="shared" ca="1" si="4"/>
        <v>0</v>
      </c>
      <c r="AC33" s="103">
        <f ca="1">SUM(G33:AB33)</f>
        <v>0</v>
      </c>
    </row>
    <row r="34" spans="1:29" ht="6.95" customHeight="1">
      <c r="A34" s="73">
        <f>Arbeitszeit!$A12</f>
        <v>43471</v>
      </c>
      <c r="C34" s="152"/>
      <c r="D34" s="10"/>
      <c r="E34" s="152"/>
      <c r="F34" s="69"/>
      <c r="G34" s="74"/>
      <c r="H34" s="74"/>
      <c r="I34" s="74"/>
      <c r="J34" s="74"/>
      <c r="K34" s="74"/>
      <c r="L34" s="74"/>
      <c r="M34" s="74"/>
      <c r="N34" s="74"/>
      <c r="O34" s="74"/>
      <c r="P34" s="74"/>
      <c r="Q34" s="74"/>
      <c r="R34" s="74"/>
      <c r="S34" s="74"/>
      <c r="T34" s="74"/>
      <c r="U34" s="74"/>
      <c r="V34" s="74"/>
      <c r="W34" s="74"/>
      <c r="X34" s="74"/>
      <c r="Y34" s="74"/>
      <c r="Z34" s="74"/>
      <c r="AA34" s="74"/>
      <c r="AC34" s="104"/>
    </row>
    <row r="35" spans="1:29" ht="15.75" customHeight="1">
      <c r="A35" s="73">
        <f>Arbeitszeit!$A13</f>
        <v>43472</v>
      </c>
      <c r="B35" s="74">
        <v>3</v>
      </c>
      <c r="C35" s="70">
        <v>54</v>
      </c>
      <c r="D35" s="74" t="s">
        <v>144</v>
      </c>
      <c r="E35" s="2">
        <v>83</v>
      </c>
      <c r="F35" s="69"/>
      <c r="G35" s="76">
        <f t="shared" ref="G35:AA35" ca="1" si="5">SUM(OFFSET(db_Aufgaben,$C35+1,(G$25-1)*2,$E35-$C35+1,1))</f>
        <v>0</v>
      </c>
      <c r="H35" s="76">
        <f t="shared" ca="1" si="5"/>
        <v>0</v>
      </c>
      <c r="I35" s="76">
        <f t="shared" ca="1" si="5"/>
        <v>0</v>
      </c>
      <c r="J35" s="76">
        <f t="shared" ca="1" si="5"/>
        <v>0</v>
      </c>
      <c r="K35" s="76">
        <f t="shared" ca="1" si="5"/>
        <v>0</v>
      </c>
      <c r="L35" s="76">
        <f t="shared" ca="1" si="5"/>
        <v>0</v>
      </c>
      <c r="M35" s="76">
        <f t="shared" ca="1" si="5"/>
        <v>0</v>
      </c>
      <c r="N35" s="76">
        <f t="shared" ca="1" si="5"/>
        <v>0</v>
      </c>
      <c r="O35" s="76">
        <f t="shared" ca="1" si="5"/>
        <v>0</v>
      </c>
      <c r="P35" s="76">
        <f t="shared" ca="1" si="5"/>
        <v>0</v>
      </c>
      <c r="Q35" s="76">
        <f t="shared" ca="1" si="5"/>
        <v>0</v>
      </c>
      <c r="R35" s="76">
        <f t="shared" ca="1" si="5"/>
        <v>0</v>
      </c>
      <c r="S35" s="76">
        <f t="shared" ca="1" si="5"/>
        <v>0</v>
      </c>
      <c r="T35" s="76">
        <f t="shared" ca="1" si="5"/>
        <v>0</v>
      </c>
      <c r="U35" s="76">
        <f t="shared" ca="1" si="5"/>
        <v>0</v>
      </c>
      <c r="V35" s="76">
        <f t="shared" ca="1" si="5"/>
        <v>0</v>
      </c>
      <c r="W35" s="76">
        <f t="shared" ca="1" si="5"/>
        <v>0</v>
      </c>
      <c r="X35" s="76">
        <f t="shared" ca="1" si="5"/>
        <v>0</v>
      </c>
      <c r="Y35" s="76">
        <f t="shared" ca="1" si="5"/>
        <v>0</v>
      </c>
      <c r="Z35" s="76">
        <f t="shared" ca="1" si="5"/>
        <v>0</v>
      </c>
      <c r="AA35" s="76">
        <f t="shared" ca="1" si="5"/>
        <v>0</v>
      </c>
      <c r="AC35" s="103">
        <f ca="1">SUM(G35:AB35)</f>
        <v>0</v>
      </c>
    </row>
    <row r="36" spans="1:29" ht="6.95" customHeight="1">
      <c r="A36" s="73">
        <f>Arbeitszeit!$A14</f>
        <v>43473</v>
      </c>
      <c r="C36" s="152"/>
      <c r="D36" s="10"/>
      <c r="E36" s="152"/>
      <c r="F36" s="69"/>
      <c r="G36" s="74"/>
      <c r="H36" s="74"/>
      <c r="I36" s="74"/>
      <c r="J36" s="74"/>
      <c r="K36" s="74"/>
      <c r="L36" s="74"/>
      <c r="M36" s="74"/>
      <c r="N36" s="74"/>
      <c r="O36" s="74"/>
      <c r="P36" s="74"/>
      <c r="Q36" s="74"/>
      <c r="R36" s="74"/>
      <c r="S36" s="74"/>
      <c r="T36" s="74"/>
      <c r="U36" s="74"/>
      <c r="V36" s="74"/>
      <c r="W36" s="74"/>
      <c r="X36" s="74"/>
      <c r="Y36" s="74"/>
      <c r="Z36" s="74"/>
      <c r="AA36" s="74"/>
      <c r="AC36" s="104"/>
    </row>
    <row r="37" spans="1:29" ht="15.75" customHeight="1">
      <c r="A37" s="73">
        <f>Arbeitszeit!$A15</f>
        <v>43474</v>
      </c>
      <c r="B37" s="74">
        <v>4</v>
      </c>
      <c r="C37" s="70">
        <v>84</v>
      </c>
      <c r="D37" s="74" t="s">
        <v>144</v>
      </c>
      <c r="E37" s="2">
        <v>113</v>
      </c>
      <c r="F37" s="69"/>
      <c r="G37" s="76">
        <f t="shared" ref="G37:AA37" ca="1" si="6">SUM(OFFSET(db_Aufgaben,$C37+1,(G$25-1)*2,$E37-$C37+1,1))</f>
        <v>0</v>
      </c>
      <c r="H37" s="76">
        <f t="shared" ca="1" si="6"/>
        <v>0</v>
      </c>
      <c r="I37" s="76">
        <f t="shared" ca="1" si="6"/>
        <v>0</v>
      </c>
      <c r="J37" s="76">
        <f t="shared" ca="1" si="6"/>
        <v>0</v>
      </c>
      <c r="K37" s="76">
        <f t="shared" ca="1" si="6"/>
        <v>0</v>
      </c>
      <c r="L37" s="76">
        <f t="shared" ca="1" si="6"/>
        <v>0</v>
      </c>
      <c r="M37" s="76">
        <f t="shared" ca="1" si="6"/>
        <v>0</v>
      </c>
      <c r="N37" s="76">
        <f t="shared" ca="1" si="6"/>
        <v>0</v>
      </c>
      <c r="O37" s="76">
        <f t="shared" ca="1" si="6"/>
        <v>0</v>
      </c>
      <c r="P37" s="76">
        <f t="shared" ca="1" si="6"/>
        <v>0</v>
      </c>
      <c r="Q37" s="76">
        <f t="shared" ca="1" si="6"/>
        <v>0</v>
      </c>
      <c r="R37" s="76">
        <f t="shared" ca="1" si="6"/>
        <v>0</v>
      </c>
      <c r="S37" s="76">
        <f t="shared" ca="1" si="6"/>
        <v>0</v>
      </c>
      <c r="T37" s="76">
        <f t="shared" ca="1" si="6"/>
        <v>0</v>
      </c>
      <c r="U37" s="76">
        <f t="shared" ca="1" si="6"/>
        <v>0</v>
      </c>
      <c r="V37" s="76">
        <f t="shared" ca="1" si="6"/>
        <v>0</v>
      </c>
      <c r="W37" s="76">
        <f t="shared" ca="1" si="6"/>
        <v>0</v>
      </c>
      <c r="X37" s="76">
        <f t="shared" ca="1" si="6"/>
        <v>0</v>
      </c>
      <c r="Y37" s="76">
        <f t="shared" ca="1" si="6"/>
        <v>0</v>
      </c>
      <c r="Z37" s="76">
        <f t="shared" ca="1" si="6"/>
        <v>0</v>
      </c>
      <c r="AA37" s="76">
        <f t="shared" ca="1" si="6"/>
        <v>0</v>
      </c>
      <c r="AC37" s="103">
        <f ca="1">SUM(G37:AB37)</f>
        <v>0</v>
      </c>
    </row>
    <row r="38" spans="1:29" ht="6.95" customHeight="1">
      <c r="A38" s="73">
        <f>Arbeitszeit!$A16</f>
        <v>43475</v>
      </c>
      <c r="C38" s="152"/>
      <c r="D38" s="10"/>
      <c r="E38" s="152"/>
      <c r="F38" s="69"/>
      <c r="G38" s="74"/>
      <c r="H38" s="74"/>
      <c r="I38" s="74"/>
      <c r="J38" s="74"/>
      <c r="K38" s="74"/>
      <c r="L38" s="74"/>
      <c r="M38" s="74"/>
      <c r="N38" s="74"/>
      <c r="O38" s="74"/>
      <c r="P38" s="74"/>
      <c r="Q38" s="74"/>
      <c r="R38" s="74"/>
      <c r="S38" s="74"/>
      <c r="T38" s="74"/>
      <c r="U38" s="74"/>
      <c r="V38" s="74"/>
      <c r="W38" s="74"/>
      <c r="X38" s="74"/>
      <c r="Y38" s="74"/>
      <c r="Z38" s="74"/>
      <c r="AA38" s="74"/>
      <c r="AC38" s="104"/>
    </row>
    <row r="39" spans="1:29" ht="15.75" customHeight="1">
      <c r="A39" s="73">
        <f>Arbeitszeit!$A17</f>
        <v>43476</v>
      </c>
      <c r="B39" s="74">
        <v>5</v>
      </c>
      <c r="C39" s="70">
        <v>114</v>
      </c>
      <c r="D39" s="74" t="s">
        <v>144</v>
      </c>
      <c r="E39" s="2">
        <v>142</v>
      </c>
      <c r="F39" s="69"/>
      <c r="G39" s="76">
        <f t="shared" ref="G39:AA39" ca="1" si="7">SUM(OFFSET(db_Aufgaben,$C39+1,(G$25-1)*2,$E39-$C39+1,1))</f>
        <v>0</v>
      </c>
      <c r="H39" s="76">
        <f t="shared" ca="1" si="7"/>
        <v>0</v>
      </c>
      <c r="I39" s="76">
        <f t="shared" ca="1" si="7"/>
        <v>0</v>
      </c>
      <c r="J39" s="76">
        <f t="shared" ca="1" si="7"/>
        <v>0</v>
      </c>
      <c r="K39" s="76">
        <f t="shared" ca="1" si="7"/>
        <v>0</v>
      </c>
      <c r="L39" s="76">
        <f t="shared" ca="1" si="7"/>
        <v>0</v>
      </c>
      <c r="M39" s="76">
        <f t="shared" ca="1" si="7"/>
        <v>0</v>
      </c>
      <c r="N39" s="76">
        <f t="shared" ca="1" si="7"/>
        <v>0</v>
      </c>
      <c r="O39" s="76">
        <f t="shared" ca="1" si="7"/>
        <v>0</v>
      </c>
      <c r="P39" s="76">
        <f t="shared" ca="1" si="7"/>
        <v>0</v>
      </c>
      <c r="Q39" s="76">
        <f t="shared" ca="1" si="7"/>
        <v>0</v>
      </c>
      <c r="R39" s="76">
        <f t="shared" ca="1" si="7"/>
        <v>0</v>
      </c>
      <c r="S39" s="76">
        <f t="shared" ca="1" si="7"/>
        <v>0</v>
      </c>
      <c r="T39" s="76">
        <f t="shared" ca="1" si="7"/>
        <v>0</v>
      </c>
      <c r="U39" s="76">
        <f t="shared" ca="1" si="7"/>
        <v>0</v>
      </c>
      <c r="V39" s="76">
        <f t="shared" ca="1" si="7"/>
        <v>0</v>
      </c>
      <c r="W39" s="76">
        <f t="shared" ca="1" si="7"/>
        <v>0</v>
      </c>
      <c r="X39" s="76">
        <f t="shared" ca="1" si="7"/>
        <v>0</v>
      </c>
      <c r="Y39" s="76">
        <f t="shared" ca="1" si="7"/>
        <v>0</v>
      </c>
      <c r="Z39" s="76">
        <f t="shared" ca="1" si="7"/>
        <v>0</v>
      </c>
      <c r="AA39" s="76">
        <f t="shared" ca="1" si="7"/>
        <v>0</v>
      </c>
      <c r="AC39" s="103">
        <f ca="1">SUM(G39:AB39)</f>
        <v>0</v>
      </c>
    </row>
    <row r="40" spans="1:29" ht="6.95" customHeight="1">
      <c r="A40" s="73">
        <f>Arbeitszeit!$A18</f>
        <v>43477</v>
      </c>
      <c r="C40" s="152"/>
      <c r="D40" s="10"/>
      <c r="E40" s="152"/>
      <c r="F40" s="69"/>
      <c r="G40" s="74"/>
      <c r="H40" s="74"/>
      <c r="I40" s="74"/>
      <c r="J40" s="74"/>
      <c r="K40" s="74"/>
      <c r="L40" s="74"/>
      <c r="M40" s="74"/>
      <c r="N40" s="74"/>
      <c r="O40" s="74"/>
      <c r="P40" s="74"/>
      <c r="Q40" s="74"/>
      <c r="R40" s="74"/>
      <c r="S40" s="74"/>
      <c r="T40" s="74"/>
      <c r="U40" s="74"/>
      <c r="V40" s="74"/>
      <c r="W40" s="74"/>
      <c r="X40" s="74"/>
      <c r="Y40" s="74"/>
      <c r="Z40" s="74"/>
      <c r="AA40" s="74"/>
      <c r="AC40" s="104"/>
    </row>
    <row r="41" spans="1:29" ht="15.75" customHeight="1">
      <c r="A41" s="73">
        <f>Arbeitszeit!$A19</f>
        <v>43478</v>
      </c>
      <c r="B41" s="74">
        <v>6</v>
      </c>
      <c r="C41" s="70">
        <v>143</v>
      </c>
      <c r="D41" s="74" t="s">
        <v>144</v>
      </c>
      <c r="E41" s="2">
        <v>174</v>
      </c>
      <c r="F41" s="69"/>
      <c r="G41" s="76">
        <f t="shared" ref="G41:AA41" ca="1" si="8">SUM(OFFSET(db_Aufgaben,$C41+1,(G$25-1)*2,$E41-$C41+1,1))</f>
        <v>0</v>
      </c>
      <c r="H41" s="76">
        <f t="shared" ca="1" si="8"/>
        <v>0</v>
      </c>
      <c r="I41" s="76">
        <f t="shared" ca="1" si="8"/>
        <v>0</v>
      </c>
      <c r="J41" s="76">
        <f t="shared" ca="1" si="8"/>
        <v>0</v>
      </c>
      <c r="K41" s="76">
        <f t="shared" ca="1" si="8"/>
        <v>0</v>
      </c>
      <c r="L41" s="76">
        <f t="shared" ca="1" si="8"/>
        <v>0</v>
      </c>
      <c r="M41" s="76">
        <f t="shared" ca="1" si="8"/>
        <v>0</v>
      </c>
      <c r="N41" s="76">
        <f t="shared" ca="1" si="8"/>
        <v>0</v>
      </c>
      <c r="O41" s="76">
        <f t="shared" ca="1" si="8"/>
        <v>0</v>
      </c>
      <c r="P41" s="76">
        <f t="shared" ca="1" si="8"/>
        <v>0</v>
      </c>
      <c r="Q41" s="76">
        <f t="shared" ca="1" si="8"/>
        <v>0</v>
      </c>
      <c r="R41" s="76">
        <f t="shared" ca="1" si="8"/>
        <v>0</v>
      </c>
      <c r="S41" s="76">
        <f t="shared" ca="1" si="8"/>
        <v>0</v>
      </c>
      <c r="T41" s="76">
        <f t="shared" ca="1" si="8"/>
        <v>0</v>
      </c>
      <c r="U41" s="76">
        <f t="shared" ca="1" si="8"/>
        <v>0</v>
      </c>
      <c r="V41" s="76">
        <f t="shared" ca="1" si="8"/>
        <v>0</v>
      </c>
      <c r="W41" s="76">
        <f t="shared" ca="1" si="8"/>
        <v>0</v>
      </c>
      <c r="X41" s="76">
        <f t="shared" ca="1" si="8"/>
        <v>0</v>
      </c>
      <c r="Y41" s="76">
        <f t="shared" ca="1" si="8"/>
        <v>0</v>
      </c>
      <c r="Z41" s="76">
        <f t="shared" ca="1" si="8"/>
        <v>0</v>
      </c>
      <c r="AA41" s="76">
        <f t="shared" ca="1" si="8"/>
        <v>0</v>
      </c>
      <c r="AC41" s="103">
        <f ca="1">SUM(G41:AB41)</f>
        <v>0</v>
      </c>
    </row>
    <row r="42" spans="1:29" ht="6.95" customHeight="1">
      <c r="A42" s="73">
        <f>Arbeitszeit!$A20</f>
        <v>43479</v>
      </c>
      <c r="C42" s="152"/>
      <c r="E42" s="152"/>
      <c r="G42" s="74"/>
      <c r="H42" s="74"/>
      <c r="I42" s="74"/>
      <c r="J42" s="74"/>
      <c r="K42" s="74"/>
      <c r="L42" s="74"/>
      <c r="M42" s="74"/>
      <c r="N42" s="74"/>
      <c r="O42" s="74"/>
      <c r="P42" s="74"/>
      <c r="Q42" s="74"/>
      <c r="R42" s="74"/>
      <c r="S42" s="74"/>
      <c r="T42" s="74"/>
      <c r="U42" s="74"/>
      <c r="V42" s="74"/>
      <c r="W42" s="74"/>
      <c r="X42" s="74"/>
      <c r="Y42" s="74"/>
      <c r="Z42" s="74"/>
      <c r="AA42" s="74"/>
      <c r="AC42" s="104"/>
    </row>
    <row r="43" spans="1:29" ht="15.75" customHeight="1">
      <c r="A43" s="73">
        <f>Arbeitszeit!$A21</f>
        <v>43480</v>
      </c>
      <c r="B43" s="74">
        <v>7</v>
      </c>
      <c r="C43" s="70">
        <v>175</v>
      </c>
      <c r="D43" s="74" t="s">
        <v>144</v>
      </c>
      <c r="E43" s="2">
        <v>205</v>
      </c>
      <c r="G43" s="76">
        <f t="shared" ref="G43:AA43" ca="1" si="9">SUM(OFFSET(db_Aufgaben,$C43+1,(G$25-1)*2,$E43-$C43+1,1))</f>
        <v>0</v>
      </c>
      <c r="H43" s="76">
        <f t="shared" ca="1" si="9"/>
        <v>0</v>
      </c>
      <c r="I43" s="76">
        <f t="shared" ca="1" si="9"/>
        <v>0</v>
      </c>
      <c r="J43" s="76">
        <f t="shared" ca="1" si="9"/>
        <v>0</v>
      </c>
      <c r="K43" s="76">
        <f t="shared" ca="1" si="9"/>
        <v>0</v>
      </c>
      <c r="L43" s="76">
        <f t="shared" ca="1" si="9"/>
        <v>0</v>
      </c>
      <c r="M43" s="76">
        <f t="shared" ca="1" si="9"/>
        <v>0</v>
      </c>
      <c r="N43" s="76">
        <f t="shared" ca="1" si="9"/>
        <v>0</v>
      </c>
      <c r="O43" s="76">
        <f t="shared" ca="1" si="9"/>
        <v>0</v>
      </c>
      <c r="P43" s="76">
        <f t="shared" ca="1" si="9"/>
        <v>0</v>
      </c>
      <c r="Q43" s="76">
        <f t="shared" ca="1" si="9"/>
        <v>0</v>
      </c>
      <c r="R43" s="76">
        <f t="shared" ca="1" si="9"/>
        <v>0</v>
      </c>
      <c r="S43" s="76">
        <f t="shared" ca="1" si="9"/>
        <v>0</v>
      </c>
      <c r="T43" s="76">
        <f t="shared" ca="1" si="9"/>
        <v>0</v>
      </c>
      <c r="U43" s="76">
        <f t="shared" ca="1" si="9"/>
        <v>0</v>
      </c>
      <c r="V43" s="76">
        <f t="shared" ca="1" si="9"/>
        <v>0</v>
      </c>
      <c r="W43" s="76">
        <f t="shared" ca="1" si="9"/>
        <v>0</v>
      </c>
      <c r="X43" s="76">
        <f t="shared" ca="1" si="9"/>
        <v>0</v>
      </c>
      <c r="Y43" s="76">
        <f t="shared" ca="1" si="9"/>
        <v>0</v>
      </c>
      <c r="Z43" s="76">
        <f t="shared" ca="1" si="9"/>
        <v>0</v>
      </c>
      <c r="AA43" s="76">
        <f t="shared" ca="1" si="9"/>
        <v>0</v>
      </c>
      <c r="AC43" s="103">
        <f ca="1">SUM(G43:AB43)</f>
        <v>0</v>
      </c>
    </row>
    <row r="44" spans="1:29" ht="6.95" customHeight="1">
      <c r="A44" s="73">
        <f>Arbeitszeit!$A22</f>
        <v>43481</v>
      </c>
      <c r="C44" s="152"/>
      <c r="E44" s="152"/>
      <c r="G44" s="74"/>
      <c r="H44" s="74"/>
      <c r="I44" s="74"/>
      <c r="J44" s="74"/>
      <c r="K44" s="74"/>
      <c r="L44" s="74"/>
      <c r="M44" s="74"/>
      <c r="N44" s="74"/>
      <c r="O44" s="74"/>
      <c r="P44" s="74"/>
      <c r="Q44" s="74"/>
      <c r="R44" s="74"/>
      <c r="S44" s="74"/>
      <c r="T44" s="74"/>
      <c r="U44" s="74"/>
      <c r="V44" s="74"/>
      <c r="W44" s="74"/>
      <c r="X44" s="74"/>
      <c r="Y44" s="74"/>
      <c r="Z44" s="74"/>
      <c r="AA44" s="74"/>
      <c r="AC44" s="104"/>
    </row>
    <row r="45" spans="1:29" ht="15.75" customHeight="1">
      <c r="A45" s="73">
        <f>Arbeitszeit!$A23</f>
        <v>43482</v>
      </c>
      <c r="B45" s="74">
        <v>8</v>
      </c>
      <c r="C45" s="70">
        <v>206</v>
      </c>
      <c r="D45" s="74" t="s">
        <v>144</v>
      </c>
      <c r="E45" s="2">
        <v>236</v>
      </c>
      <c r="G45" s="76">
        <f t="shared" ref="G45:AA45" ca="1" si="10">SUM(OFFSET(db_Aufgaben,$C45+1,(G$25-1)*2,$E45-$C45+1,1))</f>
        <v>0</v>
      </c>
      <c r="H45" s="76">
        <f t="shared" ca="1" si="10"/>
        <v>0</v>
      </c>
      <c r="I45" s="76">
        <f t="shared" ca="1" si="10"/>
        <v>0</v>
      </c>
      <c r="J45" s="76">
        <f t="shared" ca="1" si="10"/>
        <v>0</v>
      </c>
      <c r="K45" s="76">
        <f t="shared" ca="1" si="10"/>
        <v>0</v>
      </c>
      <c r="L45" s="76">
        <f t="shared" ca="1" si="10"/>
        <v>0</v>
      </c>
      <c r="M45" s="76">
        <f t="shared" ca="1" si="10"/>
        <v>0</v>
      </c>
      <c r="N45" s="76">
        <f t="shared" ca="1" si="10"/>
        <v>0</v>
      </c>
      <c r="O45" s="76">
        <f t="shared" ca="1" si="10"/>
        <v>0</v>
      </c>
      <c r="P45" s="76">
        <f t="shared" ca="1" si="10"/>
        <v>0</v>
      </c>
      <c r="Q45" s="76">
        <f t="shared" ca="1" si="10"/>
        <v>0</v>
      </c>
      <c r="R45" s="76">
        <f t="shared" ca="1" si="10"/>
        <v>0</v>
      </c>
      <c r="S45" s="76">
        <f t="shared" ca="1" si="10"/>
        <v>0</v>
      </c>
      <c r="T45" s="76">
        <f t="shared" ca="1" si="10"/>
        <v>0</v>
      </c>
      <c r="U45" s="76">
        <f t="shared" ca="1" si="10"/>
        <v>0</v>
      </c>
      <c r="V45" s="76">
        <f t="shared" ca="1" si="10"/>
        <v>0</v>
      </c>
      <c r="W45" s="76">
        <f t="shared" ca="1" si="10"/>
        <v>0</v>
      </c>
      <c r="X45" s="76">
        <f t="shared" ca="1" si="10"/>
        <v>0</v>
      </c>
      <c r="Y45" s="76">
        <f t="shared" ca="1" si="10"/>
        <v>0</v>
      </c>
      <c r="Z45" s="76">
        <f t="shared" ca="1" si="10"/>
        <v>0</v>
      </c>
      <c r="AA45" s="76">
        <f t="shared" ca="1" si="10"/>
        <v>0</v>
      </c>
      <c r="AC45" s="103">
        <f ca="1">SUM(G45:AB45)</f>
        <v>0</v>
      </c>
    </row>
    <row r="46" spans="1:29" ht="6.95" customHeight="1">
      <c r="A46" s="73">
        <f>Arbeitszeit!$A24</f>
        <v>43483</v>
      </c>
      <c r="C46" s="152"/>
      <c r="E46" s="152"/>
      <c r="G46" s="74"/>
      <c r="H46" s="74"/>
      <c r="I46" s="74"/>
      <c r="J46" s="74"/>
      <c r="K46" s="74"/>
      <c r="L46" s="74"/>
      <c r="M46" s="74"/>
      <c r="N46" s="74"/>
      <c r="O46" s="74"/>
      <c r="P46" s="74"/>
      <c r="Q46" s="74"/>
      <c r="R46" s="74"/>
      <c r="S46" s="74"/>
      <c r="T46" s="74"/>
      <c r="U46" s="74"/>
      <c r="V46" s="74"/>
      <c r="W46" s="74"/>
      <c r="X46" s="74"/>
      <c r="Y46" s="74"/>
      <c r="Z46" s="74"/>
      <c r="AA46" s="74"/>
      <c r="AC46" s="104"/>
    </row>
    <row r="47" spans="1:29" ht="15.75" customHeight="1">
      <c r="A47" s="73">
        <f>Arbeitszeit!$A25</f>
        <v>43484</v>
      </c>
      <c r="B47" s="74">
        <v>9</v>
      </c>
      <c r="C47" s="70">
        <v>237</v>
      </c>
      <c r="D47" s="74" t="s">
        <v>144</v>
      </c>
      <c r="E47" s="2">
        <v>273</v>
      </c>
      <c r="G47" s="76">
        <f t="shared" ref="G47:AA47" ca="1" si="11">SUM(OFFSET(db_Aufgaben,$C47+1,(G$25-1)*2,$E47-$C47+1,1))</f>
        <v>0</v>
      </c>
      <c r="H47" s="76">
        <f t="shared" ca="1" si="11"/>
        <v>0</v>
      </c>
      <c r="I47" s="76">
        <f t="shared" ca="1" si="11"/>
        <v>0</v>
      </c>
      <c r="J47" s="76">
        <f t="shared" ca="1" si="11"/>
        <v>0</v>
      </c>
      <c r="K47" s="76">
        <f t="shared" ca="1" si="11"/>
        <v>0</v>
      </c>
      <c r="L47" s="76">
        <f t="shared" ca="1" si="11"/>
        <v>0</v>
      </c>
      <c r="M47" s="76">
        <f t="shared" ca="1" si="11"/>
        <v>0</v>
      </c>
      <c r="N47" s="76">
        <f t="shared" ca="1" si="11"/>
        <v>0</v>
      </c>
      <c r="O47" s="76">
        <f t="shared" ca="1" si="11"/>
        <v>0</v>
      </c>
      <c r="P47" s="76">
        <f t="shared" ca="1" si="11"/>
        <v>0</v>
      </c>
      <c r="Q47" s="76">
        <f t="shared" ca="1" si="11"/>
        <v>0</v>
      </c>
      <c r="R47" s="76">
        <f t="shared" ca="1" si="11"/>
        <v>0</v>
      </c>
      <c r="S47" s="76">
        <f t="shared" ca="1" si="11"/>
        <v>0</v>
      </c>
      <c r="T47" s="76">
        <f t="shared" ca="1" si="11"/>
        <v>0</v>
      </c>
      <c r="U47" s="76">
        <f t="shared" ca="1" si="11"/>
        <v>0</v>
      </c>
      <c r="V47" s="76">
        <f t="shared" ca="1" si="11"/>
        <v>0</v>
      </c>
      <c r="W47" s="76">
        <f t="shared" ca="1" si="11"/>
        <v>0</v>
      </c>
      <c r="X47" s="76">
        <f t="shared" ca="1" si="11"/>
        <v>0</v>
      </c>
      <c r="Y47" s="76">
        <f t="shared" ca="1" si="11"/>
        <v>0</v>
      </c>
      <c r="Z47" s="76">
        <f t="shared" ca="1" si="11"/>
        <v>0</v>
      </c>
      <c r="AA47" s="76">
        <f t="shared" ca="1" si="11"/>
        <v>0</v>
      </c>
      <c r="AC47" s="103">
        <f ca="1">SUM(G47:AB47)</f>
        <v>0</v>
      </c>
    </row>
    <row r="48" spans="1:29" ht="6.95" customHeight="1">
      <c r="A48" s="73">
        <f>Arbeitszeit!$A26</f>
        <v>43485</v>
      </c>
      <c r="C48" s="152"/>
      <c r="E48" s="152"/>
      <c r="G48" s="74"/>
      <c r="H48" s="74"/>
      <c r="I48" s="74"/>
      <c r="J48" s="74"/>
      <c r="K48" s="74"/>
      <c r="L48" s="74"/>
      <c r="M48" s="74"/>
      <c r="N48" s="74"/>
      <c r="O48" s="74"/>
      <c r="P48" s="74"/>
      <c r="Q48" s="74"/>
      <c r="R48" s="74"/>
      <c r="S48" s="74"/>
      <c r="T48" s="74"/>
      <c r="U48" s="74"/>
      <c r="V48" s="74"/>
      <c r="W48" s="74"/>
      <c r="X48" s="74"/>
      <c r="Y48" s="74"/>
      <c r="Z48" s="74"/>
      <c r="AA48" s="74"/>
      <c r="AC48" s="104"/>
    </row>
    <row r="49" spans="1:29" ht="15.75" customHeight="1">
      <c r="A49" s="73">
        <f>Arbeitszeit!$A27</f>
        <v>43486</v>
      </c>
      <c r="B49" s="74">
        <v>10</v>
      </c>
      <c r="C49" s="70">
        <v>274</v>
      </c>
      <c r="D49" s="74" t="s">
        <v>144</v>
      </c>
      <c r="E49" s="2">
        <v>327</v>
      </c>
      <c r="G49" s="76">
        <f t="shared" ref="G49:AA49" ca="1" si="12">SUM(OFFSET(db_Aufgaben,$C49+1,(G$25-1)*2,$E49-$C49+1,1))</f>
        <v>0</v>
      </c>
      <c r="H49" s="76">
        <f t="shared" ca="1" si="12"/>
        <v>0</v>
      </c>
      <c r="I49" s="76">
        <f t="shared" ca="1" si="12"/>
        <v>0</v>
      </c>
      <c r="J49" s="76">
        <f t="shared" ca="1" si="12"/>
        <v>0</v>
      </c>
      <c r="K49" s="76">
        <f t="shared" ca="1" si="12"/>
        <v>0</v>
      </c>
      <c r="L49" s="76">
        <f t="shared" ca="1" si="12"/>
        <v>0</v>
      </c>
      <c r="M49" s="76">
        <f t="shared" ca="1" si="12"/>
        <v>0</v>
      </c>
      <c r="N49" s="76">
        <f t="shared" ca="1" si="12"/>
        <v>0</v>
      </c>
      <c r="O49" s="76">
        <f t="shared" ca="1" si="12"/>
        <v>0</v>
      </c>
      <c r="P49" s="76">
        <f t="shared" ca="1" si="12"/>
        <v>0</v>
      </c>
      <c r="Q49" s="76">
        <f t="shared" ca="1" si="12"/>
        <v>0</v>
      </c>
      <c r="R49" s="76">
        <f t="shared" ca="1" si="12"/>
        <v>0</v>
      </c>
      <c r="S49" s="76">
        <f t="shared" ca="1" si="12"/>
        <v>0</v>
      </c>
      <c r="T49" s="76">
        <f t="shared" ca="1" si="12"/>
        <v>0</v>
      </c>
      <c r="U49" s="76">
        <f t="shared" ca="1" si="12"/>
        <v>0</v>
      </c>
      <c r="V49" s="76">
        <f t="shared" ca="1" si="12"/>
        <v>0</v>
      </c>
      <c r="W49" s="76">
        <f t="shared" ca="1" si="12"/>
        <v>0</v>
      </c>
      <c r="X49" s="76">
        <f t="shared" ca="1" si="12"/>
        <v>0</v>
      </c>
      <c r="Y49" s="76">
        <f t="shared" ca="1" si="12"/>
        <v>0</v>
      </c>
      <c r="Z49" s="76">
        <f t="shared" ca="1" si="12"/>
        <v>0</v>
      </c>
      <c r="AA49" s="76">
        <f t="shared" ca="1" si="12"/>
        <v>0</v>
      </c>
      <c r="AC49" s="103">
        <f ca="1">SUM(G49:AB49)</f>
        <v>0</v>
      </c>
    </row>
    <row r="50" spans="1:29" ht="6.95" customHeight="1">
      <c r="A50" s="73">
        <f>Arbeitszeit!$A28</f>
        <v>43487</v>
      </c>
      <c r="C50" s="152"/>
      <c r="E50" s="152"/>
      <c r="G50" s="74"/>
      <c r="H50" s="74"/>
      <c r="I50" s="74"/>
      <c r="J50" s="74"/>
      <c r="K50" s="74"/>
      <c r="L50" s="74"/>
      <c r="M50" s="74"/>
      <c r="N50" s="74"/>
      <c r="O50" s="74"/>
      <c r="P50" s="74"/>
      <c r="Q50" s="74"/>
      <c r="R50" s="74"/>
      <c r="S50" s="74"/>
      <c r="T50" s="74"/>
      <c r="U50" s="74"/>
      <c r="V50" s="74"/>
      <c r="W50" s="74"/>
      <c r="X50" s="74"/>
      <c r="Y50" s="74"/>
      <c r="Z50" s="74"/>
      <c r="AA50" s="74"/>
      <c r="AC50" s="104"/>
    </row>
    <row r="51" spans="1:29" ht="15.75" customHeight="1">
      <c r="A51" s="73">
        <f>Arbeitszeit!$A29</f>
        <v>43488</v>
      </c>
      <c r="B51" s="74">
        <v>11</v>
      </c>
      <c r="C51" s="70">
        <v>328</v>
      </c>
      <c r="D51" s="74" t="s">
        <v>144</v>
      </c>
      <c r="E51" s="2">
        <v>335</v>
      </c>
      <c r="G51" s="76">
        <f t="shared" ref="G51:AA51" ca="1" si="13">SUM(OFFSET(db_Aufgaben,$C51+1,(G$25-1)*2,$E51-$C51+1,1))</f>
        <v>0</v>
      </c>
      <c r="H51" s="76">
        <f t="shared" ca="1" si="13"/>
        <v>0</v>
      </c>
      <c r="I51" s="76">
        <f t="shared" ca="1" si="13"/>
        <v>0</v>
      </c>
      <c r="J51" s="76">
        <f t="shared" ca="1" si="13"/>
        <v>0</v>
      </c>
      <c r="K51" s="76">
        <f t="shared" ca="1" si="13"/>
        <v>0</v>
      </c>
      <c r="L51" s="76">
        <f t="shared" ca="1" si="13"/>
        <v>0</v>
      </c>
      <c r="M51" s="76">
        <f t="shared" ca="1" si="13"/>
        <v>0</v>
      </c>
      <c r="N51" s="76">
        <f t="shared" ca="1" si="13"/>
        <v>0</v>
      </c>
      <c r="O51" s="76">
        <f t="shared" ca="1" si="13"/>
        <v>0</v>
      </c>
      <c r="P51" s="76">
        <f t="shared" ca="1" si="13"/>
        <v>0</v>
      </c>
      <c r="Q51" s="76">
        <f t="shared" ca="1" si="13"/>
        <v>0</v>
      </c>
      <c r="R51" s="76">
        <f t="shared" ca="1" si="13"/>
        <v>0</v>
      </c>
      <c r="S51" s="76">
        <f t="shared" ca="1" si="13"/>
        <v>0</v>
      </c>
      <c r="T51" s="76">
        <f t="shared" ca="1" si="13"/>
        <v>0</v>
      </c>
      <c r="U51" s="76">
        <f t="shared" ca="1" si="13"/>
        <v>0</v>
      </c>
      <c r="V51" s="76">
        <f t="shared" ca="1" si="13"/>
        <v>0</v>
      </c>
      <c r="W51" s="76">
        <f t="shared" ca="1" si="13"/>
        <v>0</v>
      </c>
      <c r="X51" s="76">
        <f t="shared" ca="1" si="13"/>
        <v>0</v>
      </c>
      <c r="Y51" s="76">
        <f t="shared" ca="1" si="13"/>
        <v>0</v>
      </c>
      <c r="Z51" s="76">
        <f t="shared" ca="1" si="13"/>
        <v>0</v>
      </c>
      <c r="AA51" s="76">
        <f t="shared" ca="1" si="13"/>
        <v>0</v>
      </c>
      <c r="AC51" s="103">
        <f ca="1">SUM(G51:AB51)</f>
        <v>0</v>
      </c>
    </row>
    <row r="52" spans="1:29" ht="6.95" customHeight="1">
      <c r="A52" s="73">
        <f>Arbeitszeit!$A30</f>
        <v>43489</v>
      </c>
      <c r="C52" s="152"/>
      <c r="E52" s="152"/>
      <c r="G52" s="74"/>
      <c r="H52" s="74"/>
      <c r="I52" s="74"/>
      <c r="J52" s="74"/>
      <c r="K52" s="74"/>
      <c r="L52" s="74"/>
      <c r="M52" s="74"/>
      <c r="N52" s="74"/>
      <c r="O52" s="74"/>
      <c r="P52" s="74"/>
      <c r="Q52" s="74"/>
      <c r="R52" s="74"/>
      <c r="S52" s="74"/>
      <c r="T52" s="74"/>
      <c r="U52" s="74"/>
      <c r="V52" s="74"/>
      <c r="W52" s="74"/>
      <c r="X52" s="74"/>
      <c r="Y52" s="74"/>
      <c r="Z52" s="74"/>
      <c r="AA52" s="74"/>
      <c r="AC52" s="104"/>
    </row>
    <row r="53" spans="1:29" ht="15.75" customHeight="1">
      <c r="A53" s="73">
        <f>Arbeitszeit!$A31</f>
        <v>43490</v>
      </c>
      <c r="B53" s="74">
        <v>12</v>
      </c>
      <c r="C53" s="70">
        <v>336</v>
      </c>
      <c r="D53" s="74" t="s">
        <v>144</v>
      </c>
      <c r="E53" s="2">
        <v>366</v>
      </c>
      <c r="G53" s="76">
        <f t="shared" ref="G53:AA53" ca="1" si="14">SUM(OFFSET(db_Aufgaben,$C53+1,(G$25-1)*2,$E53-$C53+1,1))</f>
        <v>0</v>
      </c>
      <c r="H53" s="76">
        <f t="shared" ca="1" si="14"/>
        <v>0</v>
      </c>
      <c r="I53" s="76">
        <f t="shared" ca="1" si="14"/>
        <v>0</v>
      </c>
      <c r="J53" s="76">
        <f t="shared" ca="1" si="14"/>
        <v>0</v>
      </c>
      <c r="K53" s="76">
        <f t="shared" ca="1" si="14"/>
        <v>0</v>
      </c>
      <c r="L53" s="76">
        <f t="shared" ca="1" si="14"/>
        <v>0</v>
      </c>
      <c r="M53" s="76">
        <f t="shared" ca="1" si="14"/>
        <v>0</v>
      </c>
      <c r="N53" s="76">
        <f t="shared" ca="1" si="14"/>
        <v>0</v>
      </c>
      <c r="O53" s="76">
        <f t="shared" ca="1" si="14"/>
        <v>0</v>
      </c>
      <c r="P53" s="76">
        <f t="shared" ca="1" si="14"/>
        <v>0</v>
      </c>
      <c r="Q53" s="76">
        <f t="shared" ca="1" si="14"/>
        <v>0</v>
      </c>
      <c r="R53" s="76">
        <f t="shared" ca="1" si="14"/>
        <v>0</v>
      </c>
      <c r="S53" s="76">
        <f t="shared" ca="1" si="14"/>
        <v>0</v>
      </c>
      <c r="T53" s="76">
        <f t="shared" ca="1" si="14"/>
        <v>0</v>
      </c>
      <c r="U53" s="76">
        <f t="shared" ca="1" si="14"/>
        <v>0</v>
      </c>
      <c r="V53" s="76">
        <f t="shared" ca="1" si="14"/>
        <v>0</v>
      </c>
      <c r="W53" s="76">
        <f t="shared" ca="1" si="14"/>
        <v>0</v>
      </c>
      <c r="X53" s="76">
        <f t="shared" ca="1" si="14"/>
        <v>0</v>
      </c>
      <c r="Y53" s="76">
        <f t="shared" ca="1" si="14"/>
        <v>0</v>
      </c>
      <c r="Z53" s="76">
        <f t="shared" ca="1" si="14"/>
        <v>0</v>
      </c>
      <c r="AA53" s="76">
        <f t="shared" ca="1" si="14"/>
        <v>0</v>
      </c>
      <c r="AC53" s="103">
        <f ca="1">SUM(G53:AB53)</f>
        <v>0</v>
      </c>
    </row>
    <row r="54" spans="1:29" ht="6.95" customHeight="1">
      <c r="A54" s="73">
        <f>Arbeitszeit!$A32</f>
        <v>43491</v>
      </c>
      <c r="C54" s="152"/>
      <c r="E54" s="152"/>
      <c r="G54" s="74"/>
      <c r="H54" s="74"/>
      <c r="I54" s="74"/>
      <c r="J54" s="74"/>
      <c r="K54" s="74"/>
      <c r="L54" s="74"/>
      <c r="M54" s="74"/>
      <c r="N54" s="74"/>
      <c r="O54" s="74"/>
      <c r="P54" s="74"/>
      <c r="Q54" s="74"/>
      <c r="R54" s="74"/>
      <c r="S54" s="74"/>
      <c r="T54" s="74"/>
      <c r="U54" s="74"/>
      <c r="V54" s="74"/>
      <c r="W54" s="74"/>
      <c r="X54" s="74"/>
      <c r="Y54" s="74"/>
      <c r="Z54" s="74"/>
      <c r="AA54" s="74"/>
      <c r="AC54" s="104"/>
    </row>
    <row r="55" spans="1:29" ht="15.75" customHeight="1">
      <c r="A55" s="73">
        <f>Arbeitszeit!$A33</f>
        <v>43492</v>
      </c>
      <c r="B55" s="74">
        <v>13</v>
      </c>
      <c r="C55" s="70">
        <v>366</v>
      </c>
      <c r="D55" s="74" t="s">
        <v>144</v>
      </c>
      <c r="E55" s="2">
        <v>366</v>
      </c>
      <c r="G55" s="76">
        <f t="shared" ref="G55:AA55" ca="1" si="15">SUM(OFFSET(db_Aufgaben,$C55+1,(G$25-1)*2,$E55-$C55+1,1))</f>
        <v>0</v>
      </c>
      <c r="H55" s="76">
        <f t="shared" ca="1" si="15"/>
        <v>0</v>
      </c>
      <c r="I55" s="76">
        <f t="shared" ca="1" si="15"/>
        <v>0</v>
      </c>
      <c r="J55" s="76">
        <f t="shared" ca="1" si="15"/>
        <v>0</v>
      </c>
      <c r="K55" s="76">
        <f t="shared" ca="1" si="15"/>
        <v>0</v>
      </c>
      <c r="L55" s="76">
        <f t="shared" ca="1" si="15"/>
        <v>0</v>
      </c>
      <c r="M55" s="76">
        <f t="shared" ca="1" si="15"/>
        <v>0</v>
      </c>
      <c r="N55" s="76">
        <f t="shared" ca="1" si="15"/>
        <v>0</v>
      </c>
      <c r="O55" s="76">
        <f t="shared" ca="1" si="15"/>
        <v>0</v>
      </c>
      <c r="P55" s="76">
        <f t="shared" ca="1" si="15"/>
        <v>0</v>
      </c>
      <c r="Q55" s="76">
        <f t="shared" ca="1" si="15"/>
        <v>0</v>
      </c>
      <c r="R55" s="76">
        <f t="shared" ca="1" si="15"/>
        <v>0</v>
      </c>
      <c r="S55" s="76">
        <f t="shared" ca="1" si="15"/>
        <v>0</v>
      </c>
      <c r="T55" s="76">
        <f t="shared" ca="1" si="15"/>
        <v>0</v>
      </c>
      <c r="U55" s="76">
        <f t="shared" ca="1" si="15"/>
        <v>0</v>
      </c>
      <c r="V55" s="76">
        <f t="shared" ca="1" si="15"/>
        <v>0</v>
      </c>
      <c r="W55" s="76">
        <f t="shared" ca="1" si="15"/>
        <v>0</v>
      </c>
      <c r="X55" s="76">
        <f t="shared" ca="1" si="15"/>
        <v>0</v>
      </c>
      <c r="Y55" s="76">
        <f t="shared" ca="1" si="15"/>
        <v>0</v>
      </c>
      <c r="Z55" s="76">
        <f t="shared" ca="1" si="15"/>
        <v>0</v>
      </c>
      <c r="AA55" s="76">
        <f t="shared" ca="1" si="15"/>
        <v>0</v>
      </c>
      <c r="AC55" s="103">
        <f ca="1">SUM(G55:AB55)</f>
        <v>0</v>
      </c>
    </row>
    <row r="56" spans="1:29" ht="6.95" customHeight="1">
      <c r="A56" s="73">
        <f>Arbeitszeit!$A34</f>
        <v>43493</v>
      </c>
      <c r="C56" s="152"/>
      <c r="E56" s="152"/>
      <c r="G56" s="74"/>
      <c r="H56" s="74"/>
      <c r="I56" s="74"/>
      <c r="J56" s="74"/>
      <c r="K56" s="74"/>
      <c r="L56" s="74"/>
      <c r="M56" s="74"/>
      <c r="N56" s="74"/>
      <c r="O56" s="74"/>
      <c r="P56" s="74"/>
      <c r="Q56" s="74"/>
      <c r="R56" s="74"/>
      <c r="S56" s="74"/>
      <c r="T56" s="74"/>
      <c r="U56" s="74"/>
      <c r="V56" s="74"/>
      <c r="W56" s="74"/>
      <c r="X56" s="74"/>
      <c r="Y56" s="74"/>
      <c r="Z56" s="74"/>
      <c r="AA56" s="74"/>
      <c r="AC56" s="104"/>
    </row>
    <row r="57" spans="1:29" ht="15.75" customHeight="1">
      <c r="A57" s="73">
        <f>Arbeitszeit!$A35</f>
        <v>43494</v>
      </c>
      <c r="B57" s="74">
        <v>14</v>
      </c>
      <c r="C57" s="70">
        <v>366</v>
      </c>
      <c r="D57" s="74" t="s">
        <v>144</v>
      </c>
      <c r="E57" s="2">
        <v>366</v>
      </c>
      <c r="G57" s="76">
        <f t="shared" ref="G57:AA57" ca="1" si="16">SUM(OFFSET(db_Aufgaben,$C57+1,(G$25-1)*2,$E57-$C57+1,1))</f>
        <v>0</v>
      </c>
      <c r="H57" s="76">
        <f t="shared" ca="1" si="16"/>
        <v>0</v>
      </c>
      <c r="I57" s="76">
        <f t="shared" ca="1" si="16"/>
        <v>0</v>
      </c>
      <c r="J57" s="76">
        <f t="shared" ca="1" si="16"/>
        <v>0</v>
      </c>
      <c r="K57" s="76">
        <f t="shared" ca="1" si="16"/>
        <v>0</v>
      </c>
      <c r="L57" s="76">
        <f t="shared" ca="1" si="16"/>
        <v>0</v>
      </c>
      <c r="M57" s="76">
        <f t="shared" ca="1" si="16"/>
        <v>0</v>
      </c>
      <c r="N57" s="76">
        <f t="shared" ca="1" si="16"/>
        <v>0</v>
      </c>
      <c r="O57" s="76">
        <f t="shared" ca="1" si="16"/>
        <v>0</v>
      </c>
      <c r="P57" s="76">
        <f t="shared" ca="1" si="16"/>
        <v>0</v>
      </c>
      <c r="Q57" s="76">
        <f t="shared" ca="1" si="16"/>
        <v>0</v>
      </c>
      <c r="R57" s="76">
        <f t="shared" ca="1" si="16"/>
        <v>0</v>
      </c>
      <c r="S57" s="76">
        <f t="shared" ca="1" si="16"/>
        <v>0</v>
      </c>
      <c r="T57" s="76">
        <f t="shared" ca="1" si="16"/>
        <v>0</v>
      </c>
      <c r="U57" s="76">
        <f t="shared" ca="1" si="16"/>
        <v>0</v>
      </c>
      <c r="V57" s="76">
        <f t="shared" ca="1" si="16"/>
        <v>0</v>
      </c>
      <c r="W57" s="76">
        <f t="shared" ca="1" si="16"/>
        <v>0</v>
      </c>
      <c r="X57" s="76">
        <f t="shared" ca="1" si="16"/>
        <v>0</v>
      </c>
      <c r="Y57" s="76">
        <f t="shared" ca="1" si="16"/>
        <v>0</v>
      </c>
      <c r="Z57" s="76">
        <f t="shared" ca="1" si="16"/>
        <v>0</v>
      </c>
      <c r="AA57" s="76">
        <f t="shared" ca="1" si="16"/>
        <v>0</v>
      </c>
      <c r="AC57" s="103">
        <f ca="1">SUM(G57:AB57)</f>
        <v>0</v>
      </c>
    </row>
    <row r="58" spans="1:29">
      <c r="A58" s="73">
        <f>Arbeitszeit!$A36</f>
        <v>43495</v>
      </c>
      <c r="G58" s="74"/>
      <c r="H58" s="74"/>
      <c r="I58" s="74"/>
      <c r="J58" s="74"/>
      <c r="K58" s="74"/>
      <c r="L58" s="74"/>
      <c r="M58" s="74"/>
      <c r="N58" s="74"/>
      <c r="O58" s="74"/>
      <c r="P58" s="74"/>
      <c r="Q58" s="74"/>
      <c r="R58" s="75"/>
      <c r="AC58" s="74"/>
    </row>
    <row r="59" spans="1:29">
      <c r="A59" s="73">
        <f>Arbeitszeit!$A37</f>
        <v>43496</v>
      </c>
      <c r="G59" s="74"/>
      <c r="H59" s="74"/>
      <c r="I59" s="74"/>
      <c r="J59" s="74"/>
      <c r="K59" s="74"/>
      <c r="L59" s="74"/>
      <c r="M59" s="74"/>
      <c r="N59" s="74"/>
      <c r="O59" s="74"/>
      <c r="P59" s="74"/>
      <c r="Q59" s="74"/>
      <c r="R59" s="75"/>
    </row>
    <row r="60" spans="1:29">
      <c r="A60" s="73">
        <f>Arbeitszeit!$A38</f>
        <v>43497</v>
      </c>
      <c r="G60" s="74"/>
      <c r="H60" s="74"/>
      <c r="I60" s="74"/>
      <c r="J60" s="74"/>
      <c r="K60" s="74"/>
      <c r="L60" s="74"/>
      <c r="M60" s="74"/>
      <c r="N60" s="74"/>
      <c r="O60" s="74"/>
      <c r="P60" s="74"/>
      <c r="Q60" s="74"/>
      <c r="R60" s="75"/>
    </row>
    <row r="61" spans="1:29">
      <c r="A61" s="73">
        <f>Arbeitszeit!$A39</f>
        <v>43498</v>
      </c>
      <c r="G61" s="10"/>
      <c r="H61" s="10"/>
      <c r="I61" s="10"/>
      <c r="J61" s="10"/>
      <c r="K61" s="10"/>
      <c r="L61" s="10"/>
      <c r="M61" s="10"/>
      <c r="N61" s="10"/>
      <c r="O61" s="10"/>
      <c r="P61" s="10"/>
      <c r="Q61" s="10"/>
    </row>
    <row r="62" spans="1:29">
      <c r="A62" s="73">
        <f>Arbeitszeit!$A40</f>
        <v>43499</v>
      </c>
    </row>
    <row r="63" spans="1:29">
      <c r="A63" s="73">
        <f>Arbeitszeit!$A41</f>
        <v>43500</v>
      </c>
    </row>
    <row r="64" spans="1:29">
      <c r="A64" s="73">
        <f>Arbeitszeit!$A42</f>
        <v>43501</v>
      </c>
    </row>
    <row r="65" spans="1:1">
      <c r="A65" s="73">
        <f>Arbeitszeit!$A43</f>
        <v>43502</v>
      </c>
    </row>
    <row r="66" spans="1:1">
      <c r="A66" s="73">
        <f>Arbeitszeit!$A44</f>
        <v>43503</v>
      </c>
    </row>
    <row r="67" spans="1:1">
      <c r="A67" s="73">
        <f>Arbeitszeit!$A45</f>
        <v>43504</v>
      </c>
    </row>
    <row r="68" spans="1:1">
      <c r="A68" s="73">
        <f>Arbeitszeit!$A46</f>
        <v>43505</v>
      </c>
    </row>
    <row r="69" spans="1:1">
      <c r="A69" s="73">
        <f>Arbeitszeit!$A47</f>
        <v>43506</v>
      </c>
    </row>
    <row r="70" spans="1:1">
      <c r="A70" s="73">
        <f>Arbeitszeit!$A48</f>
        <v>43507</v>
      </c>
    </row>
    <row r="71" spans="1:1">
      <c r="A71" s="73">
        <f>Arbeitszeit!$A49</f>
        <v>43508</v>
      </c>
    </row>
    <row r="72" spans="1:1">
      <c r="A72" s="73">
        <f>Arbeitszeit!$A50</f>
        <v>43509</v>
      </c>
    </row>
    <row r="73" spans="1:1">
      <c r="A73" s="73">
        <f>Arbeitszeit!$A51</f>
        <v>43510</v>
      </c>
    </row>
    <row r="74" spans="1:1">
      <c r="A74" s="73">
        <f>Arbeitszeit!$A52</f>
        <v>43511</v>
      </c>
    </row>
    <row r="75" spans="1:1">
      <c r="A75" s="73">
        <f>Arbeitszeit!$A53</f>
        <v>43512</v>
      </c>
    </row>
    <row r="76" spans="1:1">
      <c r="A76" s="73">
        <f>Arbeitszeit!$A54</f>
        <v>43513</v>
      </c>
    </row>
    <row r="77" spans="1:1">
      <c r="A77" s="73">
        <f>Arbeitszeit!$A55</f>
        <v>43514</v>
      </c>
    </row>
    <row r="78" spans="1:1">
      <c r="A78" s="73">
        <f>Arbeitszeit!$A56</f>
        <v>43515</v>
      </c>
    </row>
    <row r="79" spans="1:1">
      <c r="A79" s="73">
        <f>Arbeitszeit!$A57</f>
        <v>43516</v>
      </c>
    </row>
    <row r="80" spans="1:1">
      <c r="A80" s="73">
        <f>Arbeitszeit!$A58</f>
        <v>43517</v>
      </c>
    </row>
    <row r="81" spans="1:1">
      <c r="A81" s="73">
        <f>Arbeitszeit!$A59</f>
        <v>43518</v>
      </c>
    </row>
    <row r="82" spans="1:1">
      <c r="A82" s="73">
        <f>Arbeitszeit!$A60</f>
        <v>43519</v>
      </c>
    </row>
    <row r="83" spans="1:1">
      <c r="A83" s="73">
        <f>Arbeitszeit!$A61</f>
        <v>43520</v>
      </c>
    </row>
    <row r="84" spans="1:1">
      <c r="A84" s="73">
        <f>Arbeitszeit!$A62</f>
        <v>43521</v>
      </c>
    </row>
    <row r="85" spans="1:1">
      <c r="A85" s="73">
        <f>Arbeitszeit!$A63</f>
        <v>43522</v>
      </c>
    </row>
    <row r="86" spans="1:1">
      <c r="A86" s="73">
        <f>Arbeitszeit!$A64</f>
        <v>43523</v>
      </c>
    </row>
    <row r="87" spans="1:1">
      <c r="A87" s="73">
        <f>Arbeitszeit!$A65</f>
        <v>43524</v>
      </c>
    </row>
    <row r="88" spans="1:1">
      <c r="A88" s="73">
        <f>Arbeitszeit!$A66</f>
        <v>43525</v>
      </c>
    </row>
    <row r="89" spans="1:1">
      <c r="A89" s="73">
        <f>Arbeitszeit!$A67</f>
        <v>43526</v>
      </c>
    </row>
    <row r="90" spans="1:1">
      <c r="A90" s="73">
        <f>Arbeitszeit!$A68</f>
        <v>43527</v>
      </c>
    </row>
    <row r="91" spans="1:1">
      <c r="A91" s="73">
        <f>Arbeitszeit!$A69</f>
        <v>43528</v>
      </c>
    </row>
    <row r="92" spans="1:1">
      <c r="A92" s="73">
        <f>Arbeitszeit!$A70</f>
        <v>43529</v>
      </c>
    </row>
    <row r="93" spans="1:1">
      <c r="A93" s="73">
        <f>Arbeitszeit!$A71</f>
        <v>43530</v>
      </c>
    </row>
    <row r="94" spans="1:1">
      <c r="A94" s="73">
        <f>Arbeitszeit!$A72</f>
        <v>43531</v>
      </c>
    </row>
    <row r="95" spans="1:1">
      <c r="A95" s="73">
        <f>Arbeitszeit!$A73</f>
        <v>43532</v>
      </c>
    </row>
    <row r="96" spans="1:1">
      <c r="A96" s="73">
        <f>Arbeitszeit!$A74</f>
        <v>43533</v>
      </c>
    </row>
    <row r="97" spans="1:1">
      <c r="A97" s="73">
        <f>Arbeitszeit!$A75</f>
        <v>43534</v>
      </c>
    </row>
    <row r="98" spans="1:1">
      <c r="A98" s="73">
        <f>Arbeitszeit!$A76</f>
        <v>43535</v>
      </c>
    </row>
    <row r="99" spans="1:1">
      <c r="A99" s="73">
        <f>Arbeitszeit!$A77</f>
        <v>43536</v>
      </c>
    </row>
    <row r="100" spans="1:1">
      <c r="A100" s="73">
        <f>Arbeitszeit!$A78</f>
        <v>43537</v>
      </c>
    </row>
    <row r="101" spans="1:1">
      <c r="A101" s="73">
        <f>Arbeitszeit!$A79</f>
        <v>43538</v>
      </c>
    </row>
    <row r="102" spans="1:1">
      <c r="A102" s="73">
        <f>Arbeitszeit!$A80</f>
        <v>43539</v>
      </c>
    </row>
    <row r="103" spans="1:1">
      <c r="A103" s="73">
        <f>Arbeitszeit!$A81</f>
        <v>43540</v>
      </c>
    </row>
    <row r="104" spans="1:1">
      <c r="A104" s="73">
        <f>Arbeitszeit!$A82</f>
        <v>43541</v>
      </c>
    </row>
    <row r="105" spans="1:1">
      <c r="A105" s="73">
        <f>Arbeitszeit!$A83</f>
        <v>43542</v>
      </c>
    </row>
    <row r="106" spans="1:1">
      <c r="A106" s="73">
        <f>Arbeitszeit!$A84</f>
        <v>43543</v>
      </c>
    </row>
    <row r="107" spans="1:1">
      <c r="A107" s="73">
        <f>Arbeitszeit!$A85</f>
        <v>43544</v>
      </c>
    </row>
    <row r="108" spans="1:1">
      <c r="A108" s="73">
        <f>Arbeitszeit!$A86</f>
        <v>43545</v>
      </c>
    </row>
    <row r="109" spans="1:1">
      <c r="A109" s="73">
        <f>Arbeitszeit!$A87</f>
        <v>43546</v>
      </c>
    </row>
    <row r="110" spans="1:1">
      <c r="A110" s="73">
        <f>Arbeitszeit!$A88</f>
        <v>43547</v>
      </c>
    </row>
    <row r="111" spans="1:1">
      <c r="A111" s="73">
        <f>Arbeitszeit!$A89</f>
        <v>43548</v>
      </c>
    </row>
    <row r="112" spans="1:1">
      <c r="A112" s="73">
        <f>Arbeitszeit!$A90</f>
        <v>43549</v>
      </c>
    </row>
    <row r="113" spans="1:1">
      <c r="A113" s="73">
        <f>Arbeitszeit!$A91</f>
        <v>43550</v>
      </c>
    </row>
    <row r="114" spans="1:1">
      <c r="A114" s="73">
        <f>Arbeitszeit!$A92</f>
        <v>43551</v>
      </c>
    </row>
    <row r="115" spans="1:1">
      <c r="A115" s="73">
        <f>Arbeitszeit!$A93</f>
        <v>43552</v>
      </c>
    </row>
    <row r="116" spans="1:1">
      <c r="A116" s="73">
        <f>Arbeitszeit!$A94</f>
        <v>43553</v>
      </c>
    </row>
    <row r="117" spans="1:1">
      <c r="A117" s="73">
        <f>Arbeitszeit!$A95</f>
        <v>43554</v>
      </c>
    </row>
    <row r="118" spans="1:1">
      <c r="A118" s="73">
        <f>Arbeitszeit!$A96</f>
        <v>43555</v>
      </c>
    </row>
    <row r="119" spans="1:1">
      <c r="A119" s="73">
        <f>Arbeitszeit!$A97</f>
        <v>43556</v>
      </c>
    </row>
    <row r="120" spans="1:1">
      <c r="A120" s="73">
        <f>Arbeitszeit!$A98</f>
        <v>43557</v>
      </c>
    </row>
    <row r="121" spans="1:1">
      <c r="A121" s="73">
        <f>Arbeitszeit!$A99</f>
        <v>43558</v>
      </c>
    </row>
    <row r="122" spans="1:1">
      <c r="A122" s="73">
        <f>Arbeitszeit!$A100</f>
        <v>43559</v>
      </c>
    </row>
    <row r="123" spans="1:1">
      <c r="A123" s="73">
        <f>Arbeitszeit!$A101</f>
        <v>43560</v>
      </c>
    </row>
    <row r="124" spans="1:1">
      <c r="A124" s="73">
        <f>Arbeitszeit!$A102</f>
        <v>43561</v>
      </c>
    </row>
    <row r="125" spans="1:1">
      <c r="A125" s="73">
        <f>Arbeitszeit!$A103</f>
        <v>43562</v>
      </c>
    </row>
    <row r="126" spans="1:1">
      <c r="A126" s="73">
        <f>Arbeitszeit!$A104</f>
        <v>43563</v>
      </c>
    </row>
    <row r="127" spans="1:1">
      <c r="A127" s="73">
        <f>Arbeitszeit!$A105</f>
        <v>43564</v>
      </c>
    </row>
    <row r="128" spans="1:1">
      <c r="A128" s="73">
        <f>Arbeitszeit!$A106</f>
        <v>43565</v>
      </c>
    </row>
    <row r="129" spans="1:1">
      <c r="A129" s="73">
        <f>Arbeitszeit!$A107</f>
        <v>43566</v>
      </c>
    </row>
    <row r="130" spans="1:1">
      <c r="A130" s="73">
        <f>Arbeitszeit!$A108</f>
        <v>43567</v>
      </c>
    </row>
    <row r="131" spans="1:1">
      <c r="A131" s="73">
        <f>Arbeitszeit!$A109</f>
        <v>43568</v>
      </c>
    </row>
    <row r="132" spans="1:1">
      <c r="A132" s="73">
        <f>Arbeitszeit!$A110</f>
        <v>43569</v>
      </c>
    </row>
    <row r="133" spans="1:1">
      <c r="A133" s="73">
        <f>Arbeitszeit!$A111</f>
        <v>43570</v>
      </c>
    </row>
    <row r="134" spans="1:1">
      <c r="A134" s="73">
        <f>Arbeitszeit!$A112</f>
        <v>43571</v>
      </c>
    </row>
    <row r="135" spans="1:1">
      <c r="A135" s="73">
        <f>Arbeitszeit!$A113</f>
        <v>43572</v>
      </c>
    </row>
    <row r="136" spans="1:1">
      <c r="A136" s="73">
        <f>Arbeitszeit!$A114</f>
        <v>43573</v>
      </c>
    </row>
    <row r="137" spans="1:1">
      <c r="A137" s="73">
        <f>Arbeitszeit!$A115</f>
        <v>43574</v>
      </c>
    </row>
    <row r="138" spans="1:1">
      <c r="A138" s="73">
        <f>Arbeitszeit!$A116</f>
        <v>43575</v>
      </c>
    </row>
    <row r="139" spans="1:1">
      <c r="A139" s="73">
        <f>Arbeitszeit!$A117</f>
        <v>43576</v>
      </c>
    </row>
    <row r="140" spans="1:1">
      <c r="A140" s="73">
        <f>Arbeitszeit!$A118</f>
        <v>43577</v>
      </c>
    </row>
    <row r="141" spans="1:1">
      <c r="A141" s="73">
        <f>Arbeitszeit!$A119</f>
        <v>43578</v>
      </c>
    </row>
    <row r="142" spans="1:1">
      <c r="A142" s="73">
        <f>Arbeitszeit!$A120</f>
        <v>43579</v>
      </c>
    </row>
    <row r="143" spans="1:1">
      <c r="A143" s="73">
        <f>Arbeitszeit!$A121</f>
        <v>43580</v>
      </c>
    </row>
    <row r="144" spans="1:1">
      <c r="A144" s="73">
        <f>Arbeitszeit!$A122</f>
        <v>43581</v>
      </c>
    </row>
    <row r="145" spans="1:1">
      <c r="A145" s="73">
        <f>Arbeitszeit!$A123</f>
        <v>43582</v>
      </c>
    </row>
    <row r="146" spans="1:1">
      <c r="A146" s="73">
        <f>Arbeitszeit!$A124</f>
        <v>43583</v>
      </c>
    </row>
    <row r="147" spans="1:1">
      <c r="A147" s="73">
        <f>Arbeitszeit!$A125</f>
        <v>43584</v>
      </c>
    </row>
    <row r="148" spans="1:1">
      <c r="A148" s="73">
        <f>Arbeitszeit!$A126</f>
        <v>43585</v>
      </c>
    </row>
    <row r="149" spans="1:1">
      <c r="A149" s="73">
        <f>Arbeitszeit!$A127</f>
        <v>43586</v>
      </c>
    </row>
    <row r="150" spans="1:1">
      <c r="A150" s="73">
        <f>Arbeitszeit!$A128</f>
        <v>43587</v>
      </c>
    </row>
    <row r="151" spans="1:1">
      <c r="A151" s="73">
        <f>Arbeitszeit!$A129</f>
        <v>43588</v>
      </c>
    </row>
    <row r="152" spans="1:1">
      <c r="A152" s="73">
        <f>Arbeitszeit!$A130</f>
        <v>43589</v>
      </c>
    </row>
    <row r="153" spans="1:1">
      <c r="A153" s="73">
        <f>Arbeitszeit!$A131</f>
        <v>43590</v>
      </c>
    </row>
    <row r="154" spans="1:1">
      <c r="A154" s="73">
        <f>Arbeitszeit!$A132</f>
        <v>43591</v>
      </c>
    </row>
    <row r="155" spans="1:1">
      <c r="A155" s="73">
        <f>Arbeitszeit!$A133</f>
        <v>43592</v>
      </c>
    </row>
    <row r="156" spans="1:1">
      <c r="A156" s="73">
        <f>Arbeitszeit!$A134</f>
        <v>43593</v>
      </c>
    </row>
    <row r="157" spans="1:1">
      <c r="A157" s="73">
        <f>Arbeitszeit!$A135</f>
        <v>43594</v>
      </c>
    </row>
    <row r="158" spans="1:1">
      <c r="A158" s="73">
        <f>Arbeitszeit!$A136</f>
        <v>43595</v>
      </c>
    </row>
    <row r="159" spans="1:1">
      <c r="A159" s="73">
        <f>Arbeitszeit!$A137</f>
        <v>43596</v>
      </c>
    </row>
    <row r="160" spans="1:1">
      <c r="A160" s="73">
        <f>Arbeitszeit!$A138</f>
        <v>43597</v>
      </c>
    </row>
    <row r="161" spans="1:1">
      <c r="A161" s="73">
        <f>Arbeitszeit!$A139</f>
        <v>43598</v>
      </c>
    </row>
    <row r="162" spans="1:1">
      <c r="A162" s="73">
        <f>Arbeitszeit!$A140</f>
        <v>43599</v>
      </c>
    </row>
    <row r="163" spans="1:1">
      <c r="A163" s="73">
        <f>Arbeitszeit!$A141</f>
        <v>43600</v>
      </c>
    </row>
    <row r="164" spans="1:1">
      <c r="A164" s="73">
        <f>Arbeitszeit!$A142</f>
        <v>43601</v>
      </c>
    </row>
    <row r="165" spans="1:1">
      <c r="A165" s="73">
        <f>Arbeitszeit!$A143</f>
        <v>43602</v>
      </c>
    </row>
    <row r="166" spans="1:1">
      <c r="A166" s="73">
        <f>Arbeitszeit!$A144</f>
        <v>43603</v>
      </c>
    </row>
    <row r="167" spans="1:1">
      <c r="A167" s="73">
        <f>Arbeitszeit!$A145</f>
        <v>43604</v>
      </c>
    </row>
    <row r="168" spans="1:1">
      <c r="A168" s="73">
        <f>Arbeitszeit!$A146</f>
        <v>43605</v>
      </c>
    </row>
    <row r="169" spans="1:1">
      <c r="A169" s="73">
        <f>Arbeitszeit!$A147</f>
        <v>43606</v>
      </c>
    </row>
    <row r="170" spans="1:1">
      <c r="A170" s="73">
        <f>Arbeitszeit!$A148</f>
        <v>43607</v>
      </c>
    </row>
    <row r="171" spans="1:1">
      <c r="A171" s="73">
        <f>Arbeitszeit!$A149</f>
        <v>43608</v>
      </c>
    </row>
    <row r="172" spans="1:1">
      <c r="A172" s="73">
        <f>Arbeitszeit!$A150</f>
        <v>43609</v>
      </c>
    </row>
    <row r="173" spans="1:1">
      <c r="A173" s="73">
        <f>Arbeitszeit!$A151</f>
        <v>43610</v>
      </c>
    </row>
    <row r="174" spans="1:1">
      <c r="A174" s="73">
        <f>Arbeitszeit!$A152</f>
        <v>43611</v>
      </c>
    </row>
    <row r="175" spans="1:1">
      <c r="A175" s="73">
        <f>Arbeitszeit!$A153</f>
        <v>43612</v>
      </c>
    </row>
    <row r="176" spans="1:1">
      <c r="A176" s="73">
        <f>Arbeitszeit!$A154</f>
        <v>43613</v>
      </c>
    </row>
    <row r="177" spans="1:1">
      <c r="A177" s="73">
        <f>Arbeitszeit!$A155</f>
        <v>43614</v>
      </c>
    </row>
    <row r="178" spans="1:1">
      <c r="A178" s="73">
        <f>Arbeitszeit!$A156</f>
        <v>43615</v>
      </c>
    </row>
    <row r="179" spans="1:1">
      <c r="A179" s="73">
        <f>Arbeitszeit!$A157</f>
        <v>43616</v>
      </c>
    </row>
    <row r="180" spans="1:1">
      <c r="A180" s="73">
        <f>Arbeitszeit!$A158</f>
        <v>43617</v>
      </c>
    </row>
    <row r="181" spans="1:1">
      <c r="A181" s="73">
        <f>Arbeitszeit!$A159</f>
        <v>43618</v>
      </c>
    </row>
    <row r="182" spans="1:1">
      <c r="A182" s="73">
        <f>Arbeitszeit!$A160</f>
        <v>43619</v>
      </c>
    </row>
    <row r="183" spans="1:1">
      <c r="A183" s="73">
        <f>Arbeitszeit!$A161</f>
        <v>43620</v>
      </c>
    </row>
    <row r="184" spans="1:1">
      <c r="A184" s="73">
        <f>Arbeitszeit!$A162</f>
        <v>43621</v>
      </c>
    </row>
    <row r="185" spans="1:1">
      <c r="A185" s="73">
        <f>Arbeitszeit!$A163</f>
        <v>43622</v>
      </c>
    </row>
    <row r="186" spans="1:1">
      <c r="A186" s="73">
        <f>Arbeitszeit!$A164</f>
        <v>43623</v>
      </c>
    </row>
    <row r="187" spans="1:1">
      <c r="A187" s="73">
        <f>Arbeitszeit!$A165</f>
        <v>43624</v>
      </c>
    </row>
    <row r="188" spans="1:1">
      <c r="A188" s="73">
        <f>Arbeitszeit!$A166</f>
        <v>43625</v>
      </c>
    </row>
    <row r="189" spans="1:1">
      <c r="A189" s="73">
        <f>Arbeitszeit!$A167</f>
        <v>43626</v>
      </c>
    </row>
    <row r="190" spans="1:1">
      <c r="A190" s="73">
        <f>Arbeitszeit!$A168</f>
        <v>43627</v>
      </c>
    </row>
    <row r="191" spans="1:1">
      <c r="A191" s="73">
        <f>Arbeitszeit!$A169</f>
        <v>43628</v>
      </c>
    </row>
    <row r="192" spans="1:1">
      <c r="A192" s="73">
        <f>Arbeitszeit!$A170</f>
        <v>43629</v>
      </c>
    </row>
    <row r="193" spans="1:1">
      <c r="A193" s="73">
        <f>Arbeitszeit!$A171</f>
        <v>43630</v>
      </c>
    </row>
    <row r="194" spans="1:1">
      <c r="A194" s="73">
        <f>Arbeitszeit!$A172</f>
        <v>43631</v>
      </c>
    </row>
    <row r="195" spans="1:1">
      <c r="A195" s="73">
        <f>Arbeitszeit!$A173</f>
        <v>43632</v>
      </c>
    </row>
    <row r="196" spans="1:1">
      <c r="A196" s="73">
        <f>Arbeitszeit!$A174</f>
        <v>43633</v>
      </c>
    </row>
    <row r="197" spans="1:1">
      <c r="A197" s="73">
        <f>Arbeitszeit!$A175</f>
        <v>43634</v>
      </c>
    </row>
    <row r="198" spans="1:1">
      <c r="A198" s="73">
        <f>Arbeitszeit!$A176</f>
        <v>43635</v>
      </c>
    </row>
    <row r="199" spans="1:1">
      <c r="A199" s="73">
        <f>Arbeitszeit!$A177</f>
        <v>43636</v>
      </c>
    </row>
    <row r="200" spans="1:1">
      <c r="A200" s="73">
        <f>Arbeitszeit!$A178</f>
        <v>43637</v>
      </c>
    </row>
    <row r="201" spans="1:1">
      <c r="A201" s="73">
        <f>Arbeitszeit!$A179</f>
        <v>43638</v>
      </c>
    </row>
    <row r="202" spans="1:1">
      <c r="A202" s="73">
        <f>Arbeitszeit!$A180</f>
        <v>43639</v>
      </c>
    </row>
    <row r="203" spans="1:1">
      <c r="A203" s="73">
        <f>Arbeitszeit!$A181</f>
        <v>43640</v>
      </c>
    </row>
    <row r="204" spans="1:1">
      <c r="A204" s="73">
        <f>Arbeitszeit!$A182</f>
        <v>43641</v>
      </c>
    </row>
    <row r="205" spans="1:1">
      <c r="A205" s="73">
        <f>Arbeitszeit!$A183</f>
        <v>43642</v>
      </c>
    </row>
    <row r="206" spans="1:1">
      <c r="A206" s="73">
        <f>Arbeitszeit!$A184</f>
        <v>43643</v>
      </c>
    </row>
    <row r="207" spans="1:1">
      <c r="A207" s="73">
        <f>Arbeitszeit!$A185</f>
        <v>43644</v>
      </c>
    </row>
    <row r="208" spans="1:1">
      <c r="A208" s="73">
        <f>Arbeitszeit!$A186</f>
        <v>43645</v>
      </c>
    </row>
    <row r="209" spans="1:1">
      <c r="A209" s="73">
        <f>Arbeitszeit!$A187</f>
        <v>43646</v>
      </c>
    </row>
    <row r="210" spans="1:1">
      <c r="A210" s="73">
        <f>Arbeitszeit!$A188</f>
        <v>43647</v>
      </c>
    </row>
    <row r="211" spans="1:1">
      <c r="A211" s="73">
        <f>Arbeitszeit!$A189</f>
        <v>43648</v>
      </c>
    </row>
    <row r="212" spans="1:1">
      <c r="A212" s="73">
        <f>Arbeitszeit!$A190</f>
        <v>43649</v>
      </c>
    </row>
    <row r="213" spans="1:1">
      <c r="A213" s="73">
        <f>Arbeitszeit!$A191</f>
        <v>43650</v>
      </c>
    </row>
    <row r="214" spans="1:1">
      <c r="A214" s="73">
        <f>Arbeitszeit!$A192</f>
        <v>43651</v>
      </c>
    </row>
    <row r="215" spans="1:1">
      <c r="A215" s="73">
        <f>Arbeitszeit!$A193</f>
        <v>43652</v>
      </c>
    </row>
    <row r="216" spans="1:1">
      <c r="A216" s="73">
        <f>Arbeitszeit!$A194</f>
        <v>43653</v>
      </c>
    </row>
    <row r="217" spans="1:1">
      <c r="A217" s="73">
        <f>Arbeitszeit!$A195</f>
        <v>43654</v>
      </c>
    </row>
    <row r="218" spans="1:1">
      <c r="A218" s="73">
        <f>Arbeitszeit!$A196</f>
        <v>43655</v>
      </c>
    </row>
    <row r="219" spans="1:1">
      <c r="A219" s="73">
        <f>Arbeitszeit!$A197</f>
        <v>43656</v>
      </c>
    </row>
    <row r="220" spans="1:1">
      <c r="A220" s="73">
        <f>Arbeitszeit!$A198</f>
        <v>43657</v>
      </c>
    </row>
    <row r="221" spans="1:1">
      <c r="A221" s="73">
        <f>Arbeitszeit!$A199</f>
        <v>43658</v>
      </c>
    </row>
    <row r="222" spans="1:1">
      <c r="A222" s="73">
        <f>Arbeitszeit!$A200</f>
        <v>43659</v>
      </c>
    </row>
    <row r="223" spans="1:1">
      <c r="A223" s="73">
        <f>Arbeitszeit!$A201</f>
        <v>43660</v>
      </c>
    </row>
    <row r="224" spans="1:1">
      <c r="A224" s="73">
        <f>Arbeitszeit!$A202</f>
        <v>43661</v>
      </c>
    </row>
    <row r="225" spans="1:1">
      <c r="A225" s="73">
        <f>Arbeitszeit!$A203</f>
        <v>43662</v>
      </c>
    </row>
    <row r="226" spans="1:1">
      <c r="A226" s="73">
        <f>Arbeitszeit!$A204</f>
        <v>43663</v>
      </c>
    </row>
    <row r="227" spans="1:1">
      <c r="A227" s="73">
        <f>Arbeitszeit!$A205</f>
        <v>43664</v>
      </c>
    </row>
    <row r="228" spans="1:1">
      <c r="A228" s="73">
        <f>Arbeitszeit!$A206</f>
        <v>43665</v>
      </c>
    </row>
    <row r="229" spans="1:1">
      <c r="A229" s="73">
        <f>Arbeitszeit!$A207</f>
        <v>43666</v>
      </c>
    </row>
    <row r="230" spans="1:1">
      <c r="A230" s="73">
        <f>Arbeitszeit!$A208</f>
        <v>43667</v>
      </c>
    </row>
    <row r="231" spans="1:1">
      <c r="A231" s="73">
        <f>Arbeitszeit!$A209</f>
        <v>43668</v>
      </c>
    </row>
    <row r="232" spans="1:1">
      <c r="A232" s="73">
        <f>Arbeitszeit!$A210</f>
        <v>43669</v>
      </c>
    </row>
    <row r="233" spans="1:1">
      <c r="A233" s="73">
        <f>Arbeitszeit!$A211</f>
        <v>43670</v>
      </c>
    </row>
    <row r="234" spans="1:1">
      <c r="A234" s="73">
        <f>Arbeitszeit!$A212</f>
        <v>43671</v>
      </c>
    </row>
    <row r="235" spans="1:1">
      <c r="A235" s="73">
        <f>Arbeitszeit!$A213</f>
        <v>43672</v>
      </c>
    </row>
    <row r="236" spans="1:1">
      <c r="A236" s="73">
        <f>Arbeitszeit!$A214</f>
        <v>43673</v>
      </c>
    </row>
    <row r="237" spans="1:1">
      <c r="A237" s="73">
        <f>Arbeitszeit!$A215</f>
        <v>43674</v>
      </c>
    </row>
    <row r="238" spans="1:1">
      <c r="A238" s="73">
        <f>Arbeitszeit!$A216</f>
        <v>43675</v>
      </c>
    </row>
    <row r="239" spans="1:1">
      <c r="A239" s="73">
        <f>Arbeitszeit!$A217</f>
        <v>43676</v>
      </c>
    </row>
    <row r="240" spans="1:1">
      <c r="A240" s="73">
        <f>Arbeitszeit!$A218</f>
        <v>43677</v>
      </c>
    </row>
    <row r="241" spans="1:1">
      <c r="A241" s="73">
        <f>Arbeitszeit!$A219</f>
        <v>43678</v>
      </c>
    </row>
    <row r="242" spans="1:1">
      <c r="A242" s="73">
        <f>Arbeitszeit!$A220</f>
        <v>43679</v>
      </c>
    </row>
    <row r="243" spans="1:1">
      <c r="A243" s="73">
        <f>Arbeitszeit!$A221</f>
        <v>43680</v>
      </c>
    </row>
    <row r="244" spans="1:1">
      <c r="A244" s="73">
        <f>Arbeitszeit!$A222</f>
        <v>43681</v>
      </c>
    </row>
    <row r="245" spans="1:1">
      <c r="A245" s="73">
        <f>Arbeitszeit!$A223</f>
        <v>43682</v>
      </c>
    </row>
    <row r="246" spans="1:1">
      <c r="A246" s="73">
        <f>Arbeitszeit!$A224</f>
        <v>43683</v>
      </c>
    </row>
    <row r="247" spans="1:1">
      <c r="A247" s="73">
        <f>Arbeitszeit!$A225</f>
        <v>43684</v>
      </c>
    </row>
    <row r="248" spans="1:1">
      <c r="A248" s="73">
        <f>Arbeitszeit!$A226</f>
        <v>43685</v>
      </c>
    </row>
    <row r="249" spans="1:1">
      <c r="A249" s="73">
        <f>Arbeitszeit!$A227</f>
        <v>43686</v>
      </c>
    </row>
    <row r="250" spans="1:1">
      <c r="A250" s="73">
        <f>Arbeitszeit!$A228</f>
        <v>43687</v>
      </c>
    </row>
    <row r="251" spans="1:1">
      <c r="A251" s="73">
        <f>Arbeitszeit!$A229</f>
        <v>43688</v>
      </c>
    </row>
    <row r="252" spans="1:1">
      <c r="A252" s="73">
        <f>Arbeitszeit!$A230</f>
        <v>43689</v>
      </c>
    </row>
    <row r="253" spans="1:1">
      <c r="A253" s="73">
        <f>Arbeitszeit!$A231</f>
        <v>43690</v>
      </c>
    </row>
    <row r="254" spans="1:1">
      <c r="A254" s="73">
        <f>Arbeitszeit!$A232</f>
        <v>43691</v>
      </c>
    </row>
    <row r="255" spans="1:1">
      <c r="A255" s="73">
        <f>Arbeitszeit!$A233</f>
        <v>43692</v>
      </c>
    </row>
    <row r="256" spans="1:1">
      <c r="A256" s="73">
        <f>Arbeitszeit!$A234</f>
        <v>43693</v>
      </c>
    </row>
    <row r="257" spans="1:1">
      <c r="A257" s="73">
        <f>Arbeitszeit!$A235</f>
        <v>43694</v>
      </c>
    </row>
    <row r="258" spans="1:1">
      <c r="A258" s="73">
        <f>Arbeitszeit!$A236</f>
        <v>43695</v>
      </c>
    </row>
    <row r="259" spans="1:1">
      <c r="A259" s="73">
        <f>Arbeitszeit!$A237</f>
        <v>43696</v>
      </c>
    </row>
    <row r="260" spans="1:1">
      <c r="A260" s="73">
        <f>Arbeitszeit!$A238</f>
        <v>43697</v>
      </c>
    </row>
    <row r="261" spans="1:1">
      <c r="A261" s="73">
        <f>Arbeitszeit!$A239</f>
        <v>43698</v>
      </c>
    </row>
    <row r="262" spans="1:1">
      <c r="A262" s="73">
        <f>Arbeitszeit!$A240</f>
        <v>43699</v>
      </c>
    </row>
    <row r="263" spans="1:1">
      <c r="A263" s="73">
        <f>Arbeitszeit!$A241</f>
        <v>43700</v>
      </c>
    </row>
    <row r="264" spans="1:1">
      <c r="A264" s="73">
        <f>Arbeitszeit!$A242</f>
        <v>43701</v>
      </c>
    </row>
    <row r="265" spans="1:1">
      <c r="A265" s="73">
        <f>Arbeitszeit!$A243</f>
        <v>43702</v>
      </c>
    </row>
    <row r="266" spans="1:1">
      <c r="A266" s="73">
        <f>Arbeitszeit!$A244</f>
        <v>43703</v>
      </c>
    </row>
    <row r="267" spans="1:1">
      <c r="A267" s="73">
        <f>Arbeitszeit!$A245</f>
        <v>43704</v>
      </c>
    </row>
    <row r="268" spans="1:1">
      <c r="A268" s="73">
        <f>Arbeitszeit!$A246</f>
        <v>43705</v>
      </c>
    </row>
    <row r="269" spans="1:1">
      <c r="A269" s="73">
        <f>Arbeitszeit!$A247</f>
        <v>43706</v>
      </c>
    </row>
    <row r="270" spans="1:1">
      <c r="A270" s="73">
        <f>Arbeitszeit!$A248</f>
        <v>43707</v>
      </c>
    </row>
    <row r="271" spans="1:1">
      <c r="A271" s="73">
        <f>Arbeitszeit!$A249</f>
        <v>43708</v>
      </c>
    </row>
    <row r="272" spans="1:1">
      <c r="A272" s="73">
        <f>Arbeitszeit!$A250</f>
        <v>43709</v>
      </c>
    </row>
    <row r="273" spans="1:1">
      <c r="A273" s="73">
        <f>Arbeitszeit!$A251</f>
        <v>43710</v>
      </c>
    </row>
    <row r="274" spans="1:1">
      <c r="A274" s="73">
        <f>Arbeitszeit!$A252</f>
        <v>43711</v>
      </c>
    </row>
    <row r="275" spans="1:1">
      <c r="A275" s="73">
        <f>Arbeitszeit!$A253</f>
        <v>43712</v>
      </c>
    </row>
    <row r="276" spans="1:1">
      <c r="A276" s="73">
        <f>Arbeitszeit!$A254</f>
        <v>43713</v>
      </c>
    </row>
    <row r="277" spans="1:1">
      <c r="A277" s="73">
        <f>Arbeitszeit!$A255</f>
        <v>43714</v>
      </c>
    </row>
    <row r="278" spans="1:1">
      <c r="A278" s="73">
        <f>Arbeitszeit!$A256</f>
        <v>43715</v>
      </c>
    </row>
    <row r="279" spans="1:1">
      <c r="A279" s="73">
        <f>Arbeitszeit!$A257</f>
        <v>43716</v>
      </c>
    </row>
    <row r="280" spans="1:1">
      <c r="A280" s="73">
        <f>Arbeitszeit!$A258</f>
        <v>43717</v>
      </c>
    </row>
    <row r="281" spans="1:1">
      <c r="A281" s="73">
        <f>Arbeitszeit!$A259</f>
        <v>43718</v>
      </c>
    </row>
    <row r="282" spans="1:1">
      <c r="A282" s="73">
        <f>Arbeitszeit!$A260</f>
        <v>43719</v>
      </c>
    </row>
    <row r="283" spans="1:1">
      <c r="A283" s="73">
        <f>Arbeitszeit!$A261</f>
        <v>43720</v>
      </c>
    </row>
    <row r="284" spans="1:1">
      <c r="A284" s="73">
        <f>Arbeitszeit!$A262</f>
        <v>43721</v>
      </c>
    </row>
    <row r="285" spans="1:1">
      <c r="A285" s="73">
        <f>Arbeitszeit!$A263</f>
        <v>43722</v>
      </c>
    </row>
    <row r="286" spans="1:1">
      <c r="A286" s="73">
        <f>Arbeitszeit!$A264</f>
        <v>43723</v>
      </c>
    </row>
    <row r="287" spans="1:1">
      <c r="A287" s="73">
        <f>Arbeitszeit!$A265</f>
        <v>43724</v>
      </c>
    </row>
    <row r="288" spans="1:1">
      <c r="A288" s="73">
        <f>Arbeitszeit!$A266</f>
        <v>43725</v>
      </c>
    </row>
    <row r="289" spans="1:1">
      <c r="A289" s="73">
        <f>Arbeitszeit!$A267</f>
        <v>43726</v>
      </c>
    </row>
    <row r="290" spans="1:1">
      <c r="A290" s="73">
        <f>Arbeitszeit!$A268</f>
        <v>43727</v>
      </c>
    </row>
    <row r="291" spans="1:1">
      <c r="A291" s="73">
        <f>Arbeitszeit!$A269</f>
        <v>43728</v>
      </c>
    </row>
    <row r="292" spans="1:1">
      <c r="A292" s="73">
        <f>Arbeitszeit!$A270</f>
        <v>43729</v>
      </c>
    </row>
    <row r="293" spans="1:1">
      <c r="A293" s="73">
        <f>Arbeitszeit!$A271</f>
        <v>43730</v>
      </c>
    </row>
    <row r="294" spans="1:1">
      <c r="A294" s="73">
        <f>Arbeitszeit!$A272</f>
        <v>43731</v>
      </c>
    </row>
    <row r="295" spans="1:1">
      <c r="A295" s="73">
        <f>Arbeitszeit!$A273</f>
        <v>43732</v>
      </c>
    </row>
    <row r="296" spans="1:1">
      <c r="A296" s="73">
        <f>Arbeitszeit!$A274</f>
        <v>43733</v>
      </c>
    </row>
    <row r="297" spans="1:1">
      <c r="A297" s="73">
        <f>Arbeitszeit!$A275</f>
        <v>43734</v>
      </c>
    </row>
    <row r="298" spans="1:1">
      <c r="A298" s="73">
        <f>Arbeitszeit!$A276</f>
        <v>43735</v>
      </c>
    </row>
    <row r="299" spans="1:1">
      <c r="A299" s="73">
        <f>Arbeitszeit!$A277</f>
        <v>43736</v>
      </c>
    </row>
    <row r="300" spans="1:1">
      <c r="A300" s="73">
        <f>Arbeitszeit!$A278</f>
        <v>43737</v>
      </c>
    </row>
    <row r="301" spans="1:1">
      <c r="A301" s="73">
        <f>Arbeitszeit!$A279</f>
        <v>43738</v>
      </c>
    </row>
    <row r="302" spans="1:1">
      <c r="A302" s="73">
        <f>Arbeitszeit!$A280</f>
        <v>43739</v>
      </c>
    </row>
    <row r="303" spans="1:1">
      <c r="A303" s="73">
        <f>Arbeitszeit!$A281</f>
        <v>43740</v>
      </c>
    </row>
    <row r="304" spans="1:1">
      <c r="A304" s="73">
        <f>Arbeitszeit!$A282</f>
        <v>43741</v>
      </c>
    </row>
    <row r="305" spans="1:1">
      <c r="A305" s="73">
        <f>Arbeitszeit!$A283</f>
        <v>43742</v>
      </c>
    </row>
    <row r="306" spans="1:1">
      <c r="A306" s="73">
        <f>Arbeitszeit!$A284</f>
        <v>43743</v>
      </c>
    </row>
    <row r="307" spans="1:1">
      <c r="A307" s="73">
        <f>Arbeitszeit!$A285</f>
        <v>43744</v>
      </c>
    </row>
    <row r="308" spans="1:1">
      <c r="A308" s="73">
        <f>Arbeitszeit!$A286</f>
        <v>43745</v>
      </c>
    </row>
    <row r="309" spans="1:1">
      <c r="A309" s="73">
        <f>Arbeitszeit!$A287</f>
        <v>43746</v>
      </c>
    </row>
    <row r="310" spans="1:1">
      <c r="A310" s="73">
        <f>Arbeitszeit!$A288</f>
        <v>43747</v>
      </c>
    </row>
    <row r="311" spans="1:1">
      <c r="A311" s="73">
        <f>Arbeitszeit!$A289</f>
        <v>43748</v>
      </c>
    </row>
    <row r="312" spans="1:1">
      <c r="A312" s="73">
        <f>Arbeitszeit!$A290</f>
        <v>43749</v>
      </c>
    </row>
    <row r="313" spans="1:1">
      <c r="A313" s="73">
        <f>Arbeitszeit!$A291</f>
        <v>43750</v>
      </c>
    </row>
    <row r="314" spans="1:1">
      <c r="A314" s="73">
        <f>Arbeitszeit!$A292</f>
        <v>43751</v>
      </c>
    </row>
    <row r="315" spans="1:1">
      <c r="A315" s="73">
        <f>Arbeitszeit!$A293</f>
        <v>43752</v>
      </c>
    </row>
    <row r="316" spans="1:1">
      <c r="A316" s="73">
        <f>Arbeitszeit!$A294</f>
        <v>43753</v>
      </c>
    </row>
    <row r="317" spans="1:1">
      <c r="A317" s="73">
        <f>Arbeitszeit!$A295</f>
        <v>43754</v>
      </c>
    </row>
    <row r="318" spans="1:1">
      <c r="A318" s="73">
        <f>Arbeitszeit!$A296</f>
        <v>43755</v>
      </c>
    </row>
    <row r="319" spans="1:1">
      <c r="A319" s="73">
        <f>Arbeitszeit!$A297</f>
        <v>43756</v>
      </c>
    </row>
    <row r="320" spans="1:1">
      <c r="A320" s="73">
        <f>Arbeitszeit!$A298</f>
        <v>43757</v>
      </c>
    </row>
    <row r="321" spans="1:1">
      <c r="A321" s="73">
        <f>Arbeitszeit!$A299</f>
        <v>43758</v>
      </c>
    </row>
    <row r="322" spans="1:1">
      <c r="A322" s="73">
        <f>Arbeitszeit!$A300</f>
        <v>43759</v>
      </c>
    </row>
    <row r="323" spans="1:1">
      <c r="A323" s="73">
        <f>Arbeitszeit!$A301</f>
        <v>43760</v>
      </c>
    </row>
    <row r="324" spans="1:1">
      <c r="A324" s="73">
        <f>Arbeitszeit!$A302</f>
        <v>43761</v>
      </c>
    </row>
    <row r="325" spans="1:1">
      <c r="A325" s="73">
        <f>Arbeitszeit!$A303</f>
        <v>43762</v>
      </c>
    </row>
    <row r="326" spans="1:1">
      <c r="A326" s="73">
        <f>Arbeitszeit!$A304</f>
        <v>43763</v>
      </c>
    </row>
    <row r="327" spans="1:1">
      <c r="A327" s="73">
        <f>Arbeitszeit!$A305</f>
        <v>43764</v>
      </c>
    </row>
    <row r="328" spans="1:1">
      <c r="A328" s="73">
        <f>Arbeitszeit!$A306</f>
        <v>43765</v>
      </c>
    </row>
    <row r="329" spans="1:1">
      <c r="A329" s="73">
        <f>Arbeitszeit!$A307</f>
        <v>43766</v>
      </c>
    </row>
    <row r="330" spans="1:1">
      <c r="A330" s="73">
        <f>Arbeitszeit!$A308</f>
        <v>43767</v>
      </c>
    </row>
    <row r="331" spans="1:1">
      <c r="A331" s="73">
        <f>Arbeitszeit!$A309</f>
        <v>43768</v>
      </c>
    </row>
    <row r="332" spans="1:1">
      <c r="A332" s="73">
        <f>Arbeitszeit!$A310</f>
        <v>43769</v>
      </c>
    </row>
    <row r="333" spans="1:1">
      <c r="A333" s="73">
        <f>Arbeitszeit!$A311</f>
        <v>43770</v>
      </c>
    </row>
    <row r="334" spans="1:1">
      <c r="A334" s="73">
        <f>Arbeitszeit!$A312</f>
        <v>43771</v>
      </c>
    </row>
    <row r="335" spans="1:1">
      <c r="A335" s="73">
        <f>Arbeitszeit!$A313</f>
        <v>43772</v>
      </c>
    </row>
    <row r="336" spans="1:1">
      <c r="A336" s="73">
        <f>Arbeitszeit!$A314</f>
        <v>43773</v>
      </c>
    </row>
    <row r="337" spans="1:1">
      <c r="A337" s="73">
        <f>Arbeitszeit!$A315</f>
        <v>43774</v>
      </c>
    </row>
    <row r="338" spans="1:1">
      <c r="A338" s="73">
        <f>Arbeitszeit!$A316</f>
        <v>43775</v>
      </c>
    </row>
    <row r="339" spans="1:1">
      <c r="A339" s="73">
        <f>Arbeitszeit!$A317</f>
        <v>43776</v>
      </c>
    </row>
    <row r="340" spans="1:1">
      <c r="A340" s="73">
        <f>Arbeitszeit!$A318</f>
        <v>43777</v>
      </c>
    </row>
    <row r="341" spans="1:1">
      <c r="A341" s="73">
        <f>Arbeitszeit!$A319</f>
        <v>43778</v>
      </c>
    </row>
    <row r="342" spans="1:1">
      <c r="A342" s="73">
        <f>Arbeitszeit!$A320</f>
        <v>43779</v>
      </c>
    </row>
    <row r="343" spans="1:1">
      <c r="A343" s="73">
        <f>Arbeitszeit!$A321</f>
        <v>43780</v>
      </c>
    </row>
    <row r="344" spans="1:1">
      <c r="A344" s="73">
        <f>Arbeitszeit!$A322</f>
        <v>43781</v>
      </c>
    </row>
    <row r="345" spans="1:1">
      <c r="A345" s="73">
        <f>Arbeitszeit!$A323</f>
        <v>43782</v>
      </c>
    </row>
    <row r="346" spans="1:1">
      <c r="A346" s="73">
        <f>Arbeitszeit!$A324</f>
        <v>43783</v>
      </c>
    </row>
    <row r="347" spans="1:1">
      <c r="A347" s="73">
        <f>Arbeitszeit!$A325</f>
        <v>43784</v>
      </c>
    </row>
    <row r="348" spans="1:1">
      <c r="A348" s="73">
        <f>Arbeitszeit!$A326</f>
        <v>43785</v>
      </c>
    </row>
    <row r="349" spans="1:1">
      <c r="A349" s="73">
        <f>Arbeitszeit!$A327</f>
        <v>43786</v>
      </c>
    </row>
    <row r="350" spans="1:1">
      <c r="A350" s="73">
        <f>Arbeitszeit!$A328</f>
        <v>43787</v>
      </c>
    </row>
    <row r="351" spans="1:1">
      <c r="A351" s="73">
        <f>Arbeitszeit!$A329</f>
        <v>43788</v>
      </c>
    </row>
    <row r="352" spans="1:1">
      <c r="A352" s="73">
        <f>Arbeitszeit!$A330</f>
        <v>43789</v>
      </c>
    </row>
    <row r="353" spans="1:1">
      <c r="A353" s="73">
        <f>Arbeitszeit!$A331</f>
        <v>43790</v>
      </c>
    </row>
    <row r="354" spans="1:1">
      <c r="A354" s="73">
        <f>Arbeitszeit!$A332</f>
        <v>43791</v>
      </c>
    </row>
    <row r="355" spans="1:1">
      <c r="A355" s="73">
        <f>Arbeitszeit!$A333</f>
        <v>43792</v>
      </c>
    </row>
    <row r="356" spans="1:1">
      <c r="A356" s="73">
        <f>Arbeitszeit!$A334</f>
        <v>43793</v>
      </c>
    </row>
    <row r="357" spans="1:1">
      <c r="A357" s="73">
        <f>Arbeitszeit!$A335</f>
        <v>43794</v>
      </c>
    </row>
    <row r="358" spans="1:1">
      <c r="A358" s="73">
        <f>Arbeitszeit!$A336</f>
        <v>43795</v>
      </c>
    </row>
    <row r="359" spans="1:1">
      <c r="A359" s="73">
        <f>Arbeitszeit!$A337</f>
        <v>43796</v>
      </c>
    </row>
    <row r="360" spans="1:1">
      <c r="A360" s="73">
        <f>Arbeitszeit!$A338</f>
        <v>43797</v>
      </c>
    </row>
    <row r="361" spans="1:1">
      <c r="A361" s="73">
        <f>Arbeitszeit!$A339</f>
        <v>43798</v>
      </c>
    </row>
    <row r="362" spans="1:1">
      <c r="A362" s="73">
        <f>Arbeitszeit!$A340</f>
        <v>43799</v>
      </c>
    </row>
    <row r="363" spans="1:1">
      <c r="A363" s="73">
        <f>Arbeitszeit!$A341</f>
        <v>43800</v>
      </c>
    </row>
    <row r="364" spans="1:1">
      <c r="A364" s="73">
        <f>Arbeitszeit!$A342</f>
        <v>43801</v>
      </c>
    </row>
    <row r="365" spans="1:1">
      <c r="A365" s="73">
        <f>Arbeitszeit!$A343</f>
        <v>43802</v>
      </c>
    </row>
    <row r="366" spans="1:1">
      <c r="A366" s="73">
        <f>Arbeitszeit!$A344</f>
        <v>43803</v>
      </c>
    </row>
    <row r="367" spans="1:1">
      <c r="A367" s="73">
        <f>Arbeitszeit!$A345</f>
        <v>43804</v>
      </c>
    </row>
    <row r="368" spans="1:1">
      <c r="A368" s="73">
        <f>Arbeitszeit!$A346</f>
        <v>43805</v>
      </c>
    </row>
    <row r="369" spans="1:1">
      <c r="A369" s="73">
        <f>Arbeitszeit!$A347</f>
        <v>43806</v>
      </c>
    </row>
    <row r="370" spans="1:1">
      <c r="A370" s="73">
        <f>Arbeitszeit!$A348</f>
        <v>43807</v>
      </c>
    </row>
    <row r="371" spans="1:1">
      <c r="A371" s="73">
        <f>Arbeitszeit!$A349</f>
        <v>43808</v>
      </c>
    </row>
    <row r="372" spans="1:1">
      <c r="A372" s="73">
        <f>Arbeitszeit!$A350</f>
        <v>43809</v>
      </c>
    </row>
    <row r="373" spans="1:1">
      <c r="A373" s="73">
        <f>Arbeitszeit!$A351</f>
        <v>43810</v>
      </c>
    </row>
    <row r="374" spans="1:1">
      <c r="A374" s="73">
        <f>Arbeitszeit!$A352</f>
        <v>43811</v>
      </c>
    </row>
    <row r="375" spans="1:1">
      <c r="A375" s="73">
        <f>Arbeitszeit!$A353</f>
        <v>43812</v>
      </c>
    </row>
    <row r="376" spans="1:1">
      <c r="A376" s="73">
        <f>Arbeitszeit!$A354</f>
        <v>43813</v>
      </c>
    </row>
    <row r="377" spans="1:1">
      <c r="A377" s="73">
        <f>Arbeitszeit!$A355</f>
        <v>43814</v>
      </c>
    </row>
    <row r="378" spans="1:1">
      <c r="A378" s="73">
        <f>Arbeitszeit!$A356</f>
        <v>43815</v>
      </c>
    </row>
    <row r="379" spans="1:1">
      <c r="A379" s="73">
        <f>Arbeitszeit!$A357</f>
        <v>43816</v>
      </c>
    </row>
    <row r="380" spans="1:1">
      <c r="A380" s="73">
        <f>Arbeitszeit!$A358</f>
        <v>43817</v>
      </c>
    </row>
    <row r="381" spans="1:1">
      <c r="A381" s="73">
        <f>Arbeitszeit!$A359</f>
        <v>43818</v>
      </c>
    </row>
    <row r="382" spans="1:1">
      <c r="A382" s="73">
        <f>Arbeitszeit!$A360</f>
        <v>43819</v>
      </c>
    </row>
    <row r="383" spans="1:1">
      <c r="A383" s="73">
        <f>Arbeitszeit!$A361</f>
        <v>43820</v>
      </c>
    </row>
    <row r="384" spans="1:1">
      <c r="A384" s="73">
        <f>Arbeitszeit!$A362</f>
        <v>43821</v>
      </c>
    </row>
    <row r="385" spans="1:27">
      <c r="A385" s="73">
        <f>Arbeitszeit!$A363</f>
        <v>43822</v>
      </c>
    </row>
    <row r="386" spans="1:27">
      <c r="A386" s="73">
        <f>Arbeitszeit!$A364</f>
        <v>43823</v>
      </c>
    </row>
    <row r="387" spans="1:27">
      <c r="A387" s="73">
        <f>Arbeitszeit!$A365</f>
        <v>43824</v>
      </c>
    </row>
    <row r="388" spans="1:27">
      <c r="A388" s="73">
        <f>Arbeitszeit!$A366</f>
        <v>43825</v>
      </c>
    </row>
    <row r="389" spans="1:27">
      <c r="A389" s="73">
        <f>Arbeitszeit!$A367</f>
        <v>43826</v>
      </c>
    </row>
    <row r="390" spans="1:27">
      <c r="A390" s="73">
        <f>Arbeitszeit!$A368</f>
        <v>43827</v>
      </c>
    </row>
    <row r="391" spans="1:27">
      <c r="A391" s="73">
        <f>Arbeitszeit!$A369</f>
        <v>43828</v>
      </c>
    </row>
    <row r="392" spans="1:27">
      <c r="A392" s="73">
        <f>Arbeitszeit!$A370</f>
        <v>43829</v>
      </c>
    </row>
    <row r="393" spans="1:27">
      <c r="A393" s="73" t="str">
        <f>Arbeitszeit!$A371</f>
        <v/>
      </c>
    </row>
    <row r="394" spans="1:27">
      <c r="A394" s="73"/>
    </row>
    <row r="395" spans="1:27">
      <c r="A395" s="73"/>
    </row>
    <row r="396" spans="1:27">
      <c r="A396" s="73"/>
    </row>
    <row r="397" spans="1:27">
      <c r="A397" s="73"/>
    </row>
    <row r="400" spans="1:27">
      <c r="A400" s="73"/>
      <c r="F400" s="2">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50"/>
  <sheetViews>
    <sheetView showGridLines="0" tabSelected="1" zoomScale="90" workbookViewId="0">
      <selection activeCell="D3" sqref="D3"/>
    </sheetView>
  </sheetViews>
  <sheetFormatPr defaultColWidth="11.42578125" defaultRowHeight="12.75"/>
  <cols>
    <col min="1" max="1" width="2.28515625" style="24" customWidth="1"/>
    <col min="2" max="2" width="16.28515625" style="25" bestFit="1" customWidth="1"/>
    <col min="3" max="3" width="2.140625" style="24" customWidth="1"/>
    <col min="4" max="4" width="16.42578125" style="24" customWidth="1"/>
    <col min="5" max="5" width="5.7109375" style="24" customWidth="1"/>
    <col min="6" max="6" width="20" style="24" customWidth="1"/>
    <col min="7" max="7" width="1.5703125" style="24" customWidth="1"/>
    <col min="8" max="8" width="10" style="24" customWidth="1"/>
    <col min="9" max="9" width="5.7109375" style="24" customWidth="1"/>
    <col min="10" max="10" width="13.5703125" style="24" customWidth="1"/>
    <col min="11" max="11" width="1" style="24" customWidth="1"/>
    <col min="12" max="12" width="10.5703125" style="24" customWidth="1"/>
    <col min="13" max="13" width="3.85546875" style="24" hidden="1" customWidth="1"/>
    <col min="14" max="14" width="5.140625" style="24" customWidth="1"/>
    <col min="15" max="15" width="15.7109375" style="64" customWidth="1"/>
    <col min="16" max="16" width="1.28515625" style="24" customWidth="1"/>
    <col min="17" max="17" width="13" style="24" customWidth="1"/>
    <col min="18" max="16384" width="11.42578125" style="24"/>
  </cols>
  <sheetData>
    <row r="1" spans="2:17" ht="20.25">
      <c r="B1" s="701" t="s">
        <v>123</v>
      </c>
      <c r="C1" s="701"/>
      <c r="D1" s="701"/>
      <c r="F1" s="701" t="s">
        <v>126</v>
      </c>
      <c r="G1" s="701"/>
      <c r="H1" s="701"/>
      <c r="J1" s="701" t="s">
        <v>135</v>
      </c>
      <c r="K1" s="701"/>
      <c r="L1" s="701"/>
      <c r="O1" s="701" t="s">
        <v>193</v>
      </c>
      <c r="P1" s="701"/>
      <c r="Q1" s="682"/>
    </row>
    <row r="2" spans="2:17" ht="15" customHeight="1">
      <c r="B2" s="312" t="str">
        <f ca="1">CELL("filename",B2)</f>
        <v>D:\_pdata\GLAZ\andi\[vGlaz2023.xlsm]Einstellungen</v>
      </c>
      <c r="O2" s="707" t="s">
        <v>50</v>
      </c>
      <c r="P2" s="707"/>
      <c r="Q2" s="707"/>
    </row>
    <row r="3" spans="2:17">
      <c r="B3" s="26" t="s">
        <v>95</v>
      </c>
      <c r="C3" s="27"/>
      <c r="D3" s="602" t="s">
        <v>225</v>
      </c>
      <c r="F3" s="118" t="s">
        <v>69</v>
      </c>
      <c r="G3" s="28"/>
      <c r="H3" s="35">
        <v>0</v>
      </c>
      <c r="J3" s="26" t="s">
        <v>136</v>
      </c>
      <c r="K3" s="27"/>
      <c r="L3" s="105">
        <v>0.29166666666666669</v>
      </c>
      <c r="M3" s="59">
        <f t="shared" ref="M3:M9" si="0">IF(L3&gt;0,1,0)</f>
        <v>1</v>
      </c>
      <c r="O3" s="165" t="s">
        <v>190</v>
      </c>
      <c r="P3" s="377" t="s">
        <v>175</v>
      </c>
      <c r="Q3" s="166">
        <v>0</v>
      </c>
    </row>
    <row r="4" spans="2:17" ht="13.5" thickBot="1">
      <c r="B4" s="36" t="s">
        <v>118</v>
      </c>
      <c r="C4" s="34"/>
      <c r="D4" s="604" t="s">
        <v>227</v>
      </c>
      <c r="F4" s="33" t="s">
        <v>174</v>
      </c>
      <c r="G4" s="34"/>
      <c r="H4" s="35">
        <v>30</v>
      </c>
      <c r="J4" s="36" t="s">
        <v>137</v>
      </c>
      <c r="K4" s="34"/>
      <c r="L4" s="105">
        <v>0.29166666666666669</v>
      </c>
      <c r="M4" s="59">
        <f t="shared" si="0"/>
        <v>1</v>
      </c>
      <c r="O4" s="176" t="s">
        <v>192</v>
      </c>
      <c r="P4" s="378" t="s">
        <v>175</v>
      </c>
      <c r="Q4" s="172">
        <v>1</v>
      </c>
    </row>
    <row r="5" spans="2:17" ht="14.25" thickTop="1" thickBot="1">
      <c r="B5" s="562" t="s">
        <v>200</v>
      </c>
      <c r="C5" s="31"/>
      <c r="D5" s="603" t="s">
        <v>226</v>
      </c>
      <c r="F5" s="30" t="s">
        <v>70</v>
      </c>
      <c r="G5" s="119"/>
      <c r="H5" s="29">
        <f>H3+H4</f>
        <v>30</v>
      </c>
      <c r="J5" s="36" t="s">
        <v>138</v>
      </c>
      <c r="K5" s="34"/>
      <c r="L5" s="105">
        <v>0.29166666666666669</v>
      </c>
      <c r="M5" s="59">
        <f t="shared" si="0"/>
        <v>1</v>
      </c>
      <c r="O5" s="177" t="s">
        <v>194</v>
      </c>
      <c r="P5" s="379" t="s">
        <v>175</v>
      </c>
      <c r="Q5" s="170">
        <v>2</v>
      </c>
    </row>
    <row r="6" spans="2:17" ht="13.5" thickTop="1">
      <c r="B6" s="26" t="s">
        <v>119</v>
      </c>
      <c r="C6" s="27"/>
      <c r="D6" s="108">
        <f>L10/M10</f>
        <v>0.29166666666666669</v>
      </c>
      <c r="F6" s="33" t="s">
        <v>111</v>
      </c>
      <c r="G6" s="34"/>
      <c r="H6" s="35">
        <v>0</v>
      </c>
      <c r="J6" s="36" t="s">
        <v>139</v>
      </c>
      <c r="K6" s="34"/>
      <c r="L6" s="105">
        <v>0.29166666666666669</v>
      </c>
      <c r="M6" s="59">
        <f t="shared" si="0"/>
        <v>1</v>
      </c>
      <c r="O6" s="178" t="s">
        <v>0</v>
      </c>
      <c r="P6" s="380" t="s">
        <v>175</v>
      </c>
      <c r="Q6" s="171">
        <v>3</v>
      </c>
    </row>
    <row r="7" spans="2:17" ht="13.5" thickBot="1">
      <c r="B7" s="36" t="s">
        <v>120</v>
      </c>
      <c r="C7" s="34"/>
      <c r="D7" s="109">
        <v>0.41666666666666669</v>
      </c>
      <c r="F7" s="33" t="s">
        <v>170</v>
      </c>
      <c r="G7" s="34"/>
      <c r="H7" s="35">
        <v>0</v>
      </c>
      <c r="J7" s="36" t="s">
        <v>140</v>
      </c>
      <c r="K7" s="34"/>
      <c r="L7" s="105">
        <v>0.29166666666666669</v>
      </c>
      <c r="M7" s="59">
        <f t="shared" si="0"/>
        <v>1</v>
      </c>
      <c r="O7" s="36" t="s">
        <v>191</v>
      </c>
      <c r="P7" s="121" t="s">
        <v>175</v>
      </c>
      <c r="Q7" s="65">
        <v>7</v>
      </c>
    </row>
    <row r="8" spans="2:17" ht="14.25" thickTop="1" thickBot="1">
      <c r="B8" s="598" t="s">
        <v>221</v>
      </c>
      <c r="C8" s="34"/>
      <c r="D8" s="109">
        <v>0.25</v>
      </c>
      <c r="F8" s="117" t="s">
        <v>173</v>
      </c>
      <c r="G8" s="31"/>
      <c r="H8" s="116">
        <f>B_VorJahr_hh/24+B_VorJahr_mm/24/60</f>
        <v>0</v>
      </c>
      <c r="J8" s="53" t="s">
        <v>141</v>
      </c>
      <c r="K8" s="54"/>
      <c r="L8" s="106"/>
      <c r="M8" s="59">
        <f t="shared" si="0"/>
        <v>0</v>
      </c>
      <c r="O8" s="179" t="s">
        <v>189</v>
      </c>
      <c r="P8" s="385" t="s">
        <v>175</v>
      </c>
      <c r="Q8" s="173">
        <v>8</v>
      </c>
    </row>
    <row r="9" spans="2:17" ht="14.25" thickTop="1" thickBot="1">
      <c r="B9" s="598" t="s">
        <v>222</v>
      </c>
      <c r="C9" s="34"/>
      <c r="D9" s="109">
        <v>2.0833333333333332E-2</v>
      </c>
      <c r="H9" s="247" t="str">
        <f>IF(OR(AND(B_VorJahr_hh&gt;0,B_VorJahr_mm&lt;0),AND(B_VorJahr_hh&lt;0,B_VorJahr_mm&gt;0)),"!?Vorzeichen hh-mm?!","")</f>
        <v/>
      </c>
      <c r="J9" s="55" t="s">
        <v>142</v>
      </c>
      <c r="K9" s="56"/>
      <c r="L9" s="107"/>
      <c r="M9" s="59">
        <f t="shared" si="0"/>
        <v>0</v>
      </c>
      <c r="O9" s="183" t="s">
        <v>20</v>
      </c>
      <c r="P9" s="482" t="s">
        <v>175</v>
      </c>
      <c r="Q9" s="182">
        <v>71</v>
      </c>
    </row>
    <row r="10" spans="2:17" ht="14.25" thickTop="1" thickBot="1">
      <c r="B10" s="598" t="s">
        <v>219</v>
      </c>
      <c r="C10" s="34"/>
      <c r="D10" s="109">
        <v>0.375</v>
      </c>
      <c r="F10" s="37" t="s">
        <v>56</v>
      </c>
      <c r="G10" s="38"/>
      <c r="H10" s="39"/>
      <c r="J10" s="52" t="s">
        <v>143</v>
      </c>
      <c r="K10" s="57"/>
      <c r="L10" s="58">
        <f>SUM(L3:L9)</f>
        <v>1.4583333333333335</v>
      </c>
      <c r="M10" s="59">
        <f>SUM(M3:M9)</f>
        <v>5</v>
      </c>
      <c r="O10" s="180" t="s">
        <v>115</v>
      </c>
      <c r="P10" s="381" t="s">
        <v>175</v>
      </c>
      <c r="Q10" s="175">
        <v>75</v>
      </c>
    </row>
    <row r="11" spans="2:17" ht="14.25" thickTop="1" thickBot="1">
      <c r="B11" s="598" t="s">
        <v>220</v>
      </c>
      <c r="C11" s="34"/>
      <c r="D11" s="109">
        <v>1.0416666666666666E-2</v>
      </c>
      <c r="M11" s="51"/>
      <c r="O11" s="181" t="s">
        <v>114</v>
      </c>
      <c r="P11" s="382" t="s">
        <v>175</v>
      </c>
      <c r="Q11" s="174">
        <v>85</v>
      </c>
    </row>
    <row r="12" spans="2:17" ht="13.5" thickBot="1">
      <c r="B12" s="36" t="s">
        <v>122</v>
      </c>
      <c r="C12" s="34"/>
      <c r="D12" s="109">
        <v>9.0277777777777787E-3</v>
      </c>
      <c r="E12" s="224" t="str">
        <f>IF(ISTEXT(B_Year),"???","")</f>
        <v/>
      </c>
      <c r="F12" s="631" t="s">
        <v>233</v>
      </c>
      <c r="G12" s="632"/>
      <c r="H12" s="410"/>
      <c r="O12" s="384" t="s">
        <v>1</v>
      </c>
      <c r="P12" s="383" t="s">
        <v>175</v>
      </c>
      <c r="Q12" s="376" t="str">
        <f>""</f>
        <v/>
      </c>
    </row>
    <row r="13" spans="2:17">
      <c r="B13" s="36" t="s">
        <v>121</v>
      </c>
      <c r="C13" s="34"/>
      <c r="D13" s="109">
        <v>0</v>
      </c>
      <c r="F13" s="655" t="s">
        <v>234</v>
      </c>
      <c r="G13" s="656"/>
      <c r="H13" s="657"/>
      <c r="O13" s="168"/>
      <c r="P13" s="167"/>
      <c r="Q13" s="169"/>
    </row>
    <row r="14" spans="2:17">
      <c r="B14" s="30" t="s">
        <v>229</v>
      </c>
      <c r="C14" s="31"/>
      <c r="D14" s="622">
        <v>0.38541666666666669</v>
      </c>
      <c r="F14" s="652" t="s">
        <v>244</v>
      </c>
      <c r="G14" s="653"/>
      <c r="H14" s="654"/>
      <c r="O14" s="168"/>
      <c r="P14" s="167"/>
      <c r="Q14" s="169"/>
    </row>
    <row r="15" spans="2:17">
      <c r="B15" s="645"/>
      <c r="C15" s="646"/>
      <c r="D15" s="648"/>
      <c r="F15" s="652" t="s">
        <v>242</v>
      </c>
      <c r="G15" s="653"/>
      <c r="H15" s="654"/>
      <c r="O15" s="168"/>
      <c r="P15" s="167"/>
      <c r="Q15" s="169"/>
    </row>
    <row r="16" spans="2:17" ht="13.5" thickBot="1">
      <c r="F16" s="649" t="s">
        <v>243</v>
      </c>
      <c r="G16" s="650"/>
      <c r="H16" s="651"/>
      <c r="O16" s="168"/>
      <c r="P16" s="167"/>
      <c r="Q16" s="169"/>
    </row>
    <row r="17" spans="1:18" s="405" customFormat="1" ht="13.5" thickBot="1">
      <c r="B17" s="37" t="s">
        <v>42</v>
      </c>
      <c r="C17" s="38"/>
      <c r="D17" s="185">
        <v>43465</v>
      </c>
      <c r="E17" s="24"/>
      <c r="F17" s="536" t="s">
        <v>235</v>
      </c>
      <c r="G17" s="24"/>
      <c r="H17" s="24"/>
      <c r="J17" s="403" t="s">
        <v>17</v>
      </c>
      <c r="K17" s="404"/>
      <c r="L17" s="702" t="s">
        <v>54</v>
      </c>
      <c r="M17" s="703"/>
      <c r="N17" s="703"/>
      <c r="O17" s="703"/>
      <c r="P17" s="703"/>
      <c r="Q17" s="410"/>
    </row>
    <row r="18" spans="1:18">
      <c r="A18" s="405"/>
      <c r="B18" s="645"/>
      <c r="C18" s="646"/>
      <c r="D18" s="647"/>
      <c r="J18" s="397" t="s">
        <v>114</v>
      </c>
      <c r="K18" s="45"/>
      <c r="L18" s="704" t="s">
        <v>57</v>
      </c>
      <c r="M18" s="705"/>
      <c r="N18" s="705"/>
      <c r="O18" s="705"/>
      <c r="P18" s="705"/>
      <c r="Q18" s="706"/>
    </row>
    <row r="19" spans="1:18">
      <c r="A19" s="405"/>
      <c r="B19" s="645"/>
      <c r="C19" s="646"/>
      <c r="D19" s="647"/>
      <c r="J19" s="408" t="s">
        <v>115</v>
      </c>
      <c r="K19" s="409"/>
      <c r="L19" s="708" t="s">
        <v>58</v>
      </c>
      <c r="M19" s="709"/>
      <c r="N19" s="709"/>
      <c r="O19" s="709"/>
      <c r="P19" s="709"/>
      <c r="Q19" s="710"/>
    </row>
    <row r="20" spans="1:18">
      <c r="B20" s="47" t="s">
        <v>72</v>
      </c>
      <c r="E20" s="405"/>
      <c r="F20" s="405"/>
      <c r="G20" s="405"/>
      <c r="H20" s="405"/>
      <c r="J20" s="401" t="s">
        <v>128</v>
      </c>
      <c r="K20" s="402"/>
      <c r="L20" s="711" t="s">
        <v>59</v>
      </c>
      <c r="M20" s="712"/>
      <c r="N20" s="712"/>
      <c r="O20" s="712"/>
      <c r="P20" s="712"/>
      <c r="Q20" s="713"/>
    </row>
    <row r="21" spans="1:18">
      <c r="J21" s="575" t="s">
        <v>205</v>
      </c>
      <c r="K21" s="399"/>
      <c r="L21" s="685"/>
      <c r="M21" s="686"/>
      <c r="N21" s="686"/>
      <c r="O21" s="686"/>
      <c r="P21" s="686"/>
      <c r="Q21" s="687"/>
      <c r="R21" s="517"/>
    </row>
    <row r="22" spans="1:18">
      <c r="B22" s="40" t="s">
        <v>250</v>
      </c>
      <c r="C22" s="41"/>
      <c r="D22" s="41"/>
      <c r="E22" s="41"/>
      <c r="F22" s="41"/>
      <c r="G22" s="41"/>
      <c r="H22" s="42"/>
      <c r="J22" s="576" t="s">
        <v>206</v>
      </c>
      <c r="K22" s="407"/>
      <c r="L22" s="688"/>
      <c r="M22" s="689"/>
      <c r="N22" s="689"/>
      <c r="O22" s="689"/>
      <c r="P22" s="689"/>
      <c r="Q22" s="690"/>
      <c r="R22" s="517"/>
    </row>
    <row r="23" spans="1:18">
      <c r="B23" s="43"/>
      <c r="C23" s="44"/>
      <c r="D23" s="44"/>
      <c r="E23" s="44"/>
      <c r="F23" s="44"/>
      <c r="G23" s="44"/>
      <c r="H23" s="45"/>
      <c r="J23" s="575" t="s">
        <v>207</v>
      </c>
      <c r="K23" s="399"/>
      <c r="L23" s="685"/>
      <c r="M23" s="686"/>
      <c r="N23" s="686"/>
      <c r="O23" s="686"/>
      <c r="P23" s="686"/>
      <c r="Q23" s="687"/>
      <c r="R23" s="517"/>
    </row>
    <row r="24" spans="1:18">
      <c r="B24" s="43" t="s">
        <v>132</v>
      </c>
      <c r="C24" s="44" t="s">
        <v>133</v>
      </c>
      <c r="D24" s="44"/>
      <c r="E24" s="44"/>
      <c r="F24" s="44"/>
      <c r="G24" s="44"/>
      <c r="H24" s="45"/>
      <c r="J24" s="576" t="s">
        <v>208</v>
      </c>
      <c r="K24" s="407"/>
      <c r="L24" s="688"/>
      <c r="M24" s="689"/>
      <c r="N24" s="689"/>
      <c r="O24" s="689"/>
      <c r="P24" s="689"/>
      <c r="Q24" s="690"/>
      <c r="R24" s="517"/>
    </row>
    <row r="25" spans="1:18">
      <c r="B25" s="43"/>
      <c r="C25" s="44" t="s">
        <v>161</v>
      </c>
      <c r="D25" s="44"/>
      <c r="E25" s="44"/>
      <c r="F25" s="44"/>
      <c r="G25" s="44"/>
      <c r="H25" s="45"/>
      <c r="J25" s="575" t="s">
        <v>209</v>
      </c>
      <c r="K25" s="399"/>
      <c r="L25" s="685"/>
      <c r="M25" s="686"/>
      <c r="N25" s="686"/>
      <c r="O25" s="686"/>
      <c r="P25" s="686"/>
      <c r="Q25" s="687"/>
      <c r="R25" s="517"/>
    </row>
    <row r="26" spans="1:18">
      <c r="B26" s="43"/>
      <c r="C26" s="44"/>
      <c r="D26" s="44"/>
      <c r="E26" s="44"/>
      <c r="F26" s="44"/>
      <c r="G26" s="44"/>
      <c r="H26" s="45"/>
      <c r="J26" s="576" t="s">
        <v>210</v>
      </c>
      <c r="K26" s="407"/>
      <c r="L26" s="688"/>
      <c r="M26" s="689"/>
      <c r="N26" s="689"/>
      <c r="O26" s="689"/>
      <c r="P26" s="689"/>
      <c r="Q26" s="690"/>
      <c r="R26" s="517"/>
    </row>
    <row r="27" spans="1:18">
      <c r="B27" s="43"/>
      <c r="C27" s="44" t="s">
        <v>71</v>
      </c>
      <c r="D27" s="44"/>
      <c r="E27" s="44"/>
      <c r="F27" s="44"/>
      <c r="G27" s="44"/>
      <c r="H27" s="45"/>
      <c r="J27" s="575" t="s">
        <v>211</v>
      </c>
      <c r="K27" s="399"/>
      <c r="L27" s="685"/>
      <c r="M27" s="686"/>
      <c r="N27" s="686"/>
      <c r="O27" s="686"/>
      <c r="P27" s="686"/>
      <c r="Q27" s="687"/>
      <c r="R27" s="517"/>
    </row>
    <row r="28" spans="1:18" ht="12.75" customHeight="1">
      <c r="B28" s="43"/>
      <c r="C28" s="722" t="s">
        <v>251</v>
      </c>
      <c r="D28" s="44"/>
      <c r="E28" s="44"/>
      <c r="F28" s="44"/>
      <c r="G28" s="44"/>
      <c r="H28" s="45"/>
      <c r="J28" s="576" t="s">
        <v>212</v>
      </c>
      <c r="K28" s="407"/>
      <c r="L28" s="688"/>
      <c r="M28" s="689"/>
      <c r="N28" s="689"/>
      <c r="O28" s="689"/>
      <c r="P28" s="689"/>
      <c r="Q28" s="690"/>
      <c r="R28" s="517"/>
    </row>
    <row r="29" spans="1:18">
      <c r="B29" s="43"/>
      <c r="C29" s="44"/>
      <c r="D29" s="44"/>
      <c r="E29" s="44"/>
      <c r="F29" s="44"/>
      <c r="G29" s="44"/>
      <c r="H29" s="45"/>
      <c r="J29" s="575" t="s">
        <v>213</v>
      </c>
      <c r="K29" s="399"/>
      <c r="L29" s="685"/>
      <c r="M29" s="686"/>
      <c r="N29" s="686"/>
      <c r="O29" s="686"/>
      <c r="P29" s="686"/>
      <c r="Q29" s="687"/>
      <c r="R29" s="517"/>
    </row>
    <row r="30" spans="1:18">
      <c r="B30" s="694" t="s">
        <v>248</v>
      </c>
      <c r="C30" s="695"/>
      <c r="D30" s="695"/>
      <c r="E30" s="695"/>
      <c r="F30" s="695"/>
      <c r="G30" s="695"/>
      <c r="H30" s="696"/>
      <c r="J30" s="406" t="s">
        <v>86</v>
      </c>
      <c r="K30" s="407"/>
      <c r="L30" s="688"/>
      <c r="M30" s="689"/>
      <c r="N30" s="689"/>
      <c r="O30" s="689"/>
      <c r="P30" s="689"/>
      <c r="Q30" s="690"/>
      <c r="R30" s="517"/>
    </row>
    <row r="31" spans="1:18">
      <c r="B31" s="697"/>
      <c r="C31" s="695"/>
      <c r="D31" s="695"/>
      <c r="E31" s="695"/>
      <c r="F31" s="695"/>
      <c r="G31" s="695"/>
      <c r="H31" s="696"/>
      <c r="J31" s="398" t="s">
        <v>87</v>
      </c>
      <c r="K31" s="399"/>
      <c r="L31" s="685"/>
      <c r="M31" s="686"/>
      <c r="N31" s="686"/>
      <c r="O31" s="686"/>
      <c r="P31" s="686"/>
      <c r="Q31" s="687"/>
      <c r="R31" s="517"/>
    </row>
    <row r="32" spans="1:18">
      <c r="B32" s="697"/>
      <c r="C32" s="695"/>
      <c r="D32" s="695"/>
      <c r="E32" s="695"/>
      <c r="F32" s="695"/>
      <c r="G32" s="695"/>
      <c r="H32" s="696"/>
      <c r="J32" s="406" t="s">
        <v>88</v>
      </c>
      <c r="K32" s="407"/>
      <c r="L32" s="688"/>
      <c r="M32" s="689"/>
      <c r="N32" s="689"/>
      <c r="O32" s="689"/>
      <c r="P32" s="689"/>
      <c r="Q32" s="690"/>
      <c r="R32" s="517"/>
    </row>
    <row r="33" spans="2:18">
      <c r="B33" s="697"/>
      <c r="C33" s="695"/>
      <c r="D33" s="695"/>
      <c r="E33" s="695"/>
      <c r="F33" s="695"/>
      <c r="G33" s="695"/>
      <c r="H33" s="696"/>
      <c r="J33" s="398" t="s">
        <v>89</v>
      </c>
      <c r="K33" s="399"/>
      <c r="L33" s="685"/>
      <c r="M33" s="686"/>
      <c r="N33" s="686"/>
      <c r="O33" s="686"/>
      <c r="P33" s="686"/>
      <c r="Q33" s="687"/>
      <c r="R33" s="517"/>
    </row>
    <row r="34" spans="2:18">
      <c r="B34" s="697"/>
      <c r="C34" s="695"/>
      <c r="D34" s="695"/>
      <c r="E34" s="695"/>
      <c r="F34" s="695"/>
      <c r="G34" s="695"/>
      <c r="H34" s="696"/>
      <c r="J34" s="406" t="s">
        <v>90</v>
      </c>
      <c r="K34" s="407"/>
      <c r="L34" s="688"/>
      <c r="M34" s="689"/>
      <c r="N34" s="689"/>
      <c r="O34" s="689"/>
      <c r="P34" s="689"/>
      <c r="Q34" s="690"/>
      <c r="R34" s="517"/>
    </row>
    <row r="35" spans="2:18">
      <c r="B35" s="697"/>
      <c r="C35" s="695"/>
      <c r="D35" s="695"/>
      <c r="E35" s="695"/>
      <c r="F35" s="695"/>
      <c r="G35" s="695"/>
      <c r="H35" s="696"/>
      <c r="J35" s="398" t="s">
        <v>91</v>
      </c>
      <c r="K35" s="399"/>
      <c r="L35" s="685"/>
      <c r="M35" s="686"/>
      <c r="N35" s="686"/>
      <c r="O35" s="686"/>
      <c r="P35" s="686"/>
      <c r="Q35" s="687"/>
      <c r="R35" s="517"/>
    </row>
    <row r="36" spans="2:18">
      <c r="B36" s="697"/>
      <c r="C36" s="695"/>
      <c r="D36" s="695"/>
      <c r="E36" s="695"/>
      <c r="F36" s="695"/>
      <c r="G36" s="695"/>
      <c r="H36" s="696"/>
      <c r="J36" s="406" t="s">
        <v>92</v>
      </c>
      <c r="K36" s="407"/>
      <c r="L36" s="688"/>
      <c r="M36" s="689"/>
      <c r="N36" s="689"/>
      <c r="O36" s="689"/>
      <c r="P36" s="689"/>
      <c r="Q36" s="690"/>
      <c r="R36" s="517"/>
    </row>
    <row r="37" spans="2:18">
      <c r="B37" s="697"/>
      <c r="C37" s="695"/>
      <c r="D37" s="695"/>
      <c r="E37" s="695"/>
      <c r="F37" s="695"/>
      <c r="G37" s="695"/>
      <c r="H37" s="696"/>
      <c r="J37" s="398" t="s">
        <v>162</v>
      </c>
      <c r="K37" s="399"/>
      <c r="L37" s="685"/>
      <c r="M37" s="686"/>
      <c r="N37" s="686"/>
      <c r="O37" s="686"/>
      <c r="P37" s="686"/>
      <c r="Q37" s="687"/>
      <c r="R37" s="517"/>
    </row>
    <row r="38" spans="2:18">
      <c r="B38" s="697"/>
      <c r="C38" s="695"/>
      <c r="D38" s="695"/>
      <c r="E38" s="695"/>
      <c r="F38" s="695"/>
      <c r="G38" s="695"/>
      <c r="H38" s="696"/>
      <c r="J38" s="406" t="s">
        <v>93</v>
      </c>
      <c r="K38" s="407"/>
      <c r="L38" s="688"/>
      <c r="M38" s="689"/>
      <c r="N38" s="689"/>
      <c r="O38" s="689"/>
      <c r="P38" s="689"/>
      <c r="Q38" s="690"/>
      <c r="R38" s="517"/>
    </row>
    <row r="39" spans="2:18">
      <c r="B39" s="697"/>
      <c r="C39" s="695"/>
      <c r="D39" s="695"/>
      <c r="E39" s="695"/>
      <c r="F39" s="695"/>
      <c r="G39" s="695"/>
      <c r="H39" s="696"/>
      <c r="J39" s="400" t="s">
        <v>94</v>
      </c>
      <c r="K39" s="32"/>
      <c r="L39" s="691"/>
      <c r="M39" s="692"/>
      <c r="N39" s="692"/>
      <c r="O39" s="692"/>
      <c r="P39" s="692"/>
      <c r="Q39" s="693"/>
      <c r="R39" s="517"/>
    </row>
    <row r="40" spans="2:18">
      <c r="B40" s="697"/>
      <c r="C40" s="695"/>
      <c r="D40" s="695"/>
      <c r="E40" s="695"/>
      <c r="F40" s="695"/>
      <c r="G40" s="695"/>
      <c r="H40" s="696"/>
      <c r="J40" s="536" t="s">
        <v>228</v>
      </c>
      <c r="K40" s="536"/>
      <c r="L40" s="536"/>
      <c r="M40" s="536"/>
      <c r="N40" s="536"/>
      <c r="O40" s="537"/>
      <c r="P40" s="538"/>
      <c r="Q40" s="539"/>
    </row>
    <row r="41" spans="2:18">
      <c r="B41" s="697"/>
      <c r="C41" s="695"/>
      <c r="D41" s="695"/>
      <c r="E41" s="695"/>
      <c r="F41" s="695"/>
      <c r="G41" s="695"/>
      <c r="H41" s="696"/>
      <c r="O41" s="168"/>
      <c r="P41" s="167"/>
      <c r="Q41" s="169"/>
    </row>
    <row r="42" spans="2:18">
      <c r="B42" s="697"/>
      <c r="C42" s="695"/>
      <c r="D42" s="695"/>
      <c r="E42" s="695"/>
      <c r="F42" s="695"/>
      <c r="G42" s="695"/>
      <c r="H42" s="696"/>
      <c r="O42" s="168"/>
      <c r="P42" s="167"/>
      <c r="Q42" s="169"/>
    </row>
    <row r="43" spans="2:18">
      <c r="B43" s="697"/>
      <c r="C43" s="695"/>
      <c r="D43" s="695"/>
      <c r="E43" s="695"/>
      <c r="F43" s="695"/>
      <c r="G43" s="695"/>
      <c r="H43" s="696"/>
      <c r="O43" s="24"/>
    </row>
    <row r="44" spans="2:18">
      <c r="B44" s="697"/>
      <c r="C44" s="695"/>
      <c r="D44" s="695"/>
      <c r="E44" s="695"/>
      <c r="F44" s="695"/>
      <c r="G44" s="695"/>
      <c r="H44" s="696"/>
      <c r="O44" s="24"/>
    </row>
    <row r="45" spans="2:18">
      <c r="B45" s="697"/>
      <c r="C45" s="695"/>
      <c r="D45" s="695"/>
      <c r="E45" s="695"/>
      <c r="F45" s="695"/>
      <c r="G45" s="695"/>
      <c r="H45" s="696"/>
      <c r="O45" s="24"/>
    </row>
    <row r="46" spans="2:18">
      <c r="B46" s="697"/>
      <c r="C46" s="695"/>
      <c r="D46" s="695"/>
      <c r="E46" s="695"/>
      <c r="F46" s="695"/>
      <c r="G46" s="695"/>
      <c r="H46" s="696"/>
      <c r="I46" s="25"/>
      <c r="O46" s="24"/>
    </row>
    <row r="47" spans="2:18" ht="312" customHeight="1">
      <c r="B47" s="697"/>
      <c r="C47" s="695"/>
      <c r="D47" s="695"/>
      <c r="E47" s="695"/>
      <c r="F47" s="695"/>
      <c r="G47" s="695"/>
      <c r="H47" s="696"/>
      <c r="I47" s="25"/>
      <c r="O47" s="24"/>
    </row>
    <row r="48" spans="2:18">
      <c r="B48" s="697"/>
      <c r="C48" s="695"/>
      <c r="D48" s="695"/>
      <c r="E48" s="695"/>
      <c r="F48" s="695"/>
      <c r="G48" s="695"/>
      <c r="H48" s="696"/>
      <c r="I48" s="25"/>
    </row>
    <row r="49" spans="1:9" ht="114.75" customHeight="1">
      <c r="B49" s="698"/>
      <c r="C49" s="699"/>
      <c r="D49" s="699"/>
      <c r="E49" s="699"/>
      <c r="F49" s="699"/>
      <c r="G49" s="699"/>
      <c r="H49" s="700"/>
      <c r="I49" s="25"/>
    </row>
    <row r="50" spans="1:9">
      <c r="A50" s="46"/>
      <c r="C50" s="25"/>
      <c r="D50" s="25"/>
      <c r="E50" s="25"/>
      <c r="F50" s="25"/>
      <c r="G50" s="25"/>
      <c r="H50" s="25"/>
    </row>
  </sheetData>
  <mergeCells count="29">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9:Q39"/>
    <mergeCell ref="L35:Q35"/>
    <mergeCell ref="L36:Q36"/>
    <mergeCell ref="L37:Q37"/>
    <mergeCell ref="L38:Q38"/>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3"/>
  <sheetViews>
    <sheetView topLeftCell="A9" workbookViewId="0">
      <selection activeCell="B30" sqref="B30"/>
    </sheetView>
  </sheetViews>
  <sheetFormatPr defaultColWidth="11.5703125" defaultRowHeight="12.75"/>
  <cols>
    <col min="1" max="1" width="3" customWidth="1"/>
    <col min="2" max="2" width="22.140625" customWidth="1"/>
    <col min="3" max="3" width="23.7109375" customWidth="1"/>
    <col min="4" max="4" width="36.140625" customWidth="1"/>
  </cols>
  <sheetData>
    <row r="1" spans="2:3">
      <c r="B1" s="49"/>
    </row>
    <row r="2" spans="2:3" ht="16.5" thickBot="1">
      <c r="B2" s="420" t="s">
        <v>3</v>
      </c>
    </row>
    <row r="3" spans="2:3" ht="13.5" thickBot="1">
      <c r="B3" s="417" t="s">
        <v>166</v>
      </c>
      <c r="C3" s="418" t="s">
        <v>167</v>
      </c>
    </row>
    <row r="4" spans="2:3">
      <c r="B4" s="522">
        <f>IF(DATE(YEAR(B_Year),1,1)&lt;B_Year,DATE(YEAR(B_Year)+1,1,1),DATE(YEAR(B_Year),1,1))</f>
        <v>43465</v>
      </c>
      <c r="C4" s="454" t="s">
        <v>160</v>
      </c>
    </row>
    <row r="5" spans="2:3">
      <c r="B5" s="522">
        <f>IF(DATE(YEAR(B_Year),1,6)&lt;B_Year,DATE(YEAR(B_Year)+1,1,6),DATE(YEAR(B_Year),1,6))</f>
        <v>43470</v>
      </c>
      <c r="C5" s="455" t="s">
        <v>168</v>
      </c>
    </row>
    <row r="6" spans="2:3">
      <c r="B6" s="523">
        <f>IF(Karfreitag(YEAR(B_Year))&lt;B_Year,Karfreitag(YEAR(B_Year)+1),Karfreitag(YEAR(B_Year)))</f>
        <v>43561</v>
      </c>
      <c r="C6" s="455" t="s">
        <v>151</v>
      </c>
    </row>
    <row r="7" spans="2:3">
      <c r="B7" s="523">
        <f>IF(OsterSon(YEAR(B_Year))&lt;B_Year,OsterSon(YEAR(B_Year)+1),OsterSon(YEAR(B_Year)))</f>
        <v>43563</v>
      </c>
      <c r="C7" s="455" t="s">
        <v>62</v>
      </c>
    </row>
    <row r="8" spans="2:3">
      <c r="B8" s="523">
        <f>IF(OsterMon(YEAR(B_Year))&lt;B_Year,OsterMon(YEAR(B_Year)+1),OsterMon(YEAR(B_Year)))</f>
        <v>43564</v>
      </c>
      <c r="C8" s="455" t="s">
        <v>152</v>
      </c>
    </row>
    <row r="9" spans="2:3">
      <c r="B9" s="522">
        <f>IF(DATE(YEAR(B_Year),5,1)&lt;B_Year,DATE(YEAR(B_Year)+1,5,1),DATE(YEAR(B_Year),5,1))</f>
        <v>43585</v>
      </c>
      <c r="C9" s="455" t="s">
        <v>155</v>
      </c>
    </row>
    <row r="10" spans="2:3">
      <c r="B10" s="523">
        <f>IF(Himmelfahrt(YEAR(B_Year))&lt;B_Year,Himmelfahrt(YEAR(B_Year)+1),Himmelfahrt(YEAR(B_Year)))</f>
        <v>43602</v>
      </c>
      <c r="C10" s="455" t="s">
        <v>153</v>
      </c>
    </row>
    <row r="11" spans="2:3">
      <c r="B11" s="523">
        <f>IF(PfingstSon(YEAR(B_Year))&lt;B_Year,PfingstSon(YEAR(B_Year)+1),PfingstSon(YEAR(B_Year)))</f>
        <v>43612</v>
      </c>
      <c r="C11" s="455" t="s">
        <v>63</v>
      </c>
    </row>
    <row r="12" spans="2:3">
      <c r="B12" s="523">
        <f>IF(PfingstMon(YEAR(B_Year))&lt;B_Year,PfingstMon(YEAR(B_Year)+1),PfingstMon(YEAR(B_Year)))</f>
        <v>43613</v>
      </c>
      <c r="C12" s="455" t="s">
        <v>154</v>
      </c>
    </row>
    <row r="13" spans="2:3">
      <c r="B13" s="523">
        <f>IF(Fronleichnam(YEAR(B_Year))&lt;B_Year,Fronleichnam(YEAR(B_Year)+1),Fronleichnam(YEAR(B_Year)))</f>
        <v>43623</v>
      </c>
      <c r="C13" s="455" t="s">
        <v>169</v>
      </c>
    </row>
    <row r="14" spans="2:3">
      <c r="B14" s="522">
        <f>IF(DATE(YEAR(B_Year),10,3)&lt;B_Year,DATE(YEAR(B_Year)+1,10,3),DATE(YEAR(B_Year),10,3))</f>
        <v>43740</v>
      </c>
      <c r="C14" s="455" t="s">
        <v>156</v>
      </c>
    </row>
    <row r="15" spans="2:3">
      <c r="B15" s="522">
        <f>IF(DATE(YEAR(B_Year),11,1)&lt;B_Year,DATE(YEAR(B_Year)+1,11,1),DATE(YEAR(B_Year),11,1))</f>
        <v>43769</v>
      </c>
      <c r="C15" s="455" t="s">
        <v>157</v>
      </c>
    </row>
    <row r="16" spans="2:3">
      <c r="B16" s="522">
        <f>IF(DATE(YEAR(B_Year),12,25)&lt;B_Year,DATE(YEAR(B_Year)+1,12,25),DATE(YEAR(B_Year),12,25))</f>
        <v>43823</v>
      </c>
      <c r="C16" s="455" t="s">
        <v>158</v>
      </c>
    </row>
    <row r="17" spans="2:4" ht="13.5" thickBot="1">
      <c r="B17" s="524">
        <f>IF(DATE(YEAR(B_Year),12,26)&lt;B_Year,DATE(YEAR(B_Year)+1,12,26),DATE(YEAR(B_Year),12,26))</f>
        <v>43824</v>
      </c>
      <c r="C17" s="456" t="s">
        <v>159</v>
      </c>
    </row>
    <row r="18" spans="2:4">
      <c r="B18" s="452"/>
      <c r="C18" s="453"/>
    </row>
    <row r="20" spans="2:4" ht="16.5" thickBot="1">
      <c r="B20" s="420" t="s">
        <v>4</v>
      </c>
    </row>
    <row r="21" spans="2:4" ht="13.5" thickBot="1">
      <c r="B21" s="417" t="s">
        <v>7</v>
      </c>
      <c r="C21" s="419" t="s">
        <v>6</v>
      </c>
      <c r="D21" s="418" t="s">
        <v>167</v>
      </c>
    </row>
    <row r="22" spans="2:4">
      <c r="B22" s="525">
        <v>43457</v>
      </c>
      <c r="C22" s="526">
        <v>43471</v>
      </c>
      <c r="D22" s="414" t="s">
        <v>5</v>
      </c>
    </row>
    <row r="23" spans="2:4">
      <c r="B23" s="525">
        <v>43515</v>
      </c>
      <c r="C23" s="526">
        <v>43519</v>
      </c>
      <c r="D23" s="415" t="s">
        <v>64</v>
      </c>
    </row>
    <row r="24" spans="2:4">
      <c r="B24" s="525">
        <v>43557</v>
      </c>
      <c r="C24" s="526">
        <v>43568</v>
      </c>
      <c r="D24" s="415" t="s">
        <v>65</v>
      </c>
    </row>
    <row r="25" spans="2:4">
      <c r="B25" s="525">
        <v>43614</v>
      </c>
      <c r="C25" s="526">
        <v>43624</v>
      </c>
      <c r="D25" s="415" t="s">
        <v>66</v>
      </c>
    </row>
    <row r="26" spans="2:4">
      <c r="B26" s="525">
        <v>43676</v>
      </c>
      <c r="C26" s="526">
        <v>43718</v>
      </c>
      <c r="D26" s="415" t="s">
        <v>67</v>
      </c>
    </row>
    <row r="27" spans="2:4">
      <c r="B27" s="525">
        <v>43767</v>
      </c>
      <c r="C27" s="526">
        <v>43771</v>
      </c>
      <c r="D27" s="415" t="s">
        <v>68</v>
      </c>
    </row>
    <row r="28" spans="2:4">
      <c r="B28" s="525">
        <v>43790</v>
      </c>
      <c r="C28" s="526">
        <v>43790</v>
      </c>
      <c r="D28" s="415" t="s">
        <v>240</v>
      </c>
    </row>
    <row r="29" spans="2:4">
      <c r="B29" s="525">
        <v>43823</v>
      </c>
      <c r="C29" s="526">
        <v>43834</v>
      </c>
      <c r="D29" s="415" t="s">
        <v>5</v>
      </c>
    </row>
    <row r="30" spans="2:4">
      <c r="B30" s="525"/>
      <c r="C30" s="526"/>
      <c r="D30" s="415"/>
    </row>
    <row r="31" spans="2:4">
      <c r="B31" s="525"/>
      <c r="C31" s="526"/>
      <c r="D31" s="415"/>
    </row>
    <row r="32" spans="2:4">
      <c r="B32" s="525"/>
      <c r="C32" s="526"/>
      <c r="D32" s="415"/>
    </row>
    <row r="33" spans="2:4">
      <c r="B33" s="527"/>
      <c r="C33" s="528"/>
      <c r="D33" s="416"/>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R5" sqref="R5"/>
    </sheetView>
  </sheetViews>
  <sheetFormatPr defaultColWidth="11.42578125" defaultRowHeight="12.75"/>
  <cols>
    <col min="1" max="1" width="10.42578125" style="189" customWidth="1"/>
    <col min="2" max="2" width="5.28515625" style="189" customWidth="1"/>
    <col min="3" max="3" width="6.7109375" style="189" customWidth="1"/>
    <col min="4" max="4" width="5.28515625" style="189" customWidth="1"/>
    <col min="5" max="5" width="6.7109375" style="189" customWidth="1"/>
    <col min="6" max="6" width="9.140625" style="189" bestFit="1" customWidth="1"/>
    <col min="7" max="7" width="6.5703125" style="189" customWidth="1"/>
    <col min="8" max="8" width="12.7109375" style="189" customWidth="1"/>
    <col min="9" max="9" width="6.5703125" style="189" customWidth="1"/>
    <col min="10" max="10" width="8.5703125" style="189" customWidth="1"/>
    <col min="11" max="11" width="6.5703125" style="189" customWidth="1"/>
    <col min="12" max="12" width="7.7109375" style="189" customWidth="1"/>
    <col min="13" max="13" width="7.85546875" style="189" bestFit="1" customWidth="1"/>
    <col min="14" max="14" width="5.7109375" style="189" customWidth="1"/>
    <col min="15" max="18" width="6.7109375" style="189" customWidth="1"/>
    <col min="19" max="19" width="8.42578125" style="189" customWidth="1"/>
    <col min="20" max="20" width="7.28515625" style="189" customWidth="1"/>
    <col min="21" max="21" width="5.85546875" style="189" bestFit="1" customWidth="1"/>
    <col min="22" max="23" width="4.7109375" style="189" customWidth="1"/>
    <col min="24" max="24" width="7.140625" style="189" customWidth="1"/>
    <col min="25" max="25" width="8.140625" style="189" customWidth="1"/>
    <col min="26" max="16384" width="11.42578125" style="189"/>
  </cols>
  <sheetData>
    <row r="1" spans="1:18">
      <c r="A1" s="194" t="s">
        <v>95</v>
      </c>
      <c r="B1" s="195" t="str">
        <f>B_PersonName</f>
        <v>Mustermann</v>
      </c>
      <c r="D1" s="195"/>
      <c r="F1" s="196" t="s">
        <v>96</v>
      </c>
      <c r="G1" s="189" t="str">
        <f>B_Department</f>
        <v>Siemens</v>
      </c>
    </row>
    <row r="2" spans="1:18" ht="13.5" thickBot="1">
      <c r="A2" s="446" t="str">
        <f ca="1">CELL("filename",A2)</f>
        <v>D:\_pdata\GLAZ\andi\[vGlaz2023.xlsm]Übersicht</v>
      </c>
      <c r="B2" s="197"/>
      <c r="D2" s="197"/>
      <c r="K2" s="197"/>
    </row>
    <row r="3" spans="1:18" ht="14.25" thickTop="1" thickBot="1">
      <c r="A3" s="447">
        <f>B_Year</f>
        <v>43465</v>
      </c>
      <c r="B3" s="447" t="s">
        <v>144</v>
      </c>
      <c r="C3" s="716">
        <f>Arbeitszeit!xJahrEnd</f>
        <v>43829</v>
      </c>
      <c r="D3" s="717"/>
      <c r="E3" s="198"/>
      <c r="K3" s="199"/>
    </row>
    <row r="4" spans="1:18" s="445" customFormat="1" ht="27.75" customHeight="1" thickTop="1">
      <c r="A4" s="451" t="s">
        <v>180</v>
      </c>
      <c r="B4" s="448" t="s">
        <v>60</v>
      </c>
      <c r="C4" s="449" t="s">
        <v>8</v>
      </c>
      <c r="D4" s="449" t="s">
        <v>10</v>
      </c>
      <c r="E4" s="448" t="s">
        <v>9</v>
      </c>
      <c r="F4" s="448" t="s">
        <v>61</v>
      </c>
      <c r="G4" s="448" t="s">
        <v>104</v>
      </c>
      <c r="H4" s="450" t="s">
        <v>105</v>
      </c>
      <c r="I4" s="450" t="s">
        <v>106</v>
      </c>
      <c r="J4" s="448" t="str">
        <f>Arbeitszeit!AD4</f>
        <v>&gt; 10 Std</v>
      </c>
      <c r="K4" s="448" t="s">
        <v>181</v>
      </c>
      <c r="L4" s="450" t="s">
        <v>11</v>
      </c>
      <c r="M4" s="448" t="s">
        <v>12</v>
      </c>
      <c r="N4" s="448" t="s">
        <v>115</v>
      </c>
      <c r="O4" s="448" t="s">
        <v>114</v>
      </c>
      <c r="P4" s="448" t="str">
        <f>INDEX(B_Arbeitsort,1)</f>
        <v>Büro</v>
      </c>
      <c r="Q4" s="448" t="str">
        <f>INDEX(B_Arbeitsort,2)</f>
        <v>HomeOffice (Mobiles Arbeiten)</v>
      </c>
      <c r="R4" s="448" t="str">
        <f>INDEX(B_Arbeitsort,3)</f>
        <v>Kunde</v>
      </c>
    </row>
    <row r="5" spans="1:18">
      <c r="A5" s="444">
        <f>xJahr-1</f>
        <v>43464</v>
      </c>
      <c r="B5" s="200"/>
      <c r="C5" s="201"/>
      <c r="D5" s="200"/>
      <c r="E5" s="202"/>
      <c r="F5" s="203"/>
      <c r="G5" s="203"/>
      <c r="H5" s="203"/>
      <c r="I5" s="203"/>
      <c r="J5" s="204"/>
      <c r="K5" s="201"/>
      <c r="L5" s="203"/>
      <c r="M5" s="201">
        <f>A21</f>
        <v>0</v>
      </c>
      <c r="N5" s="206"/>
      <c r="O5" s="206"/>
      <c r="P5" s="206"/>
      <c r="Q5" s="206"/>
      <c r="R5" s="206"/>
    </row>
    <row r="6" spans="1:18">
      <c r="A6" s="444">
        <f>xJahr</f>
        <v>43465</v>
      </c>
      <c r="B6" s="207">
        <f>C6/B_WorkTime</f>
        <v>0</v>
      </c>
      <c r="C6" s="205">
        <f>SUMIF(R_Monat,$A6,R_Soll)</f>
        <v>0</v>
      </c>
      <c r="D6" s="207">
        <f>E6/B_WorkTime</f>
        <v>0</v>
      </c>
      <c r="E6" s="205">
        <f>SUMIF(R_Monat,$A6,R_Ist)</f>
        <v>0</v>
      </c>
      <c r="F6" s="205">
        <f>SUMIF(R_Monat,$A6,R_ArbDiff)</f>
        <v>0</v>
      </c>
      <c r="G6" s="205">
        <f>IF(C6&gt;E6,E6,C6)</f>
        <v>0</v>
      </c>
      <c r="H6" s="205">
        <f t="shared" ref="H6:H17" si="0">IF(F6&gt;0,F6,0)</f>
        <v>0</v>
      </c>
      <c r="I6" s="205">
        <f>IF(F6&lt;0,F6,0)</f>
        <v>0</v>
      </c>
      <c r="J6" s="208">
        <f>SUMIF(R_Monat,$A6,R_ArbMax)</f>
        <v>0</v>
      </c>
      <c r="K6" s="205">
        <f t="shared" ref="K6:K17" si="1">SUMIF(R_Monat,$A6,R_Korrekt)</f>
        <v>0</v>
      </c>
      <c r="L6" s="205">
        <f t="shared" ref="L6:L17" si="2">F6+J6</f>
        <v>0</v>
      </c>
      <c r="M6" s="205">
        <f t="shared" ref="M6:M17" si="3">M5+F6-K6</f>
        <v>0</v>
      </c>
      <c r="N6" s="209">
        <f>SUMIF(R_Monat,$A6,R_Krank)</f>
        <v>0</v>
      </c>
      <c r="O6" s="209">
        <f>SUMIF(R_Monat,$A6,R_Urlaub)</f>
        <v>0</v>
      </c>
      <c r="P6" s="209">
        <f>COUNTIFS(Arbeitszeit!$D:$D,$A6,Arbeitszeit!$BA:$BA,P$4)</f>
        <v>1</v>
      </c>
      <c r="Q6" s="209">
        <f>COUNTIFS(Arbeitszeit!$D:$D,$A6,Arbeitszeit!$BA:$BA,Q$4)</f>
        <v>1</v>
      </c>
      <c r="R6" s="209">
        <f>COUNTIFS(Arbeitszeit!$D:$D,$A6,Arbeitszeit!$BA:$BA,R$4)</f>
        <v>1</v>
      </c>
    </row>
    <row r="7" spans="1:18">
      <c r="A7" s="444">
        <f>DATE(YEAR(A6),MONTH(A6)+1,1)</f>
        <v>43496</v>
      </c>
      <c r="B7" s="207">
        <f t="shared" ref="B7:D17" si="4">C7/B_WorkTime</f>
        <v>0</v>
      </c>
      <c r="C7" s="205">
        <f t="shared" ref="C7:C17" si="5">SUMIF(R_Monat,$A7,R_Soll)</f>
        <v>0</v>
      </c>
      <c r="D7" s="207">
        <f t="shared" si="4"/>
        <v>0</v>
      </c>
      <c r="E7" s="205">
        <f t="shared" ref="E7:E17" si="6">SUMIF(R_Monat,$A7,R_Ist)</f>
        <v>0</v>
      </c>
      <c r="F7" s="205">
        <f t="shared" ref="F7:F17" si="7">SUMIF(R_Monat,$A7,R_ArbDiff)</f>
        <v>0</v>
      </c>
      <c r="G7" s="205">
        <f t="shared" ref="G7:G17" si="8">IF(C7&gt;E7,E7,C7)</f>
        <v>0</v>
      </c>
      <c r="H7" s="205">
        <f t="shared" si="0"/>
        <v>0</v>
      </c>
      <c r="I7" s="205">
        <f t="shared" ref="I7:I17" si="9">IF(F7&lt;0,F7,0)</f>
        <v>0</v>
      </c>
      <c r="J7" s="208">
        <f t="shared" ref="J7:J17" si="10">SUMIF(R_Monat,$A7,R_ArbMax)</f>
        <v>0</v>
      </c>
      <c r="K7" s="205">
        <f t="shared" si="1"/>
        <v>0</v>
      </c>
      <c r="L7" s="205">
        <f t="shared" si="2"/>
        <v>0</v>
      </c>
      <c r="M7" s="205">
        <f t="shared" si="3"/>
        <v>0</v>
      </c>
      <c r="N7" s="209">
        <f t="shared" ref="N7:N17" si="11">SUMIF(R_Monat,$A7,R_Krank)</f>
        <v>0</v>
      </c>
      <c r="O7" s="209">
        <f t="shared" ref="O7:O17" si="12">SUMIF(R_Monat,$A7,R_Urlaub)</f>
        <v>0</v>
      </c>
      <c r="P7" s="209">
        <f>COUNTIFS(Arbeitszeit!$D:$D,$A7,Arbeitszeit!$BA:$BA,P$4)</f>
        <v>0</v>
      </c>
      <c r="Q7" s="209">
        <f>COUNTIFS(Arbeitszeit!$D:$D,$A7,Arbeitszeit!$BA:$BA,Q$4)</f>
        <v>0</v>
      </c>
      <c r="R7" s="209">
        <f>COUNTIFS(Arbeitszeit!$D:$D,$A7,Arbeitszeit!$BA:$BA,R$4)</f>
        <v>0</v>
      </c>
    </row>
    <row r="8" spans="1:18">
      <c r="A8" s="444">
        <f t="shared" ref="A8:A17" si="13">DATE(YEAR(A7),MONTH(A7)+1,1)</f>
        <v>43524</v>
      </c>
      <c r="B8" s="207">
        <f t="shared" si="4"/>
        <v>0</v>
      </c>
      <c r="C8" s="205">
        <f t="shared" si="5"/>
        <v>0</v>
      </c>
      <c r="D8" s="207">
        <f t="shared" si="4"/>
        <v>0</v>
      </c>
      <c r="E8" s="205">
        <f t="shared" si="6"/>
        <v>0</v>
      </c>
      <c r="F8" s="205">
        <f t="shared" si="7"/>
        <v>0</v>
      </c>
      <c r="G8" s="205">
        <f t="shared" si="8"/>
        <v>0</v>
      </c>
      <c r="H8" s="205">
        <f t="shared" si="0"/>
        <v>0</v>
      </c>
      <c r="I8" s="205">
        <f t="shared" si="9"/>
        <v>0</v>
      </c>
      <c r="J8" s="208">
        <f t="shared" si="10"/>
        <v>0</v>
      </c>
      <c r="K8" s="205">
        <f t="shared" si="1"/>
        <v>0</v>
      </c>
      <c r="L8" s="205">
        <f t="shared" si="2"/>
        <v>0</v>
      </c>
      <c r="M8" s="205">
        <f t="shared" si="3"/>
        <v>0</v>
      </c>
      <c r="N8" s="209">
        <f t="shared" si="11"/>
        <v>0</v>
      </c>
      <c r="O8" s="209">
        <f t="shared" si="12"/>
        <v>0</v>
      </c>
      <c r="P8" s="209">
        <f>COUNTIFS(Arbeitszeit!$D:$D,$A8,Arbeitszeit!$BA:$BA,P$4)</f>
        <v>0</v>
      </c>
      <c r="Q8" s="209">
        <f>COUNTIFS(Arbeitszeit!$D:$D,$A8,Arbeitszeit!$BA:$BA,Q$4)</f>
        <v>0</v>
      </c>
      <c r="R8" s="209">
        <f>COUNTIFS(Arbeitszeit!$D:$D,$A8,Arbeitszeit!$BA:$BA,R$4)</f>
        <v>0</v>
      </c>
    </row>
    <row r="9" spans="1:18">
      <c r="A9" s="444">
        <f t="shared" si="13"/>
        <v>43555</v>
      </c>
      <c r="B9" s="207">
        <f t="shared" si="4"/>
        <v>0</v>
      </c>
      <c r="C9" s="205">
        <f t="shared" si="5"/>
        <v>0</v>
      </c>
      <c r="D9" s="207">
        <f t="shared" si="4"/>
        <v>0</v>
      </c>
      <c r="E9" s="205">
        <f t="shared" si="6"/>
        <v>0</v>
      </c>
      <c r="F9" s="205">
        <f t="shared" si="7"/>
        <v>0</v>
      </c>
      <c r="G9" s="205">
        <f t="shared" si="8"/>
        <v>0</v>
      </c>
      <c r="H9" s="205">
        <f t="shared" si="0"/>
        <v>0</v>
      </c>
      <c r="I9" s="205">
        <f t="shared" si="9"/>
        <v>0</v>
      </c>
      <c r="J9" s="208">
        <f t="shared" si="10"/>
        <v>0</v>
      </c>
      <c r="K9" s="205">
        <f t="shared" si="1"/>
        <v>0</v>
      </c>
      <c r="L9" s="205">
        <f t="shared" si="2"/>
        <v>0</v>
      </c>
      <c r="M9" s="205">
        <f t="shared" si="3"/>
        <v>0</v>
      </c>
      <c r="N9" s="209">
        <f t="shared" si="11"/>
        <v>0</v>
      </c>
      <c r="O9" s="209">
        <f t="shared" si="12"/>
        <v>0</v>
      </c>
      <c r="P9" s="209">
        <f>COUNTIFS(Arbeitszeit!$D:$D,$A9,Arbeitszeit!$BA:$BA,P$4)</f>
        <v>0</v>
      </c>
      <c r="Q9" s="209">
        <f>COUNTIFS(Arbeitszeit!$D:$D,$A9,Arbeitszeit!$BA:$BA,Q$4)</f>
        <v>0</v>
      </c>
      <c r="R9" s="209">
        <f>COUNTIFS(Arbeitszeit!$D:$D,$A9,Arbeitszeit!$BA:$BA,R$4)</f>
        <v>0</v>
      </c>
    </row>
    <row r="10" spans="1:18">
      <c r="A10" s="444">
        <f t="shared" si="13"/>
        <v>43585</v>
      </c>
      <c r="B10" s="207">
        <f t="shared" si="4"/>
        <v>0</v>
      </c>
      <c r="C10" s="205">
        <f t="shared" si="5"/>
        <v>0</v>
      </c>
      <c r="D10" s="207">
        <f t="shared" si="4"/>
        <v>0</v>
      </c>
      <c r="E10" s="205">
        <f t="shared" si="6"/>
        <v>0</v>
      </c>
      <c r="F10" s="205">
        <f t="shared" si="7"/>
        <v>0</v>
      </c>
      <c r="G10" s="205">
        <f t="shared" si="8"/>
        <v>0</v>
      </c>
      <c r="H10" s="205">
        <f t="shared" si="0"/>
        <v>0</v>
      </c>
      <c r="I10" s="205">
        <f t="shared" si="9"/>
        <v>0</v>
      </c>
      <c r="J10" s="208">
        <f t="shared" si="10"/>
        <v>0</v>
      </c>
      <c r="K10" s="205">
        <f t="shared" si="1"/>
        <v>0</v>
      </c>
      <c r="L10" s="205">
        <f t="shared" si="2"/>
        <v>0</v>
      </c>
      <c r="M10" s="205">
        <f t="shared" si="3"/>
        <v>0</v>
      </c>
      <c r="N10" s="209">
        <f t="shared" si="11"/>
        <v>0</v>
      </c>
      <c r="O10" s="209">
        <f t="shared" si="12"/>
        <v>0</v>
      </c>
      <c r="P10" s="209">
        <f>COUNTIFS(Arbeitszeit!$D:$D,$A10,Arbeitszeit!$BA:$BA,P$4)</f>
        <v>0</v>
      </c>
      <c r="Q10" s="209">
        <f>COUNTIFS(Arbeitszeit!$D:$D,$A10,Arbeitszeit!$BA:$BA,Q$4)</f>
        <v>0</v>
      </c>
      <c r="R10" s="209">
        <f>COUNTIFS(Arbeitszeit!$D:$D,$A10,Arbeitszeit!$BA:$BA,R$4)</f>
        <v>0</v>
      </c>
    </row>
    <row r="11" spans="1:18">
      <c r="A11" s="444">
        <f t="shared" si="13"/>
        <v>43616</v>
      </c>
      <c r="B11" s="207">
        <f t="shared" si="4"/>
        <v>0</v>
      </c>
      <c r="C11" s="205">
        <f t="shared" si="5"/>
        <v>0</v>
      </c>
      <c r="D11" s="207">
        <f t="shared" si="4"/>
        <v>0</v>
      </c>
      <c r="E11" s="205">
        <f t="shared" si="6"/>
        <v>0</v>
      </c>
      <c r="F11" s="205">
        <f t="shared" si="7"/>
        <v>0</v>
      </c>
      <c r="G11" s="205">
        <f t="shared" si="8"/>
        <v>0</v>
      </c>
      <c r="H11" s="205">
        <f t="shared" si="0"/>
        <v>0</v>
      </c>
      <c r="I11" s="205">
        <f t="shared" si="9"/>
        <v>0</v>
      </c>
      <c r="J11" s="208">
        <f t="shared" si="10"/>
        <v>0</v>
      </c>
      <c r="K11" s="205">
        <f t="shared" si="1"/>
        <v>0</v>
      </c>
      <c r="L11" s="205">
        <f t="shared" si="2"/>
        <v>0</v>
      </c>
      <c r="M11" s="205">
        <f t="shared" si="3"/>
        <v>0</v>
      </c>
      <c r="N11" s="209">
        <f t="shared" si="11"/>
        <v>0</v>
      </c>
      <c r="O11" s="209">
        <f t="shared" si="12"/>
        <v>0</v>
      </c>
      <c r="P11" s="209">
        <f>COUNTIFS(Arbeitszeit!$D:$D,$A11,Arbeitszeit!$BA:$BA,P$4)</f>
        <v>0</v>
      </c>
      <c r="Q11" s="209">
        <f>COUNTIFS(Arbeitszeit!$D:$D,$A11,Arbeitszeit!$BA:$BA,Q$4)</f>
        <v>0</v>
      </c>
      <c r="R11" s="209">
        <f>COUNTIFS(Arbeitszeit!$D:$D,$A11,Arbeitszeit!$BA:$BA,R$4)</f>
        <v>0</v>
      </c>
    </row>
    <row r="12" spans="1:18">
      <c r="A12" s="444">
        <f t="shared" si="13"/>
        <v>43646</v>
      </c>
      <c r="B12" s="207">
        <f t="shared" si="4"/>
        <v>0</v>
      </c>
      <c r="C12" s="205">
        <f t="shared" si="5"/>
        <v>0</v>
      </c>
      <c r="D12" s="207">
        <f t="shared" si="4"/>
        <v>0</v>
      </c>
      <c r="E12" s="205">
        <f t="shared" si="6"/>
        <v>0</v>
      </c>
      <c r="F12" s="205">
        <f t="shared" si="7"/>
        <v>0</v>
      </c>
      <c r="G12" s="205">
        <f t="shared" si="8"/>
        <v>0</v>
      </c>
      <c r="H12" s="205">
        <f t="shared" si="0"/>
        <v>0</v>
      </c>
      <c r="I12" s="205">
        <f t="shared" si="9"/>
        <v>0</v>
      </c>
      <c r="J12" s="208">
        <f t="shared" si="10"/>
        <v>0</v>
      </c>
      <c r="K12" s="205">
        <f t="shared" si="1"/>
        <v>0</v>
      </c>
      <c r="L12" s="205">
        <f t="shared" si="2"/>
        <v>0</v>
      </c>
      <c r="M12" s="205">
        <f t="shared" si="3"/>
        <v>0</v>
      </c>
      <c r="N12" s="209">
        <f t="shared" si="11"/>
        <v>0</v>
      </c>
      <c r="O12" s="209">
        <f t="shared" si="12"/>
        <v>0</v>
      </c>
      <c r="P12" s="209">
        <f>COUNTIFS(Arbeitszeit!$D:$D,$A12,Arbeitszeit!$BA:$BA,P$4)</f>
        <v>0</v>
      </c>
      <c r="Q12" s="209">
        <f>COUNTIFS(Arbeitszeit!$D:$D,$A12,Arbeitszeit!$BA:$BA,Q$4)</f>
        <v>0</v>
      </c>
      <c r="R12" s="209">
        <f>COUNTIFS(Arbeitszeit!$D:$D,$A12,Arbeitszeit!$BA:$BA,R$4)</f>
        <v>0</v>
      </c>
    </row>
    <row r="13" spans="1:18">
      <c r="A13" s="444">
        <f t="shared" si="13"/>
        <v>43677</v>
      </c>
      <c r="B13" s="207">
        <f t="shared" si="4"/>
        <v>0</v>
      </c>
      <c r="C13" s="205">
        <f t="shared" si="5"/>
        <v>0</v>
      </c>
      <c r="D13" s="207">
        <f t="shared" si="4"/>
        <v>0</v>
      </c>
      <c r="E13" s="205">
        <f t="shared" si="6"/>
        <v>0</v>
      </c>
      <c r="F13" s="205">
        <f t="shared" si="7"/>
        <v>0</v>
      </c>
      <c r="G13" s="205">
        <f t="shared" si="8"/>
        <v>0</v>
      </c>
      <c r="H13" s="205">
        <f t="shared" si="0"/>
        <v>0</v>
      </c>
      <c r="I13" s="205">
        <f t="shared" si="9"/>
        <v>0</v>
      </c>
      <c r="J13" s="208">
        <f t="shared" si="10"/>
        <v>0</v>
      </c>
      <c r="K13" s="205">
        <f t="shared" si="1"/>
        <v>0</v>
      </c>
      <c r="L13" s="205">
        <f t="shared" si="2"/>
        <v>0</v>
      </c>
      <c r="M13" s="205">
        <f t="shared" si="3"/>
        <v>0</v>
      </c>
      <c r="N13" s="209">
        <f t="shared" si="11"/>
        <v>0</v>
      </c>
      <c r="O13" s="209">
        <f t="shared" si="12"/>
        <v>0</v>
      </c>
      <c r="P13" s="209">
        <f>COUNTIFS(Arbeitszeit!$D:$D,$A13,Arbeitszeit!$BA:$BA,P$4)</f>
        <v>0</v>
      </c>
      <c r="Q13" s="209">
        <f>COUNTIFS(Arbeitszeit!$D:$D,$A13,Arbeitszeit!$BA:$BA,Q$4)</f>
        <v>0</v>
      </c>
      <c r="R13" s="209">
        <f>COUNTIFS(Arbeitszeit!$D:$D,$A13,Arbeitszeit!$BA:$BA,R$4)</f>
        <v>0</v>
      </c>
    </row>
    <row r="14" spans="1:18">
      <c r="A14" s="444">
        <f t="shared" si="13"/>
        <v>43708</v>
      </c>
      <c r="B14" s="207">
        <f t="shared" si="4"/>
        <v>0</v>
      </c>
      <c r="C14" s="205">
        <f t="shared" si="5"/>
        <v>0</v>
      </c>
      <c r="D14" s="207">
        <f t="shared" si="4"/>
        <v>0</v>
      </c>
      <c r="E14" s="205">
        <f t="shared" si="6"/>
        <v>0</v>
      </c>
      <c r="F14" s="205">
        <f t="shared" si="7"/>
        <v>0</v>
      </c>
      <c r="G14" s="205">
        <f t="shared" si="8"/>
        <v>0</v>
      </c>
      <c r="H14" s="205">
        <f t="shared" si="0"/>
        <v>0</v>
      </c>
      <c r="I14" s="205">
        <f t="shared" si="9"/>
        <v>0</v>
      </c>
      <c r="J14" s="208">
        <f t="shared" si="10"/>
        <v>0</v>
      </c>
      <c r="K14" s="205">
        <f t="shared" si="1"/>
        <v>0</v>
      </c>
      <c r="L14" s="205">
        <f t="shared" si="2"/>
        <v>0</v>
      </c>
      <c r="M14" s="205">
        <f t="shared" si="3"/>
        <v>0</v>
      </c>
      <c r="N14" s="209">
        <f t="shared" si="11"/>
        <v>0</v>
      </c>
      <c r="O14" s="209">
        <f t="shared" si="12"/>
        <v>0</v>
      </c>
      <c r="P14" s="209">
        <f>COUNTIFS(Arbeitszeit!$D:$D,$A14,Arbeitszeit!$BA:$BA,P$4)</f>
        <v>0</v>
      </c>
      <c r="Q14" s="209">
        <f>COUNTIFS(Arbeitszeit!$D:$D,$A14,Arbeitszeit!$BA:$BA,Q$4)</f>
        <v>0</v>
      </c>
      <c r="R14" s="209">
        <f>COUNTIFS(Arbeitszeit!$D:$D,$A14,Arbeitszeit!$BA:$BA,R$4)</f>
        <v>0</v>
      </c>
    </row>
    <row r="15" spans="1:18">
      <c r="A15" s="444">
        <f t="shared" si="13"/>
        <v>43738</v>
      </c>
      <c r="B15" s="207">
        <f t="shared" si="4"/>
        <v>0</v>
      </c>
      <c r="C15" s="205">
        <f t="shared" si="5"/>
        <v>0</v>
      </c>
      <c r="D15" s="207">
        <f t="shared" si="4"/>
        <v>0</v>
      </c>
      <c r="E15" s="205">
        <f t="shared" si="6"/>
        <v>0</v>
      </c>
      <c r="F15" s="205">
        <f t="shared" si="7"/>
        <v>0</v>
      </c>
      <c r="G15" s="205">
        <f t="shared" si="8"/>
        <v>0</v>
      </c>
      <c r="H15" s="205">
        <f t="shared" si="0"/>
        <v>0</v>
      </c>
      <c r="I15" s="205">
        <f t="shared" si="9"/>
        <v>0</v>
      </c>
      <c r="J15" s="208">
        <f t="shared" si="10"/>
        <v>0</v>
      </c>
      <c r="K15" s="205">
        <f t="shared" si="1"/>
        <v>0</v>
      </c>
      <c r="L15" s="205">
        <f t="shared" si="2"/>
        <v>0</v>
      </c>
      <c r="M15" s="205">
        <f t="shared" si="3"/>
        <v>0</v>
      </c>
      <c r="N15" s="209">
        <f t="shared" si="11"/>
        <v>0</v>
      </c>
      <c r="O15" s="209">
        <f t="shared" si="12"/>
        <v>0</v>
      </c>
      <c r="P15" s="209">
        <f>COUNTIFS(Arbeitszeit!$D:$D,$A15,Arbeitszeit!$BA:$BA,P$4)</f>
        <v>0</v>
      </c>
      <c r="Q15" s="209">
        <f>COUNTIFS(Arbeitszeit!$D:$D,$A15,Arbeitszeit!$BA:$BA,Q$4)</f>
        <v>0</v>
      </c>
      <c r="R15" s="209">
        <f>COUNTIFS(Arbeitszeit!$D:$D,$A15,Arbeitszeit!$BA:$BA,R$4)</f>
        <v>0</v>
      </c>
    </row>
    <row r="16" spans="1:18">
      <c r="A16" s="444">
        <f t="shared" si="13"/>
        <v>43769</v>
      </c>
      <c r="B16" s="207">
        <f t="shared" si="4"/>
        <v>0</v>
      </c>
      <c r="C16" s="205">
        <f t="shared" si="5"/>
        <v>0</v>
      </c>
      <c r="D16" s="207">
        <f t="shared" si="4"/>
        <v>0</v>
      </c>
      <c r="E16" s="205">
        <f t="shared" si="6"/>
        <v>0</v>
      </c>
      <c r="F16" s="205">
        <f t="shared" si="7"/>
        <v>0</v>
      </c>
      <c r="G16" s="205">
        <f t="shared" si="8"/>
        <v>0</v>
      </c>
      <c r="H16" s="205">
        <f t="shared" si="0"/>
        <v>0</v>
      </c>
      <c r="I16" s="205">
        <f t="shared" si="9"/>
        <v>0</v>
      </c>
      <c r="J16" s="208">
        <f t="shared" si="10"/>
        <v>0</v>
      </c>
      <c r="K16" s="205">
        <f t="shared" si="1"/>
        <v>0</v>
      </c>
      <c r="L16" s="205">
        <f t="shared" si="2"/>
        <v>0</v>
      </c>
      <c r="M16" s="205">
        <f t="shared" si="3"/>
        <v>0</v>
      </c>
      <c r="N16" s="209">
        <f t="shared" si="11"/>
        <v>0</v>
      </c>
      <c r="O16" s="209">
        <f t="shared" si="12"/>
        <v>0</v>
      </c>
      <c r="P16" s="209">
        <f>COUNTIFS(Arbeitszeit!$D:$D,$A16,Arbeitszeit!$BA:$BA,P$4)</f>
        <v>0</v>
      </c>
      <c r="Q16" s="209">
        <f>COUNTIFS(Arbeitszeit!$D:$D,$A16,Arbeitszeit!$BA:$BA,Q$4)</f>
        <v>0</v>
      </c>
      <c r="R16" s="209">
        <f>COUNTIFS(Arbeitszeit!$D:$D,$A16,Arbeitszeit!$BA:$BA,R$4)</f>
        <v>0</v>
      </c>
    </row>
    <row r="17" spans="1:18">
      <c r="A17" s="444">
        <f t="shared" si="13"/>
        <v>43799</v>
      </c>
      <c r="B17" s="207">
        <f t="shared" si="4"/>
        <v>0</v>
      </c>
      <c r="C17" s="205">
        <f t="shared" si="5"/>
        <v>0</v>
      </c>
      <c r="D17" s="207">
        <f t="shared" si="4"/>
        <v>0</v>
      </c>
      <c r="E17" s="205">
        <f t="shared" si="6"/>
        <v>0</v>
      </c>
      <c r="F17" s="205">
        <f t="shared" si="7"/>
        <v>0</v>
      </c>
      <c r="G17" s="205">
        <f t="shared" si="8"/>
        <v>0</v>
      </c>
      <c r="H17" s="205">
        <f t="shared" si="0"/>
        <v>0</v>
      </c>
      <c r="I17" s="205">
        <f t="shared" si="9"/>
        <v>0</v>
      </c>
      <c r="J17" s="208">
        <f t="shared" si="10"/>
        <v>0</v>
      </c>
      <c r="K17" s="205">
        <f t="shared" si="1"/>
        <v>0</v>
      </c>
      <c r="L17" s="205">
        <f t="shared" si="2"/>
        <v>0</v>
      </c>
      <c r="M17" s="205">
        <f t="shared" si="3"/>
        <v>0</v>
      </c>
      <c r="N17" s="209">
        <f t="shared" si="11"/>
        <v>0</v>
      </c>
      <c r="O17" s="209">
        <f t="shared" si="12"/>
        <v>0</v>
      </c>
      <c r="P17" s="209">
        <f>COUNTIFS(Arbeitszeit!$D:$D,$A17,Arbeitszeit!$BA:$BA,P$4)</f>
        <v>0</v>
      </c>
      <c r="Q17" s="209">
        <f>COUNTIFS(Arbeitszeit!$D:$D,$A17,Arbeitszeit!$BA:$BA,Q$4)</f>
        <v>0</v>
      </c>
      <c r="R17" s="209">
        <f>COUNTIFS(Arbeitszeit!$D:$D,$A17,Arbeitszeit!$BA:$BA,R$4)</f>
        <v>0</v>
      </c>
    </row>
    <row r="18" spans="1:18">
      <c r="A18" s="293" t="s">
        <v>163</v>
      </c>
      <c r="B18" s="211">
        <f>SUBTOTAL(9,B6:B17)</f>
        <v>0</v>
      </c>
      <c r="C18" s="212">
        <f>SUBTOTAL(9,C6:C17)</f>
        <v>0</v>
      </c>
      <c r="D18" s="211">
        <f>SUBTOTAL(9,D6:D17)</f>
        <v>0</v>
      </c>
      <c r="E18" s="212">
        <f>SUBTOTAL(9,E6:E17)</f>
        <v>0</v>
      </c>
      <c r="F18" s="212">
        <f t="shared" ref="F18:L18" si="14">SUBTOTAL(9,F6:F17)</f>
        <v>0</v>
      </c>
      <c r="G18" s="212">
        <f t="shared" si="14"/>
        <v>0</v>
      </c>
      <c r="H18" s="212">
        <f t="shared" si="14"/>
        <v>0</v>
      </c>
      <c r="I18" s="212">
        <f t="shared" si="14"/>
        <v>0</v>
      </c>
      <c r="J18" s="212">
        <f t="shared" si="14"/>
        <v>0</v>
      </c>
      <c r="K18" s="212">
        <f>SUBTOTAL(9,K6:K17)</f>
        <v>0</v>
      </c>
      <c r="L18" s="212">
        <f t="shared" si="14"/>
        <v>0</v>
      </c>
      <c r="M18" s="212">
        <f>SUBTOTAL(1,M6:M17)</f>
        <v>0</v>
      </c>
      <c r="N18" s="213">
        <f>SUBTOTAL(9,N6:N17)</f>
        <v>0</v>
      </c>
      <c r="O18" s="213">
        <f>SUBTOTAL(9,O6:O17)</f>
        <v>0</v>
      </c>
      <c r="P18" s="213">
        <f>SUBTOTAL(9,P6:P17)</f>
        <v>1</v>
      </c>
      <c r="Q18" s="213">
        <f>SUBTOTAL(9,Q6:Q17)</f>
        <v>1</v>
      </c>
      <c r="R18" s="213">
        <f>SUBTOTAL(9,R6:R17)</f>
        <v>1</v>
      </c>
    </row>
    <row r="19" spans="1:18" ht="5.25" customHeight="1">
      <c r="A19" s="210"/>
      <c r="B19" s="210"/>
      <c r="D19" s="210"/>
      <c r="E19" s="214"/>
      <c r="G19" s="215"/>
      <c r="H19" s="215"/>
      <c r="I19" s="215"/>
      <c r="J19" s="215"/>
      <c r="K19" s="216"/>
      <c r="L19" s="214"/>
      <c r="M19" s="214"/>
      <c r="O19" s="217"/>
      <c r="P19" s="194"/>
      <c r="Q19" s="218"/>
    </row>
    <row r="20" spans="1:18" ht="12" customHeight="1">
      <c r="A20" s="438" t="s">
        <v>27</v>
      </c>
      <c r="B20" s="439"/>
      <c r="C20" s="440"/>
      <c r="D20" s="439"/>
      <c r="E20" s="441"/>
      <c r="G20" s="215"/>
      <c r="H20" s="438" t="s">
        <v>31</v>
      </c>
      <c r="I20" s="442"/>
      <c r="J20" s="442"/>
      <c r="K20" s="443"/>
      <c r="L20" s="441"/>
      <c r="M20" s="441"/>
      <c r="N20" s="440"/>
      <c r="O20" s="217"/>
      <c r="P20" s="194"/>
      <c r="Q20" s="218"/>
    </row>
    <row r="21" spans="1:18">
      <c r="A21" s="276">
        <f>B_Vorjahr_hhmm</f>
        <v>0</v>
      </c>
      <c r="B21" s="278" t="s">
        <v>37</v>
      </c>
      <c r="C21" s="279"/>
      <c r="D21" s="280"/>
      <c r="E21" s="281"/>
      <c r="G21" s="198"/>
      <c r="H21" s="290" t="str">
        <f>Arbeitszeit!H377</f>
        <v>Summe IST-Anwesenheit</v>
      </c>
      <c r="I21" s="291"/>
      <c r="J21" s="292"/>
      <c r="K21" s="292"/>
      <c r="L21" s="292"/>
      <c r="M21" s="219">
        <f>SUM(E6:E17)</f>
        <v>0</v>
      </c>
      <c r="N21" s="220"/>
      <c r="O21" s="194"/>
    </row>
    <row r="22" spans="1:18">
      <c r="A22" s="275">
        <f>B_UrlaubVJRest</f>
        <v>0</v>
      </c>
      <c r="B22" s="282" t="s">
        <v>109</v>
      </c>
      <c r="C22" s="283"/>
      <c r="D22" s="284"/>
      <c r="E22" s="285"/>
      <c r="G22" s="194"/>
      <c r="H22" s="290" t="str">
        <f>Arbeitszeit!H378</f>
        <v>Summe Soll-Arbeitszeit</v>
      </c>
      <c r="I22" s="279"/>
      <c r="J22" s="291"/>
      <c r="K22" s="291"/>
      <c r="L22" s="291"/>
      <c r="M22" s="219">
        <f>SUM(C6:C17)</f>
        <v>0</v>
      </c>
      <c r="N22" s="220"/>
      <c r="O22" s="221">
        <f>M21-M22</f>
        <v>0</v>
      </c>
      <c r="P22" s="189" t="s">
        <v>103</v>
      </c>
    </row>
    <row r="23" spans="1:18">
      <c r="B23" s="271"/>
      <c r="C23" s="271"/>
      <c r="D23" s="216"/>
      <c r="F23" s="272"/>
      <c r="G23" s="194"/>
      <c r="H23" s="290" t="s">
        <v>38</v>
      </c>
      <c r="I23" s="279"/>
      <c r="J23" s="291"/>
      <c r="K23" s="291"/>
      <c r="L23" s="291"/>
      <c r="M23" s="219">
        <f>SUM(K5:K17)</f>
        <v>0</v>
      </c>
      <c r="N23" s="220"/>
      <c r="O23" s="221">
        <f>SUM(J6:J17)</f>
        <v>0</v>
      </c>
      <c r="P23" s="274" t="str">
        <f>J4</f>
        <v>&gt; 10 Std</v>
      </c>
    </row>
    <row r="24" spans="1:18">
      <c r="G24" s="194"/>
      <c r="H24" s="290" t="str">
        <f>Arbeitszeit!H380</f>
        <v>Gleitzeit-Saldo aktuell</v>
      </c>
      <c r="I24" s="279"/>
      <c r="J24" s="291"/>
      <c r="K24" s="291"/>
      <c r="L24" s="291"/>
      <c r="M24" s="219">
        <f>A21+M21-M22-M23</f>
        <v>0</v>
      </c>
      <c r="N24" s="220" t="str">
        <f>IF(M24&lt;0,"*","")</f>
        <v/>
      </c>
      <c r="O24" s="714">
        <f>M24/B_WorkTime</f>
        <v>0</v>
      </c>
      <c r="P24" s="715"/>
    </row>
    <row r="25" spans="1:18">
      <c r="C25" s="273"/>
      <c r="D25" s="216"/>
      <c r="H25" s="290" t="str">
        <f>Arbeitszeit!B380</f>
        <v>Krankheitstage</v>
      </c>
      <c r="I25" s="279"/>
      <c r="J25" s="291"/>
      <c r="K25" s="291"/>
      <c r="L25" s="291"/>
      <c r="M25" s="222">
        <f>SUM(N6:N17)</f>
        <v>0</v>
      </c>
      <c r="N25" s="220"/>
      <c r="O25" s="194"/>
    </row>
    <row r="26" spans="1:18">
      <c r="A26" s="275">
        <f>B_UrlaubNeu</f>
        <v>30</v>
      </c>
      <c r="B26" s="286" t="s">
        <v>19</v>
      </c>
      <c r="C26" s="287"/>
      <c r="D26" s="280"/>
      <c r="E26" s="285"/>
      <c r="G26" s="216"/>
      <c r="H26" s="290" t="str">
        <f>Arbeitszeit!H381</f>
        <v>genommene Urlaubstage</v>
      </c>
      <c r="I26" s="279"/>
      <c r="J26" s="291"/>
      <c r="K26" s="291"/>
      <c r="L26" s="291"/>
      <c r="M26" s="222">
        <f>SUM(O6:O17)</f>
        <v>0</v>
      </c>
      <c r="N26" s="220"/>
    </row>
    <row r="27" spans="1:18">
      <c r="H27" s="290" t="s">
        <v>112</v>
      </c>
      <c r="I27" s="279"/>
      <c r="J27" s="291"/>
      <c r="K27" s="291"/>
      <c r="L27" s="291"/>
      <c r="M27" s="222">
        <f>A22+B_UrlaubNeu-M26</f>
        <v>30</v>
      </c>
      <c r="N27" s="220"/>
      <c r="O27" s="194"/>
    </row>
    <row r="28" spans="1:18">
      <c r="B28" s="196"/>
      <c r="L28" s="215"/>
    </row>
    <row r="29" spans="1:18">
      <c r="A29" s="275">
        <f>SUM(B6:B17)</f>
        <v>0</v>
      </c>
      <c r="B29" s="288" t="s">
        <v>29</v>
      </c>
      <c r="C29" s="284"/>
      <c r="D29" s="284"/>
      <c r="E29" s="285"/>
      <c r="H29" s="635" t="s">
        <v>237</v>
      </c>
      <c r="I29" s="636"/>
      <c r="J29" s="637"/>
      <c r="K29" s="637"/>
      <c r="L29" s="637"/>
      <c r="M29" s="638">
        <f>P18</f>
        <v>1</v>
      </c>
      <c r="N29" s="639"/>
      <c r="O29" s="223"/>
    </row>
    <row r="30" spans="1:18">
      <c r="A30" s="277">
        <f>IF(SUM(E6:E17)&gt;0,SUM(E6:E17) / A29,0)</f>
        <v>0</v>
      </c>
      <c r="B30" s="282" t="s">
        <v>30</v>
      </c>
      <c r="C30" s="289"/>
      <c r="D30" s="284"/>
      <c r="E30" s="285"/>
      <c r="H30" s="635" t="s">
        <v>238</v>
      </c>
      <c r="I30" s="636"/>
      <c r="J30" s="637"/>
      <c r="K30" s="637"/>
      <c r="L30" s="637"/>
      <c r="M30" s="638">
        <f>Q18</f>
        <v>1</v>
      </c>
      <c r="N30" s="639"/>
    </row>
  </sheetData>
  <mergeCells count="2">
    <mergeCell ref="O24:P24"/>
    <mergeCell ref="C3:D3"/>
  </mergeCells>
  <phoneticPr fontId="0" type="noConversion"/>
  <conditionalFormatting sqref="J6:J18">
    <cfRule type="cellIs" dxfId="3" priority="2" stopIfTrue="1" operator="greaterThan">
      <formula>0</formula>
    </cfRule>
  </conditionalFormatting>
  <conditionalFormatting sqref="F6:F18">
    <cfRule type="cellIs" dxfId="2" priority="3" stopIfTrue="1" operator="lessThan">
      <formula>0</formula>
    </cfRule>
  </conditionalFormatting>
  <conditionalFormatting sqref="O22">
    <cfRule type="cellIs" dxfId="1"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51C14-1AEA-467B-8F6D-39F943C304EF}">
  <dimension ref="A1"/>
  <sheetViews>
    <sheetView workbookViewId="0"/>
  </sheetViews>
  <sheetFormatPr defaultRowHeight="12.75"/>
  <sheetData>
    <row r="1" spans="1:1" ht="20.25">
      <c r="A1" s="641" t="s">
        <v>241</v>
      </c>
    </row>
  </sheetData>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Word.Document.12" shapeId="57355" r:id="rId4">
          <objectPr defaultSize="0" autoPict="0" r:id="rId5">
            <anchor moveWithCells="1">
              <from>
                <xdr:col>0</xdr:col>
                <xdr:colOff>114300</xdr:colOff>
                <xdr:row>2</xdr:row>
                <xdr:rowOff>9525</xdr:rowOff>
              </from>
              <to>
                <xdr:col>9</xdr:col>
                <xdr:colOff>600075</xdr:colOff>
                <xdr:row>57</xdr:row>
                <xdr:rowOff>95250</xdr:rowOff>
              </to>
            </anchor>
          </objectPr>
        </oleObject>
      </mc:Choice>
      <mc:Fallback>
        <oleObject progId="Word.Document.12" shapeId="57355" r:id="rId4"/>
      </mc:Fallback>
    </mc:AlternateContent>
  </oleObjec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138</vt:i4>
      </vt:variant>
    </vt:vector>
  </HeadingPairs>
  <TitlesOfParts>
    <vt:vector size="150"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Infos Arbeitsort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(DI IT DEMA PLM CPP)</cp:lastModifiedBy>
  <cp:lastPrinted>2009-07-03T06:08:48Z</cp:lastPrinted>
  <dcterms:created xsi:type="dcterms:W3CDTF">1998-12-01T06:37:17Z</dcterms:created>
  <dcterms:modified xsi:type="dcterms:W3CDTF">2022-12-02T20:54:43Z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